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2.xml" ContentType="application/vnd.openxmlformats-officedocument.drawing+xml"/>
  <Override PartName="/xl/timelines/timeline1.xml" ContentType="application/vnd.ms-excel.timelin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770" documentId="13_ncr:1_{10FCACA5-8197-478D-90D3-5F83063FB753}" xr6:coauthVersionLast="47" xr6:coauthVersionMax="47" xr10:uidLastSave="{16B36BF5-E8CB-470A-9EEC-8758798C058E}"/>
  <bookViews>
    <workbookView xWindow="-14040" yWindow="-16320" windowWidth="29040" windowHeight="15720" tabRatio="656" firstSheet="1" activeTab="1" xr2:uid="{D7AB5F58-0F25-45E4-9869-1B2DB4C7BDA0}"/>
  </bookViews>
  <sheets>
    <sheet name="naar word" sheetId="12" state="hidden" r:id="rId1"/>
    <sheet name="BRON" sheetId="1" r:id="rId2"/>
    <sheet name="Dashboard" sheetId="14" r:id="rId3"/>
    <sheet name="contact" sheetId="13" state="hidden" r:id="rId4"/>
    <sheet name="archief 2024" sheetId="10" state="hidden" r:id="rId5"/>
    <sheet name="data hastus" sheetId="3" state="hidden" r:id="rId6"/>
  </sheets>
  <functionGroups builtInGroupCount="19"/>
  <definedNames>
    <definedName name="_xlnm._FilterDatabase" localSheetId="1" hidden="1">BRON!$A$1:$E$1</definedName>
    <definedName name="_xlnm._FilterDatabase" localSheetId="5" hidden="1">'data hastus'!$A$1:$T$1</definedName>
    <definedName name="OorspronkelijkeTijdlijn_Datum1">#N/A</definedName>
  </definedNames>
  <calcPr calcId="191029"/>
  <pivotCaches>
    <pivotCache cacheId="0" r:id="rId7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8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984" i="1" l="1"/>
  <c r="B984" i="1" s="1"/>
  <c r="D984" i="1"/>
  <c r="E984" i="1"/>
  <c r="S984" i="1"/>
  <c r="C983" i="1"/>
  <c r="B983" i="1" s="1"/>
  <c r="D983" i="1"/>
  <c r="E983" i="1"/>
  <c r="S983" i="1"/>
  <c r="C982" i="1"/>
  <c r="B982" i="1" s="1"/>
  <c r="D982" i="1"/>
  <c r="E982" i="1"/>
  <c r="S982" i="1"/>
  <c r="C981" i="1"/>
  <c r="B981" i="1" s="1"/>
  <c r="D981" i="1"/>
  <c r="E981" i="1"/>
  <c r="S981" i="1"/>
  <c r="C980" i="1"/>
  <c r="B980" i="1" s="1"/>
  <c r="D980" i="1"/>
  <c r="E980" i="1"/>
  <c r="S980" i="1"/>
  <c r="C979" i="1"/>
  <c r="B979" i="1" s="1"/>
  <c r="D979" i="1"/>
  <c r="E979" i="1"/>
  <c r="S979" i="1"/>
  <c r="C978" i="1"/>
  <c r="B978" i="1" s="1"/>
  <c r="D978" i="1"/>
  <c r="E978" i="1"/>
  <c r="S978" i="1"/>
  <c r="C977" i="1"/>
  <c r="B977" i="1" s="1"/>
  <c r="D977" i="1"/>
  <c r="E977" i="1"/>
  <c r="S977" i="1"/>
  <c r="C976" i="1"/>
  <c r="D976" i="1"/>
  <c r="E976" i="1"/>
  <c r="S976" i="1"/>
  <c r="C974" i="1"/>
  <c r="D974" i="1"/>
  <c r="E974" i="1"/>
  <c r="S974" i="1"/>
  <c r="C975" i="1"/>
  <c r="D975" i="1"/>
  <c r="E975" i="1"/>
  <c r="S975" i="1"/>
  <c r="C973" i="1"/>
  <c r="D973" i="1"/>
  <c r="E973" i="1"/>
  <c r="S973" i="1"/>
  <c r="C969" i="1"/>
  <c r="D969" i="1"/>
  <c r="E969" i="1"/>
  <c r="S969" i="1"/>
  <c r="C964" i="1"/>
  <c r="D964" i="1"/>
  <c r="E964" i="1"/>
  <c r="S964" i="1"/>
  <c r="C972" i="1"/>
  <c r="D972" i="1"/>
  <c r="E972" i="1"/>
  <c r="S972" i="1"/>
  <c r="C955" i="1"/>
  <c r="D955" i="1"/>
  <c r="E955" i="1"/>
  <c r="S955" i="1"/>
  <c r="C951" i="1"/>
  <c r="D951" i="1"/>
  <c r="E951" i="1"/>
  <c r="S951" i="1"/>
  <c r="C952" i="1"/>
  <c r="D952" i="1"/>
  <c r="E952" i="1"/>
  <c r="S952" i="1"/>
  <c r="C947" i="1"/>
  <c r="D947" i="1"/>
  <c r="E947" i="1"/>
  <c r="S947" i="1"/>
  <c r="C909" i="1"/>
  <c r="D909" i="1"/>
  <c r="E909" i="1"/>
  <c r="S909" i="1"/>
  <c r="C968" i="1"/>
  <c r="D968" i="1"/>
  <c r="E968" i="1"/>
  <c r="S968" i="1"/>
  <c r="C962" i="1"/>
  <c r="D962" i="1"/>
  <c r="E962" i="1"/>
  <c r="S962" i="1"/>
  <c r="C950" i="1"/>
  <c r="D950" i="1"/>
  <c r="E950" i="1"/>
  <c r="S950" i="1"/>
  <c r="C971" i="1"/>
  <c r="D971" i="1"/>
  <c r="E971" i="1"/>
  <c r="S971" i="1"/>
  <c r="C965" i="1"/>
  <c r="D965" i="1"/>
  <c r="E965" i="1"/>
  <c r="S965" i="1"/>
  <c r="C967" i="1"/>
  <c r="D967" i="1"/>
  <c r="E967" i="1"/>
  <c r="S967" i="1"/>
  <c r="C961" i="1"/>
  <c r="D961" i="1"/>
  <c r="E961" i="1"/>
  <c r="S961" i="1"/>
  <c r="C970" i="1"/>
  <c r="D970" i="1"/>
  <c r="E970" i="1"/>
  <c r="S970" i="1"/>
  <c r="C966" i="1"/>
  <c r="D966" i="1"/>
  <c r="E966" i="1"/>
  <c r="S966" i="1"/>
  <c r="C960" i="1"/>
  <c r="D960" i="1"/>
  <c r="E960" i="1"/>
  <c r="S960" i="1"/>
  <c r="C959" i="1"/>
  <c r="D959" i="1"/>
  <c r="E959" i="1"/>
  <c r="S959" i="1"/>
  <c r="C963" i="1"/>
  <c r="D963" i="1"/>
  <c r="E963" i="1"/>
  <c r="S963" i="1"/>
  <c r="C958" i="1"/>
  <c r="D958" i="1"/>
  <c r="E958" i="1"/>
  <c r="S958" i="1"/>
  <c r="C957" i="1"/>
  <c r="D957" i="1"/>
  <c r="E957" i="1"/>
  <c r="S957" i="1"/>
  <c r="C954" i="1"/>
  <c r="D954" i="1"/>
  <c r="E954" i="1"/>
  <c r="S954" i="1"/>
  <c r="C956" i="1"/>
  <c r="D956" i="1"/>
  <c r="E956" i="1"/>
  <c r="S956" i="1"/>
  <c r="C949" i="1"/>
  <c r="D949" i="1"/>
  <c r="E949" i="1"/>
  <c r="S949" i="1"/>
  <c r="C953" i="1"/>
  <c r="D953" i="1"/>
  <c r="E953" i="1"/>
  <c r="S953" i="1"/>
  <c r="C945" i="1"/>
  <c r="D945" i="1"/>
  <c r="E945" i="1"/>
  <c r="S945" i="1"/>
  <c r="C948" i="1"/>
  <c r="D948" i="1"/>
  <c r="E948" i="1"/>
  <c r="S948" i="1"/>
  <c r="C944" i="1"/>
  <c r="D944" i="1"/>
  <c r="E944" i="1"/>
  <c r="S944" i="1"/>
  <c r="B976" i="1" l="1"/>
  <c r="B973" i="1"/>
  <c r="B974" i="1"/>
  <c r="B969" i="1"/>
  <c r="B975" i="1"/>
  <c r="B963" i="1"/>
  <c r="B967" i="1"/>
  <c r="B957" i="1"/>
  <c r="B960" i="1"/>
  <c r="B971" i="1"/>
  <c r="B962" i="1"/>
  <c r="B964" i="1"/>
  <c r="B966" i="1"/>
  <c r="B961" i="1"/>
  <c r="B965" i="1"/>
  <c r="B950" i="1"/>
  <c r="B972" i="1"/>
  <c r="B968" i="1"/>
  <c r="B970" i="1"/>
  <c r="B954" i="1"/>
  <c r="B949" i="1"/>
  <c r="B959" i="1"/>
  <c r="B958" i="1"/>
  <c r="B956" i="1"/>
  <c r="B947" i="1"/>
  <c r="B955" i="1"/>
  <c r="B951" i="1"/>
  <c r="B909" i="1"/>
  <c r="B952" i="1"/>
  <c r="B944" i="1"/>
  <c r="B948" i="1"/>
  <c r="B945" i="1"/>
  <c r="B953" i="1"/>
  <c r="Y941" i="1"/>
  <c r="C935" i="1" l="1"/>
  <c r="D935" i="1"/>
  <c r="E935" i="1"/>
  <c r="S935" i="1"/>
  <c r="C946" i="1"/>
  <c r="D946" i="1"/>
  <c r="E946" i="1"/>
  <c r="S946" i="1"/>
  <c r="C943" i="1"/>
  <c r="D943" i="1"/>
  <c r="E943" i="1"/>
  <c r="S943" i="1"/>
  <c r="C930" i="1"/>
  <c r="D930" i="1"/>
  <c r="E930" i="1"/>
  <c r="S930" i="1"/>
  <c r="C942" i="1"/>
  <c r="D942" i="1"/>
  <c r="E942" i="1"/>
  <c r="S942" i="1"/>
  <c r="C939" i="1"/>
  <c r="D939" i="1"/>
  <c r="E939" i="1"/>
  <c r="S939" i="1"/>
  <c r="C937" i="1"/>
  <c r="D937" i="1"/>
  <c r="E937" i="1"/>
  <c r="S937" i="1"/>
  <c r="C941" i="1"/>
  <c r="D941" i="1"/>
  <c r="E941" i="1"/>
  <c r="S941" i="1"/>
  <c r="C940" i="1"/>
  <c r="D940" i="1"/>
  <c r="E940" i="1"/>
  <c r="S940" i="1"/>
  <c r="C938" i="1"/>
  <c r="D938" i="1"/>
  <c r="E938" i="1"/>
  <c r="S938" i="1"/>
  <c r="C936" i="1"/>
  <c r="D936" i="1"/>
  <c r="E936" i="1"/>
  <c r="S936" i="1"/>
  <c r="C924" i="1"/>
  <c r="D924" i="1"/>
  <c r="E924" i="1"/>
  <c r="S924" i="1"/>
  <c r="C922" i="1"/>
  <c r="D922" i="1"/>
  <c r="E922" i="1"/>
  <c r="S922" i="1"/>
  <c r="C933" i="1"/>
  <c r="D933" i="1"/>
  <c r="E933" i="1"/>
  <c r="S933" i="1"/>
  <c r="C914" i="1"/>
  <c r="D914" i="1"/>
  <c r="E914" i="1"/>
  <c r="S914" i="1"/>
  <c r="C926" i="1"/>
  <c r="D926" i="1"/>
  <c r="E926" i="1"/>
  <c r="S926" i="1"/>
  <c r="C932" i="1"/>
  <c r="D932" i="1"/>
  <c r="E932" i="1"/>
  <c r="S932" i="1"/>
  <c r="C934" i="1"/>
  <c r="D934" i="1"/>
  <c r="E934" i="1"/>
  <c r="S934" i="1"/>
  <c r="C928" i="1"/>
  <c r="D928" i="1"/>
  <c r="E928" i="1"/>
  <c r="S928" i="1"/>
  <c r="C929" i="1"/>
  <c r="D929" i="1"/>
  <c r="E929" i="1"/>
  <c r="S929" i="1"/>
  <c r="C923" i="1"/>
  <c r="D923" i="1"/>
  <c r="E923" i="1"/>
  <c r="S923" i="1"/>
  <c r="C927" i="1"/>
  <c r="D927" i="1"/>
  <c r="E927" i="1"/>
  <c r="S927" i="1"/>
  <c r="C931" i="1"/>
  <c r="D931" i="1"/>
  <c r="E931" i="1"/>
  <c r="S931" i="1"/>
  <c r="C921" i="1"/>
  <c r="D921" i="1"/>
  <c r="E921" i="1"/>
  <c r="S921" i="1"/>
  <c r="C925" i="1"/>
  <c r="D925" i="1"/>
  <c r="E925" i="1"/>
  <c r="S925" i="1"/>
  <c r="C920" i="1"/>
  <c r="D920" i="1"/>
  <c r="E920" i="1"/>
  <c r="S920" i="1"/>
  <c r="C908" i="1"/>
  <c r="D908" i="1"/>
  <c r="E908" i="1"/>
  <c r="S908" i="1"/>
  <c r="C918" i="1"/>
  <c r="D918" i="1"/>
  <c r="E918" i="1"/>
  <c r="S918" i="1"/>
  <c r="C907" i="1"/>
  <c r="D907" i="1"/>
  <c r="E907" i="1"/>
  <c r="S907" i="1"/>
  <c r="C919" i="1"/>
  <c r="D919" i="1"/>
  <c r="E919" i="1"/>
  <c r="S919" i="1"/>
  <c r="C917" i="1"/>
  <c r="D917" i="1"/>
  <c r="E917" i="1"/>
  <c r="S917" i="1"/>
  <c r="C913" i="1"/>
  <c r="D913" i="1"/>
  <c r="E913" i="1"/>
  <c r="S913" i="1"/>
  <c r="C915" i="1"/>
  <c r="D915" i="1"/>
  <c r="E915" i="1"/>
  <c r="S915" i="1"/>
  <c r="C901" i="1"/>
  <c r="D901" i="1"/>
  <c r="E901" i="1"/>
  <c r="S901" i="1"/>
  <c r="C916" i="1"/>
  <c r="D916" i="1"/>
  <c r="E916" i="1"/>
  <c r="S916" i="1"/>
  <c r="C904" i="1"/>
  <c r="D904" i="1"/>
  <c r="E904" i="1"/>
  <c r="S904" i="1"/>
  <c r="C911" i="1"/>
  <c r="D911" i="1"/>
  <c r="E911" i="1"/>
  <c r="S911" i="1"/>
  <c r="C910" i="1"/>
  <c r="D910" i="1"/>
  <c r="E910" i="1"/>
  <c r="S910" i="1"/>
  <c r="C902" i="1"/>
  <c r="D902" i="1"/>
  <c r="E902" i="1"/>
  <c r="S902" i="1"/>
  <c r="C912" i="1"/>
  <c r="D912" i="1"/>
  <c r="E912" i="1"/>
  <c r="S912" i="1"/>
  <c r="C906" i="1"/>
  <c r="D906" i="1"/>
  <c r="E906" i="1"/>
  <c r="S906" i="1"/>
  <c r="C903" i="1"/>
  <c r="D903" i="1"/>
  <c r="E903" i="1"/>
  <c r="S903" i="1"/>
  <c r="C897" i="1"/>
  <c r="D897" i="1"/>
  <c r="E897" i="1"/>
  <c r="S897" i="1"/>
  <c r="C905" i="1"/>
  <c r="D905" i="1"/>
  <c r="E905" i="1"/>
  <c r="S905" i="1"/>
  <c r="C896" i="1"/>
  <c r="D896" i="1"/>
  <c r="E896" i="1"/>
  <c r="S896" i="1"/>
  <c r="C900" i="1"/>
  <c r="D900" i="1"/>
  <c r="E900" i="1"/>
  <c r="S900" i="1"/>
  <c r="C895" i="1"/>
  <c r="D895" i="1"/>
  <c r="E895" i="1"/>
  <c r="S895" i="1"/>
  <c r="C899" i="1"/>
  <c r="D899" i="1"/>
  <c r="E899" i="1"/>
  <c r="S899" i="1"/>
  <c r="C894" i="1"/>
  <c r="D894" i="1"/>
  <c r="E894" i="1"/>
  <c r="S894" i="1"/>
  <c r="C898" i="1"/>
  <c r="D898" i="1"/>
  <c r="E898" i="1"/>
  <c r="S898" i="1"/>
  <c r="C891" i="1"/>
  <c r="D891" i="1"/>
  <c r="E891" i="1"/>
  <c r="S891" i="1"/>
  <c r="C890" i="1"/>
  <c r="D890" i="1"/>
  <c r="E890" i="1"/>
  <c r="S890" i="1"/>
  <c r="C889" i="1"/>
  <c r="D889" i="1"/>
  <c r="E889" i="1"/>
  <c r="S889" i="1"/>
  <c r="C888" i="1"/>
  <c r="D888" i="1"/>
  <c r="E888" i="1"/>
  <c r="S888" i="1"/>
  <c r="C893" i="1"/>
  <c r="D893" i="1"/>
  <c r="E893" i="1"/>
  <c r="S893" i="1"/>
  <c r="C887" i="1"/>
  <c r="D887" i="1"/>
  <c r="E887" i="1"/>
  <c r="S887" i="1"/>
  <c r="C892" i="1"/>
  <c r="D892" i="1"/>
  <c r="E892" i="1"/>
  <c r="S892" i="1"/>
  <c r="C886" i="1"/>
  <c r="D886" i="1"/>
  <c r="E886" i="1"/>
  <c r="S886" i="1"/>
  <c r="C885" i="1"/>
  <c r="D885" i="1"/>
  <c r="E885" i="1"/>
  <c r="S885" i="1"/>
  <c r="C884" i="1"/>
  <c r="D884" i="1"/>
  <c r="E884" i="1"/>
  <c r="S884" i="1"/>
  <c r="C882" i="1"/>
  <c r="D882" i="1"/>
  <c r="E882" i="1"/>
  <c r="S882" i="1"/>
  <c r="C855" i="1"/>
  <c r="D855" i="1"/>
  <c r="E855" i="1"/>
  <c r="S855" i="1"/>
  <c r="C883" i="1"/>
  <c r="D883" i="1"/>
  <c r="E883" i="1"/>
  <c r="S883" i="1"/>
  <c r="C877" i="1"/>
  <c r="D877" i="1"/>
  <c r="E877" i="1"/>
  <c r="S877" i="1"/>
  <c r="C881" i="1"/>
  <c r="D881" i="1"/>
  <c r="E881" i="1"/>
  <c r="S881" i="1"/>
  <c r="C873" i="1"/>
  <c r="D873" i="1"/>
  <c r="E873" i="1"/>
  <c r="S873" i="1"/>
  <c r="C871" i="1"/>
  <c r="D871" i="1"/>
  <c r="E871" i="1"/>
  <c r="S871" i="1"/>
  <c r="C872" i="1"/>
  <c r="D872" i="1"/>
  <c r="E872" i="1"/>
  <c r="S872" i="1"/>
  <c r="C870" i="1"/>
  <c r="D870" i="1"/>
  <c r="E870" i="1"/>
  <c r="S870" i="1"/>
  <c r="C869" i="1"/>
  <c r="D869" i="1"/>
  <c r="E869" i="1"/>
  <c r="S869" i="1"/>
  <c r="C866" i="1"/>
  <c r="D866" i="1"/>
  <c r="E866" i="1"/>
  <c r="S866" i="1"/>
  <c r="C868" i="1"/>
  <c r="D868" i="1"/>
  <c r="E868" i="1"/>
  <c r="S868" i="1"/>
  <c r="C875" i="1"/>
  <c r="D875" i="1"/>
  <c r="E875" i="1"/>
  <c r="S875" i="1"/>
  <c r="C880" i="1"/>
  <c r="D880" i="1"/>
  <c r="E880" i="1"/>
  <c r="S880" i="1"/>
  <c r="C879" i="1"/>
  <c r="D879" i="1"/>
  <c r="E879" i="1"/>
  <c r="S879" i="1"/>
  <c r="C874" i="1"/>
  <c r="D874" i="1"/>
  <c r="E874" i="1"/>
  <c r="S874" i="1"/>
  <c r="C878" i="1"/>
  <c r="D878" i="1"/>
  <c r="E878" i="1"/>
  <c r="S878" i="1"/>
  <c r="C876" i="1"/>
  <c r="D876" i="1"/>
  <c r="E876" i="1"/>
  <c r="S876" i="1"/>
  <c r="E864" i="1"/>
  <c r="E867" i="1"/>
  <c r="C867" i="1"/>
  <c r="D867" i="1"/>
  <c r="S867" i="1"/>
  <c r="C864" i="1"/>
  <c r="D864" i="1"/>
  <c r="S864" i="1"/>
  <c r="C865" i="1"/>
  <c r="D865" i="1"/>
  <c r="E865" i="1"/>
  <c r="S865" i="1"/>
  <c r="C812" i="1"/>
  <c r="D812" i="1"/>
  <c r="E812" i="1"/>
  <c r="S812" i="1"/>
  <c r="C857" i="1"/>
  <c r="D857" i="1"/>
  <c r="E857" i="1"/>
  <c r="S857" i="1"/>
  <c r="C863" i="1"/>
  <c r="D863" i="1"/>
  <c r="E863" i="1"/>
  <c r="S863" i="1"/>
  <c r="B930" i="1" l="1"/>
  <c r="B943" i="1"/>
  <c r="B932" i="1"/>
  <c r="B940" i="1"/>
  <c r="B924" i="1"/>
  <c r="B946" i="1"/>
  <c r="B936" i="1"/>
  <c r="B935" i="1"/>
  <c r="B942" i="1"/>
  <c r="B941" i="1"/>
  <c r="B939" i="1"/>
  <c r="B937" i="1"/>
  <c r="B938" i="1"/>
  <c r="B922" i="1"/>
  <c r="B933" i="1"/>
  <c r="B914" i="1"/>
  <c r="B926" i="1"/>
  <c r="B916" i="1"/>
  <c r="B901" i="1"/>
  <c r="B913" i="1"/>
  <c r="B907" i="1"/>
  <c r="B918" i="1"/>
  <c r="B908" i="1"/>
  <c r="B920" i="1"/>
  <c r="B934" i="1"/>
  <c r="B928" i="1"/>
  <c r="B929" i="1"/>
  <c r="B923" i="1"/>
  <c r="B927" i="1"/>
  <c r="B931" i="1"/>
  <c r="B921" i="1"/>
  <c r="B925" i="1"/>
  <c r="B915" i="1"/>
  <c r="B919" i="1"/>
  <c r="B917" i="1"/>
  <c r="B912" i="1"/>
  <c r="B910" i="1"/>
  <c r="B904" i="1"/>
  <c r="B906" i="1"/>
  <c r="B911" i="1"/>
  <c r="B902" i="1"/>
  <c r="B855" i="1"/>
  <c r="B886" i="1"/>
  <c r="B890" i="1"/>
  <c r="B895" i="1"/>
  <c r="B897" i="1"/>
  <c r="B884" i="1"/>
  <c r="B887" i="1"/>
  <c r="B894" i="1"/>
  <c r="B900" i="1"/>
  <c r="B905" i="1"/>
  <c r="B903" i="1"/>
  <c r="B896" i="1"/>
  <c r="B883" i="1"/>
  <c r="B882" i="1"/>
  <c r="B885" i="1"/>
  <c r="B892" i="1"/>
  <c r="B893" i="1"/>
  <c r="B889" i="1"/>
  <c r="B891" i="1"/>
  <c r="B898" i="1"/>
  <c r="B899" i="1"/>
  <c r="B875" i="1"/>
  <c r="B881" i="1"/>
  <c r="B877" i="1"/>
  <c r="B888" i="1"/>
  <c r="B880" i="1"/>
  <c r="B879" i="1"/>
  <c r="B874" i="1"/>
  <c r="B878" i="1"/>
  <c r="B876" i="1"/>
  <c r="B873" i="1"/>
  <c r="B871" i="1"/>
  <c r="B872" i="1"/>
  <c r="B870" i="1"/>
  <c r="B868" i="1"/>
  <c r="B866" i="1"/>
  <c r="B869" i="1"/>
  <c r="B867" i="1"/>
  <c r="B865" i="1"/>
  <c r="B864" i="1"/>
  <c r="B812" i="1"/>
  <c r="B857" i="1"/>
  <c r="B863" i="1"/>
  <c r="C856" i="1"/>
  <c r="D856" i="1"/>
  <c r="E856" i="1"/>
  <c r="S856" i="1"/>
  <c r="B856" i="1" l="1"/>
  <c r="C850" i="1"/>
  <c r="D850" i="1"/>
  <c r="E850" i="1"/>
  <c r="S850" i="1"/>
  <c r="C854" i="1"/>
  <c r="D854" i="1"/>
  <c r="E854" i="1"/>
  <c r="S854" i="1"/>
  <c r="C852" i="1"/>
  <c r="D852" i="1"/>
  <c r="E852" i="1"/>
  <c r="S852" i="1"/>
  <c r="S851" i="1"/>
  <c r="C851" i="1"/>
  <c r="D851" i="1"/>
  <c r="E851" i="1"/>
  <c r="C844" i="1"/>
  <c r="D844" i="1"/>
  <c r="E844" i="1"/>
  <c r="S844" i="1"/>
  <c r="C853" i="1"/>
  <c r="D853" i="1"/>
  <c r="E853" i="1"/>
  <c r="S853" i="1"/>
  <c r="C862" i="1"/>
  <c r="D862" i="1"/>
  <c r="E862" i="1"/>
  <c r="S862" i="1"/>
  <c r="C860" i="1"/>
  <c r="D860" i="1"/>
  <c r="E860" i="1"/>
  <c r="S860" i="1"/>
  <c r="C861" i="1"/>
  <c r="D861" i="1"/>
  <c r="E861" i="1"/>
  <c r="S861" i="1"/>
  <c r="C859" i="1"/>
  <c r="D859" i="1"/>
  <c r="E859" i="1"/>
  <c r="S859" i="1"/>
  <c r="C858" i="1"/>
  <c r="D858" i="1"/>
  <c r="E858" i="1"/>
  <c r="S858" i="1"/>
  <c r="C846" i="1"/>
  <c r="D846" i="1"/>
  <c r="E846" i="1"/>
  <c r="S846" i="1"/>
  <c r="C849" i="1"/>
  <c r="D849" i="1"/>
  <c r="E849" i="1"/>
  <c r="S849" i="1"/>
  <c r="C848" i="1"/>
  <c r="D848" i="1"/>
  <c r="E848" i="1"/>
  <c r="S848" i="1"/>
  <c r="C842" i="1"/>
  <c r="D842" i="1"/>
  <c r="E842" i="1"/>
  <c r="S842" i="1"/>
  <c r="C841" i="1"/>
  <c r="D841" i="1"/>
  <c r="E841" i="1"/>
  <c r="S841" i="1"/>
  <c r="C847" i="1"/>
  <c r="D847" i="1"/>
  <c r="E847" i="1"/>
  <c r="S847" i="1"/>
  <c r="C845" i="1"/>
  <c r="D845" i="1"/>
  <c r="E845" i="1"/>
  <c r="S845" i="1"/>
  <c r="C843" i="1"/>
  <c r="D843" i="1"/>
  <c r="E843" i="1"/>
  <c r="S843" i="1"/>
  <c r="C840" i="1"/>
  <c r="D840" i="1"/>
  <c r="E840" i="1"/>
  <c r="S840" i="1"/>
  <c r="C806" i="1"/>
  <c r="D806" i="1"/>
  <c r="E806" i="1"/>
  <c r="S806" i="1"/>
  <c r="C839" i="1"/>
  <c r="D839" i="1"/>
  <c r="E839" i="1"/>
  <c r="S839" i="1"/>
  <c r="C535" i="1"/>
  <c r="B535" i="1" s="1"/>
  <c r="D535" i="1"/>
  <c r="C565" i="1"/>
  <c r="B565" i="1" s="1"/>
  <c r="D565" i="1"/>
  <c r="C600" i="1"/>
  <c r="B600" i="1" s="1"/>
  <c r="D600" i="1"/>
  <c r="C684" i="1"/>
  <c r="B684" i="1" s="1"/>
  <c r="D684" i="1"/>
  <c r="C786" i="1"/>
  <c r="C833" i="1"/>
  <c r="C835" i="1"/>
  <c r="C838" i="1"/>
  <c r="C836" i="1"/>
  <c r="C837" i="1"/>
  <c r="D786" i="1"/>
  <c r="D833" i="1"/>
  <c r="D835" i="1"/>
  <c r="D838" i="1"/>
  <c r="D836" i="1"/>
  <c r="D837" i="1"/>
  <c r="E786" i="1"/>
  <c r="E833" i="1"/>
  <c r="E835" i="1"/>
  <c r="E838" i="1"/>
  <c r="E836" i="1"/>
  <c r="E837" i="1"/>
  <c r="S786" i="1"/>
  <c r="S833" i="1"/>
  <c r="S835" i="1"/>
  <c r="S838" i="1"/>
  <c r="S836" i="1"/>
  <c r="S837" i="1"/>
  <c r="C826" i="1"/>
  <c r="D826" i="1"/>
  <c r="E826" i="1"/>
  <c r="S826" i="1"/>
  <c r="C825" i="1"/>
  <c r="D825" i="1"/>
  <c r="E825" i="1"/>
  <c r="S825" i="1"/>
  <c r="C834" i="1"/>
  <c r="D834" i="1"/>
  <c r="E834" i="1"/>
  <c r="S834" i="1"/>
  <c r="C828" i="1"/>
  <c r="D828" i="1"/>
  <c r="E828" i="1"/>
  <c r="S828" i="1"/>
  <c r="C832" i="1"/>
  <c r="D832" i="1"/>
  <c r="E832" i="1"/>
  <c r="S832" i="1"/>
  <c r="C829" i="1"/>
  <c r="D829" i="1"/>
  <c r="E829" i="1"/>
  <c r="S829" i="1"/>
  <c r="B831" i="1"/>
  <c r="S831" i="1"/>
  <c r="C830" i="1"/>
  <c r="D830" i="1"/>
  <c r="E830" i="1"/>
  <c r="S830" i="1"/>
  <c r="C827" i="1"/>
  <c r="D827" i="1"/>
  <c r="E827" i="1"/>
  <c r="S827" i="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9" i="1"/>
  <c r="B510" i="1"/>
  <c r="B516" i="1"/>
  <c r="B597" i="1"/>
  <c r="B778" i="1"/>
  <c r="B809" i="1"/>
  <c r="B2" i="1"/>
  <c r="S823" i="1"/>
  <c r="C823" i="1"/>
  <c r="D823" i="1"/>
  <c r="E823" i="1"/>
  <c r="C822" i="1"/>
  <c r="D822" i="1"/>
  <c r="E822" i="1"/>
  <c r="S822" i="1"/>
  <c r="B2" i="12"/>
  <c r="D2" i="12" s="1"/>
  <c r="B3" i="12"/>
  <c r="E3" i="12" s="1"/>
  <c r="B4" i="12"/>
  <c r="D4" i="12" s="1"/>
  <c r="B5" i="12"/>
  <c r="D5" i="12" s="1"/>
  <c r="B6" i="12"/>
  <c r="D6" i="12" s="1"/>
  <c r="B7" i="12"/>
  <c r="E7" i="12" s="1"/>
  <c r="B8" i="12"/>
  <c r="E8" i="12" s="1"/>
  <c r="B9" i="12"/>
  <c r="E9" i="12" s="1"/>
  <c r="B10" i="12"/>
  <c r="D10" i="12" s="1"/>
  <c r="B11" i="12"/>
  <c r="E11" i="12" s="1"/>
  <c r="B12" i="12"/>
  <c r="E12" i="12" s="1"/>
  <c r="B13" i="12"/>
  <c r="E13" i="12" s="1"/>
  <c r="B14" i="12"/>
  <c r="D14" i="12" s="1"/>
  <c r="C7" i="12"/>
  <c r="C8" i="12"/>
  <c r="C9" i="12"/>
  <c r="C10" i="12"/>
  <c r="C11" i="12"/>
  <c r="C12" i="12"/>
  <c r="C13" i="12"/>
  <c r="C14" i="12"/>
  <c r="C4" i="12"/>
  <c r="C5" i="12"/>
  <c r="C6" i="12"/>
  <c r="C824" i="1"/>
  <c r="D824" i="1"/>
  <c r="E824" i="1"/>
  <c r="S824" i="1"/>
  <c r="C2" i="12"/>
  <c r="C3" i="12"/>
  <c r="C698" i="1"/>
  <c r="D698" i="1"/>
  <c r="E698" i="1"/>
  <c r="S698" i="1"/>
  <c r="D9" i="12"/>
  <c r="E10" i="12"/>
  <c r="D3" i="12"/>
  <c r="C796" i="1"/>
  <c r="D796" i="1"/>
  <c r="E796" i="1"/>
  <c r="S796" i="1"/>
  <c r="C821" i="1"/>
  <c r="D821" i="1"/>
  <c r="E821" i="1"/>
  <c r="S821" i="1"/>
  <c r="C810" i="1"/>
  <c r="D810" i="1"/>
  <c r="E810" i="1"/>
  <c r="S810" i="1"/>
  <c r="S809" i="1"/>
  <c r="C818" i="1"/>
  <c r="D818" i="1"/>
  <c r="E818" i="1"/>
  <c r="S818" i="1"/>
  <c r="C819" i="1"/>
  <c r="D819" i="1"/>
  <c r="E819" i="1"/>
  <c r="S819" i="1"/>
  <c r="C820" i="1"/>
  <c r="D820" i="1"/>
  <c r="E820" i="1"/>
  <c r="S820" i="1"/>
  <c r="C815" i="1"/>
  <c r="D815" i="1"/>
  <c r="E815" i="1"/>
  <c r="S815" i="1"/>
  <c r="C816" i="1"/>
  <c r="D816" i="1"/>
  <c r="E816" i="1"/>
  <c r="S816" i="1"/>
  <c r="C817" i="1"/>
  <c r="D817" i="1"/>
  <c r="E817" i="1"/>
  <c r="S817" i="1"/>
  <c r="C746" i="1"/>
  <c r="D746" i="1"/>
  <c r="E746" i="1"/>
  <c r="S746" i="1"/>
  <c r="C797" i="1"/>
  <c r="D797" i="1"/>
  <c r="E797" i="1"/>
  <c r="S797" i="1"/>
  <c r="C813" i="1"/>
  <c r="D813" i="1"/>
  <c r="E813" i="1"/>
  <c r="S813" i="1"/>
  <c r="C814" i="1"/>
  <c r="D814" i="1"/>
  <c r="E814" i="1"/>
  <c r="S814" i="1"/>
  <c r="C799" i="1"/>
  <c r="D799" i="1"/>
  <c r="E799" i="1"/>
  <c r="S799" i="1"/>
  <c r="C804" i="1"/>
  <c r="D804" i="1"/>
  <c r="E804" i="1"/>
  <c r="S804" i="1"/>
  <c r="C507" i="1"/>
  <c r="C811" i="1"/>
  <c r="D811" i="1"/>
  <c r="E811" i="1"/>
  <c r="C808" i="1"/>
  <c r="D808" i="1"/>
  <c r="E808" i="1"/>
  <c r="S808" i="1"/>
  <c r="C807" i="1"/>
  <c r="D807" i="1"/>
  <c r="E807" i="1"/>
  <c r="S807" i="1"/>
  <c r="C795" i="1"/>
  <c r="D795" i="1"/>
  <c r="E795" i="1"/>
  <c r="S795" i="1"/>
  <c r="C802" i="1"/>
  <c r="D802" i="1"/>
  <c r="E802" i="1"/>
  <c r="S802" i="1"/>
  <c r="C801" i="1"/>
  <c r="D801" i="1"/>
  <c r="E801" i="1"/>
  <c r="S801" i="1"/>
  <c r="C805" i="1"/>
  <c r="D805" i="1"/>
  <c r="E805" i="1"/>
  <c r="S805" i="1"/>
  <c r="C789" i="1"/>
  <c r="D789" i="1"/>
  <c r="E789" i="1"/>
  <c r="S789" i="1"/>
  <c r="C803" i="1"/>
  <c r="D803" i="1"/>
  <c r="E803" i="1"/>
  <c r="S803" i="1"/>
  <c r="C798" i="1"/>
  <c r="D798" i="1"/>
  <c r="E798" i="1"/>
  <c r="S798" i="1"/>
  <c r="C800" i="1"/>
  <c r="D800" i="1"/>
  <c r="E800" i="1"/>
  <c r="S800" i="1"/>
  <c r="C794" i="1"/>
  <c r="D794" i="1"/>
  <c r="E794" i="1"/>
  <c r="S794" i="1"/>
  <c r="C764" i="1"/>
  <c r="D764" i="1"/>
  <c r="E764" i="1"/>
  <c r="S764" i="1"/>
  <c r="C792" i="1"/>
  <c r="D792" i="1"/>
  <c r="E792" i="1"/>
  <c r="S792" i="1"/>
  <c r="C793" i="1"/>
  <c r="D793" i="1"/>
  <c r="E793" i="1"/>
  <c r="S793" i="1"/>
  <c r="C791" i="1"/>
  <c r="D791" i="1"/>
  <c r="E791" i="1"/>
  <c r="S791" i="1"/>
  <c r="C790" i="1"/>
  <c r="D790" i="1"/>
  <c r="E790" i="1"/>
  <c r="S790" i="1"/>
  <c r="C787" i="1"/>
  <c r="D787" i="1"/>
  <c r="E787" i="1"/>
  <c r="S787" i="1"/>
  <c r="C788" i="1"/>
  <c r="D788" i="1"/>
  <c r="E788" i="1"/>
  <c r="S788" i="1"/>
  <c r="C785" i="1"/>
  <c r="D785" i="1"/>
  <c r="E785" i="1"/>
  <c r="S785" i="1"/>
  <c r="C780" i="1"/>
  <c r="D780" i="1"/>
  <c r="E780" i="1"/>
  <c r="S780" i="1"/>
  <c r="C781" i="1"/>
  <c r="D781" i="1"/>
  <c r="E781" i="1"/>
  <c r="S781" i="1"/>
  <c r="C782" i="1"/>
  <c r="D782" i="1"/>
  <c r="E782" i="1"/>
  <c r="S782" i="1"/>
  <c r="C756" i="1"/>
  <c r="D756" i="1"/>
  <c r="E756" i="1"/>
  <c r="S756" i="1"/>
  <c r="C784" i="1"/>
  <c r="D784" i="1"/>
  <c r="E784" i="1"/>
  <c r="S784" i="1"/>
  <c r="C783" i="1"/>
  <c r="D783" i="1"/>
  <c r="E783" i="1"/>
  <c r="S783" i="1"/>
  <c r="C777" i="1"/>
  <c r="D777" i="1"/>
  <c r="E777" i="1"/>
  <c r="S777" i="1"/>
  <c r="S778" i="1"/>
  <c r="C776" i="1"/>
  <c r="D776" i="1"/>
  <c r="E776" i="1"/>
  <c r="S776" i="1"/>
  <c r="C779" i="1"/>
  <c r="D779" i="1"/>
  <c r="S779" i="1"/>
  <c r="C767" i="1"/>
  <c r="D767" i="1"/>
  <c r="E767" i="1"/>
  <c r="S767" i="1"/>
  <c r="C763" i="1"/>
  <c r="D763" i="1"/>
  <c r="E763" i="1"/>
  <c r="S763" i="1"/>
  <c r="C775" i="1"/>
  <c r="D775" i="1"/>
  <c r="E775" i="1"/>
  <c r="S775" i="1"/>
  <c r="C754" i="1"/>
  <c r="D754" i="1"/>
  <c r="E754" i="1"/>
  <c r="S754" i="1"/>
  <c r="C771" i="1"/>
  <c r="D771" i="1"/>
  <c r="E771" i="1"/>
  <c r="S771" i="1"/>
  <c r="C762" i="1"/>
  <c r="D762" i="1"/>
  <c r="E762" i="1"/>
  <c r="S762" i="1"/>
  <c r="C749" i="1"/>
  <c r="D749" i="1"/>
  <c r="S749" i="1"/>
  <c r="C772" i="1"/>
  <c r="D772" i="1"/>
  <c r="E772" i="1"/>
  <c r="S772" i="1"/>
  <c r="C773" i="1"/>
  <c r="D773" i="1"/>
  <c r="E773" i="1"/>
  <c r="S773" i="1"/>
  <c r="C774" i="1"/>
  <c r="D774" i="1"/>
  <c r="E774" i="1"/>
  <c r="S774" i="1"/>
  <c r="C770" i="1"/>
  <c r="D770" i="1"/>
  <c r="E770" i="1"/>
  <c r="S770" i="1"/>
  <c r="C768" i="1"/>
  <c r="D768" i="1"/>
  <c r="E768" i="1"/>
  <c r="S768" i="1"/>
  <c r="C765" i="1"/>
  <c r="D765" i="1"/>
  <c r="E765" i="1"/>
  <c r="S765" i="1"/>
  <c r="C766" i="1"/>
  <c r="D766" i="1"/>
  <c r="E766" i="1"/>
  <c r="S766" i="1"/>
  <c r="C769" i="1"/>
  <c r="D769" i="1"/>
  <c r="E769" i="1"/>
  <c r="S769" i="1"/>
  <c r="C759" i="1"/>
  <c r="D759" i="1"/>
  <c r="E759" i="1"/>
  <c r="S759" i="1"/>
  <c r="C761" i="1"/>
  <c r="D761" i="1"/>
  <c r="E761" i="1"/>
  <c r="S761" i="1"/>
  <c r="C758" i="1"/>
  <c r="D758" i="1"/>
  <c r="E758" i="1"/>
  <c r="S758" i="1"/>
  <c r="C739" i="1"/>
  <c r="D739" i="1"/>
  <c r="E739" i="1"/>
  <c r="S739" i="1"/>
  <c r="C751" i="1"/>
  <c r="D751" i="1"/>
  <c r="E751" i="1"/>
  <c r="S751" i="1"/>
  <c r="C760" i="1"/>
  <c r="D760" i="1"/>
  <c r="E760" i="1"/>
  <c r="S760" i="1"/>
  <c r="C747" i="1"/>
  <c r="D747" i="1"/>
  <c r="E747" i="1"/>
  <c r="S747" i="1"/>
  <c r="C757" i="1"/>
  <c r="D757" i="1"/>
  <c r="E757" i="1"/>
  <c r="S757" i="1"/>
  <c r="C752" i="1"/>
  <c r="D752" i="1"/>
  <c r="E752" i="1"/>
  <c r="S752" i="1"/>
  <c r="C748" i="1"/>
  <c r="D748" i="1"/>
  <c r="E748" i="1"/>
  <c r="S748" i="1"/>
  <c r="C750" i="1"/>
  <c r="D750" i="1"/>
  <c r="E750" i="1"/>
  <c r="S750" i="1"/>
  <c r="C753" i="1"/>
  <c r="D753" i="1"/>
  <c r="E753" i="1"/>
  <c r="S753" i="1"/>
  <c r="C755" i="1"/>
  <c r="D755" i="1"/>
  <c r="E755" i="1"/>
  <c r="S755" i="1"/>
  <c r="C735" i="1"/>
  <c r="D735" i="1"/>
  <c r="E735" i="1"/>
  <c r="S735" i="1"/>
  <c r="C682" i="1"/>
  <c r="D682" i="1"/>
  <c r="E682" i="1"/>
  <c r="S682" i="1"/>
  <c r="C742" i="1"/>
  <c r="D742" i="1"/>
  <c r="E742" i="1"/>
  <c r="S742" i="1"/>
  <c r="C745" i="1"/>
  <c r="D745" i="1"/>
  <c r="E745" i="1"/>
  <c r="S745" i="1"/>
  <c r="C719" i="1"/>
  <c r="D719" i="1"/>
  <c r="E719" i="1"/>
  <c r="S719" i="1"/>
  <c r="C744" i="1"/>
  <c r="D744" i="1"/>
  <c r="E744" i="1"/>
  <c r="S744" i="1"/>
  <c r="C743" i="1"/>
  <c r="D743" i="1"/>
  <c r="E743" i="1"/>
  <c r="S743" i="1"/>
  <c r="C733" i="1"/>
  <c r="D733" i="1"/>
  <c r="E733" i="1"/>
  <c r="S733" i="1"/>
  <c r="C741" i="1"/>
  <c r="D741" i="1"/>
  <c r="E741" i="1"/>
  <c r="S741" i="1"/>
  <c r="C740" i="1"/>
  <c r="D740" i="1"/>
  <c r="E740" i="1"/>
  <c r="S740" i="1"/>
  <c r="C525" i="1"/>
  <c r="D525" i="1"/>
  <c r="E525" i="1"/>
  <c r="S525" i="1"/>
  <c r="C736" i="1"/>
  <c r="D736" i="1"/>
  <c r="E736" i="1"/>
  <c r="S736" i="1"/>
  <c r="C737" i="1"/>
  <c r="D737" i="1"/>
  <c r="E737" i="1"/>
  <c r="S737" i="1"/>
  <c r="C738" i="1"/>
  <c r="D738" i="1"/>
  <c r="E738" i="1"/>
  <c r="S738" i="1"/>
  <c r="C723" i="1"/>
  <c r="D723" i="1"/>
  <c r="E723" i="1"/>
  <c r="S723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3" i="1"/>
  <c r="D493" i="1"/>
  <c r="E493" i="1"/>
  <c r="S493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2" i="1"/>
  <c r="D482" i="1"/>
  <c r="E482" i="1"/>
  <c r="S482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E477" i="1"/>
  <c r="S477" i="1"/>
  <c r="C388" i="1"/>
  <c r="D388" i="1"/>
  <c r="E388" i="1"/>
  <c r="S388" i="1"/>
  <c r="C512" i="1"/>
  <c r="D512" i="1"/>
  <c r="E512" i="1"/>
  <c r="S512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5" i="1"/>
  <c r="D495" i="1"/>
  <c r="E495" i="1"/>
  <c r="S495" i="1"/>
  <c r="C124" i="1"/>
  <c r="D124" i="1"/>
  <c r="E124" i="1"/>
  <c r="S124" i="1"/>
  <c r="S243" i="1"/>
  <c r="C713" i="1"/>
  <c r="D713" i="1"/>
  <c r="E713" i="1"/>
  <c r="S713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10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726" i="1"/>
  <c r="D726" i="1"/>
  <c r="E726" i="1"/>
  <c r="S726" i="1"/>
  <c r="C734" i="1"/>
  <c r="D734" i="1"/>
  <c r="E734" i="1"/>
  <c r="S734" i="1"/>
  <c r="C731" i="1"/>
  <c r="D731" i="1"/>
  <c r="E731" i="1"/>
  <c r="S731" i="1"/>
  <c r="C502" i="1"/>
  <c r="D502" i="1"/>
  <c r="E502" i="1"/>
  <c r="S502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1" i="1"/>
  <c r="D501" i="1"/>
  <c r="E501" i="1"/>
  <c r="S501" i="1"/>
  <c r="C506" i="1"/>
  <c r="D506" i="1"/>
  <c r="E506" i="1"/>
  <c r="S506" i="1"/>
  <c r="C486" i="1"/>
  <c r="D486" i="1"/>
  <c r="E486" i="1"/>
  <c r="S486" i="1"/>
  <c r="C416" i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1" i="1"/>
  <c r="D491" i="1"/>
  <c r="E491" i="1"/>
  <c r="S491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1" i="1"/>
  <c r="D481" i="1"/>
  <c r="E481" i="1"/>
  <c r="S481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E66" i="1"/>
  <c r="S66" i="1"/>
  <c r="S148" i="1"/>
  <c r="S15" i="1"/>
  <c r="C514" i="1"/>
  <c r="D514" i="1"/>
  <c r="E514" i="1"/>
  <c r="S514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5" i="1"/>
  <c r="D505" i="1"/>
  <c r="E505" i="1"/>
  <c r="S505" i="1"/>
  <c r="S219" i="1"/>
  <c r="C485" i="1"/>
  <c r="D485" i="1"/>
  <c r="E485" i="1"/>
  <c r="S485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4" i="1"/>
  <c r="D504" i="1"/>
  <c r="E504" i="1"/>
  <c r="S504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29" i="1"/>
  <c r="D729" i="1"/>
  <c r="E729" i="1"/>
  <c r="S729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9" i="1"/>
  <c r="C499" i="1"/>
  <c r="D499" i="1"/>
  <c r="E499" i="1"/>
  <c r="S499" i="1"/>
  <c r="C245" i="1"/>
  <c r="D245" i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8" i="1"/>
  <c r="D498" i="1"/>
  <c r="E498" i="1"/>
  <c r="S498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7" i="1"/>
  <c r="D497" i="1"/>
  <c r="E497" i="1"/>
  <c r="S497" i="1"/>
  <c r="C372" i="1"/>
  <c r="D372" i="1"/>
  <c r="E372" i="1"/>
  <c r="S372" i="1"/>
  <c r="C490" i="1"/>
  <c r="D490" i="1"/>
  <c r="E490" i="1"/>
  <c r="S490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7" i="1"/>
  <c r="E507" i="1"/>
  <c r="S507" i="1"/>
  <c r="C265" i="1"/>
  <c r="D265" i="1"/>
  <c r="E265" i="1"/>
  <c r="S265" i="1"/>
  <c r="C41" i="1"/>
  <c r="D41" i="1"/>
  <c r="E41" i="1"/>
  <c r="S41" i="1"/>
  <c r="C244" i="1"/>
  <c r="D244" i="1"/>
  <c r="E244" i="1"/>
  <c r="S244" i="1"/>
  <c r="C732" i="1"/>
  <c r="D732" i="1"/>
  <c r="E732" i="1"/>
  <c r="S73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3" i="1"/>
  <c r="D503" i="1"/>
  <c r="E503" i="1"/>
  <c r="S503" i="1"/>
  <c r="C365" i="1"/>
  <c r="D365" i="1"/>
  <c r="E365" i="1"/>
  <c r="S365" i="1"/>
  <c r="C359" i="1"/>
  <c r="D359" i="1"/>
  <c r="E359" i="1"/>
  <c r="S359" i="1"/>
  <c r="C489" i="1"/>
  <c r="D489" i="1"/>
  <c r="E489" i="1"/>
  <c r="S489" i="1"/>
  <c r="C239" i="1"/>
  <c r="D239" i="1"/>
  <c r="E239" i="1"/>
  <c r="S239" i="1"/>
  <c r="S269" i="1"/>
  <c r="C487" i="1"/>
  <c r="D487" i="1"/>
  <c r="E487" i="1"/>
  <c r="S487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4" i="1"/>
  <c r="D484" i="1"/>
  <c r="E484" i="1"/>
  <c r="S484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8" i="1"/>
  <c r="D488" i="1"/>
  <c r="E488" i="1"/>
  <c r="S488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2" i="1"/>
  <c r="D492" i="1"/>
  <c r="E492" i="1"/>
  <c r="S492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4" i="1"/>
  <c r="D494" i="1"/>
  <c r="E494" i="1"/>
  <c r="S494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8" i="1"/>
  <c r="D508" i="1"/>
  <c r="E508" i="1"/>
  <c r="S508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6" i="1"/>
  <c r="D496" i="1"/>
  <c r="E496" i="1"/>
  <c r="S496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500" i="1"/>
  <c r="D500" i="1"/>
  <c r="E500" i="1"/>
  <c r="S500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1" i="1"/>
  <c r="D511" i="1"/>
  <c r="E511" i="1"/>
  <c r="S511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28" i="1"/>
  <c r="D728" i="1"/>
  <c r="E728" i="1"/>
  <c r="S728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3" i="1"/>
  <c r="D513" i="1"/>
  <c r="E513" i="1"/>
  <c r="S513" i="1"/>
  <c r="C392" i="1"/>
  <c r="D392" i="1"/>
  <c r="E392" i="1"/>
  <c r="S392" i="1"/>
  <c r="C483" i="1"/>
  <c r="D483" i="1"/>
  <c r="E483" i="1"/>
  <c r="S483" i="1"/>
  <c r="C338" i="1"/>
  <c r="D338" i="1"/>
  <c r="E338" i="1"/>
  <c r="S338" i="1"/>
  <c r="C63" i="1"/>
  <c r="D63" i="1"/>
  <c r="E63" i="1"/>
  <c r="S63" i="1"/>
  <c r="C730" i="1"/>
  <c r="D730" i="1"/>
  <c r="E730" i="1"/>
  <c r="S730" i="1"/>
  <c r="C727" i="1"/>
  <c r="D727" i="1"/>
  <c r="E727" i="1"/>
  <c r="S727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25" i="1"/>
  <c r="D725" i="1"/>
  <c r="E725" i="1"/>
  <c r="S725" i="1"/>
  <c r="C720" i="1"/>
  <c r="D720" i="1"/>
  <c r="E720" i="1"/>
  <c r="S720" i="1"/>
  <c r="S664" i="1"/>
  <c r="S538" i="1"/>
  <c r="S706" i="1"/>
  <c r="S526" i="1"/>
  <c r="S608" i="1"/>
  <c r="S675" i="1"/>
  <c r="S656" i="1"/>
  <c r="S562" i="1"/>
  <c r="S678" i="1"/>
  <c r="S583" i="1"/>
  <c r="S520" i="1"/>
  <c r="S560" i="1"/>
  <c r="S577" i="1"/>
  <c r="S603" i="1"/>
  <c r="S544" i="1"/>
  <c r="S640" i="1"/>
  <c r="S593" i="1"/>
  <c r="S612" i="1"/>
  <c r="S604" i="1"/>
  <c r="S568" i="1"/>
  <c r="S541" i="1"/>
  <c r="S533" i="1"/>
  <c r="S619" i="1"/>
  <c r="S536" i="1"/>
  <c r="S515" i="1"/>
  <c r="S652" i="1"/>
  <c r="S658" i="1"/>
  <c r="S702" i="1"/>
  <c r="S690" i="1"/>
  <c r="S542" i="1"/>
  <c r="S530" i="1"/>
  <c r="S633" i="1"/>
  <c r="S646" i="1"/>
  <c r="S582" i="1"/>
  <c r="S645" i="1"/>
  <c r="S546" i="1"/>
  <c r="S609" i="1"/>
  <c r="S537" i="1"/>
  <c r="S521" i="1"/>
  <c r="S673" i="1"/>
  <c r="S686" i="1"/>
  <c r="S581" i="1"/>
  <c r="S566" i="1"/>
  <c r="S618" i="1"/>
  <c r="S653" i="1"/>
  <c r="S540" i="1"/>
  <c r="S550" i="1"/>
  <c r="S643" i="1"/>
  <c r="S724" i="1"/>
  <c r="S654" i="1"/>
  <c r="S529" i="1"/>
  <c r="S547" i="1"/>
  <c r="S631" i="1"/>
  <c r="S626" i="1"/>
  <c r="S649" i="1"/>
  <c r="S518" i="1"/>
  <c r="S527" i="1"/>
  <c r="S594" i="1"/>
  <c r="S599" i="1"/>
  <c r="S586" i="1"/>
  <c r="S524" i="1"/>
  <c r="S519" i="1"/>
  <c r="S579" i="1"/>
  <c r="S665" i="1"/>
  <c r="S601" i="1"/>
  <c r="S666" i="1"/>
  <c r="S668" i="1"/>
  <c r="S539" i="1"/>
  <c r="S659" i="1"/>
  <c r="S671" i="1"/>
  <c r="S613" i="1"/>
  <c r="S574" i="1"/>
  <c r="S580" i="1"/>
  <c r="S543" i="1"/>
  <c r="S602" i="1"/>
  <c r="S564" i="1"/>
  <c r="S552" i="1"/>
  <c r="S565" i="1"/>
  <c r="S572" i="1"/>
  <c r="S557" i="1"/>
  <c r="S615" i="1"/>
  <c r="S558" i="1"/>
  <c r="S567" i="1"/>
  <c r="S553" i="1"/>
  <c r="S545" i="1"/>
  <c r="S531" i="1"/>
  <c r="S623" i="1"/>
  <c r="S614" i="1"/>
  <c r="S585" i="1"/>
  <c r="S607" i="1"/>
  <c r="S576" i="1"/>
  <c r="S624" i="1"/>
  <c r="S620" i="1"/>
  <c r="S676" i="1"/>
  <c r="S684" i="1"/>
  <c r="S685" i="1"/>
  <c r="S605" i="1"/>
  <c r="S648" i="1"/>
  <c r="S621" i="1"/>
  <c r="S644" i="1"/>
  <c r="S559" i="1"/>
  <c r="S616" i="1"/>
  <c r="S639" i="1"/>
  <c r="S672" i="1"/>
  <c r="S634" i="1"/>
  <c r="S629" i="1"/>
  <c r="S551" i="1"/>
  <c r="S606" i="1"/>
  <c r="S588" i="1"/>
  <c r="S555" i="1"/>
  <c r="S517" i="1"/>
  <c r="S650" i="1"/>
  <c r="S534" i="1"/>
  <c r="S522" i="1"/>
  <c r="S554" i="1"/>
  <c r="S561" i="1"/>
  <c r="S563" i="1"/>
  <c r="S589" i="1"/>
  <c r="S703" i="1"/>
  <c r="S630" i="1"/>
  <c r="S647" i="1"/>
  <c r="S655" i="1"/>
  <c r="S628" i="1"/>
  <c r="S651" i="1"/>
  <c r="S548" i="1"/>
  <c r="S660" i="1"/>
  <c r="S596" i="1"/>
  <c r="S701" i="1"/>
  <c r="S707" i="1"/>
  <c r="S663" i="1"/>
  <c r="S600" i="1"/>
  <c r="S661" i="1"/>
  <c r="S694" i="1"/>
  <c r="S679" i="1"/>
  <c r="S597" i="1"/>
  <c r="S662" i="1"/>
  <c r="S575" i="1"/>
  <c r="S523" i="1"/>
  <c r="S709" i="1"/>
  <c r="S556" i="1"/>
  <c r="S627" i="1"/>
  <c r="S667" i="1"/>
  <c r="S578" i="1"/>
  <c r="S669" i="1"/>
  <c r="S528" i="1"/>
  <c r="S692" i="1"/>
  <c r="S670" i="1"/>
  <c r="S532" i="1"/>
  <c r="S691" i="1"/>
  <c r="S617" i="1"/>
  <c r="S705" i="1"/>
  <c r="S697" i="1"/>
  <c r="S687" i="1"/>
  <c r="S598" i="1"/>
  <c r="S610" i="1"/>
  <c r="S688" i="1"/>
  <c r="S710" i="1"/>
  <c r="S573" i="1"/>
  <c r="S569" i="1"/>
  <c r="S657" i="1"/>
  <c r="S625" i="1"/>
  <c r="S674" i="1"/>
  <c r="S677" i="1"/>
  <c r="S681" i="1"/>
  <c r="S635" i="1"/>
  <c r="S590" i="1"/>
  <c r="S591" i="1"/>
  <c r="S636" i="1"/>
  <c r="S680" i="1"/>
  <c r="S535" i="1"/>
  <c r="S708" i="1"/>
  <c r="S689" i="1"/>
  <c r="S587" i="1"/>
  <c r="S570" i="1"/>
  <c r="S699" i="1"/>
  <c r="S637" i="1"/>
  <c r="S695" i="1"/>
  <c r="S611" i="1"/>
  <c r="S622" i="1"/>
  <c r="S693" i="1"/>
  <c r="S549" i="1"/>
  <c r="S641" i="1"/>
  <c r="S571" i="1"/>
  <c r="S592" i="1"/>
  <c r="S683" i="1"/>
  <c r="S595" i="1"/>
  <c r="S584" i="1"/>
  <c r="S642" i="1"/>
  <c r="S516" i="1"/>
  <c r="S696" i="1"/>
  <c r="S700" i="1"/>
  <c r="S712" i="1"/>
  <c r="S704" i="1"/>
  <c r="S714" i="1"/>
  <c r="S717" i="1"/>
  <c r="S638" i="1"/>
  <c r="S480" i="1"/>
  <c r="S632" i="1"/>
  <c r="S716" i="1"/>
  <c r="S721" i="1"/>
  <c r="S718" i="1"/>
  <c r="S722" i="1"/>
  <c r="S711" i="1"/>
  <c r="S715" i="1"/>
  <c r="C715" i="1"/>
  <c r="D715" i="1"/>
  <c r="E715" i="1"/>
  <c r="E711" i="1"/>
  <c r="D711" i="1"/>
  <c r="C711" i="1"/>
  <c r="E722" i="1"/>
  <c r="D722" i="1"/>
  <c r="C722" i="1"/>
  <c r="E718" i="1"/>
  <c r="D718" i="1"/>
  <c r="C718" i="1"/>
  <c r="C721" i="1"/>
  <c r="D721" i="1"/>
  <c r="E721" i="1"/>
  <c r="C716" i="1"/>
  <c r="D716" i="1"/>
  <c r="E716" i="1"/>
  <c r="C717" i="1"/>
  <c r="D717" i="1"/>
  <c r="E717" i="1"/>
  <c r="C714" i="1"/>
  <c r="D714" i="1"/>
  <c r="E714" i="1"/>
  <c r="C704" i="1"/>
  <c r="D704" i="1"/>
  <c r="E704" i="1"/>
  <c r="C712" i="1"/>
  <c r="D712" i="1"/>
  <c r="E712" i="1"/>
  <c r="C700" i="1"/>
  <c r="D700" i="1"/>
  <c r="E700" i="1"/>
  <c r="C696" i="1"/>
  <c r="D696" i="1"/>
  <c r="E696" i="1"/>
  <c r="C709" i="1"/>
  <c r="D709" i="1"/>
  <c r="E709" i="1"/>
  <c r="C697" i="1"/>
  <c r="D697" i="1"/>
  <c r="E697" i="1"/>
  <c r="C705" i="1"/>
  <c r="D705" i="1"/>
  <c r="E705" i="1"/>
  <c r="C703" i="1"/>
  <c r="D703" i="1"/>
  <c r="E703" i="1"/>
  <c r="E699" i="1"/>
  <c r="D699" i="1"/>
  <c r="C699" i="1"/>
  <c r="E695" i="1"/>
  <c r="D695" i="1"/>
  <c r="C695" i="1"/>
  <c r="E693" i="1"/>
  <c r="D693" i="1"/>
  <c r="C693" i="1"/>
  <c r="C689" i="1"/>
  <c r="D689" i="1"/>
  <c r="E689" i="1"/>
  <c r="C691" i="1"/>
  <c r="D691" i="1"/>
  <c r="E691" i="1"/>
  <c r="C676" i="1"/>
  <c r="D676" i="1"/>
  <c r="E676" i="1"/>
  <c r="C685" i="1"/>
  <c r="D685" i="1"/>
  <c r="E685" i="1"/>
  <c r="C679" i="1"/>
  <c r="D679" i="1"/>
  <c r="E679" i="1"/>
  <c r="E667" i="1"/>
  <c r="D667" i="1"/>
  <c r="C667" i="1"/>
  <c r="C663" i="1"/>
  <c r="D663" i="1"/>
  <c r="E663" i="1"/>
  <c r="C480" i="1"/>
  <c r="D480" i="1"/>
  <c r="E480" i="1"/>
  <c r="E661" i="1"/>
  <c r="D661" i="1"/>
  <c r="C661" i="1"/>
  <c r="C657" i="1"/>
  <c r="D657" i="1"/>
  <c r="E657" i="1"/>
  <c r="C659" i="1"/>
  <c r="D659" i="1"/>
  <c r="E659" i="1"/>
  <c r="E655" i="1"/>
  <c r="D655" i="1"/>
  <c r="C655" i="1"/>
  <c r="C635" i="1"/>
  <c r="D635" i="1"/>
  <c r="E635" i="1"/>
  <c r="C638" i="1"/>
  <c r="D638" i="1"/>
  <c r="E638" i="1"/>
  <c r="C637" i="1"/>
  <c r="D637" i="1"/>
  <c r="E637" i="1"/>
  <c r="C623" i="1"/>
  <c r="D623" i="1"/>
  <c r="E623" i="1"/>
  <c r="C557" i="1"/>
  <c r="D557" i="1"/>
  <c r="E557" i="1"/>
  <c r="C607" i="1"/>
  <c r="D607" i="1"/>
  <c r="E607" i="1"/>
  <c r="C632" i="1"/>
  <c r="D632" i="1"/>
  <c r="E632" i="1"/>
  <c r="C628" i="1"/>
  <c r="D628" i="1"/>
  <c r="E628" i="1"/>
  <c r="C614" i="1"/>
  <c r="D614" i="1"/>
  <c r="E614" i="1"/>
  <c r="C622" i="1"/>
  <c r="D622" i="1"/>
  <c r="E622" i="1"/>
  <c r="C627" i="1"/>
  <c r="D627" i="1"/>
  <c r="E627" i="1"/>
  <c r="C589" i="1"/>
  <c r="D589" i="1"/>
  <c r="E589" i="1"/>
  <c r="C598" i="1"/>
  <c r="D598" i="1"/>
  <c r="E598" i="1"/>
  <c r="C578" i="1"/>
  <c r="D578" i="1"/>
  <c r="E578" i="1"/>
  <c r="C571" i="1"/>
  <c r="D571" i="1"/>
  <c r="E571" i="1"/>
  <c r="C570" i="1"/>
  <c r="D570" i="1"/>
  <c r="E570" i="1"/>
  <c r="C563" i="1"/>
  <c r="D563" i="1"/>
  <c r="E563" i="1"/>
  <c r="C561" i="1"/>
  <c r="D561" i="1"/>
  <c r="E561" i="1"/>
  <c r="C558" i="1"/>
  <c r="D558" i="1"/>
  <c r="E558" i="1"/>
  <c r="C556" i="1"/>
  <c r="D556" i="1"/>
  <c r="E556" i="1"/>
  <c r="C548" i="1"/>
  <c r="D548" i="1"/>
  <c r="E548" i="1"/>
  <c r="C554" i="1"/>
  <c r="D554" i="1"/>
  <c r="E554" i="1"/>
  <c r="C549" i="1"/>
  <c r="D549" i="1"/>
  <c r="E549" i="1"/>
  <c r="C534" i="1"/>
  <c r="D534" i="1"/>
  <c r="E534" i="1"/>
  <c r="E538" i="1"/>
  <c r="E608" i="1"/>
  <c r="E595" i="1"/>
  <c r="E587" i="1"/>
  <c r="E526" i="1"/>
  <c r="E523" i="1"/>
  <c r="E706" i="1"/>
  <c r="E539" i="1"/>
  <c r="E625" i="1"/>
  <c r="E562" i="1"/>
  <c r="E590" i="1"/>
  <c r="E591" i="1"/>
  <c r="E678" i="1"/>
  <c r="E656" i="1"/>
  <c r="E573" i="1"/>
  <c r="E675" i="1"/>
  <c r="E520" i="1"/>
  <c r="E583" i="1"/>
  <c r="E560" i="1"/>
  <c r="E603" i="1"/>
  <c r="E544" i="1"/>
  <c r="E577" i="1"/>
  <c r="E521" i="1"/>
  <c r="E612" i="1"/>
  <c r="E568" i="1"/>
  <c r="E593" i="1"/>
  <c r="E604" i="1"/>
  <c r="E640" i="1"/>
  <c r="E533" i="1"/>
  <c r="E645" i="1"/>
  <c r="E529" i="1"/>
  <c r="E633" i="1"/>
  <c r="E658" i="1"/>
  <c r="E537" i="1"/>
  <c r="E724" i="1"/>
  <c r="E646" i="1"/>
  <c r="E542" i="1"/>
  <c r="E569" i="1"/>
  <c r="E530" i="1"/>
  <c r="E702" i="1"/>
  <c r="E609" i="1"/>
  <c r="E619" i="1"/>
  <c r="E515" i="1"/>
  <c r="E681" i="1"/>
  <c r="E546" i="1"/>
  <c r="E536" i="1"/>
  <c r="E652" i="1"/>
  <c r="E582" i="1"/>
  <c r="E690" i="1"/>
  <c r="E541" i="1"/>
  <c r="E686" i="1"/>
  <c r="E528" i="1"/>
  <c r="E626" i="1"/>
  <c r="E666" i="1"/>
  <c r="E631" i="1"/>
  <c r="E581" i="1"/>
  <c r="E653" i="1"/>
  <c r="E517" i="1"/>
  <c r="E553" i="1"/>
  <c r="E524" i="1"/>
  <c r="E618" i="1"/>
  <c r="E527" i="1"/>
  <c r="E586" i="1"/>
  <c r="E613" i="1"/>
  <c r="E579" i="1"/>
  <c r="E566" i="1"/>
  <c r="E518" i="1"/>
  <c r="E599" i="1"/>
  <c r="E610" i="1"/>
  <c r="E519" i="1"/>
  <c r="E540" i="1"/>
  <c r="E668" i="1"/>
  <c r="E654" i="1"/>
  <c r="E547" i="1"/>
  <c r="E671" i="1"/>
  <c r="E550" i="1"/>
  <c r="E643" i="1"/>
  <c r="E649" i="1"/>
  <c r="E601" i="1"/>
  <c r="E636" i="1"/>
  <c r="E680" i="1"/>
  <c r="E596" i="1"/>
  <c r="E621" i="1"/>
  <c r="E701" i="1"/>
  <c r="E707" i="1"/>
  <c r="E647" i="1"/>
  <c r="E665" i="1"/>
  <c r="E674" i="1"/>
  <c r="E617" i="1"/>
  <c r="E532" i="1"/>
  <c r="E662" i="1"/>
  <c r="E605" i="1"/>
  <c r="E694" i="1"/>
  <c r="E642" i="1"/>
  <c r="E580" i="1"/>
  <c r="E567" i="1"/>
  <c r="E611" i="1"/>
  <c r="E641" i="1"/>
  <c r="E559" i="1"/>
  <c r="E551" i="1"/>
  <c r="E588" i="1"/>
  <c r="E602" i="1"/>
  <c r="E672" i="1"/>
  <c r="E644" i="1"/>
  <c r="E572" i="1"/>
  <c r="E574" i="1"/>
  <c r="E692" i="1"/>
  <c r="E575" i="1"/>
  <c r="E552" i="1"/>
  <c r="E630" i="1"/>
  <c r="E615" i="1"/>
  <c r="E687" i="1"/>
  <c r="E660" i="1"/>
  <c r="E592" i="1"/>
  <c r="E688" i="1"/>
  <c r="E710" i="1"/>
  <c r="E616" i="1"/>
  <c r="E624" i="1"/>
  <c r="E670" i="1"/>
  <c r="E564" i="1"/>
  <c r="E545" i="1"/>
  <c r="E584" i="1"/>
  <c r="E651" i="1"/>
  <c r="E576" i="1"/>
  <c r="E708" i="1"/>
  <c r="E639" i="1"/>
  <c r="E606" i="1"/>
  <c r="E543" i="1"/>
  <c r="E585" i="1"/>
  <c r="E677" i="1"/>
  <c r="E634" i="1"/>
  <c r="E629" i="1"/>
  <c r="E555" i="1"/>
  <c r="E620" i="1"/>
  <c r="E522" i="1"/>
  <c r="E683" i="1"/>
  <c r="E531" i="1"/>
  <c r="E669" i="1"/>
  <c r="E648" i="1"/>
  <c r="E664" i="1"/>
  <c r="C528" i="1"/>
  <c r="D528" i="1"/>
  <c r="C517" i="1"/>
  <c r="D517" i="1"/>
  <c r="C523" i="1"/>
  <c r="D523" i="1"/>
  <c r="C625" i="1"/>
  <c r="D625" i="1"/>
  <c r="C539" i="1"/>
  <c r="D539" i="1"/>
  <c r="C611" i="1"/>
  <c r="D611" i="1"/>
  <c r="C610" i="1"/>
  <c r="D610" i="1"/>
  <c r="C587" i="1"/>
  <c r="D587" i="1"/>
  <c r="C591" i="1"/>
  <c r="D591" i="1"/>
  <c r="C590" i="1"/>
  <c r="D590" i="1"/>
  <c r="C595" i="1"/>
  <c r="D595" i="1"/>
  <c r="C584" i="1"/>
  <c r="D584" i="1"/>
  <c r="C592" i="1"/>
  <c r="D592" i="1"/>
  <c r="C569" i="1"/>
  <c r="D569" i="1"/>
  <c r="C573" i="1"/>
  <c r="D573" i="1"/>
  <c r="D538" i="1"/>
  <c r="D526" i="1"/>
  <c r="D664" i="1"/>
  <c r="D636" i="1"/>
  <c r="D706" i="1"/>
  <c r="D562" i="1"/>
  <c r="D678" i="1"/>
  <c r="D656" i="1"/>
  <c r="D675" i="1"/>
  <c r="D520" i="1"/>
  <c r="D583" i="1"/>
  <c r="D560" i="1"/>
  <c r="D603" i="1"/>
  <c r="D544" i="1"/>
  <c r="D577" i="1"/>
  <c r="D521" i="1"/>
  <c r="D612" i="1"/>
  <c r="D568" i="1"/>
  <c r="D593" i="1"/>
  <c r="D604" i="1"/>
  <c r="D640" i="1"/>
  <c r="D673" i="1"/>
  <c r="D533" i="1"/>
  <c r="D645" i="1"/>
  <c r="D529" i="1"/>
  <c r="D633" i="1"/>
  <c r="D658" i="1"/>
  <c r="D537" i="1"/>
  <c r="D724" i="1"/>
  <c r="D646" i="1"/>
  <c r="D542" i="1"/>
  <c r="D530" i="1"/>
  <c r="D702" i="1"/>
  <c r="D609" i="1"/>
  <c r="D619" i="1"/>
  <c r="D515" i="1"/>
  <c r="D681" i="1"/>
  <c r="D546" i="1"/>
  <c r="D536" i="1"/>
  <c r="D652" i="1"/>
  <c r="D582" i="1"/>
  <c r="D690" i="1"/>
  <c r="D541" i="1"/>
  <c r="D686" i="1"/>
  <c r="D626" i="1"/>
  <c r="D666" i="1"/>
  <c r="D631" i="1"/>
  <c r="D581" i="1"/>
  <c r="D653" i="1"/>
  <c r="D553" i="1"/>
  <c r="D524" i="1"/>
  <c r="D618" i="1"/>
  <c r="D527" i="1"/>
  <c r="D586" i="1"/>
  <c r="D613" i="1"/>
  <c r="D579" i="1"/>
  <c r="D566" i="1"/>
  <c r="D518" i="1"/>
  <c r="D599" i="1"/>
  <c r="D519" i="1"/>
  <c r="D540" i="1"/>
  <c r="D668" i="1"/>
  <c r="D654" i="1"/>
  <c r="D547" i="1"/>
  <c r="D594" i="1"/>
  <c r="D671" i="1"/>
  <c r="D550" i="1"/>
  <c r="D643" i="1"/>
  <c r="D649" i="1"/>
  <c r="D601" i="1"/>
  <c r="D680" i="1"/>
  <c r="D596" i="1"/>
  <c r="D621" i="1"/>
  <c r="D701" i="1"/>
  <c r="D707" i="1"/>
  <c r="D647" i="1"/>
  <c r="D665" i="1"/>
  <c r="D674" i="1"/>
  <c r="D617" i="1"/>
  <c r="D532" i="1"/>
  <c r="D662" i="1"/>
  <c r="D605" i="1"/>
  <c r="D694" i="1"/>
  <c r="D642" i="1"/>
  <c r="D580" i="1"/>
  <c r="D567" i="1"/>
  <c r="D641" i="1"/>
  <c r="D559" i="1"/>
  <c r="D551" i="1"/>
  <c r="D588" i="1"/>
  <c r="D602" i="1"/>
  <c r="D672" i="1"/>
  <c r="D644" i="1"/>
  <c r="D572" i="1"/>
  <c r="D574" i="1"/>
  <c r="D692" i="1"/>
  <c r="D575" i="1"/>
  <c r="D552" i="1"/>
  <c r="D630" i="1"/>
  <c r="D615" i="1"/>
  <c r="D687" i="1"/>
  <c r="D660" i="1"/>
  <c r="D688" i="1"/>
  <c r="D710" i="1"/>
  <c r="D616" i="1"/>
  <c r="D650" i="1"/>
  <c r="D624" i="1"/>
  <c r="D670" i="1"/>
  <c r="D564" i="1"/>
  <c r="D545" i="1"/>
  <c r="D651" i="1"/>
  <c r="D576" i="1"/>
  <c r="D708" i="1"/>
  <c r="D639" i="1"/>
  <c r="D606" i="1"/>
  <c r="D543" i="1"/>
  <c r="D585" i="1"/>
  <c r="D677" i="1"/>
  <c r="D634" i="1"/>
  <c r="D629" i="1"/>
  <c r="D555" i="1"/>
  <c r="D620" i="1"/>
  <c r="D522" i="1"/>
  <c r="D683" i="1"/>
  <c r="D531" i="1"/>
  <c r="D669" i="1"/>
  <c r="D648" i="1"/>
  <c r="C538" i="1"/>
  <c r="C526" i="1"/>
  <c r="C664" i="1"/>
  <c r="C636" i="1"/>
  <c r="C706" i="1"/>
  <c r="C562" i="1"/>
  <c r="C678" i="1"/>
  <c r="C656" i="1"/>
  <c r="C675" i="1"/>
  <c r="C520" i="1"/>
  <c r="C583" i="1"/>
  <c r="C560" i="1"/>
  <c r="C603" i="1"/>
  <c r="C544" i="1"/>
  <c r="C577" i="1"/>
  <c r="C521" i="1"/>
  <c r="C612" i="1"/>
  <c r="C568" i="1"/>
  <c r="C593" i="1"/>
  <c r="C604" i="1"/>
  <c r="C640" i="1"/>
  <c r="C673" i="1"/>
  <c r="C533" i="1"/>
  <c r="C645" i="1"/>
  <c r="C529" i="1"/>
  <c r="C633" i="1"/>
  <c r="C658" i="1"/>
  <c r="C537" i="1"/>
  <c r="C724" i="1"/>
  <c r="C646" i="1"/>
  <c r="C542" i="1"/>
  <c r="C530" i="1"/>
  <c r="C702" i="1"/>
  <c r="C609" i="1"/>
  <c r="C619" i="1"/>
  <c r="C515" i="1"/>
  <c r="C681" i="1"/>
  <c r="C546" i="1"/>
  <c r="C536" i="1"/>
  <c r="C652" i="1"/>
  <c r="C582" i="1"/>
  <c r="C690" i="1"/>
  <c r="C541" i="1"/>
  <c r="C686" i="1"/>
  <c r="C626" i="1"/>
  <c r="C666" i="1"/>
  <c r="C631" i="1"/>
  <c r="C581" i="1"/>
  <c r="C653" i="1"/>
  <c r="C553" i="1"/>
  <c r="C524" i="1"/>
  <c r="C618" i="1"/>
  <c r="C527" i="1"/>
  <c r="C586" i="1"/>
  <c r="C613" i="1"/>
  <c r="C579" i="1"/>
  <c r="C566" i="1"/>
  <c r="C518" i="1"/>
  <c r="C599" i="1"/>
  <c r="C519" i="1"/>
  <c r="C540" i="1"/>
  <c r="C668" i="1"/>
  <c r="C654" i="1"/>
  <c r="C547" i="1"/>
  <c r="C594" i="1"/>
  <c r="C671" i="1"/>
  <c r="C550" i="1"/>
  <c r="C643" i="1"/>
  <c r="C649" i="1"/>
  <c r="C601" i="1"/>
  <c r="C680" i="1"/>
  <c r="C596" i="1"/>
  <c r="C621" i="1"/>
  <c r="C701" i="1"/>
  <c r="C707" i="1"/>
  <c r="C647" i="1"/>
  <c r="C665" i="1"/>
  <c r="C674" i="1"/>
  <c r="C617" i="1"/>
  <c r="C532" i="1"/>
  <c r="C662" i="1"/>
  <c r="C605" i="1"/>
  <c r="C694" i="1"/>
  <c r="C642" i="1"/>
  <c r="C580" i="1"/>
  <c r="C567" i="1"/>
  <c r="C641" i="1"/>
  <c r="C559" i="1"/>
  <c r="C551" i="1"/>
  <c r="C588" i="1"/>
  <c r="C602" i="1"/>
  <c r="C672" i="1"/>
  <c r="C644" i="1"/>
  <c r="C572" i="1"/>
  <c r="C574" i="1"/>
  <c r="C692" i="1"/>
  <c r="C575" i="1"/>
  <c r="C552" i="1"/>
  <c r="C630" i="1"/>
  <c r="C615" i="1"/>
  <c r="C687" i="1"/>
  <c r="C660" i="1"/>
  <c r="C688" i="1"/>
  <c r="C710" i="1"/>
  <c r="C616" i="1"/>
  <c r="C650" i="1"/>
  <c r="C624" i="1"/>
  <c r="C670" i="1"/>
  <c r="C564" i="1"/>
  <c r="C545" i="1"/>
  <c r="C651" i="1"/>
  <c r="C576" i="1"/>
  <c r="C708" i="1"/>
  <c r="C639" i="1"/>
  <c r="C606" i="1"/>
  <c r="C543" i="1"/>
  <c r="C585" i="1"/>
  <c r="C677" i="1"/>
  <c r="C634" i="1"/>
  <c r="C629" i="1"/>
  <c r="C555" i="1"/>
  <c r="C620" i="1"/>
  <c r="C522" i="1"/>
  <c r="C683" i="1"/>
  <c r="C531" i="1"/>
  <c r="C669" i="1"/>
  <c r="C648" i="1"/>
  <c r="D608" i="1"/>
  <c r="C608" i="1"/>
  <c r="D7" i="12" l="1"/>
  <c r="E5" i="12"/>
  <c r="E2" i="12"/>
  <c r="E6" i="12"/>
  <c r="E14" i="12"/>
  <c r="D12" i="12"/>
  <c r="E4" i="12"/>
  <c r="D8" i="12"/>
  <c r="B806" i="1"/>
  <c r="B862" i="1"/>
  <c r="B853" i="1"/>
  <c r="B858" i="1"/>
  <c r="B861" i="1"/>
  <c r="B859" i="1"/>
  <c r="B860" i="1"/>
  <c r="B850" i="1"/>
  <c r="B846" i="1"/>
  <c r="B522" i="1"/>
  <c r="B606" i="1"/>
  <c r="B624" i="1"/>
  <c r="D11" i="12"/>
  <c r="D13" i="12"/>
  <c r="B849" i="1"/>
  <c r="B844" i="1"/>
  <c r="B851" i="1"/>
  <c r="B852" i="1"/>
  <c r="B854" i="1"/>
  <c r="B531" i="1"/>
  <c r="B683" i="1"/>
  <c r="B543" i="1"/>
  <c r="B670" i="1"/>
  <c r="B3" i="1"/>
  <c r="B619" i="1"/>
  <c r="B798" i="1"/>
  <c r="B834" i="1"/>
  <c r="B815" i="1"/>
  <c r="B848" i="1"/>
  <c r="B119" i="10"/>
  <c r="B389" i="10"/>
  <c r="B252" i="1"/>
  <c r="B475" i="1"/>
  <c r="B27" i="1"/>
  <c r="B220" i="1"/>
  <c r="B472" i="1"/>
  <c r="B506" i="1"/>
  <c r="B731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19" i="1"/>
  <c r="B330" i="10"/>
  <c r="B190" i="1"/>
  <c r="B316" i="1"/>
  <c r="B495" i="1"/>
  <c r="B81" i="1"/>
  <c r="B372" i="1"/>
  <c r="B54" i="1"/>
  <c r="B438" i="1"/>
  <c r="B4" i="1"/>
  <c r="B118" i="1"/>
  <c r="B842" i="1"/>
  <c r="B841" i="1"/>
  <c r="B847" i="1"/>
  <c r="B444" i="1"/>
  <c r="B304" i="1"/>
  <c r="B840" i="1"/>
  <c r="B213" i="1"/>
  <c r="B820" i="1"/>
  <c r="B611" i="1"/>
  <c r="B68" i="1"/>
  <c r="B74" i="1"/>
  <c r="B417" i="1"/>
  <c r="B225" i="1"/>
  <c r="B728" i="1"/>
  <c r="B434" i="1"/>
  <c r="B306" i="1"/>
  <c r="B53" i="1"/>
  <c r="B492" i="1"/>
  <c r="B484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2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786" i="1"/>
  <c r="B839" i="1"/>
  <c r="B845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10" i="1"/>
  <c r="B843" i="1"/>
  <c r="B111" i="1"/>
  <c r="B337" i="1"/>
  <c r="B172" i="1"/>
  <c r="B353" i="1"/>
  <c r="B737" i="1"/>
  <c r="B626" i="1"/>
  <c r="B679" i="1"/>
  <c r="B706" i="1"/>
  <c r="B558" i="1"/>
  <c r="B627" i="1"/>
  <c r="B649" i="1"/>
  <c r="B536" i="1"/>
  <c r="B632" i="1"/>
  <c r="B659" i="1"/>
  <c r="B693" i="1"/>
  <c r="B697" i="1"/>
  <c r="B362" i="10"/>
  <c r="B365" i="10"/>
  <c r="B305" i="10"/>
  <c r="B717" i="1"/>
  <c r="B718" i="1"/>
  <c r="B11" i="10"/>
  <c r="B19" i="10"/>
  <c r="B27" i="10"/>
  <c r="B35" i="10"/>
  <c r="B43" i="10"/>
  <c r="B51" i="10"/>
  <c r="B67" i="10"/>
  <c r="B75" i="10"/>
  <c r="B618" i="1"/>
  <c r="B686" i="1"/>
  <c r="B591" i="1"/>
  <c r="B616" i="1"/>
  <c r="B529" i="1"/>
  <c r="B47" i="10"/>
  <c r="B71" i="10"/>
  <c r="B87" i="10"/>
  <c r="B343" i="10"/>
  <c r="B367" i="10"/>
  <c r="B403" i="10"/>
  <c r="B320" i="1"/>
  <c r="B514" i="1"/>
  <c r="B424" i="1"/>
  <c r="B339" i="1"/>
  <c r="B726" i="1"/>
  <c r="B98" i="1"/>
  <c r="B135" i="1"/>
  <c r="B329" i="1"/>
  <c r="B387" i="1"/>
  <c r="B425" i="1"/>
  <c r="B192" i="1"/>
  <c r="B22" i="1"/>
  <c r="B161" i="1"/>
  <c r="B729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3" i="1"/>
  <c r="B67" i="1"/>
  <c r="B263" i="1"/>
  <c r="B132" i="1"/>
  <c r="B95" i="1"/>
  <c r="B818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37" i="1"/>
  <c r="B6" i="10"/>
  <c r="B102" i="10"/>
  <c r="B298" i="10"/>
  <c r="B350" i="10"/>
  <c r="B394" i="10"/>
  <c r="B100" i="10"/>
  <c r="B304" i="10"/>
  <c r="B158" i="10"/>
  <c r="B338" i="10"/>
  <c r="B802" i="1"/>
  <c r="B796" i="1"/>
  <c r="B54" i="10"/>
  <c r="B86" i="10"/>
  <c r="B162" i="10"/>
  <c r="B282" i="10"/>
  <c r="B322" i="10"/>
  <c r="B68" i="10"/>
  <c r="B224" i="10"/>
  <c r="B328" i="10"/>
  <c r="B392" i="10"/>
  <c r="B560" i="1"/>
  <c r="B691" i="1"/>
  <c r="B709" i="1"/>
  <c r="B196" i="10"/>
  <c r="B244" i="10"/>
  <c r="B260" i="10"/>
  <c r="B308" i="10"/>
  <c r="B316" i="10"/>
  <c r="B360" i="10"/>
  <c r="B368" i="10"/>
  <c r="B374" i="10"/>
  <c r="B708" i="1"/>
  <c r="B594" i="1"/>
  <c r="B532" i="1"/>
  <c r="B634" i="1"/>
  <c r="B338" i="1"/>
  <c r="B325" i="1"/>
  <c r="B79" i="1"/>
  <c r="B302" i="1"/>
  <c r="B206" i="1"/>
  <c r="B156" i="1"/>
  <c r="B60" i="1"/>
  <c r="B421" i="1"/>
  <c r="B51" i="1"/>
  <c r="B13" i="1"/>
  <c r="B162" i="1"/>
  <c r="B494" i="1"/>
  <c r="B84" i="1"/>
  <c r="B383" i="1"/>
  <c r="B357" i="1"/>
  <c r="B374" i="1"/>
  <c r="B505" i="1"/>
  <c r="B833" i="1"/>
  <c r="B615" i="1"/>
  <c r="B541" i="1"/>
  <c r="B605" i="1"/>
  <c r="B582" i="1"/>
  <c r="B404" i="10"/>
  <c r="B730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90" i="1"/>
  <c r="B440" i="1"/>
  <c r="B416" i="1"/>
  <c r="B601" i="1"/>
  <c r="B668" i="1"/>
  <c r="B586" i="1"/>
  <c r="B666" i="1"/>
  <c r="B372" i="10"/>
  <c r="B21" i="1"/>
  <c r="B61" i="1"/>
  <c r="B176" i="1"/>
  <c r="B413" i="1"/>
  <c r="B138" i="1"/>
  <c r="B358" i="1"/>
  <c r="B109" i="1"/>
  <c r="B499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13" i="1"/>
  <c r="B738" i="1"/>
  <c r="B507" i="1"/>
  <c r="B642" i="1"/>
  <c r="B394" i="1"/>
  <c r="B455" i="1"/>
  <c r="B108" i="1"/>
  <c r="B751" i="1"/>
  <c r="B672" i="1"/>
  <c r="B94" i="1"/>
  <c r="B17" i="1"/>
  <c r="B423" i="1"/>
  <c r="B393" i="1"/>
  <c r="B209" i="1"/>
  <c r="B386" i="1"/>
  <c r="B254" i="1"/>
  <c r="B501" i="1"/>
  <c r="B804" i="1"/>
  <c r="B838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723" i="1"/>
  <c r="B707" i="1"/>
  <c r="B526" i="1"/>
  <c r="B770" i="1"/>
  <c r="B767" i="1"/>
  <c r="B826" i="1"/>
  <c r="B553" i="1"/>
  <c r="B177" i="10"/>
  <c r="B534" i="1"/>
  <c r="B712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27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653" i="1"/>
  <c r="B689" i="1"/>
  <c r="B497" i="1"/>
  <c r="B157" i="1"/>
  <c r="B466" i="1"/>
  <c r="B498" i="1"/>
  <c r="B468" i="1"/>
  <c r="B408" i="1"/>
  <c r="B260" i="1"/>
  <c r="B450" i="1"/>
  <c r="B384" i="1"/>
  <c r="B277" i="1"/>
  <c r="B656" i="1"/>
  <c r="B523" i="1"/>
  <c r="B240" i="1"/>
  <c r="B354" i="1"/>
  <c r="B128" i="1"/>
  <c r="B436" i="1"/>
  <c r="B87" i="1"/>
  <c r="B688" i="1"/>
  <c r="B595" i="1"/>
  <c r="B561" i="1"/>
  <c r="B630" i="1"/>
  <c r="B602" i="1"/>
  <c r="B694" i="1"/>
  <c r="B647" i="1"/>
  <c r="B545" i="1"/>
  <c r="B590" i="1"/>
  <c r="B556" i="1"/>
  <c r="B36" i="10"/>
  <c r="B84" i="10"/>
  <c r="B132" i="10"/>
  <c r="B168" i="10"/>
  <c r="B208" i="10"/>
  <c r="B240" i="10"/>
  <c r="B633" i="1"/>
  <c r="B521" i="1"/>
  <c r="B641" i="1"/>
  <c r="B573" i="1"/>
  <c r="B555" i="1"/>
  <c r="B650" i="1"/>
  <c r="B552" i="1"/>
  <c r="B588" i="1"/>
  <c r="B643" i="1"/>
  <c r="B519" i="1"/>
  <c r="B585" i="1"/>
  <c r="B564" i="1"/>
  <c r="B700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799" i="1"/>
  <c r="B609" i="1"/>
  <c r="B621" i="1"/>
  <c r="B584" i="1"/>
  <c r="B702" i="1"/>
  <c r="B652" i="1"/>
  <c r="B629" i="1"/>
  <c r="B568" i="1"/>
  <c r="B645" i="1"/>
  <c r="B610" i="1"/>
  <c r="B710" i="1"/>
  <c r="B692" i="1"/>
  <c r="B559" i="1"/>
  <c r="B701" i="1"/>
  <c r="B671" i="1"/>
  <c r="B518" i="1"/>
  <c r="B515" i="1"/>
  <c r="B537" i="1"/>
  <c r="B604" i="1"/>
  <c r="B593" i="1"/>
  <c r="B592" i="1"/>
  <c r="B539" i="1"/>
  <c r="B554" i="1"/>
  <c r="B714" i="1"/>
  <c r="B711" i="1"/>
  <c r="B725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8" i="1"/>
  <c r="B342" i="1"/>
  <c r="B409" i="1"/>
  <c r="B367" i="1"/>
  <c r="B173" i="1"/>
  <c r="B35" i="1"/>
  <c r="B732" i="1"/>
  <c r="B58" i="1"/>
  <c r="B783" i="1"/>
  <c r="B756" i="1"/>
  <c r="B785" i="1"/>
  <c r="B836" i="1"/>
  <c r="B835" i="1"/>
  <c r="B821" i="1"/>
  <c r="B830" i="1"/>
  <c r="B829" i="1"/>
  <c r="B828" i="1"/>
  <c r="B825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525" i="1"/>
  <c r="B741" i="1"/>
  <c r="B735" i="1"/>
  <c r="B753" i="1"/>
  <c r="B748" i="1"/>
  <c r="B757" i="1"/>
  <c r="B760" i="1"/>
  <c r="B739" i="1"/>
  <c r="B773" i="1"/>
  <c r="B749" i="1"/>
  <c r="B771" i="1"/>
  <c r="B775" i="1"/>
  <c r="B776" i="1"/>
  <c r="B814" i="1"/>
  <c r="B715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546" i="1"/>
  <c r="B517" i="1"/>
  <c r="B676" i="1"/>
  <c r="B247" i="1"/>
  <c r="B136" i="1"/>
  <c r="B428" i="1"/>
  <c r="B331" i="1"/>
  <c r="B296" i="1"/>
  <c r="B217" i="1"/>
  <c r="B73" i="1"/>
  <c r="B228" i="1"/>
  <c r="B23" i="1"/>
  <c r="B646" i="1"/>
  <c r="B608" i="1"/>
  <c r="B575" i="1"/>
  <c r="B551" i="1"/>
  <c r="B550" i="1"/>
  <c r="B599" i="1"/>
  <c r="B524" i="1"/>
  <c r="B724" i="1"/>
  <c r="B640" i="1"/>
  <c r="B603" i="1"/>
  <c r="B589" i="1"/>
  <c r="B623" i="1"/>
  <c r="B114" i="10"/>
  <c r="B47" i="1"/>
  <c r="B315" i="1"/>
  <c r="B399" i="1"/>
  <c r="B119" i="1"/>
  <c r="B32" i="1"/>
  <c r="B273" i="1"/>
  <c r="B43" i="1"/>
  <c r="B349" i="1"/>
  <c r="B503" i="1"/>
  <c r="B327" i="1"/>
  <c r="B631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33" i="1"/>
  <c r="B662" i="1"/>
  <c r="B669" i="1"/>
  <c r="B677" i="1"/>
  <c r="B658" i="1"/>
  <c r="B142" i="10"/>
  <c r="B352" i="10"/>
  <c r="B673" i="1"/>
  <c r="B665" i="1"/>
  <c r="B276" i="1"/>
  <c r="B258" i="1"/>
  <c r="B471" i="1"/>
  <c r="B397" i="1"/>
  <c r="B255" i="1"/>
  <c r="B491" i="1"/>
  <c r="B180" i="1"/>
  <c r="B502" i="1"/>
  <c r="B734" i="1"/>
  <c r="B11" i="1"/>
  <c r="B129" i="1"/>
  <c r="B182" i="1"/>
  <c r="B542" i="1"/>
  <c r="B687" i="1"/>
  <c r="B644" i="1"/>
  <c r="B580" i="1"/>
  <c r="B680" i="1"/>
  <c r="B654" i="1"/>
  <c r="B612" i="1"/>
  <c r="B675" i="1"/>
  <c r="B538" i="1"/>
  <c r="B628" i="1"/>
  <c r="B667" i="1"/>
  <c r="B705" i="1"/>
  <c r="B435" i="1"/>
  <c r="B470" i="1"/>
  <c r="B242" i="1"/>
  <c r="B317" i="1"/>
  <c r="B488" i="1"/>
  <c r="B291" i="1"/>
  <c r="B746" i="1"/>
  <c r="B18" i="1"/>
  <c r="B112" i="1"/>
  <c r="B169" i="1"/>
  <c r="B797" i="1"/>
  <c r="B822" i="1"/>
  <c r="B827" i="1"/>
  <c r="B832" i="1"/>
  <c r="B781" i="1"/>
  <c r="B787" i="1"/>
  <c r="B791" i="1"/>
  <c r="B792" i="1"/>
  <c r="B794" i="1"/>
  <c r="B789" i="1"/>
  <c r="B801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24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60" i="1"/>
  <c r="B572" i="1"/>
  <c r="B567" i="1"/>
  <c r="B596" i="1"/>
  <c r="B547" i="1"/>
  <c r="B579" i="1"/>
  <c r="B583" i="1"/>
  <c r="B664" i="1"/>
  <c r="B639" i="1"/>
  <c r="B520" i="1"/>
  <c r="B587" i="1"/>
  <c r="B625" i="1"/>
  <c r="B570" i="1"/>
  <c r="B637" i="1"/>
  <c r="B655" i="1"/>
  <c r="B30" i="10"/>
  <c r="B94" i="10"/>
  <c r="B110" i="10"/>
  <c r="B118" i="10"/>
  <c r="B186" i="10"/>
  <c r="B410" i="1"/>
  <c r="B292" i="1"/>
  <c r="B811" i="1"/>
  <c r="B617" i="1"/>
  <c r="B690" i="1"/>
  <c r="B614" i="1"/>
  <c r="B635" i="1"/>
  <c r="B480" i="1"/>
  <c r="B48" i="10"/>
  <c r="B104" i="10"/>
  <c r="B120" i="10"/>
  <c r="B188" i="10"/>
  <c r="B204" i="10"/>
  <c r="B620" i="1"/>
  <c r="B578" i="1"/>
  <c r="B607" i="1"/>
  <c r="B657" i="1"/>
  <c r="B540" i="1"/>
  <c r="B527" i="1"/>
  <c r="B576" i="1"/>
  <c r="B581" i="1"/>
  <c r="B530" i="1"/>
  <c r="B548" i="1"/>
  <c r="B661" i="1"/>
  <c r="B663" i="1"/>
  <c r="B651" i="1"/>
  <c r="B613" i="1"/>
  <c r="B648" i="1"/>
  <c r="B681" i="1"/>
  <c r="B577" i="1"/>
  <c r="B678" i="1"/>
  <c r="B674" i="1"/>
  <c r="B544" i="1"/>
  <c r="B562" i="1"/>
  <c r="B569" i="1"/>
  <c r="B549" i="1"/>
  <c r="B598" i="1"/>
  <c r="B557" i="1"/>
  <c r="B699" i="1"/>
  <c r="B20" i="1"/>
  <c r="B257" i="1"/>
  <c r="B300" i="1"/>
  <c r="B41" i="1"/>
  <c r="B272" i="1"/>
  <c r="B188" i="1"/>
  <c r="B224" i="1"/>
  <c r="B152" i="1"/>
  <c r="B290" i="1"/>
  <c r="B461" i="1"/>
  <c r="B703" i="1"/>
  <c r="B696" i="1"/>
  <c r="B704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3" i="1"/>
  <c r="B513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6" i="1"/>
  <c r="B356" i="1"/>
  <c r="B203" i="1"/>
  <c r="B462" i="1"/>
  <c r="B143" i="1"/>
  <c r="B415" i="1"/>
  <c r="B77" i="1"/>
  <c r="B37" i="1"/>
  <c r="B622" i="1"/>
  <c r="B695" i="1"/>
  <c r="B722" i="1"/>
  <c r="B3" i="10"/>
  <c r="B12" i="10"/>
  <c r="B511" i="1"/>
  <c r="B256" i="1"/>
  <c r="B140" i="1"/>
  <c r="B482" i="1"/>
  <c r="B638" i="1"/>
  <c r="B716" i="1"/>
  <c r="B574" i="1"/>
  <c r="B566" i="1"/>
  <c r="B636" i="1"/>
  <c r="B528" i="1"/>
  <c r="B563" i="1"/>
  <c r="B571" i="1"/>
  <c r="B685" i="1"/>
  <c r="B262" i="1"/>
  <c r="B8" i="1"/>
  <c r="B359" i="1"/>
  <c r="B202" i="1"/>
  <c r="B295" i="1"/>
  <c r="B307" i="1"/>
  <c r="B69" i="1"/>
  <c r="B807" i="1"/>
  <c r="B813" i="1"/>
  <c r="B816" i="1"/>
  <c r="B823" i="1"/>
  <c r="B130" i="1"/>
  <c r="B500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743" i="1"/>
  <c r="B719" i="1"/>
  <c r="B742" i="1"/>
  <c r="B761" i="1"/>
  <c r="B769" i="1"/>
  <c r="B765" i="1"/>
  <c r="B698" i="1"/>
  <c r="B817" i="1"/>
  <c r="B391" i="1"/>
  <c r="B253" i="1"/>
  <c r="B795" i="1"/>
  <c r="B808" i="1"/>
  <c r="B191" i="1"/>
  <c r="B210" i="1"/>
  <c r="B232" i="1"/>
  <c r="B400" i="1"/>
  <c r="B75" i="1"/>
  <c r="B80" i="1"/>
  <c r="B147" i="1"/>
  <c r="B145" i="1"/>
  <c r="B312" i="1"/>
  <c r="B36" i="1"/>
  <c r="B29" i="1"/>
  <c r="B487" i="1"/>
  <c r="B489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4" i="1"/>
  <c r="B456" i="1"/>
  <c r="B133" i="1"/>
  <c r="B453" i="1"/>
  <c r="B485" i="1"/>
  <c r="B426" i="1"/>
  <c r="B324" i="1"/>
  <c r="B412" i="1"/>
  <c r="B178" i="1"/>
  <c r="B481" i="1"/>
  <c r="B164" i="1"/>
  <c r="B443" i="1"/>
  <c r="B96" i="1"/>
  <c r="B459" i="1"/>
  <c r="B50" i="1"/>
  <c r="B379" i="1"/>
  <c r="B486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736" i="1"/>
  <c r="B740" i="1"/>
  <c r="B733" i="1"/>
  <c r="B744" i="1"/>
  <c r="B745" i="1"/>
  <c r="B682" i="1"/>
  <c r="B755" i="1"/>
  <c r="B750" i="1"/>
  <c r="B752" i="1"/>
  <c r="B747" i="1"/>
  <c r="B758" i="1"/>
  <c r="B759" i="1"/>
  <c r="B766" i="1"/>
  <c r="B768" i="1"/>
  <c r="B774" i="1"/>
  <c r="B772" i="1"/>
  <c r="B762" i="1"/>
  <c r="B754" i="1"/>
  <c r="B763" i="1"/>
  <c r="B779" i="1"/>
  <c r="B790" i="1"/>
  <c r="B793" i="1"/>
  <c r="B764" i="1"/>
  <c r="B721" i="1"/>
  <c r="B80" i="10"/>
  <c r="B88" i="10"/>
  <c r="B376" i="1"/>
  <c r="B139" i="1"/>
  <c r="B115" i="1"/>
  <c r="B452" i="1"/>
  <c r="B777" i="1"/>
  <c r="B784" i="1"/>
  <c r="B782" i="1"/>
  <c r="B780" i="1"/>
  <c r="B788" i="1"/>
  <c r="B800" i="1"/>
  <c r="B803" i="1"/>
  <c r="B805" i="1"/>
  <c r="B720" i="1"/>
  <c r="AB784" i="1" l="1"/>
  <c r="AB721" i="1"/>
  <c r="AB772" i="1"/>
  <c r="AB823" i="1"/>
  <c r="AB205" i="1"/>
  <c r="AB420" i="1"/>
  <c r="AB334" i="1"/>
  <c r="AB301" i="1"/>
  <c r="AB330" i="1"/>
  <c r="AB410" i="1"/>
  <c r="AB791" i="1"/>
  <c r="AB115" i="1"/>
  <c r="AB266" i="1"/>
  <c r="AB210" i="1"/>
  <c r="AB807" i="1"/>
  <c r="AB149" i="1"/>
  <c r="AB577" i="1"/>
  <c r="AB614" i="1"/>
  <c r="AB572" i="1"/>
  <c r="AB101" i="1"/>
  <c r="AB687" i="1"/>
  <c r="AB221" i="1"/>
  <c r="AB589" i="1"/>
  <c r="AB331" i="1"/>
  <c r="AB739" i="1"/>
  <c r="AB139" i="1"/>
  <c r="AB779" i="1"/>
  <c r="AB759" i="1"/>
  <c r="AB744" i="1"/>
  <c r="AB288" i="1"/>
  <c r="AB457" i="1"/>
  <c r="AB164" i="1"/>
  <c r="AB133" i="1"/>
  <c r="AB402" i="1"/>
  <c r="AB46" i="1"/>
  <c r="AB312" i="1"/>
  <c r="AB191" i="1"/>
  <c r="AB769" i="1"/>
  <c r="AB319" i="1"/>
  <c r="AB344" i="1"/>
  <c r="AB69" i="1"/>
  <c r="AB571" i="1"/>
  <c r="AB482" i="1"/>
  <c r="AB622" i="1"/>
  <c r="AB496" i="1"/>
  <c r="AB104" i="1"/>
  <c r="AB88" i="1"/>
  <c r="AB483" i="1"/>
  <c r="AB188" i="1"/>
  <c r="AB598" i="1"/>
  <c r="AB681" i="1"/>
  <c r="AB581" i="1"/>
  <c r="AB690" i="1"/>
  <c r="AB639" i="1"/>
  <c r="AB660" i="1"/>
  <c r="AB445" i="1"/>
  <c r="AB318" i="1"/>
  <c r="AB362" i="1"/>
  <c r="AB801" i="1"/>
  <c r="AB827" i="1"/>
  <c r="AB488" i="1"/>
  <c r="AB538" i="1"/>
  <c r="AB743" i="1"/>
  <c r="AB566" i="1"/>
  <c r="AB461" i="1"/>
  <c r="AB9" i="1"/>
  <c r="AB766" i="1"/>
  <c r="AB86" i="1"/>
  <c r="AB352" i="1"/>
  <c r="AB36" i="1"/>
  <c r="AB66" i="1"/>
  <c r="AB638" i="1"/>
  <c r="AB513" i="1"/>
  <c r="AB530" i="1"/>
  <c r="AB520" i="1"/>
  <c r="AB105" i="1"/>
  <c r="AB291" i="1"/>
  <c r="AB491" i="1"/>
  <c r="AB273" i="1"/>
  <c r="AB575" i="1"/>
  <c r="AB800" i="1"/>
  <c r="AB788" i="1"/>
  <c r="AB376" i="1"/>
  <c r="AB763" i="1"/>
  <c r="AB758" i="1"/>
  <c r="AB733" i="1"/>
  <c r="AB56" i="1"/>
  <c r="AB414" i="1"/>
  <c r="AB481" i="1"/>
  <c r="AB456" i="1"/>
  <c r="AB454" i="1"/>
  <c r="AB72" i="1"/>
  <c r="AB145" i="1"/>
  <c r="AB808" i="1"/>
  <c r="AB761" i="1"/>
  <c r="AB185" i="1"/>
  <c r="AB305" i="1"/>
  <c r="AB307" i="1"/>
  <c r="AB563" i="1"/>
  <c r="AB140" i="1"/>
  <c r="AB37" i="1"/>
  <c r="AB282" i="1"/>
  <c r="AB464" i="1"/>
  <c r="AB264" i="1"/>
  <c r="AB63" i="1"/>
  <c r="AB704" i="1"/>
  <c r="AB272" i="1"/>
  <c r="AB549" i="1"/>
  <c r="AB648" i="1"/>
  <c r="AB576" i="1"/>
  <c r="AB617" i="1"/>
  <c r="AB664" i="1"/>
  <c r="AB229" i="1"/>
  <c r="AB235" i="1"/>
  <c r="AB388" i="1"/>
  <c r="AB380" i="1"/>
  <c r="AB789" i="1"/>
  <c r="AB822" i="1"/>
  <c r="AB317" i="1"/>
  <c r="AB570" i="1"/>
  <c r="AB112" i="1"/>
  <c r="AB790" i="1"/>
  <c r="AB16" i="1"/>
  <c r="AB453" i="1"/>
  <c r="AB765" i="1"/>
  <c r="AB685" i="1"/>
  <c r="AB356" i="1"/>
  <c r="AB557" i="1"/>
  <c r="AB620" i="1"/>
  <c r="AB824" i="1"/>
  <c r="AB628" i="1"/>
  <c r="AB780" i="1"/>
  <c r="AB754" i="1"/>
  <c r="AB747" i="1"/>
  <c r="AB740" i="1"/>
  <c r="AB137" i="1"/>
  <c r="AB486" i="1"/>
  <c r="AB178" i="1"/>
  <c r="AB504" i="1"/>
  <c r="AB419" i="1"/>
  <c r="AB62" i="1"/>
  <c r="AB147" i="1"/>
  <c r="AB795" i="1"/>
  <c r="AB742" i="1"/>
  <c r="AB447" i="1"/>
  <c r="AB500" i="1"/>
  <c r="AB295" i="1"/>
  <c r="AB528" i="1"/>
  <c r="AB256" i="1"/>
  <c r="AB77" i="1"/>
  <c r="AB42" i="1"/>
  <c r="AB340" i="1"/>
  <c r="AB83" i="1"/>
  <c r="AB696" i="1"/>
  <c r="AB41" i="1"/>
  <c r="AB569" i="1"/>
  <c r="AB613" i="1"/>
  <c r="AB527" i="1"/>
  <c r="AB811" i="1"/>
  <c r="AB655" i="1"/>
  <c r="AB583" i="1"/>
  <c r="AB396" i="1"/>
  <c r="AB93" i="1"/>
  <c r="AB248" i="1"/>
  <c r="AB350" i="1"/>
  <c r="AB794" i="1"/>
  <c r="AB797" i="1"/>
  <c r="AB242" i="1"/>
  <c r="AB612" i="1"/>
  <c r="AB129" i="1"/>
  <c r="AB75" i="1"/>
  <c r="AB143" i="1"/>
  <c r="AB257" i="1"/>
  <c r="AB375" i="1"/>
  <c r="AB803" i="1"/>
  <c r="AB745" i="1"/>
  <c r="AB443" i="1"/>
  <c r="AB265" i="1"/>
  <c r="AB695" i="1"/>
  <c r="AB71" i="1"/>
  <c r="AB224" i="1"/>
  <c r="AB89" i="1"/>
  <c r="AB832" i="1"/>
  <c r="AB782" i="1"/>
  <c r="AB762" i="1"/>
  <c r="AB752" i="1"/>
  <c r="AB736" i="1"/>
  <c r="AB422" i="1"/>
  <c r="AB379" i="1"/>
  <c r="AB412" i="1"/>
  <c r="AB366" i="1"/>
  <c r="AB171" i="1"/>
  <c r="AB365" i="1"/>
  <c r="AB80" i="1"/>
  <c r="AB253" i="1"/>
  <c r="AB719" i="1"/>
  <c r="AB363" i="1"/>
  <c r="AB130" i="1"/>
  <c r="AB202" i="1"/>
  <c r="AB636" i="1"/>
  <c r="AB511" i="1"/>
  <c r="AB415" i="1"/>
  <c r="AB100" i="1"/>
  <c r="AB55" i="1"/>
  <c r="AB120" i="1"/>
  <c r="AB703" i="1"/>
  <c r="AB300" i="1"/>
  <c r="AB562" i="1"/>
  <c r="AB651" i="1"/>
  <c r="AB540" i="1"/>
  <c r="AB292" i="1"/>
  <c r="AB637" i="1"/>
  <c r="AB579" i="1"/>
  <c r="AB371" i="1"/>
  <c r="AB343" i="1"/>
  <c r="AB309" i="1"/>
  <c r="AB442" i="1"/>
  <c r="AB792" i="1"/>
  <c r="AB169" i="1"/>
  <c r="AB470" i="1"/>
  <c r="AB654" i="1"/>
  <c r="AB750" i="1"/>
  <c r="AB345" i="1"/>
  <c r="AB38" i="1"/>
  <c r="AB657" i="1"/>
  <c r="AB385" i="1"/>
  <c r="AB662" i="1"/>
  <c r="AB47" i="1"/>
  <c r="AB517" i="1"/>
  <c r="AB828" i="1"/>
  <c r="AB508" i="1"/>
  <c r="AB592" i="1"/>
  <c r="AB559" i="1"/>
  <c r="AB702" i="1"/>
  <c r="AB564" i="1"/>
  <c r="AB573" i="1"/>
  <c r="AB630" i="1"/>
  <c r="AB240" i="1"/>
  <c r="AB468" i="1"/>
  <c r="AB395" i="1"/>
  <c r="AB369" i="1"/>
  <c r="AB432" i="1"/>
  <c r="AB526" i="1"/>
  <c r="AB267" i="1"/>
  <c r="AB268" i="1"/>
  <c r="AB386" i="1"/>
  <c r="AB108" i="1"/>
  <c r="AB114" i="1"/>
  <c r="AB127" i="1"/>
  <c r="AB358" i="1"/>
  <c r="AB586" i="1"/>
  <c r="AB208" i="1"/>
  <c r="AB91" i="1"/>
  <c r="AB605" i="1"/>
  <c r="AB84" i="1"/>
  <c r="AB206" i="1"/>
  <c r="AB708" i="1"/>
  <c r="AB837" i="1"/>
  <c r="AB67" i="1"/>
  <c r="AB404" i="1"/>
  <c r="AB22" i="1"/>
  <c r="AB339" i="1"/>
  <c r="AB717" i="1"/>
  <c r="AB536" i="1"/>
  <c r="AB353" i="1"/>
  <c r="AB390" i="1"/>
  <c r="AB381" i="1"/>
  <c r="AB449" i="1"/>
  <c r="AB40" i="1"/>
  <c r="AB728" i="1"/>
  <c r="AB840" i="1"/>
  <c r="AB438" i="1"/>
  <c r="AB819" i="1"/>
  <c r="AB155" i="1"/>
  <c r="AB220" i="1"/>
  <c r="AB834" i="1"/>
  <c r="AB854" i="1"/>
  <c r="AB606" i="1"/>
  <c r="AB853" i="1"/>
  <c r="AB50" i="1"/>
  <c r="AB489" i="1"/>
  <c r="AB359" i="1"/>
  <c r="AB544" i="1"/>
  <c r="AB547" i="1"/>
  <c r="AB435" i="1"/>
  <c r="AB734" i="1"/>
  <c r="AB503" i="1"/>
  <c r="AB73" i="1"/>
  <c r="AB735" i="1"/>
  <c r="AB720" i="1"/>
  <c r="AB777" i="1"/>
  <c r="AB764" i="1"/>
  <c r="AB774" i="1"/>
  <c r="AB755" i="1"/>
  <c r="AB184" i="1"/>
  <c r="AB159" i="1"/>
  <c r="AB459" i="1"/>
  <c r="AB426" i="1"/>
  <c r="AB446" i="1"/>
  <c r="AB177" i="1"/>
  <c r="AB487" i="1"/>
  <c r="AB400" i="1"/>
  <c r="AB817" i="1"/>
  <c r="AB131" i="1"/>
  <c r="AB34" i="1"/>
  <c r="AB816" i="1"/>
  <c r="AB8" i="1"/>
  <c r="AB261" i="1"/>
  <c r="AB574" i="1"/>
  <c r="AB462" i="1"/>
  <c r="AB368" i="1"/>
  <c r="AB418" i="1"/>
  <c r="AB102" i="1"/>
  <c r="AB290" i="1"/>
  <c r="AB20" i="1"/>
  <c r="AB674" i="1"/>
  <c r="AB661" i="1"/>
  <c r="AB607" i="1"/>
  <c r="AB480" i="1"/>
  <c r="AB625" i="1"/>
  <c r="AB596" i="1"/>
  <c r="AB308" i="1"/>
  <c r="AB458" i="1"/>
  <c r="AB30" i="1"/>
  <c r="AB151" i="1"/>
  <c r="AB787" i="1"/>
  <c r="AB18" i="1"/>
  <c r="AB705" i="1"/>
  <c r="AB580" i="1"/>
  <c r="AB502" i="1"/>
  <c r="AB665" i="1"/>
  <c r="AB533" i="1"/>
  <c r="AB324" i="1"/>
  <c r="AB391" i="1"/>
  <c r="AB207" i="1"/>
  <c r="AB663" i="1"/>
  <c r="AB117" i="1"/>
  <c r="AB680" i="1"/>
  <c r="AB276" i="1"/>
  <c r="AB599" i="1"/>
  <c r="AB771" i="1"/>
  <c r="AB783" i="1"/>
  <c r="AB805" i="1"/>
  <c r="AB452" i="1"/>
  <c r="AB793" i="1"/>
  <c r="AB768" i="1"/>
  <c r="AB682" i="1"/>
  <c r="AB19" i="1"/>
  <c r="AB198" i="1"/>
  <c r="AB96" i="1"/>
  <c r="AB485" i="1"/>
  <c r="AB183" i="1"/>
  <c r="AB270" i="1"/>
  <c r="AB29" i="1"/>
  <c r="AB232" i="1"/>
  <c r="AB698" i="1"/>
  <c r="AB123" i="1"/>
  <c r="AB427" i="1"/>
  <c r="AB813" i="1"/>
  <c r="AB262" i="1"/>
  <c r="AB716" i="1"/>
  <c r="AB722" i="1"/>
  <c r="AB203" i="1"/>
  <c r="AB469" i="1"/>
  <c r="AB465" i="1"/>
  <c r="AB474" i="1"/>
  <c r="AB152" i="1"/>
  <c r="AB699" i="1"/>
  <c r="AB678" i="1"/>
  <c r="AB548" i="1"/>
  <c r="AB578" i="1"/>
  <c r="AB635" i="1"/>
  <c r="AB587" i="1"/>
  <c r="AB567" i="1"/>
  <c r="AB57" i="1"/>
  <c r="AB10" i="1"/>
  <c r="AB193" i="1"/>
  <c r="AB441" i="1"/>
  <c r="AB781" i="1"/>
  <c r="AB746" i="1"/>
  <c r="AB667" i="1"/>
  <c r="AB644" i="1"/>
  <c r="AB180" i="1"/>
  <c r="AB673" i="1"/>
  <c r="AB33" i="1"/>
  <c r="AB821" i="1"/>
  <c r="AB35" i="1"/>
  <c r="AB322" i="1"/>
  <c r="AB725" i="1"/>
  <c r="AB537" i="1"/>
  <c r="AB610" i="1"/>
  <c r="AB609" i="1"/>
  <c r="AB643" i="1"/>
  <c r="AB633" i="1"/>
  <c r="AB590" i="1"/>
  <c r="AB688" i="1"/>
  <c r="AB277" i="1"/>
  <c r="AB157" i="1"/>
  <c r="AB286" i="1"/>
  <c r="AB299" i="1"/>
  <c r="AB289" i="1"/>
  <c r="AB166" i="1"/>
  <c r="AB70" i="1"/>
  <c r="AB212" i="1"/>
  <c r="AB423" i="1"/>
  <c r="AB642" i="1"/>
  <c r="AB283" i="1"/>
  <c r="AB153" i="1"/>
  <c r="AB176" i="1"/>
  <c r="AB416" i="1"/>
  <c r="AB195" i="1"/>
  <c r="AB90" i="1"/>
  <c r="AB833" i="1"/>
  <c r="AB13" i="1"/>
  <c r="AB325" i="1"/>
  <c r="AB560" i="1"/>
  <c r="AB124" i="1"/>
  <c r="AB403" i="1"/>
  <c r="AB387" i="1"/>
  <c r="AB320" i="1"/>
  <c r="AB616" i="1"/>
  <c r="AB558" i="1"/>
  <c r="AB111" i="1"/>
  <c r="AB845" i="1"/>
  <c r="AB405" i="1"/>
  <c r="AB250" i="1"/>
  <c r="AB39" i="1"/>
  <c r="AB484" i="1"/>
  <c r="AB74" i="1"/>
  <c r="AB847" i="1"/>
  <c r="AB81" i="1"/>
  <c r="AB479" i="1"/>
  <c r="AB5" i="1"/>
  <c r="AB252" i="1"/>
  <c r="AB3" i="1"/>
  <c r="AB935" i="1"/>
  <c r="AB904" i="1"/>
  <c r="AB876" i="1"/>
  <c r="AB907" i="1"/>
  <c r="AB863" i="1"/>
  <c r="AB913" i="1"/>
  <c r="AB929" i="1"/>
  <c r="AB928" i="1"/>
  <c r="AB893" i="1"/>
  <c r="AB934" i="1"/>
  <c r="AB844" i="1"/>
  <c r="AB850" i="1"/>
  <c r="AB885" i="1"/>
  <c r="AB509" i="1"/>
  <c r="AB901" i="1"/>
  <c r="AB222" i="1"/>
  <c r="AB597" i="1"/>
  <c r="AB939" i="1"/>
  <c r="AB271" i="1"/>
  <c r="AB908" i="1"/>
  <c r="AB943" i="1"/>
  <c r="AB925" i="1"/>
  <c r="AB144" i="1"/>
  <c r="AB59" i="1"/>
  <c r="AB936" i="1"/>
  <c r="AB870" i="1"/>
  <c r="AB912" i="1"/>
  <c r="AB243" i="1"/>
  <c r="AB968" i="1"/>
  <c r="AB959" i="1"/>
  <c r="AB966" i="1"/>
  <c r="AB952" i="1"/>
  <c r="AB979" i="1"/>
  <c r="AB218" i="1"/>
  <c r="AB866" i="1"/>
  <c r="AB542" i="1"/>
  <c r="AB255" i="1"/>
  <c r="AB332" i="1"/>
  <c r="AB32" i="1"/>
  <c r="AB603" i="1"/>
  <c r="AB608" i="1"/>
  <c r="AB428" i="1"/>
  <c r="AB715" i="1"/>
  <c r="AB760" i="1"/>
  <c r="AB835" i="1"/>
  <c r="AB173" i="1"/>
  <c r="AB429" i="1"/>
  <c r="AB711" i="1"/>
  <c r="AB515" i="1"/>
  <c r="AB645" i="1"/>
  <c r="AB799" i="1"/>
  <c r="AB588" i="1"/>
  <c r="AB545" i="1"/>
  <c r="AB87" i="1"/>
  <c r="AB384" i="1"/>
  <c r="AB497" i="1"/>
  <c r="AB244" i="1"/>
  <c r="AB160" i="1"/>
  <c r="AB401" i="1"/>
  <c r="AB553" i="1"/>
  <c r="AB189" i="1"/>
  <c r="AB24" i="1"/>
  <c r="AB433" i="1"/>
  <c r="AB838" i="1"/>
  <c r="AB17" i="1"/>
  <c r="AB507" i="1"/>
  <c r="AB227" i="1"/>
  <c r="AB31" i="1"/>
  <c r="AB61" i="1"/>
  <c r="AB440" i="1"/>
  <c r="AB336" i="1"/>
  <c r="AB392" i="1"/>
  <c r="AB505" i="1"/>
  <c r="AB51" i="1"/>
  <c r="AB338" i="1"/>
  <c r="AB52" i="1"/>
  <c r="AB818" i="1"/>
  <c r="AB361" i="1"/>
  <c r="AB158" i="1"/>
  <c r="AB329" i="1"/>
  <c r="AB591" i="1"/>
  <c r="AB697" i="1"/>
  <c r="AB706" i="1"/>
  <c r="AB843" i="1"/>
  <c r="AB839" i="1"/>
  <c r="AB82" i="1"/>
  <c r="AB303" i="1"/>
  <c r="AB275" i="1"/>
  <c r="AB492" i="1"/>
  <c r="AB68" i="1"/>
  <c r="AB841" i="1"/>
  <c r="AB495" i="1"/>
  <c r="AB239" i="1"/>
  <c r="AB85" i="1"/>
  <c r="AB670" i="1"/>
  <c r="AB849" i="1"/>
  <c r="AB860" i="1"/>
  <c r="AB14" i="1"/>
  <c r="AB920" i="1"/>
  <c r="AB916" i="1"/>
  <c r="AB269" i="1"/>
  <c r="AB884" i="1"/>
  <c r="AB941" i="1"/>
  <c r="AB326" i="1"/>
  <c r="AB869" i="1"/>
  <c r="AB877" i="1"/>
  <c r="AB903" i="1"/>
  <c r="AB194" i="1"/>
  <c r="AB146" i="1"/>
  <c r="AB899" i="1"/>
  <c r="AB894" i="1"/>
  <c r="AB886" i="1"/>
  <c r="AB297" i="1"/>
  <c r="AB950" i="1"/>
  <c r="AB944" i="1"/>
  <c r="AB965" i="1"/>
  <c r="AB948" i="1"/>
  <c r="AB982" i="1"/>
  <c r="AB259" i="1"/>
  <c r="AB923" i="1"/>
  <c r="AB675" i="1"/>
  <c r="AB182" i="1"/>
  <c r="AB397" i="1"/>
  <c r="AB658" i="1"/>
  <c r="AB6" i="1"/>
  <c r="AB119" i="1"/>
  <c r="AB640" i="1"/>
  <c r="AB646" i="1"/>
  <c r="AB136" i="1"/>
  <c r="AB814" i="1"/>
  <c r="AB757" i="1"/>
  <c r="AB836" i="1"/>
  <c r="AB367" i="1"/>
  <c r="AB389" i="1"/>
  <c r="AB714" i="1"/>
  <c r="AB518" i="1"/>
  <c r="AB568" i="1"/>
  <c r="AB552" i="1"/>
  <c r="AB647" i="1"/>
  <c r="AB436" i="1"/>
  <c r="AB450" i="1"/>
  <c r="AB689" i="1"/>
  <c r="AB347" i="1"/>
  <c r="AB364" i="1"/>
  <c r="AB431" i="1"/>
  <c r="AB826" i="1"/>
  <c r="AB311" i="1"/>
  <c r="AB48" i="1"/>
  <c r="AB196" i="1"/>
  <c r="AB804" i="1"/>
  <c r="AB94" i="1"/>
  <c r="AB738" i="1"/>
  <c r="AB287" i="1"/>
  <c r="AB460" i="1"/>
  <c r="AB21" i="1"/>
  <c r="AB490" i="1"/>
  <c r="AB476" i="1"/>
  <c r="AB730" i="1"/>
  <c r="AB374" i="1"/>
  <c r="AB421" i="1"/>
  <c r="AB634" i="1"/>
  <c r="AB796" i="1"/>
  <c r="AB95" i="1"/>
  <c r="AB437" i="1"/>
  <c r="AB310" i="1"/>
  <c r="AB135" i="1"/>
  <c r="AB686" i="1"/>
  <c r="AB693" i="1"/>
  <c r="AB679" i="1"/>
  <c r="AB810" i="1"/>
  <c r="AB786" i="1"/>
  <c r="AB107" i="1"/>
  <c r="AB278" i="1"/>
  <c r="AB121" i="1"/>
  <c r="AB53" i="1"/>
  <c r="AB611" i="1"/>
  <c r="AB842" i="1"/>
  <c r="AB316" i="1"/>
  <c r="AB285" i="1"/>
  <c r="AB731" i="1"/>
  <c r="AB543" i="1"/>
  <c r="AB859" i="1"/>
  <c r="AB103" i="1"/>
  <c r="AB875" i="1"/>
  <c r="AB864" i="1"/>
  <c r="AB323" i="1"/>
  <c r="AB921" i="1"/>
  <c r="AB871" i="1"/>
  <c r="AB398" i="1"/>
  <c r="AB922" i="1"/>
  <c r="AB930" i="1"/>
  <c r="AB889" i="1"/>
  <c r="AB236" i="1"/>
  <c r="AB199" i="1"/>
  <c r="AB881" i="1"/>
  <c r="AB535" i="1"/>
  <c r="AB855" i="1"/>
  <c r="AB355" i="1"/>
  <c r="AB960" i="1"/>
  <c r="AB947" i="1"/>
  <c r="AB956" i="1"/>
  <c r="AB978" i="1"/>
  <c r="AB977" i="1"/>
  <c r="AB313" i="1"/>
  <c r="AB917" i="1"/>
  <c r="AB471" i="1"/>
  <c r="AB677" i="1"/>
  <c r="AB187" i="1"/>
  <c r="AB631" i="1"/>
  <c r="AB399" i="1"/>
  <c r="AB724" i="1"/>
  <c r="AB23" i="1"/>
  <c r="AB247" i="1"/>
  <c r="AB776" i="1"/>
  <c r="AB748" i="1"/>
  <c r="AB785" i="1"/>
  <c r="AB409" i="1"/>
  <c r="AB211" i="1"/>
  <c r="AB554" i="1"/>
  <c r="AB671" i="1"/>
  <c r="AB629" i="1"/>
  <c r="AB650" i="1"/>
  <c r="AB694" i="1"/>
  <c r="AB128" i="1"/>
  <c r="AB260" i="1"/>
  <c r="AB653" i="1"/>
  <c r="AB215" i="1"/>
  <c r="AB237" i="1"/>
  <c r="AB727" i="1"/>
  <c r="AB767" i="1"/>
  <c r="AB200" i="1"/>
  <c r="AB245" i="1"/>
  <c r="AB501" i="1"/>
  <c r="AB672" i="1"/>
  <c r="AB713" i="1"/>
  <c r="AB411" i="1"/>
  <c r="AB499" i="1"/>
  <c r="AB201" i="1"/>
  <c r="AB230" i="1"/>
  <c r="AB357" i="1"/>
  <c r="AB60" i="1"/>
  <c r="AB532" i="1"/>
  <c r="AB802" i="1"/>
  <c r="AB132" i="1"/>
  <c r="AB377" i="1"/>
  <c r="AB729" i="1"/>
  <c r="AB98" i="1"/>
  <c r="AB618" i="1"/>
  <c r="AB659" i="1"/>
  <c r="AB626" i="1"/>
  <c r="AB284" i="1"/>
  <c r="AB197" i="1"/>
  <c r="AB231" i="1"/>
  <c r="AB306" i="1"/>
  <c r="AB820" i="1"/>
  <c r="AB118" i="1"/>
  <c r="AB190" i="1"/>
  <c r="AB78" i="1"/>
  <c r="AB506" i="1"/>
  <c r="AB848" i="1"/>
  <c r="AB683" i="1"/>
  <c r="AB861" i="1"/>
  <c r="AB167" i="1"/>
  <c r="AB931" i="1"/>
  <c r="AB926" i="1"/>
  <c r="AB382" i="1"/>
  <c r="AB918" i="1"/>
  <c r="AB942" i="1"/>
  <c r="AB516" i="1"/>
  <c r="AB898" i="1"/>
  <c r="AB684" i="1"/>
  <c r="AB888" i="1"/>
  <c r="AB280" i="1"/>
  <c r="AB241" i="1"/>
  <c r="AB895" i="1"/>
  <c r="AB873" i="1"/>
  <c r="AB812" i="1"/>
  <c r="AB463" i="1"/>
  <c r="AB957" i="1"/>
  <c r="AB970" i="1"/>
  <c r="AB909" i="1"/>
  <c r="AB976" i="1"/>
  <c r="AB980" i="1"/>
  <c r="AB370" i="1"/>
  <c r="AB919" i="1"/>
  <c r="AB11" i="1"/>
  <c r="AB258" i="1"/>
  <c r="AB669" i="1"/>
  <c r="AB327" i="1"/>
  <c r="AB315" i="1"/>
  <c r="AB524" i="1"/>
  <c r="AB228" i="1"/>
  <c r="AB676" i="1"/>
  <c r="AB775" i="1"/>
  <c r="AB753" i="1"/>
  <c r="AB825" i="1"/>
  <c r="AB756" i="1"/>
  <c r="AB342" i="1"/>
  <c r="AB539" i="1"/>
  <c r="AB701" i="1"/>
  <c r="AB652" i="1"/>
  <c r="AB700" i="1"/>
  <c r="AB555" i="1"/>
  <c r="AB602" i="1"/>
  <c r="AB354" i="1"/>
  <c r="AB408" i="1"/>
  <c r="AB168" i="1"/>
  <c r="AB238" i="1"/>
  <c r="AB451" i="1"/>
  <c r="AB770" i="1"/>
  <c r="AB294" i="1"/>
  <c r="AB163" i="1"/>
  <c r="AB254" i="1"/>
  <c r="AB751" i="1"/>
  <c r="AB122" i="1"/>
  <c r="AB360" i="1"/>
  <c r="AB109" i="1"/>
  <c r="AB666" i="1"/>
  <c r="AB113" i="1"/>
  <c r="AB251" i="1"/>
  <c r="AB582" i="1"/>
  <c r="AB383" i="1"/>
  <c r="AB156" i="1"/>
  <c r="AB594" i="1"/>
  <c r="AB263" i="1"/>
  <c r="AB439" i="1"/>
  <c r="AB161" i="1"/>
  <c r="AB726" i="1"/>
  <c r="AB718" i="1"/>
  <c r="AB632" i="1"/>
  <c r="AB737" i="1"/>
  <c r="AB249" i="1"/>
  <c r="AB116" i="1"/>
  <c r="AB223" i="1"/>
  <c r="AB45" i="1"/>
  <c r="AB434" i="1"/>
  <c r="AB213" i="1"/>
  <c r="AB4" i="1"/>
  <c r="AB126" i="1"/>
  <c r="AB472" i="1"/>
  <c r="AB815" i="1"/>
  <c r="AB531" i="1"/>
  <c r="AB624" i="1"/>
  <c r="AB858" i="1"/>
  <c r="AB219" i="1"/>
  <c r="AB906" i="1"/>
  <c r="AB600" i="1"/>
  <c r="AB510" i="1"/>
  <c r="AB874" i="1"/>
  <c r="AB25" i="1"/>
  <c r="AB141" i="1"/>
  <c r="AB865" i="1"/>
  <c r="AB933" i="1"/>
  <c r="AB857" i="1"/>
  <c r="AB335" i="1"/>
  <c r="AB281" i="1"/>
  <c r="AB867" i="1"/>
  <c r="AB883" i="1"/>
  <c r="AB902" i="1"/>
  <c r="AB969" i="1"/>
  <c r="AB954" i="1"/>
  <c r="AB975" i="1"/>
  <c r="AB949" i="1"/>
  <c r="AB974" i="1"/>
  <c r="AB973" i="1"/>
  <c r="AB467" i="1"/>
  <c r="AB872" i="1"/>
  <c r="AB938" i="1"/>
  <c r="AB15" i="1"/>
  <c r="AB26" i="1"/>
  <c r="AB924" i="1"/>
  <c r="AB134" i="1"/>
  <c r="AB179" i="1"/>
  <c r="AB891" i="1"/>
  <c r="AB878" i="1"/>
  <c r="AB892" i="1"/>
  <c r="AB430" i="1"/>
  <c r="AB346" i="1"/>
  <c r="AB890" i="1"/>
  <c r="AB911" i="1"/>
  <c r="AB76" i="1"/>
  <c r="AB955" i="1"/>
  <c r="AB961" i="1"/>
  <c r="AB967" i="1"/>
  <c r="AB958" i="1"/>
  <c r="AB983" i="1"/>
  <c r="AB2" i="1"/>
  <c r="AB897" i="1"/>
  <c r="AB915" i="1"/>
  <c r="AB349" i="1"/>
  <c r="AB550" i="1"/>
  <c r="AB217" i="1"/>
  <c r="AB546" i="1"/>
  <c r="AB749" i="1"/>
  <c r="AB741" i="1"/>
  <c r="AB829" i="1"/>
  <c r="AB58" i="1"/>
  <c r="AB142" i="1"/>
  <c r="AB593" i="1"/>
  <c r="AB692" i="1"/>
  <c r="AB584" i="1"/>
  <c r="AB585" i="1"/>
  <c r="AB641" i="1"/>
  <c r="AB561" i="1"/>
  <c r="AB523" i="1"/>
  <c r="AB498" i="1"/>
  <c r="AB473" i="1"/>
  <c r="AB478" i="1"/>
  <c r="AB321" i="1"/>
  <c r="AB712" i="1"/>
  <c r="AB707" i="1"/>
  <c r="AB7" i="1"/>
  <c r="AB44" i="1"/>
  <c r="AB209" i="1"/>
  <c r="AB455" i="1"/>
  <c r="AB165" i="1"/>
  <c r="AB293" i="1"/>
  <c r="AB138" i="1"/>
  <c r="AB668" i="1"/>
  <c r="AB110" i="1"/>
  <c r="AB99" i="1"/>
  <c r="AB541" i="1"/>
  <c r="AB494" i="1"/>
  <c r="AB302" i="1"/>
  <c r="AB709" i="1"/>
  <c r="AB298" i="1"/>
  <c r="AB493" i="1"/>
  <c r="AB106" i="1"/>
  <c r="AB192" i="1"/>
  <c r="AB424" i="1"/>
  <c r="AB649" i="1"/>
  <c r="AB172" i="1"/>
  <c r="AB477" i="1"/>
  <c r="AB328" i="1"/>
  <c r="AB348" i="1"/>
  <c r="AB65" i="1"/>
  <c r="AB225" i="1"/>
  <c r="AB304" i="1"/>
  <c r="AB54" i="1"/>
  <c r="AB274" i="1"/>
  <c r="AB27" i="1"/>
  <c r="AB798" i="1"/>
  <c r="AB852" i="1"/>
  <c r="AB522" i="1"/>
  <c r="AB862" i="1"/>
  <c r="AB314" i="1"/>
  <c r="AB868" i="1"/>
  <c r="AB125" i="1"/>
  <c r="AB234" i="1"/>
  <c r="AB879" i="1"/>
  <c r="AB175" i="1"/>
  <c r="AB279" i="1"/>
  <c r="AB880" i="1"/>
  <c r="AB946" i="1"/>
  <c r="AB856" i="1"/>
  <c r="AB778" i="1"/>
  <c r="AB448" i="1"/>
  <c r="AB905" i="1"/>
  <c r="AB910" i="1"/>
  <c r="AB148" i="1"/>
  <c r="AB964" i="1"/>
  <c r="AB972" i="1"/>
  <c r="AB953" i="1"/>
  <c r="AB971" i="1"/>
  <c r="AB981" i="1"/>
  <c r="AB97" i="1"/>
  <c r="AB914" i="1"/>
  <c r="AB565" i="1"/>
  <c r="AB43" i="1"/>
  <c r="AB623" i="1"/>
  <c r="AB551" i="1"/>
  <c r="AB296" i="1"/>
  <c r="AB773" i="1"/>
  <c r="AB525" i="1"/>
  <c r="AB830" i="1"/>
  <c r="AB732" i="1"/>
  <c r="AB378" i="1"/>
  <c r="AB604" i="1"/>
  <c r="AB710" i="1"/>
  <c r="AB621" i="1"/>
  <c r="AB519" i="1"/>
  <c r="AB521" i="1"/>
  <c r="AB556" i="1"/>
  <c r="AB595" i="1"/>
  <c r="AB656" i="1"/>
  <c r="AB466" i="1"/>
  <c r="AB204" i="1"/>
  <c r="AB64" i="1"/>
  <c r="AB341" i="1"/>
  <c r="AB534" i="1"/>
  <c r="AB723" i="1"/>
  <c r="AB49" i="1"/>
  <c r="AB233" i="1"/>
  <c r="AB393" i="1"/>
  <c r="AB394" i="1"/>
  <c r="AB181" i="1"/>
  <c r="AB154" i="1"/>
  <c r="AB413" i="1"/>
  <c r="AB601" i="1"/>
  <c r="AB351" i="1"/>
  <c r="AB214" i="1"/>
  <c r="AB615" i="1"/>
  <c r="AB162" i="1"/>
  <c r="AB79" i="1"/>
  <c r="AB691" i="1"/>
  <c r="AB246" i="1"/>
  <c r="AB186" i="1"/>
  <c r="AB425" i="1"/>
  <c r="AB514" i="1"/>
  <c r="AB529" i="1"/>
  <c r="AB627" i="1"/>
  <c r="AB337" i="1"/>
  <c r="AB512" i="1"/>
  <c r="AB406" i="1"/>
  <c r="AB170" i="1"/>
  <c r="AB92" i="1"/>
  <c r="AB417" i="1"/>
  <c r="AB444" i="1"/>
  <c r="AB372" i="1"/>
  <c r="AB12" i="1"/>
  <c r="AB475" i="1"/>
  <c r="AB619" i="1"/>
  <c r="AB851" i="1"/>
  <c r="AB846" i="1"/>
  <c r="AB806" i="1"/>
  <c r="AB373" i="1"/>
  <c r="AB937" i="1"/>
  <c r="AB174" i="1"/>
  <c r="AB333" i="1"/>
  <c r="AB940" i="1"/>
  <c r="AB226" i="1"/>
  <c r="AB407" i="1"/>
  <c r="AB932" i="1"/>
  <c r="AB896" i="1"/>
  <c r="AB28" i="1"/>
  <c r="AB831" i="1"/>
  <c r="AB809" i="1"/>
  <c r="AB900" i="1"/>
  <c r="AB882" i="1"/>
  <c r="AB216" i="1"/>
  <c r="AB963" i="1"/>
  <c r="AB962" i="1"/>
  <c r="AB951" i="1"/>
  <c r="AB945" i="1"/>
  <c r="AB984" i="1"/>
  <c r="AB150" i="1"/>
  <c r="AB927" i="1"/>
  <c r="AB887" i="1"/>
</calcChain>
</file>

<file path=xl/sharedStrings.xml><?xml version="1.0" encoding="utf-8"?>
<sst xmlns="http://schemas.openxmlformats.org/spreadsheetml/2006/main" count="8982" uniqueCount="3843">
  <si>
    <t>Aantal van Datum</t>
  </si>
  <si>
    <t>41092 De Keyser Dorien</t>
  </si>
  <si>
    <t>Brusselsesteenweg</t>
  </si>
  <si>
    <t>Bus</t>
  </si>
  <si>
    <t>Tram</t>
  </si>
  <si>
    <t>40138 Moerman Tjimmy</t>
  </si>
  <si>
    <t>Gent</t>
  </si>
  <si>
    <t>41162 Hoeckman Jeroen</t>
  </si>
  <si>
    <t>Stelplaats E17</t>
  </si>
  <si>
    <t>40856 Neissi Sadegh</t>
  </si>
  <si>
    <t>Stelplaats GBR</t>
  </si>
  <si>
    <t>41032 Rocabado Hinojosa Lukas</t>
  </si>
  <si>
    <t>Gent Sint Pieters</t>
  </si>
  <si>
    <t>40652 Van Damme Gilyann</t>
  </si>
  <si>
    <t>Nieuwe Wandeling</t>
  </si>
  <si>
    <t>33965 Van de Gehuchte Gilles</t>
  </si>
  <si>
    <t>Rooigemlaan</t>
  </si>
  <si>
    <t>36428 Abdi Shaiye Rashid</t>
  </si>
  <si>
    <t>Dendermondsesteenweg</t>
  </si>
  <si>
    <t>40939 Cisse Sayon</t>
  </si>
  <si>
    <t>Zwijnaardsesteenweg</t>
  </si>
  <si>
    <t>36569 Stroobandt Jonas</t>
  </si>
  <si>
    <t>Dampoort</t>
  </si>
  <si>
    <t>19917 Vandevyvere Frank</t>
  </si>
  <si>
    <t>steendam</t>
  </si>
  <si>
    <t>41246 Van Holsbeeck Yana</t>
  </si>
  <si>
    <t>Voskenslaan</t>
  </si>
  <si>
    <t>25487 Devos Stefaan</t>
  </si>
  <si>
    <t>Deinze</t>
  </si>
  <si>
    <t>40223 Teetaert Billy</t>
  </si>
  <si>
    <t>Hundelgemsesteenweg</t>
  </si>
  <si>
    <t>36663 Cesmeli Achraf</t>
  </si>
  <si>
    <t>Morekstraat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</si>
  <si>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</si>
  <si>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</si>
  <si>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</si>
  <si>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</si>
  <si>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</si>
  <si>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</si>
  <si>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</si>
  <si>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</si>
  <si>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</si>
  <si>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</si>
  <si>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</si>
  <si>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</si>
  <si>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</si>
  <si>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</si>
  <si>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</si>
  <si>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</si>
  <si>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</si>
  <si>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</si>
  <si>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</si>
  <si>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</si>
  <si>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</si>
  <si>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</si>
  <si>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</si>
  <si>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</si>
  <si>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</si>
  <si>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</si>
  <si>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</si>
  <si>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</si>
  <si>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</si>
  <si>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</si>
  <si>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</si>
  <si>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</si>
  <si>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</si>
  <si>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</si>
  <si>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</si>
  <si>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</si>
  <si>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</si>
  <si>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</si>
  <si>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</si>
  <si>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</si>
  <si>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</si>
  <si>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</si>
  <si>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</si>
  <si>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</si>
  <si>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</si>
  <si>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</si>
  <si>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</si>
  <si>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</si>
  <si>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</si>
  <si>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</si>
  <si>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</si>
  <si>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</si>
  <si>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</si>
  <si>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</si>
  <si>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</si>
  <si>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</si>
  <si>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</si>
  <si>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</si>
  <si>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</si>
  <si>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</si>
  <si>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</si>
  <si>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</si>
  <si>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</si>
  <si>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</si>
  <si>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</si>
  <si>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</si>
  <si>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</si>
  <si>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</si>
  <si>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</si>
  <si>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</si>
  <si>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</si>
  <si>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</si>
  <si>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</si>
  <si>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</si>
  <si>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</si>
  <si>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</si>
  <si>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</si>
  <si>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</si>
  <si>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</si>
  <si>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</si>
  <si>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</si>
  <si>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</si>
  <si>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</si>
  <si>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</si>
  <si>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</si>
  <si>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</si>
  <si>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</si>
  <si>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</si>
  <si>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</si>
  <si>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</si>
  <si>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</si>
  <si>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</si>
  <si>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</si>
  <si>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</si>
  <si>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</si>
  <si>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</si>
  <si>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</si>
  <si>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</si>
  <si>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</si>
  <si>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</si>
  <si>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</si>
  <si>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</si>
  <si>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</si>
  <si>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</si>
  <si>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</si>
  <si>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</si>
  <si>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</si>
  <si>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</si>
  <si>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</si>
  <si>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</si>
  <si>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</si>
  <si>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</si>
  <si>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</si>
  <si>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</si>
  <si>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</si>
  <si>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</si>
  <si>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</si>
  <si>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</si>
  <si>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</si>
  <si>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</si>
  <si>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</si>
  <si>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</si>
  <si>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</si>
  <si>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</si>
  <si>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</si>
  <si>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</si>
  <si>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</si>
  <si>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</si>
  <si>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</si>
  <si>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</si>
  <si>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</si>
  <si>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</si>
  <si>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</si>
  <si>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</si>
  <si>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</si>
  <si>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</si>
  <si>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</si>
  <si>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</si>
  <si>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</si>
  <si>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</si>
  <si>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</si>
  <si>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</si>
  <si>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</si>
  <si>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</si>
  <si>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</si>
  <si>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</si>
  <si>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</si>
  <si>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</si>
  <si>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</si>
  <si>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</si>
  <si>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</si>
  <si>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</si>
  <si>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</si>
  <si>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</si>
  <si>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</si>
  <si>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</si>
  <si>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</si>
  <si>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</si>
  <si>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</si>
  <si>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</si>
  <si>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</si>
  <si>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</si>
  <si>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</si>
  <si>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</si>
  <si>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</si>
  <si>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</si>
  <si>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</si>
  <si>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</si>
  <si>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</si>
  <si>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</si>
  <si>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</si>
  <si>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</si>
  <si>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</si>
  <si>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</si>
  <si>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</si>
  <si>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</si>
  <si>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</si>
  <si>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</si>
  <si>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</si>
  <si>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</si>
  <si>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</si>
  <si>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</si>
  <si>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</si>
  <si>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</si>
  <si>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</si>
  <si>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</si>
  <si>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</si>
  <si>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</si>
  <si>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</si>
  <si>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</si>
  <si>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</si>
  <si>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</si>
  <si>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</si>
  <si>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</si>
  <si>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</si>
  <si>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</si>
  <si>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</si>
  <si>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</si>
  <si>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</si>
  <si>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</si>
  <si>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</si>
  <si>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</si>
  <si>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</si>
  <si>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</si>
  <si>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</si>
  <si>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</si>
  <si>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</si>
  <si>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</si>
  <si>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</si>
  <si>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</si>
  <si>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</si>
  <si>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</si>
  <si>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</si>
  <si>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</si>
  <si>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</si>
  <si>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</si>
  <si>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</si>
  <si>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</si>
  <si>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</si>
  <si>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</si>
  <si>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</si>
  <si>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</si>
  <si>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</si>
  <si>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</si>
  <si>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</si>
  <si>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</si>
  <si>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</si>
  <si>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</si>
  <si>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</si>
  <si>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</si>
  <si>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</si>
  <si>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</si>
  <si>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</si>
  <si>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</si>
  <si>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</si>
  <si>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</si>
  <si>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</si>
  <si>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</si>
  <si>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</si>
  <si>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</si>
  <si>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</si>
  <si>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</si>
  <si>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</si>
  <si>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</si>
  <si>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</si>
  <si>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</si>
  <si>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</si>
  <si>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</si>
  <si>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</si>
  <si>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</si>
  <si>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</si>
  <si>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</si>
  <si>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</si>
  <si>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</si>
  <si>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</si>
  <si>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</si>
  <si>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</si>
  <si>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</si>
  <si>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</si>
  <si>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</si>
  <si>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</si>
  <si>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</si>
  <si>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</si>
  <si>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</si>
  <si>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</si>
  <si>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</si>
  <si>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</si>
  <si>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</si>
  <si>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</si>
  <si>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</si>
  <si>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</si>
  <si>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</si>
  <si>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</si>
  <si>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</si>
  <si>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</si>
  <si>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</si>
  <si>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</si>
  <si>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</si>
  <si>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</si>
  <si>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</si>
  <si>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</si>
  <si>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</si>
  <si>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</si>
  <si>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</si>
  <si>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</si>
  <si>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</si>
  <si>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</si>
  <si>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</si>
  <si>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</si>
  <si>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</si>
  <si>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</si>
  <si>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</si>
  <si>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</si>
  <si>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</si>
  <si>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</si>
  <si>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</si>
  <si>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</si>
  <si>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</si>
  <si>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</si>
  <si>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</si>
  <si>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</si>
  <si>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</si>
  <si>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</si>
  <si>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</si>
  <si>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</si>
  <si>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</si>
  <si>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</si>
  <si>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</si>
  <si>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</si>
  <si>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</si>
  <si>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</si>
  <si>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</si>
  <si>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</si>
  <si>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</si>
  <si>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</si>
  <si>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</si>
  <si>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</si>
  <si>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</si>
  <si>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</si>
  <si>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</si>
  <si>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</si>
  <si>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</si>
  <si>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</si>
  <si>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</si>
  <si>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</si>
  <si>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</si>
  <si>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</si>
  <si>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</si>
  <si>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</si>
  <si>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</si>
  <si>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</si>
  <si>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</si>
  <si>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</si>
  <si>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</si>
  <si>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</si>
  <si>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</si>
  <si>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</si>
  <si>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</si>
  <si>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</si>
  <si>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</si>
  <si>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</si>
  <si>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</si>
  <si>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</si>
  <si>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</si>
  <si>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</si>
  <si>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</si>
  <si>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</si>
  <si>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</si>
  <si>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</si>
  <si>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</si>
  <si>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</si>
  <si>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</si>
  <si>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</si>
  <si>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</si>
  <si>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</si>
  <si>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</si>
  <si>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</si>
  <si>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</si>
  <si>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</si>
  <si>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</si>
  <si>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</si>
  <si>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</si>
  <si>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</si>
  <si>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</si>
  <si>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</si>
  <si>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</si>
  <si>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</si>
  <si>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</si>
  <si>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</si>
  <si>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</si>
  <si>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</si>
  <si>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</si>
  <si>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</si>
  <si>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</si>
  <si>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</si>
  <si>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</si>
  <si>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</si>
  <si>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</si>
  <si>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</si>
  <si>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</si>
  <si>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</si>
  <si>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</si>
  <si>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</si>
  <si>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</si>
  <si>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</si>
  <si>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</si>
  <si>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</si>
  <si>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</si>
  <si>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</si>
  <si>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</si>
  <si>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</si>
  <si>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</si>
  <si>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</si>
  <si>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</si>
  <si>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</si>
  <si>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</si>
  <si>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</si>
  <si>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</si>
  <si>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</si>
  <si>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</si>
  <si>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</si>
  <si>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</si>
  <si>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</si>
  <si>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</si>
  <si>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</si>
  <si>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</si>
  <si>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</si>
  <si>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</si>
  <si>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</si>
  <si>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</si>
  <si>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</si>
  <si>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</si>
  <si>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</si>
  <si>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</si>
  <si>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</si>
  <si>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</si>
  <si>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</si>
  <si>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</si>
  <si>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</si>
  <si>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</si>
  <si>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</si>
  <si>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</si>
  <si>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</si>
  <si>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</si>
  <si>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</si>
  <si>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</si>
  <si>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</si>
  <si>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</si>
  <si>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</si>
  <si>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</si>
  <si>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</si>
  <si>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</si>
  <si>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</si>
  <si>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</si>
  <si>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</si>
  <si>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</si>
  <si>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</si>
  <si>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</si>
  <si>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</si>
  <si>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</si>
  <si>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</si>
  <si>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</si>
  <si>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</si>
  <si>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</si>
  <si>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</si>
  <si>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</si>
  <si>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</si>
  <si>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</si>
  <si>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</si>
  <si>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</si>
  <si>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</si>
  <si>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</si>
  <si>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</si>
  <si>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</si>
  <si>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</si>
  <si>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</si>
  <si>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</si>
  <si>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</si>
  <si>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</si>
  <si>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</si>
  <si>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</si>
  <si>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</si>
  <si>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</si>
  <si>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</si>
  <si>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</si>
  <si>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</si>
  <si>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</si>
  <si>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</si>
  <si>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</si>
  <si>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</si>
  <si>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</si>
  <si>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</si>
  <si>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</si>
  <si>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</si>
  <si>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</si>
  <si>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</si>
  <si>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</si>
  <si>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</si>
  <si>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</si>
  <si>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</si>
  <si>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</si>
  <si>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</si>
  <si>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</si>
  <si>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</si>
  <si>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</si>
  <si>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</si>
  <si>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</si>
  <si>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</si>
  <si>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</si>
  <si>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</si>
  <si>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</si>
  <si>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</si>
  <si>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</si>
  <si>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</si>
  <si>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</si>
  <si>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</si>
  <si>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</si>
  <si>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</si>
  <si>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</si>
  <si>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</si>
  <si>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</si>
  <si>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</si>
  <si>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</si>
  <si>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</si>
  <si>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</si>
  <si>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</si>
  <si>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</si>
  <si>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</si>
  <si>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</si>
  <si>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</si>
  <si>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</si>
  <si>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</si>
  <si>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</si>
  <si>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</si>
  <si>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</si>
  <si>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</si>
  <si>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</si>
  <si>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</si>
  <si>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</si>
  <si>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</si>
  <si>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</si>
  <si>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</si>
  <si>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</si>
  <si>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</si>
  <si>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</si>
  <si>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</si>
  <si>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</si>
  <si>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</si>
  <si>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</si>
  <si>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</si>
  <si>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</si>
  <si>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</si>
  <si>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</si>
  <si>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</si>
  <si>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</si>
  <si>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</si>
  <si>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</si>
  <si>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</si>
  <si>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</si>
  <si>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</si>
  <si>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</si>
  <si>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</si>
  <si>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</si>
  <si>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</si>
  <si>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</si>
  <si>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</si>
  <si>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</si>
  <si>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</si>
  <si>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</si>
  <si>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</si>
  <si>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</si>
  <si>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</si>
  <si>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</si>
  <si>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</si>
  <si>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</si>
  <si>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</si>
  <si>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</si>
  <si>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</si>
  <si>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</si>
  <si>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</si>
  <si>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</si>
  <si>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</si>
  <si>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</si>
  <si>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</si>
  <si>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</si>
  <si>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</si>
  <si>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</si>
  <si>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</si>
  <si>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</si>
  <si>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</si>
  <si>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</si>
  <si>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</si>
  <si>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</si>
  <si>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</si>
  <si>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</si>
  <si>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</si>
  <si>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</si>
  <si>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</si>
  <si>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</si>
  <si>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</si>
  <si>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</si>
  <si>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</si>
  <si>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</si>
  <si>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</si>
  <si>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</si>
  <si>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</si>
  <si>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</si>
  <si>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</si>
  <si>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</si>
  <si>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</si>
  <si>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</si>
  <si>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</si>
  <si>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</si>
  <si>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</si>
  <si>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</si>
  <si>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</si>
  <si>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</si>
  <si>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</si>
  <si>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</si>
  <si>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</si>
  <si>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</si>
  <si>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</si>
  <si>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</si>
  <si>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</si>
  <si>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</si>
  <si>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</si>
  <si>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</si>
  <si>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</si>
  <si>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</si>
  <si>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</si>
  <si>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</si>
  <si>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</si>
  <si>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</si>
  <si>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</si>
  <si>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</si>
  <si>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</si>
  <si>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</si>
  <si>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</si>
  <si>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</si>
  <si>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</si>
  <si>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</si>
  <si>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</si>
  <si>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</si>
  <si>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</si>
  <si>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</si>
  <si>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</si>
  <si>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</si>
  <si>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</si>
  <si>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</si>
  <si>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</si>
  <si>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</si>
  <si>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</si>
  <si>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</si>
  <si>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</si>
  <si>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</si>
  <si>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</si>
  <si>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</si>
  <si>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</si>
  <si>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</si>
  <si>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</si>
  <si>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</si>
  <si>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</si>
  <si>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</si>
  <si>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</si>
  <si>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</si>
  <si>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</si>
  <si>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</si>
  <si>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</si>
  <si>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</si>
  <si>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</si>
  <si>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</si>
  <si>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</si>
  <si>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</si>
  <si>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</si>
  <si>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</si>
  <si>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</si>
  <si>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</si>
  <si>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</si>
  <si>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</si>
  <si>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</si>
  <si>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</si>
  <si>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</si>
  <si>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</si>
  <si>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</si>
  <si>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</si>
  <si>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</si>
  <si>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</si>
  <si>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</si>
  <si>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</si>
  <si>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</si>
  <si>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</si>
  <si>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</si>
  <si>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</si>
  <si>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</si>
  <si>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</si>
  <si>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</si>
  <si>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</si>
  <si>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</si>
  <si>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</si>
  <si>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</si>
  <si>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</si>
  <si>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</si>
  <si>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</si>
  <si>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</si>
  <si>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</si>
  <si>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</si>
  <si>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</si>
  <si>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</si>
  <si>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</si>
  <si>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</si>
  <si>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</si>
  <si>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</si>
  <si>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</si>
  <si>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</si>
  <si>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</si>
  <si>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</si>
  <si>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</si>
  <si>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</si>
  <si>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</si>
  <si>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</si>
  <si>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</si>
  <si>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</si>
  <si>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</si>
  <si>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</si>
  <si>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</si>
  <si>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</si>
  <si>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</si>
  <si>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</si>
  <si>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</si>
  <si>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</si>
  <si>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</si>
  <si>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</si>
  <si>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</si>
  <si>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</si>
  <si>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</si>
  <si>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</si>
  <si>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</si>
  <si>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</si>
  <si>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</si>
  <si>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</si>
  <si>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</si>
  <si>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</si>
  <si>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</si>
  <si>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</si>
  <si>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</si>
  <si>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</si>
  <si>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</si>
  <si>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</si>
  <si>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</si>
  <si>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</si>
  <si>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</si>
  <si>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</si>
  <si>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</si>
  <si>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</si>
  <si>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</si>
  <si>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</si>
  <si>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</si>
  <si>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</si>
  <si>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</si>
  <si>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</si>
  <si>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</si>
  <si>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</si>
  <si>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</si>
  <si>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</si>
  <si>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</si>
  <si>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</si>
  <si>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</si>
  <si>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</si>
  <si>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</si>
  <si>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</si>
  <si>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</si>
  <si>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</si>
  <si>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</si>
  <si>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</si>
  <si>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</si>
  <si>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</si>
  <si>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</si>
  <si>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</si>
  <si>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</si>
  <si>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</si>
  <si>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</si>
  <si>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</si>
  <si>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</si>
  <si>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</si>
  <si>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</si>
  <si>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</si>
  <si>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</si>
  <si>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</si>
  <si>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</si>
  <si>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</si>
  <si>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</si>
  <si>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</si>
  <si>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</si>
  <si>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</si>
  <si>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</si>
  <si>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</si>
  <si>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</si>
  <si>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</si>
  <si>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</si>
  <si>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</si>
  <si>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</si>
  <si>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</si>
  <si>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</si>
  <si>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</si>
  <si>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</si>
  <si>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</si>
  <si>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</si>
  <si>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</si>
  <si>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</si>
  <si>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</si>
  <si>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</si>
  <si>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</si>
  <si>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</si>
  <si>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</si>
  <si>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</si>
  <si>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</si>
  <si>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</si>
  <si>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</si>
  <si>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</si>
  <si>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</si>
  <si>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</si>
  <si>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</si>
  <si>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</si>
  <si>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</si>
  <si>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</si>
  <si>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</si>
  <si>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</si>
  <si>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</si>
  <si>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</si>
  <si>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</si>
  <si>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</si>
  <si>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</si>
  <si>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</si>
  <si>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</si>
  <si>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</si>
  <si>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</si>
  <si>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</si>
  <si>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</si>
  <si>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</si>
  <si>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</si>
  <si>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</si>
  <si>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</si>
  <si>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</si>
  <si>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</si>
  <si>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</si>
  <si>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</si>
  <si>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</si>
  <si>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</si>
  <si>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</si>
  <si>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</si>
  <si>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</si>
  <si>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</si>
  <si>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</si>
  <si>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</si>
  <si>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</si>
  <si>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</si>
  <si>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</si>
  <si>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</si>
  <si>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</si>
  <si>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</si>
  <si>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</si>
  <si>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</si>
  <si>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</si>
  <si>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</si>
  <si>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</si>
  <si>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</si>
  <si>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</si>
  <si>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</si>
  <si>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</si>
  <si>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</si>
  <si>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</si>
  <si>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</si>
  <si>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</si>
  <si>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</si>
  <si>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</si>
  <si>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</si>
  <si>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</si>
  <si>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</si>
  <si>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</si>
  <si>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</si>
  <si>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</si>
  <si>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</si>
  <si>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</si>
  <si>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</si>
  <si>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</si>
  <si>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</si>
  <si>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</si>
  <si>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</si>
  <si>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</si>
  <si>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</si>
  <si>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</si>
  <si>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</si>
  <si>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</si>
  <si>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</si>
  <si>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</si>
  <si>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</si>
  <si>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</si>
  <si>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</si>
  <si>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</si>
  <si>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</si>
  <si>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</si>
  <si>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</si>
  <si>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</si>
  <si>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</si>
  <si>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</si>
  <si>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</si>
  <si>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</si>
  <si>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</si>
  <si>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</si>
  <si>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</si>
  <si>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</si>
  <si>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</si>
  <si>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</si>
  <si>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</si>
  <si>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</si>
  <si>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</si>
  <si>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</si>
  <si>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</si>
  <si>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</si>
  <si>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</si>
  <si>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</si>
  <si>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</si>
  <si>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</si>
  <si>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</si>
  <si>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</si>
  <si>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</si>
  <si>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</si>
  <si>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</si>
  <si>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</si>
  <si>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</si>
  <si>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</si>
  <si>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</si>
  <si>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</si>
  <si>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</si>
  <si>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</si>
  <si>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</si>
  <si>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</si>
  <si>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</si>
  <si>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</si>
  <si>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</si>
  <si>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</si>
  <si>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</si>
  <si>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</si>
  <si>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</si>
  <si>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</si>
  <si>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</si>
  <si>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</si>
  <si>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</si>
  <si>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</si>
  <si>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</si>
  <si>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</si>
  <si>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</si>
  <si>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</si>
  <si>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</si>
  <si>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</si>
  <si>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</si>
  <si>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</si>
  <si>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</si>
  <si>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</si>
  <si>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</si>
  <si>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</si>
  <si>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</si>
  <si>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</si>
  <si>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</si>
  <si>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</si>
  <si>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</si>
  <si>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</si>
  <si>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</si>
  <si>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</si>
  <si>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</si>
  <si>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</si>
  <si>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</si>
  <si>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</si>
  <si>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</si>
  <si>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</si>
  <si>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</si>
  <si>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</si>
  <si>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</si>
  <si>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</si>
  <si>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</si>
  <si>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</si>
  <si>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</si>
  <si>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</si>
  <si>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</si>
  <si>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</si>
  <si>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</si>
  <si>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</si>
  <si>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</si>
  <si>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</si>
  <si>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</si>
  <si>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</si>
  <si>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</si>
  <si>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</si>
  <si>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</si>
  <si>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</si>
  <si>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</si>
  <si>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</si>
  <si>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</si>
  <si>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</si>
  <si>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</si>
  <si>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</si>
  <si>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</si>
  <si>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</si>
  <si>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</si>
  <si>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</si>
  <si>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</si>
  <si>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</si>
  <si>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</si>
  <si>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</si>
  <si>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</si>
  <si>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</si>
  <si>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</si>
  <si>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</si>
  <si>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</si>
  <si>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</si>
  <si>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</si>
  <si>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</si>
  <si>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</si>
  <si>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</si>
  <si>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</si>
  <si>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</si>
  <si>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</si>
  <si>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</si>
  <si>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</si>
  <si>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</si>
  <si>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</si>
  <si>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</si>
  <si>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</si>
  <si>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</si>
  <si>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</si>
  <si>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</si>
  <si>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</si>
  <si>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</si>
  <si>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</si>
  <si>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</si>
  <si>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</si>
  <si>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</si>
  <si>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</si>
  <si>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</si>
  <si>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</si>
  <si>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</si>
  <si>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</si>
  <si>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</si>
  <si>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</si>
  <si>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</si>
  <si>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</si>
  <si>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</si>
  <si>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</si>
  <si>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</si>
  <si>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</si>
  <si>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</si>
  <si>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</si>
  <si>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</si>
  <si>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</si>
  <si>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</si>
  <si>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</si>
  <si>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</si>
  <si>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</si>
  <si>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</si>
  <si>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</si>
  <si>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</si>
  <si>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</si>
  <si>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</si>
  <si>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</si>
  <si>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</si>
  <si>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</si>
  <si>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</si>
  <si>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</si>
  <si>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</si>
  <si>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</si>
  <si>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</si>
  <si>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</si>
  <si>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</si>
  <si>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</si>
  <si>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</si>
  <si>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</si>
  <si>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</si>
  <si>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</si>
  <si>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</si>
  <si>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</si>
  <si>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</si>
  <si>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</si>
  <si>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</si>
  <si>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</si>
  <si>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</si>
  <si>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</si>
  <si>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</si>
  <si>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</si>
  <si>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</si>
  <si>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</si>
  <si>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</si>
  <si>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</si>
  <si>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</si>
  <si>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</si>
  <si>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</si>
  <si>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</si>
  <si>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</si>
  <si>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</si>
  <si>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</si>
  <si>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</si>
  <si>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</si>
  <si>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</si>
  <si>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</si>
  <si>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</si>
  <si>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</si>
  <si>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</si>
  <si>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</si>
  <si>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</si>
  <si>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</si>
  <si>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</si>
  <si>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</si>
  <si>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</si>
  <si>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</si>
  <si>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</si>
  <si>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</si>
  <si>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</si>
  <si>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</si>
  <si>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</si>
  <si>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</si>
  <si>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</si>
  <si>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</si>
  <si>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</si>
  <si>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</si>
  <si>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</si>
  <si>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</si>
  <si>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</si>
  <si>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</si>
  <si>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</si>
  <si>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</si>
  <si>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</si>
  <si>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</si>
  <si>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</si>
  <si>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</si>
  <si>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</si>
  <si>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</si>
  <si>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</si>
  <si>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</si>
  <si>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</si>
  <si>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</si>
  <si>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</si>
  <si>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</si>
  <si>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</si>
  <si>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</si>
  <si>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</si>
  <si>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</si>
  <si>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</si>
  <si>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</si>
  <si>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</si>
  <si>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</si>
  <si>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</si>
  <si>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</si>
  <si>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</si>
  <si>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</si>
  <si>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</si>
  <si>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</si>
  <si>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</si>
  <si>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</si>
  <si>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</si>
  <si>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</si>
  <si>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</si>
  <si>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</si>
  <si>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</si>
  <si>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</si>
  <si>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</si>
  <si>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</si>
  <si>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</si>
  <si>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</si>
  <si>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</si>
  <si>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</si>
  <si>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</si>
  <si>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</si>
  <si>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</si>
  <si>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</si>
  <si>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</si>
  <si>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</si>
  <si>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</si>
  <si>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</si>
  <si>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</si>
  <si>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</si>
  <si>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</si>
  <si>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</si>
  <si>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</si>
  <si>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</si>
  <si>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</si>
  <si>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</si>
  <si>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</si>
  <si>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</si>
  <si>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</si>
  <si>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</si>
  <si>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</si>
  <si>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</si>
  <si>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</si>
  <si>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</si>
  <si>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</si>
  <si>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</si>
  <si>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</si>
  <si>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</si>
  <si>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</si>
  <si>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</si>
  <si>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</si>
  <si>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</si>
  <si>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</si>
  <si>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</si>
  <si>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</si>
  <si>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</si>
  <si>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</si>
  <si>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</si>
  <si>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</si>
  <si>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</si>
  <si>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</si>
  <si>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</si>
  <si>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</si>
  <si>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</si>
  <si>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</si>
  <si>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</si>
  <si>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</si>
  <si>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</si>
  <si>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</si>
  <si>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</si>
  <si>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</si>
  <si>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</si>
  <si>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</si>
  <si>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</si>
  <si>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</si>
  <si>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</si>
  <si>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</si>
  <si>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</si>
  <si>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</si>
  <si>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</si>
  <si>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</si>
  <si>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</si>
  <si>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</si>
  <si>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</si>
  <si>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</si>
  <si>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</si>
  <si>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</si>
  <si>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</si>
  <si>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</si>
  <si>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</si>
  <si>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</si>
  <si>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</si>
  <si>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</si>
  <si>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</si>
  <si>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</si>
  <si>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</si>
  <si>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</si>
  <si>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</si>
  <si>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</si>
  <si>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</si>
  <si>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</si>
  <si>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</si>
  <si>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</si>
  <si>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</si>
  <si>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</si>
  <si>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</si>
  <si>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</si>
  <si>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</si>
  <si>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</si>
  <si>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</si>
  <si>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</si>
  <si>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</si>
  <si>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</si>
  <si>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</si>
  <si>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</si>
  <si>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</si>
  <si>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</si>
  <si>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</si>
  <si>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</si>
  <si>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</si>
  <si>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</si>
  <si>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</si>
  <si>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</si>
  <si>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</si>
  <si>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</si>
  <si>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</si>
  <si>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</si>
  <si>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</si>
  <si>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</si>
  <si>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</si>
  <si>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</si>
  <si>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</si>
  <si>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</si>
  <si>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</si>
  <si>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</si>
  <si>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</si>
  <si>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</si>
  <si>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</si>
  <si>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</si>
  <si>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</si>
  <si>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</si>
  <si>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</si>
  <si>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</si>
  <si>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</si>
  <si>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</si>
  <si>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</si>
  <si>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</si>
  <si>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</si>
  <si>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</si>
  <si>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</si>
  <si>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</si>
  <si>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</si>
  <si>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</si>
  <si>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</si>
  <si>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</si>
  <si>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</si>
  <si>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</si>
  <si>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</si>
  <si>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</si>
  <si>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</si>
  <si>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</si>
  <si>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</si>
  <si>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</si>
  <si>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</si>
  <si>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</si>
  <si>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</si>
  <si>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</si>
  <si>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</si>
  <si>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</si>
  <si>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</si>
  <si>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</si>
  <si>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</si>
  <si>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</si>
  <si>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</si>
  <si>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</si>
  <si>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</si>
  <si>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</si>
  <si>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</si>
  <si>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</si>
  <si>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</si>
  <si>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</si>
  <si>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</si>
  <si>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</si>
  <si>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</si>
  <si>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</si>
  <si>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</si>
  <si>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</si>
  <si>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</si>
  <si>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</si>
  <si>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</si>
  <si>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</si>
  <si>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</si>
  <si>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</si>
  <si>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</si>
  <si>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</si>
  <si>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</si>
  <si>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</si>
  <si>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</si>
  <si>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</si>
  <si>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</si>
  <si>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</si>
  <si>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</si>
  <si>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</si>
  <si>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</si>
  <si>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</si>
  <si>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</si>
  <si>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</si>
  <si>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</si>
  <si>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</si>
  <si>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</si>
  <si>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</si>
  <si>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</si>
  <si>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</si>
  <si>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</si>
  <si>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</si>
  <si>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</si>
  <si>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</si>
  <si>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</si>
  <si>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</si>
  <si>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</si>
  <si>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</si>
  <si>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</si>
  <si>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</si>
  <si>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</si>
  <si>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</si>
  <si>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</si>
  <si>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</si>
  <si>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</si>
  <si>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</si>
  <si>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</si>
  <si>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</si>
  <si>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</si>
  <si>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</si>
  <si>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</si>
  <si>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</si>
  <si>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</si>
  <si>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</si>
  <si>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</si>
  <si>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</si>
  <si>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</si>
  <si>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</si>
  <si>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</si>
  <si>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</si>
  <si>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</si>
  <si>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</si>
  <si>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</si>
  <si>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</si>
  <si>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</si>
  <si>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</si>
  <si>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</si>
  <si>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</si>
  <si>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</si>
  <si>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</si>
  <si>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</si>
  <si>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</si>
  <si>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</si>
  <si>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</si>
  <si>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</si>
  <si>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</si>
  <si>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</si>
  <si>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</si>
  <si>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</si>
  <si>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</si>
  <si>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</si>
  <si>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</si>
  <si>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</si>
  <si>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</si>
  <si>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</si>
  <si>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</si>
  <si>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</si>
  <si>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</si>
  <si>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</si>
  <si>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</si>
  <si>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</si>
  <si>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</si>
  <si>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</si>
  <si>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</si>
  <si>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</si>
  <si>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</si>
  <si>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</si>
  <si>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</si>
  <si>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</si>
  <si>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</si>
  <si>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</si>
  <si>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</si>
  <si>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</si>
  <si>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</si>
  <si>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</si>
  <si>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</si>
  <si>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</si>
  <si>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</si>
  <si>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</si>
  <si>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</si>
  <si>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</si>
  <si>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</si>
  <si>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</si>
  <si>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</si>
  <si>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</si>
  <si>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</si>
  <si>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</si>
  <si>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</si>
  <si>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</si>
  <si>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</si>
  <si>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</si>
  <si>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</si>
  <si>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</si>
  <si>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</si>
  <si>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</si>
  <si>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</si>
  <si>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</si>
  <si>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</si>
  <si>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</si>
  <si>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</si>
  <si>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</si>
  <si>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</si>
  <si>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</si>
  <si>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</si>
  <si>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</si>
  <si>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</si>
  <si>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</si>
  <si>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</si>
  <si>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</si>
  <si>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</si>
  <si>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</si>
  <si>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</si>
  <si>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</si>
  <si>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</si>
  <si>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</si>
  <si>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</si>
  <si>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</si>
  <si>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</si>
  <si>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</si>
  <si>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</si>
  <si>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</si>
  <si>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</si>
  <si>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</si>
  <si>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</si>
  <si>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</si>
  <si>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</si>
  <si>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</si>
  <si>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</si>
  <si>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</si>
  <si>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</si>
  <si>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</si>
  <si>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</si>
  <si>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</si>
  <si>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</si>
  <si>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</si>
  <si>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</si>
  <si>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</si>
  <si>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</si>
  <si>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</si>
  <si>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</si>
  <si>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</si>
  <si>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</si>
  <si>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</si>
  <si>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</si>
  <si>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</si>
  <si>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</si>
  <si>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</si>
  <si>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</si>
  <si>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</si>
  <si>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</si>
  <si>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</si>
  <si>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</si>
  <si>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</si>
  <si>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</si>
  <si>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</si>
  <si>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</si>
  <si>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</si>
  <si>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</si>
  <si>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</si>
  <si>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</si>
  <si>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</si>
  <si>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</si>
  <si>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</si>
  <si>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</si>
  <si>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</si>
  <si>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</si>
  <si>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</si>
  <si>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</si>
  <si>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</si>
  <si>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</si>
  <si>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</si>
  <si>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</si>
  <si>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</si>
  <si>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</si>
  <si>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</si>
  <si>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</si>
  <si>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</si>
  <si>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</si>
  <si>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</si>
  <si>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</si>
  <si>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</si>
  <si>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</si>
  <si>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</si>
  <si>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</si>
  <si>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</si>
  <si>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</si>
  <si>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</si>
  <si>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</si>
  <si>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</si>
  <si>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</si>
  <si>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</si>
  <si>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</si>
  <si>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</si>
  <si>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</si>
  <si>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</si>
  <si>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</si>
  <si>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</si>
  <si>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</si>
  <si>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</si>
  <si>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</si>
  <si>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</si>
  <si>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</si>
  <si>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</si>
  <si>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</si>
  <si>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</si>
  <si>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</si>
  <si>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</si>
  <si>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</si>
  <si>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</si>
  <si>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</si>
  <si>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</si>
  <si>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</si>
  <si>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</si>
  <si>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</si>
  <si>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</si>
  <si>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</si>
  <si>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</si>
  <si>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</si>
  <si>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</si>
  <si>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</si>
  <si>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</si>
  <si>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</si>
  <si>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</si>
  <si>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</si>
  <si>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</si>
  <si>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</si>
  <si>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</si>
  <si>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</si>
  <si>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</si>
  <si>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</si>
  <si>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</si>
  <si>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</si>
  <si>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</si>
  <si>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</si>
  <si>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</si>
  <si>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</si>
  <si>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</si>
  <si>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</si>
  <si>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</si>
  <si>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</si>
  <si>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</si>
  <si>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</si>
  <si>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</si>
  <si>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</si>
  <si>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</si>
  <si>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</si>
  <si>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</si>
  <si>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</si>
  <si>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</si>
  <si>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</si>
  <si>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</si>
  <si>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</si>
  <si>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</si>
  <si>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</si>
  <si>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</si>
  <si>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</si>
  <si>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</si>
  <si>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</si>
  <si>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</si>
  <si>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</si>
  <si>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</si>
  <si>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</si>
  <si>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</si>
  <si>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</si>
  <si>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</si>
  <si>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</si>
  <si>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</si>
  <si>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</si>
  <si>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</si>
  <si>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</si>
  <si>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</si>
  <si>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</si>
  <si>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</si>
  <si>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</si>
  <si>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</si>
  <si>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</si>
  <si>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</si>
  <si>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</si>
  <si>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</si>
  <si>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</si>
  <si>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</si>
  <si>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</si>
  <si>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</si>
  <si>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</si>
  <si>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</si>
  <si>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</si>
  <si>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</si>
  <si>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</si>
  <si>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</si>
  <si>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</si>
  <si>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</si>
  <si>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</si>
  <si>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</si>
  <si>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</si>
  <si>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</si>
  <si>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</si>
  <si>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</si>
  <si>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</si>
  <si>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</si>
  <si>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</si>
  <si>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</si>
  <si>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</si>
  <si>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</si>
  <si>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</si>
  <si>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</si>
  <si>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</si>
  <si>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</si>
  <si>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</si>
  <si>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</si>
  <si>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</si>
  <si>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</si>
  <si>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</si>
  <si>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</si>
  <si>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</si>
  <si>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</si>
  <si>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</si>
  <si>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</si>
  <si>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</si>
  <si>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</si>
  <si>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</si>
  <si>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</si>
  <si>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</si>
  <si>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</si>
  <si>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</si>
  <si>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</si>
  <si>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</si>
  <si>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</si>
  <si>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</si>
  <si>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</si>
  <si>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</si>
  <si>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</si>
  <si>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</si>
  <si>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</si>
  <si>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</si>
  <si>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</si>
  <si>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</si>
  <si>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</si>
  <si>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</si>
  <si>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</si>
  <si>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</si>
  <si>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</si>
  <si>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</si>
  <si>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</si>
  <si>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</si>
  <si>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</si>
  <si>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</si>
  <si>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</si>
  <si>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</si>
  <si>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</si>
  <si>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</si>
  <si>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</si>
  <si>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</si>
  <si>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</si>
  <si>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</si>
  <si>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</si>
  <si>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</si>
  <si>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</si>
  <si>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</si>
  <si>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</si>
  <si>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</si>
  <si>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</si>
  <si>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</si>
  <si>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</si>
  <si>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</si>
  <si>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</si>
  <si>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</si>
  <si>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</si>
  <si>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</si>
  <si>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</si>
  <si>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</si>
  <si>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</si>
  <si>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</si>
  <si>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</si>
  <si>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</si>
  <si>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</si>
  <si>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</si>
  <si>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</si>
  <si>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</si>
  <si>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</si>
  <si>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</si>
  <si>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</si>
  <si>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</si>
  <si>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</si>
  <si>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</si>
  <si>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</si>
  <si>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</si>
  <si>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</si>
  <si>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</si>
  <si>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</si>
  <si>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</si>
  <si>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</si>
  <si>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</si>
  <si>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</si>
  <si>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</si>
  <si>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</si>
  <si>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</si>
  <si>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</si>
  <si>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</si>
  <si>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</si>
  <si>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</si>
  <si>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</si>
  <si>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</si>
  <si>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</si>
  <si>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</si>
  <si>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</si>
  <si>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</si>
  <si>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</si>
  <si>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</si>
  <si>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</si>
  <si>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</si>
  <si>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</si>
  <si>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</si>
  <si>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</si>
  <si>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</si>
  <si>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</si>
  <si>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</si>
  <si>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</si>
  <si>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</si>
  <si>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</si>
  <si>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</si>
  <si>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</si>
  <si>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</si>
  <si>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</si>
  <si>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</si>
  <si>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</si>
  <si>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</si>
  <si>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</si>
  <si>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</si>
  <si>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</si>
  <si>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</si>
  <si>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</si>
  <si>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</si>
  <si>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</si>
  <si>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</si>
  <si>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</si>
  <si>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</si>
  <si>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</si>
  <si>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</si>
  <si>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</si>
  <si>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</si>
  <si>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</si>
  <si>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</si>
  <si>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</si>
  <si>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</si>
  <si>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</si>
  <si>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</si>
  <si>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</si>
  <si>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</si>
  <si>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</si>
  <si>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</si>
  <si>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</si>
  <si>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</si>
  <si>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</si>
  <si>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</si>
  <si>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</si>
  <si>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</si>
  <si>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</si>
  <si>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</si>
  <si>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</si>
  <si>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</si>
  <si>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</si>
  <si>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</si>
  <si>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</si>
  <si>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</si>
  <si>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</si>
  <si>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</si>
  <si>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</si>
  <si>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</si>
  <si>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</si>
  <si>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</si>
  <si>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</si>
  <si>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</si>
  <si>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</si>
  <si>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</si>
  <si>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</si>
  <si>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</si>
  <si>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</si>
  <si>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</si>
  <si>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</si>
  <si>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</si>
  <si>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</si>
  <si>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</si>
  <si>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</si>
  <si>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</si>
  <si>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</si>
  <si>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</si>
  <si>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</si>
  <si>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</si>
  <si>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</si>
  <si>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</si>
  <si>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</si>
  <si>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</si>
  <si>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</si>
  <si>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</si>
  <si>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</si>
  <si>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</si>
  <si>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</si>
  <si>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</si>
  <si>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</si>
  <si>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</si>
  <si>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</si>
  <si>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</si>
  <si>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</si>
  <si>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</si>
  <si>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</si>
  <si>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</si>
  <si>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</si>
  <si>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</si>
  <si>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</si>
  <si>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</si>
  <si>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</si>
  <si>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</si>
  <si>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</si>
  <si>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</si>
  <si>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</si>
  <si>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</si>
  <si>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</si>
  <si>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</si>
  <si>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</si>
  <si>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</si>
  <si>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</si>
  <si>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</si>
  <si>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</si>
  <si>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</si>
  <si>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</si>
  <si>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</si>
  <si>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</si>
  <si>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</si>
  <si>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</si>
  <si>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</si>
  <si>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</si>
  <si>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</si>
  <si>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</si>
  <si>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</si>
  <si>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</si>
  <si>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</si>
  <si>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</si>
  <si>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</si>
  <si>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</si>
  <si>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</si>
  <si>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</si>
  <si>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</si>
  <si>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</si>
  <si>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</si>
  <si>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</si>
  <si>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</si>
  <si>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</si>
  <si>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</si>
  <si>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</si>
  <si>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</si>
  <si>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</si>
  <si>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</si>
  <si>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</si>
  <si>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</si>
  <si>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</si>
  <si>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</si>
  <si>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</si>
  <si>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</si>
  <si>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</si>
  <si>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</si>
  <si>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</si>
  <si>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</si>
  <si>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</si>
  <si>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</si>
  <si>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</si>
  <si>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</si>
  <si>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</si>
  <si>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</si>
  <si>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</si>
  <si>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</si>
  <si>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</si>
  <si>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</si>
  <si>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</si>
  <si>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</si>
  <si>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</si>
  <si>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</si>
  <si>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</si>
  <si>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</si>
  <si>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</si>
  <si>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</si>
  <si>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</si>
  <si>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</si>
  <si>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</si>
  <si>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</si>
  <si>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</si>
  <si>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</si>
  <si>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</si>
  <si>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</si>
  <si>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</si>
  <si>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</si>
  <si>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</si>
  <si>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</si>
  <si>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</si>
  <si>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</si>
  <si>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</si>
  <si>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</si>
  <si>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</si>
  <si>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</si>
  <si>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</si>
  <si>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</si>
  <si>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</si>
  <si>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</si>
  <si>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</si>
  <si>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</si>
  <si>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</si>
  <si>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</si>
  <si>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</si>
  <si>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</si>
  <si>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</si>
  <si>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</si>
  <si>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</si>
  <si>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</si>
  <si>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</si>
  <si>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</si>
  <si>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</si>
  <si>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</si>
  <si>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</si>
  <si>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</si>
  <si>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</si>
  <si>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</si>
  <si>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</si>
  <si>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</si>
  <si>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</si>
  <si>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</si>
  <si>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</si>
  <si>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</si>
  <si>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</si>
  <si>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</si>
  <si>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</si>
  <si>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</si>
  <si>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</si>
  <si>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</si>
  <si>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</si>
  <si>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</si>
  <si>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</si>
  <si>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</si>
  <si>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</si>
  <si>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</si>
  <si>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</si>
  <si>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</si>
  <si>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</si>
  <si>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</si>
  <si>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</si>
  <si>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</si>
  <si>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</si>
  <si>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</si>
  <si>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</si>
  <si>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</si>
  <si>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</si>
  <si>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</si>
  <si>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</si>
  <si>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</si>
  <si>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</si>
  <si>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</si>
  <si>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</si>
  <si>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</si>
  <si>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</si>
  <si>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</si>
  <si>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</si>
  <si>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</si>
  <si>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</si>
  <si>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</si>
  <si>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</si>
  <si>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</si>
  <si>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</si>
  <si>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</si>
  <si>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</si>
  <si>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</si>
  <si>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</si>
  <si>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</si>
  <si>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</si>
  <si>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</si>
  <si>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</si>
  <si>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</si>
  <si>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</si>
  <si>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</si>
  <si>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</si>
  <si>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</si>
  <si>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</si>
  <si>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</si>
  <si>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</si>
  <si>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</si>
  <si>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</si>
  <si>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</si>
  <si>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</si>
  <si>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</si>
  <si>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</si>
  <si>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</si>
  <si>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</si>
  <si>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</si>
  <si>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</si>
  <si>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</si>
  <si>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</si>
  <si>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</si>
  <si>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</si>
  <si>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</si>
  <si>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</si>
  <si>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</si>
  <si>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</si>
  <si>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</si>
  <si>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</si>
  <si>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</si>
  <si>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</si>
  <si>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</si>
  <si>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</si>
  <si>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</si>
  <si>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</si>
  <si>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</si>
  <si>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</si>
  <si>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</si>
  <si>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</si>
  <si>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</si>
  <si>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</si>
  <si>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</si>
  <si>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</si>
  <si>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</si>
  <si>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</si>
  <si>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</si>
  <si>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</si>
  <si>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</si>
  <si>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</si>
  <si>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</si>
  <si>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</si>
  <si>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</si>
  <si>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</si>
  <si>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</si>
  <si>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</si>
  <si>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</si>
  <si>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</si>
  <si>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</si>
  <si>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</si>
  <si>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</si>
  <si>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</si>
  <si>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</si>
  <si>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</si>
  <si>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</si>
  <si>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</si>
  <si>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</si>
  <si>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</si>
  <si>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</si>
  <si>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</si>
  <si>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</si>
  <si>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</si>
  <si>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</si>
  <si>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</si>
  <si>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</si>
  <si>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</si>
  <si>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</si>
  <si>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</si>
  <si>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</si>
  <si>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</si>
  <si>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</si>
  <si>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</si>
  <si>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</si>
  <si>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</si>
  <si>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</si>
  <si>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</si>
  <si>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</si>
  <si>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</si>
  <si>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</si>
  <si>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</si>
  <si>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</si>
  <si>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</si>
  <si>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</si>
  <si>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</si>
  <si>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</si>
  <si>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</si>
  <si>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</si>
  <si>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</si>
  <si>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</si>
  <si>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</si>
  <si>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</si>
  <si>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</si>
  <si>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</si>
  <si>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</si>
  <si>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</si>
  <si>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</si>
  <si>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</si>
  <si>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</si>
  <si>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</si>
  <si>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</si>
  <si>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</si>
  <si>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</si>
  <si>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</si>
  <si>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</si>
  <si>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</si>
  <si>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</si>
  <si>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</si>
  <si>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</si>
  <si>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</si>
  <si>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</si>
  <si>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</si>
  <si>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</si>
  <si>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</si>
  <si>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</si>
  <si>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</si>
  <si>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</si>
  <si>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</si>
  <si>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</si>
  <si>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</si>
  <si>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</si>
  <si>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</si>
  <si>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</si>
  <si>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</si>
  <si>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</si>
  <si>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</si>
  <si>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</si>
  <si>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</si>
  <si>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</si>
  <si>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</si>
  <si>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</si>
  <si>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</si>
  <si>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</si>
  <si>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</si>
  <si>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</si>
  <si>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</si>
  <si>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</si>
  <si>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</si>
  <si>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</si>
  <si>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</si>
  <si>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</si>
  <si>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</si>
  <si>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</si>
  <si>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</si>
  <si>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</si>
  <si>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</si>
  <si>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</si>
  <si>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</si>
  <si>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</si>
  <si>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</si>
  <si>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</si>
  <si>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</si>
  <si>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</si>
  <si>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</si>
  <si>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</si>
  <si>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</si>
  <si>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</si>
  <si>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</si>
  <si>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</si>
  <si>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</si>
  <si>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</si>
  <si>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</si>
  <si>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</si>
  <si>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</si>
  <si>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</si>
  <si>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</si>
  <si>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</si>
  <si>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</si>
  <si>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</si>
  <si>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</si>
  <si>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</si>
  <si>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</si>
  <si>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</si>
  <si>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</si>
  <si>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</si>
  <si>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</si>
  <si>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</si>
  <si>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</si>
  <si>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</si>
  <si>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</si>
  <si>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</si>
  <si>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</si>
  <si>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</si>
  <si>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</si>
  <si>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</si>
  <si>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</si>
  <si>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</si>
  <si>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</si>
  <si>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</si>
  <si>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</si>
  <si>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</si>
  <si>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</si>
  <si>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</si>
  <si>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</si>
  <si>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</si>
  <si>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</si>
  <si>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</si>
  <si>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</si>
  <si>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</si>
  <si>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</si>
  <si>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</si>
  <si>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</si>
  <si>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</si>
  <si>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</si>
  <si>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</si>
  <si>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</si>
  <si>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</si>
  <si>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</si>
  <si>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</si>
  <si>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</si>
  <si>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</si>
  <si>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</si>
  <si>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</si>
  <si>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</si>
  <si>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</si>
  <si>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</si>
  <si>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</si>
  <si>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</si>
  <si>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</si>
  <si>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</si>
  <si>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</si>
  <si>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</si>
  <si>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</si>
  <si>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</si>
  <si>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</si>
  <si>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</si>
  <si>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</si>
  <si>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</si>
  <si>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</si>
  <si>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</si>
  <si>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</si>
  <si>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</si>
  <si>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</si>
  <si>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</si>
  <si>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</si>
  <si>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</si>
  <si>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</si>
  <si>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</si>
  <si>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</si>
  <si>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</si>
  <si>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</si>
  <si>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</si>
  <si>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</si>
  <si>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</si>
  <si>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</si>
  <si>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</si>
  <si>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</si>
  <si>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</si>
  <si>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</si>
  <si>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</si>
  <si>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</si>
  <si>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</si>
  <si>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</si>
  <si>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</si>
  <si>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</si>
  <si>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</si>
  <si>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</si>
  <si>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</si>
  <si>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</si>
  <si>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</si>
  <si>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</si>
  <si>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</si>
  <si>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</si>
  <si>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</si>
  <si>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</si>
  <si>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</si>
  <si>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</si>
  <si>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</si>
  <si>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</si>
  <si>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</si>
  <si>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</si>
  <si>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</si>
  <si>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</si>
  <si>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</si>
  <si>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</si>
  <si>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</si>
  <si>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</si>
  <si>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</si>
  <si>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</si>
  <si>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</si>
  <si>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</si>
  <si>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</si>
  <si>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</si>
  <si>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</si>
  <si>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</si>
  <si>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</si>
  <si>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</si>
  <si>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</si>
  <si>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</si>
  <si>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</si>
  <si>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</si>
  <si>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</si>
  <si>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</si>
  <si>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</si>
  <si>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</si>
  <si>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</si>
  <si>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</si>
  <si>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</si>
  <si>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</si>
  <si>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</si>
  <si>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</si>
  <si>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</si>
  <si>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</si>
  <si>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</si>
  <si>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</si>
  <si>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</si>
  <si>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</si>
  <si>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</si>
  <si>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</si>
  <si>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</si>
  <si>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</si>
  <si>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</si>
  <si>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</si>
  <si>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</si>
  <si>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</si>
  <si>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</si>
  <si>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</si>
  <si>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</si>
  <si>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</si>
  <si>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</si>
  <si>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</si>
  <si>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</si>
  <si>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</si>
  <si>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</si>
  <si>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</si>
  <si>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</si>
  <si>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</si>
  <si>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</si>
  <si>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</si>
  <si>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</si>
  <si>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</si>
  <si>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</si>
  <si>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</si>
  <si>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</si>
  <si>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</si>
  <si>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</si>
  <si>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</si>
  <si>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</si>
  <si>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</si>
  <si>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</si>
  <si>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</si>
  <si>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</si>
  <si>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</si>
  <si>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</si>
  <si>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</si>
  <si>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</si>
  <si>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</si>
  <si>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</si>
  <si>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</si>
  <si>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</si>
  <si>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</si>
  <si>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</si>
  <si>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</si>
  <si>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</si>
  <si>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</si>
  <si>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</si>
  <si>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</si>
  <si>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</si>
  <si>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</si>
  <si>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</si>
  <si>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</si>
  <si>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</si>
  <si>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</si>
  <si>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</si>
  <si>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</si>
  <si>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</si>
  <si>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</si>
  <si>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</si>
  <si>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</si>
  <si>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</si>
  <si>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</si>
  <si>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</si>
  <si>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</si>
  <si>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</si>
  <si>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</si>
  <si>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</si>
  <si>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</si>
  <si>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</si>
  <si>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</si>
  <si>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</si>
  <si>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</si>
  <si>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</si>
  <si>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</si>
  <si>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</si>
  <si>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</si>
  <si>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</si>
  <si>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</si>
  <si>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</si>
  <si>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</si>
  <si>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</si>
  <si>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</si>
  <si>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</si>
  <si>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</si>
  <si>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</si>
  <si>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</si>
  <si>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</si>
  <si>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</si>
  <si>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</si>
  <si>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</si>
  <si>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</si>
  <si>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</si>
  <si>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</si>
  <si>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</si>
  <si>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</si>
  <si>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</si>
  <si>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</si>
  <si>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</si>
  <si>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</si>
  <si>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</si>
  <si>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</si>
  <si>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</si>
  <si>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</si>
  <si>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</si>
  <si>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</si>
  <si>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</si>
  <si>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</si>
  <si>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</si>
  <si>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</si>
  <si>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</si>
  <si>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</si>
  <si>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</si>
  <si>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</si>
  <si>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</si>
  <si>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</si>
  <si>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</si>
  <si>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</si>
  <si>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</si>
  <si>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</si>
  <si>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</si>
  <si>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</si>
  <si>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</si>
  <si>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</si>
  <si>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</si>
  <si>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</si>
  <si>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</si>
  <si>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</si>
  <si>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</si>
  <si>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</si>
  <si>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</si>
  <si>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</si>
  <si>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</si>
  <si>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</si>
  <si>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</si>
  <si>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</si>
  <si>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</si>
  <si>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</si>
  <si>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</si>
  <si>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</si>
  <si>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</si>
  <si>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</si>
  <si>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</si>
  <si>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</si>
  <si>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</si>
  <si>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</si>
  <si>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</si>
  <si>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</si>
  <si>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</si>
  <si>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</si>
  <si>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</si>
  <si>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</si>
  <si>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</si>
  <si>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</si>
  <si>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</si>
  <si>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</si>
  <si>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</si>
  <si>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</si>
  <si>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</si>
  <si>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</si>
  <si>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</si>
  <si>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</si>
  <si>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</si>
  <si>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</si>
  <si>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</si>
  <si>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</si>
  <si>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</si>
  <si>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</si>
  <si>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</si>
  <si>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</si>
  <si>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</si>
  <si>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</si>
  <si>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</si>
  <si>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</si>
  <si>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</si>
  <si>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</si>
  <si>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</si>
  <si>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</si>
  <si>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</si>
  <si>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</si>
  <si>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</si>
  <si>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</si>
  <si>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</si>
  <si>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</si>
  <si>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</si>
  <si>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</si>
  <si>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</si>
  <si>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</si>
  <si>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</si>
  <si>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</si>
  <si>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</si>
  <si>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</si>
  <si>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</si>
  <si>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</si>
  <si>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</si>
  <si>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</si>
  <si>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</si>
  <si>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</si>
  <si>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</si>
  <si>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</si>
  <si>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</si>
  <si>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</si>
  <si>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</si>
  <si>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</si>
  <si>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</si>
  <si>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</si>
  <si>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</si>
  <si>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</si>
  <si>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</si>
  <si>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</si>
  <si>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</si>
  <si>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</si>
  <si>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</si>
  <si>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</si>
  <si>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</si>
  <si>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</si>
  <si>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</si>
  <si>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</si>
  <si>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</si>
  <si>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</si>
  <si>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</si>
  <si>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</si>
  <si>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</si>
  <si>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</si>
  <si>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</si>
  <si>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</si>
  <si>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</si>
  <si>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</si>
  <si>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</si>
  <si>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</si>
  <si>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</si>
  <si>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</si>
  <si>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</si>
  <si>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</si>
  <si>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</si>
  <si>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</si>
  <si>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</si>
  <si>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</si>
  <si>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</si>
  <si>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</si>
  <si>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</si>
  <si>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</si>
  <si>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</si>
  <si>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</si>
  <si>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</si>
  <si>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</si>
  <si>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</si>
  <si>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</si>
  <si>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</si>
  <si>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</si>
  <si>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</si>
  <si>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</si>
  <si>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</si>
  <si>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</si>
  <si>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</si>
  <si>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</si>
  <si>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</si>
  <si>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</si>
  <si>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</si>
  <si>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</si>
  <si>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</si>
  <si>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</si>
  <si>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</si>
  <si>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</si>
  <si>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</si>
  <si>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</si>
  <si>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</si>
  <si>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</si>
  <si>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</si>
  <si>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</si>
  <si>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</si>
  <si>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</si>
  <si>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</si>
  <si>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</si>
  <si>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</si>
  <si>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</si>
  <si>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</si>
  <si>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</si>
  <si>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</si>
  <si>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</si>
  <si>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</si>
  <si>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</si>
  <si>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</si>
  <si>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</si>
  <si>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</si>
  <si>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</si>
  <si>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</si>
  <si>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</si>
  <si>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</si>
  <si>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</si>
  <si>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</si>
  <si>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</si>
  <si>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</si>
  <si>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</si>
  <si>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</si>
  <si>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</si>
  <si>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</si>
  <si>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</si>
  <si>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</si>
  <si>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</si>
  <si>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</si>
  <si>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</si>
  <si>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</si>
  <si>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</si>
  <si>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</si>
  <si>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</si>
  <si>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</si>
  <si>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</si>
  <si>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</si>
  <si>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</si>
  <si>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</si>
  <si>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</si>
  <si>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</si>
  <si>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</si>
  <si>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</si>
  <si>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</si>
  <si>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</si>
  <si>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</si>
  <si>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</si>
  <si>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</si>
  <si>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</si>
  <si>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</si>
  <si>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</si>
  <si>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</si>
  <si>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</si>
  <si>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</si>
  <si>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</si>
  <si>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</si>
  <si>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</si>
  <si>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</si>
  <si>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</si>
  <si>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</si>
  <si>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</si>
  <si>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</si>
  <si>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</si>
  <si>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</si>
  <si>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</si>
  <si>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</si>
  <si>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</si>
  <si>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</si>
  <si>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</si>
  <si>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</si>
  <si>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</si>
  <si>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</si>
  <si>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</si>
  <si>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</si>
  <si>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</si>
  <si>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</si>
  <si>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</si>
  <si>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</si>
  <si>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</si>
  <si>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</si>
  <si>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</si>
  <si>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</si>
  <si>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</si>
  <si>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</si>
  <si>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</si>
  <si>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</si>
  <si>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</si>
  <si>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</si>
  <si>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</si>
  <si>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</si>
  <si>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</si>
  <si>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</si>
  <si>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</si>
  <si>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</si>
  <si>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</si>
  <si>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</si>
  <si>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</si>
  <si>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</si>
  <si>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</si>
  <si>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</si>
  <si>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</si>
  <si>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</si>
  <si>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</si>
  <si>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</si>
  <si>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</si>
  <si>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</si>
  <si>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</si>
  <si>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</si>
  <si>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</si>
  <si>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</si>
  <si>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</si>
  <si>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</si>
  <si>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</si>
  <si>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</si>
  <si>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</si>
  <si>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</si>
  <si>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</si>
  <si>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</si>
  <si>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</si>
  <si>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</si>
  <si>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</si>
  <si>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</si>
  <si>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</si>
  <si>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</si>
  <si>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</si>
  <si>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</si>
  <si>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</si>
  <si>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</si>
  <si>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</si>
  <si>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</si>
  <si>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</si>
  <si>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</si>
  <si>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</si>
  <si>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</si>
  <si>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</si>
  <si>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</si>
  <si>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</si>
  <si>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</si>
  <si>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</si>
  <si>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</si>
  <si>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</si>
  <si>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</si>
  <si>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</si>
  <si>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</si>
  <si>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</si>
  <si>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</si>
  <si>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</si>
  <si>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</si>
  <si>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</si>
  <si>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</si>
  <si>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</si>
  <si>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</si>
  <si>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</si>
  <si>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</si>
  <si>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</si>
  <si>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</si>
  <si>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</si>
  <si>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</si>
  <si>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</si>
  <si>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</si>
  <si>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</si>
  <si>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</si>
  <si>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</si>
  <si>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</si>
  <si>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</si>
  <si>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</si>
  <si>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</si>
  <si>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</si>
  <si>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</si>
  <si>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</si>
  <si>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</si>
  <si>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</si>
  <si>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</si>
  <si>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</si>
  <si>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</si>
  <si>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</si>
  <si>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</si>
  <si>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</si>
  <si>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</si>
  <si>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</si>
  <si>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</si>
  <si>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</si>
  <si>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</si>
  <si>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</si>
  <si>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</si>
  <si>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</si>
  <si>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</si>
  <si>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</si>
  <si>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</si>
  <si>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</si>
  <si>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</si>
  <si>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</si>
  <si>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</si>
  <si>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</si>
  <si>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</si>
  <si>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</si>
  <si>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</si>
  <si>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</si>
  <si>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</si>
  <si>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</si>
  <si>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</si>
  <si>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</si>
  <si>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</si>
  <si>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</si>
  <si>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</si>
  <si>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</si>
  <si>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</si>
  <si>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</si>
  <si>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</si>
  <si>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</si>
  <si>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</si>
  <si>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</si>
  <si>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</si>
  <si>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</si>
  <si>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</si>
  <si>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</si>
  <si>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</si>
  <si>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</si>
  <si>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</si>
  <si>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</si>
  <si>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</si>
  <si>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</si>
  <si>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</si>
  <si>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</si>
  <si>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</si>
  <si>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</si>
  <si>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</si>
  <si>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</si>
  <si>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</si>
  <si>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</si>
  <si>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</si>
  <si>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</si>
  <si>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</si>
  <si>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</si>
  <si>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</si>
  <si>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</si>
  <si>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</si>
  <si>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</si>
  <si>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</si>
  <si>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</si>
  <si>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</si>
  <si>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</si>
  <si>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</si>
  <si>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</si>
  <si>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</si>
  <si>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</si>
  <si>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</si>
  <si>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</si>
  <si>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</si>
  <si>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</si>
  <si>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</si>
  <si>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</si>
  <si>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</si>
  <si>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</si>
  <si>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</si>
  <si>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</si>
  <si>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</si>
  <si>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</si>
  <si>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</si>
  <si>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</si>
  <si>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</si>
  <si>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</si>
  <si>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</si>
  <si>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</si>
  <si>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</si>
  <si>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</si>
  <si>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</si>
  <si>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</si>
  <si>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</si>
  <si>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</si>
  <si>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</si>
  <si>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</si>
  <si>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</si>
  <si>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</si>
  <si>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</si>
  <si>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</si>
  <si>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</si>
  <si>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</si>
  <si>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</si>
  <si>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</si>
  <si>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</si>
  <si>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</si>
  <si>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</si>
  <si>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</si>
  <si>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</si>
  <si>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</si>
  <si>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</si>
  <si>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</si>
  <si>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</si>
  <si>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</si>
  <si>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</si>
  <si>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</si>
  <si>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</si>
  <si>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</si>
  <si>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</si>
  <si>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</si>
  <si>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</si>
  <si>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</si>
  <si>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</si>
  <si>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</si>
  <si>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</si>
  <si>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</si>
  <si>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</si>
  <si>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</si>
  <si>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</si>
  <si>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</si>
  <si>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</si>
  <si>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</si>
  <si>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</si>
  <si>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</si>
  <si>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</si>
  <si>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</si>
  <si>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</si>
  <si>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</si>
  <si>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</si>
  <si>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</si>
  <si>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</si>
  <si>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</si>
  <si>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</si>
  <si>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</si>
  <si>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</si>
  <si>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</si>
  <si>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</si>
  <si>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</si>
  <si>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</si>
  <si>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</si>
  <si>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</si>
  <si>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</si>
  <si>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</si>
  <si>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</si>
  <si>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</si>
  <si>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</si>
  <si>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</si>
  <si>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</si>
  <si>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</si>
  <si>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</si>
  <si>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</si>
  <si>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</si>
  <si>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</si>
  <si>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</si>
  <si>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</si>
  <si>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</si>
  <si>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</si>
  <si>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</si>
  <si>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</si>
  <si>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</si>
  <si>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</si>
  <si>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</si>
  <si>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</si>
  <si>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</si>
  <si>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</si>
  <si>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</si>
  <si>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</si>
  <si>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</si>
  <si>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</si>
  <si>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</si>
  <si>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</si>
  <si>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</si>
  <si>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</si>
  <si>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</si>
  <si>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</si>
  <si>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</si>
  <si>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</si>
  <si>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</si>
  <si>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</si>
  <si>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</si>
  <si>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</si>
  <si>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</si>
  <si>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</si>
  <si>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</si>
  <si>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</si>
  <si>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</si>
  <si>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</si>
  <si>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</si>
  <si>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</si>
  <si>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</si>
  <si>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</si>
  <si>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</si>
  <si>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</si>
  <si>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</si>
  <si>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</si>
  <si>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</si>
  <si>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</si>
  <si>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</si>
  <si>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</si>
  <si>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</si>
  <si>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</si>
  <si>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</si>
  <si>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</si>
  <si>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</si>
  <si>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</si>
  <si>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</si>
  <si>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</si>
  <si>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</si>
  <si>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</si>
  <si>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</si>
  <si>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</si>
  <si>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</si>
  <si>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</si>
  <si>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</si>
  <si>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</si>
  <si>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</si>
  <si>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</si>
  <si>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</si>
  <si>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</si>
  <si>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</si>
  <si>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</si>
  <si>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</si>
  <si>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</si>
  <si>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</si>
  <si>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</si>
  <si>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</si>
  <si>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</si>
  <si>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</si>
  <si>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</si>
  <si>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</si>
  <si>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</si>
  <si>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</si>
  <si>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</si>
  <si>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</si>
  <si>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</si>
  <si>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</si>
  <si>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</si>
  <si>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</si>
  <si>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</si>
  <si>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</si>
  <si>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</si>
  <si>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</si>
  <si>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</si>
  <si>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</si>
  <si>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</si>
  <si>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</si>
  <si>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</si>
  <si>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</si>
  <si>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</si>
  <si>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</si>
  <si>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</si>
  <si>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</si>
  <si>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</si>
  <si>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</si>
  <si>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</si>
  <si>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</si>
  <si>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</si>
  <si>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</si>
  <si>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</si>
  <si>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</si>
  <si>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</si>
  <si>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</si>
  <si>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</si>
  <si>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</si>
  <si>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</si>
  <si>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</si>
  <si>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</si>
  <si>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</si>
  <si>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</si>
  <si>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</si>
  <si>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</si>
  <si>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</si>
  <si>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</si>
  <si>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</si>
  <si>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</si>
  <si>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</si>
  <si>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</si>
  <si>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</si>
  <si>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</si>
  <si>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</si>
  <si>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</si>
  <si>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</si>
  <si>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</si>
  <si>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</si>
  <si>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</si>
  <si>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</si>
  <si>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</si>
  <si>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</si>
  <si>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</si>
  <si>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</si>
  <si>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</si>
  <si>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</si>
  <si>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</si>
  <si>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</si>
  <si>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</si>
  <si>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</si>
  <si>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</si>
  <si>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</si>
  <si>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</si>
  <si>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</si>
  <si>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</si>
  <si>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</si>
  <si>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</si>
  <si>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</si>
  <si>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</si>
  <si>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</si>
  <si>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</si>
  <si>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</si>
  <si>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</si>
  <si>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</si>
  <si>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</si>
  <si>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</si>
  <si>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</si>
  <si>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</si>
  <si>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</si>
  <si>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</si>
  <si>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</si>
  <si>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</si>
  <si>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</si>
  <si>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</si>
  <si>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</si>
  <si>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</si>
  <si>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</si>
  <si>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</si>
  <si>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</si>
  <si>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</si>
  <si>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</si>
  <si>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</si>
  <si>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</si>
  <si>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</si>
  <si>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</si>
  <si>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</si>
  <si>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</si>
  <si>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</si>
  <si>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</si>
  <si>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</si>
  <si>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</si>
  <si>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</si>
  <si>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</si>
  <si>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</si>
  <si>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</si>
  <si>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</si>
  <si>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</si>
  <si>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</si>
  <si>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</si>
  <si>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</si>
  <si>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</si>
  <si>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</si>
  <si>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</si>
  <si>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</si>
  <si>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</si>
  <si>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</si>
  <si>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</si>
  <si>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</si>
  <si>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</si>
  <si>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</si>
  <si>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</si>
  <si>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</si>
  <si>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</si>
  <si>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</si>
  <si>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</si>
  <si>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</si>
  <si>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</si>
  <si>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</si>
  <si>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</si>
  <si>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</si>
  <si>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</si>
  <si>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</si>
  <si>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</si>
  <si>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</si>
  <si>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</si>
  <si>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</si>
  <si>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</si>
  <si>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</si>
  <si>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</si>
  <si>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</si>
  <si>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</si>
  <si>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</si>
  <si>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</si>
  <si>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</si>
  <si>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</si>
  <si>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</si>
  <si>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</si>
  <si>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</si>
  <si>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</si>
  <si>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</si>
  <si>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</si>
  <si>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</si>
  <si>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</si>
  <si>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</si>
  <si>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</si>
  <si>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</si>
  <si>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</si>
  <si>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</si>
  <si>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</si>
  <si>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</si>
  <si>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</si>
  <si>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</si>
  <si>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</si>
  <si>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</si>
  <si>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</si>
  <si>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</si>
  <si>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</si>
  <si>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</si>
  <si>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</si>
  <si>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</si>
  <si>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</si>
  <si>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</si>
  <si>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</si>
  <si>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</si>
  <si>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</si>
  <si>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</si>
  <si>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</si>
  <si>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</si>
  <si>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</si>
  <si>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</si>
  <si>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</si>
  <si>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</si>
  <si>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</si>
  <si>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</si>
  <si>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</si>
  <si>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</si>
  <si>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</si>
  <si>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</si>
  <si>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</si>
  <si>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</si>
  <si>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</si>
  <si>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</si>
  <si>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</si>
  <si>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</si>
  <si>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</si>
  <si>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</si>
  <si>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</si>
  <si>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</si>
  <si>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</si>
  <si>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</si>
  <si>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</si>
  <si>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</si>
  <si>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</si>
  <si>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</si>
  <si>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</si>
  <si>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</si>
  <si>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</si>
  <si>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</si>
  <si>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</si>
  <si>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</si>
  <si>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</si>
  <si>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</si>
  <si>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</si>
  <si>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</si>
  <si>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</si>
  <si>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</si>
  <si>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</si>
  <si>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</si>
  <si>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</si>
  <si>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</si>
  <si>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</si>
  <si>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</si>
  <si>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</si>
  <si>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</si>
  <si>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</si>
  <si>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</si>
  <si>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</si>
  <si>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</si>
  <si>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</si>
  <si>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</si>
  <si>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</si>
  <si>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</si>
  <si>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</si>
  <si>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</si>
  <si>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</si>
  <si>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</si>
  <si>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</si>
  <si>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</si>
  <si>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</si>
  <si>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</si>
  <si>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</si>
  <si>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</si>
  <si>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</si>
  <si>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</si>
  <si>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</si>
  <si>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</si>
  <si>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</si>
  <si>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</si>
  <si>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</si>
  <si>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</si>
  <si>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</si>
  <si>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</si>
  <si>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</si>
  <si>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</si>
  <si>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</si>
  <si>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</si>
  <si>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</si>
  <si>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</si>
  <si>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</si>
  <si>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</si>
  <si>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</si>
  <si>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</si>
  <si>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</si>
  <si>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</si>
  <si>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</si>
  <si>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</si>
  <si>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</si>
  <si>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</si>
  <si>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</si>
  <si>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</si>
  <si>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</si>
  <si>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</si>
  <si>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</si>
  <si>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</si>
  <si>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</si>
  <si>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</si>
  <si>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</si>
  <si>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</si>
  <si>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</si>
  <si>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</si>
  <si>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</si>
  <si>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</si>
  <si>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</si>
  <si>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</si>
  <si>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</si>
  <si>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</si>
  <si>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</si>
  <si>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</si>
  <si>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</si>
  <si>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</si>
  <si>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</si>
  <si>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</si>
  <si>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</si>
  <si>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</si>
  <si>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</si>
  <si>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</si>
  <si>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</si>
  <si>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</si>
  <si>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</si>
  <si>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</si>
  <si>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</si>
  <si>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</si>
  <si>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</si>
  <si>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</si>
  <si>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</si>
  <si>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</si>
  <si>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</si>
  <si>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</si>
  <si>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</si>
  <si>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</si>
  <si>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</si>
  <si>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</si>
  <si>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</si>
  <si>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</si>
  <si>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</si>
  <si>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</si>
  <si>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</si>
  <si>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</si>
  <si>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</si>
  <si>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</si>
  <si>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</si>
  <si>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</si>
  <si>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</si>
  <si>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</si>
  <si>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</si>
  <si>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</si>
  <si>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</si>
  <si>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</si>
  <si>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</si>
  <si>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</si>
  <si>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</si>
  <si>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</si>
  <si>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</si>
  <si>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</si>
  <si>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</si>
  <si>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</si>
  <si>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</si>
  <si>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</si>
  <si>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</si>
  <si>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</si>
  <si>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</si>
  <si>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</si>
  <si>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</si>
  <si>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</si>
  <si>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</si>
  <si>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</si>
  <si>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</si>
  <si>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</si>
  <si>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</si>
  <si>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</si>
  <si>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</si>
  <si>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</si>
  <si>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</si>
  <si>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</si>
  <si>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</si>
  <si>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</si>
  <si>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</si>
  <si>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</si>
  <si>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</si>
  <si>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</si>
  <si>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</si>
  <si>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</si>
  <si>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</si>
  <si>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</si>
  <si>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</si>
  <si>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</si>
  <si>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</si>
  <si>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</si>
  <si>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</si>
  <si>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</si>
  <si>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</si>
  <si>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</si>
  <si>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</si>
  <si>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</si>
  <si>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</si>
  <si>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</si>
  <si>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</si>
  <si>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</si>
  <si>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</si>
  <si>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</si>
  <si>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</si>
  <si>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</si>
  <si>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</si>
  <si>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</si>
  <si>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</si>
  <si>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</si>
  <si>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</si>
  <si>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</si>
  <si>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</si>
  <si>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</si>
  <si>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</si>
  <si>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</si>
  <si>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</si>
  <si>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</si>
  <si>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</si>
  <si>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</si>
  <si>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</si>
  <si>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</si>
  <si>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</si>
  <si>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</si>
  <si>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</si>
  <si>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</si>
  <si>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</si>
  <si>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</si>
  <si>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</si>
  <si>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</si>
  <si>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</si>
  <si>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</si>
  <si>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</si>
  <si>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</si>
  <si>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</si>
  <si>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</si>
  <si>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</si>
  <si>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</si>
  <si>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</si>
  <si>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</si>
  <si>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</si>
  <si>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</si>
  <si>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</si>
  <si>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</si>
  <si>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</si>
  <si>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</si>
  <si>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</si>
  <si>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</si>
  <si>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</si>
  <si>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</si>
  <si>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</si>
  <si>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</si>
  <si>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</si>
  <si>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</si>
  <si>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</si>
  <si>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</si>
  <si>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</si>
  <si>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</si>
  <si>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</si>
  <si>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</si>
  <si>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</si>
  <si>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</si>
  <si>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</si>
  <si>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</si>
  <si>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</si>
  <si>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</si>
  <si>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</si>
  <si>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</si>
  <si>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</si>
  <si>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</si>
  <si>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</si>
  <si>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</si>
  <si>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</si>
  <si>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</si>
  <si>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</si>
  <si>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</si>
  <si>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</si>
  <si>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</si>
  <si>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</si>
  <si>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</si>
  <si>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</si>
  <si>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</si>
  <si>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</si>
  <si>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</si>
  <si>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</si>
  <si>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</si>
  <si>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</si>
  <si>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</si>
  <si>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</si>
  <si>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</si>
  <si>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</si>
  <si>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</si>
  <si>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</si>
  <si>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</si>
  <si>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</si>
  <si>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</si>
  <si>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</si>
  <si>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</si>
  <si>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</si>
  <si>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</si>
  <si>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</si>
  <si>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</si>
  <si>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</si>
  <si>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</si>
  <si>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</si>
  <si>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Blaarmeersen</t>
  </si>
  <si>
    <t>Ja</t>
  </si>
  <si>
    <t>Neen</t>
  </si>
  <si>
    <t>https://delijn.sharepoint.com/:b:/r/teams/CTM-OTGentStad/Shared%20Documents/General/EAF/CSI(nieuwe%20sharepoint)%2020632425/4.%20April/EAF%206324%20Zwijnaardsesteenweg%20Gent%2002.04.2025%20Reginald%20Praet%2017566.pdf?csf=1&amp;web=1&amp;e=dRduHF</t>
  </si>
  <si>
    <t xml:space="preserve"> https://delijn.sharepoint.com/:b:/r/teams/CTM-OTGentStad/Shared%20Documents/General/EAF/CSI(nieuwe%20sharepoint)%202025/9.%20September/EAF%205265%2012092025%20Gent%2031634.pdf?csf=1&amp;web=1&amp;e=IK4Ous</t>
  </si>
  <si>
    <t xml:space="preserve"> https://delijn.sharepoint.com/:b:/r/teams/CTM-OTGentStad/Shared%20Documents/General/EAF/CSI(nieuwe%20sharepoint)%202025/9.%20September/EAF%205913%2017092025%20Gent%20Hofbouwlaan.pdf?csf=1&amp;web=1&amp;e=uJ5qTo</t>
  </si>
  <si>
    <t>Hofbouwlaan</t>
  </si>
  <si>
    <t>90649@delijn.be</t>
  </si>
  <si>
    <t>23079@delijn.be</t>
  </si>
  <si>
    <t xml:space="preserve"> https://delijn.sharepoint.com/:b:/r/teams/CTM-OTGentStad/Shared%20Documents/General/EAF/CSI(nieuwe%20sharepoint)%202025/9.%20September/EAF%202193%20Gent%2012092025%2041101.pdf?csf=1&amp;web=1&amp;e=qG6SdX</t>
  </si>
  <si>
    <t>Camgöz</t>
  </si>
  <si>
    <t>Furkan</t>
  </si>
  <si>
    <t>+32 (485) 703449</t>
  </si>
  <si>
    <t>+32 (471) 896381</t>
  </si>
  <si>
    <t>jens.helleputte@delijn.be</t>
  </si>
  <si>
    <t>Güler</t>
  </si>
  <si>
    <t>Ender</t>
  </si>
  <si>
    <t>+32 (492) 167902</t>
  </si>
  <si>
    <t>Abdul</t>
  </si>
  <si>
    <t>+32 (497) 503818</t>
  </si>
  <si>
    <t>abdul.ahmed@delijn.be</t>
  </si>
  <si>
    <t>Sular</t>
  </si>
  <si>
    <t>+32 (486) 208708</t>
  </si>
  <si>
    <t>abdullah.sular@delijn.be</t>
  </si>
  <si>
    <t>Bontinck</t>
  </si>
  <si>
    <t>+32 (497) 635140</t>
  </si>
  <si>
    <t>stephan.bontinck@delijn.be</t>
  </si>
  <si>
    <t>Metehan</t>
  </si>
  <si>
    <t>+32 (483) 258912</t>
  </si>
  <si>
    <t>metehan.ozer@delijn.be</t>
  </si>
  <si>
    <t>Akbulut</t>
  </si>
  <si>
    <t>Samed</t>
  </si>
  <si>
    <t>+32 (488) 995599</t>
  </si>
  <si>
    <t>samed.akbulut@delijn.be</t>
  </si>
  <si>
    <t>Rombaut</t>
  </si>
  <si>
    <t>Timo</t>
  </si>
  <si>
    <t>+32 (473) 279541</t>
  </si>
  <si>
    <t>timo.rombaut@delijn.be</t>
  </si>
  <si>
    <t>Aissati</t>
  </si>
  <si>
    <t>Ridouan</t>
  </si>
  <si>
    <t>+32 (465) 253834</t>
  </si>
  <si>
    <t>ridouan.aissati@delijn.be</t>
  </si>
  <si>
    <t>..</t>
  </si>
  <si>
    <t>Coppens</t>
  </si>
  <si>
    <t>Lauwrence</t>
  </si>
  <si>
    <t>+32 (497) 427992</t>
  </si>
  <si>
    <t>lauwrence.coppens@delijn.be</t>
  </si>
  <si>
    <t>Rahoens</t>
  </si>
  <si>
    <t>Christ</t>
  </si>
  <si>
    <t>+32 (479) 741650</t>
  </si>
  <si>
    <t>christ.rahoens@delijn.be</t>
  </si>
  <si>
    <t>Diels</t>
  </si>
  <si>
    <t>+32 (494) 180353</t>
  </si>
  <si>
    <t>+32 (465) 494141</t>
  </si>
  <si>
    <t>Momand</t>
  </si>
  <si>
    <t>+32 (465) 266422</t>
  </si>
  <si>
    <t>Abdullah.Momand@delijn.be</t>
  </si>
  <si>
    <t>+32 (479) 799777</t>
  </si>
  <si>
    <t>Malak</t>
  </si>
  <si>
    <t>Kemal</t>
  </si>
  <si>
    <t>+32 (487) 950646</t>
  </si>
  <si>
    <t>Kemal.Malak@delijn.be</t>
  </si>
  <si>
    <t>Hamed.Azahaf@delijn.be</t>
  </si>
  <si>
    <t xml:space="preserve"> https://delijn.sharepoint.com/:b:/r/teams/CTM-OTGentStad/Shared%20Documents/General/EAF/CSI(nieuwe%20sharepoint)%202025/9.%20September/EAF%205042%20Steendam%20Gent%2031.07.2025%20Tom%20Sturtewagen%2034890.pdf?csf=1&amp;web=1&amp;e=nJLJjC</t>
  </si>
  <si>
    <t>Jonas</t>
  </si>
  <si>
    <t>40152@delijn.be</t>
  </si>
  <si>
    <t xml:space="preserve"> https://delijn.sharepoint.com/:b:/r/teams/CTM-OTGentStad/Shared%20Documents/General/EAF/CSI(nieuwe%20sharepoint)%202025/9.%20September/EAF%205488%20Gent%2019092025%2041948.pdf?csf=1&amp;web=1&amp;e=mmR9gG</t>
  </si>
  <si>
    <t xml:space="preserve"> https://delijn.sharepoint.com/:b:/r/teams/CTM-OTGentStad/Shared%20Documents/General/EAF/CSI(nieuwe%20sharepoint)%202025/9.%20September/EAF%205488%2017092025%20Gent%2041918%20Saber%20Babai.pdf?csf=1&amp;web=1&amp;e=8UrHfT</t>
  </si>
  <si>
    <t xml:space="preserve"> https://delijn.sharepoint.com/:b:/r/teams/CTM-OTGentStad/Shared%20Documents/General/EAF/CSI(nieuwe%20sharepoint)%202025/9.%20September/EAF%202047%20Gent%2022092025%2042252.pdf?csf=1&amp;web=1&amp;e=pdmsps</t>
  </si>
  <si>
    <t>Meulestede</t>
  </si>
  <si>
    <t xml:space="preserve"> https://delijn.sharepoint.com/:b:/r/teams/CTM-OTGentStad/Shared%20Documents/General/EAF/CSI(nieuwe%20sharepoint)%202025/9.%20September/EAF%206375%20Gent%2022092025%2031360.pdf?csf=1&amp;web=1&amp;e=MOHRys</t>
  </si>
  <si>
    <t xml:space="preserve"> https://delijn.sharepoint.com/:b:/r/teams/CTM-OTGentStad/Shared%20Documents/General/EAF/CSI(nieuwe%20sharepoint)%202025/9.%20September/EAF%205923%20Gent%2019092025%2040856.pdf?csf=1&amp;web=1&amp;e=etzA8f</t>
  </si>
  <si>
    <t xml:space="preserve"> https://delijn.sharepoint.com/:b:/r/teams/CTM-OTGentStad/Shared%20Documents/General/EAF/CSI(nieuwe%20sharepoint)%202025/9.%20September/EAF%205225%20Gent%2022092025%2039850.pdf?csf=1&amp;web=1&amp;e=jZob1k</t>
  </si>
  <si>
    <t>Drongen plein</t>
  </si>
  <si>
    <t>ja</t>
  </si>
  <si>
    <t xml:space="preserve"> https://delijn.sharepoint.com/:b:/r/teams/CTM-OTGentStad/Shared%20Documents/General/EAF/CSI(nieuwe%20sharepoint)%202025/9.%20September/EAF%202047%20Gent%2023092025%2042252.pdf?csf=1&amp;web=1&amp;e=Nf2xIx</t>
  </si>
  <si>
    <t xml:space="preserve"> https://delijn.sharepoint.com/:b:/r/teams/CTM-OTGentStad/Shared%20Documents/General/EAF/CSI(nieuwe%20sharepoint)%202025/9.%20September/EAF_2085_20250924.pdf?csf=1&amp;web=1&amp;e=rLWzky</t>
  </si>
  <si>
    <t xml:space="preserve"> https://delijn.sharepoint.com/:b:/r/teams/CTM-OTGentStad/Shared%20Documents/General/EAF/CSI(nieuwe%20sharepoint)%202025/9.%20September/EAF%206328%20Gent%2023092025%2021509%20Kris%20De%20Craemer.pdf?csf=1&amp;web=1&amp;e=BIT70L</t>
  </si>
  <si>
    <t xml:space="preserve"> https://delijn.sharepoint.com/:b:/r/teams/CTM-OTGentStad/Shared%20Documents/General/EAF/CSI(nieuwe%20sharepoint)%202025/9.%20September/EAF%205922%20Gent%2024092025%2041888%20Bjorn%20De%20Rammelaere.pdf?csf=1&amp;web=1&amp;e=8iAsR4</t>
  </si>
  <si>
    <t>Evergemsesteenweg</t>
  </si>
  <si>
    <t xml:space="preserve"> https://delijn.sharepoint.com/:b:/r/teams/CTM-OTGentStad/Shared%20Documents/General/EAF/CSI(nieuwe%20sharepoint)%202025/9.%20September/EAF%205938%20Gent%2025092025%20Frank%20Vandevijvere.pdf?csf=1&amp;web=1&amp;e=gWohjR</t>
  </si>
  <si>
    <t xml:space="preserve"> https://delijn.sharepoint.com/:b:/r/teams/CTM-OTGentStad/Shared%20Documents/General/EAF/CSI(nieuwe%20sharepoint)%202025/9.%20September/EAF%205773%20Gent%2026092025%20-%2041874%20Bruno%20Dobbeleire.pdf?csf=1&amp;web=1&amp;e=6UYeiR</t>
  </si>
  <si>
    <t xml:space="preserve"> https://delijn.sharepoint.com/:b:/r/teams/CTM-OTGentStad/Shared%20Documents/General/EAF/CSI(nieuwe%20sharepoint)%202025/9.%20September/EAF%202190%20kruispunt%20Brugsesteenweg-Rooigemlaan%20Gent%2024.09.2025%20Frank%20Vandevyvere%2019917.pdf?csf=1&amp;web=1&amp;e=f9XKnv</t>
  </si>
  <si>
    <t xml:space="preserve"> https://delijn.sharepoint.com/:b:/r/teams/CTM-OTGentStad/Shared%20Documents/General/EAF/CSI(nieuwe%20sharepoint)%202025/9.%20September/EAF%205910%20Gent%2026092025%2042105%20Zwijnaardsesteenweg.pdf?csf=1&amp;web=1&amp;e=aWidl3</t>
  </si>
  <si>
    <t xml:space="preserve"> https://delijn.sharepoint.com/:b:/r/teams/CTM-OTGentStad/Shared%20Documents/General/EAF/CSI(nieuwe%20sharepoint)%202025/9.%20September/EAF%2026092025%205917%20Gent%20Kamil%20Cichonski%2042146.pdf?csf=1&amp;web=1&amp;e=OoB6oa</t>
  </si>
  <si>
    <t xml:space="preserve"> https://delijn.sharepoint.com/:b:/r/teams/CTM-OTGentStad/Shared%20Documents/General/EAF/CSI(nieuwe%20sharepoint)%202025/9.%20September/EAF%205768%20Gent%2024092025%2039728.pdf?csf=1&amp;web=1&amp;e=dFhxqB</t>
  </si>
  <si>
    <t xml:space="preserve"> https://delijn.sharepoint.com/:b:/r/teams/CTM-OTGentStad/Shared%20Documents/General/EAF/CSI(nieuwe%20sharepoint)%202025/9.%20September/EAF%205913%20Gent%2026092025%2042007.pdf?csf=1&amp;web=1&amp;e=jQm52B</t>
  </si>
  <si>
    <t xml:space="preserve"> https://delijn.sharepoint.com/:b:/r/teams/CTM-OTGentStad/Shared%20Documents/General/EAF/CSI(nieuwe%20sharepoint)%202025/9.%20September/EAF%202201%2025092025%2040110%20Gent.pdf?csf=1&amp;web=1&amp;e=roD8it</t>
  </si>
  <si>
    <t xml:space="preserve"> https://delijn.sharepoint.com/:b:/r/teams/CTM-OTGentStad/Shared%20Documents/General/EAF/CSI(nieuwe%20sharepoint)%202025/9.%20September/EAF%20550822%20Gent%2030092025%2036289%20PARMENTIER%20Muidepoort.pdf?csf=1&amp;web=1&amp;e=7BJYEl</t>
  </si>
  <si>
    <t xml:space="preserve"> https://delijn.sharepoint.com/:b:/r/teams/CTM-OTGentStad/Shared%20Documents/General/EAF/CSI(nieuwe%20sharepoint)%202025/9.%20September/EAF%206312%20Gent%2011092025%209062%20Davy%20Westelinck.pdf?csf=1&amp;web=1&amp;e=0CEE8i</t>
  </si>
  <si>
    <t xml:space="preserve"> https://delijn.sharepoint.com/:b:/r/teams/CTM-OTGentStad/Shared%20Documents/General/EAF/CSI(nieuwe%20sharepoint)%202025/9.%20September/EAF%202191%20Gent%2026092025%2039014%20Kylian%20Genbrugge.pdf?csf=1&amp;web=1&amp;e=tteYzm</t>
  </si>
  <si>
    <t>Drapstraat</t>
  </si>
  <si>
    <t xml:space="preserve"> https://delijn.sharepoint.com/:b:/r/teams/CTM-OTGentStad/Shared%20Documents/General/EAF/CSI(nieuwe%20sharepoint)%202025/10.%20Oktober/EAF%205486%20Gent%2003102025%2042146.pdf?csf=1&amp;web=1&amp;e=rBSDdl</t>
  </si>
  <si>
    <t>Stéphane</t>
  </si>
  <si>
    <t>10865@delijn.be</t>
  </si>
  <si>
    <t xml:space="preserve"> https://delijn.sharepoint.com/:b:/r/teams/CTM-OTGentStad/Shared%20Documents/General/EAF/CSI(nieuwe%20sharepoint)%202025/10.%20Oktober/EAF%205048%2003102025%2040055%20Gent.pdf?csf=1&amp;web=1&amp;e=Oq2hhn</t>
  </si>
  <si>
    <t xml:space="preserve"> https://delijn.sharepoint.com/:b:/r/teams/CTM-OTGentStad/Shared%20Documents/General/EAF/CSI(nieuwe%20sharepoint)%202025/10.%20Oktober/EAF%206325%20Gent%2003102025%2021892.pdf?csf=1&amp;web=1&amp;e=OcDyzF</t>
  </si>
  <si>
    <t>Behijnhoflaan</t>
  </si>
  <si>
    <t xml:space="preserve"> https://delijn.sharepoint.com/:b:/r/teams/CTM-OTGentStad/Shared%20Documents/General/EAF/CSI(nieuwe%20sharepoint)%202025/10.%20Oktober/EAF%202549%2004102025%20Gent%2041948.pdf?csf=1&amp;web=1&amp;e=t2jjhL</t>
  </si>
  <si>
    <t xml:space="preserve"> https://delijn.sharepoint.com/:b:/r/teams/CTM-OTGentStad/Shared%20Documents/General/EAF/CSI(nieuwe%20sharepoint)%202025/10.%20Oktober/EAF%205273%2003102025%2029271%20Gent%C2%B5.pdf?csf=1&amp;web=1&amp;e=hNe2Xz</t>
  </si>
  <si>
    <t xml:space="preserve"> https://delijn.sharepoint.com/:b:/r/teams/CTM-OTGentStad/Shared%20Documents/General/EAF/CSI(nieuwe%20sharepoint)%202025/10.%20Oktober/EAF%205044%20Gent%2004102025%2038555.pdf?csf=1&amp;web=1&amp;e=kVUesg</t>
  </si>
  <si>
    <t>Phoenixstraat</t>
  </si>
  <si>
    <t>39529 Desmet Patricia</t>
  </si>
  <si>
    <t>42002 Bogaert Kevin</t>
  </si>
  <si>
    <t>27153 Oben Thibaud</t>
  </si>
  <si>
    <t>39831 Dolgiev Mukhamed</t>
  </si>
  <si>
    <t>34890 Sturtewagen Tom</t>
  </si>
  <si>
    <t>20653 Mestdag Marius</t>
  </si>
  <si>
    <t>35490 Nguetto Brisco Romeo</t>
  </si>
  <si>
    <t>20656 Vonck Bart</t>
  </si>
  <si>
    <t>35495 Razzaz Mahmoud</t>
  </si>
  <si>
    <t>35588 Smesman Glenn</t>
  </si>
  <si>
    <t>36021 Boelaert Frederik</t>
  </si>
  <si>
    <t>29646 Özer Mesut</t>
  </si>
  <si>
    <t>14625 Rodrigue Vincent</t>
  </si>
  <si>
    <t>40403 Prové Michaël</t>
  </si>
  <si>
    <t>21581 Vanderstraeten Franky</t>
  </si>
  <si>
    <t>21892 Dierick Steve</t>
  </si>
  <si>
    <t>31634 Kirsan Ömer</t>
  </si>
  <si>
    <t>22052 Meyvaert Peter</t>
  </si>
  <si>
    <t>41348 Van Huffel Tim</t>
  </si>
  <si>
    <t>10782 De Kee Ina</t>
  </si>
  <si>
    <t>39677 Tacq Joey</t>
  </si>
  <si>
    <t>39728 Nohut Baki</t>
  </si>
  <si>
    <t>37222 Blondeel Dominique</t>
  </si>
  <si>
    <t>37258 Ouchir Louay</t>
  </si>
  <si>
    <t>22244 Kirdas Süleyman</t>
  </si>
  <si>
    <t>40058 Sögüt Can</t>
  </si>
  <si>
    <t>11021 Seeuws Marnic</t>
  </si>
  <si>
    <t>29271 Maes Filip</t>
  </si>
  <si>
    <t>37543 Öztürk Bilgehan</t>
  </si>
  <si>
    <t>30119 Haerens Tom</t>
  </si>
  <si>
    <t>23700 Byosière Christof</t>
  </si>
  <si>
    <t>31600 Mertens Tom</t>
  </si>
  <si>
    <t>38555 Almohammad Malek</t>
  </si>
  <si>
    <t>11120 De Vrieze Ludo</t>
  </si>
  <si>
    <t>15088 Laute Dirk</t>
  </si>
  <si>
    <t>24367 Tayefeh Arbab Ali</t>
  </si>
  <si>
    <t>9062 Westelinck Davy</t>
  </si>
  <si>
    <t>39528 Mihaylov Plamen</t>
  </si>
  <si>
    <t>25829 Kayim Akin</t>
  </si>
  <si>
    <t>33488 Holub Patrik</t>
  </si>
  <si>
    <t>39633 Duyck Kimberly</t>
  </si>
  <si>
    <t xml:space="preserve"> https://delijn.sharepoint.com/:b:/r/teams/CTM-OTGentStad/Shared%20Documents/General/EAF/CSI(nieuwe%20sharepoint)%202025/10.%20Oktober/EAF%205765%2003102025%20Gent.pdf?csf=1&amp;web=1&amp;e=9pC8wS</t>
  </si>
  <si>
    <t xml:space="preserve"> https://delijn.sharepoint.com/:b:/r/teams/CTM-OTGentStad/Shared%20Documents/General/EAF/CSI(nieuwe%20sharepoint)%202025/10.%20Oktober/EAF%205265%20Gent%2030102025.pdf?csf=1&amp;web=1&amp;e=NaWAmZ</t>
  </si>
  <si>
    <t xml:space="preserve"> https://delijn.sharepoint.com/:b:/r/teams/CTM-OTGentStad/Shared%20Documents/General/EAF/CSI(nieuwe%20sharepoint)%202025/10.%20Oktober/EAF%205042%2003102025%20Gent%2041619.pdf?csf=1&amp;web=1&amp;e=Pocfje</t>
  </si>
  <si>
    <t>35714@delijn.be</t>
  </si>
  <si>
    <t xml:space="preserve"> https://delijn.sharepoint.com/:b:/r/teams/CTM-OTGentStad/Shared%20Documents/General/EAF/CSI(nieuwe%20sharepoint)%202025/10.%20Oktober/EAF%20%205771%20Gent%20081010%2042015.pdf?csf=1&amp;web=1&amp;e=NHnsRl</t>
  </si>
  <si>
    <t xml:space="preserve"> https://delijn.sharepoint.com/:b:/r/teams/CTM-OTGentStad/Shared%20Documents/General/EAF/CSI(nieuwe%20sharepoint)%202025/10.%20Oktober/EAF%206315%2004102025%20Gent%2032611.pdf?csf=1&amp;web=1&amp;e=d7qpXS</t>
  </si>
  <si>
    <t xml:space="preserve"> https://delijn.sharepoint.com/:b:/r/teams/CTM-OTGentStad/Shared%20Documents/General/EAF/CSI(nieuwe%20sharepoint)%202025/10.%20Oktober/EAF%205328%20Gent%2008102025%2012024.pdf?csf=1&amp;web=1&amp;e=MQjNpp</t>
  </si>
  <si>
    <t>Oudebareelstraat</t>
  </si>
  <si>
    <t xml:space="preserve"> https://delijn.sharepoint.com/:b:/r/teams/CTM-OTGentStad/Shared%20Documents/General/EAF/CSI(nieuwe%20sharepoint)%202025/10.%20Oktober/EAF%202196%20Gent%2004102025%2041520.pdf?csf=1&amp;web=1&amp;e=dlXapv</t>
  </si>
  <si>
    <t>https://delijn.sharepoint.com/:b:/r/teams/CTM-OTGentStad/Shared%20Documents/General/EAF/CSI(nieuwe%20sharepoint)%202025/10.%20Oktober/EAF%202189%20Technologiepark%20Zwijnaarde%2008.10.2025%20Osman%20%C3%96zdemir%2041482.pdf?csf=1&amp;web=1&amp;e=uPPSEW</t>
  </si>
  <si>
    <t xml:space="preserve"> https://delijn.sharepoint.com/:b:/r/teams/CTM-OTGentStad/Shared%20Documents/General/EAF/CSI(nieuwe%20sharepoint)%202025/10.%20Oktober/Scan_28740_1321_001.pdf?csf=1&amp;web=1&amp;e=gv1BxJ</t>
  </si>
  <si>
    <t xml:space="preserve"> https://delijn.sharepoint.com/:b:/r/teams/CTM-OTGentStad/Shared%20Documents/General/EAF/CSI(nieuwe%20sharepoint)%202025/10.%20Oktober/Scan_28740_1325_001.pdf?csf=1&amp;web=1&amp;e=JPQwYo</t>
  </si>
  <si>
    <t xml:space="preserve"> https://delijn.sharepoint.com/:b:/r/teams/CTM-OTGentStad/Shared%20Documents/General/EAF/CSI(nieuwe%20sharepoint)%202025/10.%20Oktober/EAF%205487%20Gent%2006102025%2041871.pdf?csf=1&amp;web=1&amp;e=OHSPyB</t>
  </si>
  <si>
    <t xml:space="preserve"> https://delijn.sharepoint.com/:b:/r/teams/CTM-OTGentStad/Shared%20Documents/General/EAF/CSI(nieuwe%20sharepoint)%202025/10.%20Oktober/EAF%202195%20Gent%2010102025.pdf?csf=1&amp;web=1&amp;e=lUcZJV</t>
  </si>
  <si>
    <t xml:space="preserve"> https://delijn.sharepoint.com/:b:/r/teams/CTM-OTGentStad/Shared%20Documents/General/EAF/CSI(nieuwe%20sharepoint)%202025/10.%20Oktober/EAF%206362%20Gent%2012102025.pdf?csf=1&amp;web=1&amp;e=4HYFM4</t>
  </si>
  <si>
    <t xml:space="preserve"> https://delijn.sharepoint.com/:b:/r/teams/CTM-OTGentStad/Shared%20Documents/General/EAF/CSI(nieuwe%20sharepoint)%202025/10.%20Oktober/EAF%205910%20Gent%2015102025%2042252.pdf?csf=1&amp;web=1&amp;e=osACa6</t>
  </si>
  <si>
    <t xml:space="preserve"> https://delijn.sharepoint.com/:b:/r/teams/CTM-OTGentStad/Shared%20Documents/General/EAF/CSI(nieuwe%20sharepoint)%202025/10.%20Oktober/EAF%205041%20Gent%2009102025%2040138.pdf?csf=1&amp;web=1&amp;e=bHDNDc</t>
  </si>
  <si>
    <t xml:space="preserve"> https://delijn.sharepoint.com/:b:/r/teams/CTM-OTGentStad/Shared%20Documents/General/EAF/CSI(nieuwe%20sharepoint)%202025/10.%20Oktober/Scan_28740_1363_001.pdf?csf=1&amp;web=1&amp;e=reTsL1</t>
  </si>
  <si>
    <t xml:space="preserve"> https://delijn.sharepoint.com/:b:/r/teams/CTM-OTGentStad/Shared%20Documents/General/EAF/CSI(nieuwe%20sharepoint)%202025/10.%20Oktober/EAF%205934%20Gent%2014102025%2039922.pdf?csf=1&amp;web=1&amp;e=zcBsFr</t>
  </si>
  <si>
    <t xml:space="preserve"> https://delijn.sharepoint.com/:b:/r/teams/CTM-OTGentStad/Shared%20Documents/General/EAF/CSI(nieuwe%20sharepoint)%202025/10.%20Oktober/EAF%205235%20Gent%2010102025%2020542.pdf?csf=1&amp;web=1&amp;e=QMboLa</t>
  </si>
  <si>
    <t xml:space="preserve"> https://delijn.sharepoint.com/:b:/r/teams/CTM-OTGentStad/Shared%20Documents/General/EAF/CSI(nieuwe%20sharepoint)%202025/10.%20Oktober/EAF%206366%2020102025%20Gent%2020653.pdf?csf=1&amp;web=1&amp;e=V95FoR</t>
  </si>
  <si>
    <t>maaltebruggestraat</t>
  </si>
  <si>
    <t xml:space="preserve"> https://delijn.sharepoint.com/:b:/r/teams/CTM-OTGentStad/Shared%20Documents/General/EAF/CSI(nieuwe%20sharepoint)%202025/10.%20Oktober/EAF%205770%20Gent%2008102025%2030623.pdf?csf=1&amp;web=1&amp;e=D3jdVl</t>
  </si>
  <si>
    <t>Bollebergen</t>
  </si>
  <si>
    <t xml:space="preserve"> https://delijn.sharepoint.com/:b:/r/teams/CTM-OTGentStad/Shared%20Documents/General/EAF/CSI(nieuwe%20sharepoint)%202025/10.%20Oktober/EAF%20550822%2018102025%20Gent%2041870.pdf?csf=1&amp;web=1&amp;e=JHEJ4o</t>
  </si>
  <si>
    <t xml:space="preserve"> https://delijn.sharepoint.com/:i:/r/teams/CTM-OTGentStad/Shared%20Documents/General/EAF/CSI(nieuwe%20sharepoint)%202025/10.%20Oktober/1000002701.jpg?csf=1&amp;web=1&amp;e=cuf7Xo</t>
  </si>
  <si>
    <t xml:space="preserve"> https://delijn.sharepoint.com/:b:/r/teams/CTM-OTGentStad/Shared%20Documents/General/EAF/CSI(nieuwe%20sharepoint)%202025/10.%20Oktober/EAF%205259%20Gent%2021102025.pdf?csf=1&amp;web=1&amp;e=u7LKiJ</t>
  </si>
  <si>
    <t>Westergemstraat</t>
  </si>
  <si>
    <t xml:space="preserve"> https://delijn.sharepoint.com/:b:/r/teams/CTM-OTGentStad/Shared%20Documents/General/EAF/CSI(nieuwe%20sharepoint)%202025/10.%20Oktober/EAF%202195%20Willy%20Maststraat%20Wondelgem%2022102025%20-%2040138.pdf?csf=1&amp;web=1&amp;e=wQNaXL</t>
  </si>
  <si>
    <t>Willy Maststraat</t>
  </si>
  <si>
    <t xml:space="preserve"> https://delijn.sharepoint.com/:b:/r/teams/CTM-OTGentStad/Shared%20Documents/General/EAF/CSI(nieuwe%20sharepoint)%202025/10.%20Oktober/EAF%205047%20Gent%2013102025%2038633.pdf?csf=1&amp;web=1&amp;e=tNrRZy</t>
  </si>
  <si>
    <t xml:space="preserve"> https://delijn.sharepoint.com/:b:/r/teams/CTM-OTGentStad/Shared%20Documents/General/EAF/CSI(nieuwe%20sharepoint)%202025/10.%20Oktober/Scan_28740_1410_001.pdf?csf=1&amp;web=1&amp;e=C4BH3e</t>
  </si>
  <si>
    <t xml:space="preserve"> https://delijn.sharepoint.com/:b:/r/teams/CTM-OTGentStad/Shared%20Documents/General/EAF/CSI(nieuwe%20sharepoint)%202025/10.%20Oktober/EAF%206329%20Gent%2016275.pdf?csf=1&amp;web=1&amp;e=lr0PQR</t>
  </si>
  <si>
    <t xml:space="preserve"> https://delijn.sharepoint.com/:b:/r/teams/CTM-OTGentStad/Shared%20Documents/General/EAF/CSI(nieuwe%20sharepoint)%202025/10.%20Oktober/EAF%206337%20Gent%2022102025%2016895.pdf?csf=1&amp;web=1&amp;e=jJZCLg</t>
  </si>
  <si>
    <t xml:space="preserve"> https://delijn.sharepoint.com/:b:/r/teams/CTM-OTGentStad/Shared%20Documents/General/EAF/CSI(nieuwe%20sharepoint)%202025/10.%20Oktober/EAF%2026102025%206321%20Gent.pdf?csf=1&amp;web=1&amp;e=Atnkuj</t>
  </si>
  <si>
    <t xml:space="preserve"> https://delijn.sharepoint.com/:b:/r/teams/CTM-OTGentStad/Shared%20Documents/General/EAF/CSI(nieuwe%20sharepoint)%202025/10.%20Oktober/EAF%2024102025%205764%20Gent.pdf?csf=1&amp;web=1&amp;e=c8wGmP</t>
  </si>
  <si>
    <t>https://delijn.sharepoint.com/:b:/r/teams/CTM-OTGentStad/Shared%20Documents/General/EAF/CSI(nieuwe%20sharepoint)%202025/10.%20Oktober/EAF%2013024%20parking%20E17%2030102025%20-%2040938.pdf?csf=1&amp;web=1&amp;e=IhvPLM</t>
  </si>
  <si>
    <t xml:space="preserve"> https://delijn.sharepoint.com/:b:/r/teams/CTM-OTGentStad/Shared%20Documents/General/EAF/CSI(nieuwe%20sharepoint)%202025/10.%20Oktober/EAF%2027102025%206374%20Gent.pdf?csf=1&amp;web=1&amp;e=JtE5qy</t>
  </si>
  <si>
    <t xml:space="preserve"> https://delijn.sharepoint.com/:b:/r/teams/CTM-OTGentStad/Shared%20Documents/General/EAF/CSI(nieuwe%20sharepoint)%202025/10.%20Oktober/EAF%205767%20Gent%20Wondelgembrug%2025102025%20Helleputte%20Jens%2042307.pdf?csf=1&amp;web=1&amp;e=KZRr6Y</t>
  </si>
  <si>
    <t xml:space="preserve"> https://delijn.sharepoint.com/:b:/r/teams/CTM-OTGentStad/Shared%20Documents/General/EAF/CSI(nieuwe%20sharepoint)%202025/10.%20Oktober/EAF%206318%20Gent%20Contributiestraat%2028102025%20Walleyn%20Renaat%2037345.pdf?csf=1&amp;web=1&amp;e=iDm2dX</t>
  </si>
  <si>
    <t xml:space="preserve"> https://delijn.sharepoint.com/:b:/r/teams/CTM-OTGentStad/Shared%20Documents/General/EAF/CSI(nieuwe%20sharepoint)%202025/10.%20Oktober/EAF%205271%20Wondelgem%20Winkelstraat%20271022025%20Ates%20Firat%2040278.pdf?csf=1&amp;web=1&amp;e=Ij1gEk</t>
  </si>
  <si>
    <t>Winkelstraat</t>
  </si>
  <si>
    <t xml:space="preserve"> https://delijn.sharepoint.com/:b:/r/teams/CTM-OTGentStad/Shared%20Documents/General/EAF/CSI(nieuwe%20sharepoint)%202025/10.%20Oktober/EAF%205229%20Dampoortstraat%2031102025%20-%2039858.pdf?csf=1&amp;web=1&amp;e=z4RXyG</t>
  </si>
  <si>
    <t xml:space="preserve"> https://delijn.sharepoint.com/:b:/r/teams/CTM-OTGentStad/Shared%20Documents/General/EAF/CSI(nieuwe%20sharepoint)%202025/10.%20Oktober/EAF%205489%20Zwijnaardsestw%20Gent%2030102025%20Van%20den%20Bossche%20Jarne%2042105.pdf?csf=1&amp;web=1&amp;e=ZB11q2</t>
  </si>
  <si>
    <t xml:space="preserve"> https://delijn.sharepoint.com/:b:/r/teams/CTM-OTGentStad/Shared%20Documents/General/EAF/CSI(nieuwe%20sharepoint)%202025/10.%20Oktober/EAF%205232%20stelplaats%20E17%2026102025%20Meyvaert%20Steven%2027209.pdf?csf=1&amp;web=1&amp;e=Me2u0U</t>
  </si>
  <si>
    <t xml:space="preserve"> https://delijn.sharepoint.com/:b:/r/teams/CTM-OTGentStad/Shared%20Documents/General/EAF/CSI(nieuwe%20sharepoint)%202025/10.%20Oktober/EAF%206314%20UZ%20Gent%2017102025%20Pekdemir%20Ilkmur%2020543.pdf?csf=1&amp;web=1&amp;e=HVOPA6</t>
  </si>
  <si>
    <t xml:space="preserve"> https://delijn.sharepoint.com/:b:/r/teams/CTM-OTGentStad/Shared%20Documents/General/EAF/CSI(nieuwe%20sharepoint)%202025/10.%20Oktober/EAF%205052%20Dampoort%2030102025%20-%2025873.pdf?csf=1&amp;web=1&amp;e=AcgxZT</t>
  </si>
  <si>
    <t>Gent Dampoort</t>
  </si>
  <si>
    <t xml:space="preserve"> https://delijn.sharepoint.com/:b:/r/teams/CTM-OTGentStad/Shared%20Documents/General/EAF/CSI(nieuwe%20sharepoint)%202025/10.%20Oktober/EAF%206368%20Zwijnaardsesteenweg%20Gent%2024.10.2025%2016895%20Freddy%20Van%20Lauwe.pdf?csf=1&amp;web=1&amp;e=p21y5s</t>
  </si>
  <si>
    <t xml:space="preserve"> https://delijn.sharepoint.com/:b:/r/teams/CTM-OTGentStad/Shared%20Documents/General/EAF/CSI(nieuwe%20sharepoint)%202025/10.%20Oktober/EAF%206375%20Gent%20Graaf%20van%20Vlaanderenplein%2025102025%20Verbanck%20Koen%2027673.pdf?csf=1&amp;web=1&amp;e=ITz7ye</t>
  </si>
  <si>
    <t xml:space="preserve"> https://delijn.sharepoint.com/:b:/r/teams/CTM-OTGentStad/Shared%20Documents/General/EAF/CSI(nieuwe%20sharepoint)%202025/10.%20Oktober/EAF%205233%20Rinskopflaan%20Gentbrugge%2001112025%20-%2037543.pdf?csf=1&amp;web=1&amp;e=KME7KS</t>
  </si>
  <si>
    <t>Robert Rinskoplaan</t>
  </si>
  <si>
    <t xml:space="preserve"> https://delijn.sharepoint.com/:b:/r/teams/CTM-OTGentStad/Shared%20Documents/General/EAF/CSI(nieuwe%20sharepoint)%202025/11.%20November/EAF%206312%20Gent%2002112025%2035463.pdf?csf=1&amp;web=1&amp;e=doXpo9</t>
  </si>
  <si>
    <t xml:space="preserve"> https://delijn.sharepoint.com/:b:/r/teams/CTM-OTGentStad/Shared%20Documents/General/EAF/CSI(nieuwe%20sharepoint)%202025/11.%20November/Scan_28740_1486_001.pdf?csf=1&amp;web=1&amp;e=h2IJ5h</t>
  </si>
  <si>
    <t>Port Arthurlaan</t>
  </si>
  <si>
    <t xml:space="preserve"> https://delijn.sharepoint.com/:b:/r/teams/CTM-OTGentStad/Shared%20Documents/General/EAF/CSI(nieuwe%20sharepoint)%202025/11.%20November/Scan_28740_1487_001.pdf?csf=1&amp;web=1&amp;e=mhozH3</t>
  </si>
  <si>
    <t xml:space="preserve"> https://delijn.sharepoint.com/:b:/r/teams/CTM-OTGentStad/Shared%20Documents/General/EAF/CSI(nieuwe%20sharepoint)%202025/11.%20November/EAF%205916%2001112025%20Gen%2041384.pdf?csf=1&amp;web=1&amp;e=Tkwyyg</t>
  </si>
  <si>
    <t xml:space="preserve"> https://delijn.sharepoint.com/:b:/r/teams/CTM-OTGentStad/Shared%20Documents/General/EAF/CSI(nieuwe%20sharepoint)%202025/11.%20November/EAF%205938%20Gent%2002112025%2026639.pdf?csf=1&amp;web=1&amp;e=mhzexx</t>
  </si>
  <si>
    <t>Hollenaarstraat</t>
  </si>
  <si>
    <t xml:space="preserve"> https://delijn.sharepoint.com/:b:/r/teams/CTM-OTGentStad/Shared%20Documents/General/EAF/CSI(nieuwe%20sharepoint)%202025/11.%20November/SPINFR00063_PPMOGE00001_0889_001.pdf?csf=1&amp;web=1&amp;e=xDRccf</t>
  </si>
  <si>
    <t xml:space="preserve"> https://delijn.sharepoint.com/:b:/r/teams/CTM-OTGentStad/Shared%20Documents/General/EAF/CSI(nieuwe%20sharepoint)%202025/10.%20Oktober/Scan_28740_1494_001.pdf?csf=1&amp;web=1&amp;e=MYz2LQ</t>
  </si>
  <si>
    <t xml:space="preserve"> https://delijn.sharepoint.com/:b:/r/teams/CTM-OTGentStad/Shared%20Documents/General/EAF/CSI(nieuwe%20sharepoint)%202025/11.%20November/EAF%206364%20Gent%2003112025%2011023.pdf?csf=1&amp;web=1&amp;e=p7B6Bt</t>
  </si>
  <si>
    <t xml:space="preserve"> https://delijn.sharepoint.com/:b:/r/teams/CTM-OTGentStad/Shared%20Documents/General/EAF/CSI(nieuwe%20sharepoint)%202025/11.%20November/Scan_28740_1506_001.pdf?csf=1&amp;web=1&amp;e=fpUXGo</t>
  </si>
  <si>
    <t xml:space="preserve"> https://delijn.sharepoint.com/:b:/r/teams/CTM-OTGentStad/Shared%20Documents/General/EAF/CSI(nieuwe%20sharepoint)%202025/10.%20Oktober/EZAF%206363%20GEnt%2031102025%2014072.pdf?csf=1&amp;web=1&amp;e=GIzhJQ</t>
  </si>
  <si>
    <t>Zomerstraat</t>
  </si>
  <si>
    <t xml:space="preserve"> https://delijn.sharepoint.com/:b:/r/teams/CTM-OTGentStad/Shared%20Documents/General/EAF/CSI(nieuwe%20sharepoint)%202025/11.%20November/EAF%205265%20Gent%2004112025%2040110.pdf?csf=1&amp;web=1&amp;e=Ylv2gR</t>
  </si>
  <si>
    <t xml:space="preserve"> https://delijn.sharepoint.com/:b:/r/teams/CTM-OTGentStad/Shared%20Documents/General/EAF/CSI(nieuwe%20sharepoint)%202025/11.%20November/EAF%205922%20Gent%2007112025%2027209.pdf?csf=1&amp;web=1&amp;e=qUiFkg</t>
  </si>
  <si>
    <t xml:space="preserve"> https://delijn.sharepoint.com/:b:/r/teams/CTM-OTGentStad/Shared%20Documents/General/EAF/CSI(nieuwe%20sharepoint)%202025/11.%20November/EAF%205933%20Gent%2005112025%2039379.pdf?csf=1&amp;web=1&amp;e=bJUzEK</t>
  </si>
  <si>
    <t>sint-Pietersnieuwstraat</t>
  </si>
  <si>
    <t xml:space="preserve"> https://delijn.sharepoint.com/:b:/r/teams/CTM-OTGentStad/Shared%20Documents/General/EAF/CSI(nieuwe%20sharepoint)%202025/11.%20November/EAF%205047%20Gent%2012112025%2032620.pdf?csf=1&amp;web=1&amp;e=hQjsGJ</t>
  </si>
  <si>
    <t>Brugsepoortstraat</t>
  </si>
  <si>
    <t>27209 Meyvaert Steven</t>
  </si>
  <si>
    <t>34328 Kerremans Jürgen</t>
  </si>
  <si>
    <t>15220 Dejonghe Katleen</t>
  </si>
  <si>
    <t>16275 Devriendt Patrick</t>
  </si>
  <si>
    <t>30321 Unver Ismaïl</t>
  </si>
  <si>
    <t>35430 Vlaminck Dirk</t>
  </si>
  <si>
    <t>5559 Hoste Tania</t>
  </si>
  <si>
    <t>35463 Vandaele Tom</t>
  </si>
  <si>
    <t>12024 De Cooman Kurt</t>
  </si>
  <si>
    <t>20542 Kizilmese Emra</t>
  </si>
  <si>
    <t>39858 Jacobs Elos</t>
  </si>
  <si>
    <t>20543 Pekdemir Ilkmur</t>
  </si>
  <si>
    <t>27673 Verbanck Koen</t>
  </si>
  <si>
    <t>11023 Goethals Jeffrey</t>
  </si>
  <si>
    <t>26639 Engels Wendy</t>
  </si>
  <si>
    <t>15219 De Mey Peter</t>
  </si>
  <si>
    <t>30623 Gassa Mustafa</t>
  </si>
  <si>
    <t>14072 Vervoort Koen</t>
  </si>
  <si>
    <t>39379 Bensalah Mohammed</t>
  </si>
  <si>
    <t>25873 Kazakbiyev Osman</t>
  </si>
  <si>
    <t xml:space="preserve"> https://delijn.sharepoint.com/:b:/r/teams/CTM-OTGentStad/Shared%20Documents/General/EAF/CSI(nieuwe%20sharepoint)%202025/11.%20November/EAF%205772%20Gent%2013102025.pdf?csf=1&amp;web=1&amp;e=YOAeri</t>
  </si>
  <si>
    <t xml:space="preserve"> https://delijn.sharepoint.com/:b:/r/teams/CTM-OTGentStad/Shared%20Documents/General/EAF/CSI(nieuwe%20sharepoint)%202025/11.%20November/EAF%205924%20Gent%2006112024%2018051.pdf?csf=1&amp;web=1&amp;e=JLd81I</t>
  </si>
  <si>
    <t xml:space="preserve"> https://delijn.sharepoint.com/:b:/r/teams/CTM-OTGentStad/Shared%20Documents/General/EAF/CSI(nieuwe%20sharepoint)%202025/11.%20November/EAF%205045%20Gent%2011112025%2040138.pdf?csf=1&amp;web=1&amp;e=FWOah6</t>
  </si>
  <si>
    <t xml:space="preserve"> https://delijn.sharepoint.com/:b:/r/teams/CTM-OTGentStad/Shared%20Documents/General/EAF/CSI(nieuwe%20sharepoint)%202025/11.%20November/EAF%206358%20Gent%2010112025%2029746.pdf?csf=1&amp;web=1&amp;e=6O2ceS</t>
  </si>
  <si>
    <t xml:space="preserve"> https://delijn.sharepoint.com/:b:/r/teams/CTM-OTGentStad/Shared%20Documents/General/EAF/CSI(nieuwe%20sharepoint)%202025/11.%20November/EAF%205233%20Gent%2013112025%2040403.pdf?csf=1&amp;web=1&amp;e=4Jtbra</t>
  </si>
  <si>
    <t xml:space="preserve"> https://delijn.sharepoint.com/:b:/r/teams/CTM-OTGentStad/Shared%20Documents/General/EAF/CSI(nieuwe%20sharepoint)%202025/11.%20November/EAF%205484%20Gent%2007112025%2042277.pdf?csf=1&amp;web=1&amp;e=jAtBGt</t>
  </si>
  <si>
    <t xml:space="preserve"> https://delijn.sharepoint.com/:b:/r/teams/CTM-OTGentStad/Shared%20Documents/General/EAF/CSI(nieuwe%20sharepoint)%202025/11.%20November/Scan_28740_1543_001.pdf?csf=1&amp;web=1&amp;e=b1Z5IP</t>
  </si>
  <si>
    <t>zuiderlaan</t>
  </si>
  <si>
    <t>XXXX</t>
  </si>
  <si>
    <t xml:space="preserve"> https://delijn.sharepoint.com/:b:/r/teams/CTM-OTGentStad/Shared%20Documents/General/EAF/CSI(nieuwe%20sharepoint)%202025/11.%20November/Scan_29076_1564_001.pdf?csf=1&amp;web=1&amp;e=dSQbGb</t>
  </si>
  <si>
    <t xml:space="preserve"> https://delijn.sharepoint.com/:b:/r/teams/CTM-OTGentStad/Shared%20Documents/General/EAF/CSI(nieuwe%20sharepoint)%202025/11.%20November/EAF%205969%20Gent%2036438%2014112025.pdf?csf=1&amp;web=1&amp;e=jCqcNb</t>
  </si>
  <si>
    <t xml:space="preserve"> https://delijn.sharepoint.com/:b:/r/teams/CTM-OTGentStad/Shared%20Documents/General/EAF/CSI(nieuwe%20sharepoint)%202025/11.%20November/Scan_28740_1567_001.pdf?csf=1&amp;web=1&amp;e=hlZTkb</t>
  </si>
  <si>
    <t xml:space="preserve"> https://delijn.sharepoint.com/:b:/r/teams/CTM-OTGentStad/Shared%20Documents/General/EAF/CSI(nieuwe%20sharepoint)%202025/11.%20November/EAF%20550310%20Gent%2014112025%20%2042145.pdf?csf=1&amp;web=1&amp;e=DIPnZ0</t>
  </si>
  <si>
    <t xml:space="preserve"> https://delijn.sharepoint.com/:b:/r/teams/CTM-OTGentStad/Shared%20Documents/General/EAF/CSI(nieuwe%20sharepoint)%202025/11.%20November/EAF%205794%20GEnt%2014112025%2031118.pdf?csf=1&amp;web=1&amp;e=Wyppzu</t>
  </si>
  <si>
    <t>krijtestraat</t>
  </si>
  <si>
    <t xml:space="preserve"> https://delijn.sharepoint.com/:b:/r/teams/CTM-OTGentStad/Shared%20Documents/General/EAF/CSI(nieuwe%20sharepoint)%202025/11.%20November/EAF%205254%20Gent%2014112025%2041384.pdf?csf=1&amp;web=1&amp;e=HO90GD</t>
  </si>
  <si>
    <t xml:space="preserve"> https://delijn.sharepoint.com/:b:/r/teams/CTM-OTGentStad/Shared%20Documents/General/EAF/CSI(nieuwe%20sharepoint)%202025/11.%20November/EAF5932%2018112025%20Gent%2038529.pdf?csf=1&amp;web=1&amp;e=qHXt5b</t>
  </si>
  <si>
    <t xml:space="preserve"> https://delijn.sharepoint.com/:b:/r/teams/CTM-OTGentStad/Shared%20Documents/General/EAF/CSI(nieuwe%20sharepoint)%202025/11.%20November/EAF%206368%20GEnt%2019112025%2033400.pdf?csf=1&amp;web=1&amp;e=oI8Fxu</t>
  </si>
  <si>
    <t xml:space="preserve"> https://delijn.sharepoint.com/:b:/r/teams/CTM-OTGentStad/Shared%20Documents/General/EAF/CSI(nieuwe%20sharepoint)%202025/11.%20November/EAF%206362%20Gent%2014112025%2026524.pdf?csf=1&amp;web=1&amp;e=VyUCPX</t>
  </si>
  <si>
    <t xml:space="preserve"> https://delijn.sharepoint.com/:b:/r/teams/CTM-OTGentStad/Shared%20Documents/General/EAF/CSI(nieuwe%20sharepoint)%202025/11.%20November/EAF%206365%20Gent%2018112025%2025733.pdf?csf=1&amp;web=1&amp;e=UDfy0P</t>
  </si>
  <si>
    <t xml:space="preserve"> https://delijn.sharepoint.com/:b:/r/teams/CTM-OTGentStad/Shared%20Documents/General/EAF/CSI(nieuwe%20sharepoint)%202025/11.%20November/EAF%205790%20Braemkasteelstraat%20Gentbrugge%2017112025%20-%2036426.pdf?csf=1&amp;web=1&amp;e=PJRUGf</t>
  </si>
  <si>
    <t>braemkasteelstraat</t>
  </si>
  <si>
    <t xml:space="preserve"> https://delijn.sharepoint.com/:b:/r/teams/CTM-OTGentStad/Shared%20Documents/General/EAF/CSI(nieuwe%20sharepoint)%202025/11.%20November/EAF%205912%20Gent%2020112025%2042336.pdf?csf=1&amp;web=1&amp;e=9dkXVa</t>
  </si>
  <si>
    <t xml:space="preserve"> https://delijn.sharepoint.com/:i:/r/teams/CTM-OTGentStad/Shared%20Documents/General/EAF/CSI(nieuwe%20sharepoint)%202025/11.%20November/EAF%205042%20071125.jpg?csf=1&amp;web=1&amp;e=fF5jbu</t>
  </si>
  <si>
    <t xml:space="preserve"> https://delijn.sharepoint.com/:b:/r/teams/CTM-OTGentStad/Shared%20Documents/General/EAF/CSI(nieuwe%20sharepoint)%202025/11.%20November/EAF%205043%2014112025%2039901.pdf?csf=1&amp;web=1&amp;e=RyGRe1</t>
  </si>
  <si>
    <t xml:space="preserve"> https://delijn.sharepoint.com/:b:/r/teams/CTM-OTGentStad/Shared%20Documents/General/EAF/CSI(nieuwe%20sharepoint)%202025/11.%20November/EAF%205936%20GEnt%2018112025%2042218.pdf?csf=1&amp;web=1&amp;e=CGh1Of</t>
  </si>
  <si>
    <t xml:space="preserve"> https://delijn.sharepoint.com/:b:/r/teams/CTM-OTGentStad/Shared%20Documents/General/EAF/CSI(nieuwe%20sharepoint)%202025/11.%20November/EAF%2020112025%205047%20Gent%20Cedric%20De%20Groote%2039558.pdf?csf=1&amp;web=1&amp;e=N2zzhz</t>
  </si>
  <si>
    <t xml:space="preserve"> https://delijn.sharepoint.com/:b:/r/teams/CTM-OTGentStad/Shared%20Documents/General/EAF/CSI(nieuwe%20sharepoint)%202025/11.%20November/EAF%2015112025%20Gent%2038807.pdf?csf=1&amp;web=1&amp;e=bAfqOk</t>
  </si>
  <si>
    <t>guislainbrug</t>
  </si>
  <si>
    <t xml:space="preserve"> https://delijn.sharepoint.com/:b:/r/teams/CTM-OTGentStad/Shared%20Documents/General/EAF/CSI(nieuwe%20sharepoint)%202025/11.%20November/Scan_28740_1620_001.pdf?csf=1&amp;web=1&amp;e=5pTCjw</t>
  </si>
  <si>
    <t xml:space="preserve"> https://delijn.sharepoint.com/:b:/r/teams/CTM-OTGentStad/Shared%20Documents/General/EAF/CSI(nieuwe%20sharepoint)%202025/11.%20November/EAF%206353%20Gent%2021112025.pdf?csf=1&amp;web=1&amp;e=EaW7FH</t>
  </si>
  <si>
    <t xml:space="preserve"> https://delijn.sharepoint.com/:b:/r/teams/CTM-OTGentStad/Shared%20Documents/General/EAF/CSI(nieuwe%20sharepoint)%202025/11.%20November/EAF%205054%20Gent%2024112025.pdf?csf=1&amp;web=1&amp;e=kjbsfg</t>
  </si>
  <si>
    <t xml:space="preserve"> https://delijn.sharepoint.com/:b:/r/teams/CTM-OTGentStad/Shared%20Documents/General/EAF/CSI(nieuwe%20sharepoint)%202025/11.%20November/EAF%20104023%20Gent%2021112025.pdf?csf=1&amp;web=1&amp;e=MPWelv</t>
  </si>
  <si>
    <t>Spaarstraat</t>
  </si>
  <si>
    <t xml:space="preserve"> https://delijn.sharepoint.com/:b:/r/teams/CTM-OTGentStad/Shared%20Documents/General/EAF/CSI(nieuwe%20sharepoint)%202025/11.%20November/EAF%205934%20Gent%2025112025%2042307.pdf?csf=1&amp;web=1&amp;e=YmWolc</t>
  </si>
  <si>
    <t>overpoortstraat</t>
  </si>
  <si>
    <t>Rijlabels</t>
  </si>
  <si>
    <t>33400 Petit Cynthia</t>
  </si>
  <si>
    <t>38529 Huyghe Jan</t>
  </si>
  <si>
    <t>39558 De Groote Cedric</t>
  </si>
  <si>
    <t>39928 Momand Abdullah</t>
  </si>
  <si>
    <t>41101 Shah Sekandar</t>
  </si>
  <si>
    <t>41786 Diels Nick</t>
  </si>
  <si>
    <t>41870 Goossens Yannick</t>
  </si>
  <si>
    <t>41888 De Rammelaere Bjorn</t>
  </si>
  <si>
    <t>41918 Babai Saber</t>
  </si>
  <si>
    <t>41948 Vervaecke Wim</t>
  </si>
  <si>
    <t>42015 Crop Alexander</t>
  </si>
  <si>
    <t>42044 El Gana Karim</t>
  </si>
  <si>
    <t>42082 Ahmad Othman</t>
  </si>
  <si>
    <t>42105 Van den Bossche Jarne</t>
  </si>
  <si>
    <t>42120 De Bruycker Dylan</t>
  </si>
  <si>
    <t>42143 Rahoens Christ</t>
  </si>
  <si>
    <t>42146 Cichonski Kamil</t>
  </si>
  <si>
    <t>42252 Sular Abdullah</t>
  </si>
  <si>
    <t>42307 Helleputte Jens</t>
  </si>
  <si>
    <t>#N/B</t>
  </si>
  <si>
    <t>Som van totaal schade</t>
  </si>
  <si>
    <t>13089 Oosterlinck Jan</t>
  </si>
  <si>
    <t>36505 De Lange Ruben</t>
  </si>
  <si>
    <t>39901 Basha Izmir</t>
  </si>
  <si>
    <t>27865 Olenski Leonard</t>
  </si>
  <si>
    <t>8918 De Graeve Marc</t>
  </si>
  <si>
    <t>26524 Bolle Cynthia</t>
  </si>
  <si>
    <t>42277 Güler Ender</t>
  </si>
  <si>
    <t>42249 Bontinck Stephan</t>
  </si>
  <si>
    <t>42218 Özer Metehan</t>
  </si>
  <si>
    <t>42336 Camgöz Furkan</t>
  </si>
  <si>
    <t xml:space="preserve"> https://delijn.sharepoint.com/:b:/r/teams/CTM-OTGentStad/Shared%20Documents/General/EAF/CSI(nieuwe%20sharepoint)%202025/11.%20November/EAF%205768%20Gent%2006112025%2038688.pdf?csf=1&amp;web=1&amp;e=mBnGnV</t>
  </si>
  <si>
    <t>Groene valei</t>
  </si>
  <si>
    <t xml:space="preserve"> https://delijn.sharepoint.com/:b:/r/teams/CTM-OTGentStad/Shared%20Documents/General/EAF/CSI(nieuwe%20sharepoint)%202025/11.%20November/EAF%205260%20Gent%2023112025%2036627.pdf?csf=1&amp;web=1&amp;e=f6EI9o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</si>
</sst>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 tint="-0.249977111117893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36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4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0" fillId="0" borderId="0" xfId="0" applyProtection="1">
      <protection locked="0"/>
    </xf>
    <xf numFmtId="14" fontId="0" fillId="4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0" fillId="3" borderId="0" xfId="0" applyFill="1" applyAlignment="1">
      <alignment horizontal="center"/>
    </xf>
    <xf numFmtId="0" fontId="0" fillId="0" borderId="0" xfId="0" applyAlignment="1">
      <alignment vertical="center"/>
    </xf>
    <xf numFmtId="0" fontId="0" fillId="5" borderId="0" xfId="0" applyFill="1" applyAlignment="1">
      <alignment horizontal="center"/>
    </xf>
    <xf numFmtId="0" fontId="3" fillId="5" borderId="0" xfId="1" applyFill="1" applyAlignment="1">
      <alignment horizontal="center"/>
    </xf>
    <xf numFmtId="14" fontId="0" fillId="5" borderId="0" xfId="0" applyNumberFormat="1" applyFill="1"/>
    <xf numFmtId="0" fontId="2" fillId="5" borderId="0" xfId="0" applyFont="1" applyFill="1" applyAlignment="1">
      <alignment horizontal="center"/>
    </xf>
    <xf numFmtId="14" fontId="4" fillId="2" borderId="0" xfId="0" applyNumberFormat="1" applyFont="1" applyFill="1" applyAlignment="1">
      <alignment horizontal="center"/>
    </xf>
    <xf numFmtId="14" fontId="4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right" vertical="center"/>
    </xf>
    <xf numFmtId="0" fontId="0" fillId="5" borderId="0" xfId="0" applyNumberFormat="1" applyFill="1" applyAlignment="1">
      <alignment horizontal="center"/>
    </xf>
    <xf numFmtId="0" fontId="0" fillId="0" borderId="0" xfId="0" applyNumberFormat="1"/>
    <xf numFmtId="0" fontId="0" fillId="6" borderId="0" xfId="0" applyFill="1"/>
  </cellXfs>
  <cellStyles count="2">
    <cellStyle name="Hyperlink" xfId="1" builtinId="8"/>
    <cellStyle name="Standaard" xfId="0" builtinId="0"/>
  </cellStyles>
  <dxfs count="19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C000"/>
        </patternFill>
      </fill>
    </dxf>
    <dxf>
      <numFmt numFmtId="0" formatCode="General"/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1/relationships/timelineCache" Target="timelineCaches/timelineCache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703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9524</xdr:colOff>
      <xdr:row>0</xdr:row>
      <xdr:rowOff>0</xdr:rowOff>
    </xdr:from>
    <xdr:to>
      <xdr:col>13</xdr:col>
      <xdr:colOff>419099</xdr:colOff>
      <xdr:row>7</xdr:row>
      <xdr:rowOff>38100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3" name="Datum">
              <a:extLst>
                <a:ext uri="{FF2B5EF4-FFF2-40B4-BE49-F238E27FC236}">
                  <a16:creationId xmlns:a16="http://schemas.microsoft.com/office/drawing/2014/main" id="{63876864-F417-EB55-7F3E-050B8D121AEB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28724" y="0"/>
              <a:ext cx="13611225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87.43923773148" createdVersion="8" refreshedVersion="8" minRefreshableVersion="3" recordCount="983" xr:uid="{A79F02F4-7057-403C-BA1E-F048587AF0EA}">
  <cacheSource type="worksheet">
    <worksheetSource name="bron"/>
  </cacheSource>
  <cacheFields count="33">
    <cacheField name="personeelsnr" numFmtId="0">
      <sharedItems containsString="0" containsBlank="1" containsNumber="1" containsInteger="1" minValue="4419" maxValue="42336"/>
    </cacheField>
    <cacheField name="volledige naam" numFmtId="0">
      <sharedItems containsBlank="1" count="607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e v="#N/A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34325 Eid Mathyn"/>
        <s v="13345 Schijvens Ronny"/>
        <s v="25994 Peers Mario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1490 De Weirdt Steph"/>
        <s v="36426 Mohamed Yassin Abdulhamid"/>
        <s v="36663 Cesmeli Achraf"/>
        <s v="41032 Rocabado Hinojosa Lukas"/>
        <s v="22052 Meyvaert Peter"/>
        <s v="40444 Van Damme Glenn"/>
        <s v="40969 Kerman Melisa"/>
        <s v="41162 Hoeckman Jeroen"/>
        <s v="13398 Kirdas Ramazan"/>
        <s v="35491 Toubadie Zakaria"/>
        <s v="21424 Verstichel Jethro"/>
        <s v="33640 Verschraegen Patrick"/>
        <s v="12514 De Smet Kenneth"/>
        <s v="17951 Lega Claude"/>
        <s v="40856 Neissi Sadegh"/>
        <s v="40055 Afara Ammar"/>
        <s v="28737 El-Mohamed Mohamed"/>
        <s v="25679 Vanrenterghem Serge"/>
        <s v="39267 Van Holsbeeck Jens"/>
        <s v="6229 De Meyer Antoon"/>
        <s v="41383 De Pauw Tony"/>
        <s v="26199 Wauters Franky"/>
        <s v="41091 Yavas Talha"/>
        <s v="35490 Nguetto Brisco Romeo"/>
        <s v="41012 Natad Younes"/>
        <s v="41246 Van Holsbeeck Yana"/>
        <s v="39972 Repaj Ramazav"/>
        <s v="39831 Dolgiev Mukhamed"/>
        <s v="9824 De Meulenaere Eric"/>
        <s v="35397 Minbari Ako"/>
        <s v="19520 Van Steenbergen Kris"/>
        <s v="34019 Hoste Tom"/>
        <s v="40591 Hiloui Mahmoud"/>
        <s v="29674 Martens Geoffrey"/>
        <s v="32091 Köroglu Ercan"/>
        <s v="28910 Gassa Osmane"/>
        <s v="40939 Cisse Sayon"/>
        <s v="35495 Razzaz Mahmoud"/>
        <s v="41064 Ardic Atilla"/>
        <s v="11120 De Vrieze Ludo"/>
        <s v="35216 Coban Mehmet"/>
        <s v="41520 Smets Avery"/>
        <s v="32611 Özer Özgur"/>
        <s v="38580 Smajla Samet"/>
        <s v="31118 De Sutter Michiel"/>
        <s v="39677 Tacq Joey"/>
        <s v="35619 El Mezroui Zouheir"/>
        <s v="38035 Simsek Isa"/>
        <s v="9158 De Weirdt Ronny"/>
        <s v="25733 Simsek Abdullah"/>
        <s v="36820 Haché Philip"/>
        <s v="40443 Fakash Mahmoud"/>
        <s v="37744 De Lange Frank"/>
        <s v="41230 De Witte Bart"/>
        <s v="32245 Verlinden Bianca"/>
        <s v="41588 Naessens Yves"/>
        <s v="37132 Dacic Esmir"/>
        <s v="32002 Hasni Helmi"/>
        <s v="33085 Van Hoe Ivo"/>
        <s v="24155 Luttens Koen"/>
        <s v="37908 Vandenberghe Michael"/>
        <s v="38740 Meskens Anthony"/>
        <s v="4608 Steenbrugge Johan"/>
        <s v="38731 Ben Sidhom Samir"/>
        <s v="40938 Hasnaoui Nejmeddine"/>
        <s v="27672 Criel Veronique"/>
        <s v="39856 Curukcu Bayram"/>
        <s v="29746 Huyse Annicke"/>
        <s v="40393 Salimova Eydzhan"/>
        <s v="41710 Ghani Fazal"/>
        <s v="41671 Hasan Salem"/>
        <s v="41482 Özdemir Osman"/>
        <s v="15412 Dhondt Frank"/>
        <s v="41619 Bachiri Ousama"/>
        <s v="41384 Hillaert Thimo"/>
        <s v="36154 De Clercq Sven"/>
        <s v="37208 Catar Gökhan"/>
        <s v="40645 Bytebier Jason"/>
        <s v="7746 Aelterman Didier"/>
        <s v="31150 Oueslati Mohamed Ali"/>
        <s v="26695 Lippens Miguel"/>
        <s v="14625 Rodrigue Vincent"/>
        <s v="41721 Nolf Philippe"/>
        <s v="41690 Van de Winckel Kelly"/>
        <s v="40362 Kuru Cetin"/>
        <s v="29646 Özer Mesut"/>
        <s v="39850 Helleputte William"/>
        <s v="40745 Ivanov Ivan"/>
        <s v="22416 Bicici Abdul Kadir"/>
        <s v="31776 Famelaer Steve"/>
        <s v="41859 Palit Ramazan"/>
        <s v="4720 De Roo Jo"/>
        <s v="22877 Goossens Gunther"/>
        <s v="36577 De Smet Martine"/>
        <s v="30271 Bracke Jeroen"/>
        <s v="41137 De smet Dirk"/>
        <s v="11213 De Plus Gunter"/>
        <s v="42002 Bogaert Kevin"/>
        <s v="12819 Van Eenaeme David"/>
        <s v="18051 Van Wittenberge Filip"/>
        <s v="37258 Ouchir Louay"/>
        <s v="41007 Sogut Cagri"/>
        <s v="10782 De Kee Ina"/>
        <s v="34890 Sturtewagen Tom"/>
        <s v="36021 Boelaert Frederik"/>
        <s v="41874 Dobbeleire Bruno"/>
        <s v="22202 Pluym Pascal"/>
        <s v="41348 Van Huffel Tim"/>
        <s v="41871 Karanfil Ibrahim"/>
        <s v="25829 Kayim Akin"/>
        <s v="41190 De Meyer Horst"/>
        <s v="42145 Gys Shayya"/>
        <s v="20656 Vonck Bart"/>
        <s v="42082 Ahmad Othman"/>
        <s v="41786 Diels Nick"/>
        <s v="9062 Westelinck Davy"/>
        <s v="31634 Kirsan Ömer"/>
        <s v="41101 Shah Sekandar"/>
        <s v="11021 Seeuws Marnic"/>
        <s v="37222 Blondeel Dominique"/>
        <s v="42146 Cichonski Kamil"/>
        <s v="42120 De Bruycker Dylan"/>
        <s v="41918 Babai Saber"/>
        <s v="41948 Vervaecke Wim"/>
        <s v="42252 Sular Abdullah"/>
        <s v="42307 Helleputte Jens"/>
        <s v="41888 De Rammelaere Bjorn"/>
        <s v="42105 Van den Bossche Jarne"/>
        <s v="29271 Maes Filip"/>
        <s v="42044 El Gana Karim"/>
        <s v="38555 Almohammad Malek"/>
        <s v="42015 Crop Alexander"/>
        <s v="12024 De Cooman Kurt"/>
        <s v="20542 Kizilmese Emra"/>
        <s v="15219 De Mey Peter"/>
        <s v="16275 Devriendt Patrick"/>
        <s v="39928 Momand Abdullah"/>
        <s v="20543 Pekdemir Ilkmur"/>
        <s v="41870 Goossens Yannick"/>
        <s v="27673 Verbanck Koen"/>
        <s v="15220 Dejonghe Katleen"/>
        <s v="25873 Kazakbiyev Osman"/>
        <s v="14072 Vervoort Koen"/>
        <s v="26639 Engels Wendy"/>
        <s v="42143 Rahoens Christ"/>
        <s v="11023 Goethals Jeffrey"/>
        <s v="42277 Güler Ender"/>
        <s v="13089 Oosterlinck Jan"/>
        <s v="42249 Bontinck Stephan"/>
        <s v="26524 Bolle Cynthia"/>
        <s v="39901 Basha Izmir"/>
        <s v="36505 De Lange Ruben"/>
        <s v="42218 Özer Metehan"/>
        <s v="42336 Camgöz Furkan"/>
        <s v="8918 De Graeve Marc"/>
        <s v="27865 Olenski Leonard"/>
        <s v="18987 De Geyter Dolly" u="1"/>
        <s v="21582 De Grom Patrick" u="1"/>
        <s v="36569 Stroobandt Jonas" u="1"/>
        <s v="23880 Wyffels Jean-Pierre" u="1"/>
        <s v="30389 De Jonge Matthew" u="1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85 Mattan Maaren" u="1"/>
        <s v="18624 Azahaf M'Hamed" u="1"/>
        <s v="19766 De Boeck Johannes" u="1"/>
        <s v="28821 Roels Els" u="1"/>
        <s v="29181 Van Turtelboom Franky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19810 Willems Kristine" u="1"/>
        <s v="28165 De Pauw Kurt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24156 Kaya Aydin" u="1"/>
        <s v="26265 Van Vlem Danny" u="1"/>
        <s v="15626 Tondeleir Ron" u="1"/>
        <s v="3926 De Clercq Marc" u="1"/>
        <s v="23818 Dellaert Yves" u="1"/>
        <s v="26638 Van de Capelle Geert" u="1"/>
        <s v="40400 Sherifi Gani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1507 De Cooman Bart" u="1"/>
        <s v="25234 Haelterman Geert" u="1"/>
        <s v="25680 Cetinkaya Veysel" u="1"/>
        <s v="4525 Vanthomme Geert" u="1"/>
        <s v="18141 Platteau Lydie" u="1"/>
        <s v="26197 Van Puyenbroeck Pascale" u="1"/>
        <s v="29591 Celikoz Musa" u="1"/>
        <s v="9979 Loots Wim" u="1"/>
        <s v="17954 Vanlerberghe Rudy" u="1"/>
        <s v="36378 Opsomer Gerrit" u="1"/>
        <s v="6049 Jouret Alain" u="1"/>
        <s v="15218 Ackermans Christian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667 Lust Dominiek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6067 Vantilcke Fabien" u="1"/>
        <s v="7748 Baetslé Stephen" u="1"/>
        <s v="16623 Notte Nancy" u="1"/>
        <s v="19016 Joos Veronique" u="1"/>
        <s v="20705 Van Den Neste Diederik" u="1"/>
        <s v="21428 Anjuijn Vanessa" u="1"/>
        <s v="26334 Aelterman Luc" u="1"/>
        <s v="26521 Siderov Miroslav" u="1"/>
        <s v="28690 Debreuckere Renzo" u="1"/>
        <s v="31361 Pille Pascal" u="1"/>
        <s v="29818 Van De Velde Kristof" u="1"/>
        <s v="30292 Verberckmoes Sebastiaan" u="1"/>
        <s v="31404 Vindevogel Nick" u="1"/>
        <s v="31550 Cetin Serdar" u="1"/>
        <s v="31601 Akin Ridvan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954 In Murat" u="1"/>
        <s v="21662 Van Hulle Werner" u="1"/>
        <s v="32458 Cifteoglu Sedat" u="1"/>
        <s v="35761 Simsek Huseyin" u="1"/>
        <s v="38691 Muys Aäron" u="1"/>
        <s v="5080 Van Damme Kari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ntainsMixedTypes="1" containsNumber="1" containsInteger="1" minValue="0" maxValue="0" count="18">
        <s v="uit dienst"/>
        <s v="Kenneth De Rick"/>
        <s v="Els Dewulf"/>
        <s v="Els Vanhoe"/>
        <s v="Bart Van Der Beken"/>
        <s v="Christoff Rotty"/>
        <s v="Lucie Vande Velde"/>
        <s v="Dominique De Clercq"/>
        <e v="#N/A"/>
        <s v="Steven Storm"/>
        <s v="Jarne Stubbe"/>
        <n v="0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1905-01-01T00:00:00" maxDate="2025-08-23T00:00:00" count="43">
        <m/>
        <d v="2025-01-03T00:00:00" u="1"/>
        <d v="2024-12-04T00:00:00" u="1"/>
        <d v="2025-02-18T00:00:00" u="1"/>
        <d v="2025-05-06T00:00:00" u="1"/>
        <d v="2025-06-23T00:00:00" u="1"/>
        <d v="2025-03-19T00:00:00" u="1"/>
        <d v="2025-07-04T00:00:00" u="1"/>
        <d v="2025-07-29T00:00:00" u="1"/>
        <d v="2025-06-13T00:00:00" u="1"/>
        <d v="2025-04-30T00:00:00" u="1"/>
        <d v="2025-08-14T00:00:00" u="1"/>
        <d v="2025-07-26T00:00:00" u="1"/>
        <d v="2025-07-25T00:00:00" u="1"/>
        <d v="2025-07-15T00:00:00" u="1"/>
        <d v="2025-01-27T00:00:00" u="1"/>
        <d v="2025-06-28T00:00:00" u="1"/>
        <d v="2025-04-16T00:00:00" u="1"/>
        <d v="2025-06-05T00:00:00" u="1"/>
        <d v="2025-08-21T00:00:00" u="1"/>
        <d v="2025-02-22T00:00:00" u="1"/>
        <d v="2025-01-13T00:00:00" u="1"/>
        <d v="2025-03-21T00:00:00" u="1"/>
        <d v="2025-06-29T00:00:00" u="1"/>
        <d v="2025-05-21T00:00:00" u="1"/>
        <d v="2025-07-24T00:00:00" u="1"/>
        <d v="2025-05-23T00:00:00" u="1"/>
        <d v="2025-02-15T00:00:00" u="1"/>
        <d v="2025-04-07T00:00:00" u="1"/>
        <d v="2025-03-15T00:00:00" u="1"/>
        <d v="2025-07-30T00:00:00" u="1"/>
        <d v="2025-01-21T00:00:00" u="1"/>
        <d v="2025-05-05T00:00:00" u="1"/>
        <d v="2025-02-27T00:00:00" u="1"/>
        <d v="2025-01-17T00:00:00" u="1"/>
        <d v="2025-01-18T00:00:00" u="1"/>
        <d v="2025-06-20T00:00:00" u="1"/>
        <d v="2025-07-03T00:00:00" u="1"/>
        <d v="2025-08-05T00:00:00" u="1"/>
        <d v="2025-04-26T00:00:00" u="1"/>
        <d v="2025-08-22T00:00:00" u="1"/>
        <d v="2025-03-16T00:00:00" u="1"/>
        <d v="2025-03-02T00:00:00" u="1"/>
      </sharedItems>
      <fieldGroup par="29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0:00:00" maxDate="1899-12-31T04:01:03"/>
    </cacheField>
    <cacheField name="Mei" numFmtId="0">
      <sharedItems containsDate="1" containsString="0" containsBlank="1" containsMixedTypes="1" minDate="1899-12-31T00:00:00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11-26T00:00:00" count="501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d v="2025-01-04T00:00:00"/>
        <d v="2025-01-08T00:00:00"/>
        <d v="2025-01-09T00:00:00"/>
        <d v="2025-01-10T00:00:00"/>
        <d v="2025-01-12T00:00:00"/>
        <d v="2025-01-13T00:00:00"/>
        <d v="2025-01-14T00:00:00"/>
        <d v="2025-01-15T00:00:00"/>
        <d v="2025-01-16T00:00:00"/>
        <d v="2025-01-17T00:00:00"/>
        <d v="2025-01-18T00:00:00"/>
        <d v="2025-01-20T00:00:00"/>
        <d v="2025-01-21T00:00:00"/>
        <d v="2025-01-22T00:00:00"/>
        <d v="2025-01-23T00:00:00"/>
        <d v="2025-01-24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2-03T00:00:00"/>
        <d v="2025-02-05T00:00:00"/>
        <d v="2025-02-06T00:00:00"/>
        <d v="2025-02-07T00:00:00"/>
        <d v="2025-02-10T00:00:00"/>
        <d v="2025-02-11T00:00:00"/>
        <d v="2025-02-12T00:00:00"/>
        <d v="2025-02-13T00:00:00"/>
        <d v="2025-02-14T00:00:00"/>
        <d v="2025-02-15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7T00:00:00"/>
        <d v="2025-02-28T00:00:00"/>
        <d v="2025-03-01T00:00:00"/>
        <d v="2025-03-02T00:00:00"/>
        <d v="2025-03-03T00:00:00"/>
        <d v="2025-03-04T00:00:00"/>
        <d v="2025-03-05T00:00:00"/>
        <d v="2025-03-06T00:00:00"/>
        <d v="2025-03-09T00:00:00"/>
        <d v="2025-03-10T00:00:00"/>
        <d v="2025-03-11T00:00:00"/>
        <d v="2025-03-12T00:00:00"/>
        <d v="2025-03-13T00:00:00"/>
        <d v="2025-03-15T00:00:00"/>
        <d v="2025-03-16T00:00:00"/>
        <d v="2025-03-17T00:00:00"/>
        <d v="2025-03-18T00:00:00"/>
        <d v="2025-03-19T00:00:00"/>
        <d v="2025-03-20T00:00:00"/>
        <d v="2025-03-21T00:00:00"/>
        <d v="2025-03-24T00:00:00"/>
        <d v="2025-03-26T00:00:00"/>
        <d v="2025-03-27T00:00:00"/>
        <d v="2025-03-28T00:00:00"/>
        <d v="2025-03-29T00:00:00"/>
        <d v="2025-04-02T00:00:00"/>
        <d v="2025-04-03T00:00:00"/>
        <d v="2025-04-04T00:00:00"/>
        <d v="2025-04-07T00:00:00"/>
        <d v="2025-04-08T00:00:00"/>
        <d v="2025-04-09T00:00:00"/>
        <d v="2025-04-10T00:00:00"/>
        <d v="2025-04-11T00:00:00"/>
        <d v="2025-04-12T00:00:00"/>
        <d v="2025-04-15T00:00:00"/>
        <d v="2025-04-16T00:00:00"/>
        <d v="2025-04-18T00:00:00"/>
        <d v="2025-04-19T00:00:00"/>
        <d v="2025-04-22T00:00:00"/>
        <d v="2025-04-23T00:00:00"/>
        <d v="2025-04-24T00:00:00"/>
        <d v="2025-04-26T00:00:00"/>
        <d v="2025-04-28T00:00:00"/>
        <d v="2025-04-29T00:00:00"/>
        <d v="2025-04-30T00:00:00"/>
        <d v="2025-05-01T00:00:00"/>
        <d v="2025-05-02T00:00:00"/>
        <d v="2025-05-03T00:00:00"/>
        <d v="2025-05-04T00:00:00"/>
        <d v="2025-05-05T00:00:00"/>
        <d v="2025-05-06T00:00:00"/>
        <d v="2025-05-07T00:00:00"/>
        <d v="2025-05-09T00:00:00"/>
        <d v="2025-05-10T00:00:00"/>
        <d v="2025-05-11T00:00:00"/>
        <d v="2025-05-13T00:00:00"/>
        <d v="2025-05-14T00:00:00"/>
        <d v="2025-05-15T00:00:00"/>
        <d v="2025-05-17T00:00:00"/>
        <d v="2025-05-21T00:00:00"/>
        <d v="2025-05-22T00:00:00"/>
        <d v="2025-05-23T00:00:00"/>
        <d v="2025-05-26T00:00:00"/>
        <d v="2025-05-29T00:00:00"/>
        <d v="2025-05-30T00:00:00"/>
        <d v="2025-05-31T00:00:00"/>
        <d v="2025-06-02T00:00:00"/>
        <d v="2025-06-03T00:00:00"/>
        <d v="2025-06-04T00:00:00"/>
        <d v="2025-06-05T00:00:00"/>
        <d v="2025-06-06T00:00:00"/>
        <d v="2025-06-07T00:00:00"/>
        <d v="2025-06-10T00:00:00"/>
        <d v="2025-06-11T00:00:00"/>
        <d v="2025-06-12T00:00:00"/>
        <d v="2025-06-13T00:00:00"/>
        <d v="2025-06-20T00:00:00"/>
        <d v="2025-06-21T00:00:00"/>
        <d v="2025-06-22T00:00:00"/>
        <d v="2025-06-23T00:00:00"/>
        <d v="2025-06-24T00:00:00"/>
        <d v="2025-06-25T00:00:00"/>
        <d v="2025-06-28T00:00:00"/>
        <d v="2025-06-29T00:00:00"/>
        <d v="2025-07-01T00:00:00"/>
        <d v="2025-07-02T00:00:00"/>
        <d v="2025-07-03T00:00:00"/>
        <d v="2025-07-04T00:00:00"/>
        <d v="2025-07-05T00:00:00"/>
        <d v="2025-07-07T00:00:00"/>
        <d v="2025-07-08T00:00:00"/>
        <d v="2025-07-09T00:00:00"/>
        <d v="2025-07-10T00:00:00"/>
        <d v="2025-07-11T00:00:00"/>
        <d v="2025-07-12T00:00:00"/>
        <d v="2025-07-13T00:00:00"/>
        <d v="2025-07-14T00:00:00"/>
        <d v="2025-07-15T00:00:00"/>
        <d v="2025-07-16T00:00:00"/>
        <d v="2025-07-19T00:00:00"/>
        <d v="2025-07-21T00:00:00"/>
        <d v="2025-07-23T00:00:00"/>
        <d v="2025-07-24T00:00:00"/>
        <d v="2025-07-25T00:00:00"/>
        <d v="2025-07-26T00:00:00"/>
        <d v="2025-07-28T00:00:00"/>
        <d v="2025-07-29T00:00:00"/>
        <d v="2025-07-30T00:00:00"/>
        <d v="2025-07-31T00:00:00"/>
        <d v="2025-08-02T00:00:00"/>
        <d v="2025-08-03T00:00:00"/>
        <d v="2025-08-05T00:00:00"/>
        <d v="2025-08-07T00:00:00"/>
        <d v="2025-08-09T00:00:00"/>
        <d v="2025-08-10T00:00:00"/>
        <d v="2025-08-14T00:00:00"/>
        <d v="2025-08-15T00:00:00"/>
        <d v="2025-08-18T00:00:00"/>
        <d v="2025-08-21T00:00:00"/>
        <d v="2025-08-22T00:00:00"/>
        <d v="2025-08-23T00:00:00"/>
        <d v="2025-08-25T00:00:00"/>
        <d v="2025-08-26T00:00:00"/>
        <d v="2025-08-28T00:00:00"/>
        <d v="2025-08-29T00:00:00"/>
        <d v="2025-08-30T00:00:00"/>
        <d v="2025-09-01T00:00:00"/>
        <d v="2025-09-02T00:00:00"/>
        <d v="2025-09-03T00:00:00"/>
        <d v="2025-09-04T00:00:00"/>
        <d v="2025-09-05T00:00:00"/>
        <d v="2025-09-07T00:00:00"/>
        <d v="2025-09-09T00:00:00"/>
        <d v="2025-09-10T00:00:00"/>
        <d v="2025-09-11T00:00:00"/>
        <d v="2025-09-12T00:00:00"/>
        <d v="2025-09-14T00:00:00"/>
        <d v="2025-09-15T00:00:00"/>
        <d v="2025-09-16T00:00:00"/>
        <d v="2025-09-17T00:00:00"/>
        <d v="2025-09-19T00:00:00"/>
        <d v="2025-09-22T00:00:00"/>
        <d v="2025-09-23T00:00:00"/>
        <d v="2025-09-24T00:00:00"/>
        <d v="2025-09-25T00:00:00"/>
        <d v="2025-09-26T00:00:00"/>
        <d v="2025-09-30T00:00:00"/>
        <d v="2025-10-03T00:00:00"/>
        <d v="2025-10-04T00:00:00"/>
        <d v="2025-10-06T00:00:00"/>
        <d v="2025-10-08T00:00:00"/>
        <d v="2025-10-09T00:00:00"/>
        <d v="2025-10-10T00:00:00"/>
        <d v="2025-10-11T00:00:00"/>
        <d v="2025-10-12T00:00:00"/>
        <d v="2025-10-13T00:00:00"/>
        <d v="2025-10-14T00:00:00"/>
        <d v="2025-10-15T00:00:00"/>
        <d v="2025-10-17T00:00:00"/>
        <d v="2025-10-18T00:00:00"/>
        <d v="2025-10-20T00:00:00"/>
        <d v="2025-10-21T00:00:00"/>
        <d v="2025-10-22T00:00:00"/>
        <d v="2025-10-24T00:00:00"/>
        <d v="2025-10-25T00:00:00"/>
        <d v="2025-10-26T00:00:00"/>
        <d v="2025-10-27T00:00:00"/>
        <d v="2025-10-28T00:00:00"/>
        <d v="2025-10-29T00:00:00"/>
        <d v="2025-10-30T00:00:00"/>
        <d v="2025-10-31T00:00:00"/>
        <d v="2025-11-01T00:00:00"/>
        <d v="2025-11-02T00:00:00"/>
        <d v="2025-11-03T00:00:00"/>
        <d v="2025-11-04T00:00:00"/>
        <d v="2025-11-05T00:00:00"/>
        <d v="2025-11-06T00:00:00"/>
        <d v="2025-11-07T00:00:00"/>
        <d v="2025-11-10T00:00:00"/>
        <d v="2025-11-11T00:00:00"/>
        <d v="2025-11-12T00:00:00"/>
        <d v="2025-11-13T00:00:00"/>
        <d v="2025-11-14T00:00:00"/>
        <d v="2025-11-15T00:00:00"/>
        <d v="2025-11-17T00:00:00"/>
        <d v="2025-11-18T00:00:00"/>
        <d v="2025-11-19T00:00:00"/>
        <d v="2025-11-20T00:00:00"/>
        <d v="2025-11-21T00:00:00"/>
        <d v="2025-11-24T00:00:00"/>
        <d v="2025-11-25T00:00:00"/>
        <m/>
      </sharedItems>
      <fieldGroup par="32"/>
    </cacheField>
    <cacheField name="Link" numFmtId="0">
      <sharedItems containsBlank="1" longText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8">
        <s v="Bus"/>
        <s v="Tram"/>
        <s v="Hermelijn"/>
        <s v="Standaard"/>
        <s v="Geleed"/>
        <s v="Flexity"/>
        <m/>
        <s v="-" u="1"/>
      </sharedItems>
    </cacheField>
    <cacheField name="Locatie" numFmtId="0">
      <sharedItems containsBlank="1" count="266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erkhoutestraat"/>
        <s v="Botermarkt"/>
        <s v="Vlaanderenstraat"/>
        <s v="Griendeplein"/>
        <s v="Sleepstraat"/>
        <s v="Brusselsepoort"/>
        <s v="Muide"/>
        <s v="Onbekend"/>
        <m/>
        <s v="Salvatorstraat"/>
        <s v="Blandijnberg"/>
        <s v="Heiveldstraat"/>
        <s v="Meerhem"/>
        <s v="Neuseplein"/>
        <s v="Bernard Spaelaan"/>
        <s v="Clementinalaan"/>
        <s v="Coupure"/>
        <s v="Merelbeke statrion"/>
        <s v="Wondegembrug"/>
        <s v="Kartuizerlaan"/>
        <s v="Wittewalle"/>
        <s v="Steenakker"/>
        <s v="Van Goethemstraat"/>
        <s v="Citadellaan"/>
        <s v="Sint Baafsplein"/>
        <s v="Antoon Catriestraat"/>
        <s v="Tweekappellestraat"/>
        <s v="Sint Salvatorstraat "/>
        <s v="Segersplein"/>
        <s v="Antoon sanderusstraat"/>
        <s v="Koning Albertstraat"/>
        <s v="Ham"/>
        <s v="Nazareth"/>
        <s v="Doornzelesteenweg"/>
        <s v="Doornzelestraat"/>
        <s v="Stapelplein "/>
        <s v="Sint pieters nieuwstraat"/>
        <s v="Van Beverenplein"/>
        <s v="Burggravenlaan"/>
        <s v="Overzet"/>
        <s v="Liefkensstraat"/>
        <s v="Sint Amandsstraat"/>
        <s v="Corneel Heymanslaan"/>
        <s v="Temse"/>
        <s v="Kortrijksepoortstraat"/>
        <s v="Koninging Elisabethlaan"/>
        <s v="P+R Ledeberg"/>
        <s v="Noordstraat"/>
        <s v="Baarledorp"/>
        <s v="Widauwkaai"/>
        <s v="Tentoonstellingslaan"/>
        <s v="Laarne"/>
        <s v="Gentstraat (Oostakker)"/>
        <s v="Edelsteenstraat"/>
        <s v="Gentsesteenweg Deinze"/>
        <s v="Heymanslaan"/>
        <s v="Lijnmolenstraat"/>
        <s v="Kruisem"/>
        <s v="Houtdoklaan"/>
        <s v="Sassekaai"/>
        <s v="Kikvorsstraat"/>
        <s v="Pauwstraat"/>
        <s v="Nazarethsesteenweg"/>
        <s v="Melle"/>
        <s v="Belfortstraat"/>
        <s v="Nieuwe vaart"/>
        <s v="Beelbroekstraat"/>
        <s v="Astene"/>
        <s v="Eke"/>
        <s v="Moscou"/>
        <s v="Leo Tertzwiellaan"/>
        <s v="brabantdam"/>
        <s v="Wittebroodhof"/>
        <s v="Gravenbolwerkstraat"/>
        <s v="contributiestraat"/>
        <s v="Groentenmarkt"/>
        <s v="volvo cars"/>
        <s v="Groene staakstraat"/>
        <s v="Evergem"/>
        <s v="eksaarderijweg"/>
        <s v="Sint Jorisbrug"/>
        <s v="John F Kennedylaan"/>
        <s v="Stelplaats Destelbergen"/>
        <s v="UZ Gent"/>
        <s v="Palinghuizen"/>
        <s v="Karekietlaan"/>
        <s v="Van Rijhovelaan"/>
        <s v="Malem"/>
        <s v="Koning Albertbrug"/>
        <s v="Gasmeterlaan"/>
        <s v="Blaarmeersen"/>
        <s v="Oude houtlei"/>
        <s v="Sint Lievenspoort"/>
        <s v="Hofbouwlaan"/>
        <s v="Meulestede"/>
        <s v="Drongen plein"/>
        <s v="Evergemsesteenweg"/>
        <s v="Drapstraat"/>
        <s v="Behijnhoflaan"/>
        <s v="Phoenixstraat"/>
        <s v="Oudebareelstraat"/>
        <s v="Bollebergen"/>
        <s v="Westergemstraat"/>
        <s v="Willy Maststraat"/>
        <s v="Winkelstraat"/>
        <s v="Gent Dampoort"/>
        <s v="Robert Rinskoplaan"/>
        <s v="Hollenaarstraat"/>
        <s v="Port Arthurlaan"/>
        <s v="Zomerstraat"/>
        <s v="sint-Pietersnieuwstraat"/>
        <s v="Brugsepoortstraat"/>
        <s v="zuiderlaan"/>
        <s v="krijtestraat"/>
        <s v="braemkasteelstraat"/>
        <s v="guislainbrug"/>
        <s v="Spaarstraat"/>
        <s v="overpoortstraat"/>
        <s v="Oostakker Dorp" u="1"/>
        <s v="-" u="1"/>
      </sharedItems>
    </cacheField>
    <cacheField name="voertuig" numFmtId="0">
      <sharedItems containsBlank="1" containsMixedTypes="1" containsNumber="1" containsInteger="1" minValue="0" maxValue="550822"/>
    </cacheField>
    <cacheField name="ja" numFmtId="0">
      <sharedItems containsBlank="1"/>
    </cacheField>
    <cacheField name="Maanden (Nt Meetelend 2025)" numFmtId="0" databaseField="0">
      <fieldGroup base="5">
        <rangePr groupBy="months" startDate="1905-01-01T00:00:00" endDate="1905-01-01T00:00:00"/>
        <groupItems count="14">
          <s v="&lt;1/01/1905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/01/1905"/>
        </groupItems>
      </fieldGroup>
    </cacheField>
    <cacheField name="Kwartalen (Nt Meetelend 2025)" numFmtId="0" databaseField="0">
      <fieldGroup base="5">
        <rangePr groupBy="quarters" startDate="1905-01-01T00:00:00" endDate="1905-01-01T00:00:00"/>
        <groupItems count="6">
          <s v="&lt;1/01/1905"/>
          <s v="Kwrt1"/>
          <s v="Kwrt2"/>
          <s v="Kwrt3"/>
          <s v="Kwrt4"/>
          <s v="&gt;1/01/1905"/>
        </groupItems>
      </fieldGroup>
    </cacheField>
    <cacheField name="Jaren (Nt Meetelend 2025)" numFmtId="0" databaseField="0">
      <fieldGroup base="5">
        <rangePr groupBy="years" startDate="1905-01-01T00:00:00" endDate="1905-01-01T00:00:00"/>
        <groupItems count="3">
          <s v="&lt;1/01/1905"/>
          <s v="1905"/>
          <s v="&gt;1/01/1905"/>
        </groupItems>
      </fieldGroup>
    </cacheField>
    <cacheField name="Maanden (Datum)" numFmtId="0" databaseField="0">
      <fieldGroup base="19">
        <rangePr groupBy="months" startDate="2024-01-05T00:00:00" endDate="2025-11-26T00:00:00"/>
        <groupItems count="14">
          <s v="&lt;5/01/2024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26/11/2025"/>
        </groupItems>
      </fieldGroup>
    </cacheField>
    <cacheField name="Kwartalen (Datum)" numFmtId="0" databaseField="0">
      <fieldGroup base="19">
        <rangePr groupBy="quarters" startDate="2024-01-05T00:00:00" endDate="2025-11-26T00:00:00"/>
        <groupItems count="6">
          <s v="&lt;5/01/2024"/>
          <s v="Kwrt1"/>
          <s v="Kwrt2"/>
          <s v="Kwrt3"/>
          <s v="Kwrt4"/>
          <s v="&gt;26/11/2025"/>
        </groupItems>
      </fieldGroup>
    </cacheField>
    <cacheField name="Jaren (Datum)" numFmtId="0" databaseField="0">
      <fieldGroup base="19">
        <rangePr groupBy="years" startDate="2024-01-05T00:00:00" endDate="2025-11-26T00:00:00"/>
        <groupItems count="4">
          <s v="&lt;5/01/2024"/>
          <s v="2024"/>
          <s v="2025"/>
          <s v="&gt;26/11/202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83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  <m/>
    <s v="ja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  <m/>
    <s v="ja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  <m/>
    <s v="ja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  <m/>
    <s v="ja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  <m/>
    <s v="ja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  <m/>
    <s v="ja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  <m/>
    <s v="ja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  <m/>
    <s v="ja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  <m/>
    <s v="ja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  <m/>
    <s v="ja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  <m/>
    <s v="ja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  <m/>
    <s v="ja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  <m/>
    <s v="ja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  <m/>
    <s v="ja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  <m/>
    <s v="ja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  <m/>
    <s v="ja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  <m/>
    <s v="ja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  <m/>
    <s v="ja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  <m/>
    <s v="ja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  <m/>
    <s v="ja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  <m/>
    <s v="ja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  <m/>
    <s v="ja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  <m/>
    <s v="ja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  <m/>
    <s v="ja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  <m/>
    <s v="ja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  <m/>
    <s v="ja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  <m/>
    <s v="ja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  <m/>
    <s v="ja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  <m/>
    <s v="ja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  <m/>
    <s v="ja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  <m/>
    <s v="ja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  <m/>
    <s v="ja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  <m/>
    <s v="ja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  <m/>
    <s v="ja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  <m/>
    <s v="ja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  <m/>
    <s v="ja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  <m/>
    <s v="ja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  <m/>
    <s v="ja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  <m/>
    <s v="ja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  <m/>
    <s v="ja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  <m/>
    <s v="ja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  <m/>
    <s v="ja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  <m/>
    <s v="ja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  <m/>
    <s v="ja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  <m/>
    <s v="ja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  <m/>
    <s v="ja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  <m/>
    <s v="ja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  <m/>
    <s v="ja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  <m/>
    <s v="ja"/>
  </r>
  <r>
    <n v="18987"/>
    <x v="43"/>
    <e v="#N/A"/>
    <e v="#N/A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  <m/>
    <s v="ja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  <m/>
    <s v="ja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  <m/>
    <s v="ja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  <m/>
    <s v="ja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  <m/>
    <s v="ja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  <m/>
    <s v="ja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  <m/>
    <s v="ja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  <m/>
    <s v="ja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  <m/>
    <s v="ja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  <m/>
    <s v="ja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  <m/>
    <s v="ja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  <m/>
    <s v="ja"/>
  </r>
  <r>
    <n v="21582"/>
    <x v="43"/>
    <e v="#N/A"/>
    <e v="#N/A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  <m/>
    <s v="ja"/>
  </r>
  <r>
    <n v="34325"/>
    <x v="52"/>
    <s v="Eid"/>
    <s v="Mathyn"/>
    <x v="9"/>
    <x v="0"/>
    <m/>
    <n v="1"/>
    <m/>
    <m/>
    <m/>
    <m/>
    <m/>
    <m/>
    <m/>
    <m/>
    <m/>
    <m/>
    <n v="1"/>
    <x v="35"/>
    <s v="EAF 19022024 6320 Gent Mathyn Eid.pdf"/>
    <m/>
    <n v="1"/>
    <x v="1"/>
    <x v="40"/>
    <m/>
    <s v="ja"/>
  </r>
  <r>
    <n v="13345"/>
    <x v="53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  <m/>
    <s v="ja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  <m/>
    <s v="ja"/>
  </r>
  <r>
    <n v="25994"/>
    <x v="54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  <m/>
    <s v="ja"/>
  </r>
  <r>
    <n v="36569"/>
    <x v="43"/>
    <e v="#N/A"/>
    <e v="#N/A"/>
    <x v="8"/>
    <x v="0"/>
    <m/>
    <n v="1"/>
    <m/>
    <m/>
    <m/>
    <m/>
    <m/>
    <m/>
    <m/>
    <m/>
    <m/>
    <m/>
    <n v="1"/>
    <x v="38"/>
    <s v="EAF 2207 Gent Kortrijksesteenweg 22012024.pdf"/>
    <n v="1"/>
    <m/>
    <x v="0"/>
    <x v="5"/>
    <m/>
    <s v="ja"/>
  </r>
  <r>
    <n v="32369"/>
    <x v="55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  <m/>
    <s v="ja"/>
  </r>
  <r>
    <n v="27713"/>
    <x v="56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  <m/>
    <s v="ja"/>
  </r>
  <r>
    <n v="38475"/>
    <x v="57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  <m/>
    <s v="ja"/>
  </r>
  <r>
    <n v="35120"/>
    <x v="58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  <m/>
    <s v="ja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  <m/>
    <s v="ja"/>
  </r>
  <r>
    <n v="39184"/>
    <x v="59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  <m/>
    <s v="ja"/>
  </r>
  <r>
    <n v="24367"/>
    <x v="60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  <m/>
    <s v="ja"/>
  </r>
  <r>
    <n v="11236"/>
    <x v="61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  <m/>
    <s v="ja"/>
  </r>
  <r>
    <n v="38475"/>
    <x v="57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  <m/>
    <s v="ja"/>
  </r>
  <r>
    <n v="35709"/>
    <x v="62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  <m/>
    <s v="ja"/>
  </r>
  <r>
    <n v="21509"/>
    <x v="63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  <m/>
    <s v="ja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  <m/>
    <s v="ja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  <m/>
    <s v="ja"/>
  </r>
  <r>
    <n v="39013"/>
    <x v="64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  <m/>
    <s v="ja"/>
  </r>
  <r>
    <n v="20653"/>
    <x v="65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  <m/>
    <s v="ja"/>
  </r>
  <r>
    <n v="39014"/>
    <x v="66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  <m/>
    <s v="ja"/>
  </r>
  <r>
    <n v="39929"/>
    <x v="67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  <m/>
    <s v="ja"/>
  </r>
  <r>
    <n v="27186"/>
    <x v="68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  <m/>
    <s v="ja"/>
  </r>
  <r>
    <n v="39633"/>
    <x v="69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  <m/>
    <s v="ja"/>
  </r>
  <r>
    <n v="38648"/>
    <x v="70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  <m/>
    <s v="ja"/>
  </r>
  <r>
    <n v="33965"/>
    <x v="71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  <m/>
    <s v="ja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  <m/>
    <s v="ja"/>
  </r>
  <r>
    <n v="39712"/>
    <x v="72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  <m/>
    <s v="ja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  <m/>
    <s v="ja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  <m/>
    <s v="ja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  <m/>
    <s v="ja"/>
  </r>
  <r>
    <n v="39929"/>
    <x v="67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  <m/>
    <s v="ja"/>
  </r>
  <r>
    <n v="32951"/>
    <x v="73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  <m/>
    <s v="ja"/>
  </r>
  <r>
    <n v="8394"/>
    <x v="74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  <m/>
    <s v="ja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  <m/>
    <s v="ja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  <m/>
    <s v="ja"/>
  </r>
  <r>
    <n v="39558"/>
    <x v="75"/>
    <s v="De Groote"/>
    <s v="Cedric"/>
    <x v="9"/>
    <x v="0"/>
    <m/>
    <m/>
    <n v="1"/>
    <m/>
    <m/>
    <m/>
    <m/>
    <m/>
    <m/>
    <m/>
    <m/>
    <m/>
    <n v="1"/>
    <x v="50"/>
    <s v="EAF 5040 Dampoort 13032024.pdf"/>
    <n v="1"/>
    <m/>
    <x v="0"/>
    <x v="26"/>
    <m/>
    <s v="ja"/>
  </r>
  <r>
    <n v="39660"/>
    <x v="76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  <m/>
    <s v="ja"/>
  </r>
  <r>
    <n v="22240"/>
    <x v="77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  <m/>
    <s v="ja"/>
  </r>
  <r>
    <n v="40200"/>
    <x v="78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  <m/>
    <s v="ja"/>
  </r>
  <r>
    <n v="26198"/>
    <x v="79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  <m/>
    <s v="ja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  <m/>
    <s v="ja"/>
  </r>
  <r>
    <n v="19088"/>
    <x v="80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  <m/>
    <s v="ja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  <m/>
    <s v="ja"/>
  </r>
  <r>
    <n v="32528"/>
    <x v="81"/>
    <s v="Benjilali"/>
    <s v="Abdelhak"/>
    <x v="9"/>
    <x v="0"/>
    <m/>
    <m/>
    <n v="1"/>
    <m/>
    <m/>
    <m/>
    <m/>
    <m/>
    <m/>
    <m/>
    <m/>
    <m/>
    <n v="1"/>
    <x v="54"/>
    <s v="EAF 5272 Gent 19032024.pdf"/>
    <n v="1"/>
    <m/>
    <x v="0"/>
    <x v="35"/>
    <m/>
    <s v="ja"/>
  </r>
  <r>
    <n v="25993"/>
    <x v="82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  <m/>
    <s v="ja"/>
  </r>
  <r>
    <n v="38648"/>
    <x v="70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  <m/>
    <s v="ja"/>
  </r>
  <r>
    <n v="21809"/>
    <x v="83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  <m/>
    <s v="ja"/>
  </r>
  <r>
    <n v="23880"/>
    <x v="43"/>
    <e v="#N/A"/>
    <e v="#N/A"/>
    <x v="8"/>
    <x v="0"/>
    <m/>
    <m/>
    <n v="1"/>
    <m/>
    <m/>
    <m/>
    <m/>
    <m/>
    <m/>
    <m/>
    <m/>
    <m/>
    <n v="1"/>
    <x v="55"/>
    <s v="EAF 6369 Frereobanlaan 20032024.pdf"/>
    <m/>
    <n v="1"/>
    <x v="1"/>
    <x v="62"/>
    <m/>
    <s v="ja"/>
  </r>
  <r>
    <n v="26331"/>
    <x v="84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  <m/>
    <s v="ja"/>
  </r>
  <r>
    <n v="15320"/>
    <x v="85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  <m/>
    <s v="ja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  <m/>
    <s v="ja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  <m/>
    <s v="ja"/>
  </r>
  <r>
    <n v="31231"/>
    <x v="86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  <m/>
    <s v="ja"/>
  </r>
  <r>
    <n v="40223"/>
    <x v="87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  <m/>
    <s v="ja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  <m/>
    <s v="ja"/>
  </r>
  <r>
    <n v="35107"/>
    <x v="88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  <m/>
    <s v="ja"/>
  </r>
  <r>
    <n v="5559"/>
    <x v="89"/>
    <s v="Hoste"/>
    <s v="Tania"/>
    <x v="9"/>
    <x v="0"/>
    <m/>
    <m/>
    <n v="1"/>
    <m/>
    <m/>
    <m/>
    <m/>
    <m/>
    <m/>
    <m/>
    <m/>
    <m/>
    <n v="1"/>
    <x v="58"/>
    <s v="EAF 6303 Gent 23032024.pdf"/>
    <m/>
    <n v="1"/>
    <x v="1"/>
    <x v="64"/>
    <m/>
    <s v="ja"/>
  </r>
  <r>
    <n v="26960"/>
    <x v="90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  <m/>
    <s v="ja"/>
  </r>
  <r>
    <n v="33450"/>
    <x v="91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  <m/>
    <s v="ja"/>
  </r>
  <r>
    <n v="32951"/>
    <x v="73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  <m/>
    <s v="ja"/>
  </r>
  <r>
    <n v="21382"/>
    <x v="92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  <m/>
    <s v="ja"/>
  </r>
  <r>
    <n v="34286"/>
    <x v="93"/>
    <s v="Ghani"/>
    <s v="Mozamil"/>
    <x v="9"/>
    <x v="0"/>
    <m/>
    <m/>
    <n v="1"/>
    <m/>
    <m/>
    <m/>
    <m/>
    <m/>
    <m/>
    <m/>
    <m/>
    <m/>
    <n v="1"/>
    <x v="62"/>
    <s v="EAF 28032024 6358 Gent Ghani Mozamil.pdf"/>
    <m/>
    <n v="1"/>
    <x v="1"/>
    <x v="56"/>
    <m/>
    <s v="ja"/>
  </r>
  <r>
    <n v="16282"/>
    <x v="94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  <m/>
    <s v="ja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  <m/>
    <s v="ja"/>
  </r>
  <r>
    <n v="39654"/>
    <x v="95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  <m/>
    <s v="ja"/>
  </r>
  <r>
    <n v="33400"/>
    <x v="96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  <m/>
    <s v="ja"/>
  </r>
  <r>
    <n v="12124"/>
    <x v="97"/>
    <s v="Van Vliet"/>
    <s v="Tom"/>
    <x v="9"/>
    <x v="0"/>
    <m/>
    <m/>
    <n v="1"/>
    <m/>
    <m/>
    <m/>
    <m/>
    <m/>
    <m/>
    <m/>
    <m/>
    <m/>
    <n v="1"/>
    <x v="64"/>
    <s v="EAF 31032024 6376 Gent Tom Van Vliet.pdf"/>
    <m/>
    <n v="1"/>
    <x v="1"/>
    <x v="63"/>
    <m/>
    <s v="ja"/>
  </r>
  <r>
    <n v="37439"/>
    <x v="98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  <m/>
    <s v="ja"/>
  </r>
  <r>
    <n v="31600"/>
    <x v="99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  <m/>
    <s v="ja"/>
  </r>
  <r>
    <n v="19848"/>
    <x v="100"/>
    <s v="Gevaert"/>
    <s v="Patrick"/>
    <x v="9"/>
    <x v="0"/>
    <m/>
    <m/>
    <m/>
    <n v="1"/>
    <m/>
    <m/>
    <m/>
    <m/>
    <m/>
    <m/>
    <m/>
    <m/>
    <n v="1"/>
    <x v="67"/>
    <s v="EAF 05042024 Gent 6368 Patrick Gevaert.pdf"/>
    <m/>
    <n v="1"/>
    <x v="1"/>
    <x v="61"/>
    <m/>
    <s v="ja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  <m/>
    <s v="ja"/>
  </r>
  <r>
    <n v="38481"/>
    <x v="101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  <m/>
    <s v="ja"/>
  </r>
  <r>
    <n v="37216"/>
    <x v="102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  <m/>
    <s v="ja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  <m/>
    <s v="ja"/>
  </r>
  <r>
    <n v="29179"/>
    <x v="103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  <m/>
    <s v="ja"/>
  </r>
  <r>
    <n v="34385"/>
    <x v="104"/>
    <s v="Goosens"/>
    <s v="Wesley"/>
    <x v="10"/>
    <x v="0"/>
    <m/>
    <m/>
    <m/>
    <n v="1"/>
    <m/>
    <m/>
    <m/>
    <m/>
    <m/>
    <m/>
    <m/>
    <m/>
    <n v="1"/>
    <x v="69"/>
    <s v="EAF 5764 Driebeek 08042024.pdf"/>
    <n v="1"/>
    <m/>
    <x v="0"/>
    <x v="0"/>
    <m/>
    <s v="ja"/>
  </r>
  <r>
    <n v="32620"/>
    <x v="105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  <m/>
    <s v="ja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  <m/>
    <s v="ja"/>
  </r>
  <r>
    <n v="8708"/>
    <x v="106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  <m/>
    <s v="ja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  <m/>
    <s v="ja"/>
  </r>
  <r>
    <n v="38807"/>
    <x v="107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  <m/>
    <s v="ja"/>
  </r>
  <r>
    <n v="28717"/>
    <x v="108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  <m/>
    <s v="ja"/>
  </r>
  <r>
    <n v="39930"/>
    <x v="109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  <m/>
    <s v="ja"/>
  </r>
  <r>
    <n v="36429"/>
    <x v="110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  <m/>
    <s v="ja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  <m/>
    <s v="ja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  <m/>
    <s v="ja"/>
  </r>
  <r>
    <n v="39829"/>
    <x v="111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  <m/>
    <s v="ja"/>
  </r>
  <r>
    <n v="40223"/>
    <x v="87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  <m/>
    <s v="ja"/>
  </r>
  <r>
    <n v="5599"/>
    <x v="112"/>
    <s v="Pretel"/>
    <s v="Philippe"/>
    <x v="9"/>
    <x v="0"/>
    <m/>
    <m/>
    <m/>
    <n v="1"/>
    <m/>
    <m/>
    <m/>
    <m/>
    <m/>
    <m/>
    <m/>
    <m/>
    <n v="1"/>
    <x v="77"/>
    <s v="EAF 17042024 6311 Gent Philippe Pretel.pdf"/>
    <m/>
    <n v="1"/>
    <x v="1"/>
    <x v="56"/>
    <m/>
    <s v="ja"/>
  </r>
  <r>
    <n v="38481"/>
    <x v="101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  <m/>
    <s v="ja"/>
  </r>
  <r>
    <n v="35450"/>
    <x v="113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  <m/>
    <s v="ja"/>
  </r>
  <r>
    <n v="34351"/>
    <x v="114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  <m/>
    <s v="ja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  <m/>
    <s v="ja"/>
  </r>
  <r>
    <n v="21509"/>
    <x v="63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  <m/>
    <s v="ja"/>
  </r>
  <r>
    <n v="34044"/>
    <x v="115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  <m/>
    <s v="ja"/>
  </r>
  <r>
    <n v="11866"/>
    <x v="116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  <m/>
    <s v="ja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  <m/>
    <s v="ja"/>
  </r>
  <r>
    <n v="21124"/>
    <x v="117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  <m/>
    <s v="ja"/>
  </r>
  <r>
    <n v="22625"/>
    <x v="118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  <m/>
    <s v="ja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  <m/>
    <s v="ja"/>
  </r>
  <r>
    <n v="39927"/>
    <x v="119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  <m/>
    <s v="ja"/>
  </r>
  <r>
    <n v="39899"/>
    <x v="120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  <m/>
    <s v="ja"/>
  </r>
  <r>
    <n v="37951"/>
    <x v="121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  <m/>
    <s v="ja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  <m/>
    <s v="ja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  <m/>
    <s v="ja"/>
  </r>
  <r>
    <n v="30901"/>
    <x v="122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  <m/>
    <s v="ja"/>
  </r>
  <r>
    <n v="30321"/>
    <x v="123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  <m/>
    <s v="ja"/>
  </r>
  <r>
    <n v="33551"/>
    <x v="124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  <m/>
    <s v="ja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  <m/>
    <s v="ja"/>
  </r>
  <r>
    <n v="21582"/>
    <x v="43"/>
    <e v="#N/A"/>
    <e v="#N/A"/>
    <x v="8"/>
    <x v="0"/>
    <m/>
    <m/>
    <m/>
    <n v="1"/>
    <m/>
    <m/>
    <m/>
    <m/>
    <m/>
    <m/>
    <m/>
    <m/>
    <n v="1"/>
    <x v="88"/>
    <s v="EAF 6359 Gent 30042024.pdf"/>
    <m/>
    <n v="1"/>
    <x v="1"/>
    <x v="56"/>
    <m/>
    <s v="ja"/>
  </r>
  <r>
    <n v="9065"/>
    <x v="125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  <m/>
    <s v="ja"/>
  </r>
  <r>
    <n v="37609"/>
    <x v="126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  <m/>
    <s v="ja"/>
  </r>
  <r>
    <n v="40110"/>
    <x v="127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  <m/>
    <s v="ja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  <m/>
    <s v="ja"/>
  </r>
  <r>
    <n v="37439"/>
    <x v="98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  <m/>
    <s v="ja"/>
  </r>
  <r>
    <n v="15852"/>
    <x v="128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  <m/>
    <s v="ja"/>
  </r>
  <r>
    <n v="15088"/>
    <x v="129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  <m/>
    <s v="ja"/>
  </r>
  <r>
    <n v="37950"/>
    <x v="130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  <m/>
    <s v="ja"/>
  </r>
  <r>
    <n v="33965"/>
    <x v="71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  <m/>
    <s v="ja"/>
  </r>
  <r>
    <n v="40058"/>
    <x v="131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  <m/>
    <s v="ja"/>
  </r>
  <r>
    <n v="13088"/>
    <x v="132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  <m/>
    <s v="ja"/>
  </r>
  <r>
    <n v="40222"/>
    <x v="133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  <m/>
    <s v="ja"/>
  </r>
  <r>
    <n v="25487"/>
    <x v="134"/>
    <s v="Devos"/>
    <s v="Stefaan"/>
    <x v="9"/>
    <x v="0"/>
    <m/>
    <m/>
    <m/>
    <m/>
    <n v="1"/>
    <m/>
    <m/>
    <m/>
    <m/>
    <m/>
    <m/>
    <m/>
    <n v="1"/>
    <x v="94"/>
    <s v="EAF 5936 Dendermondsesteenweg 06052024.pdf"/>
    <n v="1"/>
    <m/>
    <x v="0"/>
    <x v="9"/>
    <m/>
    <s v="ja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  <m/>
    <s v="ja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  <m/>
    <s v="ja"/>
  </r>
  <r>
    <n v="38688"/>
    <x v="135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  <m/>
    <s v="ja"/>
  </r>
  <r>
    <n v="35246"/>
    <x v="136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  <m/>
    <s v="ja"/>
  </r>
  <r>
    <n v="10150"/>
    <x v="137"/>
    <s v="Vandenbogaerde"/>
    <s v="Tony"/>
    <x v="9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  <m/>
    <s v="ja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  <m/>
    <s v="ja"/>
  </r>
  <r>
    <n v="6310"/>
    <x v="138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  <m/>
    <s v="ja"/>
  </r>
  <r>
    <n v="37345"/>
    <x v="139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  <m/>
    <s v="ja"/>
  </r>
  <r>
    <n v="11508"/>
    <x v="140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  <m/>
    <s v="ja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  <m/>
    <s v="ja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  <m/>
    <s v="ja"/>
  </r>
  <r>
    <n v="34351"/>
    <x v="114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  <m/>
    <s v="ja"/>
  </r>
  <r>
    <n v="36503"/>
    <x v="141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  <m/>
    <s v="ja"/>
  </r>
  <r>
    <n v="37439"/>
    <x v="98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  <m/>
    <s v="ja"/>
  </r>
  <r>
    <n v="38688"/>
    <x v="135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  <m/>
    <s v="ja"/>
  </r>
  <r>
    <n v="40223"/>
    <x v="87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  <m/>
    <s v="ja"/>
  </r>
  <r>
    <n v="35187"/>
    <x v="142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  <m/>
    <s v="ja"/>
  </r>
  <r>
    <n v="39528"/>
    <x v="143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  <m/>
    <s v="ja"/>
  </r>
  <r>
    <n v="19087"/>
    <x v="144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  <m/>
    <s v="ja"/>
  </r>
  <r>
    <n v="39712"/>
    <x v="72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  <m/>
    <s v="ja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  <m/>
    <s v="ja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  <m/>
    <s v="ja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  <m/>
    <s v="ja"/>
  </r>
  <r>
    <n v="33551"/>
    <x v="124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  <m/>
    <s v="ja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  <m/>
    <s v="ja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  <m/>
    <s v="ja"/>
  </r>
  <r>
    <n v="17931"/>
    <x v="145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  <m/>
    <s v="ja"/>
  </r>
  <r>
    <n v="23700"/>
    <x v="146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  <m/>
    <s v="ja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  <m/>
    <s v="ja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  <m/>
    <s v="ja"/>
  </r>
  <r>
    <n v="39907"/>
    <x v="147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  <m/>
    <s v="ja"/>
  </r>
  <r>
    <n v="36624"/>
    <x v="148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  <m/>
    <s v="ja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  <m/>
    <s v="ja"/>
  </r>
  <r>
    <n v="34325"/>
    <x v="52"/>
    <s v="Eid"/>
    <s v="Mathyn"/>
    <x v="9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  <m/>
    <s v="ja"/>
  </r>
  <r>
    <n v="19249"/>
    <x v="149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  <m/>
    <s v="ja"/>
  </r>
  <r>
    <n v="34325"/>
    <x v="52"/>
    <s v="Eid"/>
    <s v="Mathyn"/>
    <x v="9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  <m/>
    <s v="ja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  <m/>
    <s v="ja"/>
  </r>
  <r>
    <n v="39712"/>
    <x v="72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  <m/>
    <s v="ja"/>
  </r>
  <r>
    <n v="29179"/>
    <x v="103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  <m/>
    <s v="ja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  <m/>
    <s v="ja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  <m/>
    <s v="ja"/>
  </r>
  <r>
    <n v="37936"/>
    <x v="150"/>
    <s v="Detaeye"/>
    <s v="Alexander"/>
    <x v="9"/>
    <x v="0"/>
    <m/>
    <m/>
    <m/>
    <m/>
    <m/>
    <m/>
    <m/>
    <m/>
    <m/>
    <m/>
    <m/>
    <m/>
    <n v="0"/>
    <x v="115"/>
    <s v="EAF 5327 Gent Fraterplein 07062024.pdf"/>
    <n v="1"/>
    <m/>
    <x v="0"/>
    <x v="96"/>
    <m/>
    <s v="ja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  <m/>
    <s v="ja"/>
  </r>
  <r>
    <n v="27186"/>
    <x v="68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  <m/>
    <s v="ja"/>
  </r>
  <r>
    <n v="39013"/>
    <x v="64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  <m/>
    <s v="ja"/>
  </r>
  <r>
    <n v="37131"/>
    <x v="151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  <m/>
    <s v="ja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  <m/>
    <s v="ja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  <m/>
    <s v="ja"/>
  </r>
  <r>
    <n v="29478"/>
    <x v="152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  <m/>
    <s v="ja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  <m/>
    <s v="ja"/>
  </r>
  <r>
    <n v="39929"/>
    <x v="67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  <m/>
    <s v="ja"/>
  </r>
  <r>
    <n v="40110"/>
    <x v="127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  <m/>
    <s v="ja"/>
  </r>
  <r>
    <n v="31689"/>
    <x v="153"/>
    <s v="Van Achte"/>
    <s v="Jay"/>
    <x v="9"/>
    <x v="0"/>
    <m/>
    <m/>
    <m/>
    <m/>
    <m/>
    <m/>
    <m/>
    <m/>
    <m/>
    <m/>
    <m/>
    <m/>
    <n v="0"/>
    <x v="118"/>
    <s v="EAF 12062024 5376 Gent Jay Van Achte.pdf"/>
    <n v="1"/>
    <m/>
    <x v="0"/>
    <x v="26"/>
    <m/>
    <s v="ja"/>
  </r>
  <r>
    <n v="40521"/>
    <x v="154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  <m/>
    <s v="ja"/>
  </r>
  <r>
    <n v="37542"/>
    <x v="155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  <m/>
    <s v="ja"/>
  </r>
  <r>
    <n v="37542"/>
    <x v="155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  <m/>
    <s v="ja"/>
  </r>
  <r>
    <n v="40036"/>
    <x v="156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  <m/>
    <s v="ja"/>
  </r>
  <r>
    <n v="33986"/>
    <x v="157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  <m/>
    <s v="ja"/>
  </r>
  <r>
    <n v="39660"/>
    <x v="76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  <m/>
    <s v="ja"/>
  </r>
  <r>
    <n v="39660"/>
    <x v="76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  <m/>
    <s v="ja"/>
  </r>
  <r>
    <n v="14261"/>
    <x v="158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  <m/>
    <s v="ja"/>
  </r>
  <r>
    <n v="35493"/>
    <x v="159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  <m/>
    <s v="ja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  <m/>
    <s v="ja"/>
  </r>
  <r>
    <n v="39528"/>
    <x v="143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  <m/>
    <s v="ja"/>
  </r>
  <r>
    <n v="40223"/>
    <x v="87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  <m/>
    <s v="ja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  <m/>
    <s v="ja"/>
  </r>
  <r>
    <n v="37609"/>
    <x v="126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  <m/>
    <s v="ja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  <m/>
    <s v="ja"/>
  </r>
  <r>
    <n v="14665"/>
    <x v="160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  <m/>
    <s v="ja"/>
  </r>
  <r>
    <n v="35395"/>
    <x v="161"/>
    <s v="Limbourg"/>
    <s v="Heidi"/>
    <x v="9"/>
    <x v="0"/>
    <m/>
    <m/>
    <m/>
    <m/>
    <m/>
    <m/>
    <m/>
    <m/>
    <m/>
    <m/>
    <m/>
    <m/>
    <n v="0"/>
    <x v="129"/>
    <s v="EAF 25062024 6329 Gent Heidi Limbourg.pdf"/>
    <m/>
    <n v="1"/>
    <x v="1"/>
    <x v="39"/>
    <m/>
    <s v="ja"/>
  </r>
  <r>
    <n v="26198"/>
    <x v="79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  <m/>
    <s v="ja"/>
  </r>
  <r>
    <n v="32951"/>
    <x v="73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  <m/>
    <s v="ja"/>
  </r>
  <r>
    <n v="22244"/>
    <x v="162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  <m/>
    <s v="ja"/>
  </r>
  <r>
    <n v="32542"/>
    <x v="163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  <m/>
    <s v="ja"/>
  </r>
  <r>
    <n v="35006"/>
    <x v="164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  <m/>
    <s v="ja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  <m/>
    <s v="ja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  <m/>
    <s v="ja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  <m/>
    <s v="ja"/>
  </r>
  <r>
    <n v="33986"/>
    <x v="157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  <m/>
    <s v="ja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  <m/>
    <s v="ja"/>
  </r>
  <r>
    <n v="39529"/>
    <x v="166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  <m/>
    <s v="ja"/>
  </r>
  <r>
    <n v="39379"/>
    <x v="167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  <m/>
    <s v="ja"/>
  </r>
  <r>
    <n v="34044"/>
    <x v="115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  <m/>
    <s v="ja"/>
  </r>
  <r>
    <n v="36569"/>
    <x v="43"/>
    <e v="#N/A"/>
    <e v="#N/A"/>
    <x v="8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  <m/>
    <s v="ja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  <m/>
    <s v="ja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  <m/>
    <s v="ja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  <m/>
    <s v="ja"/>
  </r>
  <r>
    <n v="37542"/>
    <x v="155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  <m/>
    <s v="ja"/>
  </r>
  <r>
    <n v="14261"/>
    <x v="158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  <m/>
    <s v="ja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  <m/>
    <s v="ja"/>
  </r>
  <r>
    <n v="40110"/>
    <x v="127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  <m/>
    <s v="ja"/>
  </r>
  <r>
    <n v="21509"/>
    <x v="63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  <m/>
    <s v="ja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  <m/>
    <s v="ja"/>
  </r>
  <r>
    <n v="21581"/>
    <x v="168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  <m/>
    <s v="ja"/>
  </r>
  <r>
    <n v="37179"/>
    <x v="169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  <m/>
    <s v="ja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  <m/>
    <s v="ja"/>
  </r>
  <r>
    <n v="21121"/>
    <x v="170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  <m/>
    <s v="ja"/>
  </r>
  <r>
    <n v="29478"/>
    <x v="152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  <m/>
    <s v="ja"/>
  </r>
  <r>
    <n v="29179"/>
    <x v="103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  <m/>
    <s v="ja"/>
  </r>
  <r>
    <n v="12124"/>
    <x v="97"/>
    <s v="Van Vliet"/>
    <s v="Tom"/>
    <x v="9"/>
    <x v="0"/>
    <m/>
    <m/>
    <m/>
    <m/>
    <m/>
    <m/>
    <n v="1"/>
    <m/>
    <m/>
    <m/>
    <m/>
    <m/>
    <n v="1"/>
    <x v="147"/>
    <s v="EAF 6352 Ledebergplein 19072024.pdf"/>
    <m/>
    <n v="1"/>
    <x v="1"/>
    <x v="49"/>
    <m/>
    <s v="ja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  <m/>
    <s v="ja"/>
  </r>
  <r>
    <n v="28830"/>
    <x v="171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  <m/>
    <s v="ja"/>
  </r>
  <r>
    <n v="39610"/>
    <x v="172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  <m/>
    <s v="ja"/>
  </r>
  <r>
    <n v="37131"/>
    <x v="151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  <m/>
    <s v="ja"/>
  </r>
  <r>
    <n v="28794"/>
    <x v="173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  <m/>
    <s v="ja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  <m/>
    <s v="ja"/>
  </r>
  <r>
    <n v="40478"/>
    <x v="174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  <m/>
    <s v="ja"/>
  </r>
  <r>
    <n v="32387"/>
    <x v="175"/>
    <s v="Meersman"/>
    <s v="Herman"/>
    <x v="9"/>
    <x v="0"/>
    <m/>
    <m/>
    <m/>
    <m/>
    <m/>
    <m/>
    <n v="1"/>
    <m/>
    <m/>
    <m/>
    <m/>
    <m/>
    <n v="1"/>
    <x v="151"/>
    <s v="EAF 6332 Gent 25072024.pdf"/>
    <m/>
    <n v="1"/>
    <x v="1"/>
    <x v="2"/>
    <m/>
    <s v="ja"/>
  </r>
  <r>
    <n v="37950"/>
    <x v="130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  <m/>
    <s v="ja"/>
  </r>
  <r>
    <n v="26198"/>
    <x v="79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  <m/>
    <s v="ja"/>
  </r>
  <r>
    <n v="36337"/>
    <x v="176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  <m/>
    <s v="ja"/>
  </r>
  <r>
    <n v="20375"/>
    <x v="177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  <m/>
    <s v="ja"/>
  </r>
  <r>
    <n v="13020"/>
    <x v="178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  <m/>
    <s v="ja"/>
  </r>
  <r>
    <n v="40403"/>
    <x v="179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  <m/>
    <s v="ja"/>
  </r>
  <r>
    <n v="26137"/>
    <x v="180"/>
    <s v="Hublau"/>
    <s v="Roland"/>
    <x v="9"/>
    <x v="0"/>
    <m/>
    <m/>
    <m/>
    <m/>
    <m/>
    <m/>
    <n v="1"/>
    <m/>
    <m/>
    <m/>
    <m/>
    <m/>
    <n v="1"/>
    <x v="154"/>
    <s v="EAF 6373 Gent 30072024.pdf"/>
    <m/>
    <n v="1"/>
    <x v="1"/>
    <x v="56"/>
    <m/>
    <s v="ja"/>
  </r>
  <r>
    <n v="36428"/>
    <x v="181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  <m/>
    <s v="ja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  <m/>
    <s v="ja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  <m/>
    <s v="ja"/>
  </r>
  <r>
    <n v="36512"/>
    <x v="182"/>
    <s v="Van Herreweghe"/>
    <s v="Branco"/>
    <x v="9"/>
    <x v="0"/>
    <m/>
    <m/>
    <m/>
    <m/>
    <m/>
    <m/>
    <m/>
    <n v="1"/>
    <m/>
    <m/>
    <m/>
    <m/>
    <n v="1"/>
    <x v="157"/>
    <s v="EAF 2202 Gent 03082024 36512.pdf"/>
    <n v="1"/>
    <m/>
    <x v="0"/>
    <x v="114"/>
    <m/>
    <s v="ja"/>
  </r>
  <r>
    <n v="39929"/>
    <x v="67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  <m/>
    <s v="ja"/>
  </r>
  <r>
    <n v="37662"/>
    <x v="183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  <m/>
    <s v="ja"/>
  </r>
  <r>
    <n v="39889"/>
    <x v="184"/>
    <s v="Stanikazi"/>
    <s v="Roien Sadder"/>
    <x v="9"/>
    <x v="0"/>
    <m/>
    <m/>
    <m/>
    <m/>
    <m/>
    <m/>
    <m/>
    <n v="1"/>
    <m/>
    <m/>
    <m/>
    <m/>
    <n v="1"/>
    <x v="159"/>
    <s v="EAF 05082024 5929 Gent Roien Stanikazi.pdf"/>
    <n v="1"/>
    <m/>
    <x v="0"/>
    <x v="2"/>
    <m/>
    <s v="ja"/>
  </r>
  <r>
    <n v="8016"/>
    <x v="185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  <m/>
    <s v="ja"/>
  </r>
  <r>
    <n v="17931"/>
    <x v="145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  <m/>
    <s v="ja"/>
  </r>
  <r>
    <n v="29179"/>
    <x v="103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  <m/>
    <s v="ja"/>
  </r>
  <r>
    <n v="31165"/>
    <x v="186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  <m/>
    <s v="ja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  <m/>
    <s v="ja"/>
  </r>
  <r>
    <n v="8016"/>
    <x v="185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  <m/>
    <s v="ja"/>
  </r>
  <r>
    <n v="14665"/>
    <x v="160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  <m/>
    <s v="ja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  <m/>
    <s v="ja"/>
  </r>
  <r>
    <n v="33965"/>
    <x v="71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  <m/>
    <s v="ja"/>
  </r>
  <r>
    <n v="31231"/>
    <x v="86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  <m/>
    <s v="ja"/>
  </r>
  <r>
    <n v="37662"/>
    <x v="183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  <m/>
    <s v="ja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  <m/>
    <s v="ja"/>
  </r>
  <r>
    <n v="30389"/>
    <x v="43"/>
    <e v="#N/A"/>
    <e v="#N/A"/>
    <x v="8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  <m/>
    <s v="ja"/>
  </r>
  <r>
    <n v="40521"/>
    <x v="154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  <m/>
    <s v="ja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  <m/>
    <s v="ja"/>
  </r>
  <r>
    <n v="40744"/>
    <x v="187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  <m/>
    <s v="ja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  <m/>
    <s v="ja"/>
  </r>
  <r>
    <n v="39858"/>
    <x v="188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  <m/>
    <s v="ja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  <m/>
    <s v="ja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  <m/>
    <s v="ja"/>
  </r>
  <r>
    <n v="33965"/>
    <x v="71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  <m/>
    <s v="ja"/>
  </r>
  <r>
    <n v="31360"/>
    <x v="189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  <m/>
    <s v="ja"/>
  </r>
  <r>
    <n v="8394"/>
    <x v="74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  <m/>
    <s v="ja"/>
  </r>
  <r>
    <n v="38633"/>
    <x v="190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  <m/>
    <s v="ja"/>
  </r>
  <r>
    <n v="23790"/>
    <x v="191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  <m/>
    <s v="ja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  <m/>
    <s v="ja"/>
  </r>
  <r>
    <n v="40744"/>
    <x v="187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  <m/>
    <s v="ja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  <m/>
    <s v="ja"/>
  </r>
  <r>
    <n v="29179"/>
    <x v="103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  <m/>
    <s v="ja"/>
  </r>
  <r>
    <n v="26331"/>
    <x v="84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  <m/>
    <s v="ja"/>
  </r>
  <r>
    <n v="24472"/>
    <x v="192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  <m/>
    <s v="ja"/>
  </r>
  <r>
    <n v="37662"/>
    <x v="183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  <m/>
    <s v="ja"/>
  </r>
  <r>
    <n v="39929"/>
    <x v="67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  <m/>
    <s v="ja"/>
  </r>
  <r>
    <n v="40266"/>
    <x v="193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  <m/>
    <s v="ja"/>
  </r>
  <r>
    <n v="12124"/>
    <x v="97"/>
    <s v="Van Vliet"/>
    <s v="Tom"/>
    <x v="9"/>
    <x v="0"/>
    <m/>
    <m/>
    <m/>
    <m/>
    <m/>
    <m/>
    <m/>
    <m/>
    <n v="1"/>
    <m/>
    <m/>
    <m/>
    <n v="1"/>
    <x v="177"/>
    <s v="EAF 6329 Gent 06092024.pdf"/>
    <m/>
    <n v="1"/>
    <x v="1"/>
    <x v="126"/>
    <m/>
    <s v="ja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  <m/>
    <s v="ja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  <m/>
    <s v="ja"/>
  </r>
  <r>
    <n v="37496"/>
    <x v="194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  <m/>
    <s v="ja"/>
  </r>
  <r>
    <n v="32168"/>
    <x v="195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  <m/>
    <s v="ja"/>
  </r>
  <r>
    <n v="39651"/>
    <x v="196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  <m/>
    <s v="ja"/>
  </r>
  <r>
    <n v="35450"/>
    <x v="113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  <m/>
    <s v="ja"/>
  </r>
  <r>
    <n v="35588"/>
    <x v="197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  <m/>
    <s v="ja"/>
  </r>
  <r>
    <n v="35434"/>
    <x v="198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  <m/>
    <s v="ja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  <m/>
    <s v="ja"/>
  </r>
  <r>
    <n v="40110"/>
    <x v="127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  <m/>
    <s v="ja"/>
  </r>
  <r>
    <n v="39929"/>
    <x v="67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  <m/>
    <s v="ja"/>
  </r>
  <r>
    <n v="37509"/>
    <x v="199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  <m/>
    <s v="ja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  <m/>
    <s v="ja"/>
  </r>
  <r>
    <n v="11236"/>
    <x v="61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  <m/>
    <s v="ja"/>
  </r>
  <r>
    <n v="31635"/>
    <x v="200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  <m/>
    <s v="ja"/>
  </r>
  <r>
    <n v="39728"/>
    <x v="201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  <m/>
    <s v="ja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  <m/>
    <s v="ja"/>
  </r>
  <r>
    <n v="27635"/>
    <x v="202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  <m/>
    <s v="ja"/>
  </r>
  <r>
    <n v="36559"/>
    <x v="203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  <m/>
    <s v="ja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  <m/>
    <s v="ja"/>
  </r>
  <r>
    <n v="40486"/>
    <x v="204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  <m/>
    <s v="ja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  <m/>
    <s v="ja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  <m/>
    <s v="ja"/>
  </r>
  <r>
    <n v="26137"/>
    <x v="180"/>
    <s v="Hublau"/>
    <s v="Roland"/>
    <x v="9"/>
    <x v="0"/>
    <m/>
    <m/>
    <m/>
    <m/>
    <m/>
    <m/>
    <m/>
    <m/>
    <n v="1"/>
    <m/>
    <m/>
    <m/>
    <n v="1"/>
    <x v="191"/>
    <s v="EAF 6319 Gent 23092024.pdf"/>
    <m/>
    <n v="1"/>
    <x v="1"/>
    <x v="2"/>
    <m/>
    <s v="ja"/>
  </r>
  <r>
    <n v="36624"/>
    <x v="148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  <m/>
    <s v="ja"/>
  </r>
  <r>
    <n v="36428"/>
    <x v="181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  <m/>
    <s v="ja"/>
  </r>
  <r>
    <n v="40478"/>
    <x v="174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  <m/>
    <s v="ja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  <m/>
    <s v="ja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  <m/>
    <s v="ja"/>
  </r>
  <r>
    <n v="40006"/>
    <x v="205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  <m/>
    <s v="ja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  <m/>
    <s v="ja"/>
  </r>
  <r>
    <n v="8391"/>
    <x v="206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  <m/>
    <s v="ja"/>
  </r>
  <r>
    <n v="40761"/>
    <x v="207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  <m/>
    <s v="ja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  <m/>
    <s v="ja"/>
  </r>
  <r>
    <n v="34325"/>
    <x v="52"/>
    <s v="Eid"/>
    <s v="Mathyn"/>
    <x v="9"/>
    <x v="0"/>
    <m/>
    <m/>
    <m/>
    <m/>
    <m/>
    <m/>
    <m/>
    <m/>
    <m/>
    <n v="1"/>
    <m/>
    <m/>
    <n v="1"/>
    <x v="198"/>
    <s v="EAF 03102024 6313 Gent Mathyn Eid.pdf"/>
    <n v="1"/>
    <m/>
    <x v="0"/>
    <x v="49"/>
    <m/>
    <s v="ja"/>
  </r>
  <r>
    <n v="34286"/>
    <x v="93"/>
    <s v="Ghani"/>
    <s v="Mozamil"/>
    <x v="9"/>
    <x v="0"/>
    <m/>
    <m/>
    <m/>
    <m/>
    <m/>
    <m/>
    <m/>
    <m/>
    <m/>
    <n v="1"/>
    <m/>
    <m/>
    <n v="1"/>
    <x v="199"/>
    <s v="EAF 04102024 6305 Gent Ghani Mozamil.pdf"/>
    <m/>
    <n v="1"/>
    <x v="1"/>
    <x v="79"/>
    <m/>
    <s v="ja"/>
  </r>
  <r>
    <n v="26137"/>
    <x v="180"/>
    <s v="Hublau"/>
    <s v="Roland"/>
    <x v="9"/>
    <x v="0"/>
    <m/>
    <m/>
    <m/>
    <m/>
    <m/>
    <m/>
    <m/>
    <m/>
    <m/>
    <n v="1"/>
    <m/>
    <m/>
    <n v="1"/>
    <x v="200"/>
    <s v="EAF 05102024 6369 Gent Roland Hublau.pdf"/>
    <m/>
    <n v="1"/>
    <x v="1"/>
    <x v="131"/>
    <m/>
    <s v="ja"/>
  </r>
  <r>
    <n v="37683"/>
    <x v="208"/>
    <s v="De Boever"/>
    <s v="Charlotte"/>
    <x v="9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  <m/>
    <s v="ja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  <m/>
    <s v="ja"/>
  </r>
  <r>
    <n v="39013"/>
    <x v="64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  <m/>
    <s v="ja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  <m/>
    <s v="ja"/>
  </r>
  <r>
    <n v="26266"/>
    <x v="209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  <m/>
    <s v="ja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  <m/>
    <s v="ja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  <m/>
    <s v="ja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  <m/>
    <s v="ja"/>
  </r>
  <r>
    <n v="38551"/>
    <x v="210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  <m/>
    <s v="ja"/>
  </r>
  <r>
    <n v="39532"/>
    <x v="165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  <m/>
    <s v="ja"/>
  </r>
  <r>
    <n v="5718"/>
    <x v="211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  <m/>
    <s v="ja"/>
  </r>
  <r>
    <n v="40608"/>
    <x v="212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  <m/>
    <s v="ja"/>
  </r>
  <r>
    <n v="6310"/>
    <x v="138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  <m/>
    <s v="ja"/>
  </r>
  <r>
    <n v="33965"/>
    <x v="71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  <m/>
    <s v="ja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  <m/>
    <s v="ja"/>
  </r>
  <r>
    <n v="36569"/>
    <x v="43"/>
    <e v="#N/A"/>
    <e v="#N/A"/>
    <x v="8"/>
    <x v="0"/>
    <m/>
    <m/>
    <m/>
    <m/>
    <m/>
    <m/>
    <m/>
    <m/>
    <m/>
    <n v="1"/>
    <m/>
    <m/>
    <n v="1"/>
    <x v="209"/>
    <s v="EAF 5911 Gentbruggebrug Gent 15102024.pdf"/>
    <n v="1"/>
    <m/>
    <x v="0"/>
    <x v="2"/>
    <m/>
    <s v="ja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  <m/>
    <s v="ja"/>
  </r>
  <r>
    <n v="23918"/>
    <x v="213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  <m/>
    <s v="ja"/>
  </r>
  <r>
    <n v="37662"/>
    <x v="183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  <m/>
    <s v="ja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  <m/>
    <s v="ja"/>
  </r>
  <r>
    <n v="33986"/>
    <x v="157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  <m/>
    <s v="ja"/>
  </r>
  <r>
    <n v="6310"/>
    <x v="138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  <m/>
    <s v="ja"/>
  </r>
  <r>
    <n v="39929"/>
    <x v="67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  <m/>
    <s v="ja"/>
  </r>
  <r>
    <n v="32387"/>
    <x v="175"/>
    <s v="Meersman"/>
    <s v="Herman"/>
    <x v="9"/>
    <x v="0"/>
    <m/>
    <m/>
    <m/>
    <m/>
    <m/>
    <m/>
    <m/>
    <m/>
    <m/>
    <n v="1"/>
    <m/>
    <m/>
    <n v="1"/>
    <x v="214"/>
    <s v="EAF 6363 Gent 22102024.pdf"/>
    <m/>
    <n v="1"/>
    <x v="1"/>
    <x v="133"/>
    <m/>
    <s v="ja"/>
  </r>
  <r>
    <n v="5718"/>
    <x v="211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  <m/>
    <s v="ja"/>
  </r>
  <r>
    <n v="35598"/>
    <x v="214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  <m/>
    <s v="ja"/>
  </r>
  <r>
    <n v="40222"/>
    <x v="133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  <m/>
    <s v="ja"/>
  </r>
  <r>
    <n v="35450"/>
    <x v="113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  <m/>
    <s v="ja"/>
  </r>
  <r>
    <n v="40652"/>
    <x v="215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  <m/>
    <s v="ja"/>
  </r>
  <r>
    <n v="37809"/>
    <x v="216"/>
    <s v="Sturtewagen"/>
    <s v="Kenny"/>
    <x v="9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  <m/>
    <s v="ja"/>
  </r>
  <r>
    <n v="30623"/>
    <x v="217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  <m/>
    <s v="ja"/>
  </r>
  <r>
    <n v="37809"/>
    <x v="216"/>
    <s v="Sturtewagen"/>
    <s v="Kenny"/>
    <x v="9"/>
    <x v="0"/>
    <m/>
    <m/>
    <m/>
    <m/>
    <m/>
    <m/>
    <m/>
    <m/>
    <m/>
    <n v="1"/>
    <m/>
    <m/>
    <n v="1"/>
    <x v="217"/>
    <s v="EAF 25102024 5039 Gent Kenny Sturtewagen.pdf"/>
    <n v="1"/>
    <m/>
    <x v="0"/>
    <x v="1"/>
    <m/>
    <s v="ja"/>
  </r>
  <r>
    <n v="40859"/>
    <x v="218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  <m/>
    <s v="ja"/>
  </r>
  <r>
    <n v="21892"/>
    <x v="219"/>
    <s v="Dierick"/>
    <s v="Steve"/>
    <x v="9"/>
    <x v="0"/>
    <m/>
    <m/>
    <m/>
    <m/>
    <m/>
    <m/>
    <m/>
    <m/>
    <m/>
    <n v="1"/>
    <m/>
    <m/>
    <n v="1"/>
    <x v="218"/>
    <s v="EAF 6355 Ledeberg 26102024.pdf"/>
    <m/>
    <n v="1"/>
    <x v="1"/>
    <x v="110"/>
    <m/>
    <s v="ja"/>
  </r>
  <r>
    <n v="12173"/>
    <x v="220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  <m/>
    <s v="ja"/>
  </r>
  <r>
    <n v="37542"/>
    <x v="155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  <m/>
    <s v="ja"/>
  </r>
  <r>
    <n v="40278"/>
    <x v="221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  <m/>
    <s v="ja"/>
  </r>
  <r>
    <n v="29540"/>
    <x v="222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  <m/>
    <s v="ja"/>
  </r>
  <r>
    <n v="30901"/>
    <x v="122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  <m/>
    <s v="ja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  <m/>
    <s v="ja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  <m/>
    <s v="ja"/>
  </r>
  <r>
    <n v="33488"/>
    <x v="223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  <m/>
    <s v="ja"/>
  </r>
  <r>
    <n v="26102"/>
    <x v="224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  <m/>
    <s v="ja"/>
  </r>
  <r>
    <n v="39528"/>
    <x v="143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  <m/>
    <s v="ja"/>
  </r>
  <r>
    <n v="32951"/>
    <x v="73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  <m/>
    <s v="ja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  <m/>
    <s v="ja"/>
  </r>
  <r>
    <n v="33965"/>
    <x v="71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  <m/>
    <s v="ja"/>
  </r>
  <r>
    <n v="40223"/>
    <x v="87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  <m/>
    <s v="ja"/>
  </r>
  <r>
    <n v="20400"/>
    <x v="225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  <m/>
    <s v="ja"/>
  </r>
  <r>
    <n v="21121"/>
    <x v="170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  <m/>
    <s v="ja"/>
  </r>
  <r>
    <n v="37496"/>
    <x v="194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  <m/>
    <s v="ja"/>
  </r>
  <r>
    <n v="16545"/>
    <x v="226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  <m/>
    <s v="ja"/>
  </r>
  <r>
    <n v="30119"/>
    <x v="227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  <m/>
    <s v="ja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  <m/>
    <s v="ja"/>
  </r>
  <r>
    <n v="35645"/>
    <x v="228"/>
    <s v="Jalili"/>
    <s v="Yaseeb"/>
    <x v="9"/>
    <x v="0"/>
    <m/>
    <m/>
    <m/>
    <m/>
    <m/>
    <m/>
    <m/>
    <m/>
    <m/>
    <m/>
    <n v="1"/>
    <m/>
    <n v="1"/>
    <x v="229"/>
    <s v="EAF 5771 Gent 12102024.pdf"/>
    <n v="1"/>
    <m/>
    <x v="0"/>
    <x v="2"/>
    <m/>
    <s v="ja"/>
  </r>
  <r>
    <n v="19249"/>
    <x v="149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  <m/>
    <s v="ja"/>
  </r>
  <r>
    <n v="15676"/>
    <x v="229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  <m/>
    <s v="ja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  <m/>
    <s v="ja"/>
  </r>
  <r>
    <n v="39184"/>
    <x v="59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  <m/>
    <s v="ja"/>
  </r>
  <r>
    <n v="16895"/>
    <x v="230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  <m/>
    <s v="ja"/>
  </r>
  <r>
    <n v="35430"/>
    <x v="231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  <m/>
    <s v="ja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  <m/>
    <s v="ja"/>
  </r>
  <r>
    <n v="36228"/>
    <x v="232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  <m/>
    <s v="ja"/>
  </r>
  <r>
    <n v="40200"/>
    <x v="78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  <m/>
    <s v="ja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  <m/>
    <s v="ja"/>
  </r>
  <r>
    <n v="29821"/>
    <x v="233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  <m/>
    <s v="ja"/>
  </r>
  <r>
    <n v="30967"/>
    <x v="234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  <m/>
    <s v="ja"/>
  </r>
  <r>
    <n v="31635"/>
    <x v="200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  <m/>
    <s v="ja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  <m/>
    <s v="ja"/>
  </r>
  <r>
    <n v="32951"/>
    <x v="73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  <m/>
    <s v="ja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  <m/>
    <s v="ja"/>
  </r>
  <r>
    <n v="40138"/>
    <x v="235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  <m/>
    <s v="ja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  <m/>
    <s v="ja"/>
  </r>
  <r>
    <n v="39930"/>
    <x v="109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  <m/>
    <s v="ja"/>
  </r>
  <r>
    <n v="40134"/>
    <x v="236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  <m/>
    <s v="ja"/>
  </r>
  <r>
    <n v="40859"/>
    <x v="218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  <m/>
    <s v="ja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  <m/>
    <s v="ja"/>
  </r>
  <r>
    <n v="41092"/>
    <x v="237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  <m/>
    <s v="ja"/>
  </r>
  <r>
    <n v="40134"/>
    <x v="236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  <m/>
    <s v="ja"/>
  </r>
  <r>
    <n v="12684"/>
    <x v="238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  <m/>
    <s v="ja"/>
  </r>
  <r>
    <n v="33965"/>
    <x v="71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  <m/>
    <s v="ja"/>
  </r>
  <r>
    <n v="13020"/>
    <x v="178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  <m/>
    <s v="ja"/>
  </r>
  <r>
    <n v="36438"/>
    <x v="239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  <m/>
    <s v="ja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  <m/>
    <s v="ja"/>
  </r>
  <r>
    <n v="37254"/>
    <x v="240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  <m/>
    <s v="ja"/>
  </r>
  <r>
    <n v="8394"/>
    <x v="74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  <m/>
    <s v="ja"/>
  </r>
  <r>
    <n v="18987"/>
    <x v="43"/>
    <e v="#N/A"/>
    <e v="#N/A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  <m/>
    <s v="ja"/>
  </r>
  <r>
    <n v="32387"/>
    <x v="175"/>
    <s v="Meersman"/>
    <s v="Herman"/>
    <x v="9"/>
    <x v="0"/>
    <m/>
    <m/>
    <m/>
    <m/>
    <m/>
    <m/>
    <m/>
    <m/>
    <m/>
    <m/>
    <m/>
    <n v="1"/>
    <n v="1"/>
    <x v="247"/>
    <s v="EAF 5241 Gentbrugge 04122024.pdf"/>
    <n v="1"/>
    <m/>
    <x v="0"/>
    <x v="2"/>
    <m/>
    <s v="ja"/>
  </r>
  <r>
    <n v="40744"/>
    <x v="187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  <m/>
    <s v="ja"/>
  </r>
  <r>
    <n v="40744"/>
    <x v="187"/>
    <s v="Gözüküçük"/>
    <s v="Ugur"/>
    <x v="4"/>
    <x v="0"/>
    <m/>
    <m/>
    <m/>
    <m/>
    <m/>
    <m/>
    <m/>
    <m/>
    <m/>
    <m/>
    <m/>
    <m/>
    <n v="0"/>
    <x v="247"/>
    <s v="EAF 04122024 Ugur.pdf"/>
    <n v="1"/>
    <m/>
    <x v="0"/>
    <x v="146"/>
    <s v="-"/>
    <s v="ja"/>
  </r>
  <r>
    <n v="35379"/>
    <x v="241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  <m/>
    <s v="ja"/>
  </r>
  <r>
    <n v="37794"/>
    <x v="242"/>
    <s v="Demirkaya"/>
    <s v="Kâzim"/>
    <x v="9"/>
    <x v="0"/>
    <m/>
    <m/>
    <m/>
    <m/>
    <m/>
    <m/>
    <m/>
    <m/>
    <m/>
    <m/>
    <m/>
    <n v="1"/>
    <n v="1"/>
    <x v="248"/>
    <s v="EAF 06122024 6305 Gent Kazim Demirkaya.pdf"/>
    <m/>
    <n v="1"/>
    <x v="1"/>
    <x v="147"/>
    <m/>
    <s v="ja"/>
  </r>
  <r>
    <n v="40294"/>
    <x v="243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8"/>
    <m/>
    <s v="ja"/>
  </r>
  <r>
    <n v="37662"/>
    <x v="183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  <m/>
    <s v="ja"/>
  </r>
  <r>
    <n v="32542"/>
    <x v="163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9"/>
    <m/>
    <s v="ja"/>
  </r>
  <r>
    <n v="33450"/>
    <x v="91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50"/>
    <m/>
    <s v="ja"/>
  </r>
  <r>
    <n v="17555"/>
    <x v="244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  <m/>
    <s v="ja"/>
  </r>
  <r>
    <n v="39529"/>
    <x v="166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  <m/>
    <s v="ja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  <m/>
    <s v="ja"/>
  </r>
  <r>
    <n v="40652"/>
    <x v="215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  <m/>
    <s v="ja"/>
  </r>
  <r>
    <n v="22767"/>
    <x v="245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  <m/>
    <s v="ja"/>
  </r>
  <r>
    <n v="29477"/>
    <x v="246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  <m/>
    <s v="ja"/>
  </r>
  <r>
    <n v="16897"/>
    <x v="247"/>
    <s v="VandenDaele"/>
    <s v="Andy"/>
    <x v="9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  <m/>
    <s v="ja"/>
  </r>
  <r>
    <n v="18173"/>
    <x v="248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  <m/>
    <s v="ja"/>
  </r>
  <r>
    <n v="41296"/>
    <x v="249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  <m/>
    <s v="ja"/>
  </r>
  <r>
    <n v="36513"/>
    <x v="250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  <m/>
    <s v="ja"/>
  </r>
  <r>
    <n v="33400"/>
    <x v="96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  <m/>
    <s v="ja"/>
  </r>
  <r>
    <n v="24367"/>
    <x v="60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  <m/>
    <s v="ja"/>
  </r>
  <r>
    <n v="40005"/>
    <x v="251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  <m/>
    <s v="ja"/>
  </r>
  <r>
    <n v="40652"/>
    <x v="215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  <m/>
    <s v="ja"/>
  </r>
  <r>
    <n v="26847"/>
    <x v="252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  <m/>
    <s v="ja"/>
  </r>
  <r>
    <n v="40414"/>
    <x v="253"/>
    <s v="Ennakaba"/>
    <s v="Khaoula"/>
    <x v="9"/>
    <x v="0"/>
    <m/>
    <m/>
    <m/>
    <m/>
    <m/>
    <m/>
    <m/>
    <m/>
    <m/>
    <m/>
    <m/>
    <n v="1"/>
    <n v="1"/>
    <x v="260"/>
    <s v="EAF 5325 Drongen 21122024.pdf"/>
    <n v="1"/>
    <m/>
    <x v="0"/>
    <x v="15"/>
    <m/>
    <s v="ja"/>
  </r>
  <r>
    <n v="21812"/>
    <x v="254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  <m/>
    <s v="ja"/>
  </r>
  <r>
    <n v="36358"/>
    <x v="255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  <m/>
    <s v="ja"/>
  </r>
  <r>
    <n v="4419"/>
    <x v="256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  <m/>
    <s v="ja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  <m/>
    <s v="ja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  <m/>
    <s v="ja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  <m/>
    <s v="ja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  <m/>
    <s v="ja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  <m/>
    <s v="ja"/>
  </r>
  <r>
    <n v="29179"/>
    <x v="103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  <m/>
    <s v="ja"/>
  </r>
  <r>
    <n v="31231"/>
    <x v="86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m/>
    <n v="1"/>
    <x v="2"/>
    <x v="151"/>
    <n v="6312"/>
    <s v="ja"/>
  </r>
  <r>
    <n v="31490"/>
    <x v="258"/>
    <s v="De Weirdt"/>
    <s v="Steph"/>
    <x v="10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3"/>
    <x v="32"/>
    <n v="5934"/>
    <s v="ja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4"/>
    <x v="8"/>
    <n v="5048"/>
    <s v="ja"/>
  </r>
  <r>
    <n v="36426"/>
    <x v="259"/>
    <s v="Mohamed Yassin"/>
    <s v="Abdulhamid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1%20Gent%2003012025.pdf?csf=1&amp;web=1&amp;e=2BaFcc"/>
    <m/>
    <n v="1"/>
    <x v="2"/>
    <x v="152"/>
    <n v="6311"/>
    <s v="Neen"/>
  </r>
  <r>
    <n v="39014"/>
    <x v="66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4"/>
    <x v="153"/>
    <n v="5048"/>
    <s v="ja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4"/>
    <x v="0"/>
    <n v="5229"/>
    <s v="ja"/>
  </r>
  <r>
    <n v="40058"/>
    <x v="131"/>
    <s v="Sögüt"/>
    <s v="Can"/>
    <x v="5"/>
    <x v="0"/>
    <m/>
    <m/>
    <m/>
    <m/>
    <m/>
    <m/>
    <m/>
    <m/>
    <m/>
    <m/>
    <m/>
    <m/>
    <n v="0"/>
    <x v="267"/>
    <s v="EAF 5047 Gent 03012025.pdf"/>
    <n v="1"/>
    <m/>
    <x v="4"/>
    <x v="11"/>
    <n v="5047"/>
    <s v="Neen"/>
  </r>
  <r>
    <n v="36663"/>
    <x v="260"/>
    <s v="Cesmeli"/>
    <s v="Achraf"/>
    <x v="7"/>
    <x v="0"/>
    <n v="1"/>
    <m/>
    <m/>
    <m/>
    <m/>
    <m/>
    <m/>
    <m/>
    <m/>
    <m/>
    <m/>
    <m/>
    <n v="1"/>
    <x v="268"/>
    <s v="Geen EAF Opgemaakt (via VWF)"/>
    <n v="1"/>
    <m/>
    <x v="3"/>
    <x v="154"/>
    <n v="0"/>
    <s v="ja"/>
  </r>
  <r>
    <n v="40138"/>
    <x v="235"/>
    <s v="Moerman"/>
    <s v="Tjimmy"/>
    <x v="5"/>
    <x v="0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51%20Gent%2004012025.pdf?csf=1&amp;web=1&amp;e=R2H0Ug"/>
    <n v="1"/>
    <m/>
    <x v="4"/>
    <x v="72"/>
    <n v="5051"/>
    <s v="ja"/>
  </r>
  <r>
    <n v="37950"/>
    <x v="130"/>
    <s v="De Naegel"/>
    <s v="Bruno"/>
    <x v="7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31%20Bevrijdingslaan%2008012025%20Bruno%20De%20Naegel.pdf?csf=1&amp;web=1&amp;e=78802o"/>
    <n v="1"/>
    <m/>
    <x v="3"/>
    <x v="114"/>
    <n v="5931"/>
    <s v="ja"/>
  </r>
  <r>
    <n v="41032"/>
    <x v="261"/>
    <s v="Rocabado Hinojosa"/>
    <s v="Lukas"/>
    <x v="3"/>
    <x v="0"/>
    <n v="1"/>
    <m/>
    <m/>
    <m/>
    <m/>
    <m/>
    <m/>
    <m/>
    <m/>
    <m/>
    <m/>
    <m/>
    <n v="1"/>
    <x v="270"/>
    <s v="https://delijn.sharepoint.com/:i:/r/teams/CTM-OTGentStad/Shared%20Documents/General/EAF/CSI(nieuwe%20sharepoint)%202025/1.%20Januari/achterkant.jpg?csf=1&amp;web=1&amp;e=mJAsup"/>
    <n v="1"/>
    <m/>
    <x v="3"/>
    <x v="12"/>
    <n v="5926"/>
    <s v="ja"/>
  </r>
  <r>
    <n v="19917"/>
    <x v="12"/>
    <s v="Vandevyvere"/>
    <s v="Frank"/>
    <x v="4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767%20Dendermondsesteenweg%20Gent%2010012025.pdf?csf=1&amp;web=1&amp;e=5vYL1N"/>
    <n v="1"/>
    <m/>
    <x v="3"/>
    <x v="9"/>
    <n v="5767"/>
    <s v="ja"/>
  </r>
  <r>
    <n v="36559"/>
    <x v="203"/>
    <s v="De Staercke"/>
    <s v="Sandra"/>
    <x v="1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6366%20Gent%2010012025.pdf?csf=1&amp;web=1&amp;e=ZJgv0h"/>
    <m/>
    <n v="1"/>
    <x v="5"/>
    <x v="155"/>
    <n v="6366"/>
    <s v="ja"/>
  </r>
  <r>
    <n v="40266"/>
    <x v="193"/>
    <s v="Taibi"/>
    <s v="Yassine"/>
    <x v="5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912%20Blandijnberg%2010012025%20Yassine%20Taibi.pdf?csf=1&amp;web=1&amp;e=8YVEw2"/>
    <n v="1"/>
    <m/>
    <x v="3"/>
    <x v="156"/>
    <n v="5912"/>
    <s v="ja"/>
  </r>
  <r>
    <n v="33986"/>
    <x v="157"/>
    <s v="Göktas"/>
    <s v="Muharrem"/>
    <x v="1"/>
    <x v="0"/>
    <m/>
    <m/>
    <m/>
    <m/>
    <m/>
    <m/>
    <m/>
    <m/>
    <m/>
    <m/>
    <m/>
    <m/>
    <n v="0"/>
    <x v="272"/>
    <s v="https://delijn.sharepoint.com/:b:/r/teams/CTM-OTGentStad/Shared%20Documents/General/EAF/CSI(nieuwe%20sharepoint)%202025/1.%20Januari/EAF%205267%20Gent%2012012025.pdf?csf=1&amp;web=1&amp;e=Iapyqk"/>
    <n v="1"/>
    <m/>
    <x v="4"/>
    <x v="157"/>
    <n v="5267"/>
    <s v="ja"/>
  </r>
  <r>
    <n v="36428"/>
    <x v="181"/>
    <s v="Abdi Shaiye"/>
    <s v="Rashid"/>
    <x v="6"/>
    <x v="0"/>
    <n v="1"/>
    <m/>
    <m/>
    <m/>
    <m/>
    <m/>
    <m/>
    <m/>
    <m/>
    <m/>
    <m/>
    <m/>
    <n v="1"/>
    <x v="272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4"/>
    <x v="0"/>
    <n v="5328"/>
    <s v="ja"/>
  </r>
  <r>
    <n v="22052"/>
    <x v="262"/>
    <s v="Meyvaert"/>
    <s v="Peter"/>
    <x v="2"/>
    <x v="0"/>
    <n v="1"/>
    <m/>
    <m/>
    <m/>
    <m/>
    <m/>
    <m/>
    <m/>
    <m/>
    <m/>
    <m/>
    <m/>
    <n v="1"/>
    <x v="273"/>
    <s v="EAF 5263 Mariakerke 13012025.pdf"/>
    <n v="1"/>
    <m/>
    <x v="4"/>
    <x v="35"/>
    <n v="5263"/>
    <s v="Neen"/>
  </r>
  <r>
    <n v="40444"/>
    <x v="263"/>
    <s v="Van Damme"/>
    <s v="Glenn"/>
    <x v="2"/>
    <x v="0"/>
    <n v="1"/>
    <m/>
    <m/>
    <m/>
    <m/>
    <m/>
    <m/>
    <m/>
    <m/>
    <m/>
    <m/>
    <m/>
    <n v="1"/>
    <x v="273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4"/>
    <x v="109"/>
    <n v="5260"/>
    <s v="ja"/>
  </r>
  <r>
    <n v="25487"/>
    <x v="134"/>
    <s v="Devos"/>
    <s v="Stefaan"/>
    <x v="9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14012025_2%205912%20Gent%20Stefaan%20Devos.pdf?csf=1&amp;web=1&amp;e=phoLIt"/>
    <n v="1"/>
    <m/>
    <x v="3"/>
    <x v="158"/>
    <n v="5912"/>
    <s v="ja"/>
  </r>
  <r>
    <n v="36626"/>
    <x v="13"/>
    <s v="Kartal"/>
    <s v="Kadir"/>
    <x v="2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7%20Nieuwe%20Wandeling%20Gent%2014012025.pdf?csf=1&amp;web=1&amp;e=I2N7ub"/>
    <n v="1"/>
    <m/>
    <x v="3"/>
    <x v="59"/>
    <n v="5927"/>
    <s v="ja"/>
  </r>
  <r>
    <n v="41090"/>
    <x v="43"/>
    <e v="#N/A"/>
    <e v="#N/A"/>
    <x v="0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9%20Stelplaats%2014012025%20Moez%20El%20Ouni.pdf?csf=1&amp;web=1&amp;e=bu2hE2"/>
    <n v="1"/>
    <m/>
    <x v="3"/>
    <x v="32"/>
    <n v="5929"/>
    <s v="ja"/>
  </r>
  <r>
    <n v="30967"/>
    <x v="234"/>
    <s v="Taser"/>
    <s v="Fatih"/>
    <x v="7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6334%2015012025%20Neuseplein%20Fatih%20Taser.pdf?csf=1&amp;web=1&amp;e=EAzEQ3"/>
    <m/>
    <n v="1"/>
    <x v="2"/>
    <x v="159"/>
    <n v="6334"/>
    <s v="ja"/>
  </r>
  <r>
    <n v="40005"/>
    <x v="251"/>
    <s v="Bernaerts"/>
    <s v="Philip"/>
    <x v="5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5920%20Gent%2015012025.pdf?csf=1&amp;web=1&amp;e=LrqePB"/>
    <n v="1"/>
    <m/>
    <x v="3"/>
    <x v="7"/>
    <n v="5920"/>
    <s v="ja"/>
  </r>
  <r>
    <n v="36626"/>
    <x v="13"/>
    <s v="Kartal"/>
    <s v="Kadir"/>
    <x v="2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6357%20Brusselsesteenweg%20Gentbrugge%2016012025.pdf?csf=1&amp;web=1&amp;e=1PUmmf"/>
    <m/>
    <n v="1"/>
    <x v="5"/>
    <x v="56"/>
    <n v="6357"/>
    <s v="ja"/>
  </r>
  <r>
    <n v="40969"/>
    <x v="264"/>
    <s v="Kerman"/>
    <s v="Melisa"/>
    <x v="9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14012025%205771%20Gent%20melisa%20kerman.pdf?csf=1&amp;web=1&amp;e=9DGLKj"/>
    <n v="1"/>
    <m/>
    <x v="3"/>
    <x v="9"/>
    <n v="5771"/>
    <s v="ja"/>
  </r>
  <r>
    <n v="19249"/>
    <x v="149"/>
    <s v="Odaci"/>
    <s v="Kadir"/>
    <x v="6"/>
    <x v="0"/>
    <n v="1"/>
    <m/>
    <m/>
    <m/>
    <m/>
    <m/>
    <m/>
    <m/>
    <m/>
    <m/>
    <m/>
    <m/>
    <n v="1"/>
    <x v="277"/>
    <s v="EAF 6337 Gent 17012025.pdf"/>
    <m/>
    <n v="1"/>
    <x v="2"/>
    <x v="74"/>
    <n v="6337"/>
    <s v="Neen"/>
  </r>
  <r>
    <n v="22240"/>
    <x v="77"/>
    <s v="Delahaye"/>
    <s v="Karina"/>
    <x v="2"/>
    <x v="0"/>
    <n v="1"/>
    <m/>
    <m/>
    <m/>
    <m/>
    <m/>
    <m/>
    <m/>
    <m/>
    <m/>
    <m/>
    <m/>
    <n v="1"/>
    <x v="277"/>
    <s v="https://delijn.sharepoint.com/:b:/r/teams/CTM-OTGentStad/Shared%20Documents/General/EAF/CSI(nieuwe%20sharepoint)%202025/1.%20Januari/EAF%206355%20Gent%2017012025.pdf?csf=1&amp;web=1&amp;e=Hl5VXa"/>
    <m/>
    <n v="1"/>
    <x v="5"/>
    <x v="160"/>
    <n v="6355"/>
    <s v="ja"/>
  </r>
  <r>
    <n v="35588"/>
    <x v="197"/>
    <s v="Smesman"/>
    <s v="Glenn"/>
    <x v="6"/>
    <x v="0"/>
    <n v="1"/>
    <m/>
    <m/>
    <m/>
    <m/>
    <m/>
    <m/>
    <m/>
    <m/>
    <m/>
    <m/>
    <m/>
    <n v="1"/>
    <x v="278"/>
    <s v="EAF 6356 Gentbrugge 18012025.pdf"/>
    <m/>
    <n v="1"/>
    <x v="5"/>
    <x v="1"/>
    <n v="6356"/>
    <s v="Neen"/>
  </r>
  <r>
    <n v="8394"/>
    <x v="74"/>
    <s v="Smet"/>
    <s v="Antoon"/>
    <x v="6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57"/>
    <n v="5039"/>
    <s v="ja"/>
  </r>
  <r>
    <n v="33965"/>
    <x v="71"/>
    <s v="Van de Gehuchte"/>
    <s v="Gilles"/>
    <x v="1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6327%20Gent%2020012025.pdf?csf=1&amp;web=1&amp;e=YyVtbb"/>
    <m/>
    <n v="1"/>
    <x v="2"/>
    <x v="12"/>
    <n v="6327"/>
    <s v="ja"/>
  </r>
  <r>
    <n v="21581"/>
    <x v="168"/>
    <s v="Vanderstraeten"/>
    <s v="Franky"/>
    <x v="6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040%20Gent%2020012025.pdf?csf=1&amp;web=1&amp;e=RlKypG"/>
    <n v="1"/>
    <m/>
    <x v="4"/>
    <x v="161"/>
    <n v="5040"/>
    <s v="Neen"/>
  </r>
  <r>
    <n v="39673"/>
    <x v="18"/>
    <s v="Steurbaut"/>
    <s v="Henri"/>
    <x v="3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922%20Sanderuustraat%2021012025%20Henri%20Steurbaut.pdf?csf=1&amp;web=1&amp;e=Gv9PYU"/>
    <n v="1"/>
    <m/>
    <x v="3"/>
    <x v="158"/>
    <n v="5922"/>
    <s v="ja"/>
  </r>
  <r>
    <n v="34351"/>
    <x v="114"/>
    <s v="Callant"/>
    <s v="Dieter"/>
    <x v="3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6324%20Poperingestraat%20Gent%2022012025.pdf?csf=1&amp;web=1&amp;e=6XDCJ6"/>
    <m/>
    <n v="1"/>
    <x v="2"/>
    <x v="31"/>
    <n v="6324"/>
    <s v="ja"/>
  </r>
  <r>
    <n v="39660"/>
    <x v="76"/>
    <s v="Lloyd"/>
    <s v="Glenn"/>
    <x v="4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264%20Morekstraat%20Wondelgem%2022.01.2025.pdf?csf=1&amp;web=1&amp;e=vTRSRN"/>
    <n v="1"/>
    <m/>
    <x v="4"/>
    <x v="24"/>
    <n v="5264"/>
    <s v="ja"/>
  </r>
  <r>
    <n v="41162"/>
    <x v="265"/>
    <s v="Hoeckman"/>
    <s v="Jeroen"/>
    <x v="7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929%20%20Gent%2022012025%20Jeroen%20Hoeckman%2041162.pdf?csf=1&amp;web=1&amp;e=giMGLm"/>
    <n v="1"/>
    <m/>
    <x v="3"/>
    <x v="125"/>
    <n v="5929"/>
    <s v="ja"/>
  </r>
  <r>
    <n v="31360"/>
    <x v="189"/>
    <s v="Simsek"/>
    <s v="Fatih"/>
    <x v="7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5%20Gent%2023012025.pdf?csf=1&amp;web=1&amp;e=SzvGqf"/>
    <m/>
    <n v="1"/>
    <x v="2"/>
    <x v="162"/>
    <n v="6325"/>
    <s v="ja"/>
  </r>
  <r>
    <n v="35395"/>
    <x v="161"/>
    <s v="Limbourg"/>
    <s v="Heidi"/>
    <x v="9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0%20Gentbrugge%2023012025.pdf?csf=1&amp;web=1&amp;e=NJR931"/>
    <m/>
    <n v="1"/>
    <x v="2"/>
    <x v="5"/>
    <n v="6320"/>
    <s v="ja"/>
  </r>
  <r>
    <n v="13398"/>
    <x v="266"/>
    <s v="Kirdas"/>
    <s v="Ramazan"/>
    <x v="7"/>
    <x v="0"/>
    <n v="1"/>
    <m/>
    <m/>
    <m/>
    <m/>
    <m/>
    <m/>
    <m/>
    <m/>
    <m/>
    <m/>
    <m/>
    <n v="1"/>
    <x v="283"/>
    <s v="https://delijn.sharepoint.com/:b:/r/teams/CTM-OTGentStad/Shared%20Documents/General/EAF/CSI(nieuwe%20sharepoint)%202025/1.%20Januari/EAF%206333%20Gent%2024012025.pdf?csf=1&amp;web=1&amp;e=CdRRgw"/>
    <m/>
    <n v="1"/>
    <x v="2"/>
    <x v="143"/>
    <n v="6333"/>
    <s v="ja"/>
  </r>
  <r>
    <n v="21509"/>
    <x v="63"/>
    <s v="De Craemer"/>
    <s v="Kris"/>
    <x v="7"/>
    <x v="0"/>
    <m/>
    <m/>
    <m/>
    <m/>
    <m/>
    <m/>
    <m/>
    <m/>
    <m/>
    <m/>
    <m/>
    <m/>
    <n v="0"/>
    <x v="284"/>
    <s v="EAF 6303 Ledebergplein 27012025 Kris De Craemer.pdf"/>
    <m/>
    <n v="1"/>
    <x v="2"/>
    <x v="49"/>
    <n v="6303"/>
    <s v="Neen"/>
  </r>
  <r>
    <n v="36663"/>
    <x v="260"/>
    <s v="Cesmeli"/>
    <s v="Achraf"/>
    <x v="7"/>
    <x v="0"/>
    <n v="1"/>
    <m/>
    <m/>
    <m/>
    <m/>
    <m/>
    <m/>
    <m/>
    <m/>
    <m/>
    <m/>
    <m/>
    <n v="1"/>
    <x v="284"/>
    <s v="https://delijn.sharepoint.com/:b:/r/teams/CTM-OTGentStad/Shared%20Documents/General/EAF/CSI(nieuwe%20sharepoint)%202025/1.%20Januari/EAF%205267%20Ledebergplein%2027012025%20Achraf%20Cesmeli.pdf?csf=1&amp;web=1&amp;e=q2VPsx"/>
    <n v="1"/>
    <m/>
    <x v="4"/>
    <x v="49"/>
    <n v="5267"/>
    <s v="ja"/>
  </r>
  <r>
    <n v="35491"/>
    <x v="267"/>
    <s v="Toubadie"/>
    <s v="Zakaria"/>
    <x v="3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235%20Nieuwe%20Wandeling%20Gent%2028012025.pdf?csf=1&amp;web=1&amp;e=Ae8kzb"/>
    <n v="1"/>
    <m/>
    <x v="4"/>
    <x v="59"/>
    <n v="5235"/>
    <s v="ja"/>
  </r>
  <r>
    <n v="40138"/>
    <x v="235"/>
    <s v="Moerman"/>
    <s v="Tjimmy"/>
    <x v="5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923%20Gent%20Moerman%20Jimmy%2040138%2028012025.pdf?csf=1&amp;web=1&amp;e=kKemrH"/>
    <n v="1"/>
    <m/>
    <x v="3"/>
    <x v="14"/>
    <n v="5923"/>
    <s v="ja"/>
  </r>
  <r>
    <n v="19249"/>
    <x v="149"/>
    <s v="Odaci"/>
    <s v="Kadir"/>
    <x v="6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2"/>
    <x v="162"/>
    <n v="6337"/>
    <s v="ja"/>
  </r>
  <r>
    <n v="21424"/>
    <x v="268"/>
    <s v="Verstichel"/>
    <s v="Jethro"/>
    <x v="2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5"/>
    <x v="12"/>
    <n v="6368"/>
    <s v="ja"/>
  </r>
  <r>
    <n v="33640"/>
    <x v="269"/>
    <s v="Verschraegen"/>
    <s v="Patrick"/>
    <x v="9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3"/>
    <x v="163"/>
    <n v="5763"/>
    <s v="ja"/>
  </r>
  <r>
    <n v="40652"/>
    <x v="215"/>
    <s v="Van Damme"/>
    <s v="Gilyann"/>
    <x v="3"/>
    <x v="0"/>
    <n v="1"/>
    <m/>
    <m/>
    <m/>
    <m/>
    <m/>
    <m/>
    <m/>
    <m/>
    <m/>
    <m/>
    <m/>
    <n v="1"/>
    <x v="287"/>
    <s v="https://delijn.sharepoint.com/:b:/r/teams/CTM-OTGentStad/Shared%20Documents/General/EAF/CSI(nieuwe%20sharepoint)%202025/1.%20Januari/EAF%202204%20Gent%2030012025%2040652%20Van%20Damme%20Gilyanne.pdf?csf=1&amp;web=1&amp;e=e1WMM6"/>
    <n v="1"/>
    <m/>
    <x v="4"/>
    <x v="22"/>
    <n v="2204"/>
    <s v="ja"/>
  </r>
  <r>
    <n v="36663"/>
    <x v="260"/>
    <s v="Cesmeli"/>
    <s v="Achraf"/>
    <x v="7"/>
    <x v="0"/>
    <n v="1"/>
    <m/>
    <m/>
    <m/>
    <m/>
    <m/>
    <m/>
    <m/>
    <m/>
    <m/>
    <m/>
    <m/>
    <n v="1"/>
    <x v="288"/>
    <s v="https://delijn.sharepoint.com/:b:/r/teams/CTM-OTGentStad/Shared%20Documents/General/EAF/CSI(nieuwe%20sharepoint)%202025/1.%20Januari/EAF%205053%20E17%2031012025%20Achraf%20Cesmeli.pdf?csf=1&amp;web=1&amp;e=hL9ZUE"/>
    <n v="1"/>
    <m/>
    <x v="3"/>
    <x v="0"/>
    <n v="5053"/>
    <s v="ja"/>
  </r>
  <r>
    <n v="39532"/>
    <x v="165"/>
    <s v="Sahin"/>
    <s v="Orhan"/>
    <x v="5"/>
    <x v="0"/>
    <m/>
    <n v="1"/>
    <m/>
    <m/>
    <m/>
    <m/>
    <m/>
    <m/>
    <m/>
    <m/>
    <m/>
    <m/>
    <n v="1"/>
    <x v="289"/>
    <s v="https://delijn.sharepoint.com/:b:/r/teams/CTM-OTGentStad/Shared%20Documents/General/EAF/CSI(nieuwe%20sharepoint)%202025/2.%20Februari/EAF%205048%20E17%20parking%2001022025.pdf?csf=1&amp;web=1&amp;e=oybdIm"/>
    <n v="1"/>
    <m/>
    <x v="4"/>
    <x v="0"/>
    <n v="5048"/>
    <s v="ja"/>
  </r>
  <r>
    <n v="37496"/>
    <x v="194"/>
    <s v="Oosterlinck"/>
    <s v="Willy"/>
    <x v="7"/>
    <x v="0"/>
    <m/>
    <n v="1"/>
    <m/>
    <m/>
    <m/>
    <m/>
    <m/>
    <m/>
    <m/>
    <m/>
    <m/>
    <m/>
    <n v="1"/>
    <x v="290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2"/>
    <x v="56"/>
    <n v="6327"/>
    <s v="ja"/>
  </r>
  <r>
    <n v="12514"/>
    <x v="270"/>
    <s v="De Smet"/>
    <s v="Kenneth"/>
    <x v="6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6314%20Gent%2012514%20De%20Smet%20Kenneth%2003022025.pdf?csf=1&amp;web=1&amp;e=sabpIJ"/>
    <m/>
    <n v="1"/>
    <x v="2"/>
    <x v="66"/>
    <n v="6314"/>
    <s v="ja"/>
  </r>
  <r>
    <n v="13568"/>
    <x v="43"/>
    <e v="#N/A"/>
    <e v="#N/A"/>
    <x v="0"/>
    <x v="0"/>
    <m/>
    <n v="1"/>
    <m/>
    <m/>
    <m/>
    <m/>
    <m/>
    <m/>
    <m/>
    <m/>
    <m/>
    <m/>
    <n v="1"/>
    <x v="291"/>
    <s v="EAf 5916 Wondelgem 13568 Dirk Reynen 03022025.pdf"/>
    <n v="1"/>
    <m/>
    <x v="3"/>
    <x v="164"/>
    <n v="5916"/>
    <s v="ja"/>
  </r>
  <r>
    <n v="16545"/>
    <x v="226"/>
    <s v="Toch"/>
    <s v="Erwin"/>
    <x v="4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327%20Sint-Pietersstation%20Gent%2003.02.2025.pdf?csf=1&amp;web=1&amp;e=3KRGB3"/>
    <n v="1"/>
    <m/>
    <x v="4"/>
    <x v="8"/>
    <n v="5327"/>
    <s v="ja"/>
  </r>
  <r>
    <n v="21424"/>
    <x v="268"/>
    <s v="Verstichel"/>
    <s v="Jethro"/>
    <x v="2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911%20Gent%2021424%20Verstichel%20Jethro%2003022025.pdf?csf=1&amp;web=1&amp;e=vo6oQx"/>
    <n v="1"/>
    <m/>
    <x v="3"/>
    <x v="165"/>
    <n v="5911"/>
    <s v="ja"/>
  </r>
  <r>
    <n v="40266"/>
    <x v="193"/>
    <s v="Taibi"/>
    <s v="Yassine"/>
    <x v="5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2199%20Deinze%2040266%20Taibi%20Yassine%2005022025.pdf?csf=1&amp;web=1&amp;e=Ho3WJM"/>
    <n v="1"/>
    <m/>
    <x v="4"/>
    <x v="10"/>
    <n v="2199"/>
    <s v="ja"/>
  </r>
  <r>
    <n v="40859"/>
    <x v="218"/>
    <s v="Yagoub"/>
    <s v="Abdelali"/>
    <x v="3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325%20Wittewalle%20Oostakker%2005022025.pdf?csf=1&amp;web=1&amp;e=ycr1B0"/>
    <n v="1"/>
    <m/>
    <x v="4"/>
    <x v="166"/>
    <n v="5325"/>
    <s v="ja"/>
  </r>
  <r>
    <n v="41092"/>
    <x v="237"/>
    <s v="De Keyser"/>
    <s v="Dori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935%20Steenakker%2005022025%20Dorien%20De%20Keyser.pdf?csf=1&amp;web=1&amp;e=ZxVG7Z"/>
    <n v="1"/>
    <m/>
    <x v="3"/>
    <x v="167"/>
    <n v="5935"/>
    <s v="ja"/>
  </r>
  <r>
    <n v="41162"/>
    <x v="265"/>
    <s v="Hoeckman"/>
    <s v="Jero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3"/>
    <x v="168"/>
    <n v="5769"/>
    <s v="ja"/>
  </r>
  <r>
    <n v="17951"/>
    <x v="271"/>
    <s v="Lega"/>
    <s v="Claude"/>
    <x v="4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6317%20Gent%2006022025%2017951%20Claude%20Lega.pdf?csf=1&amp;web=1&amp;e=aqrFXe"/>
    <m/>
    <n v="1"/>
    <x v="2"/>
    <x v="111"/>
    <n v="6317"/>
    <s v="ja"/>
  </r>
  <r>
    <n v="40856"/>
    <x v="272"/>
    <s v="Neissi"/>
    <s v="Sadegh"/>
    <x v="1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2208%20Gent%2006022025%2040856%20Neissi%20Sadegh.pdf?csf=1&amp;web=1&amp;e=n8OqOd"/>
    <n v="1"/>
    <m/>
    <x v="4"/>
    <x v="169"/>
    <n v="2208"/>
    <s v="ja"/>
  </r>
  <r>
    <n v="4419"/>
    <x v="256"/>
    <s v="Maelbrancke"/>
    <s v="Eddy"/>
    <x v="6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2195%20Gent%2007022025%204419%20Maelbrancke%20Eddy.pdf?csf=1&amp;web=1&amp;e=EUeWWV"/>
    <n v="1"/>
    <m/>
    <x v="4"/>
    <x v="2"/>
    <n v="2195"/>
    <s v="ja"/>
  </r>
  <r>
    <n v="40055"/>
    <x v="273"/>
    <s v="Afara"/>
    <s v="Ammar"/>
    <x v="3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5261%20Sint-Pietersstation%20Gent%2007022025.pdf?csf=1&amp;web=1&amp;e=yXc4ol"/>
    <n v="1"/>
    <m/>
    <x v="4"/>
    <x v="8"/>
    <n v="5261"/>
    <s v="ja"/>
  </r>
  <r>
    <n v="28737"/>
    <x v="274"/>
    <s v="El-Mohamed"/>
    <s v="Mohamed"/>
    <x v="6"/>
    <x v="0"/>
    <m/>
    <n v="1"/>
    <m/>
    <m/>
    <m/>
    <m/>
    <m/>
    <m/>
    <m/>
    <m/>
    <m/>
    <m/>
    <n v="1"/>
    <x v="295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5"/>
    <x v="170"/>
    <n v="6369"/>
    <s v="ja"/>
  </r>
  <r>
    <n v="25679"/>
    <x v="275"/>
    <s v="Vanrenterghem"/>
    <s v="Serge"/>
    <x v="5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3"/>
    <x v="2"/>
    <n v="4676"/>
    <s v="ja"/>
  </r>
  <r>
    <n v="40223"/>
    <x v="87"/>
    <s v="Teetaert"/>
    <s v="Billy"/>
    <x v="7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4"/>
    <x v="171"/>
    <n v="5052"/>
    <s v="ja"/>
  </r>
  <r>
    <n v="39267"/>
    <x v="276"/>
    <s v="Van Holsbeeck"/>
    <s v="Jens"/>
    <x v="5"/>
    <x v="0"/>
    <m/>
    <n v="1"/>
    <m/>
    <m/>
    <m/>
    <m/>
    <m/>
    <m/>
    <m/>
    <m/>
    <m/>
    <m/>
    <n v="1"/>
    <x v="297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2"/>
    <x v="49"/>
    <n v="6317"/>
    <s v="ja"/>
  </r>
  <r>
    <n v="6229"/>
    <x v="277"/>
    <s v="De Meyer"/>
    <s v="Antoon"/>
    <x v="3"/>
    <x v="0"/>
    <m/>
    <n v="1"/>
    <m/>
    <m/>
    <m/>
    <m/>
    <m/>
    <m/>
    <m/>
    <m/>
    <m/>
    <m/>
    <n v="1"/>
    <x v="29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4"/>
    <x v="172"/>
    <n v="5240"/>
    <s v="ja"/>
  </r>
  <r>
    <n v="11236"/>
    <x v="61"/>
    <s v="Baert"/>
    <s v="Freddy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241%20Gentbruggebrug%2014.02.2025.pdf?csf=1&amp;web=1&amp;e=fgQjVx"/>
    <n v="1"/>
    <m/>
    <x v="4"/>
    <x v="6"/>
    <n v="5241"/>
    <s v="ja"/>
  </r>
  <r>
    <n v="37496"/>
    <x v="194"/>
    <s v="Oosterlinck"/>
    <s v="Willy"/>
    <x v="7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2"/>
    <x v="173"/>
    <n v="6322"/>
    <s v="ja"/>
  </r>
  <r>
    <n v="37662"/>
    <x v="183"/>
    <s v="Van den Meerssche"/>
    <s v="Steven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052%20Seghersplein%20Gent%2014022025.pdf?csf=1&amp;web=1&amp;e=IgURl3"/>
    <n v="1"/>
    <m/>
    <x v="4"/>
    <x v="174"/>
    <n v="5052"/>
    <s v="ja"/>
  </r>
  <r>
    <n v="41383"/>
    <x v="278"/>
    <s v="De Pauw"/>
    <s v="Tony"/>
    <x v="3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3"/>
    <x v="175"/>
    <n v="5909"/>
    <s v="ja"/>
  </r>
  <r>
    <n v="26199"/>
    <x v="279"/>
    <s v="Wauters"/>
    <s v="Franky"/>
    <x v="3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5"/>
    <x v="176"/>
    <n v="6364"/>
    <s v="ja"/>
  </r>
  <r>
    <n v="37543"/>
    <x v="25"/>
    <s v="Öztürk"/>
    <s v="Bilgehan"/>
    <x v="1"/>
    <x v="0"/>
    <m/>
    <n v="1"/>
    <m/>
    <m/>
    <m/>
    <m/>
    <m/>
    <m/>
    <m/>
    <m/>
    <m/>
    <m/>
    <n v="1"/>
    <x v="300"/>
    <s v="EAF 2208 Gent 15022025 37543 öztürk Bilehan.pdf"/>
    <n v="1"/>
    <m/>
    <x v="4"/>
    <x v="47"/>
    <n v="2208"/>
    <s v="Neen"/>
  </r>
  <r>
    <n v="41091"/>
    <x v="280"/>
    <s v="Yavas"/>
    <s v="Talha"/>
    <x v="7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5928%20Ham%2015022025%20Yavas%20Talha%2015022025.pdf?csf=1&amp;web=1&amp;e=lvakYp"/>
    <n v="1"/>
    <m/>
    <x v="3"/>
    <x v="177"/>
    <n v="5928"/>
    <s v="ja"/>
  </r>
  <r>
    <n v="35490"/>
    <x v="281"/>
    <s v="Nguetto"/>
    <s v="Brisco Romeo"/>
    <x v="9"/>
    <x v="0"/>
    <m/>
    <n v="1"/>
    <m/>
    <m/>
    <m/>
    <m/>
    <m/>
    <m/>
    <m/>
    <m/>
    <m/>
    <m/>
    <n v="1"/>
    <x v="301"/>
    <s v="EAF 18022025 5912 Gent Brisco Romeo Nguetto 35490.pdf"/>
    <n v="1"/>
    <m/>
    <x v="3"/>
    <x v="67"/>
    <n v="5912"/>
    <s v="Neen"/>
  </r>
  <r>
    <n v="37509"/>
    <x v="199"/>
    <s v="Abdulkader"/>
    <s v="Sabah"/>
    <x v="4"/>
    <x v="0"/>
    <m/>
    <n v="1"/>
    <m/>
    <m/>
    <m/>
    <m/>
    <m/>
    <m/>
    <m/>
    <m/>
    <m/>
    <m/>
    <n v="1"/>
    <x v="301"/>
    <s v="EAF 2200 Steinstraat Nazareth 18.02.2025.pdf"/>
    <n v="1"/>
    <m/>
    <x v="4"/>
    <x v="178"/>
    <n v="2200"/>
    <s v="Neen"/>
  </r>
  <r>
    <n v="41012"/>
    <x v="282"/>
    <s v="Natad"/>
    <s v="Youne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3%20Steendam%20Gent%2018022025.pdf?csf=1&amp;web=1&amp;e=qO2CaC"/>
    <n v="1"/>
    <m/>
    <x v="3"/>
    <x v="23"/>
    <n v="5923"/>
    <s v="ja"/>
  </r>
  <r>
    <n v="41032"/>
    <x v="261"/>
    <s v="Rocabado Hinojosa"/>
    <s v="Luka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5%20Meulesteedsesteenweg%20Gent%2018022025.pdf?csf=1&amp;web=1&amp;e=OBGcZA"/>
    <n v="1"/>
    <m/>
    <x v="3"/>
    <x v="67"/>
    <n v="5925"/>
    <s v="ja"/>
  </r>
  <r>
    <n v="41162"/>
    <x v="265"/>
    <s v="Hoeckman"/>
    <s v="Jeroen"/>
    <x v="7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7%20Doornzelestraat%2018022025%20Jeroen%20Hoeckman.pdf?csf=1&amp;web=1&amp;e=XUOPuR"/>
    <n v="1"/>
    <m/>
    <x v="3"/>
    <x v="179"/>
    <n v="5927"/>
    <s v="ja"/>
  </r>
  <r>
    <n v="39660"/>
    <x v="76"/>
    <s v="Lloyd"/>
    <s v="Glenn"/>
    <x v="4"/>
    <x v="0"/>
    <m/>
    <n v="1"/>
    <m/>
    <m/>
    <m/>
    <m/>
    <m/>
    <m/>
    <m/>
    <m/>
    <m/>
    <m/>
    <n v="1"/>
    <x v="302"/>
    <s v="https://delijn.sharepoint.com/:b:/r/teams/CTM-OTGentStad/Shared%20Documents/General/EAF/CSI(nieuwe%20sharepoint)%202025/2.%20Februari/EAF%202195%20Gentsesteenweg%20Deinze%2019.02.2025.pdf?csf=1&amp;web=1&amp;e=YKjxRO"/>
    <n v="1"/>
    <m/>
    <x v="4"/>
    <x v="10"/>
    <n v="2195"/>
    <s v="ja"/>
  </r>
  <r>
    <n v="36569"/>
    <x v="43"/>
    <e v="#N/A"/>
    <e v="#N/A"/>
    <x v="0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6333%20Brusselsesteenweg%20Gentbrugge%2020022025.pdf?csf=1&amp;web=1&amp;e=Dzx6pC"/>
    <m/>
    <n v="1"/>
    <x v="2"/>
    <x v="56"/>
    <n v="6333"/>
    <s v="ja"/>
  </r>
  <r>
    <n v="41246"/>
    <x v="283"/>
    <s v="Van Holsbeeck"/>
    <s v="Yana"/>
    <x v="7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3"/>
    <x v="180"/>
    <n v="5916"/>
    <s v="ja"/>
  </r>
  <r>
    <n v="39712"/>
    <x v="72"/>
    <s v="Repaj"/>
    <s v="Ramazan"/>
    <x v="4"/>
    <x v="0"/>
    <m/>
    <n v="1"/>
    <m/>
    <m/>
    <m/>
    <m/>
    <m/>
    <m/>
    <m/>
    <m/>
    <m/>
    <m/>
    <n v="1"/>
    <x v="304"/>
    <m/>
    <n v="1"/>
    <m/>
    <x v="4"/>
    <x v="154"/>
    <n v="0"/>
    <s v="ja"/>
  </r>
  <r>
    <n v="39972"/>
    <x v="284"/>
    <s v="Repaj"/>
    <s v="Ramazav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229%20Rooigemlaan%20Gent%2021022025.pdf?csf=1&amp;web=1&amp;e=9rahT3"/>
    <n v="1"/>
    <m/>
    <x v="4"/>
    <x v="42"/>
    <n v="5229"/>
    <s v="ja"/>
  </r>
  <r>
    <n v="40744"/>
    <x v="187"/>
    <s v="Gözüküçük"/>
    <s v="Ugur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929%20Koer%20stelplaats%20Gentbrugge%2021.02.2025.pdf?csf=1&amp;web=1&amp;e=WcuRMe"/>
    <n v="1"/>
    <m/>
    <x v="3"/>
    <x v="32"/>
    <n v="5929"/>
    <s v="ja"/>
  </r>
  <r>
    <n v="37509"/>
    <x v="199"/>
    <s v="Abdulkader"/>
    <s v="Sabah"/>
    <x v="4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043%20Steendam%20Gent%2022.02.2025%20om%2017u24.pdf?csf=1&amp;web=1&amp;e=5fwQvm"/>
    <n v="1"/>
    <m/>
    <x v="4"/>
    <x v="23"/>
    <n v="5043"/>
    <s v="ja"/>
  </r>
  <r>
    <n v="39818"/>
    <x v="43"/>
    <e v="#N/A"/>
    <e v="#N/A"/>
    <x v="0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929%20Keizer%20Karelstraat%20Gent%2022022025.pdf?csf=1&amp;web=1&amp;e=XmjMb6"/>
    <n v="1"/>
    <m/>
    <x v="3"/>
    <x v="88"/>
    <n v="5929"/>
    <s v="ja"/>
  </r>
  <r>
    <n v="39831"/>
    <x v="285"/>
    <s v="Dolgiev"/>
    <s v="Mukhamed"/>
    <x v="2"/>
    <x v="0"/>
    <m/>
    <n v="1"/>
    <m/>
    <m/>
    <m/>
    <m/>
    <m/>
    <m/>
    <m/>
    <m/>
    <m/>
    <m/>
    <n v="1"/>
    <x v="305"/>
    <s v="EAF 5043 Brugsesteenweg Gent 22.02.2025 om 17u59.pdf"/>
    <n v="1"/>
    <m/>
    <x v="4"/>
    <x v="35"/>
    <n v="5043"/>
    <s v="Neen"/>
  </r>
  <r>
    <n v="9824"/>
    <x v="286"/>
    <s v="De Meulenaere"/>
    <s v="Eric"/>
    <x v="9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6364%20Gent%2023022025%20De%20Meulenaere%20Eric%209824.pdf?csf=1&amp;web=1&amp;e=AkxaRL"/>
    <m/>
    <n v="1"/>
    <x v="2"/>
    <x v="56"/>
    <n v="6364"/>
    <s v="ja"/>
  </r>
  <r>
    <n v="32387"/>
    <x v="175"/>
    <s v="Meersman"/>
    <s v="Herman"/>
    <x v="9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23022025%205771%20Gent%20Herman%20Meersman%2032387.pdf?csf=1&amp;web=1&amp;e=UDMuQg"/>
    <n v="1"/>
    <m/>
    <x v="3"/>
    <x v="9"/>
    <n v="5771"/>
    <s v="ja"/>
  </r>
  <r>
    <n v="40223"/>
    <x v="87"/>
    <s v="Teetaert"/>
    <s v="Billy"/>
    <x v="7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9%20Rooigemlaan%2023022025%20Billy%20Teetaert.pdf?csf=1&amp;web=1&amp;e=4DNmAQ"/>
    <n v="1"/>
    <m/>
    <x v="4"/>
    <x v="42"/>
    <n v="5049"/>
    <s v="ja"/>
  </r>
  <r>
    <n v="30121"/>
    <x v="28"/>
    <s v="Simons"/>
    <s v="Andreas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206%20Gent%2024022025%2030121%20Simons%20Andreas.pdf?csf=1&amp;web=1&amp;e=GFU2jw"/>
    <n v="1"/>
    <m/>
    <x v="4"/>
    <x v="25"/>
    <n v="2206"/>
    <s v="ja"/>
  </r>
  <r>
    <n v="35397"/>
    <x v="287"/>
    <s v="Minbari"/>
    <s v="Ako"/>
    <x v="6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914%20Gent%20Stapelplein%2025.02.2025%20Minbari%20Ako.pdf?csf=1&amp;web=1&amp;e=jWNQjt"/>
    <n v="1"/>
    <m/>
    <x v="4"/>
    <x v="181"/>
    <n v="5914"/>
    <s v="ja"/>
  </r>
  <r>
    <n v="28737"/>
    <x v="274"/>
    <s v="El-Mohamed"/>
    <s v="Mohamed"/>
    <x v="6"/>
    <x v="0"/>
    <m/>
    <n v="1"/>
    <m/>
    <m/>
    <m/>
    <m/>
    <m/>
    <m/>
    <m/>
    <m/>
    <m/>
    <m/>
    <n v="1"/>
    <x v="309"/>
    <s v="EAF 6320 Gent Zonnestraat 27022025 El-Mohamed Mohamed.pdf"/>
    <m/>
    <n v="1"/>
    <x v="2"/>
    <x v="93"/>
    <n v="6320"/>
    <s v="Neen"/>
  </r>
  <r>
    <n v="39779"/>
    <x v="47"/>
    <s v="Avci"/>
    <s v="Muhammet Abdullah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923%20Wondelgem%2027022025%2039779.pdf?csf=1&amp;web=1&amp;e=bosJkF"/>
    <n v="1"/>
    <m/>
    <x v="3"/>
    <x v="16"/>
    <n v="5923"/>
    <s v="ja"/>
  </r>
  <r>
    <n v="39829"/>
    <x v="111"/>
    <s v="Demirkaya"/>
    <s v="Serkan"/>
    <x v="6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4"/>
    <x v="56"/>
    <n v="5046"/>
    <s v="ja"/>
  </r>
  <r>
    <n v="40744"/>
    <x v="187"/>
    <s v="Gözüküçük"/>
    <s v="Ugur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2546%20Meeuwstraat%20Gent%2027.02.2025.pdf?csf=1&amp;web=1&amp;e=CQdWKK"/>
    <n v="1"/>
    <m/>
    <x v="3"/>
    <x v="101"/>
    <n v="2546"/>
    <s v="ja"/>
  </r>
  <r>
    <n v="41092"/>
    <x v="237"/>
    <s v="De Keyser"/>
    <s v="Dorien"/>
    <x v="7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548%20Dampoort%20Gent%2028022025.pdf?csf=1&amp;web=1&amp;e=wRbrek"/>
    <n v="1"/>
    <m/>
    <x v="3"/>
    <x v="26"/>
    <n v="2548"/>
    <s v="ja"/>
  </r>
  <r>
    <n v="40138"/>
    <x v="235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3"/>
    <x v="53"/>
    <n v="5047"/>
    <s v="ja"/>
  </r>
  <r>
    <n v="38807"/>
    <x v="107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3"/>
    <x v="165"/>
    <n v="5929"/>
    <s v="ja"/>
  </r>
  <r>
    <n v="26137"/>
    <x v="180"/>
    <s v="Hublau"/>
    <s v="Roland"/>
    <x v="9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6375%20Ferrelaan%20Gent%2003032025%20Hublau%20Roland%2026137.pdf?csf=1&amp;web=1&amp;e=aUJyEe"/>
    <m/>
    <n v="1"/>
    <x v="5"/>
    <x v="2"/>
    <n v="6375"/>
    <s v="ja"/>
  </r>
  <r>
    <n v="19520"/>
    <x v="288"/>
    <s v="Van Steenbergen"/>
    <s v="Kris"/>
    <x v="2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2196%20Voskenslaan%20Gent%2004032025.pdf?csf=1&amp;web=1&amp;e=OzOqAI"/>
    <n v="1"/>
    <m/>
    <x v="4"/>
    <x v="29"/>
    <n v="2196"/>
    <s v="ja"/>
  </r>
  <r>
    <n v="34019"/>
    <x v="289"/>
    <s v="Hoste"/>
    <s v="Tom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911%20Gent%20Tom%20Hoste.pdf?csf=1&amp;web=1&amp;e=DV4jWx"/>
    <n v="1"/>
    <m/>
    <x v="3"/>
    <x v="125"/>
    <n v="5911"/>
    <s v="ja"/>
  </r>
  <r>
    <n v="40591"/>
    <x v="290"/>
    <s v="Hiloui"/>
    <s v="Mahmoud"/>
    <x v="7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042%20Gent%2040591%20Mahmoud%20Hiloui.pdf?csf=1&amp;web=1&amp;e=DLOqH0"/>
    <n v="1"/>
    <m/>
    <x v="4"/>
    <x v="59"/>
    <n v="5042"/>
    <s v="ja"/>
  </r>
  <r>
    <n v="16897"/>
    <x v="247"/>
    <s v="VandenDaele"/>
    <s v="Andy"/>
    <x v="9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4%20Gent%2016897%20Andy%20Vandendaele.pdf?csf=1&amp;web=1&amp;e=qHBq9h"/>
    <m/>
    <n v="1"/>
    <x v="2"/>
    <x v="1"/>
    <n v="6314"/>
    <s v="ja"/>
  </r>
  <r>
    <n v="26960"/>
    <x v="90"/>
    <s v="Toubadie"/>
    <s v="Mossa"/>
    <x v="3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16%20Gent%2026960%20Toubadie%20Mossa.pdf?csf=1&amp;web=1&amp;e=4TEWyz"/>
    <n v="1"/>
    <m/>
    <x v="3"/>
    <x v="159"/>
    <n v="5916"/>
    <s v="ja"/>
  </r>
  <r>
    <n v="29674"/>
    <x v="291"/>
    <s v="Martens"/>
    <s v="Geoffrey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3%20Gent%2029674%20Geoffrey%20Martens.pdf?csf=1&amp;web=1&amp;e=1wHBsm"/>
    <m/>
    <n v="1"/>
    <x v="2"/>
    <x v="56"/>
    <n v="6313"/>
    <s v="ja"/>
  </r>
  <r>
    <n v="32091"/>
    <x v="292"/>
    <s v="Köroglu"/>
    <s v="Ercan"/>
    <x v="1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5911%20Gent%2006032025%2032091%20Ercan%20Koroglu.pdf?csf=1&amp;web=1&amp;e=zVfHFi"/>
    <n v="1"/>
    <m/>
    <x v="3"/>
    <x v="2"/>
    <n v="5911"/>
    <s v="ja"/>
  </r>
  <r>
    <n v="41092"/>
    <x v="237"/>
    <s v="De Keyser"/>
    <s v="Dorien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09%20Gent%2041092%20Dorien%20De%20Keyser.pdf?csf=1&amp;web=1&amp;e=ogf0tC"/>
    <n v="1"/>
    <m/>
    <x v="3"/>
    <x v="182"/>
    <n v="5909"/>
    <s v="ja"/>
  </r>
  <r>
    <n v="25487"/>
    <x v="134"/>
    <s v="Devos"/>
    <s v="Stefaan"/>
    <x v="9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6303%20Gent%2009032025%2025487stefaan%20Devos.pdf?csf=1&amp;web=1&amp;e=jZwHkT"/>
    <m/>
    <n v="1"/>
    <x v="2"/>
    <x v="183"/>
    <n v="6303"/>
    <s v="ja"/>
  </r>
  <r>
    <n v="28910"/>
    <x v="293"/>
    <s v="Gassa"/>
    <s v="Osmane"/>
    <x v="4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040%20Gent%2028910%20Gassa%20Osmane.pdf?csf=1&amp;web=1&amp;e=L9zGMT"/>
    <n v="1"/>
    <m/>
    <x v="4"/>
    <x v="118"/>
    <n v="5040"/>
    <s v="ja"/>
  </r>
  <r>
    <n v="40939"/>
    <x v="294"/>
    <s v="Cisse"/>
    <s v="Sayon"/>
    <x v="1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932%20Gent%2040939%20Cisse%20Sayon.pdf?csf=1&amp;web=1&amp;e=Uoqenx"/>
    <n v="1"/>
    <m/>
    <x v="3"/>
    <x v="0"/>
    <n v="5932"/>
    <s v="ja"/>
  </r>
  <r>
    <n v="35645"/>
    <x v="228"/>
    <s v="Jalili"/>
    <s v="Yaseeb"/>
    <x v="9"/>
    <x v="0"/>
    <m/>
    <m/>
    <n v="1"/>
    <m/>
    <m/>
    <m/>
    <m/>
    <m/>
    <m/>
    <m/>
    <m/>
    <m/>
    <n v="1"/>
    <x v="318"/>
    <s v="https://delijn.sharepoint.com/:b:/r/teams/CTM-OTGentStad/Shared%20Documents/General/EAF/CSI(nieuwe%20sharepoint)%202025/3.%20Maart/EAF%2010032025%205938%20Gent%2035845%20Yaseeb%20Jalili.pdf?csf=1&amp;web=1&amp;e=ybXXjV"/>
    <n v="1"/>
    <m/>
    <x v="3"/>
    <x v="82"/>
    <n v="5938"/>
    <s v="ja"/>
  </r>
  <r>
    <n v="40138"/>
    <x v="235"/>
    <s v="Moerman"/>
    <s v="Tjimmy"/>
    <x v="5"/>
    <x v="0"/>
    <m/>
    <m/>
    <n v="1"/>
    <m/>
    <m/>
    <m/>
    <m/>
    <m/>
    <m/>
    <m/>
    <m/>
    <m/>
    <n v="1"/>
    <x v="319"/>
    <s v="https://delijn.sharepoint.com/:b:/r/teams/CTM-OTGentStad/Shared%20Documents/General/EAF/CSI(nieuwe%20sharepoint)%202025/3.%20Maart/EAF%205325%20Gent%2011032025%2040138%20Tjimmy%20Moerman.pdf?csf=1&amp;web=1&amp;e=dGpyn2"/>
    <n v="1"/>
    <m/>
    <x v="4"/>
    <x v="29"/>
    <n v="5325"/>
    <s v="ja"/>
  </r>
  <r>
    <n v="39532"/>
    <x v="165"/>
    <s v="Sahin"/>
    <s v="Orhan"/>
    <x v="5"/>
    <x v="0"/>
    <m/>
    <m/>
    <n v="1"/>
    <m/>
    <m/>
    <m/>
    <m/>
    <m/>
    <m/>
    <m/>
    <m/>
    <m/>
    <n v="1"/>
    <x v="320"/>
    <s v="https://delijn.sharepoint.com/:b:/r/teams/CTM-OTGentStad/Shared%20Documents/General/EAF/CSI(nieuwe%20sharepoint)%202025/3.%20Maart/EAF%205237%20Gent%2012032025%2039532%20Orhan%20Sahin.pdf?csf=1&amp;web=1&amp;e=sOhFBm"/>
    <n v="1"/>
    <m/>
    <x v="4"/>
    <x v="109"/>
    <n v="5237"/>
    <s v="ja"/>
  </r>
  <r>
    <n v="35379"/>
    <x v="241"/>
    <s v="Engels"/>
    <s v="Sam"/>
    <x v="3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240%20Gent%2013032025%2035379%20Sam%20Engels.pdf?csf=1&amp;web=1&amp;e=pGWrsC"/>
    <n v="1"/>
    <m/>
    <x v="4"/>
    <x v="184"/>
    <n v="5240"/>
    <s v="ja"/>
  </r>
  <r>
    <n v="37662"/>
    <x v="183"/>
    <s v="Van den Meerssche"/>
    <s v="Steven"/>
    <x v="4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3"/>
    <x v="185"/>
    <n v="5915"/>
    <s v="ja"/>
  </r>
  <r>
    <n v="35495"/>
    <x v="295"/>
    <s v="Razzaz"/>
    <s v="Mahmoud"/>
    <x v="1"/>
    <x v="0"/>
    <m/>
    <m/>
    <n v="1"/>
    <m/>
    <m/>
    <m/>
    <m/>
    <m/>
    <m/>
    <m/>
    <m/>
    <m/>
    <n v="1"/>
    <x v="322"/>
    <s v="https://delijn.sharepoint.com/:b:/r/teams/CTM-OTGentStad/Shared%20Documents/General/EAF/CSI(nieuwe%20sharepoint)%202025/3.%20Maart/EAF%206326%20gent%2015032025%2035495%20Mahmoud.pdf?csf=1&amp;web=1&amp;e=hjDdro"/>
    <m/>
    <n v="1"/>
    <x v="2"/>
    <x v="150"/>
    <n v="6326"/>
    <s v="Neen"/>
  </r>
  <r>
    <n v="41246"/>
    <x v="283"/>
    <s v="Van Holsbeeck"/>
    <s v="Yana"/>
    <x v="7"/>
    <x v="0"/>
    <m/>
    <m/>
    <n v="1"/>
    <m/>
    <m/>
    <m/>
    <m/>
    <m/>
    <m/>
    <m/>
    <m/>
    <m/>
    <n v="1"/>
    <x v="323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3"/>
    <x v="111"/>
    <n v="5928"/>
    <s v="ja"/>
  </r>
  <r>
    <n v="36635"/>
    <x v="48"/>
    <s v="Fadel"/>
    <s v="Husam"/>
    <x v="1"/>
    <x v="0"/>
    <m/>
    <m/>
    <n v="1"/>
    <m/>
    <m/>
    <m/>
    <m/>
    <m/>
    <m/>
    <m/>
    <m/>
    <m/>
    <n v="1"/>
    <x v="324"/>
    <s v="https://delijn.sharepoint.com/:b:/r/teams/CTM-OTGentStad/Shared%20Documents/General/EAF/CSI(nieuwe%20sharepoint)%202025/3.%20Maart/EAF%206331%20Gent%2017032025%2036635%20FAdel%20Husan.pdf?csf=1&amp;web=1&amp;e=dZDy2q"/>
    <m/>
    <n v="1"/>
    <x v="2"/>
    <x v="39"/>
    <n v="6331"/>
    <s v="ja"/>
  </r>
  <r>
    <n v="35246"/>
    <x v="136"/>
    <s v="De Meyer"/>
    <s v="Karel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3"/>
    <x v="165"/>
    <n v="5922"/>
    <s v="ja"/>
  </r>
  <r>
    <n v="41012"/>
    <x v="282"/>
    <s v="Natad"/>
    <s v="Younes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045%20Rooigemlaan%20Gent%2018032025.pdf?csf=1&amp;web=1&amp;e=9mZVNF"/>
    <n v="1"/>
    <m/>
    <x v="4"/>
    <x v="42"/>
    <n v="5045"/>
    <s v="ja"/>
  </r>
  <r>
    <n v="41064"/>
    <x v="296"/>
    <s v="Ardic"/>
    <s v="Atilla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2549%20-%20gent%20-%2018032025%20Ardic%20Attila.pdf?csf=1&amp;web=1&amp;e=pKy5CP"/>
    <n v="1"/>
    <m/>
    <x v="3"/>
    <x v="2"/>
    <n v="2549"/>
    <s v="ja"/>
  </r>
  <r>
    <n v="41092"/>
    <x v="237"/>
    <s v="De Keyser"/>
    <s v="Dorien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770%20Gent%2019032025%20410092%20Dorien%20De%20Keyser.pdf?csf=1&amp;web=1&amp;e=FRC2cn"/>
    <n v="1"/>
    <m/>
    <x v="3"/>
    <x v="156"/>
    <n v="5770"/>
    <s v="ja"/>
  </r>
  <r>
    <n v="11120"/>
    <x v="297"/>
    <s v="De Vrieze"/>
    <s v="Ludo"/>
    <x v="6"/>
    <x v="0"/>
    <m/>
    <m/>
    <m/>
    <m/>
    <m/>
    <m/>
    <m/>
    <m/>
    <m/>
    <m/>
    <m/>
    <m/>
    <n v="0"/>
    <x v="326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2"/>
    <x v="186"/>
    <n v="6322"/>
    <s v="Neen"/>
  </r>
  <r>
    <n v="35216"/>
    <x v="298"/>
    <s v="Coban"/>
    <s v="Mehmet"/>
    <x v="6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924%20gent%2019032025%2035216%20Coban%20Mehmet.pdf?csf=1&amp;web=1&amp;e=4fakfe"/>
    <n v="1"/>
    <m/>
    <x v="3"/>
    <x v="187"/>
    <n v="5924"/>
    <s v="ja"/>
  </r>
  <r>
    <n v="35450"/>
    <x v="113"/>
    <s v="Roos"/>
    <s v="Hugo"/>
    <x v="2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4665%20gent%2019032025%2035450%20Hugo%20Roos.pdf?csf=1&amp;web=1&amp;e=eihgTD"/>
    <n v="1"/>
    <m/>
    <x v="3"/>
    <x v="188"/>
    <n v="4665"/>
    <s v="ja"/>
  </r>
  <r>
    <n v="39779"/>
    <x v="47"/>
    <s v="Avci"/>
    <s v="Muhammet Abdullah"/>
    <x v="4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4"/>
    <x v="1"/>
    <n v="5054"/>
    <s v="Neen"/>
  </r>
  <r>
    <n v="41520"/>
    <x v="299"/>
    <s v="Smets"/>
    <s v="Avery"/>
    <x v="5"/>
    <x v="0"/>
    <m/>
    <m/>
    <n v="1"/>
    <m/>
    <m/>
    <m/>
    <m/>
    <m/>
    <m/>
    <m/>
    <m/>
    <m/>
    <n v="1"/>
    <x v="327"/>
    <s v="https://delijn.sharepoint.com/:b:/r/teams/CTM-OTGentStad/Shared%20Documents/General/EAF/CSI(nieuwe%20sharepoint)%202025/3.%20Maart/EAF%208138%20gent%2020032025%2041520%20Avery%20smets.pdf?csf=1&amp;web=1&amp;e=SuXtCv"/>
    <n v="1"/>
    <m/>
    <x v="3"/>
    <x v="189"/>
    <n v="8138"/>
    <s v="ja"/>
  </r>
  <r>
    <n v="31600"/>
    <x v="99"/>
    <s v="Mertens"/>
    <s v="Tom"/>
    <x v="2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2197%20Gent%2025032025%2031600%20Tom%20Mertens.pdf?csf=1&amp;web=1&amp;e=r4wap5"/>
    <n v="1"/>
    <m/>
    <x v="4"/>
    <x v="113"/>
    <n v="2197"/>
    <s v="Neen"/>
  </r>
  <r>
    <n v="32611"/>
    <x v="300"/>
    <s v="Özer"/>
    <s v="Özgur"/>
    <x v="1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5922%20Gent%2021032025%2032611%20Ozer%20Ozgur.pdf?csf=1&amp;web=1&amp;e=JHQF0W"/>
    <n v="1"/>
    <m/>
    <x v="3"/>
    <x v="175"/>
    <n v="5922"/>
    <s v="ja"/>
  </r>
  <r>
    <n v="37809"/>
    <x v="216"/>
    <s v="Sturtewagen"/>
    <s v="Kenny"/>
    <x v="9"/>
    <x v="0"/>
    <m/>
    <m/>
    <n v="1"/>
    <m/>
    <m/>
    <m/>
    <m/>
    <m/>
    <m/>
    <m/>
    <m/>
    <m/>
    <n v="1"/>
    <x v="329"/>
    <s v="https://delijn.sharepoint.com/:b:/r/teams/CTM-OTGentStad/Shared%20Documents/General/EAF/CSI(nieuwe%20sharepoint)%202025/3.%20Maart/EAF%205235%20Gent%2024032025%2037809%20Kenny%20Sturtewagen.pdf?csf=1&amp;web=1&amp;e=zHLmQm"/>
    <n v="1"/>
    <m/>
    <x v="4"/>
    <x v="59"/>
    <n v="5235"/>
    <s v="ja"/>
  </r>
  <r>
    <n v="37179"/>
    <x v="169"/>
    <s v="Bashir"/>
    <s v="Muhammad Salman"/>
    <x v="4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266%20Wondelgem%2026032025%2037179.pdf?csf=1&amp;web=1&amp;e=evHmMw"/>
    <n v="1"/>
    <m/>
    <x v="4"/>
    <x v="24"/>
    <n v="5266"/>
    <s v="ja"/>
  </r>
  <r>
    <n v="38580"/>
    <x v="301"/>
    <s v="Smajla"/>
    <s v="Samet"/>
    <x v="2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4"/>
    <x v="47"/>
    <n v="5043"/>
    <s v="ja"/>
  </r>
  <r>
    <n v="31118"/>
    <x v="302"/>
    <s v="De Sutter"/>
    <s v="Michiel"/>
    <x v="2"/>
    <x v="0"/>
    <m/>
    <m/>
    <n v="1"/>
    <m/>
    <m/>
    <m/>
    <m/>
    <m/>
    <m/>
    <m/>
    <m/>
    <m/>
    <n v="1"/>
    <x v="331"/>
    <s v="https://delijn.sharepoint.com/:b:/r/teams/CTM-OTGentStad/Shared%20Documents/General/EAF/CSI(nieuwe%20sharepoint)%202025/3.%20Maart/EAF%205922%20Gent%2021032025%2031118%20Michiel%20de%20sutter.pdf?csf=1&amp;web=1&amp;e=m3qUKq"/>
    <n v="1"/>
    <m/>
    <x v="3"/>
    <x v="23"/>
    <n v="5922"/>
    <s v="ja"/>
  </r>
  <r>
    <n v="36358"/>
    <x v="255"/>
    <s v="De Nys"/>
    <s v="Elise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70%20Gent%2028032025%2036358%20Elise%20Denys.pdf?csf=1&amp;web=1&amp;e=AlHjoP"/>
    <m/>
    <n v="1"/>
    <x v="5"/>
    <x v="159"/>
    <n v="6370"/>
    <s v="ja"/>
  </r>
  <r>
    <n v="36569"/>
    <x v="43"/>
    <e v="#N/A"/>
    <e v="#N/A"/>
    <x v="0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25%20Gent%2028032025%2036569%20Jonas%20Stroobandt.pdf?csf=1&amp;web=1&amp;e=xEvO0k"/>
    <m/>
    <n v="1"/>
    <x v="2"/>
    <x v="190"/>
    <n v="6325"/>
    <s v="ja"/>
  </r>
  <r>
    <n v="39581"/>
    <x v="2"/>
    <s v="Vandenhaute"/>
    <s v="Linus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5261%20Morekstraat%20Gent%2028032025.pdf?csf=1&amp;web=1&amp;e=3wGupf"/>
    <n v="1"/>
    <m/>
    <x v="4"/>
    <x v="24"/>
    <n v="5261"/>
    <s v="ja"/>
  </r>
  <r>
    <n v="31668"/>
    <x v="20"/>
    <s v="Weemhof"/>
    <s v="Maurice"/>
    <x v="7"/>
    <x v="0"/>
    <m/>
    <m/>
    <n v="1"/>
    <m/>
    <m/>
    <m/>
    <m/>
    <m/>
    <m/>
    <m/>
    <m/>
    <m/>
    <n v="1"/>
    <x v="333"/>
    <s v="https://delijn.sharepoint.com/:b:/r/teams/CTM-OTGentStad/Shared%20Documents/General/EAF/CSI(nieuwe%20sharepoint)%202025/3.%20Maart/EAF%205918%20Gent%2024032025%2030668%20Maurice%20Weemhof.pdf?csf=1&amp;web=1&amp;e=xg0HDG"/>
    <n v="1"/>
    <m/>
    <x v="3"/>
    <x v="2"/>
    <n v="5918"/>
    <s v="ja"/>
  </r>
  <r>
    <n v="17566"/>
    <x v="9"/>
    <s v="Praet"/>
    <s v="Reginald"/>
    <x v="4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632425/4.%20April/EAF%206324%20Zwijnaardsesteenweg%20Gent%2002.04.2025%20Reginald%20Praet%2017566.pdf?csf=1&amp;web=1&amp;e=dRduHF"/>
    <m/>
    <n v="1"/>
    <x v="2"/>
    <x v="12"/>
    <n v="6324"/>
    <s v="ja"/>
  </r>
  <r>
    <n v="32620"/>
    <x v="105"/>
    <s v="Saey"/>
    <s v="Elias"/>
    <x v="3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25/4.%20April/EAF%206329%20Botermarkt%20Ledeberg%2002042025.pdf?csf=1&amp;web=1&amp;e=JCdS2N"/>
    <m/>
    <n v="1"/>
    <x v="2"/>
    <x v="82"/>
    <n v="6929"/>
    <s v="ja"/>
  </r>
  <r>
    <n v="38807"/>
    <x v="107"/>
    <s v="Dossche"/>
    <s v="Caroline"/>
    <x v="5"/>
    <x v="0"/>
    <m/>
    <m/>
    <m/>
    <n v="1"/>
    <m/>
    <m/>
    <m/>
    <m/>
    <m/>
    <m/>
    <m/>
    <m/>
    <n v="1"/>
    <x v="335"/>
    <s v="https://delijn.sharepoint.com/:b:/r/teams/CTM-OTGentStad/Shared%20Documents/General/EAF/CSI(nieuwe%20sharepoint)%202025/4.%20April/EAF%205046%20Gent%2003042025%2038807%20Caroline%20Dossche.pdf?csf=1&amp;web=1&amp;e=5g91m1"/>
    <n v="1"/>
    <m/>
    <x v="4"/>
    <x v="29"/>
    <n v="5046"/>
    <s v="ja"/>
  </r>
  <r>
    <n v="32951"/>
    <x v="73"/>
    <s v="De Bruyne"/>
    <s v="Sonia"/>
    <x v="6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Gent%2004042025%2032951%20Sonia%20De%20Bruyne.pdf?csf=1&amp;web=1&amp;e=APR4gI"/>
    <n v="1"/>
    <m/>
    <x v="4"/>
    <x v="10"/>
    <n v="2198"/>
    <s v="ja"/>
  </r>
  <r>
    <n v="40939"/>
    <x v="294"/>
    <s v="Cisse"/>
    <s v="Sayon"/>
    <x v="1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Deinze%2004042025%2040939%20Cisse%20Sayon.pdf?csf=1&amp;web=1&amp;e=ch8sPQ"/>
    <n v="1"/>
    <m/>
    <x v="4"/>
    <x v="10"/>
    <n v="2198"/>
    <s v="ja"/>
  </r>
  <r>
    <n v="39677"/>
    <x v="303"/>
    <s v="Tacq"/>
    <s v="Joey"/>
    <x v="1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2197%20Gent%2007042025.pdf?csf=1&amp;web=1&amp;e=g7lPyX"/>
    <n v="1"/>
    <m/>
    <x v="4"/>
    <x v="191"/>
    <n v="2197"/>
    <s v="Neen"/>
  </r>
  <r>
    <n v="41092"/>
    <x v="237"/>
    <s v="De Keyser"/>
    <s v="Dorien"/>
    <x v="7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5766%20Hoogstraat%20Gent%2007042025.pdf?csf=1&amp;web=1&amp;e=s0oe3V"/>
    <n v="1"/>
    <m/>
    <x v="3"/>
    <x v="11"/>
    <n v="5766"/>
    <s v="ja"/>
  </r>
  <r>
    <n v="35619"/>
    <x v="304"/>
    <s v="El Mezroui"/>
    <s v="Zouheir"/>
    <x v="9"/>
    <x v="0"/>
    <m/>
    <m/>
    <m/>
    <n v="1"/>
    <m/>
    <m/>
    <m/>
    <m/>
    <m/>
    <m/>
    <m/>
    <m/>
    <n v="1"/>
    <x v="338"/>
    <s v="https://delijn.sharepoint.com/:b:/r/teams/CTM-OTGentStad/Shared%20Documents/General/EAF/CSI(nieuwe%20sharepoint)%202025/4.%20April/EAF%2008042025%206306%20Gent%20Zouheir%20El%20Mezroui%2035619.pdf?csf=1&amp;web=1&amp;e=5XbEdT"/>
    <m/>
    <n v="1"/>
    <x v="2"/>
    <x v="71"/>
    <n v="6306"/>
    <s v="ja"/>
  </r>
  <r>
    <n v="25679"/>
    <x v="275"/>
    <s v="Vanrenterghem"/>
    <s v="Serge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6308%20gent%2009042025%2025679%20Serge%20Van%20Rentergem.pdf?csf=1&amp;web=1&amp;e=TIvMp3"/>
    <m/>
    <n v="1"/>
    <x v="2"/>
    <x v="56"/>
    <n v="6308"/>
    <s v="ja"/>
  </r>
  <r>
    <n v="38035"/>
    <x v="305"/>
    <s v="Simsek"/>
    <s v="Isa"/>
    <x v="4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3"/>
    <x v="59"/>
    <n v="5765"/>
    <s v="ja"/>
  </r>
  <r>
    <n v="39358"/>
    <x v="41"/>
    <s v="Weeks Aracena"/>
    <s v="Jimmy Alexander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238%20Gent%2009042025%2039358%20Jimmy%20weeks%20Arcena.pdf?csf=1&amp;web=1&amp;e=jumpLS"/>
    <n v="1"/>
    <m/>
    <x v="4"/>
    <x v="42"/>
    <n v="5238"/>
    <s v="ja"/>
  </r>
  <r>
    <n v="39929"/>
    <x v="67"/>
    <s v="Staneva"/>
    <s v="Mariyana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2197%20Gent%2009042025%2039929%20Mariyana%20Staneva.pdf?csf=1&amp;web=1&amp;e=e8TW4G"/>
    <n v="1"/>
    <m/>
    <x v="4"/>
    <x v="115"/>
    <n v="2197"/>
    <s v="ja"/>
  </r>
  <r>
    <n v="34325"/>
    <x v="52"/>
    <s v="Eid"/>
    <s v="Mathyn"/>
    <x v="9"/>
    <x v="0"/>
    <m/>
    <m/>
    <m/>
    <n v="1"/>
    <m/>
    <m/>
    <m/>
    <m/>
    <m/>
    <m/>
    <m/>
    <m/>
    <n v="1"/>
    <x v="340"/>
    <s v="https://delijn.sharepoint.com/:b:/r/teams/CTM-OTGentStad/Shared%20Documents/General/EAF/CSI(nieuwe%20sharepoint)%202025/4.%20April/EAF%2010042025%206364%20Gent%20Mathyn%20Eid%2034325.pdf?csf=1&amp;web=1&amp;e=CedThL"/>
    <m/>
    <n v="1"/>
    <x v="5"/>
    <x v="192"/>
    <n v="6364"/>
    <s v="ja"/>
  </r>
  <r>
    <n v="9158"/>
    <x v="306"/>
    <s v="De Weirdt"/>
    <s v="Ronny"/>
    <x v="9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5"/>
    <x v="56"/>
    <n v="6373"/>
    <s v="ja"/>
  </r>
  <r>
    <n v="35645"/>
    <x v="228"/>
    <s v="Jalili"/>
    <s v="Yaseeb"/>
    <x v="9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11042025%205238%20Gent%20%20Jaseeb%20Jalili%2035645.pdf?csf=1&amp;web=1&amp;e=tX3YgF"/>
    <n v="1"/>
    <m/>
    <x v="4"/>
    <x v="0"/>
    <n v="5238"/>
    <s v="ja"/>
  </r>
  <r>
    <n v="25733"/>
    <x v="307"/>
    <s v="Simsek"/>
    <s v="Abdullah"/>
    <x v="3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2"/>
    <x v="116"/>
    <n v="6329"/>
    <s v="ja"/>
  </r>
  <r>
    <n v="36820"/>
    <x v="308"/>
    <s v="Haché"/>
    <s v="Philip"/>
    <x v="9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12042025%205229%20Gent%20%20Philip%20Hach%C3%A9%2036820.pdf?csf=1&amp;web=1&amp;e=dlplTh"/>
    <n v="1"/>
    <m/>
    <x v="4"/>
    <x v="23"/>
    <n v="5229"/>
    <s v="ja"/>
  </r>
  <r>
    <n v="40443"/>
    <x v="309"/>
    <s v="Fakash"/>
    <s v="Mahmoud"/>
    <x v="4"/>
    <x v="0"/>
    <m/>
    <m/>
    <m/>
    <n v="1"/>
    <m/>
    <m/>
    <m/>
    <m/>
    <m/>
    <m/>
    <m/>
    <m/>
    <n v="1"/>
    <x v="34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3"/>
    <x v="193"/>
    <n v="5767"/>
    <s v="ja"/>
  </r>
  <r>
    <n v="23700"/>
    <x v="146"/>
    <s v="Byosière"/>
    <s v="Christof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5235%20Arsenaal%2016042025%20Christof%20Byosi%C3%A8re.pdf?csf=1&amp;web=1&amp;e=GJjy9d"/>
    <n v="1"/>
    <m/>
    <x v="4"/>
    <x v="56"/>
    <n v="5235"/>
    <s v="Neen"/>
  </r>
  <r>
    <n v="34445"/>
    <x v="22"/>
    <s v="Wulleput"/>
    <s v="Illya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5"/>
    <x v="82"/>
    <n v="6357"/>
    <s v="ja"/>
  </r>
  <r>
    <n v="21582"/>
    <x v="43"/>
    <e v="#N/A"/>
    <e v="#N/A"/>
    <x v="0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05%20GENT%2018042025%2021582%20Patrick%20De%20Grom.pdf?csf=1&amp;web=1&amp;e=QSQh2H"/>
    <m/>
    <n v="1"/>
    <x v="2"/>
    <x v="2"/>
    <n v="6305"/>
    <s v="ja"/>
  </r>
  <r>
    <n v="37744"/>
    <x v="310"/>
    <s v="De Lange"/>
    <s v="Frank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325%20Baarle%20Dorp%2018042025.pdf?csf=1&amp;web=1&amp;e=ib906o"/>
    <n v="1"/>
    <m/>
    <x v="4"/>
    <x v="194"/>
    <n v="5325"/>
    <s v="ja"/>
  </r>
  <r>
    <n v="38938"/>
    <x v="29"/>
    <s v="Sedighi"/>
    <s v="Hamid"/>
    <x v="6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2"/>
    <x v="173"/>
    <n v="6339"/>
    <s v="ja"/>
  </r>
  <r>
    <n v="41230"/>
    <x v="311"/>
    <s v="De Witte"/>
    <s v="Bart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910%20Gent%2018042025%2041230%20Bart%20De%20witte.pdf?csf=1&amp;web=1&amp;e=Mbhzfg"/>
    <n v="1"/>
    <m/>
    <x v="3"/>
    <x v="180"/>
    <n v="5910"/>
    <s v="ja"/>
  </r>
  <r>
    <n v="32245"/>
    <x v="312"/>
    <s v="Verlinden"/>
    <s v="Bianca"/>
    <x v="3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8%20E17%2019042025.pdf?csf=1&amp;web=1&amp;e=jKaDuv"/>
    <n v="1"/>
    <m/>
    <x v="3"/>
    <x v="0"/>
    <n v="5918"/>
    <s v="ja"/>
  </r>
  <r>
    <n v="40110"/>
    <x v="127"/>
    <s v="Vanlerberghe"/>
    <s v="Sandra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2197%20Gent%2019042025%2040110%20Sandra%20Vanlerberghe.pdf?csf=1&amp;web=1&amp;e=E3vM9R"/>
    <n v="1"/>
    <m/>
    <x v="4"/>
    <x v="34"/>
    <n v="2197"/>
    <s v="ja"/>
  </r>
  <r>
    <n v="41520"/>
    <x v="299"/>
    <s v="Smets"/>
    <s v="Avery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9%20Gent%2019042025%2041520%20Avery%20Smets.pdf?csf=1&amp;web=1&amp;e=b7Xzf4"/>
    <n v="1"/>
    <m/>
    <x v="3"/>
    <x v="195"/>
    <n v="5919"/>
    <s v="ja"/>
  </r>
  <r>
    <n v="40478"/>
    <x v="174"/>
    <s v="Hashimi"/>
    <s v="Ali Mir"/>
    <x v="4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772%20Gent%20220425%20401478%20Hashimi.pdf?csf=1&amp;web=1&amp;e=guL8Ss"/>
    <n v="1"/>
    <m/>
    <x v="3"/>
    <x v="196"/>
    <n v="5772"/>
    <s v="ja"/>
  </r>
  <r>
    <n v="41588"/>
    <x v="313"/>
    <s v="Naessens"/>
    <s v="Yves"/>
    <x v="1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7897%20GENT%2022042025%2041588%20Naessens%20Yves.pdf?csf=1&amp;web=1&amp;e=FxTbpk"/>
    <n v="1"/>
    <m/>
    <x v="3"/>
    <x v="197"/>
    <n v="7897"/>
    <s v="ja"/>
  </r>
  <r>
    <n v="36512"/>
    <x v="182"/>
    <s v="Van Herreweghe"/>
    <s v="Branco"/>
    <x v="9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2"/>
    <x v="12"/>
    <n v="6313"/>
    <s v="ja"/>
  </r>
  <r>
    <n v="37132"/>
    <x v="314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2"/>
    <x v="138"/>
    <n v="6320"/>
    <s v="ja"/>
  </r>
  <r>
    <n v="9999"/>
    <x v="43"/>
    <e v="#N/A"/>
    <e v="#N/A"/>
    <x v="0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3"/>
    <x v="56"/>
    <n v="8232"/>
    <s v="ja"/>
  </r>
  <r>
    <n v="33965"/>
    <x v="71"/>
    <s v="Van de Gehuchte"/>
    <s v="Gilles"/>
    <x v="1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3"/>
    <x v="6"/>
    <n v="5917"/>
    <s v="ja"/>
  </r>
  <r>
    <n v="38475"/>
    <x v="57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3"/>
    <x v="38"/>
    <n v="5933"/>
    <s v="ja"/>
  </r>
  <r>
    <n v="32002"/>
    <x v="315"/>
    <s v="Hasni"/>
    <s v="Helmi"/>
    <x v="9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6372%20Gent%2026042025%2032002%20Helmi%20Hasni.pdf?csf=1&amp;web=1&amp;e=N5XBjf"/>
    <m/>
    <n v="1"/>
    <x v="5"/>
    <x v="56"/>
    <n v="6372"/>
    <s v="Neen"/>
  </r>
  <r>
    <n v="33085"/>
    <x v="316"/>
    <s v="Van Hoe"/>
    <s v="Ivo"/>
    <x v="1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2198%2026042025%20Gent%2033085%20Ivo%20Van%20Hoe.pdf?csf=1&amp;web=1&amp;e=ulTovn"/>
    <n v="1"/>
    <m/>
    <x v="4"/>
    <x v="198"/>
    <n v="2198"/>
    <s v="ja"/>
  </r>
  <r>
    <n v="38475"/>
    <x v="57"/>
    <s v="Verschraegen"/>
    <s v="Katleen"/>
    <x v="2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930%20Gent%2028042025%2038475%20Kathleen%20Verschraegen.pdf?csf=1&amp;web=1&amp;e=UOYKOY"/>
    <n v="1"/>
    <m/>
    <x v="3"/>
    <x v="75"/>
    <n v="5930"/>
    <s v="ja"/>
  </r>
  <r>
    <n v="40134"/>
    <x v="236"/>
    <s v="Cardon"/>
    <s v="Sharon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770%20Gent%2028042025%2040134%20Sharon%20Cardon.pdf?csf=1&amp;web=1&amp;e=WyYZ7y"/>
    <n v="1"/>
    <m/>
    <x v="3"/>
    <x v="135"/>
    <n v="5770"/>
    <s v="ja"/>
  </r>
  <r>
    <n v="40591"/>
    <x v="290"/>
    <s v="Hiloui"/>
    <s v="Mahmoud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2208%20Gent%2028042025%2040591%20Mahmoud.pdf?csf=1&amp;web=1&amp;e=32VpYX"/>
    <n v="1"/>
    <m/>
    <x v="4"/>
    <x v="134"/>
    <n v="2208"/>
    <s v="ja"/>
  </r>
  <r>
    <n v="24155"/>
    <x v="317"/>
    <s v="Luttens"/>
    <s v="Koen"/>
    <x v="3"/>
    <x v="0"/>
    <m/>
    <m/>
    <m/>
    <n v="1"/>
    <m/>
    <m/>
    <m/>
    <m/>
    <m/>
    <m/>
    <m/>
    <m/>
    <n v="1"/>
    <x v="352"/>
    <s v="https://delijn.sharepoint.com/:b:/r/teams/CTM-OTGentStad/Shared%20Documents/General/EAF/CSI(nieuwe%20sharepoint)%202025/4.%20April/EAF%206368%20Edelsteenstraat%2029042025.pdf?csf=1&amp;web=1&amp;e=ofwXCs"/>
    <m/>
    <n v="1"/>
    <x v="5"/>
    <x v="199"/>
    <n v="6368"/>
    <s v="ja"/>
  </r>
  <r>
    <n v="37908"/>
    <x v="318"/>
    <s v="Vandenberghe"/>
    <s v="Michael"/>
    <x v="9"/>
    <x v="0"/>
    <m/>
    <m/>
    <m/>
    <d v="1899-12-31T00:00:00"/>
    <m/>
    <m/>
    <m/>
    <m/>
    <m/>
    <m/>
    <m/>
    <m/>
    <n v="1"/>
    <x v="353"/>
    <s v="https://delijn.sharepoint.com/:b:/r/teams/CTM-OTGentStad/Shared%20Documents/General/EAF/CSI(nieuwe%20sharepoint)%202025/4.%20April/EAF5054%20Rooigemlaan%2030042025%20Michael%20Vandenberghe.pdf?csf=1&amp;web=1&amp;e=nqvJts"/>
    <n v="1"/>
    <m/>
    <x v="4"/>
    <x v="42"/>
    <n v="5054"/>
    <s v="ja"/>
  </r>
  <r>
    <n v="38740"/>
    <x v="319"/>
    <s v="Meskens"/>
    <s v="Anthony"/>
    <x v="5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6322%20Gent%2030042025%2038740%20Anthony%20Meskens.pdf?csf=1&amp;web=1&amp;e=dwADs0"/>
    <m/>
    <n v="1"/>
    <x v="2"/>
    <x v="131"/>
    <n v="6322"/>
    <s v="Neen"/>
  </r>
  <r>
    <n v="41092"/>
    <x v="237"/>
    <s v="De Keyser"/>
    <s v="Dorien"/>
    <x v="7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3"/>
    <x v="116"/>
    <n v="5912"/>
    <s v="ja"/>
  </r>
  <r>
    <n v="30967"/>
    <x v="234"/>
    <s v="Taser"/>
    <s v="Fatih"/>
    <x v="7"/>
    <x v="0"/>
    <m/>
    <m/>
    <m/>
    <m/>
    <d v="1899-12-31T00:00:00"/>
    <m/>
    <m/>
    <m/>
    <m/>
    <m/>
    <m/>
    <m/>
    <n v="1"/>
    <x v="354"/>
    <s v="https://delijn.sharepoint.com/:b:/r/teams/CTM-OTGentStad/Shared%20Documents/General/EAF/CSI(nieuwe%20sharepoint)%202025/5.%20Mei/EAF%20Gent%2001052025%2030967.pdf?csf=1&amp;web=1&amp;e=BefRdN"/>
    <n v="1"/>
    <m/>
    <x v="4"/>
    <x v="8"/>
    <n v="2205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29"/>
    <n v="5039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5.%20Mei/EAF%202198%20Voskenslaan%2002052025.pdf?csf=1&amp;web=1&amp;e=ks6CAK"/>
    <n v="1"/>
    <m/>
    <x v="4"/>
    <x v="29"/>
    <n v="2198"/>
    <s v="ja"/>
  </r>
  <r>
    <n v="4608"/>
    <x v="320"/>
    <s v="Steenbrugge"/>
    <s v="Johan"/>
    <x v="6"/>
    <x v="0"/>
    <m/>
    <m/>
    <m/>
    <m/>
    <n v="1"/>
    <m/>
    <m/>
    <m/>
    <m/>
    <m/>
    <m/>
    <m/>
    <n v="1"/>
    <x v="356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4"/>
    <x v="26"/>
    <n v="2208"/>
    <s v="ja"/>
  </r>
  <r>
    <n v="33965"/>
    <x v="71"/>
    <s v="Van de Gehuchte"/>
    <s v="Gilles"/>
    <x v="1"/>
    <x v="0"/>
    <m/>
    <m/>
    <m/>
    <m/>
    <d v="1899-12-31T00:00:00"/>
    <m/>
    <m/>
    <m/>
    <m/>
    <m/>
    <m/>
    <m/>
    <n v="1"/>
    <x v="357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2"/>
    <x v="56"/>
    <n v="6325"/>
    <s v="ja"/>
  </r>
  <r>
    <n v="38731"/>
    <x v="321"/>
    <s v="Ben Sidhom"/>
    <s v="Samir"/>
    <x v="5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5053%20Gent%2006052025%2038731%20Ben%20Samir%20Sidhom.pdf?csf=1&amp;web=1&amp;e=IH2ioZ"/>
    <n v="1"/>
    <m/>
    <x v="4"/>
    <x v="0"/>
    <n v="5053"/>
    <s v="ja"/>
  </r>
  <r>
    <n v="39633"/>
    <x v="69"/>
    <s v="Duyck"/>
    <s v="Kimberly"/>
    <x v="6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3"/>
    <x v="46"/>
    <n v="4667"/>
    <s v="Neen"/>
  </r>
  <r>
    <n v="37662"/>
    <x v="183"/>
    <s v="Van den Meerssche"/>
    <s v="Steven"/>
    <x v="4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5044%20Dampoort%2006052025.pdf?csf=1&amp;web=1&amp;e=AOYsIO"/>
    <n v="1"/>
    <m/>
    <x v="4"/>
    <x v="26"/>
    <n v="5044"/>
    <s v="Neen"/>
  </r>
  <r>
    <n v="40938"/>
    <x v="322"/>
    <s v="Hasnaoui"/>
    <s v="Nejmeddine"/>
    <x v="7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Gent%2006052025%2040938%20Nejmeddine%20Hasnaoui.pdf?csf=1&amp;web=1&amp;e=VZ70Ah"/>
    <n v="1"/>
    <m/>
    <x v="4"/>
    <x v="10"/>
    <n v="2196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60"/>
    <s v="https://delijn.sharepoint.com/:b:/r/teams/CTM-OTGentStad/Shared%20Documents/General/EAF/CSI(nieuwe%20sharepoint)%202025/5.%20Mei/EAF%202196%20Gentsesteenweg%20Deinze%2007052025.pdf?csf=1&amp;web=1&amp;e=uwsq2j"/>
    <n v="1"/>
    <m/>
    <x v="4"/>
    <x v="200"/>
    <n v="2196"/>
    <s v="ja"/>
  </r>
  <r>
    <n v="38931"/>
    <x v="15"/>
    <s v="Sancak"/>
    <s v="Eyuphan"/>
    <x v="4"/>
    <x v="0"/>
    <m/>
    <m/>
    <m/>
    <m/>
    <n v="1"/>
    <m/>
    <m/>
    <m/>
    <m/>
    <m/>
    <m/>
    <m/>
    <n v="1"/>
    <x v="361"/>
    <s v="https://delijn.sharepoint.com/:b:/r/teams/CTM-OTGentStad/Shared%20Documents/General/EAF/CSI(nieuwe%20sharepoint)%202025/5.%20Mei/EAF%204678%20Gent%2009052025%2038931%20Sancak.pdf?csf=1&amp;web=1&amp;e=inxfnO"/>
    <n v="1"/>
    <m/>
    <x v="3"/>
    <x v="201"/>
    <n v="4678"/>
    <s v="ja"/>
  </r>
  <r>
    <n v="27672"/>
    <x v="323"/>
    <s v="Criel"/>
    <s v="Veronique"/>
    <x v="9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10052025%206311%20Gent%20%20Veronique%20Criel%2027672.pdf?csf=1&amp;web=1&amp;e=950cWa"/>
    <m/>
    <n v="1"/>
    <x v="2"/>
    <x v="1"/>
    <n v="6311"/>
    <s v="ja"/>
  </r>
  <r>
    <n v="31165"/>
    <x v="186"/>
    <s v="Govaerts"/>
    <s v="Sandro"/>
    <x v="6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4"/>
    <x v="202"/>
    <n v="5048"/>
    <s v="ja"/>
  </r>
  <r>
    <n v="40138"/>
    <x v="235"/>
    <s v="Moerman"/>
    <s v="Tjimmy"/>
    <x v="5"/>
    <x v="0"/>
    <m/>
    <m/>
    <m/>
    <m/>
    <n v="1"/>
    <m/>
    <m/>
    <m/>
    <m/>
    <m/>
    <m/>
    <m/>
    <n v="1"/>
    <x v="363"/>
    <s v=" https://delijn.sharepoint.com/:b:/r/teams/CTM-OTGentStad/Shared%20Documents/General/EAF/CSI(nieuwe%20sharepoint)%202025/5.%20Mei/EAF%205047%20Einde%20Were%20Gent%2011052025.pdf?csf=1&amp;web=1&amp;e=YoZLwz"/>
    <n v="1"/>
    <m/>
    <x v="4"/>
    <x v="42"/>
    <n v="5047"/>
    <s v="ja"/>
  </r>
  <r>
    <n v="39856"/>
    <x v="324"/>
    <s v="Curukcu"/>
    <s v="Bayram"/>
    <x v="1"/>
    <x v="0"/>
    <m/>
    <m/>
    <m/>
    <m/>
    <n v="1"/>
    <m/>
    <m/>
    <m/>
    <m/>
    <m/>
    <m/>
    <m/>
    <n v="1"/>
    <x v="364"/>
    <s v="https://delijn.sharepoint.com/:b:/r/teams/CTM-OTGentStad/Shared%20Documents/General/EAF/CSI(nieuwe%20sharepoint)%202025/5.%20Mei/EAF%205265%20Gent%2013052025.pdf?csf=1&amp;web=1&amp;e=d43suw"/>
    <n v="1"/>
    <m/>
    <x v="4"/>
    <x v="70"/>
    <n v="5265"/>
    <s v="ja"/>
  </r>
  <r>
    <n v="29746"/>
    <x v="325"/>
    <s v="Huyse"/>
    <s v="Annicke"/>
    <x v="4"/>
    <x v="0"/>
    <m/>
    <m/>
    <m/>
    <m/>
    <n v="1"/>
    <m/>
    <m/>
    <m/>
    <m/>
    <m/>
    <m/>
    <m/>
    <n v="1"/>
    <x v="365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4"/>
    <x v="0"/>
    <n v="5231"/>
    <s v="ja"/>
  </r>
  <r>
    <n v="36428"/>
    <x v="181"/>
    <s v="Abdi Shaiye"/>
    <s v="Rashid"/>
    <x v="6"/>
    <x v="0"/>
    <m/>
    <m/>
    <m/>
    <m/>
    <n v="1"/>
    <m/>
    <m/>
    <m/>
    <m/>
    <m/>
    <m/>
    <m/>
    <n v="1"/>
    <x v="366"/>
    <s v="https://delijn.sharepoint.com/:b:/r/teams/CTM-OTGentStad/Shared%20Documents/General/EAF/CSI(nieuwe%20sharepoint)%202025/5.%20Mei/EAF%206367%20Gent%2015052025%2036428%20Abdi%20Shaiye.pdf?csf=1&amp;web=1&amp;e=qs7FK3"/>
    <m/>
    <n v="1"/>
    <x v="5"/>
    <x v="2"/>
    <n v="6367"/>
    <s v="ja"/>
  </r>
  <r>
    <n v="40393"/>
    <x v="326"/>
    <s v="Salimova"/>
    <s v="Eydzhan"/>
    <x v="7"/>
    <x v="0"/>
    <m/>
    <m/>
    <m/>
    <m/>
    <m/>
    <m/>
    <m/>
    <m/>
    <n v="1"/>
    <m/>
    <m/>
    <m/>
    <n v="1"/>
    <x v="366"/>
    <s v="EAF 7897 15052024 Nederzwalmsesteenweg Eydzhan Salimova.pdf"/>
    <n v="1"/>
    <m/>
    <x v="3"/>
    <x v="203"/>
    <n v="7897"/>
    <s v="ja"/>
  </r>
  <r>
    <n v="41230"/>
    <x v="311"/>
    <s v="De Witte"/>
    <s v="Bart"/>
    <x v="7"/>
    <x v="0"/>
    <m/>
    <m/>
    <m/>
    <m/>
    <n v="1"/>
    <m/>
    <m/>
    <m/>
    <m/>
    <m/>
    <m/>
    <m/>
    <n v="1"/>
    <x v="367"/>
    <s v="https://delijn.sharepoint.com/:b:/r/teams/CTM-OTGentStad/Shared%20Documents/General/EAF/CSI(nieuwe%20sharepoint)%202025/5.%20Mei/EAF%205924%20Gent%2017052025%2041230%20Bart%20De%20Witte.pdf?csf=1&amp;web=1&amp;e=evidHQ"/>
    <n v="1"/>
    <m/>
    <x v="3"/>
    <x v="204"/>
    <n v="5924"/>
    <s v="ja"/>
  </r>
  <r>
    <n v="26960"/>
    <x v="90"/>
    <s v="Toubadie"/>
    <s v="Mossa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5935%20Gent%2021052025%2026960%20Mossa%20Toubadie.pdf?csf=1&amp;web=1&amp;e=36Xu6a"/>
    <n v="1"/>
    <m/>
    <x v="3"/>
    <x v="180"/>
    <n v="5935"/>
    <s v="Neen"/>
  </r>
  <r>
    <n v="38648"/>
    <x v="70"/>
    <s v="Uckuyulu"/>
    <s v="Muhammet Emin"/>
    <x v="6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6333%20Gent%2021052025%2038648%20%20Emin.pdf?csf=1&amp;web=1&amp;e=FrdmuB"/>
    <m/>
    <n v="1"/>
    <x v="2"/>
    <x v="205"/>
    <n v="6333"/>
    <s v="ja"/>
  </r>
  <r>
    <n v="41710"/>
    <x v="327"/>
    <s v="Ghani"/>
    <s v="Fazal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2546%20Gent%2021052025%2041710%20Ghani%20Fazal.pdf?csf=1&amp;web=1&amp;e=DhRjBv"/>
    <n v="1"/>
    <m/>
    <x v="3"/>
    <x v="181"/>
    <n v="2546"/>
    <s v="ja"/>
  </r>
  <r>
    <n v="41671"/>
    <x v="328"/>
    <s v="Hasan"/>
    <s v="Salem"/>
    <x v="4"/>
    <x v="0"/>
    <m/>
    <m/>
    <m/>
    <m/>
    <n v="1"/>
    <m/>
    <m/>
    <m/>
    <m/>
    <m/>
    <m/>
    <m/>
    <n v="1"/>
    <x v="369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3"/>
    <x v="82"/>
    <n v="8232"/>
    <s v="ja"/>
  </r>
  <r>
    <n v="39651"/>
    <x v="196"/>
    <s v="Kallenbach"/>
    <s v="Sunny"/>
    <x v="1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39651%2023052025%2039651.pdf?csf=1&amp;web=1&amp;e=mQcewX"/>
    <n v="1"/>
    <m/>
    <x v="3"/>
    <x v="2"/>
    <n v="5238"/>
    <s v="Neen"/>
  </r>
  <r>
    <n v="40278"/>
    <x v="221"/>
    <s v="Ates"/>
    <s v="Firat"/>
    <x v="5"/>
    <x v="0"/>
    <m/>
    <m/>
    <m/>
    <m/>
    <n v="1"/>
    <m/>
    <m/>
    <m/>
    <m/>
    <m/>
    <m/>
    <m/>
    <n v="1"/>
    <x v="370"/>
    <s v="EAF bij chauffeur verloren. Via planning west naar schade gestuurd"/>
    <n v="1"/>
    <m/>
    <x v="4"/>
    <x v="23"/>
    <n v="0"/>
    <s v="ja"/>
  </r>
  <r>
    <n v="41482"/>
    <x v="329"/>
    <s v="Özdemir"/>
    <s v="Osman"/>
    <x v="4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5928%20Gent%2023052025%2041482.pdf?csf=1&amp;web=1&amp;e=sFqO7G"/>
    <n v="1"/>
    <m/>
    <x v="3"/>
    <x v="26"/>
    <n v="5928"/>
    <s v="ja"/>
  </r>
  <r>
    <n v="15282"/>
    <x v="11"/>
    <s v="Marinx"/>
    <s v="Kristoff"/>
    <x v="1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26052025.pdf?csf=1&amp;web=1&amp;e=PnI5yR"/>
    <m/>
    <n v="1"/>
    <x v="2"/>
    <x v="143"/>
    <n v="6322"/>
    <s v="ja"/>
  </r>
  <r>
    <n v="15412"/>
    <x v="330"/>
    <s v="Dhondt"/>
    <s v="Frank"/>
    <x v="4"/>
    <x v="0"/>
    <m/>
    <m/>
    <m/>
    <m/>
    <m/>
    <n v="1"/>
    <m/>
    <m/>
    <m/>
    <m/>
    <m/>
    <m/>
    <n v="1"/>
    <x v="371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4"/>
    <x v="184"/>
    <n v="5266"/>
    <s v="ja"/>
  </r>
  <r>
    <n v="36438"/>
    <x v="239"/>
    <s v="Agil"/>
    <s v="Birol"/>
    <x v="4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6314%20gent%2026052025%2036438.pdf?csf=1&amp;web=1&amp;e=Z7eZiV"/>
    <m/>
    <n v="1"/>
    <x v="2"/>
    <x v="162"/>
    <n v="6314"/>
    <s v="ja"/>
  </r>
  <r>
    <n v="40856"/>
    <x v="272"/>
    <s v="Neissi"/>
    <s v="Sadegh"/>
    <x v="1"/>
    <x v="0"/>
    <m/>
    <m/>
    <m/>
    <m/>
    <n v="1"/>
    <m/>
    <m/>
    <m/>
    <m/>
    <m/>
    <m/>
    <m/>
    <n v="1"/>
    <x v="372"/>
    <s v="https://delijn.sharepoint.com/:b:/r/teams/CTM-OTGentStad/Shared%20Documents/General/EAF/CSI(nieuwe%20sharepoint)%202025/5.%20Mei/EAF%205630%20Gent%2029052025%2040856.pdf?csf=1&amp;web=1&amp;e=qbBgJn"/>
    <n v="1"/>
    <m/>
    <x v="4"/>
    <x v="19"/>
    <n v="5630"/>
    <s v="ja"/>
  </r>
  <r>
    <n v="41619"/>
    <x v="331"/>
    <s v="Bachiri"/>
    <s v="Ousama"/>
    <x v="4"/>
    <x v="0"/>
    <m/>
    <m/>
    <m/>
    <m/>
    <n v="1"/>
    <m/>
    <m/>
    <m/>
    <m/>
    <m/>
    <m/>
    <m/>
    <n v="1"/>
    <x v="373"/>
    <s v="https://delijn.sharepoint.com/:b:/r/teams/CTM-OTGentStad/Shared%20Documents/General/EAF/CSI(nieuwe%20sharepoint)%202025/6.%20Juni/EAF%205927%20Gent%2030052025%2041619%20Ousama.pdf?csf=1&amp;web=1&amp;e=hrQO2G"/>
    <n v="1"/>
    <m/>
    <x v="3"/>
    <x v="167"/>
    <n v="5927"/>
    <s v="ja"/>
  </r>
  <r>
    <n v="39927"/>
    <x v="119"/>
    <s v="De Wilde"/>
    <s v="Jordy"/>
    <x v="5"/>
    <x v="0"/>
    <m/>
    <m/>
    <m/>
    <m/>
    <n v="1"/>
    <m/>
    <m/>
    <m/>
    <m/>
    <m/>
    <m/>
    <m/>
    <n v="1"/>
    <x v="374"/>
    <s v="https://delijn.sharepoint.com/:b:/r/teams/CTM-OTGentStad/Shared%20Documents/General/EAF/CSI(nieuwe%20sharepoint)%202025/5.%20Mei/EAF%206355%20Gent%2031052025%2039927%20Jordy%20Dewilde.pdf?csf=1&amp;web=1&amp;e=MnwuV8"/>
    <m/>
    <n v="1"/>
    <x v="5"/>
    <x v="56"/>
    <n v="6355"/>
    <s v="ja"/>
  </r>
  <r>
    <n v="40036"/>
    <x v="156"/>
    <s v="Karakaya"/>
    <s v="Oguz"/>
    <x v="7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931%20Gent%2002062025%2040036%20Oguz%20Karakaya.pdf?csf=1&amp;web=1&amp;e=oarPZJ"/>
    <n v="1"/>
    <m/>
    <x v="3"/>
    <x v="175"/>
    <n v="5931"/>
    <s v="ja"/>
  </r>
  <r>
    <n v="40278"/>
    <x v="221"/>
    <s v="Ates"/>
    <s v="Firat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236%20Gent%2002062025%2040278%20Ates%20Firat.pdf?csf=1&amp;web=1&amp;e=U99UKS"/>
    <n v="1"/>
    <m/>
    <x v="4"/>
    <x v="119"/>
    <n v="5236"/>
    <s v="ja"/>
  </r>
  <r>
    <n v="41384"/>
    <x v="332"/>
    <s v="Hillaert"/>
    <s v="Thimo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489%20Gent%2002062025%2041384%20Thimo%20Hillaert.pdf?csf=1&amp;web=1&amp;e=RbemFP"/>
    <n v="1"/>
    <m/>
    <x v="3"/>
    <x v="9"/>
    <n v="5489"/>
    <s v="ja"/>
  </r>
  <r>
    <n v="23918"/>
    <x v="213"/>
    <s v="D'Haeyere"/>
    <s v="Bernard"/>
    <x v="3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31%20Gent%2003062025%2023918%20Bernard%20Dhaeyere.pdf?csf=1&amp;web=1&amp;e=mBlqK4"/>
    <n v="1"/>
    <m/>
    <x v="3"/>
    <x v="206"/>
    <n v="5931"/>
    <s v="ja"/>
  </r>
  <r>
    <n v="36154"/>
    <x v="333"/>
    <s v="De Clercq"/>
    <s v="Sven"/>
    <x v="6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6356%20Gent%2003062025%2036154%20Sven%20Declercq.pdf?csf=1&amp;web=1&amp;e=JmLfhD"/>
    <m/>
    <n v="1"/>
    <x v="5"/>
    <x v="49"/>
    <n v="6356"/>
    <s v="ja"/>
  </r>
  <r>
    <n v="41064"/>
    <x v="296"/>
    <s v="Ardic"/>
    <s v="Atill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048%20Gent%2003062025%2041064%20Ardic%20Attila.pdf?csf=1&amp;web=1&amp;e=b3pliq"/>
    <n v="1"/>
    <m/>
    <x v="3"/>
    <x v="56"/>
    <n v="5048"/>
    <s v="ja"/>
  </r>
  <r>
    <n v="41246"/>
    <x v="283"/>
    <s v="Van Holsbeeck"/>
    <s v="Yan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20%20Gent%2003062025%2041246%20yana%20van%20holsbeek.pdf?csf=1&amp;web=1&amp;e=dfnO9S"/>
    <n v="1"/>
    <m/>
    <x v="3"/>
    <x v="207"/>
    <n v="5920"/>
    <s v="ja"/>
  </r>
  <r>
    <n v="38481"/>
    <x v="101"/>
    <s v="Sari"/>
    <s v="Devrim"/>
    <x v="1"/>
    <x v="0"/>
    <m/>
    <m/>
    <m/>
    <m/>
    <m/>
    <n v="1"/>
    <m/>
    <m/>
    <m/>
    <m/>
    <m/>
    <m/>
    <n v="1"/>
    <x v="377"/>
    <s v="https://delijn.sharepoint.com/:b:/r/teams/CTM-OTGentStad/Shared%20Documents/General/EAF/CSI(nieuwe%20sharepoint)%202025/6.%20Juni/EAF%20Gent%2004062025%2038481%20Sari%20Devrim.pdf?csf=1&amp;web=1&amp;e=3Hc70Q"/>
    <n v="1"/>
    <m/>
    <x v="3"/>
    <x v="208"/>
    <n v="0"/>
    <s v="ja"/>
  </r>
  <r>
    <n v="30119"/>
    <x v="227"/>
    <s v="Haerens"/>
    <s v="Tom"/>
    <x v="7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23%20Gent%2005062025%2030119%20Tom%20Haerens.pdf?csf=1&amp;web=1&amp;e=yyXOZV"/>
    <m/>
    <n v="1"/>
    <x v="2"/>
    <x v="12"/>
    <n v="6323"/>
    <s v="Neen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Bevrijdingslaan%20Gent%2005062025.pdf?csf=1&amp;web=1&amp;e=DezH5m"/>
    <n v="1"/>
    <m/>
    <x v="4"/>
    <x v="114"/>
    <n v="5237"/>
    <s v="ja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Dampoort%20Gent%2005062025.pdf?csf=1&amp;web=1&amp;e=ggtBJR"/>
    <n v="1"/>
    <m/>
    <x v="4"/>
    <x v="26"/>
    <n v="5237"/>
    <s v="ja"/>
  </r>
  <r>
    <n v="36627"/>
    <x v="19"/>
    <s v="Dobbelaere"/>
    <s v="David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6374%20gent%2006062025%2036627%20david%20dobbelaere.pdf?csf=1&amp;web=1&amp;e=zDht8o"/>
    <m/>
    <n v="1"/>
    <x v="5"/>
    <x v="1"/>
    <n v="6374"/>
    <s v="ja"/>
  </r>
  <r>
    <n v="37208"/>
    <x v="334"/>
    <s v="Catar"/>
    <s v="Gökhan"/>
    <x v="1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6329%20Gent%2007062025%2037208%20Catar%20Gohhan.pdf?csf=1&amp;web=1&amp;e=tPaG0w"/>
    <m/>
    <n v="1"/>
    <x v="2"/>
    <x v="2"/>
    <n v="6329"/>
    <s v="ja"/>
  </r>
  <r>
    <n v="40645"/>
    <x v="335"/>
    <s v="Bytebier"/>
    <s v="Jason"/>
    <x v="2"/>
    <x v="0"/>
    <m/>
    <m/>
    <m/>
    <m/>
    <m/>
    <n v="1"/>
    <m/>
    <m/>
    <m/>
    <m/>
    <m/>
    <m/>
    <n v="1"/>
    <x v="381"/>
    <s v="https://delijn.sharepoint.com/:b:/r/teams/CTM-OTGentStad/Shared%20Documents/General/EAF/CSI(nieuwe%20sharepoint)%202025/6.%20Juni/EAF%205909%20Gent%2010062025%2040645%20Jason%20Bytebier.pdf?csf=1&amp;web=1&amp;e=rQFKXA"/>
    <n v="1"/>
    <m/>
    <x v="3"/>
    <x v="32"/>
    <n v="5909"/>
    <s v="ja"/>
  </r>
  <r>
    <n v="36512"/>
    <x v="182"/>
    <s v="Van Herreweghe"/>
    <s v="Branco"/>
    <x v="9"/>
    <x v="0"/>
    <m/>
    <m/>
    <m/>
    <m/>
    <m/>
    <n v="1"/>
    <m/>
    <m/>
    <m/>
    <m/>
    <m/>
    <m/>
    <n v="1"/>
    <x v="382"/>
    <s v="https://delijn.sharepoint.com/:b:/r/teams/CTM-OTGentStad/Shared%20Documents/General/EAF/CSI(nieuwe%20sharepoint)%202025/6.%20Juni/EAF%2011062025%205934%20Gent%20Branco%20Van%20Herreweghe%2036512.pdf?csf=1&amp;web=1&amp;e=3EdBHe"/>
    <n v="1"/>
    <m/>
    <x v="3"/>
    <x v="194"/>
    <n v="5934"/>
    <s v="ja"/>
  </r>
  <r>
    <n v="7746"/>
    <x v="336"/>
    <s v="Aelterman"/>
    <s v="Didier"/>
    <x v="5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488%20Gent%2012062025%207746%20Didier%20Aelterman.pdf?csf=1&amp;web=1&amp;e=544rWn"/>
    <n v="1"/>
    <m/>
    <x v="3"/>
    <x v="209"/>
    <n v="5488"/>
    <s v="ja"/>
  </r>
  <r>
    <n v="31150"/>
    <x v="337"/>
    <s v="Oueslati"/>
    <s v="Mohamed Ali"/>
    <x v="1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039%2012062025%2031150%20Ouslati%20Mohamed.pdf?csf=1&amp;web=1&amp;e=oKVgph"/>
    <n v="1"/>
    <m/>
    <x v="4"/>
    <x v="8"/>
    <n v="5039"/>
    <s v="ja"/>
  </r>
  <r>
    <n v="26695"/>
    <x v="338"/>
    <s v="Lippens"/>
    <s v="Miguel"/>
    <x v="5"/>
    <x v="0"/>
    <m/>
    <m/>
    <m/>
    <m/>
    <m/>
    <n v="1"/>
    <m/>
    <m/>
    <m/>
    <m/>
    <m/>
    <m/>
    <n v="1"/>
    <x v="384"/>
    <s v="https://delijn.sharepoint.com/:b:/r/teams/CTM-OTGentStad/Shared%20Documents/General/EAF/CSI(nieuwe%20sharepoint)%202025/6.%20Juni/EAF%20Gent%2013062025%2026695%20Miquel%20Lippens.pdf?csf=1&amp;web=1&amp;e=PfzS3d"/>
    <n v="1"/>
    <m/>
    <x v="3"/>
    <x v="209"/>
    <n v="5489"/>
    <s v="Neen"/>
  </r>
  <r>
    <n v="14625"/>
    <x v="339"/>
    <s v="Rodrigue"/>
    <s v="Vincent"/>
    <x v="6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2209%20Oostakker%2020062025%20Vincent%20Rodrigue.pdf?csf=1&amp;web=1&amp;e=QbeGWm"/>
    <n v="1"/>
    <m/>
    <x v="4"/>
    <x v="21"/>
    <n v="2209"/>
    <s v="Neen"/>
  </r>
  <r>
    <n v="26847"/>
    <x v="252"/>
    <s v="De Meester"/>
    <s v="Dav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6341%2020062025%20Gent%2026847%20DAvid%20De%20Meester.pdf?csf=1&amp;web=1&amp;e=Axtmjn"/>
    <m/>
    <n v="1"/>
    <x v="2"/>
    <x v="2"/>
    <n v="6361"/>
    <s v="ja"/>
  </r>
  <r>
    <n v="36426"/>
    <x v="259"/>
    <s v="Mohamed Yassin"/>
    <s v="Abdulham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5"/>
    <x v="65"/>
    <n v="6364"/>
    <s v="ja"/>
  </r>
  <r>
    <n v="36569"/>
    <x v="43"/>
    <e v="#N/A"/>
    <e v="#N/A"/>
    <x v="0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21%20Zwijnaardsesteenweg%20Gent%2020062025.pdf?csf=1&amp;web=1&amp;e=OYMdOD"/>
    <m/>
    <n v="1"/>
    <x v="2"/>
    <x v="12"/>
    <n v="6321"/>
    <s v="ja"/>
  </r>
  <r>
    <n v="41721"/>
    <x v="340"/>
    <s v="Nolf"/>
    <s v="Philippe"/>
    <x v="1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5938%20Gent%2020062025%20Nolf%20Phillipe%2041721.pdf?csf=1&amp;web=1&amp;e=sjXUdI"/>
    <n v="1"/>
    <m/>
    <x v="3"/>
    <x v="167"/>
    <n v="5938"/>
    <s v="ja"/>
  </r>
  <r>
    <n v="36624"/>
    <x v="148"/>
    <s v="De Meulenaere"/>
    <s v="Kurt"/>
    <x v="7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910%20Gent%2021062025%2036624%20Kurt%20De%20Meulenaere.pdf?csf=1&amp;web=1&amp;e=FkSgzE"/>
    <n v="1"/>
    <m/>
    <x v="3"/>
    <x v="91"/>
    <n v="5910"/>
    <s v="ja"/>
  </r>
  <r>
    <n v="41690"/>
    <x v="341"/>
    <s v="Van de Winckel"/>
    <s v="Kelly"/>
    <x v="2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3"/>
    <x v="14"/>
    <n v="5771"/>
    <s v="ja"/>
  </r>
  <r>
    <n v="38808"/>
    <x v="37"/>
    <s v="Wasen"/>
    <s v="Jens"/>
    <x v="2"/>
    <x v="0"/>
    <m/>
    <m/>
    <m/>
    <m/>
    <m/>
    <n v="1"/>
    <m/>
    <m/>
    <m/>
    <m/>
    <m/>
    <m/>
    <n v="1"/>
    <x v="387"/>
    <s v="https://delijn.sharepoint.com/:b:/r/teams/CTM-OTGentStad/Shared%20Documents/General/EAF/CSI(nieuwe%20sharepoint)%202025/6.%20Juni/EAF%205926%20Gent%2022062025%2038808%20Jens%20Wasen.pdf?csf=1&amp;web=1&amp;e=BlwXj0"/>
    <n v="1"/>
    <m/>
    <x v="3"/>
    <x v="32"/>
    <n v="5926"/>
    <s v="ja"/>
  </r>
  <r>
    <n v="19917"/>
    <x v="12"/>
    <s v="Vandevyvere"/>
    <s v="Frank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260%2023062025%20Gent%2019917%20Frank%20Vandevyvere.pdf?csf=1&amp;web=1&amp;e=f3iwKC"/>
    <n v="1"/>
    <m/>
    <x v="4"/>
    <x v="24"/>
    <n v="5260"/>
    <s v="ja"/>
  </r>
  <r>
    <n v="29746"/>
    <x v="325"/>
    <s v="Huyse"/>
    <s v="Annicke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5"/>
    <x v="110"/>
    <n v="6368"/>
    <s v="Neen"/>
  </r>
  <r>
    <n v="38633"/>
    <x v="190"/>
    <s v="Stomphorst"/>
    <s v="Mattanja"/>
    <x v="2"/>
    <x v="0"/>
    <m/>
    <m/>
    <m/>
    <m/>
    <m/>
    <n v="1"/>
    <m/>
    <m/>
    <m/>
    <m/>
    <m/>
    <m/>
    <n v="1"/>
    <x v="388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4"/>
    <x v="9"/>
    <n v="2269"/>
    <s v="ja"/>
  </r>
  <r>
    <n v="40478"/>
    <x v="174"/>
    <s v="Hashimi"/>
    <s v="Ali Mir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911%20Gent23062025%2040478%20Ali%20Mir%20Hashimi.pdf?csf=1&amp;web=1&amp;e=LpDw5m"/>
    <n v="1"/>
    <m/>
    <x v="3"/>
    <x v="75"/>
    <n v="5911"/>
    <s v="ja"/>
  </r>
  <r>
    <n v="38634"/>
    <x v="10"/>
    <s v="Asskale"/>
    <s v="Zouhir"/>
    <x v="4"/>
    <x v="0"/>
    <m/>
    <m/>
    <m/>
    <m/>
    <m/>
    <n v="1"/>
    <m/>
    <m/>
    <m/>
    <m/>
    <m/>
    <m/>
    <n v="1"/>
    <x v="389"/>
    <s v="https://delijn.sharepoint.com/:b:/r/teams/CTM-OTGentStad/Shared%20Documents/General/EAF/CSI(nieuwe%20sharepoint)%202025/6.%20Juni/EAF%206339%20Gent%2024062025%2038634.pdf?csf=1&amp;web=1&amp;e=4abjDJ"/>
    <m/>
    <n v="1"/>
    <x v="2"/>
    <x v="17"/>
    <n v="6339"/>
    <s v="ja"/>
  </r>
  <r>
    <n v="15412"/>
    <x v="330"/>
    <s v="Dhondt"/>
    <s v="Frank"/>
    <x v="4"/>
    <x v="0"/>
    <m/>
    <m/>
    <m/>
    <m/>
    <m/>
    <m/>
    <m/>
    <m/>
    <m/>
    <m/>
    <m/>
    <m/>
    <n v="0"/>
    <x v="390"/>
    <s v="https://delijn.sharepoint.com/:b:/r/teams/CTM-OTGentStad/Shared%20Documents/General/EAF/CSI(nieuwe%20sharepoint)%202025/6.%20Juni/EAF%205261%20Gent%2025062025%2015412%20Frank%20Dhond.pdf?csf=1&amp;web=1&amp;e=BT24uc"/>
    <n v="1"/>
    <m/>
    <x v="4"/>
    <x v="210"/>
    <n v="5261"/>
    <s v="ja"/>
  </r>
  <r>
    <n v="40362"/>
    <x v="342"/>
    <s v="Kuru"/>
    <s v="Cetin"/>
    <x v="1"/>
    <x v="0"/>
    <m/>
    <m/>
    <m/>
    <m/>
    <m/>
    <n v="1"/>
    <m/>
    <m/>
    <m/>
    <m/>
    <m/>
    <m/>
    <n v="1"/>
    <x v="390"/>
    <s v="https://delijn.sharepoint.com/:b:/r/teams/CTM-OTGentStad/Shared%20Documents/General/EAF/CSI(nieuwe%20sharepoint)%202025/6.%20Juni/EAF%205235%20Gent%2025062025%2040362%20Cetin%20Keru.pdf?csf=1&amp;web=1&amp;e=G2pviC"/>
    <n v="1"/>
    <m/>
    <x v="4"/>
    <x v="193"/>
    <n v="5235"/>
    <s v="ja"/>
  </r>
  <r>
    <n v="29646"/>
    <x v="343"/>
    <s v="Özer"/>
    <s v="Mesut"/>
    <x v="7"/>
    <x v="0"/>
    <m/>
    <m/>
    <m/>
    <m/>
    <m/>
    <n v="1"/>
    <m/>
    <m/>
    <m/>
    <m/>
    <m/>
    <m/>
    <n v="1"/>
    <x v="391"/>
    <s v="https://delijn.sharepoint.com/:b:/r/teams/CTM-OTGentStad/Shared%20Documents/General/EAF/CSI(nieuwe%20sharepoint)%202025/6.%20Juni/EAF%2028062025%20Ozer%20Mesut.pdf?csf=1&amp;web=1&amp;e=gqAGpG"/>
    <n v="1"/>
    <m/>
    <x v="3"/>
    <x v="211"/>
    <n v="5912"/>
    <s v="Neen"/>
  </r>
  <r>
    <n v="15088"/>
    <x v="129"/>
    <s v="Laute"/>
    <s v="Dirk"/>
    <x v="3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6%20Morekstraat%20Wondelgem%2029062025.pdf?csf=1&amp;web=1&amp;e=qHNve5"/>
    <n v="1"/>
    <m/>
    <x v="4"/>
    <x v="24"/>
    <n v="5046"/>
    <s v="Neen"/>
  </r>
  <r>
    <n v="39850"/>
    <x v="344"/>
    <s v="Helleputte"/>
    <s v="William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2%2029062025%20Gent%2039850%20William%20Helleput.pdf?csf=1&amp;web=1&amp;e=0SwyMY"/>
    <n v="1"/>
    <m/>
    <x v="4"/>
    <x v="11"/>
    <n v="5042"/>
    <s v="ja"/>
  </r>
  <r>
    <n v="40223"/>
    <x v="87"/>
    <s v="Teetaert"/>
    <s v="Billy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7%20Gent%2029062025%2040223%20Teetaert%20Billy.pdf?csf=1&amp;web=1&amp;e=nq4b2m"/>
    <n v="1"/>
    <m/>
    <x v="4"/>
    <x v="212"/>
    <n v="5047"/>
    <s v="ja"/>
  </r>
  <r>
    <n v="4419"/>
    <x v="256"/>
    <s v="Maelbrancke"/>
    <s v="Eddy"/>
    <x v="6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2195%20Gent%2001072025%204419%20Eddy%20Maelbraecke.pdf?csf=1&amp;web=1&amp;e=MkzgFf"/>
    <n v="1"/>
    <m/>
    <x v="4"/>
    <x v="213"/>
    <n v="2195"/>
    <s v="ja"/>
  </r>
  <r>
    <n v="21509"/>
    <x v="63"/>
    <s v="De Craemer"/>
    <s v="Kris"/>
    <x v="7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6319%2001072025%20Gent%2021509%20Kris%20De%20Craemer.pdf?csf=1&amp;web=1&amp;e=3Gwvl3"/>
    <m/>
    <n v="1"/>
    <x v="2"/>
    <x v="71"/>
    <n v="6319"/>
    <s v="ja"/>
  </r>
  <r>
    <n v="32528"/>
    <x v="81"/>
    <s v="Benjilali"/>
    <s v="Abdelhak"/>
    <x v="9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01072025%205264%20Gent%2032528%20Abdelhak%20Benjalili.pdf?csf=1&amp;web=1&amp;e=r2qFIj"/>
    <n v="1"/>
    <m/>
    <x v="4"/>
    <x v="6"/>
    <n v="5264"/>
    <s v="ja"/>
  </r>
  <r>
    <n v="37542"/>
    <x v="155"/>
    <s v="De Tandt"/>
    <s v="Hans"/>
    <x v="4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5"/>
    <x v="82"/>
    <n v="6362"/>
    <s v="ja"/>
  </r>
  <r>
    <n v="38648"/>
    <x v="70"/>
    <s v="Uckuyulu"/>
    <s v="Muhammet Emin"/>
    <x v="6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8%20Gent%2002072025%2038648%20Emin%20Uckuyulu.pdf?csf=1&amp;web=1&amp;e=ztYK2l"/>
    <m/>
    <n v="1"/>
    <x v="5"/>
    <x v="56"/>
    <n v="6368"/>
    <s v="ja"/>
  </r>
  <r>
    <n v="4419"/>
    <x v="256"/>
    <s v="Maelbrancke"/>
    <s v="Eddy"/>
    <x v="6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3%20EKE%2003072025.pdf?csf=1&amp;web=1&amp;e=r3yMns"/>
    <n v="1"/>
    <m/>
    <x v="4"/>
    <x v="214"/>
    <n v="2193"/>
    <s v="Neen"/>
  </r>
  <r>
    <n v="40745"/>
    <x v="345"/>
    <s v="Ivanov"/>
    <s v="Ivan"/>
    <x v="4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5259%2003072025%20GENT%2040745%20Ivan%20Ivanov.pdf?csf=1&amp;web=1&amp;e=pJwYiX"/>
    <n v="1"/>
    <m/>
    <x v="4"/>
    <x v="119"/>
    <n v="5259"/>
    <s v="ja"/>
  </r>
  <r>
    <n v="28737"/>
    <x v="274"/>
    <s v="El-Mohamed"/>
    <s v="Mohamed"/>
    <x v="6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5046%2004072025%20Gent%2028737%20Mohamed%20El%20Mohamed.pdf?csf=1&amp;web=1&amp;e=9pPmNB"/>
    <n v="1"/>
    <m/>
    <x v="4"/>
    <x v="26"/>
    <n v="5046"/>
    <s v="ja"/>
  </r>
  <r>
    <n v="39660"/>
    <x v="76"/>
    <s v="Lloyd"/>
    <s v="Glenn"/>
    <x v="4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2190%2004072025%20Gent%2039660%20Glenn%20Loyd.pdf?csf=1&amp;web=1&amp;e=GWNfVE"/>
    <n v="1"/>
    <m/>
    <x v="4"/>
    <x v="213"/>
    <n v="2190"/>
    <s v="Neen"/>
  </r>
  <r>
    <n v="22416"/>
    <x v="346"/>
    <s v="Bicici"/>
    <s v="Abdul Kadir"/>
    <x v="5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6355%20Gent%2005072025%2022416%20Abdul%20Kadir%20Bicici.pdf?csf=1&amp;web=1&amp;e=0CzNqL"/>
    <m/>
    <n v="1"/>
    <x v="5"/>
    <x v="215"/>
    <n v="6355"/>
    <s v="ja"/>
  </r>
  <r>
    <n v="40939"/>
    <x v="294"/>
    <s v="Cisse"/>
    <s v="Sayon"/>
    <x v="1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5046%2005072025%20Gent%2040939%20Cisse%20Sayon.pdf?csf=1&amp;web=1&amp;e=9wBhrq"/>
    <n v="1"/>
    <m/>
    <x v="4"/>
    <x v="59"/>
    <n v="5046"/>
    <s v="ja"/>
  </r>
  <r>
    <n v="31776"/>
    <x v="347"/>
    <s v="Famelaer"/>
    <s v="Steve"/>
    <x v="7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2198%20Gent%2007062025%2031776%20Steve%20Famelaer.pdf?csf=1&amp;web=1&amp;e=pYcdqJ"/>
    <n v="1"/>
    <m/>
    <x v="4"/>
    <x v="8"/>
    <n v="2198"/>
    <s v="ja"/>
  </r>
  <r>
    <n v="37439"/>
    <x v="98"/>
    <s v="Demirkazik"/>
    <s v="Mustafa"/>
    <x v="1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486%2009072025%20Gent%2037439%20Mustafa%20Demirkazik.pdf?csf=1&amp;web=1&amp;e=5VXRjB"/>
    <n v="1"/>
    <m/>
    <x v="3"/>
    <x v="47"/>
    <n v="5486"/>
    <s v="ja"/>
  </r>
  <r>
    <n v="41859"/>
    <x v="348"/>
    <s v="Palit"/>
    <s v="Ramazan"/>
    <x v="10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921%2007072025%20Gent%2041859%20Palit%20Ramazan.pdf?csf=1&amp;web=1&amp;e=d6bv5u"/>
    <n v="1"/>
    <m/>
    <x v="3"/>
    <x v="32"/>
    <n v="5921"/>
    <s v="ja"/>
  </r>
  <r>
    <n v="18987"/>
    <x v="43"/>
    <e v="#N/A"/>
    <e v="#N/A"/>
    <x v="0"/>
    <x v="0"/>
    <m/>
    <m/>
    <m/>
    <m/>
    <m/>
    <m/>
    <n v="1"/>
    <m/>
    <m/>
    <m/>
    <m/>
    <m/>
    <n v="1"/>
    <x v="399"/>
    <s v="https://delijn.sharepoint.com/:b:/r/teams/CTM-OTGentStad/Shared%20Documents/General/EAF/CSI(nieuwe%20sharepoint)%202025/7.%20Juli/EAF%206313%2008072025%20Gent%2018987%20De%20Geyter%20Dolly.pdf?csf=1&amp;web=1&amp;e=jvHB5m"/>
    <m/>
    <n v="1"/>
    <x v="2"/>
    <x v="39"/>
    <n v="6313"/>
    <s v="ja"/>
  </r>
  <r>
    <n v="4720"/>
    <x v="349"/>
    <s v="De Roo"/>
    <s v="Jo"/>
    <x v="3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5772%2009072025%20Gent%204720%20De%20Roo%20Jo.pdf?csf=1&amp;web=1&amp;e=zjOxtW"/>
    <n v="1"/>
    <m/>
    <x v="3"/>
    <x v="216"/>
    <n v="5772"/>
    <s v="ja"/>
  </r>
  <r>
    <n v="22877"/>
    <x v="350"/>
    <s v="Goossens"/>
    <s v="Gunther"/>
    <x v="2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2189%2009072025%20Gent%2022877Gunther%20Goossens.pdf?csf=1&amp;web=1&amp;e=dfhXP2"/>
    <n v="1"/>
    <m/>
    <x v="4"/>
    <x v="19"/>
    <n v="2189"/>
    <s v="ja"/>
  </r>
  <r>
    <n v="12684"/>
    <x v="238"/>
    <s v="Van Den Bossche"/>
    <s v="Martine"/>
    <x v="3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046%2010072025%20Gent%2012684%20Martine%20Vandenbossche.pdf?csf=1&amp;web=1&amp;e=lw5xjo"/>
    <n v="1"/>
    <m/>
    <x v="4"/>
    <x v="23"/>
    <n v="5046"/>
    <s v="ja"/>
  </r>
  <r>
    <n v="31668"/>
    <x v="20"/>
    <s v="Weemhof"/>
    <s v="Maurice"/>
    <x v="7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2196%2010072025%20Gent.pdf?csf=1&amp;web=1&amp;e=TUzY3P"/>
    <n v="1"/>
    <m/>
    <x v="4"/>
    <x v="32"/>
    <n v="2196"/>
    <s v="ja"/>
  </r>
  <r>
    <n v="32002"/>
    <x v="315"/>
    <s v="Hasni"/>
    <s v="Helmi"/>
    <x v="9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6355%2010072025%20Gent%2032002%20Helmi%20Hasni.pdf?csf=1&amp;web=1&amp;e=vaLlvQ"/>
    <m/>
    <n v="1"/>
    <x v="5"/>
    <x v="217"/>
    <n v="6355"/>
    <s v="ja"/>
  </r>
  <r>
    <n v="40362"/>
    <x v="342"/>
    <s v="Kuru"/>
    <s v="Cetin"/>
    <x v="1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915%2010072025%20Gent%2040362%20Kuru%20Centin.pdf?csf=1&amp;web=1&amp;e=8JdEb2"/>
    <n v="1"/>
    <m/>
    <x v="3"/>
    <x v="55"/>
    <n v="5915"/>
    <s v="ja"/>
  </r>
  <r>
    <n v="41091"/>
    <x v="280"/>
    <s v="Yavas"/>
    <s v="Talha"/>
    <x v="7"/>
    <x v="0"/>
    <m/>
    <m/>
    <m/>
    <m/>
    <m/>
    <m/>
    <n v="1"/>
    <m/>
    <m/>
    <m/>
    <m/>
    <m/>
    <n v="1"/>
    <x v="402"/>
    <s v=" https://delijn.sharepoint.com/:b:/r/teams/CTM-OTGentStad/Shared%20Documents/General/EAF/CSI(nieuwe%20sharepoint)%202025/7.%20Juli/EAF%20532411072025%20Gent%2041091.pdf?csf=1&amp;web=1&amp;e=bklbFI"/>
    <n v="1"/>
    <m/>
    <x v="4"/>
    <x v="202"/>
    <n v="5324"/>
    <s v="ja"/>
  </r>
  <r>
    <n v="40856"/>
    <x v="272"/>
    <s v="Neissi"/>
    <s v="Sadegh"/>
    <x v="1"/>
    <x v="0"/>
    <m/>
    <m/>
    <m/>
    <m/>
    <m/>
    <m/>
    <n v="1"/>
    <m/>
    <m/>
    <m/>
    <m/>
    <m/>
    <n v="1"/>
    <x v="403"/>
    <s v="https://delijn.sharepoint.com/:b:/r/teams/CTM-OTGentStad/Shared%20Documents/General/EAF/CSI(nieuwe%20sharepoint)%202025/7.%20Juli/EAF%205043%2012072025%20Gent%2040856%20Neissi%20Sadegh.pdf?csf=1&amp;web=1&amp;e=wEjUSf"/>
    <n v="1"/>
    <m/>
    <x v="4"/>
    <x v="8"/>
    <n v="5043"/>
    <s v="ja"/>
  </r>
  <r>
    <n v="36428"/>
    <x v="181"/>
    <s v="Abdi Shaiye"/>
    <s v="Rashid"/>
    <x v="6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763%2013072025%20Gent%2036428%20Rashid%20Abdi%20Shaiye.pdf?csf=1&amp;web=1&amp;e=Ly7On9"/>
    <n v="1"/>
    <m/>
    <x v="3"/>
    <x v="218"/>
    <n v="5763"/>
    <s v="ja"/>
  </r>
  <r>
    <n v="37936"/>
    <x v="150"/>
    <s v="Detaeye"/>
    <s v="Alexander"/>
    <x v="9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911%20Gent%2013072025%2037936%20Detaeye%20Alexander.pdf?csf=1&amp;web=1&amp;e=1kDqga"/>
    <n v="1"/>
    <m/>
    <x v="3"/>
    <x v="219"/>
    <n v="5911"/>
    <s v="ja"/>
  </r>
  <r>
    <n v="36577"/>
    <x v="351"/>
    <s v="De Smet"/>
    <s v="Martine"/>
    <x v="2"/>
    <x v="0"/>
    <m/>
    <m/>
    <m/>
    <m/>
    <m/>
    <m/>
    <n v="1"/>
    <m/>
    <m/>
    <m/>
    <m/>
    <m/>
    <n v="1"/>
    <x v="405"/>
    <s v="https://delijn.sharepoint.com/:b:/r/teams/CTM-OTGentStad/Shared%20Documents/General/EAF/CSI(nieuwe%20sharepoint)%202025/7.%20Juli/EAF%206353%2014072025%20Gent%2036577%20Martine%20Desmet.pdf?csf=1&amp;web=1&amp;e=yvmkmw"/>
    <m/>
    <n v="1"/>
    <x v="5"/>
    <x v="71"/>
    <n v="6353"/>
    <s v="ja"/>
  </r>
  <r>
    <n v="12684"/>
    <x v="238"/>
    <s v="Van Den Bossche"/>
    <s v="Martine"/>
    <x v="3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044%20Hagelandkaai%20Gent%2015072025.pdf?csf=1&amp;web=1&amp;e=UeBZGh"/>
    <n v="1"/>
    <m/>
    <x v="4"/>
    <x v="89"/>
    <n v="5044"/>
    <s v="ja"/>
  </r>
  <r>
    <n v="19917"/>
    <x v="12"/>
    <s v="Vandevyvere"/>
    <s v="Frank"/>
    <x v="4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4"/>
    <x v="9"/>
    <n v="5231"/>
    <s v="ja"/>
  </r>
  <r>
    <n v="39529"/>
    <x v="166"/>
    <s v="Desmet"/>
    <s v="Patricia"/>
    <x v="5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5"/>
    <x v="148"/>
    <n v="6375"/>
    <s v="Neen"/>
  </r>
  <r>
    <n v="30271"/>
    <x v="352"/>
    <s v="Bracke"/>
    <s v="Jeroen"/>
    <x v="2"/>
    <x v="0"/>
    <m/>
    <m/>
    <m/>
    <m/>
    <m/>
    <m/>
    <n v="1"/>
    <m/>
    <m/>
    <m/>
    <m/>
    <m/>
    <n v="1"/>
    <x v="407"/>
    <s v="https://delijn.sharepoint.com/:b:/r/teams/CTM-OTGentStad/Shared%20Documents/General/EAF/CSI(nieuwe%20sharepoint)%202025/7.%20Juli/EAF%202807%2016072025%20Gent%2030271%20Jeroen%20Bracke.pdf?csf=1&amp;web=1&amp;e=O6TV35"/>
    <n v="1"/>
    <m/>
    <x v="4"/>
    <x v="2"/>
    <n v="2807"/>
    <s v="ja"/>
  </r>
  <r>
    <n v="26331"/>
    <x v="84"/>
    <s v="Van Semmertier"/>
    <s v="Pascal"/>
    <x v="4"/>
    <x v="0"/>
    <m/>
    <m/>
    <m/>
    <m/>
    <m/>
    <m/>
    <n v="1"/>
    <m/>
    <m/>
    <m/>
    <m/>
    <m/>
    <n v="1"/>
    <x v="408"/>
    <s v="https://delijn.sharepoint.com/:b:/r/teams/CTM-OTGentStad/Shared%20Documents/General/EAF/CSI(nieuwe%20sharepoint)%202025/7.%20Juli/EAF%205266%20Brugsepoort%20Gent%2019072025.pdf?csf=1&amp;web=1&amp;e=CPSUQU"/>
    <n v="1"/>
    <m/>
    <x v="4"/>
    <x v="220"/>
    <n v="5266"/>
    <s v="ja"/>
  </r>
  <r>
    <n v="41137"/>
    <x v="353"/>
    <s v="De smet"/>
    <s v="Dirk"/>
    <x v="7"/>
    <x v="0"/>
    <m/>
    <m/>
    <m/>
    <m/>
    <m/>
    <m/>
    <n v="1"/>
    <m/>
    <m/>
    <m/>
    <m/>
    <m/>
    <n v="1"/>
    <x v="409"/>
    <s v="https://delijn.sharepoint.com/:b:/r/teams/CTM-OTGentStad/Shared%20Documents/General/EAF/CSI(nieuwe%20sharepoint)%202025/7.%20Juli/EAF%205767%20Gent%2021072025.pdf?csf=1&amp;web=1&amp;e=L7JGQk"/>
    <n v="1"/>
    <m/>
    <x v="3"/>
    <x v="177"/>
    <n v="5767"/>
    <s v="ja"/>
  </r>
  <r>
    <n v="35397"/>
    <x v="287"/>
    <s v="Minbari"/>
    <s v="Ako"/>
    <x v="6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2"/>
    <x v="4"/>
    <n v="6323"/>
    <s v="ja"/>
  </r>
  <r>
    <n v="39581"/>
    <x v="2"/>
    <s v="Vandenhaute"/>
    <s v="Linus"/>
    <x v="2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260%2023072025%2039581%20Linus%20Vandenhoutte.pdf?csf=1&amp;web=1&amp;e=4u80bg"/>
    <n v="1"/>
    <m/>
    <x v="4"/>
    <x v="35"/>
    <n v="5260"/>
    <s v="ja"/>
  </r>
  <r>
    <n v="41162"/>
    <x v="265"/>
    <s v="Hoeckman"/>
    <s v="Jeroen"/>
    <x v="7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6%2023072025%20Gent%2041162%20Jeroen%20Hoeckman.pdf?csf=1&amp;web=1&amp;e=5joert"/>
    <n v="1"/>
    <m/>
    <x v="4"/>
    <x v="141"/>
    <n v="5046"/>
    <s v="ja"/>
  </r>
  <r>
    <n v="11213"/>
    <x v="354"/>
    <s v="De Plus"/>
    <s v="Gunter"/>
    <x v="4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6331%20Gent%2024072025%2011213%20De%20Plus%20Gunther.pdf?csf=1&amp;web=1&amp;e=MhEOdn"/>
    <m/>
    <n v="1"/>
    <x v="2"/>
    <x v="221"/>
    <n v="6331"/>
    <s v="ja"/>
  </r>
  <r>
    <n v="23918"/>
    <x v="213"/>
    <s v="D'Haeyere"/>
    <s v="Bernard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33%20Gent%2024072025%2023918%20Bernard%20Dhaeyere.pdf?csf=1&amp;web=1&amp;e=tutFuS"/>
    <n v="1"/>
    <m/>
    <x v="3"/>
    <x v="32"/>
    <n v="5933"/>
    <s v="ja"/>
  </r>
  <r>
    <n v="42002"/>
    <x v="355"/>
    <s v="Bogaert"/>
    <s v="Kevin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24%20Gent%2024072025%2042007%20Kevin%20bogaert.pdf?csf=1&amp;web=1&amp;e=M0Mio5"/>
    <n v="1"/>
    <m/>
    <x v="3"/>
    <x v="32"/>
    <n v="5924"/>
    <s v="Neen"/>
  </r>
  <r>
    <n v="12819"/>
    <x v="356"/>
    <s v="Van Eenaeme"/>
    <s v="David"/>
    <x v="4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5041%20Gent%2025072025%2012819%20David%20Van%20Eename.pdf?csf=1&amp;web=1&amp;e=J8HFtY"/>
    <n v="1"/>
    <m/>
    <x v="4"/>
    <x v="15"/>
    <n v="5041"/>
    <s v="ja"/>
  </r>
  <r>
    <n v="18051"/>
    <x v="357"/>
    <s v="Van Wittenberge"/>
    <s v="Filip"/>
    <x v="5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6359%20Gent%2025072025%2018051%20Filip%20Van%20wittenberge.pdf?csf=1&amp;web=1&amp;e=aPbN9H"/>
    <m/>
    <n v="1"/>
    <x v="5"/>
    <x v="93"/>
    <n v="6359"/>
    <s v="Neen"/>
  </r>
  <r>
    <n v="41384"/>
    <x v="332"/>
    <s v="Hillaert"/>
    <s v="Thimo"/>
    <x v="5"/>
    <x v="0"/>
    <m/>
    <m/>
    <m/>
    <m/>
    <m/>
    <m/>
    <n v="1"/>
    <m/>
    <m/>
    <m/>
    <m/>
    <m/>
    <n v="1"/>
    <x v="413"/>
    <s v="https://delijn.sharepoint.com/:b:/r/teams/CTM-OTGentStad/Shared%20Documents/General/EAF/CSI(nieuwe%20sharepoint)%202025/7.%20Juli/EAF%205767%20GEnt%2026072025%2041384%20Thimo%20Hillaert.pdf?csf=1&amp;web=1&amp;e=LokqEX"/>
    <n v="1"/>
    <m/>
    <x v="3"/>
    <x v="181"/>
    <n v="5767"/>
    <s v="Neen"/>
  </r>
  <r>
    <n v="37258"/>
    <x v="358"/>
    <s v="Ouchir"/>
    <s v="Louay"/>
    <x v="3"/>
    <x v="0"/>
    <m/>
    <m/>
    <m/>
    <m/>
    <m/>
    <m/>
    <n v="1"/>
    <m/>
    <m/>
    <m/>
    <m/>
    <m/>
    <n v="1"/>
    <x v="414"/>
    <s v=" https://delijn.sharepoint.com/:b:/r/teams/CTM-OTGentStad/Shared%20Documents/General/EAF/CSI(nieuwe%20sharepoint)%202025/8.%20Augustus/EAF%202195%20Gent%20Sint-Pietersstation%2028072025%20-%2037258.pdf?csf=1&amp;web=1&amp;e=hvNFFF"/>
    <n v="1"/>
    <m/>
    <x v="4"/>
    <x v="8"/>
    <n v="2195"/>
    <s v="ja"/>
  </r>
  <r>
    <n v="39673"/>
    <x v="18"/>
    <s v="Steurbaut"/>
    <s v="Henri"/>
    <x v="3"/>
    <x v="0"/>
    <m/>
    <m/>
    <m/>
    <m/>
    <m/>
    <m/>
    <n v="1"/>
    <m/>
    <m/>
    <m/>
    <m/>
    <m/>
    <n v="1"/>
    <x v="414"/>
    <s v="https://delijn.sharepoint.com/:b:/r/teams/CTM-OTGentStad/Shared%20Documents/General/EAF/CSI(nieuwe%20sharepoint)%202025/7.%20Juli/EAF%202192%2028072025%20Gent.pdf?csf=1&amp;web=1&amp;e=MYEecx"/>
    <n v="1"/>
    <m/>
    <x v="4"/>
    <x v="222"/>
    <n v="2192"/>
    <s v="ja"/>
  </r>
  <r>
    <n v="20653"/>
    <x v="65"/>
    <s v="Mestdag"/>
    <s v="Marius"/>
    <x v="4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6325%20Gent%2029072025%2020653%20Mestdag.pdf?csf=1&amp;web=1&amp;e=4seyHD"/>
    <m/>
    <n v="1"/>
    <x v="2"/>
    <x v="116"/>
    <n v="6325"/>
    <s v="Neen"/>
  </r>
  <r>
    <n v="41007"/>
    <x v="359"/>
    <s v="Sogut"/>
    <s v="Cagri"/>
    <x v="10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923%2029072025%20stelplaats%20GBR.pdf?csf=1&amp;web=1&amp;e=kIxIf8"/>
    <n v="1"/>
    <m/>
    <x v="3"/>
    <x v="32"/>
    <n v="5923"/>
    <s v="ja"/>
  </r>
  <r>
    <n v="41296"/>
    <x v="249"/>
    <s v="Abulehia"/>
    <s v="Oday"/>
    <x v="5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271%20Gent%2031072025.pdf?csf=1&amp;web=1&amp;e=BoHWZf"/>
    <n v="1"/>
    <m/>
    <x v="4"/>
    <x v="223"/>
    <n v="5271"/>
    <s v="ja"/>
  </r>
  <r>
    <n v="10782"/>
    <x v="360"/>
    <s v="De Kee"/>
    <s v="Ina"/>
    <x v="1"/>
    <x v="0"/>
    <m/>
    <m/>
    <m/>
    <m/>
    <m/>
    <m/>
    <m/>
    <m/>
    <m/>
    <m/>
    <m/>
    <m/>
    <n v="1"/>
    <x v="416"/>
    <s v="https://delijn.sharepoint.com/:b:/r/teams/CTM-OTGentStad/Shared%20Documents/General/EAF/CSI(nieuwe%20sharepoint)%202025/7.%20Juli/EAF%206337%20Gent%2030072025%2010782%20Ina%20De%20Kee.pdf?csf=1&amp;web=1&amp;e=6ptLXK"/>
    <m/>
    <n v="1"/>
    <x v="2"/>
    <x v="224"/>
    <n v="6337"/>
    <s v="Neen"/>
  </r>
  <r>
    <n v="34890"/>
    <x v="361"/>
    <s v="Sturtewagen"/>
    <s v="Tom"/>
    <x v="4"/>
    <x v="0"/>
    <m/>
    <m/>
    <m/>
    <m/>
    <m/>
    <m/>
    <m/>
    <m/>
    <m/>
    <m/>
    <m/>
    <m/>
    <n v="0"/>
    <x v="417"/>
    <s v=" https://delijn.sharepoint.com/:b:/r/teams/CTM-OTGentStad/Shared%20Documents/General/EAF/CSI(nieuwe%20sharepoint)%202025/9.%20September/EAF%205042%20Steendam%20Gent%2031.07.2025%20Tom%20Sturtewagen%2034890.pdf?csf=1&amp;web=1&amp;e=nJLJjC"/>
    <n v="1"/>
    <m/>
    <x v="4"/>
    <x v="23"/>
    <n v="5042"/>
    <s v="ja"/>
  </r>
  <r>
    <n v="40138"/>
    <x v="235"/>
    <s v="Moerman"/>
    <s v="Tjimmy"/>
    <x v="5"/>
    <x v="0"/>
    <m/>
    <m/>
    <m/>
    <m/>
    <m/>
    <m/>
    <m/>
    <n v="1"/>
    <m/>
    <m/>
    <m/>
    <m/>
    <n v="1"/>
    <x v="418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3"/>
    <x v="42"/>
    <n v="5915"/>
    <s v="ja"/>
  </r>
  <r>
    <n v="40859"/>
    <x v="218"/>
    <s v="Yagoub"/>
    <s v="Abdelali"/>
    <x v="3"/>
    <x v="0"/>
    <m/>
    <m/>
    <m/>
    <m/>
    <m/>
    <m/>
    <m/>
    <n v="1"/>
    <m/>
    <m/>
    <m/>
    <m/>
    <n v="1"/>
    <x v="419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4"/>
    <x v="225"/>
    <n v="2190"/>
    <s v="ja"/>
  </r>
  <r>
    <n v="36021"/>
    <x v="362"/>
    <s v="Boelaert"/>
    <s v="Frederik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05082025%20Gent%2036021%20Frederik%20Boelaert.pdf?csf=1&amp;web=1&amp;e=BPGPuk"/>
    <n v="1"/>
    <m/>
    <x v="4"/>
    <x v="193"/>
    <n v="5042"/>
    <s v="Neen"/>
  </r>
  <r>
    <n v="37345"/>
    <x v="139"/>
    <s v="Walleyn"/>
    <s v="Renaat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6372%20Gent%2005-08-2025%20Walleyn%20Renaat.pdf?csf=1&amp;web=1&amp;e=7JItzV"/>
    <m/>
    <n v="1"/>
    <x v="5"/>
    <x v="2"/>
    <n v="6372"/>
    <s v="ja"/>
  </r>
  <r>
    <n v="41162"/>
    <x v="265"/>
    <s v="Hoeckman"/>
    <s v="Jeroen"/>
    <x v="7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4"/>
    <x v="8"/>
    <n v="2200"/>
    <s v="ja"/>
  </r>
  <r>
    <n v="37254"/>
    <x v="240"/>
    <s v="Coulon"/>
    <s v="Rayan"/>
    <x v="1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043%2007082025%20Gent%2037254%20Coulon%20Rayan.pdf?csf=1&amp;web=1&amp;e=4jFWhM"/>
    <n v="1"/>
    <m/>
    <x v="4"/>
    <x v="26"/>
    <n v="5053"/>
    <s v="ja"/>
  </r>
  <r>
    <n v="41874"/>
    <x v="363"/>
    <s v="Dobbeleire"/>
    <s v="Bruno"/>
    <x v="7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923%20Gent%20%2007082025%2041874%20Bruno%20Dobbeleire.pdf?csf=1&amp;web=1&amp;e=vWcu13"/>
    <n v="1"/>
    <m/>
    <x v="3"/>
    <x v="14"/>
    <n v="5923"/>
    <s v="ja"/>
  </r>
  <r>
    <n v="41092"/>
    <x v="237"/>
    <s v="De Keyser"/>
    <s v="Dorien"/>
    <x v="7"/>
    <x v="0"/>
    <m/>
    <m/>
    <m/>
    <m/>
    <m/>
    <m/>
    <m/>
    <n v="1"/>
    <m/>
    <m/>
    <m/>
    <m/>
    <n v="1"/>
    <x v="422"/>
    <s v="https://delijn.sharepoint.com/:b:/r/teams/CTM-OTGentStad/Shared%20Documents/General/EAF/CSI(nieuwe%20sharepoint)%202025/8.%20Augustus/EAF%202194%2009082025%20Gent%2041092%20Dorien%20De%20Keyser.pdf?csf=1&amp;web=1&amp;e=ZuBDXU"/>
    <n v="1"/>
    <m/>
    <x v="4"/>
    <x v="226"/>
    <n v="2194"/>
    <s v="ja"/>
  </r>
  <r>
    <n v="38740"/>
    <x v="319"/>
    <s v="Meskens"/>
    <s v="Anthony"/>
    <x v="5"/>
    <x v="0"/>
    <m/>
    <m/>
    <m/>
    <m/>
    <m/>
    <m/>
    <m/>
    <n v="1"/>
    <m/>
    <m/>
    <m/>
    <m/>
    <n v="1"/>
    <x v="423"/>
    <s v="https://delijn.sharepoint.com/:b:/r/teams/CTM-OTGentStad/Shared%20Documents/General/EAF/CSI(nieuwe%20sharepoint)%202025/8.%20Augustus/EAF%206321%20GEnt%2010082025%2038740%20Anthony%20Meskens.pdf?csf=1&amp;web=1&amp;e=xdQry7"/>
    <m/>
    <n v="1"/>
    <x v="2"/>
    <x v="56"/>
    <n v="6321"/>
    <s v="ja"/>
  </r>
  <r>
    <n v="22202"/>
    <x v="364"/>
    <s v="Pluym"/>
    <s v="Pascal"/>
    <x v="9"/>
    <x v="0"/>
    <m/>
    <m/>
    <m/>
    <m/>
    <m/>
    <m/>
    <m/>
    <n v="1"/>
    <m/>
    <m/>
    <m/>
    <m/>
    <n v="1"/>
    <x v="424"/>
    <s v=" https://delijn.sharepoint.com/:b:/r/teams/CTM-OTGentStad/Shared%20Documents/General/EAF/CSI(nieuwe%20sharepoint)%202025/8.%20Augustus/EAF%2014082025%205266%20Gent.pdf?csf=1&amp;web=1&amp;e=lRG0mc"/>
    <n v="1"/>
    <m/>
    <x v="4"/>
    <x v="8"/>
    <n v="5266"/>
    <s v="ja"/>
  </r>
  <r>
    <n v="41348"/>
    <x v="365"/>
    <s v="Van Huffel"/>
    <s v="Tim"/>
    <x v="5"/>
    <x v="0"/>
    <m/>
    <m/>
    <m/>
    <m/>
    <m/>
    <m/>
    <m/>
    <m/>
    <m/>
    <m/>
    <m/>
    <m/>
    <n v="0"/>
    <x v="424"/>
    <s v="https://delijn.sharepoint.com/:b:/r/teams/CTM-OTGentStad/Shared%20Documents/General/EAF/CSI(nieuwe%20sharepoint)%202025/8.%20Augustus/EAF%205927%2014082025%20Gent%2041348%20Tim%20Van%20Huffel.pdf?csf=1&amp;web=1&amp;e=Alupbn"/>
    <n v="1"/>
    <m/>
    <x v="3"/>
    <x v="2"/>
    <n v="5927"/>
    <s v="Neen"/>
  </r>
  <r>
    <n v="41871"/>
    <x v="366"/>
    <s v="Karanfil"/>
    <s v="Ibrahim"/>
    <x v="7"/>
    <x v="0"/>
    <m/>
    <m/>
    <m/>
    <m/>
    <m/>
    <m/>
    <m/>
    <n v="1"/>
    <m/>
    <m/>
    <m/>
    <m/>
    <n v="1"/>
    <x v="425"/>
    <s v="https://delijn.sharepoint.com/:b:/r/teams/CTM-OTGentStad/Shared%20Documents/General/EAF/CSI(nieuwe%20sharepoint)%202025/8.%20Augustus/EAF%205912%2015082025%2041871%20Karanfil%20Ibrahim.pdf?csf=1&amp;web=1&amp;e=6QiGxw"/>
    <n v="1"/>
    <m/>
    <x v="3"/>
    <x v="86"/>
    <n v="5912"/>
    <s v="ja"/>
  </r>
  <r>
    <n v="25487"/>
    <x v="134"/>
    <s v="Devos"/>
    <s v="Stefaan"/>
    <x v="9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8082025%206315%20Gent.pdf?csf=1&amp;web=1&amp;e=TBR6j6"/>
    <m/>
    <n v="1"/>
    <x v="2"/>
    <x v="152"/>
    <n v="6315"/>
    <s v="ja"/>
  </r>
  <r>
    <n v="18051"/>
    <x v="357"/>
    <s v="Van Wittenberge"/>
    <s v="Filip"/>
    <x v="5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4"/>
    <x v="185"/>
    <n v="5233"/>
    <s v="ja"/>
  </r>
  <r>
    <n v="40403"/>
    <x v="179"/>
    <s v="Prové"/>
    <s v="Michaël"/>
    <x v="7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9%2021082025%20Gent%2040403%20Prove%20Michael.pdf?csf=1&amp;web=1&amp;e=fjpcUT"/>
    <n v="1"/>
    <m/>
    <x v="4"/>
    <x v="26"/>
    <n v="5239"/>
    <s v="Neen"/>
  </r>
  <r>
    <n v="25829"/>
    <x v="367"/>
    <s v="Kayim"/>
    <s v="Akin"/>
    <x v="9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22082025%206307%20Gent.pdf?csf=1&amp;web=1&amp;e=qKZXVA"/>
    <m/>
    <n v="1"/>
    <x v="2"/>
    <x v="150"/>
    <n v="6307"/>
    <s v="Neen"/>
  </r>
  <r>
    <n v="39651"/>
    <x v="196"/>
    <s v="Kallenbach"/>
    <s v="Sunny"/>
    <x v="1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5052%2022082025%20Gent%2039651%20Sunny%20Kallenbach.pdf?csf=1&amp;web=1&amp;e=hGccC2"/>
    <n v="1"/>
    <m/>
    <x v="4"/>
    <x v="35"/>
    <n v="5052"/>
    <s v="ja"/>
  </r>
  <r>
    <n v="39654"/>
    <x v="95"/>
    <s v="Camacho Encarnacion"/>
    <s v="Lisandro Javier"/>
    <x v="1"/>
    <x v="0"/>
    <m/>
    <m/>
    <m/>
    <m/>
    <m/>
    <m/>
    <n v="1"/>
    <m/>
    <m/>
    <m/>
    <m/>
    <m/>
    <n v="1"/>
    <x v="42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4"/>
    <x v="59"/>
    <n v="5238"/>
    <s v="ja"/>
  </r>
  <r>
    <n v="41190"/>
    <x v="368"/>
    <s v="De Meyer"/>
    <s v="Horst"/>
    <x v="10"/>
    <x v="0"/>
    <m/>
    <m/>
    <m/>
    <m/>
    <m/>
    <m/>
    <m/>
    <n v="1"/>
    <m/>
    <m/>
    <m/>
    <m/>
    <n v="1"/>
    <x v="428"/>
    <s v="https://delijn.sharepoint.com/:b:/r/teams/CTM-OTGentStad/Shared%20Documents/General/EAF/CSI(nieuwe%20sharepoint)%202025/8.%20Augustus/EAF%205765%2041190%20Horst%20Demeyer.pdf?csf=1&amp;web=1&amp;e=pTb6Am"/>
    <n v="1"/>
    <m/>
    <x v="3"/>
    <x v="56"/>
    <n v="5765"/>
    <s v="ja"/>
  </r>
  <r>
    <n v="41619"/>
    <x v="331"/>
    <s v="Bachiri"/>
    <s v="Ousama"/>
    <x v="4"/>
    <x v="0"/>
    <m/>
    <m/>
    <m/>
    <m/>
    <m/>
    <m/>
    <m/>
    <n v="1"/>
    <m/>
    <m/>
    <m/>
    <m/>
    <n v="1"/>
    <x v="429"/>
    <s v=" https://delijn.sharepoint.com/:b:/r/teams/CTM-OTGentStad/Shared%20Documents/General/EAF/CSI(nieuwe%20sharepoint)%202025/8.%20Augustus/EAF%205048%20Gent%2023082025%2041619%20Bachiri%20Ousama.pdf?csf=1&amp;web=1&amp;e=zWKH6v"/>
    <n v="1"/>
    <m/>
    <x v="4"/>
    <x v="193"/>
    <n v="5048"/>
    <s v="ja"/>
  </r>
  <r>
    <n v="42145"/>
    <x v="369"/>
    <s v="Gys"/>
    <s v="Shayya"/>
    <x v="9"/>
    <x v="0"/>
    <m/>
    <m/>
    <m/>
    <m/>
    <m/>
    <m/>
    <m/>
    <n v="1"/>
    <m/>
    <m/>
    <m/>
    <m/>
    <n v="1"/>
    <x v="430"/>
    <s v=" https://delijn.sharepoint.com/:b:/r/teams/CTM-OTGentStad/Shared%20Documents/General/EAF/CSI(nieuwe%20sharepoint)%202025/8.%20Augustus/EAF%2025082025%208137%20Gent.pdf?csf=1&amp;web=1&amp;e=rhSGdw"/>
    <n v="1"/>
    <m/>
    <x v="3"/>
    <x v="227"/>
    <n v="8137"/>
    <s v="ja"/>
  </r>
  <r>
    <n v="34198"/>
    <x v="42"/>
    <s v="Pelfrene"/>
    <s v="Toby"/>
    <x v="3"/>
    <x v="0"/>
    <m/>
    <m/>
    <m/>
    <m/>
    <m/>
    <m/>
    <m/>
    <n v="1"/>
    <m/>
    <m/>
    <m/>
    <m/>
    <n v="1"/>
    <x v="431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2"/>
    <x v="56"/>
    <n v="6308"/>
    <s v="ja"/>
  </r>
  <r>
    <n v="11236"/>
    <x v="61"/>
    <s v="Baert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5046%2028082025%20Gent%2011236%20Freddy%20Baert.pdf?csf=1&amp;web=1&amp;e=PXPs08"/>
    <n v="1"/>
    <m/>
    <x v="4"/>
    <x v="228"/>
    <n v="5046"/>
    <s v="ja"/>
  </r>
  <r>
    <n v="16895"/>
    <x v="230"/>
    <s v="Van Lauwe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6332%20GEnt%2028082025.pdf?csf=1&amp;web=1&amp;e=aAVqVH"/>
    <n v="1"/>
    <m/>
    <x v="2"/>
    <x v="229"/>
    <n v="6332"/>
    <s v="ja"/>
  </r>
  <r>
    <n v="33488"/>
    <x v="223"/>
    <s v="Holub"/>
    <s v="Patrik"/>
    <x v="3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5327%20Palingshuizen%20Gent%2029082025%20-%2033488.pdf?csf=1&amp;web=1&amp;e=Ru45GI"/>
    <n v="1"/>
    <m/>
    <x v="4"/>
    <x v="230"/>
    <n v="5327"/>
    <s v="ja"/>
  </r>
  <r>
    <n v="40856"/>
    <x v="272"/>
    <s v="Neissi"/>
    <s v="Sadegh"/>
    <x v="1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2193%2029082025%20Gent%2040856.pdf?csf=1&amp;web=1&amp;e=As2ZFk"/>
    <n v="1"/>
    <m/>
    <x v="4"/>
    <x v="56"/>
    <n v="2193"/>
    <s v="ja"/>
  </r>
  <r>
    <n v="39673"/>
    <x v="18"/>
    <s v="Steurbaut"/>
    <s v="Henri"/>
    <x v="3"/>
    <x v="0"/>
    <m/>
    <m/>
    <m/>
    <m/>
    <m/>
    <m/>
    <m/>
    <n v="1"/>
    <m/>
    <m/>
    <m/>
    <m/>
    <n v="1"/>
    <x v="434"/>
    <s v=" https://delijn.sharepoint.com/:b:/r/teams/CTM-OTGentStad/Shared%20Documents/General/EAF/CSI(nieuwe%20sharepoint)%202025/8.%20Augustus/EAF%205044%20Snellaertplein%20Gent%2030082025%20-%2039673.pdf?csf=1&amp;web=1&amp;e=IIlcEP"/>
    <n v="1"/>
    <m/>
    <x v="4"/>
    <x v="68"/>
    <n v="5044"/>
    <s v="ja"/>
  </r>
  <r>
    <n v="41874"/>
    <x v="363"/>
    <s v="Dobbeleire"/>
    <s v="Bruno"/>
    <x v="7"/>
    <x v="0"/>
    <m/>
    <m/>
    <m/>
    <m/>
    <m/>
    <m/>
    <m/>
    <m/>
    <n v="1"/>
    <m/>
    <m/>
    <m/>
    <n v="1"/>
    <x v="435"/>
    <s v=" https://delijn.sharepoint.com/:b:/r/teams/CTM-OTGentStad/Shared%20Documents/General/EAF/CSI(nieuwe%20sharepoint)%202025/9.%20September/EAF%205938%2001092025%20Gent%2041874%20Bruno%20Dobbeleire.pdf?csf=1&amp;web=1&amp;e=LBJ2FC"/>
    <n v="1"/>
    <m/>
    <x v="3"/>
    <x v="231"/>
    <n v="5938"/>
    <s v="ja"/>
  </r>
  <r>
    <n v="27153"/>
    <x v="32"/>
    <s v="Oben"/>
    <s v="Thibaud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ja"/>
  </r>
  <r>
    <n v="40938"/>
    <x v="322"/>
    <s v="Hasnaoui"/>
    <s v="Nejmeddine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Neen"/>
  </r>
  <r>
    <n v="39528"/>
    <x v="143"/>
    <s v="Mihaylov"/>
    <s v="Plamen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33%2002092025%20Gent%2039528.pdf?csf=1&amp;web=1&amp;e=h3q8oW"/>
    <n v="1"/>
    <m/>
    <x v="4"/>
    <x v="3"/>
    <n v="5233"/>
    <s v="ja"/>
  </r>
  <r>
    <n v="40134"/>
    <x v="236"/>
    <s v="Cardon"/>
    <s v="Sharon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Scan_29076_1126_001.pdf?csf=1&amp;web=1&amp;e=TwnRmW"/>
    <n v="1"/>
    <m/>
    <x v="3"/>
    <x v="232"/>
    <n v="550311"/>
    <s v="ja"/>
  </r>
  <r>
    <n v="20656"/>
    <x v="370"/>
    <s v="Vonck"/>
    <s v="Bart"/>
    <x v="3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5324%20Malem%20Gent%2003092025%20-%2020656.pdf?csf=1&amp;web=1&amp;e=Qmuair"/>
    <n v="1"/>
    <m/>
    <x v="4"/>
    <x v="233"/>
    <n v="5324"/>
    <s v="ja"/>
  </r>
  <r>
    <n v="24367"/>
    <x v="60"/>
    <s v="Tayefeh Arbab"/>
    <s v="Ali"/>
    <x v="4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6319%20Albertbrug%20Gent%2003.09.2025%20Ali%20Arbab%20Tayefeh%2024367.pdf?csf=1&amp;web=1&amp;e=4YbWFK"/>
    <m/>
    <n v="1"/>
    <x v="2"/>
    <x v="234"/>
    <n v="6319"/>
    <s v="ja"/>
  </r>
  <r>
    <n v="33085"/>
    <x v="316"/>
    <s v="Van Hoe"/>
    <s v="Ivo"/>
    <x v="1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EAF%206316%2004092025%20Gent.pdf?csf=1&amp;web=1&amp;e=0ICZBu"/>
    <m/>
    <n v="1"/>
    <x v="2"/>
    <x v="56"/>
    <n v="6316"/>
    <s v="ja"/>
  </r>
  <r>
    <n v="42082"/>
    <x v="371"/>
    <s v="Ahmad"/>
    <s v="Othman"/>
    <x v="7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Scan_35348_1111_001.pdf?csf=1&amp;web=1&amp;e=bfqRxG"/>
    <n v="1"/>
    <m/>
    <x v="3"/>
    <x v="2"/>
    <n v="2548"/>
    <s v="ja"/>
  </r>
  <r>
    <n v="22244"/>
    <x v="162"/>
    <s v="Kirdas"/>
    <s v="Süleyman"/>
    <x v="5"/>
    <x v="0"/>
    <m/>
    <m/>
    <m/>
    <m/>
    <m/>
    <m/>
    <m/>
    <m/>
    <n v="1"/>
    <m/>
    <m/>
    <m/>
    <n v="1"/>
    <x v="439"/>
    <s v=" https://delijn.sharepoint.com/:b:/r/teams/CTM-OTGentStad/Shared%20Documents/General/EAF/CSI(nieuwe%20sharepoint)%202025/9.%20September/EAF%205931%2005092025%20Gent%2022244%20Kirdas%20Suleyman.pdf?csf=1&amp;web=1&amp;e=ZfCQ5O"/>
    <n v="1"/>
    <m/>
    <x v="3"/>
    <x v="235"/>
    <n v="5931"/>
    <s v="ja"/>
  </r>
  <r>
    <n v="37132"/>
    <x v="314"/>
    <s v="Dacic"/>
    <s v="Esmir"/>
    <x v="7"/>
    <x v="0"/>
    <m/>
    <m/>
    <m/>
    <m/>
    <m/>
    <m/>
    <m/>
    <m/>
    <n v="1"/>
    <m/>
    <m/>
    <m/>
    <n v="1"/>
    <x v="440"/>
    <s v=" https://delijn.sharepoint.com/:b:/r/teams/CTM-OTGentStad/Shared%20Documents/General/EAF/CSI(nieuwe%20sharepoint)%202025/9.%20September/EAF%205259%2007092025.pdf?csf=1&amp;web=1&amp;e=2COBhc"/>
    <n v="1"/>
    <m/>
    <x v="4"/>
    <x v="0"/>
    <n v="5259"/>
    <s v="ja"/>
  </r>
  <r>
    <n v="16895"/>
    <x v="230"/>
    <s v="Van Lauwe"/>
    <s v="Freddy"/>
    <x v="4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6331%2009092025%20Gent.pdf?csf=1&amp;web=1&amp;e=2bZEih"/>
    <m/>
    <n v="1"/>
    <x v="2"/>
    <x v="162"/>
    <n v="6331"/>
    <s v="ja"/>
  </r>
  <r>
    <n v="35491"/>
    <x v="267"/>
    <s v="Toubadie"/>
    <s v="Zakaria"/>
    <x v="3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5042%2009092025%20Gent.pdf?csf=1&amp;web=1&amp;e=9zhdeG"/>
    <n v="1"/>
    <m/>
    <x v="4"/>
    <x v="11"/>
    <n v="5042"/>
    <s v="ja"/>
  </r>
  <r>
    <n v="41786"/>
    <x v="372"/>
    <s v="Diels"/>
    <s v="Nick"/>
    <x v="5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4678%2009092025%20Gent%2041786.pdf?csf=1&amp;web=1&amp;e=GEpSTD"/>
    <n v="1"/>
    <m/>
    <x v="3"/>
    <x v="236"/>
    <n v="4678"/>
    <s v="ja"/>
  </r>
  <r>
    <n v="16895"/>
    <x v="230"/>
    <s v="Van Lauwe"/>
    <s v="Freddy"/>
    <x v="4"/>
    <x v="0"/>
    <m/>
    <m/>
    <m/>
    <m/>
    <m/>
    <m/>
    <m/>
    <m/>
    <m/>
    <m/>
    <m/>
    <m/>
    <n v="0"/>
    <x v="442"/>
    <s v="https://delijn.sharepoint.com/:b:/r/teams/CTM-OTGentStad/Shared%20Documents/General/EAF/CSI(nieuwe%20sharepoint)%202025/9.%20September/EAF%206369%20Gent%2010092025.pdf?csf=1&amp;web=1&amp;e=yr5kh9"/>
    <m/>
    <n v="1"/>
    <x v="5"/>
    <x v="237"/>
    <n v="6369"/>
    <s v="ja"/>
  </r>
  <r>
    <n v="9062"/>
    <x v="373"/>
    <s v="Westelinck"/>
    <s v="Davy"/>
    <x v="1"/>
    <x v="0"/>
    <m/>
    <m/>
    <m/>
    <m/>
    <m/>
    <m/>
    <m/>
    <m/>
    <m/>
    <m/>
    <m/>
    <m/>
    <n v="0"/>
    <x v="443"/>
    <s v=" https://delijn.sharepoint.com/:b:/r/teams/CTM-OTGentStad/Shared%20Documents/General/EAF/CSI(nieuwe%20sharepoint)%202025/9.%20September/EAF%206312%20Gent%2011092025%209062%20Davy%20Westelinck.pdf?csf=1&amp;web=1&amp;e=0CEE8i"/>
    <m/>
    <m/>
    <x v="2"/>
    <x v="83"/>
    <n v="6312"/>
    <s v="ja"/>
  </r>
  <r>
    <n v="31634"/>
    <x v="374"/>
    <s v="Kirsan"/>
    <s v="Ömer"/>
    <x v="3"/>
    <x v="0"/>
    <m/>
    <m/>
    <m/>
    <m/>
    <m/>
    <m/>
    <m/>
    <m/>
    <m/>
    <m/>
    <m/>
    <m/>
    <n v="0"/>
    <x v="444"/>
    <s v=" https://delijn.sharepoint.com/:b:/r/teams/CTM-OTGentStad/Shared%20Documents/General/EAF/CSI(nieuwe%20sharepoint)%202025/9.%20September/EAF%205265%2012092025%20Gent%2031634.pdf?csf=1&amp;web=1&amp;e=IK4Ous"/>
    <n v="1"/>
    <m/>
    <x v="4"/>
    <x v="24"/>
    <n v="5265"/>
    <s v="ja"/>
  </r>
  <r>
    <n v="41101"/>
    <x v="375"/>
    <s v="Shah"/>
    <s v="Sekandar"/>
    <x v="7"/>
    <x v="0"/>
    <m/>
    <m/>
    <m/>
    <m/>
    <m/>
    <m/>
    <m/>
    <m/>
    <m/>
    <m/>
    <m/>
    <m/>
    <n v="0"/>
    <x v="444"/>
    <s v=" https://delijn.sharepoint.com/:b:/r/teams/CTM-OTGentStad/Shared%20Documents/General/EAF/CSI(nieuwe%20sharepoint)%202025/9.%20September/EAF%202193%20Gent%2012092025%2041101.pdf?csf=1&amp;web=1&amp;e=qG6SdX"/>
    <n v="1"/>
    <m/>
    <x v="4"/>
    <x v="109"/>
    <n v="2193"/>
    <s v="ja"/>
  </r>
  <r>
    <n v="11021"/>
    <x v="376"/>
    <s v="Seeuws"/>
    <s v="Marnic"/>
    <x v="9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6374%2014092025%20Gent%2011021%20Marnix%20Seeuws.pdf?csf=1&amp;web=1&amp;e=YVeXMJ"/>
    <m/>
    <n v="1"/>
    <x v="5"/>
    <x v="238"/>
    <n v="6374"/>
    <s v="Neen"/>
  </r>
  <r>
    <n v="37222"/>
    <x v="377"/>
    <s v="Blondeel"/>
    <s v="Dominique"/>
    <x v="6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237%20Gent%2015092025%20Gent%2037222%20Dominique%20Blondeel.pdf?csf=1&amp;web=1&amp;e=jqZuPg"/>
    <n v="1"/>
    <m/>
    <x v="4"/>
    <x v="42"/>
    <n v="5237"/>
    <s v="ja"/>
  </r>
  <r>
    <n v="40645"/>
    <x v="335"/>
    <s v="Bytebier"/>
    <s v="Jason"/>
    <x v="2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763%20Gent%2015092025.pdf?csf=1&amp;web=1&amp;e=FGBfzI"/>
    <n v="1"/>
    <m/>
    <x v="3"/>
    <x v="193"/>
    <n v="5763"/>
    <s v="ja"/>
  </r>
  <r>
    <n v="42146"/>
    <x v="378"/>
    <s v="Cichonski"/>
    <s v="Kamil"/>
    <x v="9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488%20Gent%2015092025%2042146%20Kamil%20Cichonski.pdf?csf=1&amp;web=1&amp;e=9ZopSI"/>
    <n v="1"/>
    <m/>
    <x v="3"/>
    <x v="238"/>
    <n v="5488"/>
    <s v="ja"/>
  </r>
  <r>
    <n v="39529"/>
    <x v="166"/>
    <s v="Desmet"/>
    <s v="Patricia"/>
    <x v="5"/>
    <x v="0"/>
    <m/>
    <m/>
    <m/>
    <m/>
    <m/>
    <m/>
    <m/>
    <m/>
    <n v="1"/>
    <m/>
    <m/>
    <m/>
    <n v="1"/>
    <x v="447"/>
    <s v=" https://delijn.sharepoint.com/:b:/r/teams/CTM-OTGentStad/Shared%20Documents/General/EAF/CSI(nieuwe%20sharepoint)%202025/9.%20September/EAF%206334%20Gent%2016092025%2039529%20Patricia%20Desmet.pdf?csf=1&amp;web=1&amp;e=TVtW89"/>
    <m/>
    <n v="1"/>
    <x v="2"/>
    <x v="113"/>
    <n v="6334"/>
    <s v="Neen"/>
  </r>
  <r>
    <n v="42120"/>
    <x v="379"/>
    <s v="De Bruycker"/>
    <s v="Dylan"/>
    <x v="1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913%2017092025%20Gent%20Hofbouwlaan.pdf?csf=1&amp;web=1&amp;e=uJ5qTo"/>
    <m/>
    <m/>
    <x v="3"/>
    <x v="239"/>
    <n v="5913"/>
    <s v="ja"/>
  </r>
  <r>
    <n v="41918"/>
    <x v="380"/>
    <s v="Babai"/>
    <s v="Saber"/>
    <x v="5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488%2017092025%20Gent%2041918%20Saber%20Babai.pdf?csf=1&amp;web=1&amp;e=8UrHfT"/>
    <m/>
    <m/>
    <x v="3"/>
    <x v="9"/>
    <n v="5488"/>
    <s v="ja"/>
  </r>
  <r>
    <n v="41948"/>
    <x v="381"/>
    <s v="Vervaecke"/>
    <s v="Wim"/>
    <x v="2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488%20Gent%2019092025%2041948.pdf?csf=1&amp;web=1&amp;e=mmR9gG"/>
    <n v="1"/>
    <m/>
    <x v="3"/>
    <x v="62"/>
    <n v="5488"/>
    <s v="Neen"/>
  </r>
  <r>
    <n v="40856"/>
    <x v="272"/>
    <s v="Neissi"/>
    <s v="Sadegh"/>
    <x v="1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923%20Gent%2019092025%2040856.pdf?csf=1&amp;web=1&amp;e=etzA8f"/>
    <m/>
    <m/>
    <x v="3"/>
    <x v="75"/>
    <n v="5923"/>
    <s v="ja"/>
  </r>
  <r>
    <n v="42252"/>
    <x v="382"/>
    <s v="Sular"/>
    <s v="Abdullah"/>
    <x v="5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2047%20Gent%2022092025%2042252.pdf?csf=1&amp;web=1&amp;e=pdmsps"/>
    <m/>
    <m/>
    <x v="3"/>
    <x v="240"/>
    <n v="2047"/>
    <s v="ja"/>
  </r>
  <r>
    <n v="31360"/>
    <x v="189"/>
    <s v="Simsek"/>
    <s v="Fatih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6375%20Gent%2022092025%2031360.pdf?csf=1&amp;web=1&amp;e=MOHRys"/>
    <m/>
    <m/>
    <x v="5"/>
    <x v="56"/>
    <n v="6375"/>
    <s v="ja"/>
  </r>
  <r>
    <n v="39850"/>
    <x v="344"/>
    <s v="Helleputte"/>
    <s v="William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5225%20Gent%2022092025%2039850.pdf?csf=1&amp;web=1&amp;e=jZob1k"/>
    <m/>
    <m/>
    <x v="4"/>
    <x v="241"/>
    <n v="5225"/>
    <s v="ja"/>
  </r>
  <r>
    <n v="42252"/>
    <x v="382"/>
    <s v="Sular"/>
    <s v="Abdullah"/>
    <x v="5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2047%20Gent%2023092025%2042252.pdf?csf=1&amp;web=1&amp;e=Nf2xIx"/>
    <m/>
    <m/>
    <x v="3"/>
    <x v="29"/>
    <n v="2047"/>
    <s v="ja"/>
  </r>
  <r>
    <n v="21509"/>
    <x v="63"/>
    <s v="De Craemer"/>
    <s v="Kris"/>
    <x v="7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6328%20Gent%2023092025%2021509%20Kris%20De%20Craemer.pdf?csf=1&amp;web=1&amp;e=BIT70L"/>
    <m/>
    <m/>
    <x v="2"/>
    <x v="162"/>
    <n v="6328"/>
    <s v="Neen"/>
  </r>
  <r>
    <n v="42307"/>
    <x v="383"/>
    <s v="Helleputte"/>
    <s v="Jens"/>
    <x v="5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_2085_20250924.pdf?csf=1&amp;web=1&amp;e=rLWzky"/>
    <m/>
    <m/>
    <x v="3"/>
    <x v="240"/>
    <n v="2085"/>
    <s v="ja"/>
  </r>
  <r>
    <n v="41888"/>
    <x v="384"/>
    <s v="De Rammelaere"/>
    <s v="Bjorn"/>
    <x v="1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922%20Gent%2024092025%2041888%20Bjorn%20De%20Rammelaere.pdf?csf=1&amp;web=1&amp;e=8iAsR4"/>
    <m/>
    <m/>
    <x v="3"/>
    <x v="242"/>
    <n v="5922"/>
    <s v="Neen"/>
  </r>
  <r>
    <n v="19917"/>
    <x v="12"/>
    <s v="Vandevyvere"/>
    <s v="Frank"/>
    <x v="4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2190%20kruispunt%20Brugsesteenweg-Rooigemlaan%20Gent%2024.09.2025%20Frank%20Vandevyvere%2019917.pdf?csf=1&amp;web=1&amp;e=f9XKnv"/>
    <m/>
    <m/>
    <x v="4"/>
    <x v="35"/>
    <n v="2190"/>
    <s v="ja"/>
  </r>
  <r>
    <n v="39728"/>
    <x v="201"/>
    <s v="Nohut"/>
    <s v="Baki"/>
    <x v="6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768%20Gent%2024092025%2039728.pdf?csf=1&amp;web=1&amp;e=dFhxqB"/>
    <m/>
    <m/>
    <x v="3"/>
    <x v="79"/>
    <n v="5768"/>
    <s v="ja"/>
  </r>
  <r>
    <n v="19917"/>
    <x v="12"/>
    <s v="Vandevyvere"/>
    <s v="Frank"/>
    <x v="4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938%20Gent%2025092025%20Frank%20Vandevijvere.pdf?csf=1&amp;web=1&amp;e=gWohjR"/>
    <m/>
    <m/>
    <x v="3"/>
    <x v="161"/>
    <n v="5938"/>
    <s v="Neen"/>
  </r>
  <r>
    <n v="40110"/>
    <x v="127"/>
    <s v="Vanlerberghe"/>
    <s v="Sandra"/>
    <x v="5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2201%2025092025%2040110%20Gent.pdf?csf=1&amp;web=1&amp;e=roD8it"/>
    <m/>
    <m/>
    <x v="4"/>
    <x v="109"/>
    <n v="2201"/>
    <s v="Neen"/>
  </r>
  <r>
    <n v="41874"/>
    <x v="363"/>
    <s v="Dobbeleire"/>
    <s v="Bruno"/>
    <x v="7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773%20Gent%2026092025%20-%2041874%20Bruno%20Dobbeleire.pdf?csf=1&amp;web=1&amp;e=6UYeiR"/>
    <m/>
    <m/>
    <x v="3"/>
    <x v="32"/>
    <n v="5773"/>
    <s v="ja"/>
  </r>
  <r>
    <n v="42105"/>
    <x v="385"/>
    <s v="Van den Bossche"/>
    <s v="Jarne"/>
    <x v="2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910%20Gent%2026092025%2042105%20Zwijnaardsesteenweg.pdf?csf=1&amp;web=1&amp;e=aWidl3"/>
    <m/>
    <m/>
    <x v="3"/>
    <x v="12"/>
    <n v="5910"/>
    <s v="ja"/>
  </r>
  <r>
    <n v="42146"/>
    <x v="378"/>
    <s v="Cichonski"/>
    <s v="Kamil"/>
    <x v="9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26092025%205917%20Gent%20Kamil%20Cichonski%2042146.pdf?csf=1&amp;web=1&amp;e=OoB6oa"/>
    <m/>
    <m/>
    <x v="3"/>
    <x v="146"/>
    <n v="5917"/>
    <s v="ja"/>
  </r>
  <r>
    <n v="42002"/>
    <x v="355"/>
    <s v="Bogaert"/>
    <s v="Kevin"/>
    <x v="3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913%20Gent%2026092025%2042007.pdf?csf=1&amp;web=1&amp;e=jQm52B"/>
    <m/>
    <m/>
    <x v="3"/>
    <x v="235"/>
    <n v="5913"/>
    <s v="ja"/>
  </r>
  <r>
    <n v="39014"/>
    <x v="66"/>
    <s v="Genbrugge"/>
    <s v="Kyllian"/>
    <x v="4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2191%20Gent%2026092025%2039014%20Kylian%20Genbrugge.pdf?csf=1&amp;web=1&amp;e=tteYzm"/>
    <m/>
    <m/>
    <x v="4"/>
    <x v="243"/>
    <n v="2191"/>
    <s v="ja"/>
  </r>
  <r>
    <n v="36289"/>
    <x v="46"/>
    <s v="Van Rentergem"/>
    <s v="Steve"/>
    <x v="3"/>
    <x v="0"/>
    <m/>
    <m/>
    <m/>
    <m/>
    <m/>
    <m/>
    <m/>
    <m/>
    <m/>
    <m/>
    <m/>
    <m/>
    <n v="0"/>
    <x v="455"/>
    <s v=" https://delijn.sharepoint.com/:b:/r/teams/CTM-OTGentStad/Shared%20Documents/General/EAF/CSI(nieuwe%20sharepoint)%202025/9.%20September/EAF%20550822%20Gent%2030092025%2036289%20PARMENTIER%20Muidepoort.pdf?csf=1&amp;web=1&amp;e=7BJYEl"/>
    <m/>
    <m/>
    <x v="3"/>
    <x v="86"/>
    <n v="550822"/>
    <s v="ja"/>
  </r>
  <r>
    <n v="42146"/>
    <x v="378"/>
    <s v="Cichonski"/>
    <s v="Kamil"/>
    <x v="9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486%20Gent%2003102025%2042146.pdf?csf=1&amp;web=1&amp;e=rBSDdl"/>
    <m/>
    <m/>
    <x v="3"/>
    <x v="82"/>
    <n v="5486"/>
    <s v="ja"/>
  </r>
  <r>
    <n v="40055"/>
    <x v="273"/>
    <s v="Afara"/>
    <s v="Ammar"/>
    <x v="3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8%2003102025%2040055%20Gent.pdf?csf=1&amp;web=1&amp;e=Oq2hhn"/>
    <m/>
    <m/>
    <x v="4"/>
    <x v="193"/>
    <n v="5048"/>
    <s v="ja"/>
  </r>
  <r>
    <n v="21892"/>
    <x v="219"/>
    <s v="Dierick"/>
    <s v="Steve"/>
    <x v="9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6325%20Gent%2003102025%2021892.pdf?csf=1&amp;web=1&amp;e=OcDyzF"/>
    <m/>
    <m/>
    <x v="2"/>
    <x v="244"/>
    <n v="6325"/>
    <s v="Neen"/>
  </r>
  <r>
    <n v="29271"/>
    <x v="386"/>
    <s v="Maes"/>
    <s v="Filip"/>
    <x v="2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73%2003102025%2029271%20Gent%C2%B5.pdf?csf=1&amp;web=1&amp;e=hNe2Xz"/>
    <m/>
    <m/>
    <x v="4"/>
    <x v="56"/>
    <n v="5273"/>
    <s v="ja"/>
  </r>
  <r>
    <n v="42044"/>
    <x v="387"/>
    <s v="El Gana"/>
    <s v="Karim"/>
    <x v="7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765%2003102025%20Gent.pdf?csf=1&amp;web=1&amp;e=9pC8wS"/>
    <m/>
    <m/>
    <x v="3"/>
    <x v="2"/>
    <n v="5765"/>
    <s v="ja"/>
  </r>
  <r>
    <n v="40058"/>
    <x v="131"/>
    <s v="Sögüt"/>
    <s v="Can"/>
    <x v="5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65%20Gent%2030102025.pdf?csf=1&amp;web=1&amp;e=NaWAmZ"/>
    <m/>
    <m/>
    <x v="4"/>
    <x v="176"/>
    <n v="5265"/>
    <s v="ja"/>
  </r>
  <r>
    <n v="28910"/>
    <x v="293"/>
    <s v="Gassa"/>
    <s v="Osmane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65%20Gent%2030102025.pdf?csf=1&amp;web=1&amp;e=NaWAmZ"/>
    <m/>
    <m/>
    <x v="4"/>
    <x v="176"/>
    <n v="5263"/>
    <s v="ja"/>
  </r>
  <r>
    <n v="41619"/>
    <x v="331"/>
    <s v="Bachiri"/>
    <s v="Ousama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2%2003102025%20Gent%2041619.pdf?csf=1&amp;web=1&amp;e=Pocfje"/>
    <m/>
    <m/>
    <x v="4"/>
    <x v="193"/>
    <n v="5042"/>
    <s v="ja"/>
  </r>
  <r>
    <n v="41948"/>
    <x v="381"/>
    <s v="Vervaecke"/>
    <s v="Wim"/>
    <x v="2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549%2004102025%20Gent%2041948.pdf?csf=1&amp;web=1&amp;e=t2jjhL"/>
    <m/>
    <m/>
    <x v="3"/>
    <x v="74"/>
    <n v="2548"/>
    <s v="ja"/>
  </r>
  <r>
    <n v="38555"/>
    <x v="388"/>
    <s v="Almohammad"/>
    <s v="Malek"/>
    <x v="3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5044%20Gent%2004102025%2038555.pdf?csf=1&amp;web=1&amp;e=kVUesg"/>
    <m/>
    <m/>
    <x v="4"/>
    <x v="245"/>
    <n v="5044"/>
    <s v="ja"/>
  </r>
  <r>
    <n v="32611"/>
    <x v="300"/>
    <s v="Özer"/>
    <s v="Özgur"/>
    <x v="1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6315%2004102025%20Gent%2032611.pdf?csf=1&amp;web=1&amp;e=d7qpXS"/>
    <m/>
    <m/>
    <x v="2"/>
    <x v="151"/>
    <n v="6315"/>
    <s v="ja"/>
  </r>
  <r>
    <n v="41520"/>
    <x v="299"/>
    <s v="Smets"/>
    <s v="Avery"/>
    <x v="5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196%20Gent%2004102025%2041520.pdf?csf=1&amp;web=1&amp;e=dlXapv"/>
    <m/>
    <m/>
    <x v="4"/>
    <x v="29"/>
    <n v="2196"/>
    <s v="ja"/>
  </r>
  <r>
    <n v="39856"/>
    <x v="324"/>
    <s v="Curukcu"/>
    <s v="Bayram"/>
    <x v="1"/>
    <x v="0"/>
    <m/>
    <m/>
    <m/>
    <m/>
    <m/>
    <m/>
    <m/>
    <m/>
    <m/>
    <m/>
    <m/>
    <m/>
    <n v="0"/>
    <x v="458"/>
    <s v=" https://delijn.sharepoint.com/:b:/r/teams/CTM-OTGentStad/Shared%20Documents/General/EAF/CSI(nieuwe%20sharepoint)%202025/10.%20Oktober/Scan_28740_1321_001.pdf?csf=1&amp;web=1&amp;e=gv1BxJ"/>
    <m/>
    <m/>
    <x v="4"/>
    <x v="42"/>
    <n v="5052"/>
    <s v="ja"/>
  </r>
  <r>
    <n v="41871"/>
    <x v="366"/>
    <s v="Karanfil"/>
    <s v="Ibrahim"/>
    <x v="7"/>
    <x v="0"/>
    <m/>
    <m/>
    <m/>
    <m/>
    <m/>
    <m/>
    <m/>
    <m/>
    <m/>
    <m/>
    <m/>
    <m/>
    <n v="0"/>
    <x v="458"/>
    <s v=" https://delijn.sharepoint.com/:b:/r/teams/CTM-OTGentStad/Shared%20Documents/General/EAF/CSI(nieuwe%20sharepoint)%202025/10.%20Oktober/EAF%205487%20Gent%2006102025%2041871.pdf?csf=1&amp;web=1&amp;e=OHSPyB"/>
    <m/>
    <m/>
    <x v="3"/>
    <x v="82"/>
    <n v="5487"/>
    <s v="ja"/>
  </r>
  <r>
    <n v="42015"/>
    <x v="389"/>
    <s v="Crop"/>
    <s v="Alexander"/>
    <x v="3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%205771%20Gent%20081010%2042015.pdf?csf=1&amp;web=1&amp;e=NHnsRl"/>
    <m/>
    <m/>
    <x v="3"/>
    <x v="14"/>
    <n v="5771"/>
    <s v="ja"/>
  </r>
  <r>
    <n v="12024"/>
    <x v="390"/>
    <s v="De Cooman"/>
    <s v="Kurt"/>
    <x v="6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5328%20Gent%2008102025%2012024.pdf?csf=1&amp;web=1&amp;e=MQjNpp"/>
    <m/>
    <m/>
    <x v="4"/>
    <x v="246"/>
    <n v="5328"/>
    <s v="ja"/>
  </r>
  <r>
    <n v="41482"/>
    <x v="329"/>
    <s v="Özdemir"/>
    <s v="Osman"/>
    <x v="4"/>
    <x v="0"/>
    <m/>
    <m/>
    <m/>
    <m/>
    <m/>
    <m/>
    <m/>
    <m/>
    <m/>
    <m/>
    <m/>
    <m/>
    <n v="0"/>
    <x v="459"/>
    <s v="https://delijn.sharepoint.com/:b:/r/teams/CTM-OTGentStad/Shared%20Documents/General/EAF/CSI(nieuwe%20sharepoint)%202025/10.%20Oktober/EAF%202189%20Technologiepark%20Zwijnaarde%2008.10.2025%20Osman%20%C3%96zdemir%2041482.pdf?csf=1&amp;web=1&amp;e=uPPSEW"/>
    <m/>
    <m/>
    <x v="4"/>
    <x v="22"/>
    <n v="2189"/>
    <s v="ja"/>
  </r>
  <r>
    <n v="30623"/>
    <x v="217"/>
    <s v="Gassa"/>
    <s v="Mustafa"/>
    <x v="1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5770%20Gent%2008102025%2030623.pdf?csf=1&amp;web=1&amp;e=D3jdVl"/>
    <m/>
    <m/>
    <x v="3"/>
    <x v="247"/>
    <n v="5770"/>
    <s v="ja"/>
  </r>
  <r>
    <n v="40138"/>
    <x v="235"/>
    <s v="Moerman"/>
    <s v="Tjimmy"/>
    <x v="5"/>
    <x v="0"/>
    <m/>
    <m/>
    <m/>
    <m/>
    <m/>
    <m/>
    <m/>
    <m/>
    <m/>
    <m/>
    <m/>
    <m/>
    <n v="0"/>
    <x v="460"/>
    <s v=" https://delijn.sharepoint.com/:b:/r/teams/CTM-OTGentStad/Shared%20Documents/General/EAF/CSI(nieuwe%20sharepoint)%202025/10.%20Oktober/EAF%205041%20Gent%2009102025%2040138.pdf?csf=1&amp;web=1&amp;e=bHDNDc"/>
    <m/>
    <m/>
    <x v="4"/>
    <x v="89"/>
    <n v="5041"/>
    <s v="Neen"/>
  </r>
  <r>
    <n v="39929"/>
    <x v="67"/>
    <s v="Staneva"/>
    <s v="Mariyana"/>
    <x v="5"/>
    <x v="0"/>
    <m/>
    <m/>
    <m/>
    <m/>
    <m/>
    <m/>
    <m/>
    <m/>
    <m/>
    <m/>
    <m/>
    <m/>
    <n v="0"/>
    <x v="461"/>
    <s v=" https://delijn.sharepoint.com/:b:/r/teams/CTM-OTGentStad/Shared%20Documents/General/EAF/CSI(nieuwe%20sharepoint)%202025/10.%20Oktober/EAF%202195%20Gent%2010102025.pdf?csf=1&amp;web=1&amp;e=lUcZJV"/>
    <m/>
    <m/>
    <x v="4"/>
    <x v="8"/>
    <n v="2195"/>
    <s v="Neen"/>
  </r>
  <r>
    <n v="20542"/>
    <x v="391"/>
    <s v="Kizilmese"/>
    <s v="Emra"/>
    <x v="2"/>
    <x v="0"/>
    <m/>
    <m/>
    <m/>
    <m/>
    <m/>
    <m/>
    <m/>
    <m/>
    <m/>
    <m/>
    <m/>
    <m/>
    <n v="0"/>
    <x v="461"/>
    <s v=" https://delijn.sharepoint.com/:b:/r/teams/CTM-OTGentStad/Shared%20Documents/General/EAF/CSI(nieuwe%20sharepoint)%202025/10.%20Oktober/EAF%205235%20Gent%2010102025%2020542.pdf?csf=1&amp;web=1&amp;e=QMboLa"/>
    <m/>
    <m/>
    <x v="4"/>
    <x v="42"/>
    <n v="5235"/>
    <s v="ja"/>
  </r>
  <r>
    <n v="35430"/>
    <x v="231"/>
    <s v="Vlaminck"/>
    <s v="Dirk"/>
    <x v="3"/>
    <x v="0"/>
    <m/>
    <m/>
    <m/>
    <m/>
    <m/>
    <m/>
    <m/>
    <m/>
    <m/>
    <m/>
    <m/>
    <m/>
    <n v="0"/>
    <x v="462"/>
    <s v=" https://delijn.sharepoint.com/:b:/r/teams/CTM-OTGentStad/Shared%20Documents/General/EAF/CSI(nieuwe%20sharepoint)%202025/10.%20Oktober/Scan_28740_1325_001.pdf?csf=1&amp;web=1&amp;e=JPQwYo"/>
    <m/>
    <m/>
    <x v="4"/>
    <x v="245"/>
    <n v="5237"/>
    <s v="ja"/>
  </r>
  <r>
    <n v="15219"/>
    <x v="392"/>
    <s v="De Mey"/>
    <s v="Peter"/>
    <x v="4"/>
    <x v="0"/>
    <m/>
    <m/>
    <m/>
    <m/>
    <m/>
    <m/>
    <m/>
    <m/>
    <m/>
    <m/>
    <m/>
    <m/>
    <n v="0"/>
    <x v="463"/>
    <s v=" https://delijn.sharepoint.com/:b:/r/teams/CTM-OTGentStad/Shared%20Documents/General/EAF/CSI(nieuwe%20sharepoint)%202025/10.%20Oktober/EAF%206362%20Gent%2012102025.pdf?csf=1&amp;web=1&amp;e=4HYFM4"/>
    <m/>
    <m/>
    <x v="5"/>
    <x v="46"/>
    <n v="6362"/>
    <s v="ja"/>
  </r>
  <r>
    <n v="38633"/>
    <x v="190"/>
    <s v="Stomphorst"/>
    <s v="Mattanja"/>
    <x v="2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0.%20Oktober/EAF%205047%20Gent%2013102025%2038633.pdf?csf=1&amp;web=1&amp;e=tNrRZy"/>
    <m/>
    <m/>
    <x v="4"/>
    <x v="92"/>
    <n v="5047"/>
    <s v="ja"/>
  </r>
  <r>
    <n v="16275"/>
    <x v="393"/>
    <s v="Devriendt"/>
    <s v="Patrick"/>
    <x v="2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0.%20Oktober/EAF%206329%20Gent%2016275.pdf?csf=1&amp;web=1&amp;e=lr0PQR"/>
    <m/>
    <m/>
    <x v="2"/>
    <x v="56"/>
    <n v="6329"/>
    <s v="ja"/>
  </r>
  <r>
    <n v="35588"/>
    <x v="197"/>
    <s v="Smesman"/>
    <s v="Glenn"/>
    <x v="6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1.%20November/EAF%205772%20Gent%2013102025.pdf?csf=1&amp;web=1&amp;e=YOAeri"/>
    <m/>
    <m/>
    <x v="3"/>
    <x v="106"/>
    <n v="5772"/>
    <s v="ja"/>
  </r>
  <r>
    <n v="41588"/>
    <x v="313"/>
    <s v="Naessens"/>
    <s v="Yves"/>
    <x v="1"/>
    <x v="0"/>
    <m/>
    <m/>
    <m/>
    <m/>
    <m/>
    <m/>
    <m/>
    <m/>
    <m/>
    <m/>
    <m/>
    <m/>
    <n v="0"/>
    <x v="465"/>
    <s v=" https://delijn.sharepoint.com/:b:/r/teams/CTM-OTGentStad/Shared%20Documents/General/EAF/CSI(nieuwe%20sharepoint)%202025/10.%20Oktober/Scan_28740_1363_001.pdf?csf=1&amp;web=1&amp;e=reTsL1"/>
    <m/>
    <m/>
    <x v="4"/>
    <x v="32"/>
    <n v="2196"/>
    <s v="ja"/>
  </r>
  <r>
    <n v="39928"/>
    <x v="394"/>
    <s v="Momand"/>
    <s v="Abdullah"/>
    <x v="4"/>
    <x v="0"/>
    <m/>
    <m/>
    <m/>
    <m/>
    <m/>
    <m/>
    <m/>
    <m/>
    <m/>
    <m/>
    <m/>
    <m/>
    <n v="0"/>
    <x v="465"/>
    <s v=" https://delijn.sharepoint.com/:b:/r/teams/CTM-OTGentStad/Shared%20Documents/General/EAF/CSI(nieuwe%20sharepoint)%202025/10.%20Oktober/EAF%205934%20Gent%2014102025%2039922.pdf?csf=1&amp;web=1&amp;e=zcBsFr"/>
    <m/>
    <m/>
    <x v="3"/>
    <x v="239"/>
    <n v="5934"/>
    <s v="ja"/>
  </r>
  <r>
    <n v="42252"/>
    <x v="382"/>
    <s v="Sular"/>
    <s v="Abdullah"/>
    <x v="5"/>
    <x v="0"/>
    <m/>
    <m/>
    <m/>
    <m/>
    <m/>
    <m/>
    <m/>
    <m/>
    <m/>
    <m/>
    <m/>
    <m/>
    <n v="0"/>
    <x v="466"/>
    <s v=" https://delijn.sharepoint.com/:b:/r/teams/CTM-OTGentStad/Shared%20Documents/General/EAF/CSI(nieuwe%20sharepoint)%202025/10.%20Oktober/EAF%205910%20Gent%2015102025%2042252.pdf?csf=1&amp;web=1&amp;e=osACa6"/>
    <m/>
    <m/>
    <x v="3"/>
    <x v="79"/>
    <n v="5910"/>
    <s v="Neen"/>
  </r>
  <r>
    <n v="42252"/>
    <x v="382"/>
    <s v="Sular"/>
    <s v="Abdullah"/>
    <x v="5"/>
    <x v="0"/>
    <m/>
    <m/>
    <m/>
    <m/>
    <m/>
    <m/>
    <m/>
    <m/>
    <m/>
    <m/>
    <m/>
    <m/>
    <n v="0"/>
    <x v="467"/>
    <s v=" https://delijn.sharepoint.com/:i:/r/teams/CTM-OTGentStad/Shared%20Documents/General/EAF/CSI(nieuwe%20sharepoint)%202025/10.%20Oktober/1000002701.jpg?csf=1&amp;web=1&amp;e=cuf7Xo"/>
    <m/>
    <m/>
    <x v="3"/>
    <x v="101"/>
    <n v="5927"/>
    <s v="ja"/>
  </r>
  <r>
    <n v="20543"/>
    <x v="395"/>
    <s v="Pekdemir"/>
    <s v="Ilkmur"/>
    <x v="1"/>
    <x v="0"/>
    <m/>
    <m/>
    <m/>
    <m/>
    <m/>
    <m/>
    <m/>
    <m/>
    <m/>
    <m/>
    <m/>
    <m/>
    <n v="0"/>
    <x v="467"/>
    <s v=" https://delijn.sharepoint.com/:b:/r/teams/CTM-OTGentStad/Shared%20Documents/General/EAF/CSI(nieuwe%20sharepoint)%202025/10.%20Oktober/EAF%206314%20UZ%20Gent%2017102025%20Pekdemir%20Ilkmur%2020543.pdf?csf=1&amp;web=1&amp;e=HVOPA6"/>
    <m/>
    <m/>
    <x v="2"/>
    <x v="229"/>
    <n v="6314"/>
    <s v="ja"/>
  </r>
  <r>
    <n v="41870"/>
    <x v="396"/>
    <s v="Goossens"/>
    <s v="Yannick"/>
    <x v="9"/>
    <x v="0"/>
    <m/>
    <m/>
    <m/>
    <m/>
    <m/>
    <m/>
    <m/>
    <m/>
    <m/>
    <m/>
    <m/>
    <m/>
    <n v="0"/>
    <x v="468"/>
    <s v=" https://delijn.sharepoint.com/:b:/r/teams/CTM-OTGentStad/Shared%20Documents/General/EAF/CSI(nieuwe%20sharepoint)%202025/10.%20Oktober/EAF%20550822%2018102025%20Gent%2041870.pdf?csf=1&amp;web=1&amp;e=JHEJ4o"/>
    <m/>
    <m/>
    <x v="3"/>
    <x v="75"/>
    <n v="550822"/>
    <s v="Neen"/>
  </r>
  <r>
    <n v="20653"/>
    <x v="65"/>
    <s v="Mestdag"/>
    <s v="Marius"/>
    <x v="4"/>
    <x v="0"/>
    <m/>
    <m/>
    <m/>
    <m/>
    <m/>
    <m/>
    <m/>
    <m/>
    <m/>
    <m/>
    <m/>
    <m/>
    <n v="0"/>
    <x v="469"/>
    <s v=" https://delijn.sharepoint.com/:b:/r/teams/CTM-OTGentStad/Shared%20Documents/General/EAF/CSI(nieuwe%20sharepoint)%202025/10.%20Oktober/EAF%206366%2020102025%20Gent%2020653.pdf?csf=1&amp;web=1&amp;e=V95FoR"/>
    <m/>
    <m/>
    <x v="5"/>
    <x v="126"/>
    <n v="6366"/>
    <s v="ja"/>
  </r>
  <r>
    <n v="40938"/>
    <x v="322"/>
    <s v="Hasnaoui"/>
    <s v="Nejmeddine"/>
    <x v="7"/>
    <x v="0"/>
    <m/>
    <m/>
    <m/>
    <m/>
    <m/>
    <m/>
    <m/>
    <m/>
    <m/>
    <m/>
    <m/>
    <m/>
    <n v="0"/>
    <x v="470"/>
    <s v=" https://delijn.sharepoint.com/:b:/r/teams/CTM-OTGentStad/Shared%20Documents/General/EAF/CSI(nieuwe%20sharepoint)%202025/10.%20Oktober/EAF%205259%20Gent%2021102025.pdf?csf=1&amp;web=1&amp;e=u7LKiJ"/>
    <m/>
    <m/>
    <x v="4"/>
    <x v="248"/>
    <n v="5259"/>
    <s v="Neen"/>
  </r>
  <r>
    <n v="30321"/>
    <x v="123"/>
    <s v="Unver"/>
    <s v="Ismaïl"/>
    <x v="1"/>
    <x v="0"/>
    <m/>
    <m/>
    <m/>
    <m/>
    <m/>
    <m/>
    <m/>
    <m/>
    <m/>
    <m/>
    <m/>
    <m/>
    <n v="0"/>
    <x v="470"/>
    <s v=" https://delijn.sharepoint.com/:b:/r/teams/CTM-OTGentStad/Shared%20Documents/General/EAF/CSI(nieuwe%20sharepoint)%202025/10.%20Oktober/Scan_28740_1410_001.pdf?csf=1&amp;web=1&amp;e=C4BH3e"/>
    <m/>
    <m/>
    <x v="3"/>
    <x v="24"/>
    <n v="5767"/>
    <s v="ja"/>
  </r>
  <r>
    <n v="40138"/>
    <x v="235"/>
    <s v="Moerman"/>
    <s v="Tjimmy"/>
    <x v="5"/>
    <x v="0"/>
    <m/>
    <m/>
    <m/>
    <m/>
    <m/>
    <m/>
    <m/>
    <m/>
    <m/>
    <m/>
    <m/>
    <m/>
    <n v="0"/>
    <x v="471"/>
    <s v=" https://delijn.sharepoint.com/:b:/r/teams/CTM-OTGentStad/Shared%20Documents/General/EAF/CSI(nieuwe%20sharepoint)%202025/10.%20Oktober/EAF%202195%20Willy%20Maststraat%20Wondelgem%2022102025%20-%2040138.pdf?csf=1&amp;web=1&amp;e=wQNaXL"/>
    <m/>
    <m/>
    <x v="4"/>
    <x v="249"/>
    <n v="2195"/>
    <s v="ja"/>
  </r>
  <r>
    <n v="16895"/>
    <x v="230"/>
    <s v="Van Lauwe"/>
    <s v="Freddy"/>
    <x v="4"/>
    <x v="0"/>
    <m/>
    <m/>
    <m/>
    <m/>
    <m/>
    <m/>
    <m/>
    <m/>
    <m/>
    <m/>
    <m/>
    <m/>
    <n v="0"/>
    <x v="471"/>
    <s v=" https://delijn.sharepoint.com/:b:/r/teams/CTM-OTGentStad/Shared%20Documents/General/EAF/CSI(nieuwe%20sharepoint)%202025/10.%20Oktober/EAF%206337%20Gent%2022102025%2016895.pdf?csf=1&amp;web=1&amp;e=jJZCLg"/>
    <m/>
    <m/>
    <x v="2"/>
    <x v="4"/>
    <n v="6337"/>
    <s v="ja"/>
  </r>
  <r>
    <n v="35645"/>
    <x v="228"/>
    <s v="Jalili"/>
    <s v="Yaseeb"/>
    <x v="9"/>
    <x v="0"/>
    <m/>
    <m/>
    <m/>
    <m/>
    <m/>
    <m/>
    <m/>
    <m/>
    <m/>
    <m/>
    <m/>
    <m/>
    <n v="0"/>
    <x v="472"/>
    <s v=" https://delijn.sharepoint.com/:b:/r/teams/CTM-OTGentStad/Shared%20Documents/General/EAF/CSI(nieuwe%20sharepoint)%202025/10.%20Oktober/EAF%2024102025%205764%20Gent.pdf?csf=1&amp;web=1&amp;e=c8wGmP"/>
    <m/>
    <m/>
    <x v="3"/>
    <x v="2"/>
    <n v="5764"/>
    <s v="ja"/>
  </r>
  <r>
    <n v="16895"/>
    <x v="230"/>
    <s v="Van Lauwe"/>
    <s v="Freddy"/>
    <x v="4"/>
    <x v="0"/>
    <m/>
    <m/>
    <m/>
    <m/>
    <m/>
    <m/>
    <m/>
    <m/>
    <m/>
    <m/>
    <m/>
    <m/>
    <n v="0"/>
    <x v="472"/>
    <s v=" https://delijn.sharepoint.com/:b:/r/teams/CTM-OTGentStad/Shared%20Documents/General/EAF/CSI(nieuwe%20sharepoint)%202025/10.%20Oktober/EAF%206368%20Zwijnaardsesteenweg%20Gent%2024.10.2025%2016895%20Freddy%20Van%20Lauwe.pdf?csf=1&amp;web=1&amp;e=p21y5s"/>
    <m/>
    <m/>
    <x v="5"/>
    <x v="12"/>
    <n v="6368"/>
    <s v="ja"/>
  </r>
  <r>
    <n v="42307"/>
    <x v="383"/>
    <s v="Helleputte"/>
    <s v="Jens"/>
    <x v="5"/>
    <x v="0"/>
    <m/>
    <m/>
    <m/>
    <m/>
    <m/>
    <m/>
    <m/>
    <m/>
    <m/>
    <m/>
    <m/>
    <m/>
    <n v="0"/>
    <x v="473"/>
    <s v=" https://delijn.sharepoint.com/:b:/r/teams/CTM-OTGentStad/Shared%20Documents/General/EAF/CSI(nieuwe%20sharepoint)%202025/10.%20Oktober/EAF%205767%20Gent%20Wondelgembrug%2025102025%20Helleputte%20Jens%2042307.pdf?csf=1&amp;web=1&amp;e=KZRr6Y"/>
    <m/>
    <m/>
    <x v="3"/>
    <x v="75"/>
    <n v="5767"/>
    <s v="ja"/>
  </r>
  <r>
    <n v="27673"/>
    <x v="397"/>
    <s v="Verbanck"/>
    <s v="Koen"/>
    <x v="5"/>
    <x v="0"/>
    <m/>
    <m/>
    <m/>
    <m/>
    <m/>
    <m/>
    <m/>
    <m/>
    <m/>
    <m/>
    <m/>
    <m/>
    <n v="0"/>
    <x v="473"/>
    <s v=" https://delijn.sharepoint.com/:b:/r/teams/CTM-OTGentStad/Shared%20Documents/General/EAF/CSI(nieuwe%20sharepoint)%202025/10.%20Oktober/EAF%206375%20Gent%20Graaf%20van%20Vlaanderenplein%2025102025%20Verbanck%20Koen%2027673.pdf?csf=1&amp;web=1&amp;e=ITz7ye"/>
    <m/>
    <m/>
    <x v="5"/>
    <x v="113"/>
    <n v="6375"/>
    <s v="ja"/>
  </r>
  <r>
    <n v="15220"/>
    <x v="398"/>
    <s v="Dejonghe"/>
    <s v="Katleen"/>
    <x v="7"/>
    <x v="0"/>
    <m/>
    <m/>
    <m/>
    <m/>
    <m/>
    <m/>
    <m/>
    <m/>
    <m/>
    <m/>
    <m/>
    <m/>
    <n v="0"/>
    <x v="474"/>
    <s v=" https://delijn.sharepoint.com/:b:/r/teams/CTM-OTGentStad/Shared%20Documents/General/EAF/CSI(nieuwe%20sharepoint)%202025/10.%20Oktober/EAF%2026102025%206321%20Gent.pdf?csf=1&amp;web=1&amp;e=Atnkuj"/>
    <m/>
    <m/>
    <x v="2"/>
    <x v="237"/>
    <n v="6321"/>
    <s v="ja"/>
  </r>
  <r>
    <n v="27209"/>
    <x v="40"/>
    <s v="Meyvaert"/>
    <s v="Steven"/>
    <x v="2"/>
    <x v="0"/>
    <m/>
    <m/>
    <m/>
    <m/>
    <m/>
    <m/>
    <m/>
    <m/>
    <m/>
    <m/>
    <m/>
    <m/>
    <n v="0"/>
    <x v="474"/>
    <s v=" https://delijn.sharepoint.com/:b:/r/teams/CTM-OTGentStad/Shared%20Documents/General/EAF/CSI(nieuwe%20sharepoint)%202025/10.%20Oktober/EAF%205232%20stelplaats%20E17%2026102025%20Meyvaert%20Steven%2027209.pdf?csf=1&amp;web=1&amp;e=Me2u0U"/>
    <m/>
    <m/>
    <x v="4"/>
    <x v="0"/>
    <n v="5232"/>
    <s v="ja"/>
  </r>
  <r>
    <n v="5559"/>
    <x v="89"/>
    <s v="Hoste"/>
    <s v="Tania"/>
    <x v="9"/>
    <x v="0"/>
    <m/>
    <m/>
    <m/>
    <m/>
    <m/>
    <m/>
    <m/>
    <m/>
    <m/>
    <m/>
    <m/>
    <m/>
    <n v="0"/>
    <x v="475"/>
    <s v=" https://delijn.sharepoint.com/:b:/r/teams/CTM-OTGentStad/Shared%20Documents/General/EAF/CSI(nieuwe%20sharepoint)%202025/10.%20Oktober/EAF%2027102025%206374%20Gent.pdf?csf=1&amp;web=1&amp;e=JtE5qy"/>
    <m/>
    <m/>
    <x v="5"/>
    <x v="8"/>
    <n v="6374"/>
    <s v="Neen"/>
  </r>
  <r>
    <n v="40278"/>
    <x v="221"/>
    <s v="Ates"/>
    <s v="Firat"/>
    <x v="5"/>
    <x v="0"/>
    <m/>
    <m/>
    <m/>
    <m/>
    <m/>
    <m/>
    <m/>
    <m/>
    <m/>
    <m/>
    <m/>
    <m/>
    <n v="0"/>
    <x v="475"/>
    <s v=" https://delijn.sharepoint.com/:b:/r/teams/CTM-OTGentStad/Shared%20Documents/General/EAF/CSI(nieuwe%20sharepoint)%202025/10.%20Oktober/EAF%205271%20Wondelgem%20Winkelstraat%20271022025%20Ates%20Firat%2040278.pdf?csf=1&amp;web=1&amp;e=Ij1gEk"/>
    <m/>
    <m/>
    <x v="4"/>
    <x v="250"/>
    <n v="5271"/>
    <s v="ja"/>
  </r>
  <r>
    <n v="37345"/>
    <x v="139"/>
    <s v="Walleyn"/>
    <s v="Renaat"/>
    <x v="6"/>
    <x v="0"/>
    <m/>
    <m/>
    <m/>
    <m/>
    <m/>
    <m/>
    <m/>
    <m/>
    <m/>
    <m/>
    <m/>
    <m/>
    <n v="0"/>
    <x v="476"/>
    <s v=" https://delijn.sharepoint.com/:b:/r/teams/CTM-OTGentStad/Shared%20Documents/General/EAF/CSI(nieuwe%20sharepoint)%202025/10.%20Oktober/EAF%206318%20Gent%20Contributiestraat%2028102025%20Walleyn%20Renaat%2037345.pdf?csf=1&amp;web=1&amp;e=iDm2dX"/>
    <m/>
    <m/>
    <x v="2"/>
    <x v="220"/>
    <n v="6318"/>
    <s v="ja"/>
  </r>
  <r>
    <n v="34328"/>
    <x v="1"/>
    <s v="Kerremans"/>
    <s v="Jürgen"/>
    <x v="1"/>
    <x v="0"/>
    <m/>
    <m/>
    <m/>
    <m/>
    <m/>
    <m/>
    <m/>
    <m/>
    <m/>
    <m/>
    <m/>
    <m/>
    <n v="0"/>
    <x v="477"/>
    <s v=" https://delijn.sharepoint.com/:b:/r/teams/CTM-OTGentStad/Shared%20Documents/General/EAF/CSI(nieuwe%20sharepoint)%202025/10.%20Oktober/Scan_28740_1494_001.pdf?csf=1&amp;web=1&amp;e=MYz2LQ"/>
    <m/>
    <m/>
    <x v="2"/>
    <x v="56"/>
    <n v="6334"/>
    <s v="ja"/>
  </r>
  <r>
    <n v="40938"/>
    <x v="322"/>
    <s v="Hasnaoui"/>
    <s v="Nejmeddine"/>
    <x v="7"/>
    <x v="0"/>
    <m/>
    <m/>
    <m/>
    <m/>
    <m/>
    <m/>
    <m/>
    <m/>
    <m/>
    <m/>
    <m/>
    <m/>
    <n v="0"/>
    <x v="478"/>
    <s v="https://delijn.sharepoint.com/:b:/r/teams/CTM-OTGentStad/Shared%20Documents/General/EAF/CSI(nieuwe%20sharepoint)%202025/10.%20Oktober/EAF%2013024%20parking%20E17%2030102025%20-%2040938.pdf?csf=1&amp;web=1&amp;e=IhvPLM"/>
    <m/>
    <m/>
    <x v="3"/>
    <x v="0"/>
    <n v="13024"/>
    <s v="ja"/>
  </r>
  <r>
    <n v="42105"/>
    <x v="385"/>
    <s v="Van den Bossche"/>
    <s v="Jarne"/>
    <x v="2"/>
    <x v="0"/>
    <m/>
    <m/>
    <m/>
    <m/>
    <m/>
    <m/>
    <m/>
    <m/>
    <m/>
    <m/>
    <m/>
    <m/>
    <n v="0"/>
    <x v="478"/>
    <s v=" https://delijn.sharepoint.com/:b:/r/teams/CTM-OTGentStad/Shared%20Documents/General/EAF/CSI(nieuwe%20sharepoint)%202025/10.%20Oktober/EAF%205489%20Zwijnaardsestw%20Gent%2030102025%20Van%20den%20Bossche%20Jarne%2042105.pdf?csf=1&amp;web=1&amp;e=ZB11q2"/>
    <m/>
    <m/>
    <x v="3"/>
    <x v="12"/>
    <n v="5489"/>
    <s v="ja"/>
  </r>
  <r>
    <n v="25873"/>
    <x v="399"/>
    <s v="Kazakbiyev"/>
    <s v="Osman"/>
    <x v="3"/>
    <x v="0"/>
    <m/>
    <m/>
    <m/>
    <m/>
    <m/>
    <m/>
    <m/>
    <m/>
    <m/>
    <m/>
    <m/>
    <m/>
    <n v="0"/>
    <x v="478"/>
    <s v=" https://delijn.sharepoint.com/:b:/r/teams/CTM-OTGentStad/Shared%20Documents/General/EAF/CSI(nieuwe%20sharepoint)%202025/10.%20Oktober/EAF%205052%20Dampoort%2030102025%20-%2025873.pdf?csf=1&amp;web=1&amp;e=AcgxZT"/>
    <m/>
    <m/>
    <x v="4"/>
    <x v="251"/>
    <n v="5052"/>
    <s v="ja"/>
  </r>
  <r>
    <n v="39858"/>
    <x v="188"/>
    <s v="Jacobs"/>
    <s v="Elos"/>
    <x v="2"/>
    <x v="0"/>
    <m/>
    <m/>
    <m/>
    <m/>
    <m/>
    <m/>
    <m/>
    <m/>
    <m/>
    <m/>
    <m/>
    <m/>
    <n v="0"/>
    <x v="479"/>
    <s v=" https://delijn.sharepoint.com/:b:/r/teams/CTM-OTGentStad/Shared%20Documents/General/EAF/CSI(nieuwe%20sharepoint)%202025/10.%20Oktober/EAF%205229%20Dampoortstraat%2031102025%20-%2039858.pdf?csf=1&amp;web=1&amp;e=z4RXyG"/>
    <m/>
    <m/>
    <x v="4"/>
    <x v="92"/>
    <n v="5229"/>
    <s v="ja"/>
  </r>
  <r>
    <n v="14072"/>
    <x v="400"/>
    <s v="Vervoort"/>
    <s v="Koen"/>
    <x v="6"/>
    <x v="0"/>
    <m/>
    <m/>
    <m/>
    <m/>
    <m/>
    <m/>
    <m/>
    <m/>
    <m/>
    <m/>
    <m/>
    <m/>
    <n v="0"/>
    <x v="479"/>
    <s v=" https://delijn.sharepoint.com/:b:/r/teams/CTM-OTGentStad/Shared%20Documents/General/EAF/CSI(nieuwe%20sharepoint)%202025/10.%20Oktober/EZAF%206363%20GEnt%2031102025%2014072.pdf?csf=1&amp;web=1&amp;e=GIzhJQ"/>
    <m/>
    <m/>
    <x v="5"/>
    <x v="2"/>
    <n v="6363"/>
    <s v="ja"/>
  </r>
  <r>
    <n v="37543"/>
    <x v="25"/>
    <s v="Öztürk"/>
    <s v="Bilgehan"/>
    <x v="1"/>
    <x v="0"/>
    <m/>
    <m/>
    <m/>
    <m/>
    <m/>
    <m/>
    <m/>
    <m/>
    <m/>
    <m/>
    <m/>
    <m/>
    <n v="0"/>
    <x v="480"/>
    <s v=" https://delijn.sharepoint.com/:b:/r/teams/CTM-OTGentStad/Shared%20Documents/General/EAF/CSI(nieuwe%20sharepoint)%202025/10.%20Oktober/EAF%205233%20Rinskopflaan%20Gentbrugge%2001112025%20-%2037543.pdf?csf=1&amp;web=1&amp;e=KME7KS"/>
    <m/>
    <m/>
    <x v="4"/>
    <x v="252"/>
    <n v="5233"/>
    <s v="Neen"/>
  </r>
  <r>
    <n v="41384"/>
    <x v="332"/>
    <s v="Hillaert"/>
    <s v="Thimo"/>
    <x v="5"/>
    <x v="0"/>
    <m/>
    <m/>
    <m/>
    <m/>
    <m/>
    <m/>
    <m/>
    <m/>
    <m/>
    <m/>
    <m/>
    <m/>
    <n v="0"/>
    <x v="480"/>
    <s v=" https://delijn.sharepoint.com/:b:/r/teams/CTM-OTGentStad/Shared%20Documents/General/EAF/CSI(nieuwe%20sharepoint)%202025/11.%20November/EAF%205916%2001112025%20Gen%2041384.pdf?csf=1&amp;web=1&amp;e=Tkwyyg"/>
    <m/>
    <m/>
    <x v="3"/>
    <x v="242"/>
    <n v="5916"/>
    <s v="ja"/>
  </r>
  <r>
    <n v="35463"/>
    <x v="36"/>
    <s v="Vandaele"/>
    <s v="Tom"/>
    <x v="7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EAF%206312%20Gent%2002112025%2035463.pdf?csf=1&amp;web=1&amp;e=doXpo9"/>
    <m/>
    <m/>
    <x v="2"/>
    <x v="56"/>
    <n v="6312"/>
    <s v="ja"/>
  </r>
  <r>
    <n v="26639"/>
    <x v="401"/>
    <s v="Engels"/>
    <s v="Wendy"/>
    <x v="1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EAF%205938%20Gent%2002112025%2026639.pdf?csf=1&amp;web=1&amp;e=mhzexx"/>
    <m/>
    <m/>
    <x v="3"/>
    <x v="253"/>
    <n v="5938"/>
    <s v="ja"/>
  </r>
  <r>
    <n v="40362"/>
    <x v="342"/>
    <s v="Kuru"/>
    <s v="Cetin"/>
    <x v="1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Scan_28740_1486_001.pdf?csf=1&amp;web=1&amp;e=h2IJ5h"/>
    <m/>
    <m/>
    <x v="3"/>
    <x v="254"/>
    <n v="5935"/>
    <s v="ja"/>
  </r>
  <r>
    <n v="42143"/>
    <x v="402"/>
    <s v="Rahoens"/>
    <s v="Christ"/>
    <x v="4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Scan_28740_1487_001.pdf?csf=1&amp;web=1&amp;e=mhozH3"/>
    <m/>
    <m/>
    <x v="3"/>
    <x v="254"/>
    <n v="550821"/>
    <s v="ja"/>
  </r>
  <r>
    <n v="39651"/>
    <x v="196"/>
    <s v="Kallenbach"/>
    <s v="Sunny"/>
    <x v="1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SPINFR00063_PPMOGE00001_0889_001.pdf?csf=1&amp;web=1&amp;e=xDRccf"/>
    <m/>
    <m/>
    <x v="4"/>
    <x v="110"/>
    <n v="5263"/>
    <s v="ja"/>
  </r>
  <r>
    <n v="11023"/>
    <x v="403"/>
    <s v="Goethals"/>
    <s v="Jeffrey"/>
    <x v="3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EAF%206364%20Gent%2003112025%2011023.pdf?csf=1&amp;web=1&amp;e=p7B6Bt"/>
    <m/>
    <m/>
    <x v="5"/>
    <x v="4"/>
    <n v="6364"/>
    <s v="ja"/>
  </r>
  <r>
    <n v="40110"/>
    <x v="127"/>
    <s v="Vanlerberghe"/>
    <s v="Sandra"/>
    <x v="5"/>
    <x v="0"/>
    <m/>
    <m/>
    <m/>
    <m/>
    <m/>
    <m/>
    <m/>
    <m/>
    <m/>
    <m/>
    <m/>
    <m/>
    <n v="0"/>
    <x v="483"/>
    <s v=" https://delijn.sharepoint.com/:b:/r/teams/CTM-OTGentStad/Shared%20Documents/General/EAF/CSI(nieuwe%20sharepoint)%202025/11.%20November/EAF%205265%20Gent%2004112025%2040110.pdf?csf=1&amp;web=1&amp;e=Ylv2gR"/>
    <m/>
    <m/>
    <x v="4"/>
    <x v="255"/>
    <n v="5265"/>
    <s v="ja"/>
  </r>
  <r>
    <n v="39379"/>
    <x v="167"/>
    <s v="Bensalah"/>
    <s v="Mohammed"/>
    <x v="5"/>
    <x v="0"/>
    <m/>
    <m/>
    <m/>
    <m/>
    <m/>
    <m/>
    <m/>
    <m/>
    <m/>
    <m/>
    <m/>
    <m/>
    <n v="0"/>
    <x v="484"/>
    <s v=" https://delijn.sharepoint.com/:b:/r/teams/CTM-OTGentStad/Shared%20Documents/General/EAF/CSI(nieuwe%20sharepoint)%202025/11.%20November/EAF%205933%20Gent%2005112025%2039379.pdf?csf=1&amp;web=1&amp;e=bJUzEK"/>
    <m/>
    <m/>
    <x v="3"/>
    <x v="256"/>
    <n v="5933"/>
    <s v="ja"/>
  </r>
  <r>
    <n v="38938"/>
    <x v="29"/>
    <s v="Sedighi"/>
    <s v="Hamid"/>
    <x v="6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Scan_28740_1506_001.pdf?csf=1&amp;web=1&amp;e=fpUXGo"/>
    <m/>
    <m/>
    <x v="2"/>
    <x v="151"/>
    <n v="6318"/>
    <s v="ja"/>
  </r>
  <r>
    <n v="18051"/>
    <x v="357"/>
    <s v="Van Wittenberge"/>
    <s v="Filip"/>
    <x v="5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EAF%205924%20Gent%2006112024%2018051.pdf?csf=1&amp;web=1&amp;e=JLd81I"/>
    <m/>
    <m/>
    <x v="3"/>
    <x v="14"/>
    <n v="5924"/>
    <s v="ja"/>
  </r>
  <r>
    <n v="27209"/>
    <x v="40"/>
    <s v="Meyvaert"/>
    <s v="Steven"/>
    <x v="2"/>
    <x v="0"/>
    <m/>
    <m/>
    <m/>
    <m/>
    <m/>
    <m/>
    <m/>
    <m/>
    <m/>
    <m/>
    <m/>
    <m/>
    <n v="0"/>
    <x v="486"/>
    <s v=" https://delijn.sharepoint.com/:b:/r/teams/CTM-OTGentStad/Shared%20Documents/General/EAF/CSI(nieuwe%20sharepoint)%202025/11.%20November/EAF%205922%20Gent%2007112025%2027209.pdf?csf=1&amp;web=1&amp;e=qUiFkg"/>
    <m/>
    <m/>
    <x v="3"/>
    <x v="2"/>
    <n v="5922"/>
    <s v="ja"/>
  </r>
  <r>
    <n v="42277"/>
    <x v="404"/>
    <s v="Güler"/>
    <s v="Ender"/>
    <x v="11"/>
    <x v="0"/>
    <m/>
    <m/>
    <m/>
    <m/>
    <m/>
    <m/>
    <m/>
    <m/>
    <m/>
    <m/>
    <m/>
    <m/>
    <n v="0"/>
    <x v="486"/>
    <s v=" https://delijn.sharepoint.com/:b:/r/teams/CTM-OTGentStad/Shared%20Documents/General/EAF/CSI(nieuwe%20sharepoint)%202025/11.%20November/EAF%205484%20Gent%2007112025%2042277.pdf?csf=1&amp;web=1&amp;e=jAtBGt"/>
    <m/>
    <m/>
    <x v="3"/>
    <x v="56"/>
    <n v="5484"/>
    <s v="ja"/>
  </r>
  <r>
    <n v="36021"/>
    <x v="362"/>
    <s v="Boelaert"/>
    <s v="Frederik"/>
    <x v="6"/>
    <x v="0"/>
    <m/>
    <m/>
    <m/>
    <m/>
    <m/>
    <m/>
    <m/>
    <m/>
    <m/>
    <m/>
    <m/>
    <m/>
    <n v="0"/>
    <x v="486"/>
    <s v=" https://delijn.sharepoint.com/:i:/r/teams/CTM-OTGentStad/Shared%20Documents/General/EAF/CSI(nieuwe%20sharepoint)%202025/11.%20November/EAF%205042%20071125.jpg?csf=1&amp;web=1&amp;e=fF5jbu"/>
    <m/>
    <m/>
    <x v="4"/>
    <x v="92"/>
    <n v="5042"/>
    <s v="ja"/>
  </r>
  <r>
    <n v="29746"/>
    <x v="325"/>
    <s v="Huyse"/>
    <s v="Annicke"/>
    <x v="4"/>
    <x v="0"/>
    <m/>
    <m/>
    <m/>
    <m/>
    <m/>
    <m/>
    <m/>
    <m/>
    <m/>
    <m/>
    <m/>
    <m/>
    <n v="0"/>
    <x v="487"/>
    <s v=" https://delijn.sharepoint.com/:b:/r/teams/CTM-OTGentStad/Shared%20Documents/General/EAF/CSI(nieuwe%20sharepoint)%202025/11.%20November/EAF%206358%20Gent%2010112025%2029746.pdf?csf=1&amp;web=1&amp;e=6O2ceS"/>
    <m/>
    <m/>
    <x v="5"/>
    <x v="29"/>
    <n v="6358"/>
    <s v="Neen"/>
  </r>
  <r>
    <n v="40138"/>
    <x v="235"/>
    <s v="Moerman"/>
    <s v="Tjimmy"/>
    <x v="5"/>
    <x v="0"/>
    <m/>
    <m/>
    <m/>
    <m/>
    <m/>
    <m/>
    <m/>
    <m/>
    <m/>
    <m/>
    <m/>
    <m/>
    <n v="0"/>
    <x v="488"/>
    <s v=" https://delijn.sharepoint.com/:b:/r/teams/CTM-OTGentStad/Shared%20Documents/General/EAF/CSI(nieuwe%20sharepoint)%202025/11.%20November/EAF%205045%20Gent%2011112025%2040138.pdf?csf=1&amp;web=1&amp;e=FWOah6"/>
    <m/>
    <m/>
    <x v="4"/>
    <x v="114"/>
    <n v="5045"/>
    <s v="ja"/>
  </r>
  <r>
    <n v="32620"/>
    <x v="105"/>
    <s v="Saey"/>
    <s v="Elias"/>
    <x v="3"/>
    <x v="0"/>
    <m/>
    <m/>
    <m/>
    <m/>
    <m/>
    <m/>
    <m/>
    <m/>
    <m/>
    <m/>
    <m/>
    <m/>
    <n v="0"/>
    <x v="489"/>
    <s v=" https://delijn.sharepoint.com/:b:/r/teams/CTM-OTGentStad/Shared%20Documents/General/EAF/CSI(nieuwe%20sharepoint)%202025/11.%20November/EAF%205047%20Gent%2012112025%2032620.pdf?csf=1&amp;web=1&amp;e=hQjsGJ"/>
    <m/>
    <m/>
    <x v="4"/>
    <x v="257"/>
    <n v="5047"/>
    <s v="Neen"/>
  </r>
  <r>
    <n v="13089"/>
    <x v="405"/>
    <s v="Oosterlinck"/>
    <s v="Jan"/>
    <x v="5"/>
    <x v="0"/>
    <m/>
    <m/>
    <m/>
    <m/>
    <m/>
    <m/>
    <m/>
    <m/>
    <m/>
    <m/>
    <m/>
    <m/>
    <n v="0"/>
    <x v="489"/>
    <s v=" https://delijn.sharepoint.com/:b:/r/teams/CTM-OTGentStad/Shared%20Documents/General/EAF/CSI(nieuwe%20sharepoint)%202025/11.%20November/Scan_29076_1564_001.pdf?csf=1&amp;web=1&amp;e=dSQbGb"/>
    <m/>
    <m/>
    <x v="3"/>
    <x v="24"/>
    <n v="5929"/>
    <s v="Neen"/>
  </r>
  <r>
    <n v="40403"/>
    <x v="179"/>
    <s v="Prové"/>
    <s v="Michaël"/>
    <x v="7"/>
    <x v="0"/>
    <m/>
    <m/>
    <m/>
    <m/>
    <m/>
    <m/>
    <m/>
    <m/>
    <m/>
    <m/>
    <m/>
    <m/>
    <n v="0"/>
    <x v="490"/>
    <s v=" https://delijn.sharepoint.com/:b:/r/teams/CTM-OTGentStad/Shared%20Documents/General/EAF/CSI(nieuwe%20sharepoint)%202025/11.%20November/EAF%205233%20Gent%2013112025%2040403.pdf?csf=1&amp;web=1&amp;e=4Jtbra"/>
    <m/>
    <m/>
    <x v="4"/>
    <x v="47"/>
    <n v="5233"/>
    <s v="ja"/>
  </r>
  <r>
    <n v="42249"/>
    <x v="406"/>
    <s v="Bontinck"/>
    <s v="Stephan"/>
    <x v="1"/>
    <x v="0"/>
    <m/>
    <m/>
    <m/>
    <m/>
    <m/>
    <m/>
    <m/>
    <m/>
    <m/>
    <m/>
    <m/>
    <m/>
    <n v="0"/>
    <x v="490"/>
    <s v=" https://delijn.sharepoint.com/:b:/r/teams/CTM-OTGentStad/Shared%20Documents/General/EAF/CSI(nieuwe%20sharepoint)%202025/11.%20November/Scan_28740_1543_001.pdf?csf=1&amp;web=1&amp;e=b1Z5IP"/>
    <m/>
    <m/>
    <x v="4"/>
    <x v="258"/>
    <s v="XXXX"/>
    <s v="ja"/>
  </r>
  <r>
    <n v="36438"/>
    <x v="239"/>
    <s v="Agil"/>
    <s v="Birol"/>
    <x v="4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969%20Gent%2036438%2014112025.pdf?csf=1&amp;web=1&amp;e=jCqcNb"/>
    <m/>
    <m/>
    <x v="3"/>
    <x v="173"/>
    <n v="5969"/>
    <s v="ja"/>
  </r>
  <r>
    <n v="42145"/>
    <x v="369"/>
    <s v="Gys"/>
    <s v="Shayya"/>
    <x v="9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50310%20Gent%2014112025%20%2042145.pdf?csf=1&amp;web=1&amp;e=DIPnZ0"/>
    <m/>
    <m/>
    <x v="3"/>
    <x v="165"/>
    <n v="550310"/>
    <s v="ja"/>
  </r>
  <r>
    <n v="31118"/>
    <x v="302"/>
    <s v="De Sutter"/>
    <s v="Michiel"/>
    <x v="2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794%20GEnt%2014112025%2031118.pdf?csf=1&amp;web=1&amp;e=Wyppzu"/>
    <m/>
    <m/>
    <x v="3"/>
    <x v="259"/>
    <n v="5794"/>
    <s v="ja"/>
  </r>
  <r>
    <n v="41384"/>
    <x v="332"/>
    <s v="Hillaert"/>
    <s v="Thimo"/>
    <x v="5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254%20Gent%2014112025%2041384.pdf?csf=1&amp;web=1&amp;e=HO90GD"/>
    <m/>
    <m/>
    <x v="4"/>
    <x v="0"/>
    <n v="5254"/>
    <s v="ja"/>
  </r>
  <r>
    <n v="26524"/>
    <x v="407"/>
    <s v="Bolle"/>
    <s v="Cynthia"/>
    <x v="3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6362%20Gent%2014112025%2026524.pdf?csf=1&amp;web=1&amp;e=VyUCPX"/>
    <m/>
    <m/>
    <x v="5"/>
    <x v="1"/>
    <n v="6362"/>
    <s v="ja"/>
  </r>
  <r>
    <n v="39901"/>
    <x v="408"/>
    <s v="Basha"/>
    <s v="Izmir"/>
    <x v="5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043%2014112025%2039901.pdf?csf=1&amp;web=1&amp;e=RyGRe1"/>
    <m/>
    <m/>
    <x v="4"/>
    <x v="94"/>
    <n v="5043"/>
    <s v="Neen"/>
  </r>
  <r>
    <n v="36505"/>
    <x v="409"/>
    <s v="De Lange"/>
    <s v="Ruben"/>
    <x v="1"/>
    <x v="0"/>
    <m/>
    <m/>
    <m/>
    <m/>
    <m/>
    <m/>
    <m/>
    <m/>
    <m/>
    <m/>
    <m/>
    <m/>
    <n v="0"/>
    <x v="492"/>
    <s v=" https://delijn.sharepoint.com/:b:/r/teams/CTM-OTGentStad/Shared%20Documents/General/EAF/CSI(nieuwe%20sharepoint)%202025/11.%20November/Scan_28740_1567_001.pdf?csf=1&amp;web=1&amp;e=hlZTkb"/>
    <m/>
    <m/>
    <x v="5"/>
    <x v="93"/>
    <n v="6359"/>
    <s v="ja"/>
  </r>
  <r>
    <n v="38807"/>
    <x v="107"/>
    <s v="Dossche"/>
    <s v="Caroline"/>
    <x v="5"/>
    <x v="0"/>
    <m/>
    <m/>
    <m/>
    <m/>
    <m/>
    <m/>
    <m/>
    <m/>
    <m/>
    <m/>
    <m/>
    <m/>
    <n v="0"/>
    <x v="492"/>
    <s v=" https://delijn.sharepoint.com/:b:/r/teams/CTM-OTGentStad/Shared%20Documents/General/EAF/CSI(nieuwe%20sharepoint)%202025/11.%20November/EAF%2015112025%20Gent%2038807.pdf?csf=1&amp;web=1&amp;e=bAfqOk"/>
    <m/>
    <m/>
    <x v="3"/>
    <x v="75"/>
    <n v="550822"/>
    <s v="ja"/>
  </r>
  <r>
    <n v="36426"/>
    <x v="259"/>
    <s v="Mohamed Yassin"/>
    <s v="Abdulhamid"/>
    <x v="4"/>
    <x v="0"/>
    <m/>
    <m/>
    <m/>
    <m/>
    <m/>
    <m/>
    <m/>
    <m/>
    <m/>
    <m/>
    <m/>
    <m/>
    <n v="0"/>
    <x v="493"/>
    <s v=" https://delijn.sharepoint.com/:b:/r/teams/CTM-OTGentStad/Shared%20Documents/General/EAF/CSI(nieuwe%20sharepoint)%202025/11.%20November/EAF%205790%20Braemkasteelstraat%20Gentbrugge%2017112025%20-%2036426.pdf?csf=1&amp;web=1&amp;e=PJRUGf"/>
    <m/>
    <m/>
    <x v="3"/>
    <x v="260"/>
    <n v="5790"/>
    <s v="ja"/>
  </r>
  <r>
    <n v="38529"/>
    <x v="38"/>
    <s v="Huyghe"/>
    <s v="Jan"/>
    <x v="2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EAF5932%2018112025%20Gent%2038529.pdf?csf=1&amp;web=1&amp;e=qHXt5b"/>
    <m/>
    <m/>
    <x v="3"/>
    <x v="9"/>
    <n v="5932"/>
    <s v="Neen"/>
  </r>
  <r>
    <n v="25733"/>
    <x v="307"/>
    <s v="Simsek"/>
    <s v="Abdullah"/>
    <x v="3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EAF%206365%20Gent%2018112025%2025733.pdf?csf=1&amp;web=1&amp;e=UDfy0P"/>
    <m/>
    <m/>
    <x v="5"/>
    <x v="79"/>
    <n v="6365"/>
    <s v="ja"/>
  </r>
  <r>
    <n v="42218"/>
    <x v="410"/>
    <s v="Özer"/>
    <s v="Metehan"/>
    <x v="2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EAF%205936%20GEnt%2018112025%2042218.pdf?csf=1&amp;web=1&amp;e=CGh1Of"/>
    <m/>
    <m/>
    <x v="3"/>
    <x v="67"/>
    <n v="5936"/>
    <s v="ja"/>
  </r>
  <r>
    <n v="33400"/>
    <x v="96"/>
    <s v="Petit"/>
    <s v="Cynthia"/>
    <x v="5"/>
    <x v="0"/>
    <m/>
    <m/>
    <m/>
    <m/>
    <m/>
    <m/>
    <m/>
    <m/>
    <m/>
    <m/>
    <m/>
    <m/>
    <n v="0"/>
    <x v="495"/>
    <s v=" https://delijn.sharepoint.com/:b:/r/teams/CTM-OTGentStad/Shared%20Documents/General/EAF/CSI(nieuwe%20sharepoint)%202025/11.%20November/EAF%206368%20GEnt%2019112025%2033400.pdf?csf=1&amp;web=1&amp;e=oI8Fxu"/>
    <m/>
    <m/>
    <x v="5"/>
    <x v="131"/>
    <n v="6368"/>
    <s v="Neen"/>
  </r>
  <r>
    <n v="42336"/>
    <x v="411"/>
    <s v="Camgöz"/>
    <s v="Furkan"/>
    <x v="11"/>
    <x v="0"/>
    <m/>
    <m/>
    <m/>
    <m/>
    <m/>
    <m/>
    <m/>
    <m/>
    <m/>
    <m/>
    <m/>
    <m/>
    <n v="0"/>
    <x v="496"/>
    <s v=" https://delijn.sharepoint.com/:b:/r/teams/CTM-OTGentStad/Shared%20Documents/General/EAF/CSI(nieuwe%20sharepoint)%202025/11.%20November/EAF%205912%20Gent%2020112025%2042336.pdf?csf=1&amp;web=1&amp;e=9dkXVa"/>
    <m/>
    <m/>
    <x v="3"/>
    <x v="86"/>
    <n v="5912"/>
    <s v="ja"/>
  </r>
  <r>
    <n v="39558"/>
    <x v="75"/>
    <s v="De Groote"/>
    <s v="Cedric"/>
    <x v="9"/>
    <x v="0"/>
    <m/>
    <m/>
    <m/>
    <m/>
    <m/>
    <m/>
    <m/>
    <m/>
    <m/>
    <m/>
    <m/>
    <m/>
    <n v="0"/>
    <x v="496"/>
    <s v=" https://delijn.sharepoint.com/:b:/r/teams/CTM-OTGentStad/Shared%20Documents/General/EAF/CSI(nieuwe%20sharepoint)%202025/11.%20November/EAF%2020112025%205047%20Gent%20Cedric%20De%20Groote%2039558.pdf?csf=1&amp;web=1&amp;e=N2zzhz"/>
    <m/>
    <m/>
    <x v="4"/>
    <x v="53"/>
    <n v="5047"/>
    <s v="ja"/>
  </r>
  <r>
    <n v="8918"/>
    <x v="412"/>
    <s v="De Graeve"/>
    <s v="Marc"/>
    <x v="1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Scan_28740_1620_001.pdf?csf=1&amp;web=1&amp;e=5pTCjw"/>
    <m/>
    <m/>
    <x v="4"/>
    <x v="261"/>
    <n v="5273"/>
    <s v="ja"/>
  </r>
  <r>
    <n v="27865"/>
    <x v="413"/>
    <s v="Olenski"/>
    <s v="Leonard"/>
    <x v="2"/>
    <x v="0"/>
    <m/>
    <m/>
    <m/>
    <m/>
    <m/>
    <m/>
    <m/>
    <m/>
    <m/>
    <m/>
    <m/>
    <m/>
    <n v="0"/>
    <x v="497"/>
    <s v=" https://delijn.sharepoint.com/:b:/r/teams/CTM-OTGentStad/Shared%20Documents/General/EAF/CSI(nieuwe%20sharepoint)%202025/11.%20November/EAF%206353%20Gent%2021112025.pdf?csf=1&amp;web=1&amp;e=EaW7FH"/>
    <m/>
    <m/>
    <x v="5"/>
    <x v="2"/>
    <n v="6353"/>
    <s v="ja"/>
  </r>
  <r>
    <n v="41482"/>
    <x v="329"/>
    <s v="Özdemir"/>
    <s v="Osman"/>
    <x v="4"/>
    <x v="0"/>
    <m/>
    <m/>
    <m/>
    <m/>
    <m/>
    <m/>
    <m/>
    <m/>
    <m/>
    <m/>
    <m/>
    <m/>
    <n v="0"/>
    <x v="498"/>
    <s v=" https://delijn.sharepoint.com/:b:/r/teams/CTM-OTGentStad/Shared%20Documents/General/EAF/CSI(nieuwe%20sharepoint)%202025/11.%20November/EAF%205054%20Gent%2024112025.pdf?csf=1&amp;web=1&amp;e=kjbsfg"/>
    <m/>
    <m/>
    <x v="4"/>
    <x v="24"/>
    <n v="5054"/>
    <s v="Neen"/>
  </r>
  <r>
    <n v="42252"/>
    <x v="382"/>
    <s v="Sular"/>
    <s v="Abdullah"/>
    <x v="5"/>
    <x v="0"/>
    <m/>
    <m/>
    <m/>
    <m/>
    <m/>
    <m/>
    <m/>
    <m/>
    <m/>
    <m/>
    <m/>
    <m/>
    <n v="0"/>
    <x v="497"/>
    <s v=" https://delijn.sharepoint.com/:b:/r/teams/CTM-OTGentStad/Shared%20Documents/General/EAF/CSI(nieuwe%20sharepoint)%202025/11.%20November/EAF%20104023%20Gent%2021112025.pdf?csf=1&amp;web=1&amp;e=MPWelv"/>
    <m/>
    <m/>
    <x v="3"/>
    <x v="262"/>
    <n v="104023"/>
    <s v="ja"/>
  </r>
  <r>
    <n v="42307"/>
    <x v="383"/>
    <s v="Helleputte"/>
    <s v="Jens"/>
    <x v="5"/>
    <x v="0"/>
    <m/>
    <m/>
    <m/>
    <m/>
    <m/>
    <m/>
    <m/>
    <m/>
    <m/>
    <m/>
    <m/>
    <m/>
    <n v="0"/>
    <x v="499"/>
    <s v=" https://delijn.sharepoint.com/:b:/r/teams/CTM-OTGentStad/Shared%20Documents/General/EAF/CSI(nieuwe%20sharepoint)%202025/11.%20November/EAF%205934%20Gent%2025112025%2042307.pdf?csf=1&amp;web=1&amp;e=YmWolc"/>
    <m/>
    <m/>
    <x v="3"/>
    <x v="263"/>
    <n v="5934"/>
    <s v="ja"/>
  </r>
  <r>
    <m/>
    <x v="43"/>
    <e v="#N/A"/>
    <e v="#N/A"/>
    <x v="8"/>
    <x v="0"/>
    <m/>
    <m/>
    <m/>
    <m/>
    <m/>
    <m/>
    <m/>
    <m/>
    <m/>
    <m/>
    <m/>
    <m/>
    <n v="0"/>
    <x v="500"/>
    <m/>
    <m/>
    <m/>
    <x v="6"/>
    <x v="154"/>
    <m/>
    <m/>
  </r>
  <r>
    <m/>
    <x v="43"/>
    <e v="#N/A"/>
    <e v="#N/A"/>
    <x v="8"/>
    <x v="0"/>
    <m/>
    <m/>
    <m/>
    <m/>
    <m/>
    <m/>
    <m/>
    <m/>
    <m/>
    <m/>
    <m/>
    <m/>
    <n v="0"/>
    <x v="500"/>
    <m/>
    <m/>
    <m/>
    <x v="6"/>
    <x v="154"/>
    <m/>
    <m/>
  </r>
  <r>
    <m/>
    <x v="43"/>
    <e v="#N/A"/>
    <e v="#N/A"/>
    <x v="8"/>
    <x v="0"/>
    <m/>
    <m/>
    <m/>
    <m/>
    <m/>
    <m/>
    <m/>
    <m/>
    <m/>
    <m/>
    <m/>
    <m/>
    <n v="0"/>
    <x v="500"/>
    <m/>
    <m/>
    <m/>
    <x v="6"/>
    <x v="154"/>
    <m/>
    <m/>
  </r>
  <r>
    <m/>
    <x v="43"/>
    <e v="#N/A"/>
    <e v="#N/A"/>
    <x v="8"/>
    <x v="0"/>
    <m/>
    <m/>
    <m/>
    <m/>
    <m/>
    <m/>
    <m/>
    <m/>
    <m/>
    <m/>
    <m/>
    <m/>
    <n v="0"/>
    <x v="500"/>
    <m/>
    <m/>
    <m/>
    <x v="6"/>
    <x v="154"/>
    <m/>
    <m/>
  </r>
  <r>
    <m/>
    <x v="43"/>
    <e v="#N/A"/>
    <e v="#N/A"/>
    <x v="8"/>
    <x v="0"/>
    <m/>
    <m/>
    <m/>
    <m/>
    <m/>
    <m/>
    <m/>
    <m/>
    <m/>
    <m/>
    <m/>
    <m/>
    <n v="0"/>
    <x v="500"/>
    <m/>
    <m/>
    <m/>
    <x v="6"/>
    <x v="154"/>
    <m/>
    <m/>
  </r>
  <r>
    <m/>
    <x v="43"/>
    <e v="#N/A"/>
    <e v="#N/A"/>
    <x v="8"/>
    <x v="0"/>
    <m/>
    <m/>
    <m/>
    <m/>
    <m/>
    <m/>
    <m/>
    <m/>
    <m/>
    <m/>
    <m/>
    <m/>
    <n v="0"/>
    <x v="500"/>
    <m/>
    <m/>
    <m/>
    <x v="6"/>
    <x v="154"/>
    <m/>
    <m/>
  </r>
  <r>
    <m/>
    <x v="43"/>
    <e v="#N/A"/>
    <e v="#N/A"/>
    <x v="8"/>
    <x v="0"/>
    <m/>
    <m/>
    <m/>
    <m/>
    <m/>
    <m/>
    <m/>
    <m/>
    <m/>
    <m/>
    <m/>
    <m/>
    <n v="0"/>
    <x v="500"/>
    <m/>
    <m/>
    <m/>
    <x v="6"/>
    <x v="154"/>
    <m/>
    <m/>
  </r>
  <r>
    <m/>
    <x v="43"/>
    <e v="#N/A"/>
    <e v="#N/A"/>
    <x v="8"/>
    <x v="0"/>
    <m/>
    <m/>
    <m/>
    <m/>
    <m/>
    <m/>
    <m/>
    <m/>
    <m/>
    <m/>
    <m/>
    <m/>
    <n v="0"/>
    <x v="500"/>
    <m/>
    <m/>
    <m/>
    <x v="6"/>
    <x v="154"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FED7572-D674-47AB-9D4E-049DB71E146F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I10:J20" firstHeaderRow="1" firstDataRow="1" firstDataCol="1"/>
  <pivotFields count="33">
    <pivotField showAll="0"/>
    <pivotField showAll="0"/>
    <pivotField showAll="0"/>
    <pivotField showAll="0"/>
    <pivotField axis="axisRow" showAll="0" sortType="descending">
      <items count="19">
        <item h="1" x="11"/>
        <item h="1" m="1" x="17"/>
        <item x="4"/>
        <item m="1" x="13"/>
        <item x="5"/>
        <item m="1" x="14"/>
        <item x="7"/>
        <item x="2"/>
        <item x="3"/>
        <item x="10"/>
        <item x="1"/>
        <item m="1" x="16"/>
        <item h="1" m="1" x="15"/>
        <item x="6"/>
        <item m="1" x="12"/>
        <item x="9"/>
        <item h="1" x="0"/>
        <item h="1" x="8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4"/>
  </rowFields>
  <rowItems count="10">
    <i>
      <x v="6"/>
    </i>
    <i>
      <x v="4"/>
    </i>
    <i>
      <x v="2"/>
    </i>
    <i>
      <x v="8"/>
    </i>
    <i>
      <x v="10"/>
    </i>
    <i>
      <x v="7"/>
    </i>
    <i>
      <x v="15"/>
    </i>
    <i>
      <x v="13"/>
    </i>
    <i>
      <x v="9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2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EBC3BA8-6856-4C7A-9813-43503835395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F20:G216" firstHeaderRow="1" firstDataRow="1" firstDataCol="1"/>
  <pivotFields count="33">
    <pivotField showAll="0"/>
    <pivotField showAll="0"/>
    <pivotField showAll="0"/>
    <pivotField showAll="0"/>
    <pivotField showAll="0"/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t="default"/>
      </items>
    </pivotField>
    <pivotField showAll="0"/>
    <pivotField showAll="0"/>
    <pivotField showAll="0"/>
    <pivotField showAll="0"/>
    <pivotField axis="axisRow" showAll="0" sortType="descending">
      <items count="267">
        <item m="1" x="265"/>
        <item x="104"/>
        <item x="171"/>
        <item x="175"/>
        <item x="43"/>
        <item x="213"/>
        <item x="194"/>
        <item x="212"/>
        <item x="30"/>
        <item x="244"/>
        <item x="210"/>
        <item x="145"/>
        <item x="146"/>
        <item x="57"/>
        <item x="80"/>
        <item x="160"/>
        <item x="114"/>
        <item x="236"/>
        <item x="79"/>
        <item x="156"/>
        <item x="247"/>
        <item x="147"/>
        <item x="217"/>
        <item x="260"/>
        <item x="50"/>
        <item x="73"/>
        <item x="3"/>
        <item x="257"/>
        <item x="35"/>
        <item x="151"/>
        <item x="56"/>
        <item x="184"/>
        <item x="120"/>
        <item x="33"/>
        <item x="169"/>
        <item x="71"/>
        <item x="161"/>
        <item x="18"/>
        <item x="220"/>
        <item x="188"/>
        <item x="162"/>
        <item x="108"/>
        <item x="26"/>
        <item x="92"/>
        <item x="84"/>
        <item x="144"/>
        <item x="7"/>
        <item x="10"/>
        <item x="9"/>
        <item x="78"/>
        <item x="143"/>
        <item x="179"/>
        <item x="180"/>
        <item x="243"/>
        <item x="123"/>
        <item x="15"/>
        <item x="241"/>
        <item x="47"/>
        <item x="76"/>
        <item x="199"/>
        <item x="95"/>
        <item x="19"/>
        <item x="214"/>
        <item x="225"/>
        <item x="224"/>
        <item x="242"/>
        <item x="100"/>
        <item x="96"/>
        <item x="62"/>
        <item x="137"/>
        <item x="235"/>
        <item x="17"/>
        <item x="131"/>
        <item x="2"/>
        <item x="251"/>
        <item x="8"/>
        <item x="113"/>
        <item x="91"/>
        <item x="6"/>
        <item x="200"/>
        <item x="198"/>
        <item x="103"/>
        <item x="28"/>
        <item x="129"/>
        <item x="127"/>
        <item x="112"/>
        <item x="219"/>
        <item x="140"/>
        <item x="149"/>
        <item x="223"/>
        <item x="109"/>
        <item x="221"/>
        <item x="134"/>
        <item x="261"/>
        <item x="52"/>
        <item x="89"/>
        <item x="177"/>
        <item x="48"/>
        <item x="157"/>
        <item x="102"/>
        <item x="72"/>
        <item x="201"/>
        <item x="239"/>
        <item x="253"/>
        <item x="11"/>
        <item x="204"/>
        <item x="1"/>
        <item x="82"/>
        <item x="60"/>
        <item x="227"/>
        <item x="58"/>
        <item x="64"/>
        <item x="231"/>
        <item x="165"/>
        <item x="98"/>
        <item x="88"/>
        <item x="66"/>
        <item x="118"/>
        <item x="206"/>
        <item x="31"/>
        <item x="234"/>
        <item x="46"/>
        <item x="176"/>
        <item x="191"/>
        <item x="85"/>
        <item x="51"/>
        <item x="27"/>
        <item x="190"/>
        <item x="5"/>
        <item x="44"/>
        <item x="259"/>
        <item x="203"/>
        <item x="135"/>
        <item x="197"/>
        <item x="124"/>
        <item x="106"/>
        <item x="90"/>
        <item x="136"/>
        <item x="110"/>
        <item x="49"/>
        <item x="63"/>
        <item x="216"/>
        <item x="186"/>
        <item x="202"/>
        <item x="133"/>
        <item x="126"/>
        <item x="233"/>
        <item x="65"/>
        <item x="158"/>
        <item x="101"/>
        <item x="209"/>
        <item x="130"/>
        <item x="163"/>
        <item x="240"/>
        <item x="67"/>
        <item x="119"/>
        <item x="24"/>
        <item x="215"/>
        <item x="152"/>
        <item x="116"/>
        <item x="86"/>
        <item x="81"/>
        <item x="94"/>
        <item x="178"/>
        <item x="208"/>
        <item x="77"/>
        <item x="159"/>
        <item x="211"/>
        <item x="59"/>
        <item x="193"/>
        <item x="153"/>
        <item x="21"/>
        <item m="1" x="264"/>
        <item x="4"/>
        <item x="121"/>
        <item x="132"/>
        <item x="142"/>
        <item x="237"/>
        <item x="246"/>
        <item x="263"/>
        <item x="185"/>
        <item x="40"/>
        <item x="192"/>
        <item x="230"/>
        <item x="138"/>
        <item x="41"/>
        <item x="207"/>
        <item x="245"/>
        <item x="54"/>
        <item x="53"/>
        <item x="141"/>
        <item x="61"/>
        <item x="254"/>
        <item x="36"/>
        <item x="83"/>
        <item x="252"/>
        <item x="97"/>
        <item x="42"/>
        <item x="155"/>
        <item x="205"/>
        <item x="13"/>
        <item x="69"/>
        <item x="174"/>
        <item x="87"/>
        <item x="187"/>
        <item x="170"/>
        <item x="34"/>
        <item x="139"/>
        <item x="226"/>
        <item x="105"/>
        <item x="238"/>
        <item x="182"/>
        <item x="39"/>
        <item x="128"/>
        <item x="173"/>
        <item x="256"/>
        <item x="150"/>
        <item x="68"/>
        <item x="262"/>
        <item x="181"/>
        <item x="167"/>
        <item x="23"/>
        <item x="228"/>
        <item x="0"/>
        <item x="32"/>
        <item x="122"/>
        <item x="22"/>
        <item x="189"/>
        <item x="196"/>
        <item x="25"/>
        <item x="14"/>
        <item x="74"/>
        <item x="70"/>
        <item x="115"/>
        <item x="172"/>
        <item x="111"/>
        <item x="229"/>
        <item x="183"/>
        <item x="168"/>
        <item x="232"/>
        <item x="45"/>
        <item x="38"/>
        <item x="148"/>
        <item x="222"/>
        <item x="117"/>
        <item x="29"/>
        <item x="37"/>
        <item x="248"/>
        <item x="195"/>
        <item x="249"/>
        <item x="250"/>
        <item x="218"/>
        <item x="166"/>
        <item x="107"/>
        <item x="164"/>
        <item x="16"/>
        <item x="55"/>
        <item x="75"/>
        <item x="99"/>
        <item x="255"/>
        <item x="93"/>
        <item x="20"/>
        <item x="258"/>
        <item x="125"/>
        <item x="12"/>
        <item x="154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24"/>
  </rowFields>
  <rowItems count="196">
    <i>
      <x v="30"/>
    </i>
    <i>
      <x v="73"/>
    </i>
    <i>
      <x v="223"/>
    </i>
    <i>
      <x v="224"/>
    </i>
    <i>
      <x v="75"/>
    </i>
    <i>
      <x v="197"/>
    </i>
    <i>
      <x v="264"/>
    </i>
    <i>
      <x v="156"/>
    </i>
    <i>
      <x v="48"/>
    </i>
    <i>
      <x v="245"/>
    </i>
    <i>
      <x v="42"/>
    </i>
    <i>
      <x v="221"/>
    </i>
    <i>
      <x v="168"/>
    </i>
    <i>
      <x v="169"/>
    </i>
    <i>
      <x v="107"/>
    </i>
    <i>
      <x v="257"/>
    </i>
    <i>
      <x v="90"/>
    </i>
    <i>
      <x v="106"/>
    </i>
    <i>
      <x v="40"/>
    </i>
    <i>
      <x v="230"/>
    </i>
    <i>
      <x v="28"/>
    </i>
    <i>
      <x v="47"/>
    </i>
    <i>
      <x v="113"/>
    </i>
    <i>
      <x v="104"/>
    </i>
    <i>
      <x v="57"/>
    </i>
    <i>
      <x v="139"/>
    </i>
    <i>
      <x v="3"/>
    </i>
    <i>
      <x v="173"/>
    </i>
    <i>
      <x v="160"/>
    </i>
    <i>
      <x v="43"/>
    </i>
    <i>
      <x v="219"/>
    </i>
    <i>
      <x v="52"/>
    </i>
    <i>
      <x v="35"/>
    </i>
    <i>
      <x v="76"/>
    </i>
    <i>
      <x v="166"/>
    </i>
    <i>
      <x v="78"/>
    </i>
    <i>
      <x v="214"/>
    </i>
    <i>
      <x v="16"/>
    </i>
    <i>
      <x v="220"/>
    </i>
    <i>
      <x v="18"/>
    </i>
    <i>
      <x v="29"/>
    </i>
    <i>
      <x v="122"/>
    </i>
    <i>
      <x v="260"/>
    </i>
    <i>
      <x v="159"/>
    </i>
    <i>
      <x v="154"/>
    </i>
    <i>
      <x v="235"/>
    </i>
    <i>
      <x v="96"/>
    </i>
    <i>
      <x v="210"/>
    </i>
    <i>
      <x v="265"/>
    </i>
    <i>
      <x v="5"/>
    </i>
    <i>
      <x v="143"/>
    </i>
    <i>
      <x v="138"/>
    </i>
    <i>
      <x v="148"/>
    </i>
    <i>
      <x v="95"/>
    </i>
    <i>
      <x v="149"/>
    </i>
    <i>
      <x v="65"/>
    </i>
    <i>
      <x v="150"/>
    </i>
    <i>
      <x v="31"/>
    </i>
    <i>
      <x v="153"/>
    </i>
    <i>
      <x v="121"/>
    </i>
    <i>
      <x v="263"/>
    </i>
    <i>
      <x v="192"/>
    </i>
    <i>
      <x v="36"/>
    </i>
    <i>
      <x v="212"/>
    </i>
    <i>
      <x v="158"/>
    </i>
    <i>
      <x v="216"/>
    </i>
    <i>
      <x v="72"/>
    </i>
    <i>
      <x v="102"/>
    </i>
    <i>
      <x v="50"/>
    </i>
    <i>
      <x v="19"/>
    </i>
    <i>
      <x v="6"/>
    </i>
    <i>
      <x v="226"/>
    </i>
    <i>
      <x v="61"/>
    </i>
    <i>
      <x v="231"/>
    </i>
    <i>
      <x v="177"/>
    </i>
    <i>
      <x v="236"/>
    </i>
    <i>
      <x v="180"/>
    </i>
    <i>
      <x v="70"/>
    </i>
    <i>
      <x v="187"/>
    </i>
    <i>
      <x v="189"/>
    </i>
    <i>
      <x v="38"/>
    </i>
    <i>
      <x v="155"/>
    </i>
    <i>
      <x v="206"/>
    </i>
    <i>
      <x v="243"/>
    </i>
    <i>
      <x v="105"/>
    </i>
    <i>
      <x v="119"/>
    </i>
    <i>
      <x v="117"/>
    </i>
    <i>
      <x v="120"/>
    </i>
    <i>
      <x v="217"/>
    </i>
    <i>
      <x v="62"/>
    </i>
    <i>
      <x v="234"/>
    </i>
    <i>
      <x v="63"/>
    </i>
    <i>
      <x v="254"/>
    </i>
    <i>
      <x v="123"/>
    </i>
    <i>
      <x v="199"/>
    </i>
    <i>
      <x v="127"/>
    </i>
    <i>
      <x v="55"/>
    </i>
    <i>
      <x v="128"/>
    </i>
    <i>
      <x v="12"/>
    </i>
    <i>
      <x v="130"/>
    </i>
    <i>
      <x v="59"/>
    </i>
    <i>
      <x v="131"/>
    </i>
    <i>
      <x v="238"/>
    </i>
    <i>
      <x v="132"/>
    </i>
    <i>
      <x v="249"/>
    </i>
    <i>
      <x v="133"/>
    </i>
    <i>
      <x v="259"/>
    </i>
    <i>
      <x v="135"/>
    </i>
    <i>
      <x v="27"/>
    </i>
    <i>
      <x v="64"/>
    </i>
    <i>
      <x v="204"/>
    </i>
    <i>
      <x v="9"/>
    </i>
    <i>
      <x v="93"/>
    </i>
    <i>
      <x v="2"/>
    </i>
    <i>
      <x v="215"/>
    </i>
    <i>
      <x v="142"/>
    </i>
    <i>
      <x v="100"/>
    </i>
    <i>
      <x v="68"/>
    </i>
    <i>
      <x v="103"/>
    </i>
    <i>
      <x v="145"/>
    </i>
    <i>
      <x v="228"/>
    </i>
    <i>
      <x v="146"/>
    </i>
    <i>
      <x v="232"/>
    </i>
    <i>
      <x v="147"/>
    </i>
    <i>
      <x v="112"/>
    </i>
    <i>
      <x v="10"/>
    </i>
    <i>
      <x v="241"/>
    </i>
    <i>
      <x v="71"/>
    </i>
    <i>
      <x v="247"/>
    </i>
    <i>
      <x v="7"/>
    </i>
    <i>
      <x v="251"/>
    </i>
    <i>
      <x v="152"/>
    </i>
    <i>
      <x v="256"/>
    </i>
    <i>
      <x v="13"/>
    </i>
    <i>
      <x v="262"/>
    </i>
    <i>
      <x v="74"/>
    </i>
    <i>
      <x v="195"/>
    </i>
    <i>
      <x v="15"/>
    </i>
    <i>
      <x v="198"/>
    </i>
    <i>
      <x v="22"/>
    </i>
    <i>
      <x v="202"/>
    </i>
    <i>
      <x v="157"/>
    </i>
    <i>
      <x v="205"/>
    </i>
    <i>
      <x v="51"/>
    </i>
    <i>
      <x v="208"/>
    </i>
    <i>
      <x v="77"/>
    </i>
    <i>
      <x v="211"/>
    </i>
    <i>
      <x v="39"/>
    </i>
    <i>
      <x v="56"/>
    </i>
    <i>
      <x v="162"/>
    </i>
    <i>
      <x v="98"/>
    </i>
    <i>
      <x v="163"/>
    </i>
    <i>
      <x v="218"/>
    </i>
    <i>
      <x v="164"/>
    </i>
    <i>
      <x v="101"/>
    </i>
    <i>
      <x v="79"/>
    </i>
    <i>
      <x v="222"/>
    </i>
    <i>
      <x v="167"/>
    </i>
    <i>
      <x v="17"/>
    </i>
    <i>
      <x v="23"/>
    </i>
    <i>
      <x v="227"/>
    </i>
    <i>
      <x v="26"/>
    </i>
    <i>
      <x v="229"/>
    </i>
    <i>
      <x v="170"/>
    </i>
    <i>
      <x v="46"/>
    </i>
    <i>
      <x v="171"/>
    </i>
    <i>
      <x v="233"/>
    </i>
    <i>
      <x v="80"/>
    </i>
    <i>
      <x v="109"/>
    </i>
    <i>
      <x v="86"/>
    </i>
    <i>
      <x v="237"/>
    </i>
    <i>
      <x v="178"/>
    </i>
    <i>
      <x v="239"/>
    </i>
    <i>
      <x v="179"/>
    </i>
    <i>
      <x v="242"/>
    </i>
    <i>
      <x v="89"/>
    </i>
    <i>
      <x v="34"/>
    </i>
    <i>
      <x v="182"/>
    </i>
    <i>
      <x v="248"/>
    </i>
    <i>
      <x v="183"/>
    </i>
    <i>
      <x v="250"/>
    </i>
    <i>
      <x v="184"/>
    </i>
    <i>
      <x v="252"/>
    </i>
    <i>
      <x v="186"/>
    </i>
    <i>
      <x v="255"/>
    </i>
    <i>
      <x v="53"/>
    </i>
    <i>
      <x v="20"/>
    </i>
    <i>
      <x v="91"/>
    </i>
    <i>
      <x v="115"/>
    </i>
    <i>
      <x v="190"/>
    </i>
    <i>
      <x v="116"/>
    </i>
    <i>
      <x v="92"/>
    </i>
    <i>
      <x v="118"/>
    </i>
    <i>
      <x v="194"/>
    </i>
    <i>
      <x v="141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28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B36634B-71E5-426A-A6AC-2BA2BE83C789}" name="Draaitabel2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F10:G15" firstHeaderRow="1" firstDataRow="1" firstDataCol="1"/>
  <pivotFields count="33">
    <pivotField showAll="0"/>
    <pivotField showAll="0"/>
    <pivotField showAll="0"/>
    <pivotField showAll="0"/>
    <pivotField showAll="0"/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t="default"/>
      </items>
    </pivotField>
    <pivotField showAll="0"/>
    <pivotField showAll="0"/>
    <pivotField showAll="0"/>
    <pivotField axis="axisRow" showAll="0">
      <items count="9">
        <item m="1" x="7"/>
        <item x="0"/>
        <item x="5"/>
        <item x="4"/>
        <item x="2"/>
        <item x="3"/>
        <item x="1"/>
        <item x="6"/>
        <item t="default"/>
      </items>
    </pivotField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showAll="0" defaultSubtotal="0">
      <items count="4">
        <item sd="0" x="0"/>
        <item sd="0" x="1"/>
        <item sd="0" x="2"/>
        <item sd="0" x="3"/>
      </items>
    </pivotField>
  </pivotFields>
  <rowFields count="1">
    <field x="23"/>
  </rowFields>
  <rowItems count="5"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31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F489D17-97DA-4357-A149-06C98757D82B}" name="Draaitabel1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C10:D296" firstHeaderRow="1" firstDataRow="1" firstDataCol="1"/>
  <pivotFields count="33">
    <pivotField showAll="0"/>
    <pivotField axis="axisRow" showAll="0" sortType="descending">
      <items count="608">
        <item m="1" x="591"/>
        <item m="1" x="606"/>
        <item m="1" x="458"/>
        <item x="137"/>
        <item x="45"/>
        <item m="1" x="534"/>
        <item x="360"/>
        <item x="376"/>
        <item x="403"/>
        <item x="297"/>
        <item x="354"/>
        <item x="61"/>
        <item x="140"/>
        <item x="116"/>
        <item x="390"/>
        <item x="97"/>
        <item x="220"/>
        <item x="270"/>
        <item x="238"/>
        <item x="356"/>
        <item m="1" x="465"/>
        <item x="178"/>
        <item x="132"/>
        <item x="405"/>
        <item m="1" x="481"/>
        <item x="53"/>
        <item x="266"/>
        <item m="1" x="460"/>
        <item m="1" x="466"/>
        <item m="1" x="474"/>
        <item m="1" x="577"/>
        <item x="400"/>
        <item x="158"/>
        <item m="1" x="535"/>
        <item x="339"/>
        <item x="160"/>
        <item m="1" x="578"/>
        <item x="129"/>
        <item m="1" x="495"/>
        <item x="392"/>
        <item x="398"/>
        <item x="11"/>
        <item x="85"/>
        <item x="330"/>
        <item m="1" x="469"/>
        <item x="26"/>
        <item x="229"/>
        <item m="1" x="536"/>
        <item x="128"/>
        <item m="1" x="439"/>
        <item m="1" x="513"/>
        <item x="393"/>
        <item m="1" x="586"/>
        <item m="1" x="551"/>
        <item x="94"/>
        <item x="226"/>
        <item x="257"/>
        <item m="1" x="561"/>
        <item x="230"/>
        <item x="247"/>
        <item m="1" x="499"/>
        <item m="1" x="537"/>
        <item m="1" x="538"/>
        <item m="1" x="539"/>
        <item x="244"/>
        <item x="9"/>
        <item x="145"/>
        <item x="271"/>
        <item m="1" x="492"/>
        <item x="357"/>
        <item m="1" x="540"/>
        <item m="1" x="488"/>
        <item x="248"/>
        <item m="1" x="443"/>
        <item m="1" x="414"/>
        <item m="1" x="562"/>
        <item m="1" x="475"/>
        <item x="144"/>
        <item x="80"/>
        <item m="1" x="519"/>
        <item x="34"/>
        <item x="149"/>
        <item m="1" x="500"/>
        <item x="288"/>
        <item m="1" x="483"/>
        <item m="1" x="501"/>
        <item m="1" x="450"/>
        <item m="1" x="444"/>
        <item m="1" x="453"/>
        <item x="100"/>
        <item x="12"/>
        <item x="177"/>
        <item m="1" x="476"/>
        <item x="225"/>
        <item m="1" x="579"/>
        <item x="23"/>
        <item m="1" x="482"/>
        <item x="391"/>
        <item x="395"/>
        <item m="1" x="436"/>
        <item m="1" x="602"/>
        <item x="65"/>
        <item m="1" x="496"/>
        <item x="370"/>
        <item m="1" x="563"/>
        <item m="1" x="580"/>
        <item x="170"/>
        <item x="117"/>
        <item m="1" x="502"/>
        <item m="1" x="520"/>
        <item x="92"/>
        <item m="1" x="596"/>
        <item x="268"/>
        <item m="1" x="564"/>
        <item m="1" x="503"/>
        <item m="1" x="552"/>
        <item m="1" x="504"/>
        <item m="1" x="484"/>
        <item x="63"/>
        <item x="168"/>
        <item m="1" x="415"/>
        <item m="1" x="581"/>
        <item m="1" x="464"/>
        <item x="83"/>
        <item x="254"/>
        <item m="1" x="505"/>
        <item x="219"/>
        <item m="1" x="506"/>
        <item x="262"/>
        <item m="1" x="600"/>
        <item x="364"/>
        <item x="77"/>
        <item x="162"/>
        <item m="1" x="429"/>
        <item x="346"/>
        <item x="118"/>
        <item x="245"/>
        <item m="1" x="477"/>
        <item x="350"/>
        <item m="1" x="463"/>
        <item m="1" x="541"/>
        <item m="1" x="521"/>
        <item m="1" x="553"/>
        <item x="146"/>
        <item x="191"/>
        <item m="1" x="587"/>
        <item m="1" x="471"/>
        <item m="1" x="417"/>
        <item x="213"/>
        <item m="1" x="522"/>
        <item x="317"/>
        <item m="1" x="467"/>
        <item x="60"/>
        <item x="192"/>
        <item m="1" x="485"/>
        <item m="1" x="523"/>
        <item x="134"/>
        <item x="275"/>
        <item m="1" x="486"/>
        <item x="307"/>
        <item x="367"/>
        <item m="1" x="440"/>
        <item x="399"/>
        <item x="82"/>
        <item x="54"/>
        <item x="224"/>
        <item m="1" x="478"/>
        <item x="180"/>
        <item m="1" x="489"/>
        <item x="79"/>
        <item x="279"/>
        <item m="1" x="468"/>
        <item x="209"/>
        <item x="84"/>
        <item m="1" x="565"/>
        <item x="33"/>
        <item m="1" x="566"/>
        <item x="407"/>
        <item m="1" x="472"/>
        <item x="401"/>
        <item x="338"/>
        <item m="1" x="554"/>
        <item x="252"/>
        <item m="1" x="588"/>
        <item x="90"/>
        <item x="32"/>
        <item x="68"/>
        <item m="1" x="542"/>
        <item x="40"/>
        <item m="1" x="524"/>
        <item m="1" x="514"/>
        <item x="202"/>
        <item x="323"/>
        <item x="397"/>
        <item m="1" x="525"/>
        <item x="56"/>
        <item m="1" x="597"/>
        <item x="413"/>
        <item m="1" x="574"/>
        <item m="1" x="454"/>
        <item m="1" x="567"/>
        <item x="108"/>
        <item x="274"/>
        <item x="173"/>
        <item m="1" x="445"/>
        <item x="171"/>
        <item m="1" x="526"/>
        <item x="293"/>
        <item x="103"/>
        <item m="1" x="446"/>
        <item x="386"/>
        <item m="1" x="543"/>
        <item x="246"/>
        <item x="152"/>
        <item m="1" x="604"/>
        <item x="222"/>
        <item m="1" x="490"/>
        <item x="343"/>
        <item x="291"/>
        <item x="325"/>
        <item m="1" x="515"/>
        <item m="1" x="569"/>
        <item x="233"/>
        <item x="227"/>
        <item x="28"/>
        <item x="352"/>
        <item m="1" x="570"/>
        <item x="123"/>
        <item m="1" x="589"/>
        <item m="1" x="418"/>
        <item x="217"/>
        <item x="122"/>
        <item x="234"/>
        <item m="1" x="435"/>
        <item x="30"/>
        <item x="4"/>
        <item x="302"/>
        <item x="337"/>
        <item x="186"/>
        <item x="86"/>
        <item x="189"/>
        <item m="1" x="568"/>
        <item m="1" x="571"/>
        <item x="258"/>
        <item m="1" x="572"/>
        <item x="99"/>
        <item m="1" x="573"/>
        <item x="374"/>
        <item x="200"/>
        <item m="1" x="544"/>
        <item x="20"/>
        <item x="153"/>
        <item x="24"/>
        <item x="27"/>
        <item x="347"/>
        <item x="315"/>
        <item x="292"/>
        <item m="1" x="545"/>
        <item x="195"/>
        <item m="1" x="507"/>
        <item x="312"/>
        <item x="55"/>
        <item x="175"/>
        <item m="1" x="582"/>
        <item x="81"/>
        <item x="163"/>
        <item x="300"/>
        <item x="105"/>
        <item x="73"/>
        <item m="1" x="601"/>
        <item x="316"/>
        <item x="96"/>
        <item x="91"/>
        <item x="223"/>
        <item x="124"/>
        <item m="1" x="516"/>
        <item m="1" x="449"/>
        <item x="269"/>
        <item m="1" x="508"/>
        <item m="1" x="437"/>
        <item x="71"/>
        <item m="1" x="455"/>
        <item x="157"/>
        <item x="289"/>
        <item x="115"/>
        <item x="42"/>
        <item x="93"/>
        <item m="1" x="605"/>
        <item x="52"/>
        <item x="1"/>
        <item x="114"/>
        <item x="104"/>
        <item x="22"/>
        <item m="1" x="479"/>
        <item x="361"/>
        <item m="1" x="447"/>
        <item x="164"/>
        <item m="1" x="438"/>
        <item m="1" x="555"/>
        <item x="49"/>
        <item x="88"/>
        <item x="58"/>
        <item x="142"/>
        <item x="298"/>
        <item m="1" x="556"/>
        <item x="136"/>
        <item m="1" x="598"/>
        <item x="241"/>
        <item x="161"/>
        <item x="287"/>
        <item m="1" x="509"/>
        <item m="1" x="557"/>
        <item x="231"/>
        <item x="198"/>
        <item x="113"/>
        <item x="36"/>
        <item x="281"/>
        <item x="267"/>
        <item x="159"/>
        <item m="1" x="451"/>
        <item x="295"/>
        <item x="197"/>
        <item x="214"/>
        <item x="304"/>
        <item m="1" x="546"/>
        <item x="228"/>
        <item x="62"/>
        <item m="1" x="583"/>
        <item m="1" x="497"/>
        <item x="362"/>
        <item x="333"/>
        <item x="232"/>
        <item x="50"/>
        <item x="46"/>
        <item m="1" x="558"/>
        <item x="176"/>
        <item m="1" x="452"/>
        <item m="1" x="422"/>
        <item x="255"/>
        <item m="1" x="493"/>
        <item m="1" x="432"/>
        <item x="259"/>
        <item x="181"/>
        <item x="110"/>
        <item x="239"/>
        <item x="141"/>
        <item x="409"/>
        <item m="1" x="480"/>
        <item x="182"/>
        <item x="250"/>
        <item x="203"/>
        <item m="1" x="416"/>
        <item x="351"/>
        <item x="148"/>
        <item m="1" x="441"/>
        <item x="13"/>
        <item x="19"/>
        <item x="48"/>
        <item x="260"/>
        <item x="308"/>
        <item m="1" x="462"/>
        <item x="151"/>
        <item x="314"/>
        <item x="169"/>
        <item x="334"/>
        <item x="102"/>
        <item x="377"/>
        <item m="1" x="456"/>
        <item x="240"/>
        <item x="358"/>
        <item x="51"/>
        <item x="5"/>
        <item x="139"/>
        <item x="98"/>
        <item x="194"/>
        <item x="199"/>
        <item x="155"/>
        <item x="25"/>
        <item x="39"/>
        <item x="126"/>
        <item x="183"/>
        <item x="208"/>
        <item x="310"/>
        <item x="242"/>
        <item x="6"/>
        <item x="216"/>
        <item m="1" x="575"/>
        <item x="318"/>
        <item x="150"/>
        <item x="130"/>
        <item x="121"/>
        <item x="31"/>
        <item x="305"/>
        <item m="1" x="527"/>
        <item m="1" x="430"/>
        <item m="1" x="510"/>
        <item x="3"/>
        <item x="57"/>
        <item x="101"/>
        <item x="38"/>
        <item m="1" x="528"/>
        <item x="210"/>
        <item x="388"/>
        <item x="16"/>
        <item x="301"/>
        <item x="190"/>
        <item x="10"/>
        <item x="70"/>
        <item x="135"/>
        <item m="1" x="584"/>
        <item x="321"/>
        <item x="319"/>
        <item x="107"/>
        <item x="37"/>
        <item x="15"/>
        <item x="29"/>
        <item x="64"/>
        <item x="66"/>
        <item x="17"/>
        <item m="1" x="529"/>
        <item m="1" x="431"/>
        <item x="8"/>
        <item x="35"/>
        <item x="7"/>
        <item x="59"/>
        <item m="1" x="457"/>
        <item m="1" x="470"/>
        <item x="276"/>
        <item x="41"/>
        <item x="167"/>
        <item x="143"/>
        <item x="166"/>
        <item x="165"/>
        <item x="75"/>
        <item m="1" x="433"/>
        <item x="2"/>
        <item x="172"/>
        <item x="69"/>
        <item x="196"/>
        <item x="95"/>
        <item x="76"/>
        <item m="1" x="459"/>
        <item x="18"/>
        <item x="303"/>
        <item x="72"/>
        <item m="1" x="590"/>
        <item x="201"/>
        <item x="47"/>
        <item m="1" x="594"/>
        <item x="111"/>
        <item x="285"/>
        <item x="344"/>
        <item x="324"/>
        <item x="188"/>
        <item x="14"/>
        <item x="184"/>
        <item x="120"/>
        <item x="408"/>
        <item x="147"/>
        <item x="119"/>
        <item x="394"/>
        <item x="67"/>
        <item x="109"/>
        <item x="284"/>
        <item m="1" x="442"/>
        <item m="1" x="599"/>
        <item x="251"/>
        <item x="205"/>
        <item x="156"/>
        <item m="1" x="593"/>
        <item x="273"/>
        <item x="131"/>
        <item x="127"/>
        <item x="236"/>
        <item x="235"/>
        <item m="1" x="530"/>
        <item x="78"/>
        <item m="1" x="576"/>
        <item x="133"/>
        <item x="87"/>
        <item m="1" x="531"/>
        <item x="193"/>
        <item x="221"/>
        <item x="243"/>
        <item x="342"/>
        <item x="326"/>
        <item m="1" x="473"/>
        <item x="179"/>
        <item x="253"/>
        <item x="309"/>
        <item x="263"/>
        <item x="174"/>
        <item x="204"/>
        <item x="154"/>
        <item m="1" x="547"/>
        <item x="290"/>
        <item x="212"/>
        <item x="335"/>
        <item x="215"/>
        <item x="187"/>
        <item x="345"/>
        <item x="207"/>
        <item x="272"/>
        <item x="218"/>
        <item x="322"/>
        <item x="294"/>
        <item x="264"/>
        <item x="359"/>
        <item x="282"/>
        <item x="261"/>
        <item x="296"/>
        <item m="1" x="592"/>
        <item x="280"/>
        <item x="237"/>
        <item x="375"/>
        <item x="353"/>
        <item x="265"/>
        <item x="368"/>
        <item x="311"/>
        <item x="283"/>
        <item x="249"/>
        <item x="365"/>
        <item x="278"/>
        <item x="332"/>
        <item x="329"/>
        <item m="1" x="595"/>
        <item x="299"/>
        <item x="313"/>
        <item m="1" x="461"/>
        <item x="331"/>
        <item x="328"/>
        <item x="341"/>
        <item x="327"/>
        <item x="340"/>
        <item x="372"/>
        <item x="348"/>
        <item x="396"/>
        <item x="366"/>
        <item x="363"/>
        <item x="384"/>
        <item x="380"/>
        <item x="381"/>
        <item x="355"/>
        <item x="389"/>
        <item x="387"/>
        <item x="371"/>
        <item x="385"/>
        <item x="379"/>
        <item x="402"/>
        <item x="369"/>
        <item x="378"/>
        <item x="382"/>
        <item x="383"/>
        <item m="1" x="532"/>
        <item x="256"/>
        <item m="1" x="487"/>
        <item x="320"/>
        <item x="349"/>
        <item m="1" x="448"/>
        <item m="1" x="603"/>
        <item m="1" x="498"/>
        <item m="1" x="517"/>
        <item x="21"/>
        <item m="1" x="548"/>
        <item m="1" x="585"/>
        <item x="89"/>
        <item x="112"/>
        <item x="211"/>
        <item x="44"/>
        <item m="1" x="494"/>
        <item m="1" x="559"/>
        <item m="1" x="511"/>
        <item x="277"/>
        <item m="1" x="434"/>
        <item x="138"/>
        <item m="1" x="549"/>
        <item x="336"/>
        <item m="1" x="560"/>
        <item x="185"/>
        <item m="1" x="533"/>
        <item x="206"/>
        <item m="1" x="512"/>
        <item x="74"/>
        <item x="106"/>
        <item m="1" x="550"/>
        <item x="412"/>
        <item x="373"/>
        <item x="125"/>
        <item x="306"/>
        <item m="1" x="518"/>
        <item x="286"/>
        <item m="1" x="491"/>
        <item x="0"/>
        <item m="1" x="421"/>
        <item m="1" x="424"/>
        <item m="1" x="423"/>
        <item m="1" x="427"/>
        <item m="1" x="426"/>
        <item m="1" x="425"/>
        <item m="1" x="428"/>
        <item x="43"/>
        <item m="1" x="420"/>
        <item m="1" x="419"/>
        <item x="404"/>
        <item x="406"/>
        <item x="410"/>
        <item x="41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>
      <items count="50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9"/>
        <item x="500"/>
        <item x="487"/>
        <item x="488"/>
        <item x="490"/>
        <item x="491"/>
        <item x="492"/>
        <item x="493"/>
        <item x="494"/>
        <item x="495"/>
        <item x="496"/>
        <item x="497"/>
        <item x="498"/>
        <item x="499"/>
        <item t="default"/>
      </items>
    </pivotField>
    <pivotField showAll="0"/>
    <pivotField showAll="0"/>
    <pivotField showAll="0"/>
    <pivotField compact="0" subtotalTop="0" showAll="0" defaultSubtotal="0">
      <items count="8">
        <item m="1" x="7"/>
        <item x="0"/>
        <item x="5"/>
        <item x="4"/>
        <item x="2"/>
        <item x="3"/>
        <item x="1"/>
        <item x="6"/>
      </items>
    </pivotField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showAll="0">
      <items count="5">
        <item sd="0" x="0"/>
        <item sd="0" x="1"/>
        <item sd="0" x="2"/>
        <item x="3"/>
        <item t="default"/>
      </items>
    </pivotField>
  </pivotFields>
  <rowFields count="1">
    <field x="1"/>
  </rowFields>
  <rowItems count="286">
    <i>
      <x v="600"/>
    </i>
    <i>
      <x v="513"/>
    </i>
    <i>
      <x v="474"/>
    </i>
    <i>
      <x v="516"/>
    </i>
    <i>
      <x v="498"/>
    </i>
    <i>
      <x v="502"/>
    </i>
    <i>
      <x v="509"/>
    </i>
    <i>
      <x v="358"/>
    </i>
    <i>
      <x v="479"/>
    </i>
    <i>
      <x v="202"/>
    </i>
    <i>
      <x v="156"/>
    </i>
    <i>
      <x v="342"/>
    </i>
    <i>
      <x v="505"/>
    </i>
    <i>
      <x v="90"/>
    </i>
    <i>
      <x v="280"/>
    </i>
    <i>
      <x v="519"/>
    </i>
    <i>
      <x v="442"/>
    </i>
    <i>
      <x v="380"/>
    </i>
    <i>
      <x v="440"/>
    </i>
    <i>
      <x v="554"/>
    </i>
    <i>
      <x v="497"/>
    </i>
    <i>
      <x v="526"/>
    </i>
    <i>
      <x v="255"/>
    </i>
    <i>
      <x v="325"/>
    </i>
    <i>
      <x v="482"/>
    </i>
    <i>
      <x v="341"/>
    </i>
    <i>
      <x v="503"/>
    </i>
    <i>
      <x v="81"/>
    </i>
    <i>
      <x v="69"/>
    </i>
    <i>
      <x v="348"/>
    </i>
    <i>
      <x v="58"/>
    </i>
    <i>
      <x v="355"/>
    </i>
    <i>
      <x v="491"/>
    </i>
    <i>
      <x v="11"/>
    </i>
    <i>
      <x v="499"/>
    </i>
    <i>
      <x v="112"/>
    </i>
    <i>
      <x v="250"/>
    </i>
    <i>
      <x v="374"/>
    </i>
    <i>
      <x v="512"/>
    </i>
    <i>
      <x v="375"/>
    </i>
    <i>
      <x v="309"/>
    </i>
    <i>
      <x v="148"/>
    </i>
    <i>
      <x v="317"/>
    </i>
    <i>
      <x v="397"/>
    </i>
    <i>
      <x v="481"/>
    </i>
    <i>
      <x v="407"/>
    </i>
    <i>
      <x v="484"/>
    </i>
    <i>
      <x v="411"/>
    </i>
    <i>
      <x v="495"/>
    </i>
    <i>
      <x v="538"/>
    </i>
    <i>
      <x v="219"/>
    </i>
    <i>
      <x v="428"/>
    </i>
    <i>
      <x v="232"/>
    </i>
    <i>
      <x v="431"/>
    </i>
    <i>
      <x v="504"/>
    </i>
    <i>
      <x v="432"/>
    </i>
    <i>
      <x v="508"/>
    </i>
    <i>
      <x v="435"/>
    </i>
    <i>
      <x v="510"/>
    </i>
    <i>
      <x v="438"/>
    </i>
    <i>
      <x v="270"/>
    </i>
    <i>
      <x v="18"/>
    </i>
    <i>
      <x v="518"/>
    </i>
    <i>
      <x v="157"/>
    </i>
    <i>
      <x v="523"/>
    </i>
    <i>
      <x v="447"/>
    </i>
    <i>
      <x v="529"/>
    </i>
    <i>
      <x v="473"/>
    </i>
    <i>
      <x v="184"/>
    </i>
    <i>
      <x v="412"/>
    </i>
    <i>
      <x v="362"/>
    </i>
    <i>
      <x v="65"/>
    </i>
    <i>
      <x v="470"/>
    </i>
    <i>
      <x v="160"/>
    </i>
    <i>
      <x v="267"/>
    </i>
    <i>
      <x v="223"/>
    </i>
    <i>
      <x v="268"/>
    </i>
    <i>
      <x v="262"/>
    </i>
    <i>
      <x v="17"/>
    </i>
    <i>
      <x v="450"/>
    </i>
    <i>
      <x v="273"/>
    </i>
    <i>
      <x v="485"/>
    </i>
    <i>
      <x v="277"/>
    </i>
    <i>
      <x v="237"/>
    </i>
    <i>
      <x v="10"/>
    </i>
    <i>
      <x v="260"/>
    </i>
    <i>
      <x v="283"/>
    </i>
    <i>
      <x v="572"/>
    </i>
    <i>
      <x v="285"/>
    </i>
    <i>
      <x v="443"/>
    </i>
    <i>
      <x v="288"/>
    </i>
    <i>
      <x v="461"/>
    </i>
    <i>
      <x v="290"/>
    </i>
    <i>
      <x v="43"/>
    </i>
    <i>
      <x v="292"/>
    </i>
    <i>
      <x v="207"/>
    </i>
    <i>
      <x v="303"/>
    </i>
    <i>
      <x v="59"/>
    </i>
    <i>
      <x v="305"/>
    </i>
    <i>
      <x v="243"/>
    </i>
    <i>
      <x v="307"/>
    </i>
    <i>
      <x v="67"/>
    </i>
    <i>
      <x v="308"/>
    </i>
    <i>
      <x v="533"/>
    </i>
    <i>
      <x v="83"/>
    </i>
    <i>
      <x v="550"/>
    </i>
    <i>
      <x v="314"/>
    </i>
    <i>
      <x v="159"/>
    </i>
    <i>
      <x v="316"/>
    </i>
    <i>
      <x v="167"/>
    </i>
    <i>
      <x v="19"/>
    </i>
    <i>
      <x v="173"/>
    </i>
    <i>
      <x v="320"/>
    </i>
    <i>
      <x v="452"/>
    </i>
    <i>
      <x v="321"/>
    </i>
    <i>
      <x v="466"/>
    </i>
    <i>
      <x v="323"/>
    </i>
    <i>
      <x v="180"/>
    </i>
    <i>
      <x v="101"/>
    </i>
    <i>
      <x v="192"/>
    </i>
    <i>
      <x v="329"/>
    </i>
    <i>
      <x v="489"/>
    </i>
    <i>
      <x v="330"/>
    </i>
    <i>
      <x v="218"/>
    </i>
    <i>
      <x v="333"/>
    </i>
    <i>
      <x v="224"/>
    </i>
    <i>
      <x v="338"/>
    </i>
    <i>
      <x v="506"/>
    </i>
    <i>
      <x v="103"/>
    </i>
    <i>
      <x v="239"/>
    </i>
    <i>
      <x v="26"/>
    </i>
    <i>
      <x v="245"/>
    </i>
    <i>
      <x v="344"/>
    </i>
    <i>
      <x v="520"/>
    </i>
    <i>
      <x v="118"/>
    </i>
    <i>
      <x v="256"/>
    </i>
    <i>
      <x v="350"/>
    </i>
    <i>
      <x v="531"/>
    </i>
    <i>
      <x v="352"/>
    </i>
    <i>
      <x v="535"/>
    </i>
    <i>
      <x v="353"/>
    </i>
    <i>
      <x v="545"/>
    </i>
    <i>
      <x v="119"/>
    </i>
    <i>
      <x v="556"/>
    </i>
    <i>
      <x v="356"/>
    </i>
    <i>
      <x v="266"/>
    </i>
    <i>
      <x v="357"/>
    </i>
    <i>
      <x v="437"/>
    </i>
    <i>
      <x v="128"/>
    </i>
    <i>
      <x v="439"/>
    </i>
    <i>
      <x v="359"/>
    </i>
    <i>
      <x v="170"/>
    </i>
    <i>
      <x v="582"/>
    </i>
    <i>
      <x v="444"/>
    </i>
    <i>
      <x v="588"/>
    </i>
    <i>
      <x v="449"/>
    </i>
    <i>
      <x v="130"/>
    </i>
    <i>
      <x v="451"/>
    </i>
    <i>
      <x v="6"/>
    </i>
    <i>
      <x v="459"/>
    </i>
    <i>
      <x v="368"/>
    </i>
    <i>
      <x v="463"/>
    </i>
    <i>
      <x v="369"/>
    </i>
    <i>
      <x v="468"/>
    </i>
    <i>
      <x v="372"/>
    </i>
    <i>
      <x v="472"/>
    </i>
    <i>
      <x v="373"/>
    </i>
    <i>
      <x v="182"/>
    </i>
    <i>
      <x v="131"/>
    </i>
    <i>
      <x v="185"/>
    </i>
    <i>
      <x v="132"/>
    </i>
    <i>
      <x v="55"/>
    </i>
    <i>
      <x v="376"/>
    </i>
    <i>
      <x v="487"/>
    </i>
    <i>
      <x v="377"/>
    </i>
    <i>
      <x v="490"/>
    </i>
    <i>
      <x v="134"/>
    </i>
    <i>
      <x v="217"/>
    </i>
    <i>
      <x v="382"/>
    </i>
    <i>
      <x v="7"/>
    </i>
    <i>
      <x v="385"/>
    </i>
    <i>
      <x v="500"/>
    </i>
    <i>
      <x v="387"/>
    </i>
    <i>
      <x v="225"/>
    </i>
    <i>
      <x v="388"/>
    </i>
    <i>
      <x v="236"/>
    </i>
    <i>
      <x v="389"/>
    </i>
    <i>
      <x v="507"/>
    </i>
    <i>
      <x v="392"/>
    </i>
    <i>
      <x v="238"/>
    </i>
    <i>
      <x v="138"/>
    </i>
    <i>
      <x v="240"/>
    </i>
    <i>
      <x v="398"/>
    </i>
    <i>
      <x v="515"/>
    </i>
    <i>
      <x v="404"/>
    </i>
    <i>
      <x v="517"/>
    </i>
    <i>
      <x v="405"/>
    </i>
    <i>
      <x v="254"/>
    </i>
    <i>
      <x v="406"/>
    </i>
    <i>
      <x v="522"/>
    </i>
    <i>
      <x v="143"/>
    </i>
    <i>
      <x v="524"/>
    </i>
    <i>
      <x v="410"/>
    </i>
    <i>
      <x v="527"/>
    </i>
    <i>
      <x v="34"/>
    </i>
    <i>
      <x v="530"/>
    </i>
    <i>
      <x v="150"/>
    </i>
    <i>
      <x v="532"/>
    </i>
    <i>
      <x v="413"/>
    </i>
    <i>
      <x v="534"/>
    </i>
    <i>
      <x v="414"/>
    </i>
    <i>
      <x v="537"/>
    </i>
    <i>
      <x v="415"/>
    </i>
    <i>
      <x v="542"/>
    </i>
    <i>
      <x v="417"/>
    </i>
    <i>
      <x v="549"/>
    </i>
    <i>
      <x v="427"/>
    </i>
    <i>
      <x v="264"/>
    </i>
    <i>
      <x v="152"/>
    </i>
    <i>
      <x v="557"/>
    </i>
    <i>
      <x v="430"/>
    </i>
    <i>
      <x v="576"/>
    </i>
    <i>
      <x v="37"/>
    </i>
    <i>
      <x v="41"/>
    </i>
    <i>
      <x v="590"/>
    </i>
    <i>
      <x v="363"/>
    </i>
    <i>
      <x v="364"/>
    </i>
    <i>
      <x v="366"/>
    </i>
    <i>
      <x v="543"/>
    </i>
    <i>
      <x v="282"/>
    </i>
    <i>
      <x v="551"/>
    </i>
    <i>
      <x v="23"/>
    </i>
    <i>
      <x v="605"/>
    </i>
    <i>
      <x v="399"/>
    </i>
    <i>
      <x v="547"/>
    </i>
    <i>
      <x v="453"/>
    </i>
    <i>
      <x v="230"/>
    </i>
    <i>
      <x v="514"/>
    </i>
    <i>
      <x v="39"/>
    </i>
    <i>
      <x v="457"/>
    </i>
    <i>
      <x v="541"/>
    </i>
    <i>
      <x v="402"/>
    </i>
    <i>
      <x v="433"/>
    </i>
    <i>
      <x v="460"/>
    </i>
    <i>
      <x v="9"/>
    </i>
    <i>
      <x v="289"/>
    </i>
    <i>
      <x v="227"/>
    </i>
    <i>
      <x v="188"/>
    </i>
    <i>
      <x v="179"/>
    </i>
    <i>
      <x v="126"/>
    </i>
    <i>
      <x v="586"/>
    </i>
    <i>
      <x v="521"/>
    </i>
    <i>
      <x v="603"/>
    </i>
    <i>
      <x v="294"/>
    </i>
    <i>
      <x v="40"/>
    </i>
    <i>
      <x v="193"/>
    </i>
    <i>
      <x v="98"/>
    </i>
    <i>
      <x v="471"/>
    </i>
    <i>
      <x v="544"/>
    </i>
    <i>
      <x v="247"/>
    </i>
    <i>
      <x v="546"/>
    </i>
    <i>
      <x v="197"/>
    </i>
    <i>
      <x v="548"/>
    </i>
    <i>
      <x v="8"/>
    </i>
    <i>
      <x v="177"/>
    </i>
    <i>
      <x v="51"/>
    </i>
    <i>
      <x v="552"/>
    </i>
    <i>
      <x v="312"/>
    </i>
    <i>
      <x v="271"/>
    </i>
    <i>
      <x v="210"/>
    </i>
    <i>
      <x v="565"/>
    </i>
    <i>
      <x v="315"/>
    </i>
    <i>
      <x v="14"/>
    </i>
    <i>
      <x v="31"/>
    </i>
    <i>
      <x v="585"/>
    </i>
    <i>
      <x v="429"/>
    </i>
    <i>
      <x v="446"/>
    </i>
    <i>
      <x v="536"/>
    </i>
    <i>
      <x v="346"/>
    </i>
    <i>
      <x v="162"/>
    </i>
    <i>
      <x v="604"/>
    </i>
    <i>
      <x v="97"/>
    </i>
    <i>
      <x v="606"/>
    </i>
    <i>
      <x v="539"/>
    </i>
    <i>
      <x v="540"/>
    </i>
    <i t="grand">
      <x/>
    </i>
  </rowItems>
  <colItems count="1">
    <i/>
  </colItems>
  <dataFields count="1">
    <dataField name="Som van totaal schade" fld="18" baseField="0" baseItem="0"/>
  </dataFields>
  <pivotTableStyleInfo name="PivotStyleLight16" showRowHeaders="1" showColHeaders="1" showRowStripes="0" showColStripes="0" showLastColumn="1"/>
  <filters count="1">
    <filter fld="19" type="dateBetween" evalOrder="-1" id="33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18"/>
    <tableColumn id="5" xr3:uid="{DF37AD45-FC5C-478A-989D-9143E744CEEA}" name="voornaam" dataDxfId="17">
      <calculatedColumnFormula>VLOOKUP(Tabel2[[#This Row],[nr]],'data hastus'!A:C,3,FALSE)</calculatedColumnFormula>
    </tableColumn>
    <tableColumn id="6" xr3:uid="{4098FAFB-9B09-4A81-8B22-18CC90B5F979}" name="achternaam" dataDxfId="16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AB984" totalsRowShown="0" headerRowDxfId="15">
  <autoFilter ref="A1:AB984" xr:uid="{2FDE3AF6-1CE1-4F38-BD72-1F03CD30F4FC}"/>
  <sortState xmlns:xlrd2="http://schemas.microsoft.com/office/spreadsheetml/2017/richdata2" ref="A2:AB984">
    <sortCondition ref="T1:T984"/>
  </sortState>
  <tableColumns count="28">
    <tableColumn id="1" xr3:uid="{A89FCEBD-EFF0-43A5-BEAC-9201FF09453E}" name="personeelsnr"/>
    <tableColumn id="23" xr3:uid="{3989647C-F1EB-4322-A586-1EC53B4E823E}" name="volledige naam" dataDxfId="14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13"/>
    <tableColumn id="11" xr3:uid="{97ECF1D5-48DC-4487-B3C2-17232CC8E19E}" name="Januari" dataDxfId="12"/>
    <tableColumn id="12" xr3:uid="{7B2FF520-A575-45C0-BB5A-19B87DDB4EA0}" name="Februari" dataDxfId="11"/>
    <tableColumn id="13" xr3:uid="{4E6C30D1-FB72-4AB2-900F-14A3D53F34DE}" name="Maart" dataDxfId="10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9">
      <calculatedColumnFormula>SUM(bron[[#This Row],[Januari]:[December]])</calculatedColumnFormula>
    </tableColumn>
    <tableColumn id="10" xr3:uid="{8D9646BD-38B6-4F4D-9859-B3933369346B}" name="Datum" dataDxfId="8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  <tableColumn id="24" xr3:uid="{E4CDE3EA-889C-410B-8A14-6B781AC48E9E}" name="ja"/>
    <tableColumn id="28" xr3:uid="{F72DC24A-B2EB-4B60-B43B-9E1E6F64B37E}" name="totaal" dataDxfId="7">
      <calculatedColumnFormula>COUNTIF(B:B,bron[[#This Row],[volledige naam]])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42" totalsRowShown="0">
  <autoFilter ref="A1:C42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1" xr10:uid="{234A0A90-B30E-40CB-9173-197FECCAEB67}" sourceName="Datum">
  <pivotTables>
    <pivotTable tabId="14" name="Draaitabel1"/>
    <pivotTable tabId="14" name="Draaitabel2"/>
    <pivotTable tabId="14" name="Draaitabel3"/>
    <pivotTable tabId="14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" xr10:uid="{F9DB57A3-F8B7-40BC-8580-9140226A35B9}" cache="OorspronkelijkeTijdlijn_Datum1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818" Type="http://schemas.openxmlformats.org/officeDocument/2006/relationships/hyperlink" Target="../../../../../../:b:/r/teams/CTM-OTGentStad/Shared%20Documents/General/EAF/CSI(nieuwe%20sharepoint)%202025/10.%20Oktober/EAF%205265%20Gent%2030102025.pdf?csf=1&amp;web=1&amp;e=NaWAmZ" TargetMode="External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hyperlink" Target="../../../../../../:b:/r/teams/CTM-OTGentStad/Shared%20Documents/General/EAF/CSI(nieuwe%20sharepoint)%202025/10.%20Oktober/EAF%2013024%20parking%20E17%2030102025%20-%2040938.pdf?csf=1&amp;web=1&amp;e=IhvPLM" TargetMode="Externa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822" Type="http://schemas.openxmlformats.org/officeDocument/2006/relationships/drawing" Target="../drawings/drawing1.xm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690" Type="http://schemas.openxmlformats.org/officeDocument/2006/relationships/hyperlink" Target="../../../../../../:b:/r/teams/CTM-OTGentStad/Shared%20Documents/General/EAF/CSI(nieuwe%20sharepoint)%20206324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hyperlink" Target="../../../../../../:b:/r/teams/CTM-OTGentStad/Shared%20Documents/General/EAF/CSI(nieuwe%20sharepoint)%202025/10.%20Oktober/EAF%202189%20Technologiepark%20Zwijnaarde%2008.10.2025%20Osman%20%C3%96zdemir%2041482.pdf?csf=1&amp;web=1&amp;e=uPPSEW" TargetMode="Externa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821" Type="http://schemas.openxmlformats.org/officeDocument/2006/relationships/printerSettings" Target="../printerSettings/printerSettings1.bin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823" Type="http://schemas.openxmlformats.org/officeDocument/2006/relationships/table" Target="../tables/table2.xm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microsoft.com/office/2011/relationships/timeline" Target="../timelines/timeline1.xml"/><Relationship Id="rId5" Type="http://schemas.openxmlformats.org/officeDocument/2006/relationships/drawing" Target="../drawings/drawing2.xml"/><Relationship Id="rId4" Type="http://schemas.openxmlformats.org/officeDocument/2006/relationships/pivotTable" Target="../pivotTables/pivotTable4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7839@delijn.be" TargetMode="External"/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9" Type="http://schemas.openxmlformats.org/officeDocument/2006/relationships/hyperlink" Target="mailto:10865@delijn.be" TargetMode="External"/><Relationship Id="rId3" Type="http://schemas.openxmlformats.org/officeDocument/2006/relationships/hyperlink" Target="mailto:5579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38" Type="http://schemas.openxmlformats.org/officeDocument/2006/relationships/hyperlink" Target="mailto:40152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41" Type="http://schemas.openxmlformats.org/officeDocument/2006/relationships/table" Target="../tables/table3.xm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37" Type="http://schemas.openxmlformats.org/officeDocument/2006/relationships/hyperlink" Target="mailto:23079@delijn.be" TargetMode="External"/><Relationship Id="rId40" Type="http://schemas.openxmlformats.org/officeDocument/2006/relationships/hyperlink" Target="mailto:35714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hyperlink" Target="mailto:90649@delijn.be" TargetMode="Externa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5" x14ac:dyDescent="0.25"/>
  <cols>
    <col min="1" max="1" width="33.140625" bestFit="1" customWidth="1"/>
    <col min="3" max="3" width="14.7109375" bestFit="1" customWidth="1"/>
    <col min="4" max="5" width="14.7109375" customWidth="1"/>
  </cols>
  <sheetData>
    <row r="1" spans="1:9" x14ac:dyDescent="0.25">
      <c r="A1" t="s">
        <v>90</v>
      </c>
      <c r="B1" t="s">
        <v>344</v>
      </c>
      <c r="C1" t="s">
        <v>345</v>
      </c>
      <c r="D1" t="s">
        <v>346</v>
      </c>
      <c r="E1" t="s">
        <v>347</v>
      </c>
      <c r="F1" t="s">
        <v>348</v>
      </c>
    </row>
    <row r="2" spans="1:9" x14ac:dyDescent="0.25">
      <c r="A2" s="2" t="s">
        <v>1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25">
      <c r="A3" s="2" t="s">
        <v>5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25">
      <c r="A4" s="2" t="s">
        <v>11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25">
      <c r="A5" s="2" t="s">
        <v>7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25">
      <c r="A6" s="2" t="s">
        <v>13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25">
      <c r="A7" s="2" t="s">
        <v>19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25">
      <c r="A8" s="2" t="s">
        <v>9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25">
      <c r="A9" s="2" t="s">
        <v>17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25">
      <c r="A10" s="2" t="s">
        <v>21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25">
      <c r="A11" s="2" t="s">
        <v>23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25">
      <c r="A12" s="2" t="s">
        <v>15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25">
      <c r="A13" s="2" t="s">
        <v>29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25">
      <c r="A14" s="2" t="s">
        <v>31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25">
      <c r="A15" s="2"/>
      <c r="B15" s="2"/>
      <c r="C15" s="2"/>
      <c r="D15" s="2"/>
      <c r="E15" s="2"/>
      <c r="I15" s="2"/>
    </row>
    <row r="16" spans="1:9" x14ac:dyDescent="0.25">
      <c r="A16" s="2"/>
      <c r="B16" s="2"/>
      <c r="C16" s="2"/>
      <c r="D16" s="2"/>
      <c r="E16" s="2"/>
      <c r="I16" s="2"/>
    </row>
    <row r="17" spans="1:9" x14ac:dyDescent="0.25">
      <c r="A17" s="2"/>
      <c r="B17" s="2"/>
      <c r="C17" s="2"/>
      <c r="D17" s="2"/>
      <c r="E17" s="2"/>
      <c r="I17" s="2"/>
    </row>
    <row r="18" spans="1:9" x14ac:dyDescent="0.25">
      <c r="A18" s="2"/>
      <c r="B18" s="2"/>
      <c r="C18" s="2"/>
      <c r="D18" s="2"/>
      <c r="E18" s="2"/>
      <c r="I18" s="2"/>
    </row>
    <row r="19" spans="1:9" x14ac:dyDescent="0.25">
      <c r="A19" s="2"/>
      <c r="B19" s="2"/>
      <c r="C19" s="2"/>
      <c r="D19" s="2"/>
      <c r="E19" s="2"/>
      <c r="I19" s="2"/>
    </row>
    <row r="20" spans="1:9" x14ac:dyDescent="0.25">
      <c r="A20" s="2"/>
      <c r="B20" s="2"/>
      <c r="C20" s="2"/>
      <c r="D20" s="2"/>
      <c r="E20" s="2"/>
      <c r="I20" s="2"/>
    </row>
    <row r="21" spans="1:9" x14ac:dyDescent="0.25">
      <c r="A21" s="2"/>
      <c r="B21" s="2"/>
      <c r="C21" s="2"/>
      <c r="D21" s="2"/>
      <c r="E21" s="2"/>
      <c r="I21" s="2"/>
    </row>
    <row r="22" spans="1:9" x14ac:dyDescent="0.25">
      <c r="A22" s="2"/>
      <c r="B22" s="2"/>
      <c r="C22" s="2"/>
      <c r="D22" s="2"/>
      <c r="E22" s="2"/>
      <c r="I22" s="2"/>
    </row>
    <row r="23" spans="1:9" x14ac:dyDescent="0.25">
      <c r="A23" s="2"/>
      <c r="B23" s="2"/>
      <c r="C23" s="2"/>
      <c r="D23" s="2"/>
      <c r="E23" s="2"/>
      <c r="I23" s="2"/>
    </row>
    <row r="24" spans="1:9" x14ac:dyDescent="0.25">
      <c r="A24" s="2"/>
      <c r="B24" s="2"/>
      <c r="C24" s="2"/>
      <c r="D24" s="2"/>
      <c r="E24" s="2"/>
      <c r="I24" s="2"/>
    </row>
    <row r="25" spans="1:9" x14ac:dyDescent="0.25">
      <c r="A25" s="2"/>
      <c r="B25" s="2"/>
      <c r="C25" s="2"/>
      <c r="D25" s="2"/>
      <c r="E25" s="2"/>
    </row>
    <row r="26" spans="1:9" x14ac:dyDescent="0.25">
      <c r="A26" s="2"/>
      <c r="B26" s="2"/>
      <c r="C26" s="2"/>
      <c r="D26" s="2"/>
      <c r="E26" s="2"/>
    </row>
    <row r="27" spans="1:9" x14ac:dyDescent="0.25">
      <c r="A27" s="2"/>
      <c r="B27" s="2"/>
      <c r="C27" s="2"/>
      <c r="D27" s="2"/>
      <c r="E27" s="2"/>
    </row>
    <row r="28" spans="1:9" x14ac:dyDescent="0.25">
      <c r="A28" s="2"/>
      <c r="B28" s="2"/>
      <c r="C28" s="2"/>
      <c r="D28" s="2"/>
      <c r="E28" s="2"/>
    </row>
    <row r="29" spans="1:9" x14ac:dyDescent="0.25">
      <c r="A29" s="2"/>
      <c r="B29" s="2"/>
      <c r="C29" s="2"/>
      <c r="D29" s="2"/>
      <c r="E29" s="2"/>
    </row>
    <row r="30" spans="1:9" x14ac:dyDescent="0.25">
      <c r="A30" s="2"/>
      <c r="B30" s="2"/>
      <c r="C30" s="2"/>
      <c r="D30" s="2"/>
      <c r="E30" s="2"/>
    </row>
    <row r="31" spans="1:9" x14ac:dyDescent="0.25">
      <c r="A31" s="2"/>
      <c r="B31" s="2"/>
      <c r="C31" s="2"/>
      <c r="D31" s="2"/>
      <c r="E31" s="2"/>
    </row>
    <row r="32" spans="1:9" x14ac:dyDescent="0.25">
      <c r="A32" s="2"/>
      <c r="B32" s="2"/>
      <c r="C32" s="2"/>
      <c r="D32" s="2"/>
      <c r="E32" s="2"/>
    </row>
    <row r="33" spans="1:5" x14ac:dyDescent="0.25">
      <c r="A33" s="2"/>
      <c r="B33" s="2"/>
      <c r="C33" s="2"/>
      <c r="D33" s="2"/>
      <c r="E33" s="2"/>
    </row>
    <row r="34" spans="1:5" x14ac:dyDescent="0.25">
      <c r="A34" s="2"/>
      <c r="B34" s="2"/>
      <c r="C34" s="2"/>
      <c r="D34" s="2"/>
      <c r="E34" s="2"/>
    </row>
    <row r="35" spans="1:5" x14ac:dyDescent="0.25">
      <c r="A35" s="2"/>
      <c r="B35" s="2"/>
      <c r="C35" s="2"/>
      <c r="D35" s="2"/>
      <c r="E35" s="2"/>
    </row>
    <row r="36" spans="1:5" x14ac:dyDescent="0.25">
      <c r="A36" s="2"/>
      <c r="B36" s="2"/>
      <c r="C36" s="2"/>
      <c r="D36" s="2"/>
      <c r="E36" s="2"/>
    </row>
    <row r="37" spans="1:5" x14ac:dyDescent="0.25">
      <c r="A37" s="2"/>
      <c r="B37" s="2"/>
      <c r="C37" s="2"/>
      <c r="D37" s="2"/>
      <c r="E37" s="2"/>
    </row>
    <row r="38" spans="1:5" x14ac:dyDescent="0.25">
      <c r="A38" s="2"/>
      <c r="B38" s="2"/>
      <c r="C38" s="2"/>
      <c r="D38" s="2"/>
      <c r="E38" s="2"/>
    </row>
    <row r="39" spans="1:5" x14ac:dyDescent="0.25">
      <c r="A39" s="2"/>
      <c r="B39" s="2"/>
      <c r="C39" s="2"/>
      <c r="D39" s="2"/>
      <c r="E39" s="2"/>
    </row>
    <row r="40" spans="1:5" x14ac:dyDescent="0.25">
      <c r="A40" s="2"/>
      <c r="B40" s="2"/>
      <c r="C40" s="2"/>
      <c r="D40" s="2"/>
      <c r="E40" s="2"/>
    </row>
    <row r="41" spans="1:5" x14ac:dyDescent="0.25">
      <c r="A41" s="2"/>
      <c r="B41" s="2"/>
      <c r="C41" s="2"/>
      <c r="D41" s="2"/>
      <c r="E41" s="2"/>
    </row>
    <row r="42" spans="1:5" x14ac:dyDescent="0.25">
      <c r="A42" s="2"/>
      <c r="B42" s="2"/>
      <c r="C42" s="2"/>
      <c r="D42" s="2"/>
      <c r="E42" s="2"/>
    </row>
    <row r="43" spans="1:5" x14ac:dyDescent="0.25">
      <c r="A43" s="2"/>
      <c r="B43" s="2"/>
      <c r="C43" s="2"/>
      <c r="D43" s="2"/>
      <c r="E43" s="2"/>
    </row>
    <row r="44" spans="1:5" x14ac:dyDescent="0.25">
      <c r="A44" s="2"/>
      <c r="B44" s="2"/>
      <c r="C44" s="2"/>
      <c r="D44" s="2"/>
      <c r="E44" s="2"/>
    </row>
    <row r="45" spans="1:5" x14ac:dyDescent="0.25">
      <c r="A45" s="2"/>
      <c r="B45" s="2"/>
      <c r="C45" s="2"/>
      <c r="D45" s="2"/>
      <c r="E45" s="2"/>
    </row>
    <row r="46" spans="1:5" x14ac:dyDescent="0.25">
      <c r="A46" s="2"/>
      <c r="B46" s="2"/>
      <c r="C46" s="2"/>
      <c r="D46" s="2"/>
      <c r="E46" s="2"/>
    </row>
    <row r="47" spans="1:5" x14ac:dyDescent="0.25">
      <c r="A47" s="2"/>
      <c r="B47" s="2"/>
      <c r="C47" s="2"/>
      <c r="D47" s="2"/>
      <c r="E47" s="2"/>
    </row>
    <row r="48" spans="1:5" x14ac:dyDescent="0.25">
      <c r="A48" s="2"/>
      <c r="B48" s="2"/>
      <c r="C48" s="2"/>
      <c r="D48" s="2"/>
      <c r="E48" s="2"/>
    </row>
    <row r="49" spans="1:5" x14ac:dyDescent="0.25">
      <c r="A49" s="2"/>
      <c r="B49" s="2"/>
      <c r="C49" s="2"/>
      <c r="D49" s="2"/>
      <c r="E49" s="2"/>
    </row>
    <row r="50" spans="1:5" x14ac:dyDescent="0.25">
      <c r="A50" s="2"/>
      <c r="B50" s="2"/>
      <c r="C50" s="2"/>
      <c r="D50" s="2"/>
      <c r="E50" s="2"/>
    </row>
    <row r="51" spans="1:5" x14ac:dyDescent="0.25">
      <c r="A51" s="2"/>
      <c r="B51" s="2"/>
      <c r="C51" s="2"/>
      <c r="D51" s="2"/>
      <c r="E51" s="2"/>
    </row>
    <row r="52" spans="1:5" x14ac:dyDescent="0.25">
      <c r="A52" s="2"/>
      <c r="B52" s="2"/>
      <c r="C52" s="2"/>
      <c r="D52" s="2"/>
      <c r="E52" s="2"/>
    </row>
    <row r="53" spans="1:5" x14ac:dyDescent="0.25">
      <c r="A53" s="2"/>
      <c r="B53" s="2"/>
      <c r="C53" s="2"/>
      <c r="D53" s="2"/>
      <c r="E53" s="2"/>
    </row>
    <row r="54" spans="1:5" x14ac:dyDescent="0.25">
      <c r="A54" s="2"/>
      <c r="B54" s="2"/>
      <c r="C54" s="2"/>
      <c r="D54" s="2"/>
      <c r="E54" s="2"/>
    </row>
    <row r="55" spans="1:5" x14ac:dyDescent="0.25">
      <c r="A55" s="2"/>
      <c r="B55" s="2"/>
      <c r="C55" s="2"/>
      <c r="D55" s="2"/>
      <c r="E55" s="2"/>
    </row>
    <row r="56" spans="1:5" x14ac:dyDescent="0.25">
      <c r="A56" s="2"/>
      <c r="B56" s="2"/>
      <c r="C56" s="2"/>
      <c r="D56" s="2"/>
      <c r="E56" s="2"/>
    </row>
    <row r="57" spans="1:5" x14ac:dyDescent="0.25">
      <c r="A57" s="2"/>
      <c r="B57" s="2"/>
      <c r="C57" s="2"/>
      <c r="D57" s="2"/>
      <c r="E57" s="2"/>
    </row>
    <row r="58" spans="1:5" x14ac:dyDescent="0.25">
      <c r="A58" s="2"/>
      <c r="B58" s="2"/>
      <c r="C58" s="2"/>
      <c r="D58" s="2"/>
      <c r="E58" s="2"/>
    </row>
    <row r="59" spans="1:5" x14ac:dyDescent="0.25">
      <c r="A59" s="2"/>
      <c r="B59" s="2"/>
      <c r="C59" s="2"/>
      <c r="D59" s="2"/>
      <c r="E59" s="2"/>
    </row>
    <row r="60" spans="1:5" x14ac:dyDescent="0.25">
      <c r="A60" s="2"/>
      <c r="B60" s="2"/>
      <c r="C60" s="2"/>
      <c r="D60" s="2"/>
      <c r="E60" s="2"/>
    </row>
    <row r="61" spans="1:5" x14ac:dyDescent="0.25">
      <c r="A61" s="2"/>
      <c r="B61" s="2"/>
      <c r="C61" s="2"/>
      <c r="D61" s="2"/>
      <c r="E61" s="2"/>
    </row>
    <row r="62" spans="1:5" x14ac:dyDescent="0.25">
      <c r="A62" s="2"/>
      <c r="B62" s="2"/>
      <c r="C62" s="2"/>
      <c r="D62" s="2"/>
      <c r="E62" s="2"/>
    </row>
    <row r="63" spans="1:5" x14ac:dyDescent="0.25">
      <c r="A63" s="2"/>
      <c r="B63" s="2"/>
      <c r="C63" s="2"/>
      <c r="D63" s="2"/>
      <c r="E63" s="2"/>
    </row>
    <row r="64" spans="1:5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C187" s="2"/>
      <c r="D187" s="2"/>
      <c r="E187" s="2"/>
    </row>
    <row r="188" spans="1:5" x14ac:dyDescent="0.25">
      <c r="C188" s="2"/>
      <c r="D188" s="2"/>
      <c r="E188" s="2"/>
    </row>
    <row r="189" spans="1:5" x14ac:dyDescent="0.25">
      <c r="C189" s="2"/>
      <c r="D189" s="2"/>
      <c r="E189" s="2"/>
    </row>
    <row r="190" spans="1:5" x14ac:dyDescent="0.25">
      <c r="C190" s="2"/>
      <c r="D190" s="2"/>
      <c r="E190" s="2"/>
    </row>
    <row r="191" spans="1:5" x14ac:dyDescent="0.25">
      <c r="C191" s="2"/>
      <c r="D191" s="2"/>
      <c r="E191" s="2"/>
    </row>
    <row r="192" spans="1:5" x14ac:dyDescent="0.25">
      <c r="C192" s="2"/>
      <c r="D192" s="2"/>
      <c r="E192" s="2"/>
    </row>
    <row r="193" spans="3:5" x14ac:dyDescent="0.25">
      <c r="C193" s="2"/>
      <c r="D193" s="2"/>
      <c r="E193" s="2"/>
    </row>
    <row r="194" spans="3:5" x14ac:dyDescent="0.25">
      <c r="C194" s="2"/>
      <c r="D194" s="2"/>
      <c r="E194" s="2"/>
    </row>
    <row r="195" spans="3:5" x14ac:dyDescent="0.25">
      <c r="C195" s="2"/>
      <c r="D195" s="2"/>
      <c r="E195" s="2"/>
    </row>
    <row r="196" spans="3:5" x14ac:dyDescent="0.25">
      <c r="C196" s="2"/>
      <c r="D196" s="2"/>
      <c r="E196" s="2"/>
    </row>
    <row r="197" spans="3:5" x14ac:dyDescent="0.25">
      <c r="C197" s="2"/>
      <c r="D197" s="2"/>
      <c r="E197" s="2"/>
    </row>
    <row r="198" spans="3:5" x14ac:dyDescent="0.25">
      <c r="C198" s="2"/>
      <c r="D198" s="2"/>
      <c r="E198" s="2"/>
    </row>
    <row r="199" spans="3:5" x14ac:dyDescent="0.25">
      <c r="C199" s="2"/>
      <c r="D199" s="2"/>
      <c r="E199" s="2"/>
    </row>
    <row r="200" spans="3:5" x14ac:dyDescent="0.25">
      <c r="C200" s="2"/>
      <c r="D200" s="2"/>
      <c r="E200" s="2"/>
    </row>
    <row r="201" spans="3:5" x14ac:dyDescent="0.25">
      <c r="C201" s="2"/>
      <c r="D201" s="2"/>
      <c r="E201" s="2"/>
    </row>
    <row r="202" spans="3:5" x14ac:dyDescent="0.25">
      <c r="C202" s="2"/>
      <c r="D202" s="2"/>
      <c r="E202" s="2"/>
    </row>
    <row r="203" spans="3:5" x14ac:dyDescent="0.25">
      <c r="C203" s="2"/>
      <c r="D203" s="2"/>
      <c r="E203" s="2"/>
    </row>
    <row r="204" spans="3:5" x14ac:dyDescent="0.25">
      <c r="C204" s="2"/>
      <c r="D204" s="2"/>
      <c r="E204" s="2"/>
    </row>
    <row r="205" spans="3:5" x14ac:dyDescent="0.25">
      <c r="C205" s="2"/>
      <c r="D205" s="2"/>
      <c r="E205" s="2"/>
    </row>
    <row r="206" spans="3:5" x14ac:dyDescent="0.25">
      <c r="C206" s="2"/>
      <c r="D206" s="2"/>
      <c r="E206" s="2"/>
    </row>
    <row r="207" spans="3:5" x14ac:dyDescent="0.25">
      <c r="C207" s="2"/>
      <c r="D207" s="2"/>
      <c r="E207" s="2"/>
    </row>
    <row r="208" spans="3:5" x14ac:dyDescent="0.25">
      <c r="C208" s="2"/>
      <c r="D208" s="2"/>
      <c r="E208" s="2"/>
    </row>
    <row r="209" spans="3:5" x14ac:dyDescent="0.25">
      <c r="C209" s="2"/>
      <c r="D209" s="2"/>
      <c r="E209" s="2"/>
    </row>
    <row r="210" spans="3:5" x14ac:dyDescent="0.25">
      <c r="C210" s="2"/>
      <c r="D210" s="2"/>
      <c r="E210" s="2"/>
    </row>
    <row r="211" spans="3:5" x14ac:dyDescent="0.25">
      <c r="C211" s="2"/>
      <c r="D211" s="2"/>
      <c r="E211" s="2"/>
    </row>
    <row r="212" spans="3:5" x14ac:dyDescent="0.25">
      <c r="C212" s="2"/>
      <c r="D212" s="2"/>
      <c r="E212" s="2"/>
    </row>
    <row r="213" spans="3:5" x14ac:dyDescent="0.25">
      <c r="C213" s="2"/>
      <c r="D213" s="2"/>
      <c r="E213" s="2"/>
    </row>
    <row r="214" spans="3:5" x14ac:dyDescent="0.25">
      <c r="C214" s="2"/>
      <c r="D214" s="2"/>
      <c r="E214" s="2"/>
    </row>
    <row r="215" spans="3:5" x14ac:dyDescent="0.25">
      <c r="C215" s="2"/>
      <c r="D215" s="2"/>
      <c r="E215" s="2"/>
    </row>
    <row r="216" spans="3:5" x14ac:dyDescent="0.25">
      <c r="C216" s="2"/>
      <c r="D216" s="2"/>
      <c r="E216" s="2"/>
    </row>
    <row r="217" spans="3:5" x14ac:dyDescent="0.25">
      <c r="C217" s="2"/>
      <c r="D217" s="2"/>
      <c r="E217" s="2"/>
    </row>
    <row r="218" spans="3:5" x14ac:dyDescent="0.25">
      <c r="C218" s="2"/>
      <c r="D218" s="2"/>
      <c r="E218" s="2"/>
    </row>
    <row r="219" spans="3:5" x14ac:dyDescent="0.25">
      <c r="C219" s="2"/>
      <c r="D219" s="2"/>
      <c r="E219" s="2"/>
    </row>
    <row r="220" spans="3:5" x14ac:dyDescent="0.25">
      <c r="C220" s="2"/>
      <c r="D220" s="2"/>
      <c r="E220" s="2"/>
    </row>
    <row r="221" spans="3:5" x14ac:dyDescent="0.25">
      <c r="C221" s="2"/>
      <c r="D221" s="2"/>
      <c r="E221" s="2"/>
    </row>
    <row r="222" spans="3:5" x14ac:dyDescent="0.25">
      <c r="C222" s="2"/>
      <c r="D222" s="2"/>
      <c r="E222" s="2"/>
    </row>
    <row r="223" spans="3:5" x14ac:dyDescent="0.25">
      <c r="C223" s="2"/>
      <c r="D223" s="2"/>
      <c r="E223" s="2"/>
    </row>
    <row r="224" spans="3:5" x14ac:dyDescent="0.25">
      <c r="C224" s="2"/>
      <c r="D224" s="2"/>
      <c r="E224" s="2"/>
    </row>
    <row r="225" spans="3:5" x14ac:dyDescent="0.25">
      <c r="C225" s="2"/>
      <c r="D225" s="2"/>
      <c r="E225" s="2"/>
    </row>
    <row r="226" spans="3:5" x14ac:dyDescent="0.25">
      <c r="C226" s="2"/>
      <c r="D226" s="2"/>
      <c r="E226" s="2"/>
    </row>
    <row r="227" spans="3:5" x14ac:dyDescent="0.25">
      <c r="C227" s="2"/>
      <c r="D227" s="2"/>
      <c r="E227" s="2"/>
    </row>
    <row r="228" spans="3:5" x14ac:dyDescent="0.25">
      <c r="C228" s="2"/>
      <c r="D228" s="2"/>
      <c r="E228" s="2"/>
    </row>
    <row r="229" spans="3:5" x14ac:dyDescent="0.25">
      <c r="C229" s="2"/>
      <c r="D229" s="2"/>
      <c r="E229" s="2"/>
    </row>
    <row r="230" spans="3:5" x14ac:dyDescent="0.25">
      <c r="C230" s="2"/>
      <c r="D230" s="2"/>
      <c r="E230" s="2"/>
    </row>
    <row r="231" spans="3:5" x14ac:dyDescent="0.25">
      <c r="C231" s="2"/>
      <c r="D231" s="2"/>
      <c r="E231" s="2"/>
    </row>
    <row r="232" spans="3:5" x14ac:dyDescent="0.25">
      <c r="C232" s="2"/>
      <c r="D232" s="2"/>
      <c r="E232" s="2"/>
    </row>
    <row r="233" spans="3:5" x14ac:dyDescent="0.25">
      <c r="C233" s="2"/>
      <c r="D233" s="2"/>
      <c r="E233" s="2"/>
    </row>
    <row r="234" spans="3:5" x14ac:dyDescent="0.25">
      <c r="C234" s="2"/>
      <c r="D234" s="2"/>
      <c r="E234" s="2"/>
    </row>
    <row r="235" spans="3:5" x14ac:dyDescent="0.25">
      <c r="C235" s="2"/>
      <c r="D235" s="2"/>
      <c r="E235" s="2"/>
    </row>
    <row r="236" spans="3:5" x14ac:dyDescent="0.25">
      <c r="C236" s="2"/>
      <c r="D236" s="2"/>
      <c r="E236" s="2"/>
    </row>
    <row r="237" spans="3:5" x14ac:dyDescent="0.25">
      <c r="C237" s="2"/>
      <c r="D237" s="2"/>
      <c r="E237" s="2"/>
    </row>
    <row r="238" spans="3:5" x14ac:dyDescent="0.25">
      <c r="C238" s="2"/>
      <c r="D238" s="2"/>
      <c r="E238" s="2"/>
    </row>
    <row r="239" spans="3:5" x14ac:dyDescent="0.25">
      <c r="C239" s="2"/>
      <c r="D239" s="2"/>
      <c r="E239" s="2"/>
    </row>
    <row r="240" spans="3:5" x14ac:dyDescent="0.25">
      <c r="C240" s="2"/>
      <c r="D240" s="2"/>
      <c r="E240" s="2"/>
    </row>
    <row r="241" spans="3:5" x14ac:dyDescent="0.25">
      <c r="C241" s="2"/>
      <c r="D241" s="2"/>
      <c r="E241" s="2"/>
    </row>
    <row r="242" spans="3:5" x14ac:dyDescent="0.25">
      <c r="C242" s="2"/>
      <c r="D242" s="2"/>
      <c r="E242" s="2"/>
    </row>
    <row r="243" spans="3:5" x14ac:dyDescent="0.25">
      <c r="C243" s="2"/>
      <c r="D243" s="2"/>
      <c r="E243" s="2"/>
    </row>
    <row r="244" spans="3:5" x14ac:dyDescent="0.25">
      <c r="C244" s="2"/>
      <c r="D244" s="2"/>
      <c r="E244" s="2"/>
    </row>
    <row r="245" spans="3:5" x14ac:dyDescent="0.25">
      <c r="C245" s="2"/>
      <c r="D245" s="2"/>
      <c r="E245" s="2"/>
    </row>
    <row r="246" spans="3:5" x14ac:dyDescent="0.25">
      <c r="C246" s="2"/>
      <c r="D246" s="2"/>
      <c r="E246" s="2"/>
    </row>
    <row r="247" spans="3:5" x14ac:dyDescent="0.25">
      <c r="C247" s="2"/>
      <c r="D247" s="2"/>
      <c r="E247" s="2"/>
    </row>
    <row r="248" spans="3:5" x14ac:dyDescent="0.25">
      <c r="C248" s="2"/>
      <c r="D248" s="2"/>
      <c r="E248" s="2"/>
    </row>
    <row r="249" spans="3:5" x14ac:dyDescent="0.25">
      <c r="C249" s="2"/>
      <c r="D249" s="2"/>
      <c r="E249" s="2"/>
    </row>
    <row r="250" spans="3:5" x14ac:dyDescent="0.25">
      <c r="C250" s="2"/>
      <c r="D250" s="2"/>
      <c r="E250" s="2"/>
    </row>
    <row r="251" spans="3:5" x14ac:dyDescent="0.25">
      <c r="C251" s="2"/>
      <c r="D251" s="2"/>
      <c r="E251" s="2"/>
    </row>
    <row r="252" spans="3:5" x14ac:dyDescent="0.25">
      <c r="C252" s="2"/>
      <c r="D252" s="2"/>
      <c r="E252" s="2"/>
    </row>
    <row r="253" spans="3:5" x14ac:dyDescent="0.25">
      <c r="C253" s="2"/>
      <c r="D253" s="2"/>
      <c r="E253" s="2"/>
    </row>
    <row r="254" spans="3:5" x14ac:dyDescent="0.25">
      <c r="C254" s="2"/>
      <c r="D254" s="2"/>
      <c r="E254" s="2"/>
    </row>
    <row r="255" spans="3:5" x14ac:dyDescent="0.25">
      <c r="C255" s="2"/>
      <c r="D255" s="2"/>
      <c r="E255" s="2"/>
    </row>
    <row r="256" spans="3:5" x14ac:dyDescent="0.25">
      <c r="C256" s="2"/>
      <c r="D256" s="2"/>
      <c r="E256" s="2"/>
    </row>
    <row r="257" spans="3:5" x14ac:dyDescent="0.25">
      <c r="C257" s="2"/>
      <c r="D257" s="2"/>
      <c r="E257" s="2"/>
    </row>
    <row r="258" spans="3:5" x14ac:dyDescent="0.25">
      <c r="C258" s="2"/>
      <c r="D258" s="2"/>
      <c r="E258" s="2"/>
    </row>
    <row r="259" spans="3:5" x14ac:dyDescent="0.25">
      <c r="C259" s="2"/>
      <c r="D259" s="2"/>
      <c r="E259" s="2"/>
    </row>
    <row r="260" spans="3:5" x14ac:dyDescent="0.25">
      <c r="C260" s="2"/>
      <c r="D260" s="2"/>
      <c r="E260" s="2"/>
    </row>
    <row r="261" spans="3:5" x14ac:dyDescent="0.25">
      <c r="C261" s="2"/>
      <c r="D261" s="2"/>
      <c r="E261" s="2"/>
    </row>
    <row r="262" spans="3:5" x14ac:dyDescent="0.25">
      <c r="C262" s="2"/>
      <c r="D262" s="2"/>
      <c r="E262" s="2"/>
    </row>
    <row r="263" spans="3:5" x14ac:dyDescent="0.25">
      <c r="C263" s="2"/>
      <c r="D263" s="2"/>
      <c r="E263" s="2"/>
    </row>
    <row r="264" spans="3:5" x14ac:dyDescent="0.25">
      <c r="C264" s="2"/>
      <c r="D264" s="2"/>
      <c r="E264" s="2"/>
    </row>
    <row r="265" spans="3:5" x14ac:dyDescent="0.25">
      <c r="C265" s="2"/>
      <c r="D265" s="2"/>
      <c r="E265" s="2"/>
    </row>
    <row r="266" spans="3:5" x14ac:dyDescent="0.25">
      <c r="C266" s="2"/>
      <c r="D266" s="2"/>
      <c r="E266" s="2"/>
    </row>
    <row r="267" spans="3:5" x14ac:dyDescent="0.25">
      <c r="C267" s="2"/>
      <c r="D267" s="2"/>
      <c r="E267" s="2"/>
    </row>
    <row r="268" spans="3:5" x14ac:dyDescent="0.25">
      <c r="C268" s="2"/>
      <c r="D268" s="2"/>
      <c r="E268" s="2"/>
    </row>
    <row r="269" spans="3:5" x14ac:dyDescent="0.25">
      <c r="C269" s="2"/>
      <c r="D269" s="2"/>
      <c r="E269" s="2"/>
    </row>
    <row r="270" spans="3:5" x14ac:dyDescent="0.25">
      <c r="C270" s="2"/>
      <c r="D270" s="2"/>
      <c r="E270" s="2"/>
    </row>
    <row r="271" spans="3:5" x14ac:dyDescent="0.25">
      <c r="C271" s="2"/>
      <c r="D271" s="2"/>
      <c r="E271" s="2"/>
    </row>
    <row r="272" spans="3:5" x14ac:dyDescent="0.25">
      <c r="C272" s="2"/>
      <c r="D272" s="2"/>
      <c r="E272" s="2"/>
    </row>
    <row r="273" spans="3:5" x14ac:dyDescent="0.25">
      <c r="C273" s="2"/>
      <c r="D273" s="2"/>
      <c r="E273" s="2"/>
    </row>
    <row r="274" spans="3:5" x14ac:dyDescent="0.25">
      <c r="C274" s="2"/>
      <c r="D274" s="2"/>
      <c r="E274" s="2"/>
    </row>
    <row r="275" spans="3:5" x14ac:dyDescent="0.25">
      <c r="C275" s="2"/>
      <c r="D275" s="2"/>
      <c r="E275" s="2"/>
    </row>
    <row r="276" spans="3:5" x14ac:dyDescent="0.25">
      <c r="C276" s="2"/>
      <c r="D276" s="2"/>
      <c r="E276" s="2"/>
    </row>
    <row r="277" spans="3:5" x14ac:dyDescent="0.25">
      <c r="C277" s="2"/>
      <c r="D277" s="2"/>
      <c r="E277" s="2"/>
    </row>
    <row r="278" spans="3:5" x14ac:dyDescent="0.25">
      <c r="C278" s="2"/>
      <c r="D278" s="2"/>
      <c r="E278" s="2"/>
    </row>
    <row r="279" spans="3:5" x14ac:dyDescent="0.25">
      <c r="C279" s="2"/>
      <c r="D279" s="2"/>
      <c r="E279" s="2"/>
    </row>
    <row r="280" spans="3:5" x14ac:dyDescent="0.25">
      <c r="C280" s="2"/>
      <c r="D280" s="2"/>
      <c r="E280" s="2"/>
    </row>
    <row r="281" spans="3:5" x14ac:dyDescent="0.25">
      <c r="C281" s="2"/>
      <c r="D281" s="2"/>
      <c r="E281" s="2"/>
    </row>
    <row r="282" spans="3:5" x14ac:dyDescent="0.25">
      <c r="C282" s="2"/>
      <c r="D282" s="2"/>
      <c r="E282" s="2"/>
    </row>
    <row r="283" spans="3:5" x14ac:dyDescent="0.25">
      <c r="C283" s="2"/>
      <c r="D283" s="2"/>
      <c r="E283" s="2"/>
    </row>
    <row r="284" spans="3:5" x14ac:dyDescent="0.25">
      <c r="C284" s="2"/>
      <c r="D284" s="2"/>
      <c r="E284" s="2"/>
    </row>
    <row r="285" spans="3:5" x14ac:dyDescent="0.25">
      <c r="C285" s="2"/>
      <c r="D285" s="2"/>
      <c r="E285" s="2"/>
    </row>
    <row r="286" spans="3:5" x14ac:dyDescent="0.25">
      <c r="C286" s="2"/>
      <c r="D286" s="2"/>
      <c r="E286" s="2"/>
    </row>
    <row r="287" spans="3:5" x14ac:dyDescent="0.25">
      <c r="C287" s="2"/>
      <c r="D287" s="2"/>
      <c r="E287" s="2"/>
    </row>
    <row r="288" spans="3:5" x14ac:dyDescent="0.25">
      <c r="C288" s="2"/>
      <c r="D288" s="2"/>
      <c r="E288" s="2"/>
    </row>
    <row r="289" spans="3:5" x14ac:dyDescent="0.25">
      <c r="C289" s="2"/>
      <c r="D289" s="2"/>
      <c r="E289" s="2"/>
    </row>
    <row r="290" spans="3:5" x14ac:dyDescent="0.25">
      <c r="C290" s="2"/>
      <c r="D290" s="2"/>
      <c r="E290" s="2"/>
    </row>
    <row r="291" spans="3:5" x14ac:dyDescent="0.25">
      <c r="C291" s="2"/>
      <c r="D291" s="2"/>
      <c r="E291" s="2"/>
    </row>
    <row r="292" spans="3:5" x14ac:dyDescent="0.25">
      <c r="C292" s="2"/>
      <c r="D292" s="2"/>
      <c r="E292" s="2"/>
    </row>
    <row r="293" spans="3:5" x14ac:dyDescent="0.25">
      <c r="C293" s="2"/>
      <c r="D293" s="2"/>
      <c r="E293" s="2"/>
    </row>
    <row r="294" spans="3:5" x14ac:dyDescent="0.25">
      <c r="C294" s="2"/>
      <c r="D294" s="2"/>
      <c r="E294" s="2"/>
    </row>
    <row r="295" spans="3:5" x14ac:dyDescent="0.25">
      <c r="C295" s="2"/>
      <c r="D295" s="2"/>
      <c r="E295" s="2"/>
    </row>
    <row r="296" spans="3:5" x14ac:dyDescent="0.25">
      <c r="C296" s="2"/>
      <c r="D296" s="2"/>
      <c r="E296" s="2"/>
    </row>
    <row r="297" spans="3:5" x14ac:dyDescent="0.25">
      <c r="C297" s="2"/>
      <c r="D297" s="2"/>
      <c r="E297" s="2"/>
    </row>
    <row r="298" spans="3:5" x14ac:dyDescent="0.25">
      <c r="C298" s="2"/>
      <c r="D298" s="2"/>
      <c r="E298" s="2"/>
    </row>
    <row r="299" spans="3:5" x14ac:dyDescent="0.25">
      <c r="C299" s="2"/>
      <c r="D299" s="2"/>
      <c r="E299" s="2"/>
    </row>
    <row r="300" spans="3:5" x14ac:dyDescent="0.25">
      <c r="C300" s="2"/>
      <c r="D300" s="2"/>
      <c r="E300" s="2"/>
    </row>
    <row r="301" spans="3:5" x14ac:dyDescent="0.25">
      <c r="C301" s="2"/>
      <c r="D301" s="2"/>
      <c r="E301" s="2"/>
    </row>
    <row r="302" spans="3:5" x14ac:dyDescent="0.25">
      <c r="C302" s="2"/>
      <c r="D302" s="2"/>
      <c r="E302" s="2"/>
    </row>
    <row r="303" spans="3:5" x14ac:dyDescent="0.25">
      <c r="C303" s="2"/>
      <c r="D303" s="2"/>
      <c r="E303" s="2"/>
    </row>
    <row r="304" spans="3:5" x14ac:dyDescent="0.25">
      <c r="C304" s="2"/>
      <c r="D304" s="2"/>
      <c r="E304" s="2"/>
    </row>
    <row r="305" spans="3:5" x14ac:dyDescent="0.25">
      <c r="C305" s="2"/>
      <c r="D305" s="2"/>
      <c r="E305" s="2"/>
    </row>
    <row r="306" spans="3:5" x14ac:dyDescent="0.25">
      <c r="C306" s="2"/>
      <c r="D306" s="2"/>
      <c r="E306" s="2"/>
    </row>
    <row r="307" spans="3:5" x14ac:dyDescent="0.25">
      <c r="C307" s="2"/>
      <c r="D307" s="2"/>
      <c r="E307" s="2"/>
    </row>
    <row r="308" spans="3:5" x14ac:dyDescent="0.25">
      <c r="C308" s="2"/>
      <c r="D308" s="2"/>
      <c r="E308" s="2"/>
    </row>
    <row r="309" spans="3:5" x14ac:dyDescent="0.25">
      <c r="C309" s="2"/>
      <c r="D309" s="2"/>
      <c r="E309" s="2"/>
    </row>
    <row r="310" spans="3:5" x14ac:dyDescent="0.25">
      <c r="C310" s="2"/>
      <c r="D310" s="2"/>
      <c r="E310" s="2"/>
    </row>
    <row r="311" spans="3:5" x14ac:dyDescent="0.25">
      <c r="C311" s="2"/>
      <c r="D311" s="2"/>
      <c r="E311" s="2"/>
    </row>
    <row r="312" spans="3:5" x14ac:dyDescent="0.25">
      <c r="C312" s="2"/>
      <c r="D312" s="2"/>
      <c r="E312" s="2"/>
    </row>
    <row r="313" spans="3:5" x14ac:dyDescent="0.25">
      <c r="C313" s="2"/>
      <c r="D313" s="2"/>
      <c r="E313" s="2"/>
    </row>
    <row r="314" spans="3:5" x14ac:dyDescent="0.25">
      <c r="C314" s="2"/>
      <c r="D314" s="2"/>
      <c r="E314" s="2"/>
    </row>
    <row r="315" spans="3:5" x14ac:dyDescent="0.25">
      <c r="C315" s="2"/>
      <c r="D315" s="2"/>
      <c r="E315" s="2"/>
    </row>
    <row r="316" spans="3:5" x14ac:dyDescent="0.25">
      <c r="C316" s="2"/>
      <c r="D316" s="2"/>
      <c r="E316" s="2"/>
    </row>
    <row r="317" spans="3:5" x14ac:dyDescent="0.25">
      <c r="C317" s="2"/>
      <c r="D317" s="2"/>
      <c r="E317" s="2"/>
    </row>
    <row r="318" spans="3:5" x14ac:dyDescent="0.25">
      <c r="C318" s="2"/>
      <c r="D318" s="2"/>
      <c r="E318" s="2"/>
    </row>
    <row r="319" spans="3:5" x14ac:dyDescent="0.25">
      <c r="C319" s="2"/>
      <c r="D319" s="2"/>
      <c r="E319" s="2"/>
    </row>
    <row r="320" spans="3:5" x14ac:dyDescent="0.25">
      <c r="C320" s="2"/>
      <c r="D320" s="2"/>
      <c r="E320" s="2"/>
    </row>
    <row r="321" spans="3:5" x14ac:dyDescent="0.25">
      <c r="C321" s="2"/>
      <c r="D321" s="2"/>
      <c r="E321" s="2"/>
    </row>
    <row r="322" spans="3:5" x14ac:dyDescent="0.25">
      <c r="C322" s="2"/>
      <c r="D322" s="2"/>
      <c r="E322" s="2"/>
    </row>
    <row r="323" spans="3:5" x14ac:dyDescent="0.25">
      <c r="C323" s="2"/>
      <c r="D323" s="2"/>
      <c r="E323" s="2"/>
    </row>
    <row r="324" spans="3:5" x14ac:dyDescent="0.25">
      <c r="C324" s="2"/>
      <c r="D324" s="2"/>
      <c r="E324" s="2"/>
    </row>
    <row r="325" spans="3:5" x14ac:dyDescent="0.25">
      <c r="C325" s="2"/>
      <c r="D325" s="2"/>
      <c r="E325" s="2"/>
    </row>
    <row r="326" spans="3:5" x14ac:dyDescent="0.25">
      <c r="C326" s="2"/>
      <c r="D326" s="2"/>
      <c r="E326" s="2"/>
    </row>
    <row r="327" spans="3:5" x14ac:dyDescent="0.25">
      <c r="C327" s="2"/>
      <c r="D327" s="2"/>
      <c r="E327" s="2"/>
    </row>
    <row r="328" spans="3:5" x14ac:dyDescent="0.25">
      <c r="C328" s="2"/>
      <c r="D328" s="2"/>
      <c r="E328" s="2"/>
    </row>
    <row r="329" spans="3:5" x14ac:dyDescent="0.25">
      <c r="C329" s="2"/>
      <c r="D329" s="2"/>
      <c r="E329" s="2"/>
    </row>
    <row r="330" spans="3:5" x14ac:dyDescent="0.25">
      <c r="C330" s="2"/>
      <c r="D330" s="2"/>
      <c r="E330" s="2"/>
    </row>
    <row r="331" spans="3:5" x14ac:dyDescent="0.25">
      <c r="C331" s="2"/>
      <c r="D331" s="2"/>
      <c r="E331" s="2"/>
    </row>
    <row r="332" spans="3:5" x14ac:dyDescent="0.25">
      <c r="C332" s="2"/>
      <c r="D332" s="2"/>
      <c r="E332" s="2"/>
    </row>
    <row r="333" spans="3:5" x14ac:dyDescent="0.25">
      <c r="C333" s="2"/>
      <c r="D333" s="2"/>
      <c r="E333" s="2"/>
    </row>
    <row r="334" spans="3:5" x14ac:dyDescent="0.25">
      <c r="C334" s="2"/>
      <c r="D334" s="2"/>
      <c r="E334" s="2"/>
    </row>
    <row r="335" spans="3:5" x14ac:dyDescent="0.25">
      <c r="C335" s="2"/>
      <c r="D335" s="2"/>
      <c r="E335" s="2"/>
    </row>
    <row r="336" spans="3:5" x14ac:dyDescent="0.25">
      <c r="C336" s="2"/>
      <c r="D336" s="2"/>
      <c r="E336" s="2"/>
    </row>
    <row r="337" spans="3:5" x14ac:dyDescent="0.25">
      <c r="C337" s="2"/>
      <c r="D337" s="2"/>
      <c r="E337" s="2"/>
    </row>
    <row r="338" spans="3:5" x14ac:dyDescent="0.25">
      <c r="C338" s="2"/>
      <c r="D338" s="2"/>
      <c r="E338" s="2"/>
    </row>
    <row r="339" spans="3:5" x14ac:dyDescent="0.25">
      <c r="C339" s="2"/>
      <c r="D339" s="2"/>
      <c r="E339" s="2"/>
    </row>
    <row r="340" spans="3:5" x14ac:dyDescent="0.25">
      <c r="C340" s="2"/>
      <c r="D340" s="2"/>
      <c r="E340" s="2"/>
    </row>
    <row r="341" spans="3:5" x14ac:dyDescent="0.25">
      <c r="C341" s="2"/>
      <c r="D341" s="2"/>
      <c r="E341" s="2"/>
    </row>
    <row r="342" spans="3:5" x14ac:dyDescent="0.25">
      <c r="C342" s="2"/>
      <c r="D342" s="2"/>
      <c r="E342" s="2"/>
    </row>
    <row r="343" spans="3:5" x14ac:dyDescent="0.25">
      <c r="C343" s="2"/>
      <c r="D343" s="2"/>
      <c r="E343" s="2"/>
    </row>
    <row r="344" spans="3:5" x14ac:dyDescent="0.25">
      <c r="C344" s="2"/>
      <c r="D344" s="2"/>
      <c r="E344" s="2"/>
    </row>
    <row r="345" spans="3:5" x14ac:dyDescent="0.25">
      <c r="C345" s="2"/>
      <c r="D345" s="2"/>
      <c r="E345" s="2"/>
    </row>
    <row r="346" spans="3:5" x14ac:dyDescent="0.25">
      <c r="C346" s="2"/>
      <c r="D346" s="2"/>
      <c r="E346" s="2"/>
    </row>
    <row r="347" spans="3:5" x14ac:dyDescent="0.25">
      <c r="C347" s="2"/>
      <c r="D347" s="2"/>
      <c r="E347" s="2"/>
    </row>
    <row r="348" spans="3:5" x14ac:dyDescent="0.25">
      <c r="C348" s="2"/>
      <c r="D348" s="2"/>
      <c r="E348" s="2"/>
    </row>
    <row r="349" spans="3:5" x14ac:dyDescent="0.25">
      <c r="C349" s="2"/>
      <c r="D349" s="2"/>
      <c r="E349" s="2"/>
    </row>
    <row r="350" spans="3:5" x14ac:dyDescent="0.25">
      <c r="C350" s="2"/>
      <c r="D350" s="2"/>
      <c r="E350" s="2"/>
    </row>
    <row r="351" spans="3:5" x14ac:dyDescent="0.25">
      <c r="C351" s="2"/>
      <c r="D351" s="2"/>
      <c r="E351" s="2"/>
    </row>
    <row r="352" spans="3:5" x14ac:dyDescent="0.25">
      <c r="C352" s="2"/>
      <c r="D352" s="2"/>
      <c r="E352" s="2"/>
    </row>
    <row r="353" spans="3:5" x14ac:dyDescent="0.25">
      <c r="C353" s="2"/>
      <c r="D353" s="2"/>
      <c r="E353" s="2"/>
    </row>
    <row r="354" spans="3:5" x14ac:dyDescent="0.25">
      <c r="C354" s="2"/>
      <c r="D354" s="2"/>
      <c r="E354" s="2"/>
    </row>
    <row r="355" spans="3:5" x14ac:dyDescent="0.25">
      <c r="C355" s="2"/>
      <c r="D355" s="2"/>
      <c r="E355" s="2"/>
    </row>
    <row r="356" spans="3:5" x14ac:dyDescent="0.25">
      <c r="C356" s="2"/>
      <c r="D356" s="2"/>
      <c r="E356" s="2"/>
    </row>
    <row r="357" spans="3:5" x14ac:dyDescent="0.25">
      <c r="C357" s="2"/>
      <c r="D357" s="2"/>
      <c r="E357" s="2"/>
    </row>
    <row r="358" spans="3:5" x14ac:dyDescent="0.25">
      <c r="C358" s="2"/>
      <c r="D358" s="2"/>
      <c r="E358" s="2"/>
    </row>
    <row r="359" spans="3:5" x14ac:dyDescent="0.25">
      <c r="C359" s="2"/>
      <c r="D359" s="2"/>
      <c r="E359" s="2"/>
    </row>
    <row r="360" spans="3:5" x14ac:dyDescent="0.25">
      <c r="C360" s="2"/>
      <c r="D360" s="2"/>
      <c r="E360" s="2"/>
    </row>
    <row r="361" spans="3:5" x14ac:dyDescent="0.25">
      <c r="C361" s="2"/>
      <c r="D361" s="2"/>
      <c r="E361" s="2"/>
    </row>
    <row r="362" spans="3:5" x14ac:dyDescent="0.25">
      <c r="C362" s="2"/>
      <c r="D362" s="2"/>
      <c r="E362" s="2"/>
    </row>
    <row r="363" spans="3:5" x14ac:dyDescent="0.25">
      <c r="C363" s="2"/>
      <c r="D363" s="2"/>
      <c r="E363" s="2"/>
    </row>
    <row r="364" spans="3:5" x14ac:dyDescent="0.25">
      <c r="C364" s="2"/>
      <c r="D364" s="2"/>
      <c r="E364" s="2"/>
    </row>
    <row r="365" spans="3:5" x14ac:dyDescent="0.25">
      <c r="C365" s="2"/>
      <c r="D365" s="2"/>
      <c r="E365" s="2"/>
    </row>
    <row r="366" spans="3:5" x14ac:dyDescent="0.25">
      <c r="C366" s="2"/>
      <c r="D366" s="2"/>
      <c r="E366" s="2"/>
    </row>
    <row r="367" spans="3:5" x14ac:dyDescent="0.25">
      <c r="C367" s="2"/>
      <c r="D367" s="2"/>
      <c r="E367" s="2"/>
    </row>
    <row r="368" spans="3:5" x14ac:dyDescent="0.25">
      <c r="C368" s="2"/>
      <c r="D368" s="2"/>
      <c r="E368" s="2"/>
    </row>
    <row r="369" spans="3:5" x14ac:dyDescent="0.25">
      <c r="C369" s="2"/>
      <c r="D369" s="2"/>
      <c r="E369" s="2"/>
    </row>
    <row r="370" spans="3:5" x14ac:dyDescent="0.25">
      <c r="C370" s="2"/>
      <c r="D370" s="2"/>
      <c r="E370" s="2"/>
    </row>
    <row r="371" spans="3:5" x14ac:dyDescent="0.25">
      <c r="C371" s="2"/>
      <c r="D371" s="2"/>
      <c r="E371" s="2"/>
    </row>
    <row r="372" spans="3:5" x14ac:dyDescent="0.25">
      <c r="C372" s="2"/>
      <c r="D372" s="2"/>
      <c r="E372" s="2"/>
    </row>
    <row r="373" spans="3:5" x14ac:dyDescent="0.25">
      <c r="C373" s="2"/>
      <c r="D373" s="2"/>
      <c r="E373" s="2"/>
    </row>
    <row r="374" spans="3:5" x14ac:dyDescent="0.25">
      <c r="C374" s="2"/>
      <c r="D374" s="2"/>
      <c r="E374" s="2"/>
    </row>
    <row r="375" spans="3:5" x14ac:dyDescent="0.25">
      <c r="C375" s="2"/>
      <c r="D375" s="2"/>
      <c r="E375" s="2"/>
    </row>
    <row r="376" spans="3:5" x14ac:dyDescent="0.25">
      <c r="C376" s="2"/>
      <c r="D376" s="2"/>
      <c r="E376" s="2"/>
    </row>
    <row r="377" spans="3:5" x14ac:dyDescent="0.25">
      <c r="C377" s="2"/>
      <c r="D377" s="2"/>
      <c r="E377" s="2"/>
    </row>
    <row r="378" spans="3:5" x14ac:dyDescent="0.25">
      <c r="C378" s="2"/>
      <c r="D378" s="2"/>
      <c r="E378" s="2"/>
    </row>
    <row r="379" spans="3:5" x14ac:dyDescent="0.25">
      <c r="C379" s="2"/>
      <c r="D379" s="2"/>
      <c r="E379" s="2"/>
    </row>
    <row r="380" spans="3:5" x14ac:dyDescent="0.25">
      <c r="C380" s="2"/>
      <c r="D380" s="2"/>
      <c r="E380" s="2"/>
    </row>
    <row r="381" spans="3:5" x14ac:dyDescent="0.25">
      <c r="C381" s="2"/>
      <c r="D381" s="2"/>
      <c r="E381" s="2"/>
    </row>
    <row r="382" spans="3:5" x14ac:dyDescent="0.25">
      <c r="C382" s="2"/>
      <c r="D382" s="2"/>
      <c r="E382" s="2"/>
    </row>
    <row r="383" spans="3:5" x14ac:dyDescent="0.25">
      <c r="C383" s="2"/>
      <c r="D383" s="2"/>
      <c r="E383" s="2"/>
    </row>
    <row r="384" spans="3:5" x14ac:dyDescent="0.25">
      <c r="C384" s="2"/>
      <c r="D384" s="2"/>
      <c r="E384" s="2"/>
    </row>
    <row r="385" spans="3:5" x14ac:dyDescent="0.25">
      <c r="C385" s="2"/>
      <c r="D385" s="2"/>
      <c r="E385" s="2"/>
    </row>
    <row r="386" spans="3:5" x14ac:dyDescent="0.25">
      <c r="C386" s="2"/>
      <c r="D386" s="2"/>
      <c r="E386" s="2"/>
    </row>
    <row r="387" spans="3:5" x14ac:dyDescent="0.25">
      <c r="C387" s="2"/>
      <c r="D387" s="2"/>
      <c r="E387" s="2"/>
    </row>
    <row r="388" spans="3:5" x14ac:dyDescent="0.25">
      <c r="C388" s="2"/>
      <c r="D388" s="2"/>
      <c r="E388" s="2"/>
    </row>
    <row r="389" spans="3:5" x14ac:dyDescent="0.25">
      <c r="C389" s="2"/>
      <c r="D389" s="2"/>
      <c r="E389" s="2"/>
    </row>
    <row r="390" spans="3:5" x14ac:dyDescent="0.25">
      <c r="C390" s="2"/>
      <c r="D390" s="2"/>
      <c r="E390" s="2"/>
    </row>
    <row r="391" spans="3:5" x14ac:dyDescent="0.25">
      <c r="C391" s="2"/>
      <c r="D391" s="2"/>
      <c r="E391" s="2"/>
    </row>
    <row r="392" spans="3:5" x14ac:dyDescent="0.25">
      <c r="C392" s="2"/>
      <c r="D392" s="2"/>
      <c r="E392" s="2"/>
    </row>
    <row r="393" spans="3:5" x14ac:dyDescent="0.25">
      <c r="C393" s="2"/>
      <c r="D393" s="2"/>
      <c r="E393" s="2"/>
    </row>
    <row r="394" spans="3:5" x14ac:dyDescent="0.25">
      <c r="C394" s="2"/>
      <c r="D394" s="2"/>
      <c r="E394" s="2"/>
    </row>
    <row r="395" spans="3:5" x14ac:dyDescent="0.25">
      <c r="C395" s="2"/>
      <c r="D395" s="2"/>
      <c r="E395" s="2"/>
    </row>
    <row r="396" spans="3:5" x14ac:dyDescent="0.25">
      <c r="C396" s="2"/>
      <c r="D396" s="2"/>
      <c r="E396" s="2"/>
    </row>
    <row r="397" spans="3:5" x14ac:dyDescent="0.25">
      <c r="C397" s="2"/>
      <c r="D397" s="2"/>
      <c r="E397" s="2"/>
    </row>
    <row r="398" spans="3:5" x14ac:dyDescent="0.25">
      <c r="C398" s="2"/>
      <c r="D398" s="2"/>
      <c r="E398" s="2"/>
    </row>
    <row r="399" spans="3:5" x14ac:dyDescent="0.25">
      <c r="C399" s="2"/>
      <c r="D399" s="2"/>
      <c r="E399" s="2"/>
    </row>
    <row r="400" spans="3:5" x14ac:dyDescent="0.25">
      <c r="C400" s="2"/>
      <c r="D400" s="2"/>
      <c r="E400" s="2"/>
    </row>
    <row r="401" spans="3:5" x14ac:dyDescent="0.25">
      <c r="C401" s="2"/>
      <c r="D401" s="2"/>
      <c r="E401" s="2"/>
    </row>
    <row r="402" spans="3:5" x14ac:dyDescent="0.25">
      <c r="C402" s="2"/>
      <c r="D402" s="2"/>
      <c r="E402" s="2"/>
    </row>
    <row r="403" spans="3:5" x14ac:dyDescent="0.25">
      <c r="C403" s="2"/>
      <c r="D403" s="2"/>
      <c r="E403" s="2"/>
    </row>
    <row r="404" spans="3:5" x14ac:dyDescent="0.25">
      <c r="C404" s="2"/>
      <c r="D404" s="2"/>
      <c r="E404" s="2"/>
    </row>
    <row r="405" spans="3:5" x14ac:dyDescent="0.25">
      <c r="C405" s="2"/>
      <c r="D405" s="2"/>
      <c r="E405" s="2"/>
    </row>
    <row r="406" spans="3:5" x14ac:dyDescent="0.25">
      <c r="C406" s="2"/>
      <c r="D406" s="2"/>
      <c r="E406" s="2"/>
    </row>
    <row r="407" spans="3:5" x14ac:dyDescent="0.25">
      <c r="C407" s="2"/>
      <c r="D407" s="2"/>
      <c r="E407" s="2"/>
    </row>
    <row r="408" spans="3:5" x14ac:dyDescent="0.25">
      <c r="C408" s="2"/>
      <c r="D408" s="2"/>
      <c r="E408" s="2"/>
    </row>
    <row r="409" spans="3:5" x14ac:dyDescent="0.25">
      <c r="C409" s="2"/>
      <c r="D409" s="2"/>
      <c r="E409" s="2"/>
    </row>
    <row r="410" spans="3:5" x14ac:dyDescent="0.25">
      <c r="C410" s="2"/>
      <c r="D410" s="2"/>
      <c r="E410" s="2"/>
    </row>
    <row r="411" spans="3:5" x14ac:dyDescent="0.25">
      <c r="C411" s="2"/>
      <c r="D411" s="2"/>
      <c r="E411" s="2"/>
    </row>
    <row r="412" spans="3:5" x14ac:dyDescent="0.25">
      <c r="C412" s="2"/>
      <c r="D412" s="2"/>
      <c r="E412" s="2"/>
    </row>
    <row r="413" spans="3:5" x14ac:dyDescent="0.25">
      <c r="C413" s="2"/>
      <c r="D413" s="2"/>
      <c r="E413" s="2"/>
    </row>
    <row r="414" spans="3:5" x14ac:dyDescent="0.25">
      <c r="C414" s="2"/>
      <c r="D414" s="2"/>
      <c r="E414" s="2"/>
    </row>
    <row r="415" spans="3:5" x14ac:dyDescent="0.25">
      <c r="C415" s="2"/>
      <c r="D415" s="2"/>
      <c r="E415" s="2"/>
    </row>
    <row r="416" spans="3:5" x14ac:dyDescent="0.25">
      <c r="C416" s="2"/>
      <c r="D416" s="2"/>
      <c r="E416" s="2"/>
    </row>
    <row r="417" spans="3:5" x14ac:dyDescent="0.25">
      <c r="C417" s="2"/>
      <c r="D417" s="2"/>
      <c r="E417" s="2"/>
    </row>
    <row r="418" spans="3:5" x14ac:dyDescent="0.25">
      <c r="C418" s="2"/>
      <c r="D418" s="2"/>
      <c r="E418" s="2"/>
    </row>
    <row r="419" spans="3:5" x14ac:dyDescent="0.25">
      <c r="C419" s="2"/>
      <c r="D419" s="2"/>
      <c r="E419" s="2"/>
    </row>
    <row r="420" spans="3:5" x14ac:dyDescent="0.25">
      <c r="C420" s="2"/>
      <c r="D420" s="2"/>
      <c r="E420" s="2"/>
    </row>
    <row r="421" spans="3:5" x14ac:dyDescent="0.25">
      <c r="C421" s="2"/>
      <c r="D421" s="2"/>
      <c r="E421" s="2"/>
    </row>
    <row r="422" spans="3:5" x14ac:dyDescent="0.25">
      <c r="C422" s="2"/>
      <c r="D422" s="2"/>
      <c r="E422" s="2"/>
    </row>
    <row r="423" spans="3:5" x14ac:dyDescent="0.25">
      <c r="C423" s="2"/>
      <c r="D423" s="2"/>
      <c r="E423" s="2"/>
    </row>
    <row r="424" spans="3:5" x14ac:dyDescent="0.25">
      <c r="C424" s="2"/>
      <c r="D424" s="2"/>
      <c r="E424" s="2"/>
    </row>
    <row r="425" spans="3:5" x14ac:dyDescent="0.25">
      <c r="C425" s="2"/>
      <c r="D425" s="2"/>
      <c r="E425" s="2"/>
    </row>
    <row r="426" spans="3:5" x14ac:dyDescent="0.25">
      <c r="C426" s="2"/>
      <c r="D426" s="2"/>
      <c r="E426" s="2"/>
    </row>
    <row r="427" spans="3:5" x14ac:dyDescent="0.25">
      <c r="C427" s="2"/>
      <c r="D427" s="2"/>
      <c r="E427" s="2"/>
    </row>
    <row r="428" spans="3:5" x14ac:dyDescent="0.25">
      <c r="C428" s="2"/>
      <c r="D428" s="2"/>
      <c r="E428" s="2"/>
    </row>
    <row r="429" spans="3:5" x14ac:dyDescent="0.25">
      <c r="C429" s="2"/>
      <c r="D429" s="2"/>
      <c r="E429" s="2"/>
    </row>
    <row r="430" spans="3:5" x14ac:dyDescent="0.25">
      <c r="C430" s="2"/>
      <c r="D430" s="2"/>
      <c r="E430" s="2"/>
    </row>
    <row r="431" spans="3:5" x14ac:dyDescent="0.25">
      <c r="C431" s="2"/>
      <c r="D431" s="2"/>
      <c r="E431" s="2"/>
    </row>
    <row r="432" spans="3:5" x14ac:dyDescent="0.25">
      <c r="C432" s="2"/>
      <c r="D432" s="2"/>
      <c r="E432" s="2"/>
    </row>
    <row r="433" spans="3:5" x14ac:dyDescent="0.25">
      <c r="C433" s="2"/>
      <c r="D433" s="2"/>
      <c r="E433" s="2"/>
    </row>
    <row r="434" spans="3:5" x14ac:dyDescent="0.25">
      <c r="C434" s="2"/>
      <c r="D434" s="2"/>
      <c r="E434" s="2"/>
    </row>
    <row r="435" spans="3:5" x14ac:dyDescent="0.25">
      <c r="C435" s="2"/>
      <c r="D435" s="2"/>
      <c r="E435" s="2"/>
    </row>
    <row r="436" spans="3:5" x14ac:dyDescent="0.25">
      <c r="C436" s="2"/>
      <c r="D436" s="2"/>
      <c r="E436" s="2"/>
    </row>
    <row r="437" spans="3:5" x14ac:dyDescent="0.25">
      <c r="C437" s="2"/>
      <c r="D437" s="2"/>
      <c r="E437" s="2"/>
    </row>
    <row r="438" spans="3:5" x14ac:dyDescent="0.25">
      <c r="C438" s="2"/>
      <c r="D438" s="2"/>
      <c r="E438" s="2"/>
    </row>
    <row r="439" spans="3:5" x14ac:dyDescent="0.25">
      <c r="C439" s="2"/>
      <c r="D439" s="2"/>
      <c r="E439" s="2"/>
    </row>
    <row r="440" spans="3:5" x14ac:dyDescent="0.25">
      <c r="C440" s="2"/>
      <c r="D440" s="2"/>
      <c r="E440" s="2"/>
    </row>
    <row r="441" spans="3:5" x14ac:dyDescent="0.25">
      <c r="C441" s="2"/>
      <c r="D441" s="2"/>
      <c r="E441" s="2"/>
    </row>
    <row r="442" spans="3:5" x14ac:dyDescent="0.25">
      <c r="C442" s="2"/>
      <c r="D442" s="2"/>
      <c r="E442" s="2"/>
    </row>
    <row r="443" spans="3:5" x14ac:dyDescent="0.25">
      <c r="C443" s="2"/>
      <c r="D443" s="2"/>
      <c r="E443" s="2"/>
    </row>
    <row r="444" spans="3:5" x14ac:dyDescent="0.25">
      <c r="C444" s="2"/>
      <c r="D444" s="2"/>
      <c r="E444" s="2"/>
    </row>
    <row r="445" spans="3:5" x14ac:dyDescent="0.25">
      <c r="C445" s="2"/>
      <c r="D445" s="2"/>
      <c r="E445" s="2"/>
    </row>
    <row r="446" spans="3:5" x14ac:dyDescent="0.25">
      <c r="C446" s="2"/>
      <c r="D446" s="2"/>
      <c r="E446" s="2"/>
    </row>
    <row r="447" spans="3:5" x14ac:dyDescent="0.25">
      <c r="C447" s="2"/>
      <c r="D447" s="2"/>
      <c r="E447" s="2"/>
    </row>
    <row r="448" spans="3:5" x14ac:dyDescent="0.25">
      <c r="C448" s="2"/>
      <c r="D448" s="2"/>
      <c r="E448" s="2"/>
    </row>
    <row r="449" spans="3:5" x14ac:dyDescent="0.25">
      <c r="C449" s="2"/>
      <c r="D449" s="2"/>
      <c r="E449" s="2"/>
    </row>
    <row r="450" spans="3:5" x14ac:dyDescent="0.25">
      <c r="C450" s="2"/>
      <c r="D450" s="2"/>
      <c r="E450" s="2"/>
    </row>
    <row r="451" spans="3:5" x14ac:dyDescent="0.25">
      <c r="C451" s="2"/>
      <c r="D451" s="2"/>
      <c r="E451" s="2"/>
    </row>
    <row r="452" spans="3:5" x14ac:dyDescent="0.25">
      <c r="C452" s="2"/>
      <c r="D452" s="2"/>
      <c r="E452" s="2"/>
    </row>
    <row r="453" spans="3:5" x14ac:dyDescent="0.25">
      <c r="C453" s="2"/>
      <c r="D453" s="2"/>
      <c r="E453" s="2"/>
    </row>
    <row r="454" spans="3:5" x14ac:dyDescent="0.25">
      <c r="C454" s="2"/>
      <c r="D454" s="2"/>
      <c r="E454" s="2"/>
    </row>
    <row r="455" spans="3:5" x14ac:dyDescent="0.25">
      <c r="C455" s="2"/>
      <c r="D455" s="2"/>
      <c r="E455" s="2"/>
    </row>
    <row r="456" spans="3:5" x14ac:dyDescent="0.25">
      <c r="C456" s="2"/>
      <c r="D456" s="2"/>
      <c r="E456" s="2"/>
    </row>
    <row r="457" spans="3:5" x14ac:dyDescent="0.25">
      <c r="C457" s="2"/>
      <c r="D457" s="2"/>
      <c r="E457" s="2"/>
    </row>
    <row r="458" spans="3:5" x14ac:dyDescent="0.25">
      <c r="C458" s="2"/>
      <c r="D458" s="2"/>
      <c r="E458" s="2"/>
    </row>
    <row r="459" spans="3:5" x14ac:dyDescent="0.25">
      <c r="C459" s="2"/>
      <c r="D459" s="2"/>
      <c r="E459" s="2"/>
    </row>
    <row r="460" spans="3:5" x14ac:dyDescent="0.25">
      <c r="C460" s="2"/>
      <c r="D460" s="2"/>
      <c r="E460" s="2"/>
    </row>
    <row r="461" spans="3:5" x14ac:dyDescent="0.25">
      <c r="C461" s="2"/>
      <c r="D461" s="2"/>
      <c r="E461" s="2"/>
    </row>
    <row r="462" spans="3:5" x14ac:dyDescent="0.25">
      <c r="C462" s="2"/>
      <c r="D462" s="2"/>
      <c r="E462" s="2"/>
    </row>
    <row r="463" spans="3:5" x14ac:dyDescent="0.25">
      <c r="C463" s="2"/>
      <c r="D463" s="2"/>
      <c r="E463" s="2"/>
    </row>
    <row r="464" spans="3:5" x14ac:dyDescent="0.25">
      <c r="C464" s="2"/>
      <c r="D464" s="2"/>
      <c r="E464" s="2"/>
    </row>
    <row r="465" spans="3:5" x14ac:dyDescent="0.25">
      <c r="C465" s="2"/>
      <c r="D465" s="2"/>
      <c r="E465" s="2"/>
    </row>
    <row r="466" spans="3:5" x14ac:dyDescent="0.25">
      <c r="C466" s="2"/>
      <c r="D466" s="2"/>
      <c r="E466" s="2"/>
    </row>
    <row r="467" spans="3:5" x14ac:dyDescent="0.25">
      <c r="C467" s="2"/>
      <c r="D467" s="2"/>
      <c r="E467" s="2"/>
    </row>
    <row r="468" spans="3:5" x14ac:dyDescent="0.25">
      <c r="C468" s="2"/>
      <c r="D468" s="2"/>
      <c r="E468" s="2"/>
    </row>
    <row r="469" spans="3:5" x14ac:dyDescent="0.25">
      <c r="C469" s="2"/>
      <c r="D469" s="2"/>
      <c r="E469" s="2"/>
    </row>
    <row r="470" spans="3:5" x14ac:dyDescent="0.25">
      <c r="C470" s="2"/>
      <c r="D470" s="2"/>
      <c r="E470" s="2"/>
    </row>
    <row r="471" spans="3:5" x14ac:dyDescent="0.25">
      <c r="C471" s="2"/>
      <c r="D471" s="2"/>
      <c r="E471" s="2"/>
    </row>
    <row r="472" spans="3:5" x14ac:dyDescent="0.25">
      <c r="C472" s="2"/>
      <c r="D472" s="2"/>
      <c r="E472" s="2"/>
    </row>
    <row r="473" spans="3:5" x14ac:dyDescent="0.25">
      <c r="C473" s="2"/>
      <c r="D473" s="2"/>
      <c r="E473" s="2"/>
    </row>
    <row r="474" spans="3:5" x14ac:dyDescent="0.25">
      <c r="C474" s="2"/>
      <c r="D474" s="2"/>
      <c r="E474" s="2"/>
    </row>
    <row r="475" spans="3:5" x14ac:dyDescent="0.25">
      <c r="C475" s="2"/>
      <c r="D475" s="2"/>
      <c r="E475" s="2"/>
    </row>
    <row r="476" spans="3:5" x14ac:dyDescent="0.25">
      <c r="C476" s="2"/>
      <c r="D476" s="2"/>
      <c r="E476" s="2"/>
    </row>
    <row r="477" spans="3:5" x14ac:dyDescent="0.25">
      <c r="C477" s="2"/>
      <c r="D477" s="2"/>
      <c r="E477" s="2"/>
    </row>
    <row r="478" spans="3:5" x14ac:dyDescent="0.25">
      <c r="C478" s="2"/>
      <c r="D478" s="2"/>
      <c r="E478" s="2"/>
    </row>
    <row r="479" spans="3:5" x14ac:dyDescent="0.25">
      <c r="C479" s="2"/>
      <c r="D479" s="2"/>
      <c r="E479" s="2"/>
    </row>
    <row r="480" spans="3:5" x14ac:dyDescent="0.25">
      <c r="C480" s="2"/>
      <c r="D480" s="2"/>
      <c r="E480" s="2"/>
    </row>
    <row r="481" spans="3:5" x14ac:dyDescent="0.25">
      <c r="C481" s="2"/>
      <c r="D481" s="2"/>
      <c r="E481" s="2"/>
    </row>
    <row r="482" spans="3:5" x14ac:dyDescent="0.25">
      <c r="C482" s="2"/>
      <c r="D482" s="2"/>
      <c r="E482" s="2"/>
    </row>
    <row r="483" spans="3:5" x14ac:dyDescent="0.25">
      <c r="C483" s="2"/>
      <c r="D483" s="2"/>
      <c r="E483" s="2"/>
    </row>
    <row r="484" spans="3:5" x14ac:dyDescent="0.25">
      <c r="C484" s="2"/>
      <c r="D484" s="2"/>
      <c r="E484" s="2"/>
    </row>
    <row r="485" spans="3:5" x14ac:dyDescent="0.25">
      <c r="C485" s="2"/>
      <c r="D485" s="2"/>
      <c r="E485" s="2"/>
    </row>
    <row r="486" spans="3:5" x14ac:dyDescent="0.25">
      <c r="C486" s="2"/>
      <c r="D486" s="2"/>
      <c r="E486" s="2"/>
    </row>
    <row r="487" spans="3:5" x14ac:dyDescent="0.25">
      <c r="C487" s="2"/>
      <c r="D487" s="2"/>
      <c r="E487" s="2"/>
    </row>
    <row r="488" spans="3:5" x14ac:dyDescent="0.25">
      <c r="C488" s="2"/>
      <c r="D488" s="2"/>
      <c r="E488" s="2"/>
    </row>
    <row r="489" spans="3:5" x14ac:dyDescent="0.25">
      <c r="C489" s="2"/>
      <c r="D489" s="2"/>
      <c r="E489" s="2"/>
    </row>
    <row r="490" spans="3:5" x14ac:dyDescent="0.25">
      <c r="C490" s="2"/>
      <c r="D490" s="2"/>
      <c r="E490" s="2"/>
    </row>
    <row r="491" spans="3:5" x14ac:dyDescent="0.25">
      <c r="C491" s="2"/>
      <c r="D491" s="2"/>
      <c r="E491" s="2"/>
    </row>
    <row r="492" spans="3:5" x14ac:dyDescent="0.25">
      <c r="C492" s="2"/>
      <c r="D492" s="2"/>
      <c r="E492" s="2"/>
    </row>
    <row r="493" spans="3:5" x14ac:dyDescent="0.25">
      <c r="C493" s="2"/>
      <c r="D493" s="2"/>
      <c r="E493" s="2"/>
    </row>
    <row r="494" spans="3:5" x14ac:dyDescent="0.25">
      <c r="C494" s="2"/>
      <c r="D494" s="2"/>
      <c r="E494" s="2"/>
    </row>
    <row r="495" spans="3:5" x14ac:dyDescent="0.25">
      <c r="C495" s="2"/>
      <c r="D495" s="2"/>
      <c r="E495" s="2"/>
    </row>
    <row r="496" spans="3:5" x14ac:dyDescent="0.25">
      <c r="C496" s="2"/>
      <c r="D496" s="2"/>
      <c r="E496" s="2"/>
    </row>
    <row r="497" spans="3:5" x14ac:dyDescent="0.25">
      <c r="C497" s="2"/>
      <c r="D497" s="2"/>
      <c r="E497" s="2"/>
    </row>
    <row r="498" spans="3:5" x14ac:dyDescent="0.25">
      <c r="C498" s="2"/>
      <c r="D498" s="2"/>
      <c r="E498" s="2"/>
    </row>
    <row r="499" spans="3:5" x14ac:dyDescent="0.25">
      <c r="C499" s="2"/>
      <c r="D499" s="2"/>
      <c r="E499" s="2"/>
    </row>
    <row r="500" spans="3:5" x14ac:dyDescent="0.25">
      <c r="C500" s="2"/>
      <c r="D500" s="2"/>
      <c r="E500" s="2"/>
    </row>
    <row r="501" spans="3:5" x14ac:dyDescent="0.25">
      <c r="C501" s="2"/>
      <c r="D501" s="2"/>
      <c r="E501" s="2"/>
    </row>
    <row r="502" spans="3:5" x14ac:dyDescent="0.25">
      <c r="C502" s="2"/>
      <c r="D502" s="2"/>
      <c r="E502" s="2"/>
    </row>
    <row r="503" spans="3:5" x14ac:dyDescent="0.25">
      <c r="C503" s="2"/>
      <c r="D503" s="2"/>
      <c r="E503" s="2"/>
    </row>
    <row r="504" spans="3:5" x14ac:dyDescent="0.25">
      <c r="C504" s="2"/>
      <c r="D504" s="2"/>
      <c r="E504" s="2"/>
    </row>
    <row r="505" spans="3:5" x14ac:dyDescent="0.25">
      <c r="C505" s="2"/>
      <c r="D505" s="2"/>
      <c r="E505" s="2"/>
    </row>
    <row r="506" spans="3:5" x14ac:dyDescent="0.25">
      <c r="C506" s="2"/>
      <c r="D506" s="2"/>
      <c r="E506" s="2"/>
    </row>
    <row r="507" spans="3:5" x14ac:dyDescent="0.25">
      <c r="C507" s="2"/>
      <c r="D507" s="2"/>
      <c r="E507" s="2"/>
    </row>
    <row r="508" spans="3:5" x14ac:dyDescent="0.25">
      <c r="C508" s="2"/>
      <c r="D508" s="2"/>
      <c r="E508" s="2"/>
    </row>
    <row r="509" spans="3:5" x14ac:dyDescent="0.25">
      <c r="C509" s="2"/>
      <c r="D509" s="2"/>
      <c r="E509" s="2"/>
    </row>
    <row r="510" spans="3:5" x14ac:dyDescent="0.25">
      <c r="C510" s="2"/>
      <c r="D510" s="2"/>
      <c r="E510" s="2"/>
    </row>
    <row r="511" spans="3:5" x14ac:dyDescent="0.25">
      <c r="C511" s="2"/>
      <c r="D511" s="2"/>
      <c r="E511" s="2"/>
    </row>
    <row r="512" spans="3:5" x14ac:dyDescent="0.25">
      <c r="C512" s="2"/>
      <c r="D512" s="2"/>
      <c r="E512" s="2"/>
    </row>
    <row r="513" spans="3:5" x14ac:dyDescent="0.25">
      <c r="C513" s="2"/>
      <c r="D513" s="2"/>
      <c r="E513" s="2"/>
    </row>
    <row r="514" spans="3:5" x14ac:dyDescent="0.25">
      <c r="C514" s="2"/>
      <c r="D514" s="2"/>
      <c r="E514" s="2"/>
    </row>
    <row r="515" spans="3:5" x14ac:dyDescent="0.25">
      <c r="C515" s="2"/>
      <c r="D515" s="2"/>
      <c r="E515" s="2"/>
    </row>
    <row r="516" spans="3:5" x14ac:dyDescent="0.25">
      <c r="C516" s="2"/>
      <c r="D516" s="2"/>
      <c r="E516" s="2"/>
    </row>
    <row r="517" spans="3:5" x14ac:dyDescent="0.25">
      <c r="C517" s="2"/>
      <c r="D517" s="2"/>
      <c r="E517" s="2"/>
    </row>
    <row r="518" spans="3:5" x14ac:dyDescent="0.25">
      <c r="C518" s="2"/>
      <c r="D518" s="2"/>
      <c r="E518" s="2"/>
    </row>
    <row r="519" spans="3:5" x14ac:dyDescent="0.25">
      <c r="C519" s="2"/>
      <c r="D519" s="2"/>
      <c r="E519" s="2"/>
    </row>
    <row r="520" spans="3:5" x14ac:dyDescent="0.25">
      <c r="C520" s="2"/>
      <c r="D520" s="2"/>
      <c r="E520" s="2"/>
    </row>
    <row r="521" spans="3:5" x14ac:dyDescent="0.25">
      <c r="C521" s="2"/>
      <c r="D521" s="2"/>
      <c r="E521" s="2"/>
    </row>
    <row r="522" spans="3:5" x14ac:dyDescent="0.25">
      <c r="C522" s="2"/>
      <c r="D522" s="2"/>
      <c r="E522" s="2"/>
    </row>
    <row r="523" spans="3:5" x14ac:dyDescent="0.25">
      <c r="C523" s="2"/>
      <c r="D523" s="2"/>
      <c r="E523" s="2"/>
    </row>
    <row r="524" spans="3:5" x14ac:dyDescent="0.25">
      <c r="C524" s="2"/>
      <c r="D524" s="2"/>
      <c r="E524" s="2"/>
    </row>
    <row r="525" spans="3:5" x14ac:dyDescent="0.25">
      <c r="C525" s="2"/>
      <c r="D525" s="2"/>
      <c r="E525" s="2"/>
    </row>
    <row r="526" spans="3:5" x14ac:dyDescent="0.25">
      <c r="C526" s="2"/>
      <c r="D526" s="2"/>
      <c r="E526" s="2"/>
    </row>
    <row r="527" spans="3:5" x14ac:dyDescent="0.25">
      <c r="C527" s="2"/>
      <c r="D527" s="2"/>
      <c r="E527" s="2"/>
    </row>
    <row r="528" spans="3:5" x14ac:dyDescent="0.25">
      <c r="C528" s="2"/>
      <c r="D528" s="2"/>
      <c r="E528" s="2"/>
    </row>
    <row r="529" spans="3:5" x14ac:dyDescent="0.25">
      <c r="C529" s="2"/>
      <c r="D529" s="2"/>
      <c r="E529" s="2"/>
    </row>
    <row r="530" spans="3:5" x14ac:dyDescent="0.25">
      <c r="C530" s="2"/>
      <c r="D530" s="2"/>
      <c r="E530" s="2"/>
    </row>
    <row r="531" spans="3:5" x14ac:dyDescent="0.25">
      <c r="C531" s="2"/>
      <c r="D531" s="2"/>
      <c r="E531" s="2"/>
    </row>
    <row r="532" spans="3:5" x14ac:dyDescent="0.25">
      <c r="C532" s="2"/>
      <c r="D532" s="2"/>
      <c r="E532" s="2"/>
    </row>
    <row r="533" spans="3:5" x14ac:dyDescent="0.25">
      <c r="C533" s="2"/>
      <c r="D533" s="2"/>
      <c r="E533" s="2"/>
    </row>
    <row r="534" spans="3:5" x14ac:dyDescent="0.25">
      <c r="C534" s="2"/>
      <c r="D534" s="2"/>
      <c r="E534" s="2"/>
    </row>
    <row r="535" spans="3:5" x14ac:dyDescent="0.25">
      <c r="C535" s="2"/>
      <c r="D535" s="2"/>
      <c r="E535" s="2"/>
    </row>
    <row r="536" spans="3:5" x14ac:dyDescent="0.25">
      <c r="C536" s="2"/>
      <c r="D536" s="2"/>
      <c r="E536" s="2"/>
    </row>
    <row r="537" spans="3:5" x14ac:dyDescent="0.25">
      <c r="C537" s="2"/>
      <c r="D537" s="2"/>
      <c r="E537" s="2"/>
    </row>
    <row r="538" spans="3:5" x14ac:dyDescent="0.25">
      <c r="C538" s="2"/>
      <c r="D538" s="2"/>
      <c r="E538" s="2"/>
    </row>
    <row r="539" spans="3:5" x14ac:dyDescent="0.25">
      <c r="C539" s="2"/>
      <c r="D539" s="2"/>
      <c r="E539" s="2"/>
    </row>
    <row r="540" spans="3:5" x14ac:dyDescent="0.25">
      <c r="C540" s="2"/>
      <c r="D540" s="2"/>
      <c r="E540" s="2"/>
    </row>
    <row r="541" spans="3:5" x14ac:dyDescent="0.25">
      <c r="C541" s="2"/>
      <c r="D541" s="2"/>
      <c r="E541" s="2"/>
    </row>
    <row r="542" spans="3:5" x14ac:dyDescent="0.25">
      <c r="C542" s="2"/>
      <c r="D542" s="2"/>
      <c r="E542" s="2"/>
    </row>
    <row r="543" spans="3:5" x14ac:dyDescent="0.25">
      <c r="C543" s="2"/>
      <c r="D543" s="2"/>
      <c r="E543" s="2"/>
    </row>
    <row r="544" spans="3:5" x14ac:dyDescent="0.25">
      <c r="C544" s="2"/>
      <c r="D544" s="2"/>
      <c r="E544" s="2"/>
    </row>
    <row r="545" spans="3:5" x14ac:dyDescent="0.25">
      <c r="C545" s="2"/>
      <c r="D545" s="2"/>
      <c r="E545" s="2"/>
    </row>
    <row r="546" spans="3:5" x14ac:dyDescent="0.25">
      <c r="C546" s="2"/>
      <c r="D546" s="2"/>
      <c r="E546" s="2"/>
    </row>
    <row r="547" spans="3:5" x14ac:dyDescent="0.25">
      <c r="C547" s="2"/>
      <c r="D547" s="2"/>
      <c r="E547" s="2"/>
    </row>
    <row r="548" spans="3:5" x14ac:dyDescent="0.25">
      <c r="C548" s="2"/>
      <c r="D548" s="2"/>
      <c r="E548" s="2"/>
    </row>
    <row r="549" spans="3:5" x14ac:dyDescent="0.25">
      <c r="C549" s="2"/>
      <c r="D549" s="2"/>
      <c r="E549" s="2"/>
    </row>
    <row r="550" spans="3:5" x14ac:dyDescent="0.25">
      <c r="C550" s="2"/>
      <c r="D550" s="2"/>
      <c r="E550" s="2"/>
    </row>
    <row r="551" spans="3:5" x14ac:dyDescent="0.25">
      <c r="C551" s="2"/>
      <c r="D551" s="2"/>
      <c r="E551" s="2"/>
    </row>
    <row r="552" spans="3:5" x14ac:dyDescent="0.25">
      <c r="C552" s="2"/>
      <c r="D552" s="2"/>
      <c r="E552" s="2"/>
    </row>
    <row r="553" spans="3:5" x14ac:dyDescent="0.25">
      <c r="C553" s="2"/>
      <c r="D553" s="2"/>
      <c r="E553" s="2"/>
    </row>
    <row r="554" spans="3:5" x14ac:dyDescent="0.25">
      <c r="C554" s="2"/>
      <c r="D554" s="2"/>
      <c r="E554" s="2"/>
    </row>
    <row r="555" spans="3:5" x14ac:dyDescent="0.25">
      <c r="C555" s="2"/>
      <c r="D555" s="2"/>
      <c r="E555" s="2"/>
    </row>
    <row r="556" spans="3:5" x14ac:dyDescent="0.25">
      <c r="C556" s="2"/>
      <c r="D556" s="2"/>
      <c r="E556" s="2"/>
    </row>
    <row r="557" spans="3:5" x14ac:dyDescent="0.25">
      <c r="C557" s="2"/>
      <c r="D557" s="2"/>
      <c r="E557" s="2"/>
    </row>
    <row r="558" spans="3:5" x14ac:dyDescent="0.25">
      <c r="C558" s="2"/>
      <c r="D558" s="2"/>
      <c r="E558" s="2"/>
    </row>
    <row r="559" spans="3:5" x14ac:dyDescent="0.25">
      <c r="C559" s="2"/>
      <c r="D559" s="2"/>
      <c r="E559" s="2"/>
    </row>
    <row r="560" spans="3:5" x14ac:dyDescent="0.25">
      <c r="C560" s="2"/>
      <c r="D560" s="2"/>
      <c r="E560" s="2"/>
    </row>
    <row r="561" spans="3:5" x14ac:dyDescent="0.25">
      <c r="C561" s="2"/>
      <c r="D561" s="2"/>
      <c r="E561" s="2"/>
    </row>
    <row r="562" spans="3:5" x14ac:dyDescent="0.25">
      <c r="C562" s="2"/>
      <c r="D562" s="2"/>
      <c r="E562" s="2"/>
    </row>
    <row r="563" spans="3:5" x14ac:dyDescent="0.25">
      <c r="C563" s="2"/>
      <c r="D563" s="2"/>
      <c r="E563" s="2"/>
    </row>
    <row r="564" spans="3:5" x14ac:dyDescent="0.25">
      <c r="C564" s="2"/>
      <c r="D564" s="2"/>
      <c r="E564" s="2"/>
    </row>
    <row r="565" spans="3:5" x14ac:dyDescent="0.25">
      <c r="C565" s="2"/>
      <c r="D565" s="2"/>
      <c r="E565" s="2"/>
    </row>
    <row r="566" spans="3:5" x14ac:dyDescent="0.25">
      <c r="C566" s="2"/>
      <c r="D566" s="2"/>
      <c r="E566" s="2"/>
    </row>
    <row r="567" spans="3:5" x14ac:dyDescent="0.25">
      <c r="C567" s="2"/>
      <c r="D567" s="2"/>
      <c r="E567" s="2"/>
    </row>
    <row r="568" spans="3:5" x14ac:dyDescent="0.25">
      <c r="C568" s="2"/>
      <c r="D568" s="2"/>
      <c r="E568" s="2"/>
    </row>
    <row r="569" spans="3:5" x14ac:dyDescent="0.25">
      <c r="C569" s="2"/>
      <c r="D569" s="2"/>
      <c r="E569" s="2"/>
    </row>
    <row r="570" spans="3:5" x14ac:dyDescent="0.25">
      <c r="C570" s="2"/>
      <c r="D570" s="2"/>
      <c r="E570" s="2"/>
    </row>
    <row r="571" spans="3:5" x14ac:dyDescent="0.25">
      <c r="C571" s="2"/>
      <c r="D571" s="2"/>
      <c r="E571" s="2"/>
    </row>
    <row r="572" spans="3:5" x14ac:dyDescent="0.25">
      <c r="C572" s="2"/>
      <c r="D572" s="2"/>
      <c r="E572" s="2"/>
    </row>
    <row r="573" spans="3:5" x14ac:dyDescent="0.25">
      <c r="C573" s="2"/>
      <c r="D573" s="2"/>
      <c r="E573" s="2"/>
    </row>
    <row r="574" spans="3:5" x14ac:dyDescent="0.25">
      <c r="C574" s="2"/>
      <c r="D574" s="2"/>
      <c r="E574" s="2"/>
    </row>
    <row r="575" spans="3:5" x14ac:dyDescent="0.25">
      <c r="C575" s="2"/>
      <c r="D575" s="2"/>
      <c r="E575" s="2"/>
    </row>
    <row r="576" spans="3:5" x14ac:dyDescent="0.25">
      <c r="C576" s="2"/>
      <c r="D576" s="2"/>
      <c r="E576" s="2"/>
    </row>
    <row r="577" spans="3:5" x14ac:dyDescent="0.25">
      <c r="C577" s="2"/>
      <c r="D577" s="2"/>
      <c r="E577" s="2"/>
    </row>
    <row r="578" spans="3:5" x14ac:dyDescent="0.25">
      <c r="C578" s="2"/>
      <c r="D578" s="2"/>
      <c r="E578" s="2"/>
    </row>
    <row r="579" spans="3:5" x14ac:dyDescent="0.25">
      <c r="C579" s="2"/>
      <c r="D579" s="2"/>
      <c r="E579" s="2"/>
    </row>
    <row r="580" spans="3:5" x14ac:dyDescent="0.25">
      <c r="C580" s="2"/>
      <c r="D580" s="2"/>
      <c r="E580" s="2"/>
    </row>
    <row r="581" spans="3:5" x14ac:dyDescent="0.25">
      <c r="C581" s="2"/>
      <c r="D581" s="2"/>
      <c r="E581" s="2"/>
    </row>
    <row r="582" spans="3:5" x14ac:dyDescent="0.25">
      <c r="C582" s="2"/>
      <c r="D582" s="2"/>
      <c r="E582" s="2"/>
    </row>
    <row r="583" spans="3:5" x14ac:dyDescent="0.25">
      <c r="C583" s="2"/>
      <c r="D583" s="2"/>
      <c r="E583" s="2"/>
    </row>
    <row r="584" spans="3:5" x14ac:dyDescent="0.25">
      <c r="C584" s="2"/>
      <c r="D584" s="2"/>
      <c r="E584" s="2"/>
    </row>
    <row r="585" spans="3:5" x14ac:dyDescent="0.25">
      <c r="C585" s="2"/>
      <c r="D585" s="2"/>
      <c r="E585" s="2"/>
    </row>
    <row r="586" spans="3:5" x14ac:dyDescent="0.25">
      <c r="C586" s="2"/>
      <c r="D586" s="2"/>
      <c r="E586" s="2"/>
    </row>
    <row r="587" spans="3:5" x14ac:dyDescent="0.25">
      <c r="C587" s="2"/>
      <c r="D587" s="2"/>
      <c r="E587" s="2"/>
    </row>
    <row r="588" spans="3:5" x14ac:dyDescent="0.25">
      <c r="C588" s="2"/>
      <c r="D588" s="2"/>
      <c r="E588" s="2"/>
    </row>
    <row r="589" spans="3:5" x14ac:dyDescent="0.25">
      <c r="C589" s="2"/>
      <c r="D589" s="2"/>
      <c r="E589" s="2"/>
    </row>
    <row r="590" spans="3:5" x14ac:dyDescent="0.25">
      <c r="C590" s="2"/>
      <c r="D590" s="2"/>
      <c r="E590" s="2"/>
    </row>
    <row r="591" spans="3:5" x14ac:dyDescent="0.25">
      <c r="C591" s="2"/>
      <c r="D591" s="2"/>
      <c r="E591" s="2"/>
    </row>
    <row r="592" spans="3:5" x14ac:dyDescent="0.25">
      <c r="C592" s="2"/>
      <c r="D592" s="2"/>
      <c r="E592" s="2"/>
    </row>
    <row r="593" spans="3:5" x14ac:dyDescent="0.25">
      <c r="C593" s="2"/>
      <c r="D593" s="2"/>
      <c r="E593" s="2"/>
    </row>
    <row r="594" spans="3:5" x14ac:dyDescent="0.25">
      <c r="C594" s="2"/>
      <c r="D594" s="2"/>
      <c r="E594" s="2"/>
    </row>
    <row r="595" spans="3:5" x14ac:dyDescent="0.25">
      <c r="C595" s="2"/>
      <c r="D595" s="2"/>
      <c r="E595" s="2"/>
    </row>
    <row r="596" spans="3:5" x14ac:dyDescent="0.25">
      <c r="C596" s="2"/>
      <c r="D596" s="2"/>
      <c r="E596" s="2"/>
    </row>
    <row r="597" spans="3:5" x14ac:dyDescent="0.25">
      <c r="C597" s="2"/>
      <c r="D597" s="2"/>
      <c r="E597" s="2"/>
    </row>
    <row r="598" spans="3:5" x14ac:dyDescent="0.25">
      <c r="C598" s="2"/>
      <c r="D598" s="2"/>
      <c r="E598" s="2"/>
    </row>
    <row r="599" spans="3:5" x14ac:dyDescent="0.25">
      <c r="C599" s="2"/>
      <c r="D599" s="2"/>
      <c r="E599" s="2"/>
    </row>
    <row r="600" spans="3:5" x14ac:dyDescent="0.25">
      <c r="C600" s="2"/>
      <c r="D600" s="2"/>
      <c r="E600" s="2"/>
    </row>
    <row r="601" spans="3:5" x14ac:dyDescent="0.25">
      <c r="C601" s="2"/>
      <c r="D601" s="2"/>
      <c r="E601" s="2"/>
    </row>
    <row r="602" spans="3:5" x14ac:dyDescent="0.25">
      <c r="C602" s="2"/>
      <c r="D602" s="2"/>
      <c r="E602" s="2"/>
    </row>
    <row r="603" spans="3:5" x14ac:dyDescent="0.25">
      <c r="C603" s="2"/>
      <c r="D603" s="2"/>
      <c r="E603" s="2"/>
    </row>
    <row r="604" spans="3:5" x14ac:dyDescent="0.25">
      <c r="C604" s="2"/>
      <c r="D604" s="2"/>
      <c r="E604" s="2"/>
    </row>
    <row r="605" spans="3:5" x14ac:dyDescent="0.25">
      <c r="C605" s="2"/>
      <c r="D605" s="2"/>
      <c r="E605" s="2"/>
    </row>
    <row r="606" spans="3:5" x14ac:dyDescent="0.25">
      <c r="C606" s="2"/>
      <c r="D606" s="2"/>
      <c r="E606" s="2"/>
    </row>
    <row r="607" spans="3:5" x14ac:dyDescent="0.25">
      <c r="C607" s="2"/>
      <c r="D607" s="2"/>
      <c r="E607" s="2"/>
    </row>
    <row r="608" spans="3:5" x14ac:dyDescent="0.25">
      <c r="C608" s="2"/>
      <c r="D608" s="2"/>
      <c r="E608" s="2"/>
    </row>
    <row r="609" spans="3:5" x14ac:dyDescent="0.25">
      <c r="C609" s="2"/>
      <c r="D609" s="2"/>
      <c r="E609" s="2"/>
    </row>
    <row r="610" spans="3:5" x14ac:dyDescent="0.25">
      <c r="C610" s="2"/>
      <c r="D610" s="2"/>
      <c r="E610" s="2"/>
    </row>
    <row r="611" spans="3:5" x14ac:dyDescent="0.25">
      <c r="C611" s="2"/>
      <c r="D611" s="2"/>
      <c r="E611" s="2"/>
    </row>
    <row r="612" spans="3:5" x14ac:dyDescent="0.25">
      <c r="C612" s="2"/>
      <c r="D612" s="2"/>
      <c r="E612" s="2"/>
    </row>
    <row r="613" spans="3:5" x14ac:dyDescent="0.25">
      <c r="C613" s="2"/>
      <c r="D613" s="2"/>
      <c r="E613" s="2"/>
    </row>
    <row r="614" spans="3:5" x14ac:dyDescent="0.25">
      <c r="C614" s="2"/>
      <c r="D614" s="2"/>
      <c r="E614" s="2"/>
    </row>
    <row r="615" spans="3:5" x14ac:dyDescent="0.25">
      <c r="C615" s="2"/>
      <c r="D615" s="2"/>
      <c r="E615" s="2"/>
    </row>
    <row r="616" spans="3:5" x14ac:dyDescent="0.25">
      <c r="C616" s="2"/>
      <c r="D616" s="2"/>
      <c r="E616" s="2"/>
    </row>
    <row r="617" spans="3:5" x14ac:dyDescent="0.25">
      <c r="C617" s="2"/>
      <c r="D617" s="2"/>
      <c r="E617" s="2"/>
    </row>
    <row r="618" spans="3:5" x14ac:dyDescent="0.25">
      <c r="C618" s="2"/>
      <c r="D618" s="2"/>
      <c r="E618" s="2"/>
    </row>
    <row r="619" spans="3:5" x14ac:dyDescent="0.25">
      <c r="C619" s="2"/>
      <c r="D619" s="2"/>
      <c r="E619" s="2"/>
    </row>
    <row r="620" spans="3:5" x14ac:dyDescent="0.25">
      <c r="C620" s="2"/>
      <c r="D620" s="2"/>
      <c r="E620" s="2"/>
    </row>
    <row r="621" spans="3:5" x14ac:dyDescent="0.25">
      <c r="C621" s="2"/>
      <c r="D621" s="2"/>
      <c r="E621" s="2"/>
    </row>
    <row r="622" spans="3:5" x14ac:dyDescent="0.25">
      <c r="C622" s="2"/>
      <c r="D622" s="2"/>
      <c r="E622" s="2"/>
    </row>
    <row r="623" spans="3:5" x14ac:dyDescent="0.25">
      <c r="C623" s="2"/>
      <c r="D623" s="2"/>
      <c r="E623" s="2"/>
    </row>
    <row r="624" spans="3:5" x14ac:dyDescent="0.25">
      <c r="C624" s="2"/>
      <c r="D624" s="2"/>
      <c r="E624" s="2"/>
    </row>
    <row r="625" spans="3:5" x14ac:dyDescent="0.25">
      <c r="C625" s="2"/>
      <c r="D625" s="2"/>
      <c r="E625" s="2"/>
    </row>
    <row r="626" spans="3:5" x14ac:dyDescent="0.25">
      <c r="C626" s="2"/>
      <c r="D626" s="2"/>
      <c r="E626" s="2"/>
    </row>
    <row r="627" spans="3:5" x14ac:dyDescent="0.25">
      <c r="C627" s="2"/>
      <c r="D627" s="2"/>
      <c r="E627" s="2"/>
    </row>
    <row r="628" spans="3:5" x14ac:dyDescent="0.25">
      <c r="C628" s="2"/>
      <c r="D628" s="2"/>
      <c r="E628" s="2"/>
    </row>
    <row r="629" spans="3:5" x14ac:dyDescent="0.25">
      <c r="C629" s="2"/>
      <c r="D629" s="2"/>
      <c r="E629" s="2"/>
    </row>
    <row r="630" spans="3:5" x14ac:dyDescent="0.25">
      <c r="C630" s="2"/>
      <c r="D630" s="2"/>
      <c r="E630" s="2"/>
    </row>
    <row r="631" spans="3:5" x14ac:dyDescent="0.25">
      <c r="C631" s="2"/>
      <c r="D631" s="2"/>
      <c r="E631" s="2"/>
    </row>
    <row r="632" spans="3:5" x14ac:dyDescent="0.25">
      <c r="C632" s="2"/>
      <c r="D632" s="2"/>
      <c r="E632" s="2"/>
    </row>
    <row r="633" spans="3:5" x14ac:dyDescent="0.25">
      <c r="C633" s="2"/>
      <c r="D633" s="2"/>
      <c r="E633" s="2"/>
    </row>
    <row r="634" spans="3:5" x14ac:dyDescent="0.25">
      <c r="C634" s="2"/>
      <c r="D634" s="2"/>
      <c r="E634" s="2"/>
    </row>
    <row r="635" spans="3:5" x14ac:dyDescent="0.25">
      <c r="C635" s="2"/>
      <c r="D635" s="2"/>
      <c r="E635" s="2"/>
    </row>
    <row r="636" spans="3:5" x14ac:dyDescent="0.25">
      <c r="C636" s="2"/>
      <c r="D636" s="2"/>
      <c r="E636" s="2"/>
    </row>
    <row r="637" spans="3:5" x14ac:dyDescent="0.25">
      <c r="C637" s="2"/>
      <c r="D637" s="2"/>
      <c r="E637" s="2"/>
    </row>
    <row r="638" spans="3:5" x14ac:dyDescent="0.25">
      <c r="C638" s="2"/>
      <c r="D638" s="2"/>
      <c r="E638" s="2"/>
    </row>
    <row r="639" spans="3:5" x14ac:dyDescent="0.25">
      <c r="C639" s="2"/>
      <c r="D639" s="2"/>
      <c r="E639" s="2"/>
    </row>
    <row r="640" spans="3:5" x14ac:dyDescent="0.25">
      <c r="C640" s="2"/>
      <c r="D640" s="2"/>
      <c r="E640" s="2"/>
    </row>
    <row r="641" spans="3:5" x14ac:dyDescent="0.25">
      <c r="C641" s="2"/>
      <c r="D641" s="2"/>
      <c r="E641" s="2"/>
    </row>
    <row r="642" spans="3:5" x14ac:dyDescent="0.25">
      <c r="C642" s="2"/>
      <c r="D642" s="2"/>
      <c r="E642" s="2"/>
    </row>
    <row r="643" spans="3:5" x14ac:dyDescent="0.25">
      <c r="C643" s="2"/>
      <c r="D643" s="2"/>
      <c r="E643" s="2"/>
    </row>
    <row r="644" spans="3:5" x14ac:dyDescent="0.25">
      <c r="C644" s="2"/>
      <c r="D644" s="2"/>
      <c r="E644" s="2"/>
    </row>
    <row r="645" spans="3:5" x14ac:dyDescent="0.25">
      <c r="C645" s="2"/>
      <c r="D645" s="2"/>
      <c r="E645" s="2"/>
    </row>
    <row r="646" spans="3:5" x14ac:dyDescent="0.25">
      <c r="C646" s="2"/>
      <c r="D646" s="2"/>
      <c r="E646" s="2"/>
    </row>
    <row r="647" spans="3:5" x14ac:dyDescent="0.25">
      <c r="C647" s="2"/>
      <c r="D647" s="2"/>
      <c r="E647" s="2"/>
    </row>
    <row r="648" spans="3:5" x14ac:dyDescent="0.25">
      <c r="C648" s="2"/>
      <c r="D648" s="2"/>
      <c r="E648" s="2"/>
    </row>
    <row r="649" spans="3:5" x14ac:dyDescent="0.25">
      <c r="C649" s="2"/>
      <c r="D649" s="2"/>
      <c r="E649" s="2"/>
    </row>
    <row r="650" spans="3:5" x14ac:dyDescent="0.25">
      <c r="C650" s="2"/>
      <c r="D650" s="2"/>
      <c r="E650" s="2"/>
    </row>
    <row r="651" spans="3:5" x14ac:dyDescent="0.25">
      <c r="C651" s="2"/>
      <c r="D651" s="2"/>
      <c r="E651" s="2"/>
    </row>
    <row r="652" spans="3:5" x14ac:dyDescent="0.25">
      <c r="C652" s="2"/>
      <c r="D652" s="2"/>
      <c r="E652" s="2"/>
    </row>
    <row r="653" spans="3:5" x14ac:dyDescent="0.25">
      <c r="C653" s="2"/>
      <c r="D653" s="2"/>
      <c r="E653" s="2"/>
    </row>
    <row r="654" spans="3:5" x14ac:dyDescent="0.25">
      <c r="C654" s="2"/>
      <c r="D654" s="2"/>
      <c r="E654" s="2"/>
    </row>
    <row r="655" spans="3:5" x14ac:dyDescent="0.25">
      <c r="C655" s="2"/>
      <c r="D655" s="2"/>
      <c r="E655" s="2"/>
    </row>
    <row r="656" spans="3:5" x14ac:dyDescent="0.25">
      <c r="C656" s="2"/>
      <c r="D656" s="2"/>
      <c r="E656" s="2"/>
    </row>
    <row r="657" spans="3:5" x14ac:dyDescent="0.25">
      <c r="C657" s="2"/>
      <c r="D657" s="2"/>
      <c r="E657" s="2"/>
    </row>
    <row r="658" spans="3:5" x14ac:dyDescent="0.25">
      <c r="C658" s="2"/>
      <c r="D658" s="2"/>
      <c r="E658" s="2"/>
    </row>
    <row r="659" spans="3:5" x14ac:dyDescent="0.25">
      <c r="C659" s="2"/>
      <c r="D659" s="2"/>
      <c r="E659" s="2"/>
    </row>
    <row r="660" spans="3:5" x14ac:dyDescent="0.25">
      <c r="C660" s="2"/>
      <c r="D660" s="2"/>
      <c r="E660" s="2"/>
    </row>
    <row r="661" spans="3:5" x14ac:dyDescent="0.25">
      <c r="C661" s="2"/>
      <c r="D661" s="2"/>
      <c r="E661" s="2"/>
    </row>
    <row r="662" spans="3:5" x14ac:dyDescent="0.25">
      <c r="C662" s="2"/>
      <c r="D662" s="2"/>
      <c r="E662" s="2"/>
    </row>
    <row r="663" spans="3:5" x14ac:dyDescent="0.25">
      <c r="C663" s="2"/>
      <c r="D663" s="2"/>
      <c r="E663" s="2"/>
    </row>
    <row r="664" spans="3:5" x14ac:dyDescent="0.25">
      <c r="C664" s="2"/>
      <c r="D664" s="2"/>
      <c r="E664" s="2"/>
    </row>
    <row r="665" spans="3:5" x14ac:dyDescent="0.25">
      <c r="C665" s="2"/>
      <c r="D665" s="2"/>
      <c r="E665" s="2"/>
    </row>
    <row r="666" spans="3:5" x14ac:dyDescent="0.25">
      <c r="C666" s="2"/>
      <c r="D666" s="2"/>
      <c r="E666" s="2"/>
    </row>
    <row r="667" spans="3:5" x14ac:dyDescent="0.25">
      <c r="C667" s="2"/>
      <c r="D667" s="2"/>
      <c r="E667" s="2"/>
    </row>
    <row r="668" spans="3:5" x14ac:dyDescent="0.25">
      <c r="C668" s="2"/>
      <c r="D668" s="2"/>
      <c r="E668" s="2"/>
    </row>
    <row r="669" spans="3:5" x14ac:dyDescent="0.25">
      <c r="C669" s="2"/>
      <c r="D669" s="2"/>
      <c r="E669" s="2"/>
    </row>
    <row r="670" spans="3:5" x14ac:dyDescent="0.25">
      <c r="C670" s="2"/>
      <c r="D670" s="2"/>
      <c r="E670" s="2"/>
    </row>
    <row r="671" spans="3:5" x14ac:dyDescent="0.25">
      <c r="C671" s="2"/>
      <c r="D671" s="2"/>
      <c r="E671" s="2"/>
    </row>
    <row r="672" spans="3:5" x14ac:dyDescent="0.25">
      <c r="C672" s="2"/>
      <c r="D672" s="2"/>
      <c r="E672" s="2"/>
    </row>
    <row r="673" spans="3:5" x14ac:dyDescent="0.25">
      <c r="C673" s="2"/>
      <c r="D673" s="2"/>
      <c r="E673" s="2"/>
    </row>
    <row r="674" spans="3:5" x14ac:dyDescent="0.25">
      <c r="C674" s="2"/>
      <c r="D674" s="2"/>
      <c r="E674" s="2"/>
    </row>
    <row r="675" spans="3:5" x14ac:dyDescent="0.25">
      <c r="C675" s="2"/>
      <c r="D675" s="2"/>
      <c r="E675" s="2"/>
    </row>
    <row r="676" spans="3:5" x14ac:dyDescent="0.25">
      <c r="C676" s="2"/>
      <c r="D676" s="2"/>
      <c r="E676" s="2"/>
    </row>
    <row r="677" spans="3:5" x14ac:dyDescent="0.25">
      <c r="C677" s="2"/>
      <c r="D677" s="2"/>
      <c r="E677" s="2"/>
    </row>
    <row r="678" spans="3:5" x14ac:dyDescent="0.25">
      <c r="C678" s="2"/>
      <c r="D678" s="2"/>
      <c r="E678" s="2"/>
    </row>
    <row r="679" spans="3:5" x14ac:dyDescent="0.25">
      <c r="C679" s="2"/>
      <c r="D679" s="2"/>
      <c r="E679" s="2"/>
    </row>
    <row r="680" spans="3:5" x14ac:dyDescent="0.25">
      <c r="C680" s="2"/>
      <c r="D680" s="2"/>
      <c r="E680" s="2"/>
    </row>
    <row r="681" spans="3:5" x14ac:dyDescent="0.25">
      <c r="C681" s="2"/>
      <c r="D681" s="2"/>
      <c r="E681" s="2"/>
    </row>
    <row r="682" spans="3:5" x14ac:dyDescent="0.25">
      <c r="C682" s="2"/>
      <c r="D682" s="2"/>
      <c r="E682" s="2"/>
    </row>
    <row r="683" spans="3:5" x14ac:dyDescent="0.25">
      <c r="C683" s="2"/>
      <c r="D683" s="2"/>
      <c r="E683" s="2"/>
    </row>
    <row r="684" spans="3:5" x14ac:dyDescent="0.25">
      <c r="C684" s="2"/>
      <c r="D684" s="2"/>
      <c r="E684" s="2"/>
    </row>
    <row r="685" spans="3:5" x14ac:dyDescent="0.25">
      <c r="C685" s="2"/>
      <c r="D685" s="2"/>
      <c r="E685" s="2"/>
    </row>
    <row r="686" spans="3:5" x14ac:dyDescent="0.25">
      <c r="C686" s="2"/>
      <c r="D686" s="2"/>
      <c r="E686" s="2"/>
    </row>
    <row r="687" spans="3:5" x14ac:dyDescent="0.25">
      <c r="C687" s="2"/>
      <c r="D687" s="2"/>
      <c r="E687" s="2"/>
    </row>
    <row r="688" spans="3:5" x14ac:dyDescent="0.25">
      <c r="C688" s="2"/>
      <c r="D688" s="2"/>
      <c r="E688" s="2"/>
    </row>
    <row r="689" spans="3:5" x14ac:dyDescent="0.25">
      <c r="C689" s="2"/>
      <c r="D689" s="2"/>
      <c r="E689" s="2"/>
    </row>
    <row r="690" spans="3:5" x14ac:dyDescent="0.25">
      <c r="C690" s="2"/>
      <c r="D690" s="2"/>
      <c r="E690" s="2"/>
    </row>
    <row r="691" spans="3:5" x14ac:dyDescent="0.25">
      <c r="C691" s="2"/>
      <c r="D691" s="2"/>
      <c r="E691" s="2"/>
    </row>
    <row r="692" spans="3:5" x14ac:dyDescent="0.25">
      <c r="C692" s="2"/>
      <c r="D692" s="2"/>
      <c r="E692" s="2"/>
    </row>
    <row r="693" spans="3:5" x14ac:dyDescent="0.25">
      <c r="C693" s="2"/>
      <c r="D693" s="2"/>
      <c r="E693" s="2"/>
    </row>
    <row r="694" spans="3:5" x14ac:dyDescent="0.25">
      <c r="C694" s="2"/>
      <c r="D694" s="2"/>
      <c r="E694" s="2"/>
    </row>
    <row r="695" spans="3:5" x14ac:dyDescent="0.25">
      <c r="C695" s="2"/>
      <c r="D695" s="2"/>
      <c r="E695" s="2"/>
    </row>
    <row r="696" spans="3:5" x14ac:dyDescent="0.25">
      <c r="C696" s="2"/>
      <c r="D696" s="2"/>
      <c r="E696" s="2"/>
    </row>
    <row r="697" spans="3:5" x14ac:dyDescent="0.25">
      <c r="C697" s="2"/>
      <c r="D697" s="2"/>
      <c r="E697" s="2"/>
    </row>
    <row r="698" spans="3:5" x14ac:dyDescent="0.25">
      <c r="C698" s="2"/>
      <c r="D698" s="2"/>
      <c r="E698" s="2"/>
    </row>
    <row r="699" spans="3:5" x14ac:dyDescent="0.25">
      <c r="C699" s="2"/>
      <c r="D699" s="2"/>
      <c r="E699" s="2"/>
    </row>
    <row r="700" spans="3:5" x14ac:dyDescent="0.25">
      <c r="C700" s="2"/>
      <c r="D700" s="2"/>
      <c r="E700" s="2"/>
    </row>
    <row r="701" spans="3:5" x14ac:dyDescent="0.25">
      <c r="C701" s="2"/>
      <c r="D701" s="2"/>
      <c r="E701" s="2"/>
    </row>
    <row r="702" spans="3:5" x14ac:dyDescent="0.25">
      <c r="C702" s="2"/>
      <c r="D702" s="2"/>
      <c r="E702" s="2"/>
    </row>
    <row r="703" spans="3:5" x14ac:dyDescent="0.25">
      <c r="C703" s="2"/>
      <c r="D703" s="2"/>
      <c r="E703" s="2"/>
    </row>
    <row r="704" spans="3:5" x14ac:dyDescent="0.25">
      <c r="C704" s="2"/>
      <c r="D704" s="2"/>
      <c r="E704" s="2"/>
    </row>
    <row r="705" spans="3:5" x14ac:dyDescent="0.25">
      <c r="C705" s="2"/>
      <c r="D705" s="2"/>
      <c r="E705" s="2"/>
    </row>
    <row r="706" spans="3:5" x14ac:dyDescent="0.25">
      <c r="C706" s="2"/>
      <c r="D706" s="2"/>
      <c r="E706" s="2"/>
    </row>
    <row r="707" spans="3:5" x14ac:dyDescent="0.25">
      <c r="C707" s="2"/>
      <c r="D707" s="2"/>
      <c r="E707" s="2"/>
    </row>
    <row r="708" spans="3:5" x14ac:dyDescent="0.25">
      <c r="C708" s="2"/>
      <c r="D708" s="2"/>
      <c r="E708" s="2"/>
    </row>
    <row r="709" spans="3:5" x14ac:dyDescent="0.25">
      <c r="C709" s="2"/>
      <c r="D709" s="2"/>
      <c r="E709" s="2"/>
    </row>
    <row r="710" spans="3:5" x14ac:dyDescent="0.25">
      <c r="C710" s="2"/>
      <c r="D710" s="2"/>
      <c r="E710" s="2"/>
    </row>
    <row r="711" spans="3:5" x14ac:dyDescent="0.25">
      <c r="C711" s="2"/>
      <c r="D711" s="2"/>
      <c r="E711" s="2"/>
    </row>
    <row r="712" spans="3:5" x14ac:dyDescent="0.25">
      <c r="C712" s="2"/>
      <c r="D712" s="2"/>
      <c r="E712" s="2"/>
    </row>
    <row r="713" spans="3:5" x14ac:dyDescent="0.25">
      <c r="C713" s="2"/>
      <c r="D713" s="2"/>
      <c r="E713" s="2"/>
    </row>
    <row r="714" spans="3:5" x14ac:dyDescent="0.25">
      <c r="C714" s="2"/>
      <c r="D714" s="2"/>
      <c r="E714" s="2"/>
    </row>
    <row r="715" spans="3:5" x14ac:dyDescent="0.25">
      <c r="C715" s="2"/>
      <c r="D715" s="2"/>
      <c r="E715" s="2"/>
    </row>
    <row r="716" spans="3:5" x14ac:dyDescent="0.25">
      <c r="C716" s="2"/>
      <c r="D716" s="2"/>
      <c r="E716" s="2"/>
    </row>
    <row r="717" spans="3:5" x14ac:dyDescent="0.25">
      <c r="C717" s="2"/>
      <c r="D717" s="2"/>
      <c r="E717" s="2"/>
    </row>
  </sheetData>
  <conditionalFormatting sqref="B1:B1048576">
    <cfRule type="duplicateValues" dxfId="6" priority="1"/>
  </conditionalFormatting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984"/>
  <sheetViews>
    <sheetView tabSelected="1" zoomScale="85" zoomScaleNormal="85" workbookViewId="0">
      <pane ySplit="1" topLeftCell="A947" activePane="bottomLeft" state="frozen"/>
      <selection activeCell="F1" sqref="F1"/>
      <selection pane="bottomLeft" activeCell="AB978" sqref="AB978"/>
    </sheetView>
  </sheetViews>
  <sheetFormatPr defaultRowHeight="15" x14ac:dyDescent="0.25"/>
  <cols>
    <col min="1" max="1" width="15" customWidth="1"/>
    <col min="2" max="2" width="37.5703125" customWidth="1"/>
    <col min="3" max="3" width="13.7109375" customWidth="1"/>
    <col min="4" max="4" width="20.42578125" customWidth="1"/>
    <col min="5" max="5" width="24.7109375" style="2" customWidth="1"/>
    <col min="6" max="6" width="20.28515625" style="27" hidden="1" customWidth="1"/>
    <col min="7" max="7" width="11.5703125" style="25" hidden="1" customWidth="1"/>
    <col min="8" max="8" width="14.5703125" style="25" hidden="1" customWidth="1"/>
    <col min="9" max="9" width="9.5703125" style="25" hidden="1" customWidth="1"/>
    <col min="10" max="10" width="8.28515625" style="25" hidden="1" customWidth="1"/>
    <col min="11" max="11" width="10.85546875" style="25" hidden="1" customWidth="1"/>
    <col min="12" max="13" width="9.140625" style="25" hidden="1" customWidth="1"/>
    <col min="14" max="14" width="11.42578125" style="25" hidden="1" customWidth="1"/>
    <col min="15" max="15" width="13" style="25" hidden="1" customWidth="1"/>
    <col min="16" max="16" width="10.42578125" style="25" hidden="1" customWidth="1"/>
    <col min="17" max="19" width="12.5703125" style="25" hidden="1" customWidth="1"/>
    <col min="20" max="20" width="11.85546875" style="30" customWidth="1"/>
    <col min="21" max="21" width="50.140625" style="5" customWidth="1"/>
    <col min="22" max="22" width="9.28515625" style="25" hidden="1" customWidth="1"/>
    <col min="23" max="23" width="6.7109375" style="25" hidden="1" customWidth="1"/>
    <col min="24" max="24" width="22" customWidth="1"/>
    <col min="25" max="25" width="31.5703125" bestFit="1" customWidth="1"/>
    <col min="26" max="26" width="16.140625" style="2" customWidth="1"/>
    <col min="27" max="27" width="12.28515625" style="32" customWidth="1"/>
  </cols>
  <sheetData>
    <row r="1" spans="1:28" x14ac:dyDescent="0.25">
      <c r="A1" t="s">
        <v>349</v>
      </c>
      <c r="B1" t="s">
        <v>350</v>
      </c>
      <c r="C1" t="s">
        <v>347</v>
      </c>
      <c r="D1" t="s">
        <v>346</v>
      </c>
      <c r="E1" s="2" t="s">
        <v>351</v>
      </c>
      <c r="F1" s="27" t="s">
        <v>352</v>
      </c>
      <c r="G1" s="28" t="s">
        <v>353</v>
      </c>
      <c r="H1" s="28" t="s">
        <v>354</v>
      </c>
      <c r="I1" s="28" t="s">
        <v>355</v>
      </c>
      <c r="J1" s="25" t="s">
        <v>356</v>
      </c>
      <c r="K1" s="25" t="s">
        <v>357</v>
      </c>
      <c r="L1" s="25" t="s">
        <v>358</v>
      </c>
      <c r="M1" s="25" t="s">
        <v>359</v>
      </c>
      <c r="N1" s="25" t="s">
        <v>360</v>
      </c>
      <c r="O1" s="25" t="s">
        <v>361</v>
      </c>
      <c r="P1" s="25" t="s">
        <v>362</v>
      </c>
      <c r="Q1" s="25" t="s">
        <v>363</v>
      </c>
      <c r="R1" s="25" t="s">
        <v>364</v>
      </c>
      <c r="S1" s="25" t="s">
        <v>365</v>
      </c>
      <c r="T1" s="29" t="s">
        <v>366</v>
      </c>
      <c r="U1" s="23" t="s">
        <v>367</v>
      </c>
      <c r="V1" s="25" t="s">
        <v>3</v>
      </c>
      <c r="W1" s="25" t="s">
        <v>4</v>
      </c>
      <c r="X1" t="s">
        <v>368</v>
      </c>
      <c r="Y1" t="s">
        <v>369</v>
      </c>
      <c r="Z1" s="2" t="s">
        <v>3535</v>
      </c>
      <c r="AA1" s="31" t="s">
        <v>3612</v>
      </c>
      <c r="AB1" s="34" t="s">
        <v>90</v>
      </c>
    </row>
    <row r="2" spans="1:28" s="13" customFormat="1" x14ac:dyDescent="0.25">
      <c r="A2">
        <v>9999</v>
      </c>
      <c r="B2" t="str">
        <f>_xlfn.CONCAT(bron[[#This Row],[personeelsnr]]," ",bron[[#This Row],[achternaam]]," ",bron[[#This Row],[voornaam]])</f>
        <v>9999 - -</v>
      </c>
      <c r="C2" t="s">
        <v>370</v>
      </c>
      <c r="D2" t="s">
        <v>370</v>
      </c>
      <c r="E2" t="s">
        <v>62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371</v>
      </c>
      <c r="V2" s="8">
        <v>1</v>
      </c>
      <c r="W2" s="8"/>
      <c r="X2" t="s">
        <v>3</v>
      </c>
      <c r="Y2" t="s">
        <v>8</v>
      </c>
      <c r="Z2"/>
      <c r="AA2" t="s">
        <v>3612</v>
      </c>
      <c r="AB2">
        <f>COUNTIF(B:B,bron[[#This Row],[volledige naam]])</f>
        <v>58</v>
      </c>
    </row>
    <row r="3" spans="1:28" s="13" customFormat="1" x14ac:dyDescent="0.25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372</v>
      </c>
      <c r="V3" s="8"/>
      <c r="W3" s="8">
        <v>1</v>
      </c>
      <c r="X3" t="s">
        <v>4</v>
      </c>
      <c r="Y3" t="s">
        <v>55</v>
      </c>
      <c r="Z3"/>
      <c r="AA3" t="s">
        <v>3612</v>
      </c>
      <c r="AB3">
        <f>COUNTIF(B:B,bron[[#This Row],[volledige naam]])</f>
        <v>4</v>
      </c>
    </row>
    <row r="4" spans="1:28" x14ac:dyDescent="0.25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J4" s="5"/>
      <c r="K4" s="5"/>
      <c r="L4" s="5"/>
      <c r="M4" s="5"/>
      <c r="N4" s="5"/>
      <c r="O4" s="5"/>
      <c r="P4" s="5"/>
      <c r="Q4" s="5"/>
      <c r="R4" s="5"/>
      <c r="S4" s="5">
        <f>SUM(bron[[#This Row],[Januari]:[December]])</f>
        <v>1</v>
      </c>
      <c r="T4" s="9">
        <v>45296</v>
      </c>
      <c r="U4" s="8" t="s">
        <v>373</v>
      </c>
      <c r="V4" s="8">
        <v>1</v>
      </c>
      <c r="W4" s="8"/>
      <c r="X4" t="s">
        <v>3</v>
      </c>
      <c r="Y4" t="s">
        <v>6</v>
      </c>
      <c r="Z4"/>
      <c r="AA4" t="s">
        <v>3612</v>
      </c>
      <c r="AB4">
        <f>COUNTIF(B:B,bron[[#This Row],[volledige naam]])</f>
        <v>5</v>
      </c>
    </row>
    <row r="5" spans="1:28" x14ac:dyDescent="0.25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J5" s="5"/>
      <c r="K5" s="5"/>
      <c r="L5" s="5"/>
      <c r="M5" s="5"/>
      <c r="N5" s="5"/>
      <c r="O5" s="5"/>
      <c r="P5" s="5"/>
      <c r="Q5" s="5"/>
      <c r="R5" s="5"/>
      <c r="S5" s="5">
        <f>SUM(bron[[#This Row],[Januari]:[December]])</f>
        <v>1</v>
      </c>
      <c r="T5" s="9">
        <v>45297</v>
      </c>
      <c r="U5" s="8" t="s">
        <v>374</v>
      </c>
      <c r="V5" s="8">
        <v>1</v>
      </c>
      <c r="W5" s="8"/>
      <c r="X5" t="s">
        <v>3</v>
      </c>
      <c r="Y5" t="s">
        <v>6</v>
      </c>
      <c r="Z5"/>
      <c r="AA5" t="s">
        <v>3612</v>
      </c>
      <c r="AB5">
        <f>COUNTIF(B:B,bron[[#This Row],[volledige naam]])</f>
        <v>3</v>
      </c>
    </row>
    <row r="6" spans="1:28" x14ac:dyDescent="0.25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J6" s="5"/>
      <c r="K6" s="5"/>
      <c r="L6" s="5"/>
      <c r="M6" s="5"/>
      <c r="N6" s="5"/>
      <c r="O6" s="5"/>
      <c r="P6" s="5"/>
      <c r="Q6" s="5"/>
      <c r="R6" s="5"/>
      <c r="S6" s="5">
        <f>SUM(bron[[#This Row],[Januari]:[December]])</f>
        <v>1</v>
      </c>
      <c r="T6" s="9">
        <v>45299</v>
      </c>
      <c r="U6" s="8" t="s">
        <v>375</v>
      </c>
      <c r="V6" s="8">
        <v>1</v>
      </c>
      <c r="W6" s="8"/>
      <c r="X6" t="s">
        <v>3</v>
      </c>
      <c r="Y6" t="s">
        <v>6</v>
      </c>
      <c r="Z6"/>
      <c r="AA6" t="s">
        <v>3612</v>
      </c>
      <c r="AB6">
        <f>COUNTIF(B:B,bron[[#This Row],[volledige naam]])</f>
        <v>2</v>
      </c>
    </row>
    <row r="7" spans="1:28" x14ac:dyDescent="0.25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J7" s="5"/>
      <c r="K7" s="5"/>
      <c r="L7" s="5"/>
      <c r="M7" s="5"/>
      <c r="N7" s="5"/>
      <c r="O7" s="5"/>
      <c r="P7" s="5"/>
      <c r="Q7" s="5"/>
      <c r="R7" s="5"/>
      <c r="S7" s="5">
        <f>SUM(bron[[#This Row],[Januari]:[December]])</f>
        <v>1</v>
      </c>
      <c r="T7" s="9">
        <v>45299</v>
      </c>
      <c r="U7" s="8" t="s">
        <v>376</v>
      </c>
      <c r="V7" s="8"/>
      <c r="W7" s="8">
        <v>1</v>
      </c>
      <c r="X7" t="s">
        <v>4</v>
      </c>
      <c r="Y7" t="s">
        <v>6</v>
      </c>
      <c r="Z7"/>
      <c r="AA7" t="s">
        <v>3612</v>
      </c>
      <c r="AB7">
        <f>COUNTIF(B:B,bron[[#This Row],[volledige naam]])</f>
        <v>1</v>
      </c>
    </row>
    <row r="8" spans="1:28" x14ac:dyDescent="0.25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J8" s="5"/>
      <c r="K8" s="5"/>
      <c r="L8" s="5"/>
      <c r="M8" s="5"/>
      <c r="N8" s="5"/>
      <c r="O8" s="5"/>
      <c r="P8" s="5"/>
      <c r="Q8" s="5"/>
      <c r="R8" s="5"/>
      <c r="S8" s="5">
        <f>SUM(bron[[#This Row],[Januari]:[December]])</f>
        <v>1</v>
      </c>
      <c r="T8" s="9">
        <v>45301</v>
      </c>
      <c r="U8" s="8" t="s">
        <v>377</v>
      </c>
      <c r="V8" s="8">
        <v>1</v>
      </c>
      <c r="W8" s="8"/>
      <c r="X8" t="s">
        <v>3</v>
      </c>
      <c r="Y8" t="s">
        <v>378</v>
      </c>
      <c r="Z8"/>
      <c r="AA8" t="s">
        <v>3612</v>
      </c>
      <c r="AB8">
        <f>COUNTIF(B:B,bron[[#This Row],[volledige naam]])</f>
        <v>1</v>
      </c>
    </row>
    <row r="9" spans="1:28" x14ac:dyDescent="0.25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J9" s="5"/>
      <c r="K9" s="5"/>
      <c r="L9" s="5"/>
      <c r="M9" s="5"/>
      <c r="N9" s="5"/>
      <c r="O9" s="5"/>
      <c r="P9" s="5"/>
      <c r="Q9" s="5"/>
      <c r="R9" s="5"/>
      <c r="S9" s="5">
        <f>SUM(bron[[#This Row],[Januari]:[December]])</f>
        <v>1</v>
      </c>
      <c r="T9" s="9">
        <v>45301</v>
      </c>
      <c r="U9" s="8" t="s">
        <v>379</v>
      </c>
      <c r="V9" s="8">
        <v>1</v>
      </c>
      <c r="W9" s="8"/>
      <c r="X9" t="s">
        <v>3</v>
      </c>
      <c r="Y9" t="s">
        <v>378</v>
      </c>
      <c r="Z9"/>
      <c r="AA9" t="s">
        <v>3612</v>
      </c>
      <c r="AB9">
        <f>COUNTIF(B:B,bron[[#This Row],[volledige naam]])</f>
        <v>4</v>
      </c>
    </row>
    <row r="10" spans="1:28" x14ac:dyDescent="0.25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J10" s="5"/>
      <c r="K10" s="5"/>
      <c r="L10" s="5"/>
      <c r="M10" s="5"/>
      <c r="N10" s="5"/>
      <c r="O10" s="5"/>
      <c r="P10" s="5"/>
      <c r="Q10" s="5"/>
      <c r="R10" s="5"/>
      <c r="S10" s="5">
        <f>SUM(bron[[#This Row],[Januari]:[December]])</f>
        <v>1</v>
      </c>
      <c r="T10" s="9">
        <v>45302</v>
      </c>
      <c r="U10" s="8" t="s">
        <v>380</v>
      </c>
      <c r="V10" s="8">
        <v>1</v>
      </c>
      <c r="W10" s="8"/>
      <c r="X10" t="s">
        <v>3</v>
      </c>
      <c r="Y10" t="s">
        <v>246</v>
      </c>
      <c r="Z10"/>
      <c r="AA10" t="s">
        <v>3612</v>
      </c>
      <c r="AB10">
        <f>COUNTIF(B:B,bron[[#This Row],[volledige naam]])</f>
        <v>1</v>
      </c>
    </row>
    <row r="11" spans="1:28" x14ac:dyDescent="0.25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J11" s="5"/>
      <c r="K11" s="5"/>
      <c r="L11" s="5"/>
      <c r="M11" s="5"/>
      <c r="N11" s="5"/>
      <c r="O11" s="5"/>
      <c r="P11" s="5"/>
      <c r="Q11" s="5"/>
      <c r="R11" s="5"/>
      <c r="S11" s="5">
        <f>SUM(bron[[#This Row],[Januari]:[December]])</f>
        <v>1</v>
      </c>
      <c r="T11" s="9">
        <v>45302</v>
      </c>
      <c r="U11" s="8" t="s">
        <v>381</v>
      </c>
      <c r="V11" s="8"/>
      <c r="W11" s="8">
        <v>1</v>
      </c>
      <c r="X11" t="s">
        <v>4</v>
      </c>
      <c r="Y11" t="s">
        <v>152</v>
      </c>
      <c r="Z11"/>
      <c r="AA11" t="s">
        <v>3612</v>
      </c>
      <c r="AB11">
        <f>COUNTIF(B:B,bron[[#This Row],[volledige naam]])</f>
        <v>2</v>
      </c>
    </row>
    <row r="12" spans="1:28" x14ac:dyDescent="0.25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J12" s="5"/>
      <c r="K12" s="5"/>
      <c r="L12" s="5"/>
      <c r="M12" s="5"/>
      <c r="N12" s="5"/>
      <c r="O12" s="5"/>
      <c r="P12" s="5"/>
      <c r="Q12" s="5"/>
      <c r="R12" s="5"/>
      <c r="S12" s="5">
        <f>SUM(bron[[#This Row],[Januari]:[December]])</f>
        <v>1</v>
      </c>
      <c r="T12" s="9">
        <v>45302</v>
      </c>
      <c r="U12" s="8" t="s">
        <v>382</v>
      </c>
      <c r="V12" s="8">
        <v>1</v>
      </c>
      <c r="W12" s="8"/>
      <c r="X12" t="s">
        <v>3</v>
      </c>
      <c r="Y12" t="s">
        <v>378</v>
      </c>
      <c r="Z12"/>
      <c r="AA12" t="s">
        <v>3612</v>
      </c>
      <c r="AB12">
        <f>COUNTIF(B:B,bron[[#This Row],[volledige naam]])</f>
        <v>3</v>
      </c>
    </row>
    <row r="13" spans="1:28" x14ac:dyDescent="0.25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J13" s="5"/>
      <c r="K13" s="5"/>
      <c r="L13" s="5"/>
      <c r="M13" s="5"/>
      <c r="N13" s="5"/>
      <c r="O13" s="5"/>
      <c r="P13" s="5"/>
      <c r="Q13" s="5"/>
      <c r="R13" s="5"/>
      <c r="S13" s="5">
        <f>SUM(bron[[#This Row],[Januari]:[December]])</f>
        <v>1</v>
      </c>
      <c r="T13" s="9">
        <v>45303</v>
      </c>
      <c r="U13" s="8" t="s">
        <v>383</v>
      </c>
      <c r="V13" s="8">
        <v>1</v>
      </c>
      <c r="W13" s="8"/>
      <c r="X13" t="s">
        <v>3</v>
      </c>
      <c r="Y13" t="s">
        <v>6</v>
      </c>
      <c r="Z13"/>
      <c r="AA13" t="s">
        <v>3612</v>
      </c>
      <c r="AB13">
        <f>COUNTIF(B:B,bron[[#This Row],[volledige naam]])</f>
        <v>2</v>
      </c>
    </row>
    <row r="14" spans="1:28" x14ac:dyDescent="0.25">
      <c r="A14">
        <v>9999</v>
      </c>
      <c r="B14" t="str">
        <f>_xlfn.CONCAT(bron[[#This Row],[personeelsnr]]," ",bron[[#This Row],[achternaam]]," ",bron[[#This Row],[voornaam]])</f>
        <v>9999 - -</v>
      </c>
      <c r="C14" t="s">
        <v>370</v>
      </c>
      <c r="D14" t="s">
        <v>370</v>
      </c>
      <c r="E14" t="s">
        <v>62</v>
      </c>
      <c r="F14" s="10"/>
      <c r="G14" s="7">
        <v>1</v>
      </c>
      <c r="H14" s="7"/>
      <c r="I14" s="7"/>
      <c r="J14" s="5"/>
      <c r="K14" s="5"/>
      <c r="L14" s="5"/>
      <c r="M14" s="5"/>
      <c r="N14" s="5"/>
      <c r="O14" s="5"/>
      <c r="P14" s="5"/>
      <c r="Q14" s="5"/>
      <c r="R14" s="5"/>
      <c r="S14" s="5">
        <f>SUM(bron[[#This Row],[Januari]:[December]])</f>
        <v>1</v>
      </c>
      <c r="T14" s="9">
        <v>45303</v>
      </c>
      <c r="U14" s="8" t="s">
        <v>384</v>
      </c>
      <c r="V14" s="8">
        <v>1</v>
      </c>
      <c r="W14" s="8"/>
      <c r="X14" t="s">
        <v>3</v>
      </c>
      <c r="Y14" t="s">
        <v>49</v>
      </c>
      <c r="Z14"/>
      <c r="AA14" t="s">
        <v>3612</v>
      </c>
      <c r="AB14">
        <f>COUNTIF(B:B,bron[[#This Row],[volledige naam]])</f>
        <v>58</v>
      </c>
    </row>
    <row r="15" spans="1:28" x14ac:dyDescent="0.25">
      <c r="A15">
        <v>9999</v>
      </c>
      <c r="B15" t="str">
        <f>_xlfn.CONCAT(bron[[#This Row],[personeelsnr]]," ",bron[[#This Row],[achternaam]]," ",bron[[#This Row],[voornaam]])</f>
        <v>9999 - -</v>
      </c>
      <c r="C15" t="s">
        <v>370</v>
      </c>
      <c r="D15" t="s">
        <v>370</v>
      </c>
      <c r="E15" t="s">
        <v>62</v>
      </c>
      <c r="F15" s="10"/>
      <c r="G15" s="7">
        <v>1</v>
      </c>
      <c r="H15" s="7"/>
      <c r="I15" s="7"/>
      <c r="J15" s="5"/>
      <c r="K15" s="5"/>
      <c r="L15" s="5"/>
      <c r="M15" s="5"/>
      <c r="N15" s="5"/>
      <c r="O15" s="5"/>
      <c r="P15" s="5"/>
      <c r="Q15" s="5"/>
      <c r="R15" s="5"/>
      <c r="S15" s="5">
        <f>SUM(bron[[#This Row],[Januari]:[December]])</f>
        <v>1</v>
      </c>
      <c r="T15" s="9">
        <v>45303</v>
      </c>
      <c r="U15" s="8" t="s">
        <v>385</v>
      </c>
      <c r="V15" s="8"/>
      <c r="W15" s="8">
        <v>1</v>
      </c>
      <c r="X15" t="s">
        <v>4</v>
      </c>
      <c r="Y15" t="s">
        <v>166</v>
      </c>
      <c r="Z15"/>
      <c r="AA15" t="s">
        <v>3612</v>
      </c>
      <c r="AB15">
        <f>COUNTIF(B:B,bron[[#This Row],[volledige naam]])</f>
        <v>58</v>
      </c>
    </row>
    <row r="16" spans="1:28" x14ac:dyDescent="0.25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J16" s="5"/>
      <c r="K16" s="5"/>
      <c r="L16" s="5"/>
      <c r="M16" s="5"/>
      <c r="N16" s="5"/>
      <c r="O16" s="5"/>
      <c r="P16" s="5"/>
      <c r="Q16" s="5"/>
      <c r="R16" s="5"/>
      <c r="S16" s="5">
        <f>SUM(bron[[#This Row],[Januari]:[December]])</f>
        <v>1</v>
      </c>
      <c r="T16" s="9">
        <v>45303</v>
      </c>
      <c r="U16" s="8" t="s">
        <v>386</v>
      </c>
      <c r="V16" s="8">
        <v>1</v>
      </c>
      <c r="W16" s="8"/>
      <c r="X16" t="s">
        <v>3</v>
      </c>
      <c r="Y16" t="s">
        <v>12</v>
      </c>
      <c r="Z16"/>
      <c r="AA16" t="s">
        <v>3612</v>
      </c>
      <c r="AB16">
        <f>COUNTIF(B:B,bron[[#This Row],[volledige naam]])</f>
        <v>10</v>
      </c>
    </row>
    <row r="17" spans="1:28" x14ac:dyDescent="0.25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J17" s="5"/>
      <c r="K17" s="5"/>
      <c r="L17" s="5"/>
      <c r="M17" s="5"/>
      <c r="N17" s="5"/>
      <c r="O17" s="5"/>
      <c r="P17" s="5"/>
      <c r="Q17" s="5"/>
      <c r="R17" s="5"/>
      <c r="S17" s="5">
        <f>SUM(bron[[#This Row],[Januari]:[December]])</f>
        <v>1</v>
      </c>
      <c r="T17" s="9">
        <v>45306</v>
      </c>
      <c r="U17" s="8" t="s">
        <v>387</v>
      </c>
      <c r="V17" s="8">
        <v>1</v>
      </c>
      <c r="W17" s="8"/>
      <c r="X17" t="s">
        <v>3</v>
      </c>
      <c r="Y17" t="s">
        <v>6</v>
      </c>
      <c r="Z17"/>
      <c r="AA17" t="s">
        <v>3612</v>
      </c>
      <c r="AB17">
        <f>COUNTIF(B:B,bron[[#This Row],[volledige naam]])</f>
        <v>10</v>
      </c>
    </row>
    <row r="18" spans="1:28" x14ac:dyDescent="0.25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J18" s="5"/>
      <c r="K18" s="5"/>
      <c r="L18" s="5"/>
      <c r="M18" s="5"/>
      <c r="N18" s="5"/>
      <c r="O18" s="5"/>
      <c r="P18" s="5"/>
      <c r="Q18" s="5"/>
      <c r="R18" s="5"/>
      <c r="S18" s="5">
        <f>SUM(bron[[#This Row],[Januari]:[December]])</f>
        <v>1</v>
      </c>
      <c r="T18" s="9">
        <v>45306</v>
      </c>
      <c r="U18" s="8" t="s">
        <v>388</v>
      </c>
      <c r="V18" s="8">
        <v>1</v>
      </c>
      <c r="W18" s="8"/>
      <c r="X18" t="s">
        <v>3</v>
      </c>
      <c r="Y18" t="s">
        <v>18</v>
      </c>
      <c r="Z18"/>
      <c r="AA18" t="s">
        <v>3612</v>
      </c>
      <c r="AB18">
        <f>COUNTIF(B:B,bron[[#This Row],[volledige naam]])</f>
        <v>4</v>
      </c>
    </row>
    <row r="19" spans="1:28" x14ac:dyDescent="0.25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J19" s="5"/>
      <c r="K19" s="5"/>
      <c r="L19" s="5"/>
      <c r="M19" s="5"/>
      <c r="N19" s="5"/>
      <c r="O19" s="5"/>
      <c r="P19" s="5"/>
      <c r="Q19" s="5"/>
      <c r="R19" s="5"/>
      <c r="S19" s="5">
        <f>SUM(bron[[#This Row],[Januari]:[December]])</f>
        <v>1</v>
      </c>
      <c r="T19" s="9">
        <v>45306</v>
      </c>
      <c r="U19" s="8" t="s">
        <v>389</v>
      </c>
      <c r="V19" s="8">
        <v>1</v>
      </c>
      <c r="W19" s="8"/>
      <c r="X19" t="s">
        <v>3</v>
      </c>
      <c r="Y19" t="s">
        <v>28</v>
      </c>
      <c r="Z19"/>
      <c r="AA19" t="s">
        <v>3612</v>
      </c>
      <c r="AB19">
        <f>COUNTIF(B:B,bron[[#This Row],[volledige naam]])</f>
        <v>4</v>
      </c>
    </row>
    <row r="20" spans="1:28" x14ac:dyDescent="0.25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J20" s="5"/>
      <c r="K20" s="5"/>
      <c r="L20" s="5"/>
      <c r="M20" s="5"/>
      <c r="N20" s="5"/>
      <c r="O20" s="5"/>
      <c r="P20" s="5"/>
      <c r="Q20" s="5"/>
      <c r="R20" s="5"/>
      <c r="S20" s="5">
        <f>SUM(bron[[#This Row],[Januari]:[December]])</f>
        <v>1</v>
      </c>
      <c r="T20" s="9">
        <v>45308</v>
      </c>
      <c r="U20" s="8" t="s">
        <v>390</v>
      </c>
      <c r="V20" s="8">
        <v>1</v>
      </c>
      <c r="W20" s="8"/>
      <c r="X20" t="s">
        <v>3</v>
      </c>
      <c r="Y20" t="s">
        <v>152</v>
      </c>
      <c r="Z20"/>
      <c r="AA20" t="s">
        <v>3612</v>
      </c>
      <c r="AB20">
        <f>COUNTIF(B:B,bron[[#This Row],[volledige naam]])</f>
        <v>1</v>
      </c>
    </row>
    <row r="21" spans="1:28" x14ac:dyDescent="0.25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J21" s="5"/>
      <c r="K21" s="5"/>
      <c r="L21" s="5"/>
      <c r="M21" s="5"/>
      <c r="N21" s="5"/>
      <c r="O21" s="5"/>
      <c r="P21" s="5"/>
      <c r="Q21" s="5"/>
      <c r="R21" s="5"/>
      <c r="S21" s="5">
        <f>SUM(bron[[#This Row],[Januari]:[December]])</f>
        <v>1</v>
      </c>
      <c r="T21" s="9">
        <v>45308</v>
      </c>
      <c r="U21" s="8" t="s">
        <v>391</v>
      </c>
      <c r="V21" s="8">
        <v>1</v>
      </c>
      <c r="W21" s="8"/>
      <c r="X21" t="s">
        <v>3</v>
      </c>
      <c r="Y21" t="s">
        <v>100</v>
      </c>
      <c r="Z21"/>
      <c r="AA21" t="s">
        <v>3612</v>
      </c>
      <c r="AB21">
        <f>COUNTIF(B:B,bron[[#This Row],[volledige naam]])</f>
        <v>2</v>
      </c>
    </row>
    <row r="22" spans="1:28" x14ac:dyDescent="0.25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J22" s="5"/>
      <c r="K22" s="5"/>
      <c r="L22" s="5"/>
      <c r="M22" s="5"/>
      <c r="N22" s="5"/>
      <c r="O22" s="5"/>
      <c r="P22" s="5"/>
      <c r="Q22" s="5"/>
      <c r="R22" s="5"/>
      <c r="S22" s="5">
        <f>SUM(bron[[#This Row],[Januari]:[December]])</f>
        <v>1</v>
      </c>
      <c r="T22" s="9">
        <v>45308</v>
      </c>
      <c r="U22" s="8" t="s">
        <v>392</v>
      </c>
      <c r="V22" s="8">
        <v>1</v>
      </c>
      <c r="W22" s="8"/>
      <c r="X22" t="s">
        <v>3</v>
      </c>
      <c r="Y22" t="s">
        <v>20</v>
      </c>
      <c r="Z22"/>
      <c r="AA22" t="s">
        <v>3612</v>
      </c>
      <c r="AB22">
        <f>COUNTIF(B:B,bron[[#This Row],[volledige naam]])</f>
        <v>5</v>
      </c>
    </row>
    <row r="23" spans="1:28" x14ac:dyDescent="0.25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J23" s="5"/>
      <c r="K23" s="5"/>
      <c r="L23" s="5"/>
      <c r="M23" s="5"/>
      <c r="N23" s="5"/>
      <c r="O23" s="5"/>
      <c r="P23" s="5"/>
      <c r="Q23" s="5"/>
      <c r="R23" s="5"/>
      <c r="S23" s="5">
        <f>SUM(bron[[#This Row],[Januari]:[December]])</f>
        <v>1</v>
      </c>
      <c r="T23" s="9">
        <v>45309</v>
      </c>
      <c r="U23" s="8" t="s">
        <v>393</v>
      </c>
      <c r="V23" s="8">
        <v>1</v>
      </c>
      <c r="W23" s="8"/>
      <c r="X23" t="s">
        <v>3</v>
      </c>
      <c r="Y23" t="s">
        <v>394</v>
      </c>
      <c r="Z23"/>
      <c r="AA23" t="s">
        <v>3612</v>
      </c>
      <c r="AB23">
        <f>COUNTIF(B:B,bron[[#This Row],[volledige naam]])</f>
        <v>4</v>
      </c>
    </row>
    <row r="24" spans="1:28" x14ac:dyDescent="0.25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J24" s="5"/>
      <c r="K24" s="5"/>
      <c r="L24" s="5"/>
      <c r="M24" s="5"/>
      <c r="N24" s="5"/>
      <c r="O24" s="5"/>
      <c r="P24" s="5"/>
      <c r="Q24" s="5"/>
      <c r="R24" s="5"/>
      <c r="S24" s="5">
        <f>SUM(bron[[#This Row],[Januari]:[December]])</f>
        <v>1</v>
      </c>
      <c r="T24" s="9">
        <v>45310</v>
      </c>
      <c r="U24" s="8" t="s">
        <v>395</v>
      </c>
      <c r="V24" s="8">
        <v>1</v>
      </c>
      <c r="W24" s="8"/>
      <c r="X24" t="s">
        <v>3</v>
      </c>
      <c r="Y24" t="s">
        <v>37</v>
      </c>
      <c r="Z24"/>
      <c r="AA24" t="s">
        <v>3612</v>
      </c>
      <c r="AB24">
        <f>COUNTIF(B:B,bron[[#This Row],[volledige naam]])</f>
        <v>5</v>
      </c>
    </row>
    <row r="25" spans="1:28" x14ac:dyDescent="0.25">
      <c r="A25">
        <v>9999</v>
      </c>
      <c r="B25" t="str">
        <f>_xlfn.CONCAT(bron[[#This Row],[personeelsnr]]," ",bron[[#This Row],[achternaam]]," ",bron[[#This Row],[voornaam]])</f>
        <v>9999 - -</v>
      </c>
      <c r="C25" t="s">
        <v>370</v>
      </c>
      <c r="D25" t="s">
        <v>370</v>
      </c>
      <c r="E25" t="s">
        <v>62</v>
      </c>
      <c r="F25" s="10"/>
      <c r="G25" s="7">
        <v>1</v>
      </c>
      <c r="H25" s="7"/>
      <c r="I25" s="7"/>
      <c r="J25" s="5"/>
      <c r="K25" s="5"/>
      <c r="L25" s="5"/>
      <c r="M25" s="5"/>
      <c r="N25" s="5"/>
      <c r="O25" s="5"/>
      <c r="P25" s="5"/>
      <c r="Q25" s="5"/>
      <c r="R25" s="5"/>
      <c r="S25" s="5">
        <f>SUM(bron[[#This Row],[Januari]:[December]])</f>
        <v>1</v>
      </c>
      <c r="T25" s="9">
        <v>45311</v>
      </c>
      <c r="U25" s="8" t="s">
        <v>396</v>
      </c>
      <c r="V25" s="8">
        <v>1</v>
      </c>
      <c r="W25" s="8"/>
      <c r="X25" t="s">
        <v>3</v>
      </c>
      <c r="Y25" t="s">
        <v>184</v>
      </c>
      <c r="Z25"/>
      <c r="AA25" t="s">
        <v>3612</v>
      </c>
      <c r="AB25">
        <f>COUNTIF(B:B,bron[[#This Row],[volledige naam]])</f>
        <v>58</v>
      </c>
    </row>
    <row r="26" spans="1:28" x14ac:dyDescent="0.25">
      <c r="A26">
        <v>9999</v>
      </c>
      <c r="B26" t="str">
        <f>_xlfn.CONCAT(bron[[#This Row],[personeelsnr]]," ",bron[[#This Row],[achternaam]]," ",bron[[#This Row],[voornaam]])</f>
        <v>9999 - -</v>
      </c>
      <c r="C26" t="s">
        <v>370</v>
      </c>
      <c r="D26" t="s">
        <v>370</v>
      </c>
      <c r="E26" t="s">
        <v>62</v>
      </c>
      <c r="F26" s="10"/>
      <c r="G26" s="7">
        <v>1</v>
      </c>
      <c r="H26" s="7"/>
      <c r="I26" s="7"/>
      <c r="J26" s="5"/>
      <c r="K26" s="5"/>
      <c r="L26" s="5"/>
      <c r="M26" s="5"/>
      <c r="N26" s="5"/>
      <c r="O26" s="5"/>
      <c r="P26" s="5"/>
      <c r="Q26" s="5"/>
      <c r="R26" s="5"/>
      <c r="S26" s="5">
        <f>SUM(bron[[#This Row],[Januari]:[December]])</f>
        <v>1</v>
      </c>
      <c r="T26" s="9">
        <v>45311</v>
      </c>
      <c r="U26" s="8" t="s">
        <v>397</v>
      </c>
      <c r="V26" s="8">
        <v>1</v>
      </c>
      <c r="W26" s="8"/>
      <c r="X26" t="s">
        <v>3</v>
      </c>
      <c r="Y26" t="s">
        <v>256</v>
      </c>
      <c r="Z26"/>
      <c r="AA26" t="s">
        <v>3612</v>
      </c>
      <c r="AB26">
        <f>COUNTIF(B:B,bron[[#This Row],[volledige naam]])</f>
        <v>58</v>
      </c>
    </row>
    <row r="27" spans="1:28" x14ac:dyDescent="0.25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J27" s="5"/>
      <c r="K27" s="5"/>
      <c r="L27" s="5"/>
      <c r="M27" s="5"/>
      <c r="N27" s="5"/>
      <c r="O27" s="5"/>
      <c r="P27" s="5"/>
      <c r="Q27" s="5"/>
      <c r="R27" s="5"/>
      <c r="S27" s="5">
        <f>SUM(bron[[#This Row],[Januari]:[December]])</f>
        <v>1</v>
      </c>
      <c r="T27" s="9">
        <v>45312</v>
      </c>
      <c r="U27" s="8" t="s">
        <v>398</v>
      </c>
      <c r="V27" s="8"/>
      <c r="W27" s="8">
        <v>1</v>
      </c>
      <c r="X27" t="s">
        <v>4</v>
      </c>
      <c r="Y27" t="s">
        <v>219</v>
      </c>
      <c r="Z27"/>
      <c r="AA27" t="s">
        <v>3612</v>
      </c>
      <c r="AB27">
        <f>COUNTIF(B:B,bron[[#This Row],[volledige naam]])</f>
        <v>1</v>
      </c>
    </row>
    <row r="28" spans="1:28" x14ac:dyDescent="0.25">
      <c r="A28">
        <v>9999</v>
      </c>
      <c r="B28" t="str">
        <f>_xlfn.CONCAT(bron[[#This Row],[personeelsnr]]," ",bron[[#This Row],[achternaam]]," ",bron[[#This Row],[voornaam]])</f>
        <v>9999 - -</v>
      </c>
      <c r="C28" t="s">
        <v>370</v>
      </c>
      <c r="D28" t="s">
        <v>370</v>
      </c>
      <c r="E28" t="s">
        <v>62</v>
      </c>
      <c r="F28" s="10"/>
      <c r="G28" s="7">
        <v>1</v>
      </c>
      <c r="H28" s="7"/>
      <c r="I28" s="7"/>
      <c r="J28" s="5"/>
      <c r="K28" s="5"/>
      <c r="L28" s="5"/>
      <c r="M28" s="5"/>
      <c r="N28" s="5"/>
      <c r="O28" s="5"/>
      <c r="P28" s="5"/>
      <c r="Q28" s="5"/>
      <c r="R28" s="5"/>
      <c r="S28" s="5">
        <f>SUM(bron[[#This Row],[Januari]:[December]])</f>
        <v>1</v>
      </c>
      <c r="T28" s="9">
        <v>45313</v>
      </c>
      <c r="U28" s="8" t="s">
        <v>399</v>
      </c>
      <c r="V28" s="8">
        <v>1</v>
      </c>
      <c r="W28" s="8"/>
      <c r="X28" t="s">
        <v>3</v>
      </c>
      <c r="Y28" t="s">
        <v>400</v>
      </c>
      <c r="Z28"/>
      <c r="AA28" t="s">
        <v>3612</v>
      </c>
      <c r="AB28">
        <f>COUNTIF(B:B,bron[[#This Row],[volledige naam]])</f>
        <v>58</v>
      </c>
    </row>
    <row r="29" spans="1:28" x14ac:dyDescent="0.25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J29" s="5"/>
      <c r="K29" s="5"/>
      <c r="L29" s="5"/>
      <c r="M29" s="5"/>
      <c r="N29" s="5"/>
      <c r="O29" s="5"/>
      <c r="P29" s="5"/>
      <c r="Q29" s="5"/>
      <c r="R29" s="5"/>
      <c r="S29" s="5">
        <f>SUM(bron[[#This Row],[Januari]:[December]])</f>
        <v>1</v>
      </c>
      <c r="T29" s="9">
        <v>45314</v>
      </c>
      <c r="U29" s="8" t="s">
        <v>401</v>
      </c>
      <c r="V29" s="8">
        <v>1</v>
      </c>
      <c r="W29" s="8"/>
      <c r="X29" t="s">
        <v>3</v>
      </c>
      <c r="Y29" t="s">
        <v>6</v>
      </c>
      <c r="Z29"/>
      <c r="AA29" t="s">
        <v>3612</v>
      </c>
      <c r="AB29">
        <f>COUNTIF(B:B,bron[[#This Row],[volledige naam]])</f>
        <v>10</v>
      </c>
    </row>
    <row r="30" spans="1:28" x14ac:dyDescent="0.25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J30" s="5"/>
      <c r="K30" s="5"/>
      <c r="L30" s="5"/>
      <c r="M30" s="5"/>
      <c r="N30" s="5"/>
      <c r="O30" s="5"/>
      <c r="P30" s="5"/>
      <c r="Q30" s="5"/>
      <c r="R30" s="5"/>
      <c r="S30" s="5">
        <f>SUM(bron[[#This Row],[Januari]:[December]])</f>
        <v>1</v>
      </c>
      <c r="T30" s="9">
        <v>45314</v>
      </c>
      <c r="U30" s="8" t="s">
        <v>402</v>
      </c>
      <c r="V30" s="8">
        <v>1</v>
      </c>
      <c r="W30" s="8"/>
      <c r="X30" t="s">
        <v>3</v>
      </c>
      <c r="Y30" t="s">
        <v>106</v>
      </c>
      <c r="Z30"/>
      <c r="AA30" t="s">
        <v>3612</v>
      </c>
      <c r="AB30">
        <f>COUNTIF(B:B,bron[[#This Row],[volledige naam]])</f>
        <v>5</v>
      </c>
    </row>
    <row r="31" spans="1:28" x14ac:dyDescent="0.25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J31" s="5"/>
      <c r="K31" s="5"/>
      <c r="L31" s="5"/>
      <c r="M31" s="5"/>
      <c r="N31" s="5"/>
      <c r="O31" s="5"/>
      <c r="P31" s="5"/>
      <c r="Q31" s="5"/>
      <c r="R31" s="5"/>
      <c r="S31" s="5">
        <f>SUM(bron[[#This Row],[Januari]:[December]])</f>
        <v>1</v>
      </c>
      <c r="T31" s="9">
        <v>45315</v>
      </c>
      <c r="U31" s="8" t="s">
        <v>403</v>
      </c>
      <c r="V31" s="8">
        <v>1</v>
      </c>
      <c r="W31" s="8"/>
      <c r="X31" t="s">
        <v>3</v>
      </c>
      <c r="Y31" t="s">
        <v>404</v>
      </c>
      <c r="Z31"/>
      <c r="AA31" t="s">
        <v>3612</v>
      </c>
      <c r="AB31">
        <f>COUNTIF(B:B,bron[[#This Row],[volledige naam]])</f>
        <v>2</v>
      </c>
    </row>
    <row r="32" spans="1:28" x14ac:dyDescent="0.25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J32" s="5"/>
      <c r="K32" s="5"/>
      <c r="L32" s="5"/>
      <c r="M32" s="5"/>
      <c r="N32" s="5"/>
      <c r="O32" s="5"/>
      <c r="P32" s="5"/>
      <c r="Q32" s="5"/>
      <c r="R32" s="5"/>
      <c r="S32" s="5">
        <f>SUM(bron[[#This Row],[Januari]:[December]])</f>
        <v>1</v>
      </c>
      <c r="T32" s="9">
        <v>45316</v>
      </c>
      <c r="U32" s="8" t="s">
        <v>405</v>
      </c>
      <c r="V32" s="8">
        <v>1</v>
      </c>
      <c r="W32" s="8"/>
      <c r="X32" t="s">
        <v>3</v>
      </c>
      <c r="Y32" t="s">
        <v>406</v>
      </c>
      <c r="Z32"/>
      <c r="AA32" t="s">
        <v>3612</v>
      </c>
      <c r="AB32">
        <f>COUNTIF(B:B,bron[[#This Row],[volledige naam]])</f>
        <v>2</v>
      </c>
    </row>
    <row r="33" spans="1:28" x14ac:dyDescent="0.25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J33" s="5"/>
      <c r="K33" s="5"/>
      <c r="L33" s="5"/>
      <c r="M33" s="5"/>
      <c r="N33" s="5"/>
      <c r="O33" s="5"/>
      <c r="P33" s="5"/>
      <c r="Q33" s="5"/>
      <c r="R33" s="5"/>
      <c r="S33" s="5">
        <f>SUM(bron[[#This Row],[Januari]:[December]])</f>
        <v>1</v>
      </c>
      <c r="T33" s="9">
        <v>45316</v>
      </c>
      <c r="U33" s="8" t="s">
        <v>407</v>
      </c>
      <c r="V33" s="8">
        <v>1</v>
      </c>
      <c r="W33" s="8"/>
      <c r="X33" t="s">
        <v>3</v>
      </c>
      <c r="Y33" t="s">
        <v>221</v>
      </c>
      <c r="Z33"/>
      <c r="AA33" t="s">
        <v>3612</v>
      </c>
      <c r="AB33">
        <f>COUNTIF(B:B,bron[[#This Row],[volledige naam]])</f>
        <v>6</v>
      </c>
    </row>
    <row r="34" spans="1:28" x14ac:dyDescent="0.25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J34" s="5"/>
      <c r="K34" s="5"/>
      <c r="L34" s="5"/>
      <c r="M34" s="5"/>
      <c r="N34" s="5"/>
      <c r="O34" s="5"/>
      <c r="P34" s="5"/>
      <c r="Q34" s="5"/>
      <c r="R34" s="5"/>
      <c r="S34" s="5">
        <f>SUM(bron[[#This Row],[Januari]:[December]])</f>
        <v>1</v>
      </c>
      <c r="T34" s="9">
        <v>45317</v>
      </c>
      <c r="U34" s="8" t="s">
        <v>408</v>
      </c>
      <c r="V34" s="8">
        <v>1</v>
      </c>
      <c r="W34" s="8"/>
      <c r="X34" t="s">
        <v>3</v>
      </c>
      <c r="Y34" t="s">
        <v>24</v>
      </c>
      <c r="Z34"/>
      <c r="AA34" t="s">
        <v>3612</v>
      </c>
      <c r="AB34">
        <f>COUNTIF(B:B,bron[[#This Row],[volledige naam]])</f>
        <v>3</v>
      </c>
    </row>
    <row r="35" spans="1:28" x14ac:dyDescent="0.25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J35" s="5"/>
      <c r="K35" s="5"/>
      <c r="L35" s="5"/>
      <c r="M35" s="5"/>
      <c r="N35" s="5"/>
      <c r="O35" s="5"/>
      <c r="P35" s="5"/>
      <c r="Q35" s="5"/>
      <c r="R35" s="5"/>
      <c r="S35" s="5">
        <f>SUM(bron[[#This Row],[Januari]:[December]])</f>
        <v>1</v>
      </c>
      <c r="T35" s="9">
        <v>45319</v>
      </c>
      <c r="U35" s="8" t="s">
        <v>409</v>
      </c>
      <c r="V35" s="8">
        <v>1</v>
      </c>
      <c r="W35" s="8"/>
      <c r="X35" t="s">
        <v>3</v>
      </c>
      <c r="Y35" t="s">
        <v>6</v>
      </c>
      <c r="Z35"/>
      <c r="AA35" t="s">
        <v>3612</v>
      </c>
      <c r="AB35">
        <f>COUNTIF(B:B,bron[[#This Row],[volledige naam]])</f>
        <v>2</v>
      </c>
    </row>
    <row r="36" spans="1:28" x14ac:dyDescent="0.25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J36" s="5"/>
      <c r="K36" s="5"/>
      <c r="L36" s="5"/>
      <c r="M36" s="5"/>
      <c r="N36" s="5"/>
      <c r="O36" s="5"/>
      <c r="P36" s="5"/>
      <c r="Q36" s="5"/>
      <c r="R36" s="5"/>
      <c r="S36" s="5">
        <f>SUM(bron[[#This Row],[Januari]:[December]])</f>
        <v>1</v>
      </c>
      <c r="T36" s="9">
        <v>45320</v>
      </c>
      <c r="U36" s="8" t="s">
        <v>410</v>
      </c>
      <c r="V36" s="8">
        <v>1</v>
      </c>
      <c r="W36" s="8"/>
      <c r="X36" t="s">
        <v>3</v>
      </c>
      <c r="Y36" t="s">
        <v>32</v>
      </c>
      <c r="Z36"/>
      <c r="AA36" t="s">
        <v>3612</v>
      </c>
      <c r="AB36">
        <f>COUNTIF(B:B,bron[[#This Row],[volledige naam]])</f>
        <v>3</v>
      </c>
    </row>
    <row r="37" spans="1:28" x14ac:dyDescent="0.25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J37" s="5"/>
      <c r="K37" s="5"/>
      <c r="L37" s="5"/>
      <c r="M37" s="5"/>
      <c r="N37" s="5"/>
      <c r="O37" s="5"/>
      <c r="P37" s="5"/>
      <c r="Q37" s="5"/>
      <c r="R37" s="5"/>
      <c r="S37" s="5">
        <f>SUM(bron[[#This Row],[Januari]:[December]])</f>
        <v>1</v>
      </c>
      <c r="T37" s="9">
        <v>45321</v>
      </c>
      <c r="U37" s="8" t="s">
        <v>411</v>
      </c>
      <c r="V37" s="8">
        <v>1</v>
      </c>
      <c r="W37" s="8"/>
      <c r="X37" t="s">
        <v>3</v>
      </c>
      <c r="Y37" t="s">
        <v>378</v>
      </c>
      <c r="Z37"/>
      <c r="AA37" t="s">
        <v>3612</v>
      </c>
      <c r="AB37">
        <f>COUNTIF(B:B,bron[[#This Row],[volledige naam]])</f>
        <v>7</v>
      </c>
    </row>
    <row r="38" spans="1:28" x14ac:dyDescent="0.25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J38" s="5"/>
      <c r="K38" s="5"/>
      <c r="L38" s="5"/>
      <c r="M38" s="5"/>
      <c r="N38" s="5"/>
      <c r="O38" s="5"/>
      <c r="P38" s="5"/>
      <c r="Q38" s="5"/>
      <c r="R38" s="5"/>
      <c r="S38" s="5">
        <f>SUM(bron[[#This Row],[Januari]:[December]])</f>
        <v>1</v>
      </c>
      <c r="T38" s="9">
        <v>45322</v>
      </c>
      <c r="U38" s="8" t="s">
        <v>412</v>
      </c>
      <c r="V38" s="8">
        <v>1</v>
      </c>
      <c r="W38" s="8"/>
      <c r="X38" t="s">
        <v>3</v>
      </c>
      <c r="Y38" t="s">
        <v>49</v>
      </c>
      <c r="Z38"/>
      <c r="AA38" t="s">
        <v>3612</v>
      </c>
      <c r="AB38">
        <f>COUNTIF(B:B,bron[[#This Row],[volledige naam]])</f>
        <v>2</v>
      </c>
    </row>
    <row r="39" spans="1:28" x14ac:dyDescent="0.25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J39" s="5"/>
      <c r="K39" s="5"/>
      <c r="L39" s="5"/>
      <c r="M39" s="5"/>
      <c r="N39" s="5"/>
      <c r="O39" s="5"/>
      <c r="P39" s="5"/>
      <c r="Q39" s="5"/>
      <c r="R39" s="5"/>
      <c r="S39" s="5">
        <f>SUM(bron[[#This Row],[Januari]:[December]])</f>
        <v>1</v>
      </c>
      <c r="T39" s="9">
        <v>45322</v>
      </c>
      <c r="U39" s="8" t="s">
        <v>413</v>
      </c>
      <c r="V39" s="8">
        <v>1</v>
      </c>
      <c r="W39" s="8"/>
      <c r="X39" t="s">
        <v>3</v>
      </c>
      <c r="Y39" t="s">
        <v>6</v>
      </c>
      <c r="Z39"/>
      <c r="AA39" t="s">
        <v>3612</v>
      </c>
      <c r="AB39">
        <f>COUNTIF(B:B,bron[[#This Row],[volledige naam]])</f>
        <v>1</v>
      </c>
    </row>
    <row r="40" spans="1:28" x14ac:dyDescent="0.25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J40" s="5"/>
      <c r="K40" s="5"/>
      <c r="L40" s="5"/>
      <c r="M40" s="5"/>
      <c r="N40" s="5"/>
      <c r="O40" s="5"/>
      <c r="P40" s="5"/>
      <c r="Q40" s="5"/>
      <c r="R40" s="5"/>
      <c r="S40" s="5">
        <f>SUM(bron[[#This Row],[Januari]:[December]])</f>
        <v>1</v>
      </c>
      <c r="T40" s="9">
        <v>45322</v>
      </c>
      <c r="U40" s="8" t="s">
        <v>414</v>
      </c>
      <c r="V40" s="8">
        <v>1</v>
      </c>
      <c r="W40" s="8"/>
      <c r="X40" t="s">
        <v>3</v>
      </c>
      <c r="Y40" t="s">
        <v>6</v>
      </c>
      <c r="Z40"/>
      <c r="AA40" t="s">
        <v>3612</v>
      </c>
      <c r="AB40">
        <f>COUNTIF(B:B,bron[[#This Row],[volledige naam]])</f>
        <v>3</v>
      </c>
    </row>
    <row r="41" spans="1:28" x14ac:dyDescent="0.25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J41" s="5"/>
      <c r="K41" s="5"/>
      <c r="L41" s="5"/>
      <c r="M41" s="5"/>
      <c r="N41" s="5"/>
      <c r="O41" s="5"/>
      <c r="P41" s="5"/>
      <c r="Q41" s="5"/>
      <c r="R41" s="5"/>
      <c r="S41" s="5">
        <f>SUM(bron[[#This Row],[Januari]:[December]])</f>
        <v>1</v>
      </c>
      <c r="T41" s="9">
        <v>45322</v>
      </c>
      <c r="U41" s="8" t="s">
        <v>415</v>
      </c>
      <c r="V41" s="8">
        <v>1</v>
      </c>
      <c r="W41" s="8"/>
      <c r="X41" t="s">
        <v>3</v>
      </c>
      <c r="Y41" t="s">
        <v>6</v>
      </c>
      <c r="Z41"/>
      <c r="AA41" t="s">
        <v>3612</v>
      </c>
      <c r="AB41">
        <f>COUNTIF(B:B,bron[[#This Row],[volledige naam]])</f>
        <v>1</v>
      </c>
    </row>
    <row r="42" spans="1:28" x14ac:dyDescent="0.25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J42" s="5"/>
      <c r="K42" s="5"/>
      <c r="L42" s="5"/>
      <c r="M42" s="5"/>
      <c r="N42" s="5"/>
      <c r="O42" s="5"/>
      <c r="P42" s="5"/>
      <c r="Q42" s="5"/>
      <c r="R42" s="5"/>
      <c r="S42" s="5">
        <f>SUM(bron[[#This Row],[Januari]:[December]])</f>
        <v>1</v>
      </c>
      <c r="T42" s="9">
        <v>45323</v>
      </c>
      <c r="U42" s="8" t="s">
        <v>416</v>
      </c>
      <c r="V42" s="8">
        <v>1</v>
      </c>
      <c r="W42" s="8"/>
      <c r="X42" t="s">
        <v>3</v>
      </c>
      <c r="Y42" t="s">
        <v>170</v>
      </c>
      <c r="Z42"/>
      <c r="AA42" t="s">
        <v>3612</v>
      </c>
      <c r="AB42">
        <f>COUNTIF(B:B,bron[[#This Row],[volledige naam]])</f>
        <v>1</v>
      </c>
    </row>
    <row r="43" spans="1:28" x14ac:dyDescent="0.25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J43" s="5"/>
      <c r="K43" s="5"/>
      <c r="L43" s="5"/>
      <c r="M43" s="5"/>
      <c r="N43" s="5"/>
      <c r="O43" s="5"/>
      <c r="P43" s="5"/>
      <c r="Q43" s="5"/>
      <c r="R43" s="5"/>
      <c r="S43" s="5">
        <f>SUM(bron[[#This Row],[Januari]:[December]])</f>
        <v>1</v>
      </c>
      <c r="T43" s="9">
        <v>45324</v>
      </c>
      <c r="U43" s="8" t="s">
        <v>417</v>
      </c>
      <c r="V43" s="8">
        <v>1</v>
      </c>
      <c r="W43" s="8"/>
      <c r="X43" t="s">
        <v>3</v>
      </c>
      <c r="Y43" t="s">
        <v>378</v>
      </c>
      <c r="Z43"/>
      <c r="AA43" t="s">
        <v>3612</v>
      </c>
      <c r="AB43">
        <f>COUNTIF(B:B,bron[[#This Row],[volledige naam]])</f>
        <v>3</v>
      </c>
    </row>
    <row r="44" spans="1:28" x14ac:dyDescent="0.25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J44" s="5"/>
      <c r="K44" s="5"/>
      <c r="L44" s="5"/>
      <c r="M44" s="5"/>
      <c r="N44" s="5"/>
      <c r="O44" s="5"/>
      <c r="P44" s="5"/>
      <c r="Q44" s="5"/>
      <c r="R44" s="5"/>
      <c r="S44" s="5">
        <f>SUM(bron[[#This Row],[Januari]:[December]])</f>
        <v>1</v>
      </c>
      <c r="T44" s="9">
        <v>45324</v>
      </c>
      <c r="U44" s="8" t="s">
        <v>418</v>
      </c>
      <c r="V44" s="8">
        <v>1</v>
      </c>
      <c r="W44" s="8"/>
      <c r="X44" t="s">
        <v>3</v>
      </c>
      <c r="Y44" t="s">
        <v>378</v>
      </c>
      <c r="Z44"/>
      <c r="AA44" t="s">
        <v>3612</v>
      </c>
      <c r="AB44">
        <f>COUNTIF(B:B,bron[[#This Row],[volledige naam]])</f>
        <v>3</v>
      </c>
    </row>
    <row r="45" spans="1:28" x14ac:dyDescent="0.25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J45" s="5"/>
      <c r="K45" s="5"/>
      <c r="L45" s="5"/>
      <c r="M45" s="5"/>
      <c r="N45" s="5"/>
      <c r="O45" s="5"/>
      <c r="P45" s="5"/>
      <c r="Q45" s="5"/>
      <c r="R45" s="5"/>
      <c r="S45" s="5">
        <f>SUM(bron[[#This Row],[Januari]:[December]])</f>
        <v>1</v>
      </c>
      <c r="T45" s="9">
        <v>45325</v>
      </c>
      <c r="U45" s="8" t="s">
        <v>419</v>
      </c>
      <c r="V45" s="8">
        <v>1</v>
      </c>
      <c r="W45" s="8"/>
      <c r="X45" t="s">
        <v>3</v>
      </c>
      <c r="Y45" t="s">
        <v>22</v>
      </c>
      <c r="Z45"/>
      <c r="AA45" t="s">
        <v>3612</v>
      </c>
      <c r="AB45">
        <f>COUNTIF(B:B,bron[[#This Row],[volledige naam]])</f>
        <v>4</v>
      </c>
    </row>
    <row r="46" spans="1:28" x14ac:dyDescent="0.25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J46" s="5"/>
      <c r="K46" s="5"/>
      <c r="L46" s="5"/>
      <c r="M46" s="5"/>
      <c r="N46" s="5"/>
      <c r="O46" s="5"/>
      <c r="P46" s="5"/>
      <c r="Q46" s="5"/>
      <c r="R46" s="5"/>
      <c r="S46" s="5">
        <f>SUM(bron[[#This Row],[Januari]:[December]])</f>
        <v>1</v>
      </c>
      <c r="T46" s="9">
        <v>45325</v>
      </c>
      <c r="U46" s="8" t="s">
        <v>420</v>
      </c>
      <c r="V46" s="8">
        <v>1</v>
      </c>
      <c r="W46" s="8"/>
      <c r="X46" t="s">
        <v>3</v>
      </c>
      <c r="Y46" t="s">
        <v>421</v>
      </c>
      <c r="Z46"/>
      <c r="AA46" t="s">
        <v>3612</v>
      </c>
      <c r="AB46">
        <f>COUNTIF(B:B,bron[[#This Row],[volledige naam]])</f>
        <v>5</v>
      </c>
    </row>
    <row r="47" spans="1:28" x14ac:dyDescent="0.25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J47" s="5"/>
      <c r="K47" s="5"/>
      <c r="L47" s="5"/>
      <c r="M47" s="5"/>
      <c r="N47" s="5"/>
      <c r="O47" s="5"/>
      <c r="P47" s="5"/>
      <c r="Q47" s="5"/>
      <c r="R47" s="5"/>
      <c r="S47" s="5">
        <f>SUM(bron[[#This Row],[Januari]:[December]])</f>
        <v>1</v>
      </c>
      <c r="T47" s="9">
        <v>45326</v>
      </c>
      <c r="U47" s="8" t="s">
        <v>422</v>
      </c>
      <c r="V47" s="8">
        <v>1</v>
      </c>
      <c r="W47" s="8"/>
      <c r="X47" t="s">
        <v>3</v>
      </c>
      <c r="Y47" t="s">
        <v>152</v>
      </c>
      <c r="Z47"/>
      <c r="AA47" t="s">
        <v>3612</v>
      </c>
      <c r="AB47">
        <f>COUNTIF(B:B,bron[[#This Row],[volledige naam]])</f>
        <v>5</v>
      </c>
    </row>
    <row r="48" spans="1:28" x14ac:dyDescent="0.25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J48" s="5"/>
      <c r="K48" s="5"/>
      <c r="L48" s="5"/>
      <c r="M48" s="5"/>
      <c r="N48" s="5"/>
      <c r="O48" s="5"/>
      <c r="P48" s="5"/>
      <c r="Q48" s="5"/>
      <c r="R48" s="5"/>
      <c r="S48" s="5">
        <f>SUM(bron[[#This Row],[Januari]:[December]])</f>
        <v>1</v>
      </c>
      <c r="T48" s="9">
        <v>45326</v>
      </c>
      <c r="U48" s="8" t="s">
        <v>423</v>
      </c>
      <c r="V48" s="8">
        <v>1</v>
      </c>
      <c r="W48" s="8"/>
      <c r="X48" t="s">
        <v>3</v>
      </c>
      <c r="Y48" t="s">
        <v>37</v>
      </c>
      <c r="Z48"/>
      <c r="AA48" t="s">
        <v>3612</v>
      </c>
      <c r="AB48">
        <f>COUNTIF(B:B,bron[[#This Row],[volledige naam]])</f>
        <v>1</v>
      </c>
    </row>
    <row r="49" spans="1:28" x14ac:dyDescent="0.25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J49" s="5"/>
      <c r="K49" s="5"/>
      <c r="L49" s="5"/>
      <c r="M49" s="5"/>
      <c r="N49" s="5"/>
      <c r="O49" s="5"/>
      <c r="P49" s="5"/>
      <c r="Q49" s="5"/>
      <c r="R49" s="5"/>
      <c r="S49" s="5">
        <f>SUM(bron[[#This Row],[Januari]:[December]])</f>
        <v>1</v>
      </c>
      <c r="T49" s="9">
        <v>45326</v>
      </c>
      <c r="U49" s="8" t="s">
        <v>424</v>
      </c>
      <c r="V49" s="8">
        <v>1</v>
      </c>
      <c r="W49" s="8"/>
      <c r="X49" t="s">
        <v>3</v>
      </c>
      <c r="Y49" t="s">
        <v>425</v>
      </c>
      <c r="Z49"/>
      <c r="AA49" t="s">
        <v>3612</v>
      </c>
      <c r="AB49">
        <f>COUNTIF(B:B,bron[[#This Row],[volledige naam]])</f>
        <v>5</v>
      </c>
    </row>
    <row r="50" spans="1:28" x14ac:dyDescent="0.25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J50" s="5"/>
      <c r="K50" s="5"/>
      <c r="L50" s="5"/>
      <c r="M50" s="5"/>
      <c r="N50" s="5"/>
      <c r="O50" s="5"/>
      <c r="P50" s="5"/>
      <c r="Q50" s="5"/>
      <c r="R50" s="5"/>
      <c r="S50" s="5">
        <f>SUM(bron[[#This Row],[Januari]:[December]])</f>
        <v>1</v>
      </c>
      <c r="T50" s="9">
        <v>45326</v>
      </c>
      <c r="U50" s="8" t="s">
        <v>426</v>
      </c>
      <c r="V50" s="8"/>
      <c r="W50" s="8">
        <v>1</v>
      </c>
      <c r="X50" t="s">
        <v>4</v>
      </c>
      <c r="Y50" t="s">
        <v>152</v>
      </c>
      <c r="Z50"/>
      <c r="AA50" t="s">
        <v>3612</v>
      </c>
      <c r="AB50">
        <f>COUNTIF(B:B,bron[[#This Row],[volledige naam]])</f>
        <v>3</v>
      </c>
    </row>
    <row r="51" spans="1:28" x14ac:dyDescent="0.25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J51" s="5"/>
      <c r="K51" s="5"/>
      <c r="L51" s="5"/>
      <c r="M51" s="5"/>
      <c r="N51" s="5"/>
      <c r="O51" s="5"/>
      <c r="P51" s="5"/>
      <c r="Q51" s="5"/>
      <c r="R51" s="5"/>
      <c r="S51" s="5">
        <f>SUM(bron[[#This Row],[Januari]:[December]])</f>
        <v>1</v>
      </c>
      <c r="T51" s="9">
        <v>45327</v>
      </c>
      <c r="U51" s="8" t="s">
        <v>427</v>
      </c>
      <c r="V51" s="8">
        <v>1</v>
      </c>
      <c r="W51" s="8"/>
      <c r="X51" t="s">
        <v>3</v>
      </c>
      <c r="Y51" t="s">
        <v>26</v>
      </c>
      <c r="Z51"/>
      <c r="AA51" t="s">
        <v>3612</v>
      </c>
      <c r="AB51">
        <f>COUNTIF(B:B,bron[[#This Row],[volledige naam]])</f>
        <v>5</v>
      </c>
    </row>
    <row r="52" spans="1:28" x14ac:dyDescent="0.25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J52" s="5"/>
      <c r="K52" s="5"/>
      <c r="L52" s="5"/>
      <c r="M52" s="5"/>
      <c r="N52" s="5"/>
      <c r="O52" s="5"/>
      <c r="P52" s="5"/>
      <c r="Q52" s="5"/>
      <c r="R52" s="5"/>
      <c r="S52" s="5">
        <f>SUM(bron[[#This Row],[Januari]:[December]])</f>
        <v>1</v>
      </c>
      <c r="T52" s="9">
        <v>45328</v>
      </c>
      <c r="U52" s="8" t="s">
        <v>428</v>
      </c>
      <c r="V52" s="8">
        <v>1</v>
      </c>
      <c r="W52" s="8"/>
      <c r="X52" t="s">
        <v>3</v>
      </c>
      <c r="Y52" t="s">
        <v>6</v>
      </c>
      <c r="Z52"/>
      <c r="AA52" t="s">
        <v>3612</v>
      </c>
      <c r="AB52">
        <f>COUNTIF(B:B,bron[[#This Row],[volledige naam]])</f>
        <v>2</v>
      </c>
    </row>
    <row r="53" spans="1:28" x14ac:dyDescent="0.25">
      <c r="A53">
        <v>18987</v>
      </c>
      <c r="B53" t="e">
        <f>_xlfn.CONCAT(bron[[#This Row],[personeelsnr]]," ",bron[[#This Row],[achternaam]]," ",bron[[#This Row],[voornaam]])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 s="10"/>
      <c r="G53" s="7"/>
      <c r="H53" s="7">
        <v>1</v>
      </c>
      <c r="I53" s="7"/>
      <c r="J53" s="5"/>
      <c r="K53" s="5"/>
      <c r="L53" s="5"/>
      <c r="M53" s="5"/>
      <c r="N53" s="5"/>
      <c r="O53" s="5"/>
      <c r="P53" s="5"/>
      <c r="Q53" s="5"/>
      <c r="R53" s="5"/>
      <c r="S53" s="5">
        <f>SUM(bron[[#This Row],[Januari]:[December]])</f>
        <v>1</v>
      </c>
      <c r="T53" s="9">
        <v>45329</v>
      </c>
      <c r="U53" s="8" t="s">
        <v>429</v>
      </c>
      <c r="V53" s="8">
        <v>1</v>
      </c>
      <c r="W53" s="8"/>
      <c r="X53" t="s">
        <v>3</v>
      </c>
      <c r="Y53" t="s">
        <v>430</v>
      </c>
      <c r="Z53"/>
      <c r="AA53" t="s">
        <v>3612</v>
      </c>
      <c r="AB53">
        <f>COUNTIF(B:B,bron[[#This Row],[volledige naam]])</f>
        <v>24</v>
      </c>
    </row>
    <row r="54" spans="1:28" x14ac:dyDescent="0.25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J54" s="5"/>
      <c r="K54" s="5"/>
      <c r="L54" s="5"/>
      <c r="M54" s="5"/>
      <c r="N54" s="5"/>
      <c r="O54" s="5"/>
      <c r="P54" s="5"/>
      <c r="Q54" s="5"/>
      <c r="R54" s="5"/>
      <c r="S54" s="5">
        <f>SUM(bron[[#This Row],[Januari]:[December]])</f>
        <v>1</v>
      </c>
      <c r="T54" s="9">
        <v>45329</v>
      </c>
      <c r="U54" s="8" t="s">
        <v>431</v>
      </c>
      <c r="V54" s="8"/>
      <c r="W54" s="8">
        <v>1</v>
      </c>
      <c r="X54" t="s">
        <v>4</v>
      </c>
      <c r="Y54" t="s">
        <v>140</v>
      </c>
      <c r="Z54"/>
      <c r="AA54" t="s">
        <v>3612</v>
      </c>
      <c r="AB54">
        <f>COUNTIF(B:B,bron[[#This Row],[volledige naam]])</f>
        <v>1</v>
      </c>
    </row>
    <row r="55" spans="1:28" x14ac:dyDescent="0.25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J55" s="5"/>
      <c r="K55" s="5"/>
      <c r="L55" s="5"/>
      <c r="M55" s="5"/>
      <c r="N55" s="5"/>
      <c r="O55" s="5"/>
      <c r="P55" s="5"/>
      <c r="Q55" s="5"/>
      <c r="R55" s="5"/>
      <c r="S55" s="5">
        <f>SUM(bron[[#This Row],[Januari]:[December]])</f>
        <v>1</v>
      </c>
      <c r="T55" s="9">
        <v>45330</v>
      </c>
      <c r="U55" s="8" t="s">
        <v>432</v>
      </c>
      <c r="V55" s="8">
        <v>1</v>
      </c>
      <c r="W55" s="8"/>
      <c r="X55" t="s">
        <v>3</v>
      </c>
      <c r="Y55" t="s">
        <v>6</v>
      </c>
      <c r="Z55"/>
      <c r="AA55" t="s">
        <v>3612</v>
      </c>
      <c r="AB55">
        <f>COUNTIF(B:B,bron[[#This Row],[volledige naam]])</f>
        <v>5</v>
      </c>
    </row>
    <row r="56" spans="1:28" x14ac:dyDescent="0.25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J56" s="5"/>
      <c r="K56" s="5"/>
      <c r="L56" s="5"/>
      <c r="M56" s="5"/>
      <c r="N56" s="5"/>
      <c r="O56" s="5"/>
      <c r="P56" s="5"/>
      <c r="Q56" s="5"/>
      <c r="R56" s="5"/>
      <c r="S56" s="5">
        <f>SUM(bron[[#This Row],[Januari]:[December]])</f>
        <v>1</v>
      </c>
      <c r="T56" s="9">
        <v>45330</v>
      </c>
      <c r="U56" s="8" t="s">
        <v>433</v>
      </c>
      <c r="V56" s="8"/>
      <c r="W56" s="8">
        <v>1</v>
      </c>
      <c r="X56" t="s">
        <v>4</v>
      </c>
      <c r="Y56" t="s">
        <v>6</v>
      </c>
      <c r="Z56"/>
      <c r="AA56" t="s">
        <v>3612</v>
      </c>
      <c r="AB56">
        <f>COUNTIF(B:B,bron[[#This Row],[volledige naam]])</f>
        <v>1</v>
      </c>
    </row>
    <row r="57" spans="1:28" x14ac:dyDescent="0.25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J57" s="5"/>
      <c r="K57" s="5"/>
      <c r="L57" s="5"/>
      <c r="M57" s="5"/>
      <c r="N57" s="5"/>
      <c r="O57" s="5"/>
      <c r="P57" s="5"/>
      <c r="Q57" s="5"/>
      <c r="R57" s="5"/>
      <c r="S57" s="5">
        <f>SUM(bron[[#This Row],[Januari]:[December]])</f>
        <v>1</v>
      </c>
      <c r="T57" s="9">
        <v>45331</v>
      </c>
      <c r="U57" s="8" t="s">
        <v>434</v>
      </c>
      <c r="V57" s="8">
        <v>1</v>
      </c>
      <c r="W57" s="8"/>
      <c r="X57" t="s">
        <v>3</v>
      </c>
      <c r="Y57" t="s">
        <v>10</v>
      </c>
      <c r="Z57"/>
      <c r="AA57" t="s">
        <v>3612</v>
      </c>
      <c r="AB57">
        <f>COUNTIF(B:B,bron[[#This Row],[volledige naam]])</f>
        <v>3</v>
      </c>
    </row>
    <row r="58" spans="1:28" x14ac:dyDescent="0.25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J58" s="5"/>
      <c r="K58" s="5"/>
      <c r="L58" s="5"/>
      <c r="M58" s="5"/>
      <c r="N58" s="5"/>
      <c r="O58" s="5"/>
      <c r="P58" s="5"/>
      <c r="Q58" s="5"/>
      <c r="R58" s="5"/>
      <c r="S58" s="5">
        <f>SUM(bron[[#This Row],[Januari]:[December]])</f>
        <v>1</v>
      </c>
      <c r="T58" s="9">
        <v>45335</v>
      </c>
      <c r="U58" s="8" t="s">
        <v>435</v>
      </c>
      <c r="V58" s="8">
        <v>1</v>
      </c>
      <c r="W58" s="8"/>
      <c r="X58" t="s">
        <v>3</v>
      </c>
      <c r="Y58" t="s">
        <v>6</v>
      </c>
      <c r="Z58"/>
      <c r="AA58" t="s">
        <v>3612</v>
      </c>
      <c r="AB58">
        <f>COUNTIF(B:B,bron[[#This Row],[volledige naam]])</f>
        <v>7</v>
      </c>
    </row>
    <row r="59" spans="1:28" x14ac:dyDescent="0.25">
      <c r="A59">
        <v>9999</v>
      </c>
      <c r="B59" t="str">
        <f>_xlfn.CONCAT(bron[[#This Row],[personeelsnr]]," ",bron[[#This Row],[achternaam]]," ",bron[[#This Row],[voornaam]])</f>
        <v>9999 - -</v>
      </c>
      <c r="C59" t="s">
        <v>370</v>
      </c>
      <c r="D59" t="s">
        <v>370</v>
      </c>
      <c r="E59" t="s">
        <v>62</v>
      </c>
      <c r="F59" s="10"/>
      <c r="G59" s="7"/>
      <c r="H59" s="7">
        <v>1</v>
      </c>
      <c r="I59" s="7"/>
      <c r="J59" s="5"/>
      <c r="K59" s="5"/>
      <c r="L59" s="5"/>
      <c r="M59" s="5"/>
      <c r="N59" s="5"/>
      <c r="O59" s="5"/>
      <c r="P59" s="5"/>
      <c r="Q59" s="5"/>
      <c r="R59" s="5"/>
      <c r="S59" s="5">
        <f>SUM(bron[[#This Row],[Januari]:[December]])</f>
        <v>1</v>
      </c>
      <c r="T59" s="9">
        <v>45336</v>
      </c>
      <c r="U59" s="8" t="s">
        <v>436</v>
      </c>
      <c r="V59" s="8">
        <v>1</v>
      </c>
      <c r="W59" s="8"/>
      <c r="X59" t="s">
        <v>3</v>
      </c>
      <c r="Y59" t="s">
        <v>437</v>
      </c>
      <c r="Z59"/>
      <c r="AA59" t="s">
        <v>3612</v>
      </c>
      <c r="AB59">
        <f>COUNTIF(B:B,bron[[#This Row],[volledige naam]])</f>
        <v>58</v>
      </c>
    </row>
    <row r="60" spans="1:28" x14ac:dyDescent="0.25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J60" s="5"/>
      <c r="K60" s="5"/>
      <c r="L60" s="5"/>
      <c r="M60" s="5"/>
      <c r="N60" s="5"/>
      <c r="O60" s="5"/>
      <c r="P60" s="5"/>
      <c r="Q60" s="5"/>
      <c r="R60" s="5"/>
      <c r="S60" s="5">
        <f>SUM(bron[[#This Row],[Januari]:[December]])</f>
        <v>1</v>
      </c>
      <c r="T60" s="9">
        <v>45337</v>
      </c>
      <c r="U60" s="8" t="s">
        <v>438</v>
      </c>
      <c r="V60" s="8">
        <v>1</v>
      </c>
      <c r="W60" s="8"/>
      <c r="X60" t="s">
        <v>3</v>
      </c>
      <c r="Y60" t="s">
        <v>158</v>
      </c>
      <c r="Z60"/>
      <c r="AA60" t="s">
        <v>3612</v>
      </c>
      <c r="AB60">
        <f>COUNTIF(B:B,bron[[#This Row],[volledige naam]])</f>
        <v>3</v>
      </c>
    </row>
    <row r="61" spans="1:28" x14ac:dyDescent="0.25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J61" s="5"/>
      <c r="K61" s="5"/>
      <c r="L61" s="5"/>
      <c r="M61" s="5"/>
      <c r="N61" s="5"/>
      <c r="O61" s="5"/>
      <c r="P61" s="5"/>
      <c r="Q61" s="5"/>
      <c r="R61" s="5"/>
      <c r="S61" s="5">
        <f>SUM(bron[[#This Row],[Januari]:[December]])</f>
        <v>1</v>
      </c>
      <c r="T61" s="9">
        <v>45337</v>
      </c>
      <c r="U61" s="8" t="s">
        <v>439</v>
      </c>
      <c r="V61" s="8">
        <v>1</v>
      </c>
      <c r="W61" s="8"/>
      <c r="X61" t="s">
        <v>3</v>
      </c>
      <c r="Y61" t="s">
        <v>94</v>
      </c>
      <c r="Z61"/>
      <c r="AA61" t="s">
        <v>3612</v>
      </c>
      <c r="AB61">
        <f>COUNTIF(B:B,bron[[#This Row],[volledige naam]])</f>
        <v>2</v>
      </c>
    </row>
    <row r="62" spans="1:28" x14ac:dyDescent="0.25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J62" s="5"/>
      <c r="K62" s="5"/>
      <c r="L62" s="5"/>
      <c r="M62" s="5"/>
      <c r="N62" s="5"/>
      <c r="O62" s="5"/>
      <c r="P62" s="5"/>
      <c r="Q62" s="5"/>
      <c r="R62" s="5"/>
      <c r="S62" s="5">
        <f>SUM(bron[[#This Row],[Januari]:[December]])</f>
        <v>1</v>
      </c>
      <c r="T62" s="9">
        <v>45338</v>
      </c>
      <c r="U62" s="8" t="s">
        <v>440</v>
      </c>
      <c r="V62" s="8">
        <v>1</v>
      </c>
      <c r="W62" s="8"/>
      <c r="X62" t="s">
        <v>3</v>
      </c>
      <c r="Y62" t="s">
        <v>6</v>
      </c>
      <c r="Z62"/>
      <c r="AA62" t="s">
        <v>3612</v>
      </c>
      <c r="AB62">
        <f>COUNTIF(B:B,bron[[#This Row],[volledige naam]])</f>
        <v>5</v>
      </c>
    </row>
    <row r="63" spans="1:28" x14ac:dyDescent="0.25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J63" s="5"/>
      <c r="K63" s="5"/>
      <c r="L63" s="5"/>
      <c r="M63" s="5"/>
      <c r="N63" s="5"/>
      <c r="O63" s="5"/>
      <c r="P63" s="5"/>
      <c r="Q63" s="5"/>
      <c r="R63" s="5"/>
      <c r="S63" s="5">
        <f>SUM(bron[[#This Row],[Januari]:[December]])</f>
        <v>1</v>
      </c>
      <c r="T63" s="9">
        <v>45339</v>
      </c>
      <c r="U63" s="8" t="s">
        <v>441</v>
      </c>
      <c r="V63" s="8">
        <v>1</v>
      </c>
      <c r="W63" s="8"/>
      <c r="X63" t="s">
        <v>3</v>
      </c>
      <c r="Y63" t="s">
        <v>442</v>
      </c>
      <c r="Z63"/>
      <c r="AA63" t="s">
        <v>3612</v>
      </c>
      <c r="AB63">
        <f>COUNTIF(B:B,bron[[#This Row],[volledige naam]])</f>
        <v>2</v>
      </c>
    </row>
    <row r="64" spans="1:28" x14ac:dyDescent="0.25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J64" s="5"/>
      <c r="K64" s="5"/>
      <c r="L64" s="5"/>
      <c r="M64" s="5"/>
      <c r="N64" s="5"/>
      <c r="O64" s="5"/>
      <c r="P64" s="5"/>
      <c r="Q64" s="5"/>
      <c r="R64" s="5"/>
      <c r="S64" s="5">
        <f>SUM(bron[[#This Row],[Januari]:[December]])</f>
        <v>1</v>
      </c>
      <c r="T64" s="9">
        <v>45339</v>
      </c>
      <c r="U64" s="8" t="s">
        <v>443</v>
      </c>
      <c r="V64" s="8">
        <v>1</v>
      </c>
      <c r="W64" s="8"/>
      <c r="X64" t="s">
        <v>3</v>
      </c>
      <c r="Y64" t="s">
        <v>444</v>
      </c>
      <c r="Z64"/>
      <c r="AA64" t="s">
        <v>3612</v>
      </c>
      <c r="AB64">
        <f>COUNTIF(B:B,bron[[#This Row],[volledige naam]])</f>
        <v>4</v>
      </c>
    </row>
    <row r="65" spans="1:28" x14ac:dyDescent="0.25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J65" s="5"/>
      <c r="K65" s="5"/>
      <c r="L65" s="5"/>
      <c r="M65" s="5"/>
      <c r="N65" s="5"/>
      <c r="O65" s="5"/>
      <c r="P65" s="5"/>
      <c r="Q65" s="5"/>
      <c r="R65" s="5"/>
      <c r="S65" s="5">
        <f>SUM(bron[[#This Row],[Januari]:[December]])</f>
        <v>1</v>
      </c>
      <c r="T65" s="9">
        <v>45339</v>
      </c>
      <c r="U65" s="8" t="s">
        <v>445</v>
      </c>
      <c r="V65" s="8">
        <v>1</v>
      </c>
      <c r="W65" s="8"/>
      <c r="X65" t="s">
        <v>3</v>
      </c>
      <c r="Y65" t="s">
        <v>178</v>
      </c>
      <c r="Z65"/>
      <c r="AA65" t="s">
        <v>3612</v>
      </c>
      <c r="AB65">
        <f>COUNTIF(B:B,bron[[#This Row],[volledige naam]])</f>
        <v>5</v>
      </c>
    </row>
    <row r="66" spans="1:28" x14ac:dyDescent="0.25">
      <c r="A66">
        <v>21582</v>
      </c>
      <c r="B66" t="e">
        <f>_xlfn.CONCAT(bron[[#This Row],[personeelsnr]]," ",bron[[#This Row],[achternaam]]," ",bron[[#This Row],[voornaam]])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 s="10"/>
      <c r="G66" s="7"/>
      <c r="H66" s="7">
        <v>1</v>
      </c>
      <c r="I66" s="7"/>
      <c r="J66" s="5"/>
      <c r="K66" s="5"/>
      <c r="L66" s="5"/>
      <c r="M66" s="5"/>
      <c r="N66" s="5"/>
      <c r="O66" s="5"/>
      <c r="P66" s="5"/>
      <c r="Q66" s="5"/>
      <c r="R66" s="5"/>
      <c r="S66" s="5">
        <f>SUM(bron[[#This Row],[Januari]:[December]])</f>
        <v>1</v>
      </c>
      <c r="T66" s="9">
        <v>45341</v>
      </c>
      <c r="U66" s="8" t="s">
        <v>446</v>
      </c>
      <c r="V66" s="8"/>
      <c r="W66" s="8">
        <v>1</v>
      </c>
      <c r="X66" t="s">
        <v>4</v>
      </c>
      <c r="Y66" t="s">
        <v>85</v>
      </c>
      <c r="Z66"/>
      <c r="AA66" t="s">
        <v>3612</v>
      </c>
      <c r="AB66">
        <f>COUNTIF(B:B,bron[[#This Row],[volledige naam]])</f>
        <v>24</v>
      </c>
    </row>
    <row r="67" spans="1:28" x14ac:dyDescent="0.25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J67" s="5"/>
      <c r="K67" s="5"/>
      <c r="L67" s="5"/>
      <c r="M67" s="5"/>
      <c r="N67" s="5"/>
      <c r="O67" s="5"/>
      <c r="P67" s="5"/>
      <c r="Q67" s="5"/>
      <c r="R67" s="5"/>
      <c r="S67" s="5">
        <f>SUM(bron[[#This Row],[Januari]:[December]])</f>
        <v>1</v>
      </c>
      <c r="T67" s="9">
        <v>45341</v>
      </c>
      <c r="U67" s="8" t="s">
        <v>447</v>
      </c>
      <c r="V67" s="8"/>
      <c r="W67" s="8">
        <v>1</v>
      </c>
      <c r="X67" t="s">
        <v>4</v>
      </c>
      <c r="Y67" t="s">
        <v>448</v>
      </c>
      <c r="Z67"/>
      <c r="AA67" t="s">
        <v>3612</v>
      </c>
      <c r="AB67">
        <f>COUNTIF(B:B,bron[[#This Row],[volledige naam]])</f>
        <v>5</v>
      </c>
    </row>
    <row r="68" spans="1:28" x14ac:dyDescent="0.25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J68" s="5"/>
      <c r="K68" s="5"/>
      <c r="L68" s="5"/>
      <c r="M68" s="5"/>
      <c r="N68" s="5"/>
      <c r="O68" s="5"/>
      <c r="P68" s="5"/>
      <c r="Q68" s="5"/>
      <c r="R68" s="5"/>
      <c r="S68" s="5">
        <f>SUM(bron[[#This Row],[Januari]:[December]])</f>
        <v>1</v>
      </c>
      <c r="T68" s="9">
        <v>45342</v>
      </c>
      <c r="U68" s="8" t="s">
        <v>449</v>
      </c>
      <c r="V68" s="8">
        <v>1</v>
      </c>
      <c r="W68" s="8"/>
      <c r="X68" t="s">
        <v>3</v>
      </c>
      <c r="Y68" t="s">
        <v>100</v>
      </c>
      <c r="Z68"/>
      <c r="AA68" t="s">
        <v>3612</v>
      </c>
      <c r="AB68">
        <f>COUNTIF(B:B,bron[[#This Row],[volledige naam]])</f>
        <v>1</v>
      </c>
    </row>
    <row r="69" spans="1:28" x14ac:dyDescent="0.25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J69" s="5"/>
      <c r="K69" s="5"/>
      <c r="L69" s="5"/>
      <c r="M69" s="5"/>
      <c r="N69" s="5"/>
      <c r="O69" s="5"/>
      <c r="P69" s="5"/>
      <c r="Q69" s="5"/>
      <c r="R69" s="5"/>
      <c r="S69" s="5">
        <f>SUM(bron[[#This Row],[Januari]:[December]])</f>
        <v>1</v>
      </c>
      <c r="T69" s="9">
        <v>45342</v>
      </c>
      <c r="U69" s="8" t="s">
        <v>450</v>
      </c>
      <c r="V69" s="8">
        <v>1</v>
      </c>
      <c r="W69" s="8"/>
      <c r="X69" t="s">
        <v>3</v>
      </c>
      <c r="Y69" t="s">
        <v>18</v>
      </c>
      <c r="Z69"/>
      <c r="AA69" t="s">
        <v>3612</v>
      </c>
      <c r="AB69">
        <f>COUNTIF(B:B,bron[[#This Row],[volledige naam]])</f>
        <v>7</v>
      </c>
    </row>
    <row r="70" spans="1:28" x14ac:dyDescent="0.25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J70" s="5"/>
      <c r="K70" s="5"/>
      <c r="L70" s="5"/>
      <c r="M70" s="5"/>
      <c r="N70" s="5"/>
      <c r="O70" s="5"/>
      <c r="P70" s="5"/>
      <c r="Q70" s="5"/>
      <c r="R70" s="5"/>
      <c r="S70" s="5">
        <f>SUM(bron[[#This Row],[Januari]:[December]])</f>
        <v>1</v>
      </c>
      <c r="T70" s="9">
        <v>45343</v>
      </c>
      <c r="U70" s="8" t="s">
        <v>451</v>
      </c>
      <c r="V70" s="8">
        <v>1</v>
      </c>
      <c r="W70" s="8"/>
      <c r="X70" t="s">
        <v>3</v>
      </c>
      <c r="Y70" t="s">
        <v>437</v>
      </c>
      <c r="Z70"/>
      <c r="AA70" t="s">
        <v>3612</v>
      </c>
      <c r="AB70">
        <f>COUNTIF(B:B,bron[[#This Row],[volledige naam]])</f>
        <v>1</v>
      </c>
    </row>
    <row r="71" spans="1:28" x14ac:dyDescent="0.25">
      <c r="A71">
        <v>36569</v>
      </c>
      <c r="B71" t="e">
        <f>_xlfn.CONCAT(bron[[#This Row],[personeelsnr]]," ",bron[[#This Row],[achternaam]]," ",bron[[#This Row],[voornaam]])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 s="10"/>
      <c r="G71" s="7"/>
      <c r="H71" s="7">
        <v>1</v>
      </c>
      <c r="I71" s="7"/>
      <c r="J71" s="5"/>
      <c r="K71" s="5"/>
      <c r="L71" s="5"/>
      <c r="M71" s="5"/>
      <c r="N71" s="5"/>
      <c r="O71" s="5"/>
      <c r="P71" s="5"/>
      <c r="Q71" s="5"/>
      <c r="R71" s="5"/>
      <c r="S71" s="5">
        <f>SUM(bron[[#This Row],[Januari]:[December]])</f>
        <v>1</v>
      </c>
      <c r="T71" s="9">
        <v>45344</v>
      </c>
      <c r="U71" s="8" t="s">
        <v>452</v>
      </c>
      <c r="V71" s="8">
        <v>1</v>
      </c>
      <c r="W71" s="8"/>
      <c r="X71" t="s">
        <v>3</v>
      </c>
      <c r="Y71" t="s">
        <v>152</v>
      </c>
      <c r="Z71"/>
      <c r="AA71" t="s">
        <v>3612</v>
      </c>
      <c r="AB71">
        <f>COUNTIF(B:B,bron[[#This Row],[volledige naam]])</f>
        <v>24</v>
      </c>
    </row>
    <row r="72" spans="1:28" x14ac:dyDescent="0.25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J72" s="5"/>
      <c r="K72" s="5"/>
      <c r="L72" s="5"/>
      <c r="M72" s="5"/>
      <c r="N72" s="5"/>
      <c r="O72" s="5"/>
      <c r="P72" s="5"/>
      <c r="Q72" s="5"/>
      <c r="R72" s="5"/>
      <c r="S72" s="5">
        <f>SUM(bron[[#This Row],[Januari]:[December]])</f>
        <v>1</v>
      </c>
      <c r="T72" s="9">
        <v>45344</v>
      </c>
      <c r="U72" s="8" t="s">
        <v>453</v>
      </c>
      <c r="V72" s="8">
        <v>1</v>
      </c>
      <c r="W72" s="8"/>
      <c r="X72" t="s">
        <v>3</v>
      </c>
      <c r="Y72" t="s">
        <v>8</v>
      </c>
      <c r="Z72"/>
      <c r="AA72" t="s">
        <v>3612</v>
      </c>
      <c r="AB72">
        <f>COUNTIF(B:B,bron[[#This Row],[volledige naam]])</f>
        <v>1</v>
      </c>
    </row>
    <row r="73" spans="1:28" x14ac:dyDescent="0.25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J73" s="5"/>
      <c r="K73" s="5"/>
      <c r="L73" s="5"/>
      <c r="M73" s="5"/>
      <c r="N73" s="5"/>
      <c r="O73" s="5"/>
      <c r="P73" s="5"/>
      <c r="Q73" s="5"/>
      <c r="R73" s="5"/>
      <c r="S73" s="5">
        <f>SUM(bron[[#This Row],[Januari]:[December]])</f>
        <v>1</v>
      </c>
      <c r="T73" s="9">
        <v>45344</v>
      </c>
      <c r="U73" s="8" t="s">
        <v>454</v>
      </c>
      <c r="V73" s="8"/>
      <c r="W73" s="8">
        <v>1</v>
      </c>
      <c r="X73" t="s">
        <v>4</v>
      </c>
      <c r="Y73" t="s">
        <v>166</v>
      </c>
      <c r="Z73"/>
      <c r="AA73" t="s">
        <v>3612</v>
      </c>
      <c r="AB73">
        <f>COUNTIF(B:B,bron[[#This Row],[volledige naam]])</f>
        <v>1</v>
      </c>
    </row>
    <row r="74" spans="1:28" x14ac:dyDescent="0.25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J74" s="5"/>
      <c r="K74" s="5"/>
      <c r="L74" s="5"/>
      <c r="M74" s="5"/>
      <c r="N74" s="5"/>
      <c r="O74" s="5"/>
      <c r="P74" s="5"/>
      <c r="Q74" s="5"/>
      <c r="R74" s="5"/>
      <c r="S74" s="5">
        <f>SUM(bron[[#This Row],[Januari]:[December]])</f>
        <v>1</v>
      </c>
      <c r="T74" s="9">
        <v>45345</v>
      </c>
      <c r="U74" s="8" t="s">
        <v>455</v>
      </c>
      <c r="V74" s="8">
        <v>1</v>
      </c>
      <c r="W74" s="8"/>
      <c r="X74" t="s">
        <v>3</v>
      </c>
      <c r="Y74" t="s">
        <v>378</v>
      </c>
      <c r="Z74"/>
      <c r="AA74" t="s">
        <v>3612</v>
      </c>
      <c r="AB74">
        <f>COUNTIF(B:B,bron[[#This Row],[volledige naam]])</f>
        <v>4</v>
      </c>
    </row>
    <row r="75" spans="1:28" x14ac:dyDescent="0.25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J75" s="5"/>
      <c r="K75" s="5"/>
      <c r="L75" s="5"/>
      <c r="M75" s="5"/>
      <c r="N75" s="5"/>
      <c r="O75" s="5"/>
      <c r="P75" s="5"/>
      <c r="Q75" s="5"/>
      <c r="R75" s="5"/>
      <c r="S75" s="5">
        <f>SUM(bron[[#This Row],[Januari]:[December]])</f>
        <v>1</v>
      </c>
      <c r="T75" s="9">
        <v>45349</v>
      </c>
      <c r="U75" s="8" t="s">
        <v>456</v>
      </c>
      <c r="V75" s="8">
        <v>1</v>
      </c>
      <c r="W75" s="8"/>
      <c r="X75" t="s">
        <v>3</v>
      </c>
      <c r="Y75" t="s">
        <v>6</v>
      </c>
      <c r="Z75"/>
      <c r="AA75" t="s">
        <v>3612</v>
      </c>
      <c r="AB75">
        <f>COUNTIF(B:B,bron[[#This Row],[volledige naam]])</f>
        <v>1</v>
      </c>
    </row>
    <row r="76" spans="1:28" x14ac:dyDescent="0.25">
      <c r="A76">
        <v>9999</v>
      </c>
      <c r="B76" t="str">
        <f>_xlfn.CONCAT(bron[[#This Row],[personeelsnr]]," ",bron[[#This Row],[achternaam]]," ",bron[[#This Row],[voornaam]])</f>
        <v>9999 - -</v>
      </c>
      <c r="C76" t="s">
        <v>370</v>
      </c>
      <c r="D76" t="s">
        <v>370</v>
      </c>
      <c r="E76" t="s">
        <v>62</v>
      </c>
      <c r="F76" s="10"/>
      <c r="G76" s="7"/>
      <c r="H76" s="7">
        <v>1</v>
      </c>
      <c r="I76" s="7"/>
      <c r="J76" s="5"/>
      <c r="K76" s="5"/>
      <c r="L76" s="5"/>
      <c r="M76" s="5"/>
      <c r="N76" s="5"/>
      <c r="O76" s="5"/>
      <c r="P76" s="5"/>
      <c r="Q76" s="5"/>
      <c r="R76" s="5"/>
      <c r="S76" s="5">
        <f>SUM(bron[[#This Row],[Januari]:[December]])</f>
        <v>1</v>
      </c>
      <c r="T76" s="9">
        <v>45350</v>
      </c>
      <c r="U76" s="8" t="s">
        <v>457</v>
      </c>
      <c r="V76" s="8">
        <v>1</v>
      </c>
      <c r="W76" s="8"/>
      <c r="X76" t="s">
        <v>3</v>
      </c>
      <c r="Y76" t="s">
        <v>458</v>
      </c>
      <c r="Z76"/>
      <c r="AA76" t="s">
        <v>3612</v>
      </c>
      <c r="AB76">
        <f>COUNTIF(B:B,bron[[#This Row],[volledige naam]])</f>
        <v>58</v>
      </c>
    </row>
    <row r="77" spans="1:28" x14ac:dyDescent="0.25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J77" s="5"/>
      <c r="K77" s="5"/>
      <c r="L77" s="5"/>
      <c r="M77" s="5"/>
      <c r="N77" s="5"/>
      <c r="O77" s="5"/>
      <c r="P77" s="5"/>
      <c r="Q77" s="5"/>
      <c r="R77" s="5"/>
      <c r="S77" s="5">
        <f>SUM(bron[[#This Row],[Januari]:[December]])</f>
        <v>1</v>
      </c>
      <c r="T77" s="9">
        <v>45350</v>
      </c>
      <c r="U77" s="8" t="s">
        <v>459</v>
      </c>
      <c r="V77" s="8">
        <v>1</v>
      </c>
      <c r="W77" s="8"/>
      <c r="X77" t="s">
        <v>3</v>
      </c>
      <c r="Y77" t="s">
        <v>406</v>
      </c>
      <c r="Z77"/>
      <c r="AA77" t="s">
        <v>3612</v>
      </c>
      <c r="AB77">
        <f>COUNTIF(B:B,bron[[#This Row],[volledige naam]])</f>
        <v>2</v>
      </c>
    </row>
    <row r="78" spans="1:28" x14ac:dyDescent="0.25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J78" s="5"/>
      <c r="K78" s="5"/>
      <c r="L78" s="5"/>
      <c r="M78" s="5"/>
      <c r="N78" s="5"/>
      <c r="O78" s="5"/>
      <c r="P78" s="5"/>
      <c r="Q78" s="5"/>
      <c r="R78" s="5"/>
      <c r="S78" s="5">
        <f>SUM(bron[[#This Row],[Januari]:[December]])</f>
        <v>1</v>
      </c>
      <c r="T78" s="9">
        <v>45350</v>
      </c>
      <c r="U78" s="8" t="s">
        <v>460</v>
      </c>
      <c r="V78" s="8">
        <v>1</v>
      </c>
      <c r="W78" s="8"/>
      <c r="X78" t="s">
        <v>3</v>
      </c>
      <c r="Y78" t="s">
        <v>16</v>
      </c>
      <c r="Z78"/>
      <c r="AA78" t="s">
        <v>3612</v>
      </c>
      <c r="AB78">
        <f>COUNTIF(B:B,bron[[#This Row],[volledige naam]])</f>
        <v>3</v>
      </c>
    </row>
    <row r="79" spans="1:28" x14ac:dyDescent="0.25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J79" s="5"/>
      <c r="K79" s="5"/>
      <c r="L79" s="5"/>
      <c r="M79" s="5"/>
      <c r="N79" s="5"/>
      <c r="O79" s="5"/>
      <c r="P79" s="5"/>
      <c r="Q79" s="5"/>
      <c r="R79" s="5"/>
      <c r="S79" s="5">
        <f>SUM(bron[[#This Row],[Januari]:[December]])</f>
        <v>1</v>
      </c>
      <c r="T79" s="9">
        <v>45351</v>
      </c>
      <c r="U79" s="8" t="s">
        <v>461</v>
      </c>
      <c r="V79" s="8">
        <v>1</v>
      </c>
      <c r="W79" s="8"/>
      <c r="X79" t="s">
        <v>3</v>
      </c>
      <c r="Y79" t="s">
        <v>462</v>
      </c>
      <c r="Z79"/>
      <c r="AA79" t="s">
        <v>3612</v>
      </c>
      <c r="AB79">
        <f>COUNTIF(B:B,bron[[#This Row],[volledige naam]])</f>
        <v>4</v>
      </c>
    </row>
    <row r="80" spans="1:28" x14ac:dyDescent="0.25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J80" s="5"/>
      <c r="K80" s="5"/>
      <c r="L80" s="5"/>
      <c r="M80" s="5"/>
      <c r="N80" s="5"/>
      <c r="O80" s="5"/>
      <c r="P80" s="5"/>
      <c r="Q80" s="5"/>
      <c r="R80" s="5"/>
      <c r="S80" s="5">
        <f>SUM(bron[[#This Row],[Januari]:[December]])</f>
        <v>1</v>
      </c>
      <c r="T80" s="9">
        <v>45351</v>
      </c>
      <c r="U80" s="8" t="s">
        <v>463</v>
      </c>
      <c r="V80" s="8">
        <v>1</v>
      </c>
      <c r="W80" s="8"/>
      <c r="X80" t="s">
        <v>3</v>
      </c>
      <c r="Y80" t="s">
        <v>464</v>
      </c>
      <c r="Z80"/>
      <c r="AA80" t="s">
        <v>3612</v>
      </c>
      <c r="AB80">
        <f>COUNTIF(B:B,bron[[#This Row],[volledige naam]])</f>
        <v>4</v>
      </c>
    </row>
    <row r="81" spans="1:28" x14ac:dyDescent="0.25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J81" s="5"/>
      <c r="K81" s="5"/>
      <c r="L81" s="5"/>
      <c r="M81" s="5"/>
      <c r="N81" s="5"/>
      <c r="O81" s="5"/>
      <c r="P81" s="5"/>
      <c r="Q81" s="5"/>
      <c r="R81" s="5"/>
      <c r="S81" s="5">
        <f>SUM(bron[[#This Row],[Januari]:[December]])</f>
        <v>1</v>
      </c>
      <c r="T81" s="9">
        <v>45351</v>
      </c>
      <c r="U81" s="8" t="s">
        <v>465</v>
      </c>
      <c r="V81" s="8">
        <v>1</v>
      </c>
      <c r="W81" s="8"/>
      <c r="X81" t="s">
        <v>3</v>
      </c>
      <c r="Y81" t="s">
        <v>466</v>
      </c>
      <c r="Z81"/>
      <c r="AA81" t="s">
        <v>3612</v>
      </c>
      <c r="AB81">
        <f>COUNTIF(B:B,bron[[#This Row],[volledige naam]])</f>
        <v>1</v>
      </c>
    </row>
    <row r="82" spans="1:28" x14ac:dyDescent="0.25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J82" s="5"/>
      <c r="K82" s="5"/>
      <c r="L82" s="5"/>
      <c r="M82" s="5"/>
      <c r="N82" s="5"/>
      <c r="O82" s="5"/>
      <c r="P82" s="5"/>
      <c r="Q82" s="5"/>
      <c r="R82" s="5"/>
      <c r="S82" s="5">
        <f>SUM(bron[[#This Row],[Januari]:[December]])</f>
        <v>1</v>
      </c>
      <c r="T82" s="9">
        <v>45351</v>
      </c>
      <c r="U82" s="8" t="s">
        <v>467</v>
      </c>
      <c r="V82" s="8"/>
      <c r="W82" s="8">
        <v>1</v>
      </c>
      <c r="X82" t="s">
        <v>4</v>
      </c>
      <c r="Y82" t="s">
        <v>468</v>
      </c>
      <c r="Z82"/>
      <c r="AA82" t="s">
        <v>3612</v>
      </c>
      <c r="AB82">
        <f>COUNTIF(B:B,bron[[#This Row],[volledige naam]])</f>
        <v>6</v>
      </c>
    </row>
    <row r="83" spans="1:28" x14ac:dyDescent="0.25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J83" s="5"/>
      <c r="K83" s="5"/>
      <c r="L83" s="5"/>
      <c r="M83" s="5"/>
      <c r="N83" s="5"/>
      <c r="O83" s="5"/>
      <c r="P83" s="5"/>
      <c r="Q83" s="5"/>
      <c r="R83" s="5"/>
      <c r="S83" s="5">
        <f>SUM(bron[[#This Row],[Januari]:[December]])</f>
        <v>1</v>
      </c>
      <c r="T83" s="9">
        <v>45352</v>
      </c>
      <c r="U83" s="8" t="s">
        <v>469</v>
      </c>
      <c r="V83" s="8">
        <v>1</v>
      </c>
      <c r="W83" s="8"/>
      <c r="X83" t="s">
        <v>3</v>
      </c>
      <c r="Y83" t="s">
        <v>378</v>
      </c>
      <c r="Z83"/>
      <c r="AA83" t="s">
        <v>3612</v>
      </c>
      <c r="AB83">
        <f>COUNTIF(B:B,bron[[#This Row],[volledige naam]])</f>
        <v>10</v>
      </c>
    </row>
    <row r="84" spans="1:28" x14ac:dyDescent="0.25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J84" s="5"/>
      <c r="K84" s="5"/>
      <c r="L84" s="5"/>
      <c r="M84" s="5"/>
      <c r="N84" s="5"/>
      <c r="O84" s="5"/>
      <c r="P84" s="5"/>
      <c r="Q84" s="5"/>
      <c r="R84" s="5"/>
      <c r="S84" s="5">
        <f>SUM(bron[[#This Row],[Januari]:[December]])</f>
        <v>1</v>
      </c>
      <c r="T84" s="9">
        <v>45352</v>
      </c>
      <c r="U84" s="8" t="s">
        <v>470</v>
      </c>
      <c r="V84" s="8">
        <v>1</v>
      </c>
      <c r="W84" s="8"/>
      <c r="X84" t="s">
        <v>3</v>
      </c>
      <c r="Y84" t="s">
        <v>87</v>
      </c>
      <c r="Z84"/>
      <c r="AA84" t="s">
        <v>3612</v>
      </c>
      <c r="AB84">
        <f>COUNTIF(B:B,bron[[#This Row],[volledige naam]])</f>
        <v>4</v>
      </c>
    </row>
    <row r="85" spans="1:28" x14ac:dyDescent="0.25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J85" s="5"/>
      <c r="K85" s="5"/>
      <c r="L85" s="5"/>
      <c r="M85" s="5"/>
      <c r="N85" s="5"/>
      <c r="O85" s="5"/>
      <c r="P85" s="5"/>
      <c r="Q85" s="5"/>
      <c r="R85" s="5"/>
      <c r="S85" s="5">
        <f>SUM(bron[[#This Row],[Januari]:[December]])</f>
        <v>1</v>
      </c>
      <c r="T85" s="9">
        <v>45352</v>
      </c>
      <c r="U85" s="8" t="s">
        <v>471</v>
      </c>
      <c r="V85" s="8">
        <v>1</v>
      </c>
      <c r="W85" s="8"/>
      <c r="X85" t="s">
        <v>3</v>
      </c>
      <c r="Y85" t="s">
        <v>6</v>
      </c>
      <c r="Z85"/>
      <c r="AA85" t="s">
        <v>3612</v>
      </c>
      <c r="AB85">
        <f>COUNTIF(B:B,bron[[#This Row],[volledige naam]])</f>
        <v>2</v>
      </c>
    </row>
    <row r="86" spans="1:28" x14ac:dyDescent="0.25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J86" s="5"/>
      <c r="K86" s="5"/>
      <c r="L86" s="5"/>
      <c r="M86" s="5"/>
      <c r="N86" s="5"/>
      <c r="O86" s="5"/>
      <c r="P86" s="5"/>
      <c r="Q86" s="5"/>
      <c r="R86" s="5"/>
      <c r="S86" s="5">
        <f>SUM(bron[[#This Row],[Januari]:[December]])</f>
        <v>1</v>
      </c>
      <c r="T86" s="9">
        <v>45352</v>
      </c>
      <c r="U86" s="8" t="s">
        <v>472</v>
      </c>
      <c r="V86" s="8">
        <v>1</v>
      </c>
      <c r="W86" s="8"/>
      <c r="X86" t="s">
        <v>3</v>
      </c>
      <c r="Y86" t="s">
        <v>464</v>
      </c>
      <c r="Z86"/>
      <c r="AA86" t="s">
        <v>3612</v>
      </c>
      <c r="AB86">
        <f>COUNTIF(B:B,bron[[#This Row],[volledige naam]])</f>
        <v>3</v>
      </c>
    </row>
    <row r="87" spans="1:28" x14ac:dyDescent="0.25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J87" s="5"/>
      <c r="K87" s="5"/>
      <c r="L87" s="5"/>
      <c r="M87" s="5"/>
      <c r="N87" s="5"/>
      <c r="O87" s="5"/>
      <c r="P87" s="5"/>
      <c r="Q87" s="5"/>
      <c r="R87" s="5"/>
      <c r="S87" s="5">
        <f>SUM(bron[[#This Row],[Januari]:[December]])</f>
        <v>1</v>
      </c>
      <c r="T87" s="9">
        <v>45352</v>
      </c>
      <c r="U87" s="8" t="s">
        <v>473</v>
      </c>
      <c r="V87" s="8">
        <v>1</v>
      </c>
      <c r="W87" s="8"/>
      <c r="X87" t="s">
        <v>3</v>
      </c>
      <c r="Y87" t="s">
        <v>474</v>
      </c>
      <c r="Z87"/>
      <c r="AA87" t="s">
        <v>3612</v>
      </c>
      <c r="AB87">
        <f>COUNTIF(B:B,bron[[#This Row],[volledige naam]])</f>
        <v>3</v>
      </c>
    </row>
    <row r="88" spans="1:28" x14ac:dyDescent="0.25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J88" s="5"/>
      <c r="K88" s="5"/>
      <c r="L88" s="5"/>
      <c r="M88" s="5"/>
      <c r="N88" s="5"/>
      <c r="O88" s="5"/>
      <c r="P88" s="5"/>
      <c r="Q88" s="5"/>
      <c r="R88" s="5"/>
      <c r="S88" s="5">
        <f>SUM(bron[[#This Row],[Januari]:[December]])</f>
        <v>1</v>
      </c>
      <c r="T88" s="9">
        <v>45353</v>
      </c>
      <c r="U88" s="8" t="s">
        <v>475</v>
      </c>
      <c r="V88" s="8">
        <v>1</v>
      </c>
      <c r="W88" s="8"/>
      <c r="X88" t="s">
        <v>3</v>
      </c>
      <c r="Y88" t="s">
        <v>421</v>
      </c>
      <c r="Z88"/>
      <c r="AA88" t="s">
        <v>3612</v>
      </c>
      <c r="AB88">
        <f>COUNTIF(B:B,bron[[#This Row],[volledige naam]])</f>
        <v>3</v>
      </c>
    </row>
    <row r="89" spans="1:28" x14ac:dyDescent="0.25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J89" s="5"/>
      <c r="K89" s="5"/>
      <c r="L89" s="5"/>
      <c r="M89" s="5"/>
      <c r="N89" s="5"/>
      <c r="O89" s="5"/>
      <c r="P89" s="5"/>
      <c r="Q89" s="5"/>
      <c r="R89" s="5"/>
      <c r="S89" s="5">
        <f>SUM(bron[[#This Row],[Januari]:[December]])</f>
        <v>1</v>
      </c>
      <c r="T89" s="9">
        <v>45353</v>
      </c>
      <c r="U89" s="8" t="s">
        <v>476</v>
      </c>
      <c r="V89" s="8">
        <v>1</v>
      </c>
      <c r="W89" s="8"/>
      <c r="X89" t="s">
        <v>3</v>
      </c>
      <c r="Y89" t="s">
        <v>6</v>
      </c>
      <c r="Z89"/>
      <c r="AA89" t="s">
        <v>3612</v>
      </c>
      <c r="AB89">
        <f>COUNTIF(B:B,bron[[#This Row],[volledige naam]])</f>
        <v>9</v>
      </c>
    </row>
    <row r="90" spans="1:28" x14ac:dyDescent="0.25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J90" s="5"/>
      <c r="K90" s="5"/>
      <c r="L90" s="5"/>
      <c r="M90" s="5"/>
      <c r="N90" s="5"/>
      <c r="O90" s="5"/>
      <c r="P90" s="5"/>
      <c r="Q90" s="5"/>
      <c r="R90" s="5"/>
      <c r="S90" s="5">
        <f>SUM(bron[[#This Row],[Januari]:[December]])</f>
        <v>1</v>
      </c>
      <c r="T90" s="9">
        <v>45356</v>
      </c>
      <c r="U90" s="8" t="s">
        <v>477</v>
      </c>
      <c r="V90" s="8">
        <v>1</v>
      </c>
      <c r="W90" s="8"/>
      <c r="X90" t="s">
        <v>3</v>
      </c>
      <c r="Y90" t="s">
        <v>421</v>
      </c>
      <c r="Z90"/>
      <c r="AA90" t="s">
        <v>3612</v>
      </c>
      <c r="AB90">
        <f>COUNTIF(B:B,bron[[#This Row],[volledige naam]])</f>
        <v>2</v>
      </c>
    </row>
    <row r="91" spans="1:28" x14ac:dyDescent="0.25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J91" s="5"/>
      <c r="K91" s="5"/>
      <c r="L91" s="5"/>
      <c r="M91" s="5"/>
      <c r="N91" s="5"/>
      <c r="O91" s="5"/>
      <c r="P91" s="5"/>
      <c r="Q91" s="5"/>
      <c r="R91" s="5"/>
      <c r="S91" s="5">
        <f>SUM(bron[[#This Row],[Januari]:[December]])</f>
        <v>1</v>
      </c>
      <c r="T91" s="9">
        <v>45356</v>
      </c>
      <c r="U91" s="8" t="s">
        <v>478</v>
      </c>
      <c r="V91" s="8">
        <v>1</v>
      </c>
      <c r="W91" s="8"/>
      <c r="X91" t="s">
        <v>3</v>
      </c>
      <c r="Y91" t="s">
        <v>166</v>
      </c>
      <c r="Z91"/>
      <c r="AA91" t="s">
        <v>3612</v>
      </c>
      <c r="AB91">
        <f>COUNTIF(B:B,bron[[#This Row],[volledige naam]])</f>
        <v>2</v>
      </c>
    </row>
    <row r="92" spans="1:28" x14ac:dyDescent="0.25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J92" s="5"/>
      <c r="K92" s="5"/>
      <c r="L92" s="5"/>
      <c r="M92" s="5"/>
      <c r="N92" s="5"/>
      <c r="O92" s="5"/>
      <c r="P92" s="5"/>
      <c r="Q92" s="5"/>
      <c r="R92" s="5"/>
      <c r="S92" s="5">
        <f>SUM(bron[[#This Row],[Januari]:[December]])</f>
        <v>1</v>
      </c>
      <c r="T92" s="9">
        <v>45356</v>
      </c>
      <c r="U92" s="8" t="s">
        <v>479</v>
      </c>
      <c r="V92" s="8">
        <v>1</v>
      </c>
      <c r="W92" s="8"/>
      <c r="X92" t="s">
        <v>3</v>
      </c>
      <c r="Y92" t="s">
        <v>16</v>
      </c>
      <c r="Z92"/>
      <c r="AA92" t="s">
        <v>3612</v>
      </c>
      <c r="AB92">
        <f>COUNTIF(B:B,bron[[#This Row],[volledige naam]])</f>
        <v>4</v>
      </c>
    </row>
    <row r="93" spans="1:28" x14ac:dyDescent="0.25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J93" s="5"/>
      <c r="K93" s="5"/>
      <c r="L93" s="5"/>
      <c r="M93" s="5"/>
      <c r="N93" s="5"/>
      <c r="O93" s="5"/>
      <c r="P93" s="5"/>
      <c r="Q93" s="5"/>
      <c r="R93" s="5"/>
      <c r="S93" s="5">
        <f>SUM(bron[[#This Row],[Januari]:[December]])</f>
        <v>1</v>
      </c>
      <c r="T93" s="9">
        <v>45356</v>
      </c>
      <c r="U93" s="8" t="s">
        <v>480</v>
      </c>
      <c r="V93" s="8">
        <v>1</v>
      </c>
      <c r="W93" s="8"/>
      <c r="X93" t="s">
        <v>3</v>
      </c>
      <c r="Y93" t="s">
        <v>64</v>
      </c>
      <c r="Z93"/>
      <c r="AA93" t="s">
        <v>3612</v>
      </c>
      <c r="AB93">
        <f>COUNTIF(B:B,bron[[#This Row],[volledige naam]])</f>
        <v>10</v>
      </c>
    </row>
    <row r="94" spans="1:28" x14ac:dyDescent="0.25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J94" s="5"/>
      <c r="K94" s="5"/>
      <c r="L94" s="5"/>
      <c r="M94" s="5"/>
      <c r="N94" s="5"/>
      <c r="O94" s="5"/>
      <c r="P94" s="5"/>
      <c r="Q94" s="5"/>
      <c r="R94" s="5"/>
      <c r="S94" s="5">
        <f>SUM(bron[[#This Row],[Januari]:[December]])</f>
        <v>1</v>
      </c>
      <c r="T94" s="9">
        <v>45356</v>
      </c>
      <c r="U94" s="8" t="s">
        <v>481</v>
      </c>
      <c r="V94" s="8">
        <v>1</v>
      </c>
      <c r="W94" s="8"/>
      <c r="X94" t="s">
        <v>3</v>
      </c>
      <c r="Y94" t="s">
        <v>49</v>
      </c>
      <c r="Z94"/>
      <c r="AA94" t="s">
        <v>3612</v>
      </c>
      <c r="AB94">
        <f>COUNTIF(B:B,bron[[#This Row],[volledige naam]])</f>
        <v>6</v>
      </c>
    </row>
    <row r="95" spans="1:28" x14ac:dyDescent="0.25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J95" s="5"/>
      <c r="K95" s="5"/>
      <c r="L95" s="5"/>
      <c r="M95" s="5"/>
      <c r="N95" s="5"/>
      <c r="O95" s="5"/>
      <c r="P95" s="5"/>
      <c r="Q95" s="5"/>
      <c r="R95" s="5"/>
      <c r="S95" s="5">
        <f>SUM(bron[[#This Row],[Januari]:[December]])</f>
        <v>1</v>
      </c>
      <c r="T95" s="9">
        <v>45356</v>
      </c>
      <c r="U95" s="8" t="s">
        <v>482</v>
      </c>
      <c r="V95" s="8">
        <v>1</v>
      </c>
      <c r="W95" s="8"/>
      <c r="X95" t="s">
        <v>3</v>
      </c>
      <c r="Y95" t="s">
        <v>483</v>
      </c>
      <c r="Z95"/>
      <c r="AA95" t="s">
        <v>3612</v>
      </c>
      <c r="AB95">
        <f>COUNTIF(B:B,bron[[#This Row],[volledige naam]])</f>
        <v>4</v>
      </c>
    </row>
    <row r="96" spans="1:28" x14ac:dyDescent="0.25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J96" s="5"/>
      <c r="K96" s="5"/>
      <c r="L96" s="5"/>
      <c r="M96" s="5"/>
      <c r="N96" s="5"/>
      <c r="O96" s="5"/>
      <c r="P96" s="5"/>
      <c r="Q96" s="5"/>
      <c r="R96" s="5"/>
      <c r="S96" s="5">
        <f>SUM(bron[[#This Row],[Januari]:[December]])</f>
        <v>1</v>
      </c>
      <c r="T96" s="9">
        <v>45357</v>
      </c>
      <c r="U96" s="8" t="s">
        <v>484</v>
      </c>
      <c r="V96" s="8"/>
      <c r="W96" s="8">
        <v>1</v>
      </c>
      <c r="X96" t="s">
        <v>4</v>
      </c>
      <c r="Y96" t="s">
        <v>55</v>
      </c>
      <c r="Z96"/>
      <c r="AA96" t="s">
        <v>3612</v>
      </c>
      <c r="AB96">
        <f>COUNTIF(B:B,bron[[#This Row],[volledige naam]])</f>
        <v>4</v>
      </c>
    </row>
    <row r="97" spans="1:28" x14ac:dyDescent="0.25">
      <c r="A97">
        <v>9999</v>
      </c>
      <c r="B97" t="str">
        <f>_xlfn.CONCAT(bron[[#This Row],[personeelsnr]]," ",bron[[#This Row],[achternaam]]," ",bron[[#This Row],[voornaam]])</f>
        <v>9999 - -</v>
      </c>
      <c r="C97" t="s">
        <v>370</v>
      </c>
      <c r="D97" t="s">
        <v>370</v>
      </c>
      <c r="E97" t="s">
        <v>62</v>
      </c>
      <c r="F97" s="10"/>
      <c r="G97" s="7"/>
      <c r="H97" s="7"/>
      <c r="I97" s="7">
        <v>1</v>
      </c>
      <c r="J97" s="5"/>
      <c r="K97" s="5"/>
      <c r="L97" s="5"/>
      <c r="M97" s="5"/>
      <c r="N97" s="5"/>
      <c r="O97" s="5"/>
      <c r="P97" s="5"/>
      <c r="Q97" s="5"/>
      <c r="R97" s="5"/>
      <c r="S97" s="5">
        <f>SUM(bron[[#This Row],[Januari]:[December]])</f>
        <v>1</v>
      </c>
      <c r="T97" s="9">
        <v>45357</v>
      </c>
      <c r="U97" s="8" t="s">
        <v>485</v>
      </c>
      <c r="V97" s="8"/>
      <c r="W97" s="8">
        <v>1</v>
      </c>
      <c r="X97" t="s">
        <v>4</v>
      </c>
      <c r="Y97" t="s">
        <v>55</v>
      </c>
      <c r="Z97"/>
      <c r="AA97" t="s">
        <v>3612</v>
      </c>
      <c r="AB97">
        <f>COUNTIF(B:B,bron[[#This Row],[volledige naam]])</f>
        <v>58</v>
      </c>
    </row>
    <row r="98" spans="1:28" x14ac:dyDescent="0.25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J98" s="5"/>
      <c r="K98" s="5"/>
      <c r="L98" s="5"/>
      <c r="M98" s="5"/>
      <c r="N98" s="5"/>
      <c r="O98" s="5"/>
      <c r="P98" s="5"/>
      <c r="Q98" s="5"/>
      <c r="R98" s="5"/>
      <c r="S98" s="5">
        <f>SUM(bron[[#This Row],[Januari]:[December]])</f>
        <v>1</v>
      </c>
      <c r="T98" s="9">
        <v>45359</v>
      </c>
      <c r="U98" s="8" t="s">
        <v>486</v>
      </c>
      <c r="V98" s="8">
        <v>1</v>
      </c>
      <c r="W98" s="8"/>
      <c r="X98" t="s">
        <v>3</v>
      </c>
      <c r="Y98" t="s">
        <v>487</v>
      </c>
      <c r="Z98"/>
      <c r="AA98" t="s">
        <v>3612</v>
      </c>
      <c r="AB98">
        <f>COUNTIF(B:B,bron[[#This Row],[volledige naam]])</f>
        <v>6</v>
      </c>
    </row>
    <row r="99" spans="1:28" x14ac:dyDescent="0.25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J99" s="5"/>
      <c r="K99" s="5"/>
      <c r="L99" s="5"/>
      <c r="M99" s="5"/>
      <c r="N99" s="5"/>
      <c r="O99" s="5"/>
      <c r="P99" s="5"/>
      <c r="Q99" s="5"/>
      <c r="R99" s="5"/>
      <c r="S99" s="5">
        <f>SUM(bron[[#This Row],[Januari]:[December]])</f>
        <v>1</v>
      </c>
      <c r="T99" s="9">
        <v>45359</v>
      </c>
      <c r="U99" s="8" t="s">
        <v>488</v>
      </c>
      <c r="V99" s="8">
        <v>1</v>
      </c>
      <c r="W99" s="8"/>
      <c r="X99" t="s">
        <v>3</v>
      </c>
      <c r="Y99" t="s">
        <v>489</v>
      </c>
      <c r="Z99"/>
      <c r="AA99" t="s">
        <v>3612</v>
      </c>
      <c r="AB99">
        <f>COUNTIF(B:B,bron[[#This Row],[volledige naam]])</f>
        <v>9</v>
      </c>
    </row>
    <row r="100" spans="1:28" x14ac:dyDescent="0.25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J100" s="5"/>
      <c r="K100" s="5"/>
      <c r="L100" s="5"/>
      <c r="M100" s="5"/>
      <c r="N100" s="5"/>
      <c r="O100" s="5"/>
      <c r="P100" s="5"/>
      <c r="Q100" s="5"/>
      <c r="R100" s="5"/>
      <c r="S100" s="5">
        <f>SUM(bron[[#This Row],[Januari]:[December]])</f>
        <v>1</v>
      </c>
      <c r="T100" s="9">
        <v>45359</v>
      </c>
      <c r="U100" s="8" t="s">
        <v>490</v>
      </c>
      <c r="V100" s="8">
        <v>1</v>
      </c>
      <c r="W100" s="8"/>
      <c r="X100" t="s">
        <v>3</v>
      </c>
      <c r="Y100" t="s">
        <v>12</v>
      </c>
      <c r="Z100"/>
      <c r="AA100" t="s">
        <v>3612</v>
      </c>
      <c r="AB100">
        <f>COUNTIF(B:B,bron[[#This Row],[volledige naam]])</f>
        <v>6</v>
      </c>
    </row>
    <row r="101" spans="1:28" x14ac:dyDescent="0.25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J101" s="5"/>
      <c r="K101" s="5"/>
      <c r="L101" s="5"/>
      <c r="M101" s="5"/>
      <c r="N101" s="5"/>
      <c r="O101" s="5"/>
      <c r="P101" s="5"/>
      <c r="Q101" s="5"/>
      <c r="R101" s="5"/>
      <c r="S101" s="5">
        <f>SUM(bron[[#This Row],[Januari]:[December]])</f>
        <v>1</v>
      </c>
      <c r="T101" s="9">
        <v>45360</v>
      </c>
      <c r="U101" s="8" t="s">
        <v>491</v>
      </c>
      <c r="V101" s="8">
        <v>1</v>
      </c>
      <c r="W101" s="8"/>
      <c r="X101" t="s">
        <v>3</v>
      </c>
      <c r="Y101" t="s">
        <v>266</v>
      </c>
      <c r="Z101"/>
      <c r="AA101" t="s">
        <v>3612</v>
      </c>
      <c r="AB101">
        <f>COUNTIF(B:B,bron[[#This Row],[volledige naam]])</f>
        <v>4</v>
      </c>
    </row>
    <row r="102" spans="1:28" x14ac:dyDescent="0.25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J102" s="5"/>
      <c r="K102" s="5"/>
      <c r="L102" s="5"/>
      <c r="M102" s="5"/>
      <c r="N102" s="5"/>
      <c r="O102" s="5"/>
      <c r="P102" s="5"/>
      <c r="Q102" s="5"/>
      <c r="R102" s="5"/>
      <c r="S102" s="5">
        <f>SUM(bron[[#This Row],[Januari]:[December]])</f>
        <v>1</v>
      </c>
      <c r="T102" s="9">
        <v>45363</v>
      </c>
      <c r="U102" s="8" t="s">
        <v>492</v>
      </c>
      <c r="V102" s="8">
        <v>1</v>
      </c>
      <c r="W102" s="8"/>
      <c r="X102" t="s">
        <v>3</v>
      </c>
      <c r="Y102" t="s">
        <v>493</v>
      </c>
      <c r="Z102"/>
      <c r="AA102" t="s">
        <v>3612</v>
      </c>
      <c r="AB102">
        <f>COUNTIF(B:B,bron[[#This Row],[volledige naam]])</f>
        <v>3</v>
      </c>
    </row>
    <row r="103" spans="1:28" x14ac:dyDescent="0.25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370</v>
      </c>
      <c r="D103" t="s">
        <v>370</v>
      </c>
      <c r="E103" t="s">
        <v>62</v>
      </c>
      <c r="F103" s="10"/>
      <c r="G103" s="7"/>
      <c r="H103" s="7"/>
      <c r="I103" s="7">
        <v>1</v>
      </c>
      <c r="J103" s="5"/>
      <c r="K103" s="5"/>
      <c r="L103" s="5"/>
      <c r="M103" s="5"/>
      <c r="N103" s="5"/>
      <c r="O103" s="5"/>
      <c r="P103" s="5"/>
      <c r="Q103" s="5"/>
      <c r="R103" s="5"/>
      <c r="S103" s="5">
        <f>SUM(bron[[#This Row],[Januari]:[December]])</f>
        <v>1</v>
      </c>
      <c r="T103" s="9">
        <v>45363</v>
      </c>
      <c r="U103" s="8" t="s">
        <v>494</v>
      </c>
      <c r="V103" s="8">
        <v>1</v>
      </c>
      <c r="W103" s="8"/>
      <c r="X103" t="s">
        <v>3</v>
      </c>
      <c r="Y103" t="s">
        <v>495</v>
      </c>
      <c r="Z103"/>
      <c r="AA103" t="s">
        <v>3612</v>
      </c>
      <c r="AB103">
        <f>COUNTIF(B:B,bron[[#This Row],[volledige naam]])</f>
        <v>58</v>
      </c>
    </row>
    <row r="104" spans="1:28" x14ac:dyDescent="0.25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J104" s="5"/>
      <c r="K104" s="5"/>
      <c r="L104" s="5"/>
      <c r="M104" s="5"/>
      <c r="N104" s="5"/>
      <c r="O104" s="5"/>
      <c r="P104" s="5"/>
      <c r="Q104" s="5"/>
      <c r="R104" s="5"/>
      <c r="S104" s="5">
        <f>SUM(bron[[#This Row],[Januari]:[December]])</f>
        <v>1</v>
      </c>
      <c r="T104" s="9">
        <v>45364</v>
      </c>
      <c r="U104" s="8" t="s">
        <v>496</v>
      </c>
      <c r="V104" s="8">
        <v>1</v>
      </c>
      <c r="W104" s="8"/>
      <c r="X104" t="s">
        <v>3</v>
      </c>
      <c r="Y104" t="s">
        <v>22</v>
      </c>
      <c r="Z104"/>
      <c r="AA104" t="s">
        <v>3612</v>
      </c>
      <c r="AB104">
        <f>COUNTIF(B:B,bron[[#This Row],[volledige naam]])</f>
        <v>2</v>
      </c>
    </row>
    <row r="105" spans="1:28" x14ac:dyDescent="0.25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J105" s="5"/>
      <c r="K105" s="5"/>
      <c r="L105" s="5"/>
      <c r="M105" s="5"/>
      <c r="N105" s="5"/>
      <c r="O105" s="5"/>
      <c r="P105" s="5"/>
      <c r="Q105" s="5"/>
      <c r="R105" s="5"/>
      <c r="S105" s="5">
        <f>SUM(bron[[#This Row],[Januari]:[December]])</f>
        <v>1</v>
      </c>
      <c r="T105" s="9">
        <v>45364</v>
      </c>
      <c r="U105" s="8" t="s">
        <v>497</v>
      </c>
      <c r="V105" s="8">
        <v>1</v>
      </c>
      <c r="W105" s="8"/>
      <c r="X105" t="s">
        <v>3</v>
      </c>
      <c r="Y105" t="s">
        <v>498</v>
      </c>
      <c r="Z105"/>
      <c r="AA105" t="s">
        <v>3612</v>
      </c>
      <c r="AB105">
        <f>COUNTIF(B:B,bron[[#This Row],[volledige naam]])</f>
        <v>6</v>
      </c>
    </row>
    <row r="106" spans="1:28" x14ac:dyDescent="0.25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J106" s="5"/>
      <c r="K106" s="5"/>
      <c r="L106" s="5"/>
      <c r="M106" s="5"/>
      <c r="N106" s="5"/>
      <c r="O106" s="5"/>
      <c r="P106" s="5"/>
      <c r="Q106" s="5"/>
      <c r="R106" s="5"/>
      <c r="S106" s="5">
        <f>SUM(bron[[#This Row],[Januari]:[December]])</f>
        <v>1</v>
      </c>
      <c r="T106" s="9">
        <v>45364</v>
      </c>
      <c r="U106" s="8" t="s">
        <v>499</v>
      </c>
      <c r="V106" s="8"/>
      <c r="W106" s="8">
        <v>1</v>
      </c>
      <c r="X106" t="s">
        <v>4</v>
      </c>
      <c r="Y106" t="s">
        <v>152</v>
      </c>
      <c r="Z106"/>
      <c r="AA106" t="s">
        <v>3612</v>
      </c>
      <c r="AB106">
        <f>COUNTIF(B:B,bron[[#This Row],[volledige naam]])</f>
        <v>10</v>
      </c>
    </row>
    <row r="107" spans="1:28" x14ac:dyDescent="0.25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J107" s="5"/>
      <c r="K107" s="5"/>
      <c r="L107" s="5"/>
      <c r="M107" s="5"/>
      <c r="N107" s="5"/>
      <c r="O107" s="5"/>
      <c r="P107" s="5"/>
      <c r="Q107" s="5"/>
      <c r="R107" s="5"/>
      <c r="S107" s="5">
        <f>SUM(bron[[#This Row],[Januari]:[December]])</f>
        <v>1</v>
      </c>
      <c r="T107" s="9">
        <v>45364</v>
      </c>
      <c r="U107" s="8" t="s">
        <v>500</v>
      </c>
      <c r="V107" s="8"/>
      <c r="W107" s="8">
        <v>1</v>
      </c>
      <c r="X107" t="s">
        <v>4</v>
      </c>
      <c r="Y107" t="s">
        <v>2</v>
      </c>
      <c r="Z107"/>
      <c r="AA107" t="s">
        <v>3612</v>
      </c>
      <c r="AB107">
        <f>COUNTIF(B:B,bron[[#This Row],[volledige naam]])</f>
        <v>2</v>
      </c>
    </row>
    <row r="108" spans="1:28" x14ac:dyDescent="0.25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J108" s="5"/>
      <c r="K108" s="5"/>
      <c r="L108" s="5"/>
      <c r="M108" s="5"/>
      <c r="N108" s="5"/>
      <c r="O108" s="5"/>
      <c r="P108" s="5"/>
      <c r="Q108" s="5"/>
      <c r="R108" s="5"/>
      <c r="S108" s="5">
        <f>SUM(bron[[#This Row],[Januari]:[December]])</f>
        <v>1</v>
      </c>
      <c r="T108" s="9">
        <v>45364</v>
      </c>
      <c r="U108" s="8" t="s">
        <v>501</v>
      </c>
      <c r="V108" s="8">
        <v>1</v>
      </c>
      <c r="W108" s="8"/>
      <c r="X108" t="s">
        <v>3</v>
      </c>
      <c r="Y108" t="s">
        <v>264</v>
      </c>
      <c r="Z108"/>
      <c r="AA108" t="s">
        <v>3612</v>
      </c>
      <c r="AB108">
        <f>COUNTIF(B:B,bron[[#This Row],[volledige naam]])</f>
        <v>2</v>
      </c>
    </row>
    <row r="109" spans="1:28" x14ac:dyDescent="0.25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J109" s="5"/>
      <c r="K109" s="5"/>
      <c r="L109" s="5"/>
      <c r="M109" s="5"/>
      <c r="N109" s="5"/>
      <c r="O109" s="5"/>
      <c r="P109" s="5"/>
      <c r="Q109" s="5"/>
      <c r="R109" s="5"/>
      <c r="S109" s="5">
        <f>SUM(bron[[#This Row],[Januari]:[December]])</f>
        <v>1</v>
      </c>
      <c r="T109" s="9">
        <v>45365</v>
      </c>
      <c r="U109" s="8" t="s">
        <v>502</v>
      </c>
      <c r="V109" s="8">
        <v>1</v>
      </c>
      <c r="W109" s="8"/>
      <c r="X109" t="s">
        <v>3</v>
      </c>
      <c r="Y109" t="s">
        <v>503</v>
      </c>
      <c r="Z109"/>
      <c r="AA109" t="s">
        <v>3612</v>
      </c>
      <c r="AB109">
        <f>COUNTIF(B:B,bron[[#This Row],[volledige naam]])</f>
        <v>3</v>
      </c>
    </row>
    <row r="110" spans="1:28" x14ac:dyDescent="0.25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J110" s="5"/>
      <c r="K110" s="5"/>
      <c r="L110" s="5"/>
      <c r="M110" s="5"/>
      <c r="N110" s="5"/>
      <c r="O110" s="5"/>
      <c r="P110" s="5"/>
      <c r="Q110" s="5"/>
      <c r="R110" s="5"/>
      <c r="S110" s="5">
        <f>SUM(bron[[#This Row],[Januari]:[December]])</f>
        <v>1</v>
      </c>
      <c r="T110" s="9">
        <v>45367</v>
      </c>
      <c r="U110" s="8" t="s">
        <v>504</v>
      </c>
      <c r="V110" s="8">
        <v>1</v>
      </c>
      <c r="W110" s="8"/>
      <c r="X110" t="s">
        <v>3</v>
      </c>
      <c r="Y110" t="s">
        <v>8</v>
      </c>
      <c r="Z110"/>
      <c r="AA110" t="s">
        <v>3612</v>
      </c>
      <c r="AB110">
        <f>COUNTIF(B:B,bron[[#This Row],[volledige naam]])</f>
        <v>3</v>
      </c>
    </row>
    <row r="111" spans="1:28" x14ac:dyDescent="0.25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J111" s="5"/>
      <c r="K111" s="5"/>
      <c r="L111" s="5"/>
      <c r="M111" s="5"/>
      <c r="N111" s="5"/>
      <c r="O111" s="5"/>
      <c r="P111" s="5"/>
      <c r="Q111" s="5"/>
      <c r="R111" s="5"/>
      <c r="S111" s="5">
        <f>SUM(bron[[#This Row],[Januari]:[December]])</f>
        <v>1</v>
      </c>
      <c r="T111" s="9">
        <v>45369</v>
      </c>
      <c r="U111" s="8" t="s">
        <v>505</v>
      </c>
      <c r="V111" s="8">
        <v>1</v>
      </c>
      <c r="W111" s="8"/>
      <c r="X111" t="s">
        <v>3</v>
      </c>
      <c r="Y111" t="s">
        <v>14</v>
      </c>
      <c r="Z111"/>
      <c r="AA111" t="s">
        <v>3612</v>
      </c>
      <c r="AB111">
        <f>COUNTIF(B:B,bron[[#This Row],[volledige naam]])</f>
        <v>1</v>
      </c>
    </row>
    <row r="112" spans="1:28" x14ac:dyDescent="0.25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J112" s="5"/>
      <c r="K112" s="5"/>
      <c r="L112" s="5"/>
      <c r="M112" s="5"/>
      <c r="N112" s="5"/>
      <c r="O112" s="5"/>
      <c r="P112" s="5"/>
      <c r="Q112" s="5"/>
      <c r="R112" s="5"/>
      <c r="S112" s="5">
        <f>SUM(bron[[#This Row],[Januari]:[December]])</f>
        <v>1</v>
      </c>
      <c r="T112" s="9">
        <v>45369</v>
      </c>
      <c r="U112" s="8" t="s">
        <v>506</v>
      </c>
      <c r="V112" s="8">
        <v>1</v>
      </c>
      <c r="W112" s="8"/>
      <c r="X112" t="s">
        <v>3</v>
      </c>
      <c r="Y112" t="s">
        <v>6</v>
      </c>
      <c r="Z112"/>
      <c r="AA112" t="s">
        <v>3612</v>
      </c>
      <c r="AB112">
        <f>COUNTIF(B:B,bron[[#This Row],[volledige naam]])</f>
        <v>7</v>
      </c>
    </row>
    <row r="113" spans="1:28" x14ac:dyDescent="0.25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J113" s="5"/>
      <c r="K113" s="5"/>
      <c r="L113" s="5"/>
      <c r="M113" s="5"/>
      <c r="N113" s="5"/>
      <c r="O113" s="5"/>
      <c r="P113" s="5"/>
      <c r="Q113" s="5"/>
      <c r="R113" s="5"/>
      <c r="S113" s="5">
        <f>SUM(bron[[#This Row],[Januari]:[December]])</f>
        <v>1</v>
      </c>
      <c r="T113" s="9">
        <v>45370</v>
      </c>
      <c r="U113" s="8" t="s">
        <v>507</v>
      </c>
      <c r="V113" s="8">
        <v>1</v>
      </c>
      <c r="W113" s="8"/>
      <c r="X113" t="s">
        <v>3</v>
      </c>
      <c r="Y113" t="s">
        <v>94</v>
      </c>
      <c r="Z113"/>
      <c r="AA113" t="s">
        <v>3612</v>
      </c>
      <c r="AB113">
        <f>COUNTIF(B:B,bron[[#This Row],[volledige naam]])</f>
        <v>2</v>
      </c>
    </row>
    <row r="114" spans="1:28" x14ac:dyDescent="0.25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J114" s="5"/>
      <c r="K114" s="5"/>
      <c r="L114" s="5"/>
      <c r="M114" s="5"/>
      <c r="N114" s="5"/>
      <c r="O114" s="5"/>
      <c r="P114" s="5"/>
      <c r="Q114" s="5"/>
      <c r="R114" s="5"/>
      <c r="S114" s="5">
        <f>SUM(bron[[#This Row],[Januari]:[December]])</f>
        <v>1</v>
      </c>
      <c r="T114" s="9">
        <v>45370</v>
      </c>
      <c r="U114" s="8" t="s">
        <v>508</v>
      </c>
      <c r="V114" s="8"/>
      <c r="W114" s="8">
        <v>1</v>
      </c>
      <c r="X114" t="s">
        <v>4</v>
      </c>
      <c r="Y114" t="s">
        <v>468</v>
      </c>
      <c r="Z114"/>
      <c r="AA114" t="s">
        <v>3612</v>
      </c>
      <c r="AB114">
        <f>COUNTIF(B:B,bron[[#This Row],[volledige naam]])</f>
        <v>1</v>
      </c>
    </row>
    <row r="115" spans="1:28" x14ac:dyDescent="0.25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J115" s="5"/>
      <c r="K115" s="5"/>
      <c r="L115" s="5"/>
      <c r="M115" s="5"/>
      <c r="N115" s="5"/>
      <c r="O115" s="5"/>
      <c r="P115" s="5"/>
      <c r="Q115" s="5"/>
      <c r="R115" s="5"/>
      <c r="S115" s="5">
        <f>SUM(bron[[#This Row],[Januari]:[December]])</f>
        <v>1</v>
      </c>
      <c r="T115" s="9">
        <v>45371</v>
      </c>
      <c r="U115" s="8" t="s">
        <v>509</v>
      </c>
      <c r="V115" s="8">
        <v>1</v>
      </c>
      <c r="W115" s="8"/>
      <c r="X115" t="s">
        <v>3</v>
      </c>
      <c r="Y115" t="s">
        <v>510</v>
      </c>
      <c r="Z115"/>
      <c r="AA115" t="s">
        <v>3612</v>
      </c>
      <c r="AB115">
        <f>COUNTIF(B:B,bron[[#This Row],[volledige naam]])</f>
        <v>4</v>
      </c>
    </row>
    <row r="116" spans="1:28" x14ac:dyDescent="0.25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J116" s="5"/>
      <c r="K116" s="5"/>
      <c r="L116" s="5"/>
      <c r="M116" s="5"/>
      <c r="N116" s="5"/>
      <c r="O116" s="5"/>
      <c r="P116" s="5"/>
      <c r="Q116" s="5"/>
      <c r="R116" s="5"/>
      <c r="S116" s="5">
        <f>SUM(bron[[#This Row],[Januari]:[December]])</f>
        <v>1</v>
      </c>
      <c r="T116" s="9">
        <v>45371</v>
      </c>
      <c r="U116" s="8" t="s">
        <v>511</v>
      </c>
      <c r="V116" s="8"/>
      <c r="W116" s="8">
        <v>1</v>
      </c>
      <c r="X116" t="s">
        <v>4</v>
      </c>
      <c r="Y116" t="s">
        <v>512</v>
      </c>
      <c r="Z116"/>
      <c r="AA116" t="s">
        <v>3612</v>
      </c>
      <c r="AB116">
        <f>COUNTIF(B:B,bron[[#This Row],[volledige naam]])</f>
        <v>1</v>
      </c>
    </row>
    <row r="117" spans="1:28" x14ac:dyDescent="0.25">
      <c r="A117">
        <v>23880</v>
      </c>
      <c r="B117" t="e">
        <f>_xlfn.CONCAT(bron[[#This Row],[personeelsnr]]," ",bron[[#This Row],[achternaam]]," ",bron[[#This Row],[voornaam]])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 s="10"/>
      <c r="G117" s="7"/>
      <c r="H117" s="7"/>
      <c r="I117" s="7">
        <v>1</v>
      </c>
      <c r="J117" s="5"/>
      <c r="K117" s="5"/>
      <c r="L117" s="5"/>
      <c r="M117" s="5"/>
      <c r="N117" s="5"/>
      <c r="O117" s="5"/>
      <c r="P117" s="5"/>
      <c r="Q117" s="5"/>
      <c r="R117" s="5"/>
      <c r="S117" s="5">
        <f>SUM(bron[[#This Row],[Januari]:[December]])</f>
        <v>1</v>
      </c>
      <c r="T117" s="9">
        <v>45371</v>
      </c>
      <c r="U117" s="8" t="s">
        <v>513</v>
      </c>
      <c r="V117" s="8"/>
      <c r="W117" s="8">
        <v>1</v>
      </c>
      <c r="X117" t="s">
        <v>4</v>
      </c>
      <c r="Y117" t="s">
        <v>514</v>
      </c>
      <c r="Z117"/>
      <c r="AA117" t="s">
        <v>3612</v>
      </c>
      <c r="AB117">
        <f>COUNTIF(B:B,bron[[#This Row],[volledige naam]])</f>
        <v>24</v>
      </c>
    </row>
    <row r="118" spans="1:28" x14ac:dyDescent="0.25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J118" s="5"/>
      <c r="K118" s="5"/>
      <c r="L118" s="5"/>
      <c r="M118" s="5"/>
      <c r="N118" s="5"/>
      <c r="O118" s="5"/>
      <c r="P118" s="5"/>
      <c r="Q118" s="5"/>
      <c r="R118" s="5"/>
      <c r="S118" s="5">
        <f>SUM(bron[[#This Row],[Januari]:[December]])</f>
        <v>1</v>
      </c>
      <c r="T118" s="9">
        <v>45371</v>
      </c>
      <c r="U118" s="8" t="s">
        <v>515</v>
      </c>
      <c r="V118" s="8">
        <v>1</v>
      </c>
      <c r="W118" s="8"/>
      <c r="X118" t="s">
        <v>3</v>
      </c>
      <c r="Y118" t="s">
        <v>516</v>
      </c>
      <c r="Z118"/>
      <c r="AA118" t="s">
        <v>3612</v>
      </c>
      <c r="AB118">
        <f>COUNTIF(B:B,bron[[#This Row],[volledige naam]])</f>
        <v>3</v>
      </c>
    </row>
    <row r="119" spans="1:28" x14ac:dyDescent="0.25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J119" s="5"/>
      <c r="K119" s="5"/>
      <c r="L119" s="5"/>
      <c r="M119" s="5"/>
      <c r="N119" s="5"/>
      <c r="O119" s="5"/>
      <c r="P119" s="5"/>
      <c r="Q119" s="5"/>
      <c r="R119" s="5"/>
      <c r="S119" s="5">
        <f>SUM(bron[[#This Row],[Januari]:[December]])</f>
        <v>1</v>
      </c>
      <c r="T119" s="9">
        <v>45372</v>
      </c>
      <c r="U119" s="8" t="s">
        <v>517</v>
      </c>
      <c r="V119" s="8">
        <v>1</v>
      </c>
      <c r="W119" s="8"/>
      <c r="X119" t="s">
        <v>3</v>
      </c>
      <c r="Y119" t="s">
        <v>152</v>
      </c>
      <c r="Z119"/>
      <c r="AA119" t="s">
        <v>3612</v>
      </c>
      <c r="AB119">
        <f>COUNTIF(B:B,bron[[#This Row],[volledige naam]])</f>
        <v>1</v>
      </c>
    </row>
    <row r="120" spans="1:28" x14ac:dyDescent="0.25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J120" s="5"/>
      <c r="K120" s="5"/>
      <c r="L120" s="5"/>
      <c r="M120" s="5"/>
      <c r="N120" s="5"/>
      <c r="O120" s="5"/>
      <c r="P120" s="5"/>
      <c r="Q120" s="5"/>
      <c r="R120" s="5"/>
      <c r="S120" s="5">
        <f>SUM(bron[[#This Row],[Januari]:[December]])</f>
        <v>1</v>
      </c>
      <c r="T120" s="9">
        <v>45373</v>
      </c>
      <c r="U120" s="8" t="s">
        <v>518</v>
      </c>
      <c r="V120" s="8">
        <v>1</v>
      </c>
      <c r="W120" s="8"/>
      <c r="X120" t="s">
        <v>3</v>
      </c>
      <c r="Y120" t="s">
        <v>94</v>
      </c>
      <c r="Z120"/>
      <c r="AA120" t="s">
        <v>3612</v>
      </c>
      <c r="AB120">
        <f>COUNTIF(B:B,bron[[#This Row],[volledige naam]])</f>
        <v>5</v>
      </c>
    </row>
    <row r="121" spans="1:28" x14ac:dyDescent="0.25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J121" s="5"/>
      <c r="K121" s="5"/>
      <c r="L121" s="5"/>
      <c r="M121" s="5"/>
      <c r="N121" s="5"/>
      <c r="O121" s="5"/>
      <c r="P121" s="5"/>
      <c r="Q121" s="5"/>
      <c r="R121" s="5"/>
      <c r="S121" s="5">
        <f>SUM(bron[[#This Row],[Januari]:[December]])</f>
        <v>1</v>
      </c>
      <c r="T121" s="9">
        <v>45373</v>
      </c>
      <c r="U121" s="8" t="s">
        <v>519</v>
      </c>
      <c r="V121" s="8">
        <v>1</v>
      </c>
      <c r="W121" s="8"/>
      <c r="X121" t="s">
        <v>3</v>
      </c>
      <c r="Y121" t="s">
        <v>14</v>
      </c>
      <c r="Z121"/>
      <c r="AA121" t="s">
        <v>3612</v>
      </c>
      <c r="AB121">
        <f>COUNTIF(B:B,bron[[#This Row],[volledige naam]])</f>
        <v>4</v>
      </c>
    </row>
    <row r="122" spans="1:28" x14ac:dyDescent="0.25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J122" s="5"/>
      <c r="K122" s="5"/>
      <c r="L122" s="5"/>
      <c r="M122" s="5"/>
      <c r="N122" s="5"/>
      <c r="O122" s="5"/>
      <c r="P122" s="5"/>
      <c r="Q122" s="5"/>
      <c r="R122" s="5"/>
      <c r="S122" s="5">
        <f>SUM(bron[[#This Row],[Januari]:[December]])</f>
        <v>1</v>
      </c>
      <c r="T122" s="9">
        <v>45373</v>
      </c>
      <c r="U122" s="8" t="s">
        <v>520</v>
      </c>
      <c r="V122" s="8"/>
      <c r="W122" s="8">
        <v>1</v>
      </c>
      <c r="X122" t="s">
        <v>4</v>
      </c>
      <c r="Y122" t="s">
        <v>521</v>
      </c>
      <c r="Z122"/>
      <c r="AA122" t="s">
        <v>3612</v>
      </c>
      <c r="AB122">
        <f>COUNTIF(B:B,bron[[#This Row],[volledige naam]])</f>
        <v>3</v>
      </c>
    </row>
    <row r="123" spans="1:28" x14ac:dyDescent="0.25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J123" s="5"/>
      <c r="K123" s="5"/>
      <c r="L123" s="5"/>
      <c r="M123" s="5"/>
      <c r="N123" s="5"/>
      <c r="O123" s="5"/>
      <c r="P123" s="5"/>
      <c r="Q123" s="5"/>
      <c r="R123" s="5"/>
      <c r="S123" s="5">
        <f>SUM(bron[[#This Row],[Januari]:[December]])</f>
        <v>1</v>
      </c>
      <c r="T123" s="9">
        <v>45373</v>
      </c>
      <c r="U123" s="8" t="s">
        <v>522</v>
      </c>
      <c r="V123" s="8"/>
      <c r="W123" s="8">
        <v>1</v>
      </c>
      <c r="X123" t="s">
        <v>4</v>
      </c>
      <c r="Y123" t="s">
        <v>6</v>
      </c>
      <c r="Z123"/>
      <c r="AA123" t="s">
        <v>3612</v>
      </c>
      <c r="AB123">
        <f>COUNTIF(B:B,bron[[#This Row],[volledige naam]])</f>
        <v>10</v>
      </c>
    </row>
    <row r="124" spans="1:28" x14ac:dyDescent="0.25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J124" s="5"/>
      <c r="K124" s="5"/>
      <c r="L124" s="5"/>
      <c r="M124" s="5"/>
      <c r="N124" s="5"/>
      <c r="O124" s="5"/>
      <c r="P124" s="5"/>
      <c r="Q124" s="5"/>
      <c r="R124" s="5"/>
      <c r="S124" s="5">
        <f>SUM(bron[[#This Row],[Januari]:[December]])</f>
        <v>1</v>
      </c>
      <c r="T124" s="9">
        <v>45373</v>
      </c>
      <c r="U124" s="8" t="s">
        <v>523</v>
      </c>
      <c r="V124" s="8">
        <v>1</v>
      </c>
      <c r="W124" s="8"/>
      <c r="X124" t="s">
        <v>3</v>
      </c>
      <c r="Y124" t="s">
        <v>14</v>
      </c>
      <c r="Z124"/>
      <c r="AA124" t="s">
        <v>3612</v>
      </c>
      <c r="AB124">
        <f>COUNTIF(B:B,bron[[#This Row],[volledige naam]])</f>
        <v>8</v>
      </c>
    </row>
    <row r="125" spans="1:28" x14ac:dyDescent="0.25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370</v>
      </c>
      <c r="D125" t="s">
        <v>370</v>
      </c>
      <c r="E125" t="s">
        <v>62</v>
      </c>
      <c r="F125" s="10"/>
      <c r="G125" s="7"/>
      <c r="H125" s="7"/>
      <c r="I125" s="7">
        <v>1</v>
      </c>
      <c r="J125" s="5"/>
      <c r="K125" s="5"/>
      <c r="L125" s="5"/>
      <c r="M125" s="5"/>
      <c r="N125" s="5"/>
      <c r="O125" s="5"/>
      <c r="P125" s="5"/>
      <c r="Q125" s="5"/>
      <c r="R125" s="5"/>
      <c r="S125" s="5">
        <f>SUM(bron[[#This Row],[Januari]:[December]])</f>
        <v>1</v>
      </c>
      <c r="T125" s="9">
        <v>45373</v>
      </c>
      <c r="U125" s="8" t="s">
        <v>524</v>
      </c>
      <c r="V125" s="8"/>
      <c r="W125" s="8">
        <v>1</v>
      </c>
      <c r="X125" t="s">
        <v>4</v>
      </c>
      <c r="Y125" t="s">
        <v>20</v>
      </c>
      <c r="Z125"/>
      <c r="AA125" t="s">
        <v>3612</v>
      </c>
      <c r="AB125">
        <f>COUNTIF(B:B,bron[[#This Row],[volledige naam]])</f>
        <v>58</v>
      </c>
    </row>
    <row r="126" spans="1:28" x14ac:dyDescent="0.25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J126" s="5"/>
      <c r="K126" s="5"/>
      <c r="L126" s="5"/>
      <c r="M126" s="5"/>
      <c r="N126" s="5"/>
      <c r="O126" s="5"/>
      <c r="P126" s="5"/>
      <c r="Q126" s="5"/>
      <c r="R126" s="5"/>
      <c r="S126" s="5">
        <f>SUM(bron[[#This Row],[Januari]:[December]])</f>
        <v>1</v>
      </c>
      <c r="T126" s="9">
        <v>45373</v>
      </c>
      <c r="U126" s="8" t="s">
        <v>525</v>
      </c>
      <c r="V126" s="8">
        <v>1</v>
      </c>
      <c r="W126" s="8"/>
      <c r="X126" t="s">
        <v>3</v>
      </c>
      <c r="Y126" t="s">
        <v>28</v>
      </c>
      <c r="Z126"/>
      <c r="AA126" t="s">
        <v>3612</v>
      </c>
      <c r="AB126">
        <f>COUNTIF(B:B,bron[[#This Row],[volledige naam]])</f>
        <v>1</v>
      </c>
    </row>
    <row r="127" spans="1:28" x14ac:dyDescent="0.25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J127" s="5"/>
      <c r="K127" s="5"/>
      <c r="L127" s="5"/>
      <c r="M127" s="5"/>
      <c r="N127" s="5"/>
      <c r="O127" s="5"/>
      <c r="P127" s="5"/>
      <c r="Q127" s="5"/>
      <c r="R127" s="5"/>
      <c r="S127" s="5">
        <f>SUM(bron[[#This Row],[Januari]:[December]])</f>
        <v>1</v>
      </c>
      <c r="T127" s="9">
        <v>45374</v>
      </c>
      <c r="U127" s="8" t="s">
        <v>526</v>
      </c>
      <c r="V127" s="8"/>
      <c r="W127" s="8">
        <v>1</v>
      </c>
      <c r="X127" t="s">
        <v>4</v>
      </c>
      <c r="Y127" t="s">
        <v>527</v>
      </c>
      <c r="Z127"/>
      <c r="AA127" t="s">
        <v>3612</v>
      </c>
      <c r="AB127">
        <f>COUNTIF(B:B,bron[[#This Row],[volledige naam]])</f>
        <v>2</v>
      </c>
    </row>
    <row r="128" spans="1:28" x14ac:dyDescent="0.25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J128" s="5"/>
      <c r="K128" s="5"/>
      <c r="L128" s="5"/>
      <c r="M128" s="5"/>
      <c r="N128" s="5"/>
      <c r="O128" s="5"/>
      <c r="P128" s="5"/>
      <c r="Q128" s="5"/>
      <c r="R128" s="5"/>
      <c r="S128" s="5">
        <f>SUM(bron[[#This Row],[Januari]:[December]])</f>
        <v>1</v>
      </c>
      <c r="T128" s="9">
        <v>45375</v>
      </c>
      <c r="U128" s="8" t="s">
        <v>528</v>
      </c>
      <c r="V128" s="8">
        <v>1</v>
      </c>
      <c r="W128" s="8"/>
      <c r="X128" t="s">
        <v>3</v>
      </c>
      <c r="Y128" t="s">
        <v>280</v>
      </c>
      <c r="Z128"/>
      <c r="AA128" t="s">
        <v>3612</v>
      </c>
      <c r="AB128">
        <f>COUNTIF(B:B,bron[[#This Row],[volledige naam]])</f>
        <v>3</v>
      </c>
    </row>
    <row r="129" spans="1:28" x14ac:dyDescent="0.25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J129" s="5"/>
      <c r="K129" s="5"/>
      <c r="L129" s="5"/>
      <c r="M129" s="5"/>
      <c r="N129" s="5"/>
      <c r="O129" s="5"/>
      <c r="P129" s="5"/>
      <c r="Q129" s="5"/>
      <c r="R129" s="5"/>
      <c r="S129" s="5">
        <f>SUM(bron[[#This Row],[Januari]:[December]])</f>
        <v>1</v>
      </c>
      <c r="T129" s="9">
        <v>45376</v>
      </c>
      <c r="U129" s="8" t="s">
        <v>529</v>
      </c>
      <c r="V129" s="8"/>
      <c r="W129" s="8">
        <v>1</v>
      </c>
      <c r="X129" t="s">
        <v>4</v>
      </c>
      <c r="Y129" t="s">
        <v>6</v>
      </c>
      <c r="Z129"/>
      <c r="AA129" t="s">
        <v>3612</v>
      </c>
      <c r="AB129">
        <f>COUNTIF(B:B,bron[[#This Row],[volledige naam]])</f>
        <v>2</v>
      </c>
    </row>
    <row r="130" spans="1:28" x14ac:dyDescent="0.25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J130" s="5"/>
      <c r="K130" s="5"/>
      <c r="L130" s="5"/>
      <c r="M130" s="5"/>
      <c r="N130" s="5"/>
      <c r="O130" s="5"/>
      <c r="P130" s="5"/>
      <c r="Q130" s="5"/>
      <c r="R130" s="5"/>
      <c r="S130" s="5">
        <f>SUM(bron[[#This Row],[Januari]:[December]])</f>
        <v>1</v>
      </c>
      <c r="T130" s="9">
        <v>45377</v>
      </c>
      <c r="U130" s="8" t="s">
        <v>530</v>
      </c>
      <c r="V130" s="8">
        <v>1</v>
      </c>
      <c r="W130" s="8"/>
      <c r="X130" t="s">
        <v>3</v>
      </c>
      <c r="Y130" t="s">
        <v>8</v>
      </c>
      <c r="Z130"/>
      <c r="AA130" t="s">
        <v>3612</v>
      </c>
      <c r="AB130">
        <f>COUNTIF(B:B,bron[[#This Row],[volledige naam]])</f>
        <v>6</v>
      </c>
    </row>
    <row r="131" spans="1:28" x14ac:dyDescent="0.25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J131" s="5"/>
      <c r="K131" s="5"/>
      <c r="L131" s="5"/>
      <c r="M131" s="5"/>
      <c r="N131" s="5"/>
      <c r="O131" s="5"/>
      <c r="P131" s="5"/>
      <c r="Q131" s="5"/>
      <c r="R131" s="5"/>
      <c r="S131" s="5">
        <f>SUM(bron[[#This Row],[Januari]:[December]])</f>
        <v>1</v>
      </c>
      <c r="T131" s="9">
        <v>45379</v>
      </c>
      <c r="U131" s="8" t="s">
        <v>531</v>
      </c>
      <c r="V131" s="8"/>
      <c r="W131" s="8">
        <v>1</v>
      </c>
      <c r="X131" t="s">
        <v>4</v>
      </c>
      <c r="Y131" t="s">
        <v>64</v>
      </c>
      <c r="Z131"/>
      <c r="AA131" t="s">
        <v>3612</v>
      </c>
      <c r="AB131">
        <f>COUNTIF(B:B,bron[[#This Row],[volledige naam]])</f>
        <v>1</v>
      </c>
    </row>
    <row r="132" spans="1:28" x14ac:dyDescent="0.25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J132" s="5"/>
      <c r="K132" s="5"/>
      <c r="L132" s="5"/>
      <c r="M132" s="5"/>
      <c r="N132" s="5"/>
      <c r="O132" s="5"/>
      <c r="P132" s="5"/>
      <c r="Q132" s="5"/>
      <c r="R132" s="5"/>
      <c r="S132" s="5">
        <f>SUM(bron[[#This Row],[Januari]:[December]])</f>
        <v>1</v>
      </c>
      <c r="T132" s="9">
        <v>45379</v>
      </c>
      <c r="U132" s="8" t="s">
        <v>532</v>
      </c>
      <c r="V132" s="8"/>
      <c r="W132" s="8">
        <v>1</v>
      </c>
      <c r="X132" t="s">
        <v>4</v>
      </c>
      <c r="Y132" t="s">
        <v>2</v>
      </c>
      <c r="Z132"/>
      <c r="AA132" t="s">
        <v>3612</v>
      </c>
      <c r="AB132">
        <f>COUNTIF(B:B,bron[[#This Row],[volledige naam]])</f>
        <v>2</v>
      </c>
    </row>
    <row r="133" spans="1:28" x14ac:dyDescent="0.25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J133" s="5"/>
      <c r="K133" s="5"/>
      <c r="L133" s="5"/>
      <c r="M133" s="5"/>
      <c r="N133" s="5"/>
      <c r="O133" s="5"/>
      <c r="P133" s="5"/>
      <c r="Q133" s="5"/>
      <c r="R133" s="5"/>
      <c r="S133" s="5">
        <f>SUM(bron[[#This Row],[Januari]:[December]])</f>
        <v>1</v>
      </c>
      <c r="T133" s="9">
        <v>45380</v>
      </c>
      <c r="U133" s="8" t="s">
        <v>533</v>
      </c>
      <c r="V133" s="8"/>
      <c r="W133" s="8">
        <v>1</v>
      </c>
      <c r="X133" t="s">
        <v>4</v>
      </c>
      <c r="Y133" t="s">
        <v>256</v>
      </c>
      <c r="Z133"/>
      <c r="AA133" t="s">
        <v>3612</v>
      </c>
      <c r="AB133">
        <f>COUNTIF(B:B,bron[[#This Row],[volledige naam]])</f>
        <v>1</v>
      </c>
    </row>
    <row r="134" spans="1:28" x14ac:dyDescent="0.25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370</v>
      </c>
      <c r="D134" t="s">
        <v>370</v>
      </c>
      <c r="E134" t="s">
        <v>62</v>
      </c>
      <c r="F134" s="10"/>
      <c r="G134" s="7"/>
      <c r="H134" s="7"/>
      <c r="I134" s="7">
        <v>1</v>
      </c>
      <c r="J134" s="5"/>
      <c r="K134" s="5"/>
      <c r="L134" s="5"/>
      <c r="M134" s="5"/>
      <c r="N134" s="5"/>
      <c r="O134" s="5"/>
      <c r="P134" s="5"/>
      <c r="Q134" s="5"/>
      <c r="R134" s="5"/>
      <c r="S134" s="5">
        <f>SUM(bron[[#This Row],[Januari]:[December]])</f>
        <v>1</v>
      </c>
      <c r="T134" s="9">
        <v>45380</v>
      </c>
      <c r="U134" s="8" t="s">
        <v>534</v>
      </c>
      <c r="V134" s="8"/>
      <c r="W134" s="8">
        <v>1</v>
      </c>
      <c r="X134" t="s">
        <v>4</v>
      </c>
      <c r="Y134" t="s">
        <v>128</v>
      </c>
      <c r="Z134"/>
      <c r="AA134" t="s">
        <v>3612</v>
      </c>
      <c r="AB134">
        <f>COUNTIF(B:B,bron[[#This Row],[volledige naam]])</f>
        <v>58</v>
      </c>
    </row>
    <row r="135" spans="1:28" x14ac:dyDescent="0.25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J135" s="5"/>
      <c r="K135" s="5"/>
      <c r="L135" s="5"/>
      <c r="M135" s="5"/>
      <c r="N135" s="5"/>
      <c r="O135" s="5"/>
      <c r="P135" s="5"/>
      <c r="Q135" s="5"/>
      <c r="R135" s="5"/>
      <c r="S135" s="5">
        <f>SUM(bron[[#This Row],[Januari]:[December]])</f>
        <v>1</v>
      </c>
      <c r="T135" s="9">
        <v>45382</v>
      </c>
      <c r="U135" s="8" t="s">
        <v>535</v>
      </c>
      <c r="V135" s="8">
        <v>1</v>
      </c>
      <c r="W135" s="8"/>
      <c r="X135" t="s">
        <v>3</v>
      </c>
      <c r="Y135" t="s">
        <v>14</v>
      </c>
      <c r="Z135"/>
      <c r="AA135" t="s">
        <v>3612</v>
      </c>
      <c r="AB135">
        <f>COUNTIF(B:B,bron[[#This Row],[volledige naam]])</f>
        <v>2</v>
      </c>
    </row>
    <row r="136" spans="1:28" x14ac:dyDescent="0.25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J136" s="5"/>
      <c r="K136" s="5"/>
      <c r="L136" s="5"/>
      <c r="M136" s="5"/>
      <c r="N136" s="5"/>
      <c r="O136" s="5"/>
      <c r="P136" s="5"/>
      <c r="Q136" s="5"/>
      <c r="R136" s="5"/>
      <c r="S136" s="5">
        <f>SUM(bron[[#This Row],[Januari]:[December]])</f>
        <v>1</v>
      </c>
      <c r="T136" s="9">
        <v>45382</v>
      </c>
      <c r="U136" s="8" t="s">
        <v>536</v>
      </c>
      <c r="V136" s="8">
        <v>1</v>
      </c>
      <c r="W136" s="8"/>
      <c r="X136" t="s">
        <v>3</v>
      </c>
      <c r="Y136" t="s">
        <v>199</v>
      </c>
      <c r="Z136"/>
      <c r="AA136" t="s">
        <v>3612</v>
      </c>
      <c r="AB136">
        <f>COUNTIF(B:B,bron[[#This Row],[volledige naam]])</f>
        <v>3</v>
      </c>
    </row>
    <row r="137" spans="1:28" x14ac:dyDescent="0.25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J137" s="5"/>
      <c r="K137" s="5"/>
      <c r="L137" s="5"/>
      <c r="M137" s="5"/>
      <c r="N137" s="5"/>
      <c r="O137" s="5"/>
      <c r="P137" s="5"/>
      <c r="Q137" s="5"/>
      <c r="R137" s="5"/>
      <c r="S137" s="5">
        <f>SUM(bron[[#This Row],[Januari]:[December]])</f>
        <v>1</v>
      </c>
      <c r="T137" s="9">
        <v>45382</v>
      </c>
      <c r="U137" s="8" t="s">
        <v>537</v>
      </c>
      <c r="V137" s="8"/>
      <c r="W137" s="8">
        <v>1</v>
      </c>
      <c r="X137" t="s">
        <v>4</v>
      </c>
      <c r="Y137" t="s">
        <v>521</v>
      </c>
      <c r="Z137"/>
      <c r="AA137" t="s">
        <v>3612</v>
      </c>
      <c r="AB137">
        <f>COUNTIF(B:B,bron[[#This Row],[volledige naam]])</f>
        <v>3</v>
      </c>
    </row>
    <row r="138" spans="1:28" x14ac:dyDescent="0.25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K138" s="5"/>
      <c r="L138" s="5"/>
      <c r="M138" s="5"/>
      <c r="N138" s="5"/>
      <c r="O138" s="5"/>
      <c r="P138" s="5"/>
      <c r="Q138" s="5"/>
      <c r="R138" s="5"/>
      <c r="S138" s="5">
        <f>SUM(bron[[#This Row],[Januari]:[December]])</f>
        <v>1</v>
      </c>
      <c r="T138" s="9">
        <v>45383</v>
      </c>
      <c r="U138" s="8" t="s">
        <v>538</v>
      </c>
      <c r="V138" s="8">
        <v>1</v>
      </c>
      <c r="W138" s="8"/>
      <c r="X138" t="s">
        <v>3</v>
      </c>
      <c r="Y138" t="s">
        <v>539</v>
      </c>
      <c r="Z138"/>
      <c r="AA138" t="s">
        <v>3612</v>
      </c>
      <c r="AB138">
        <f>COUNTIF(B:B,bron[[#This Row],[volledige naam]])</f>
        <v>4</v>
      </c>
    </row>
    <row r="139" spans="1:28" x14ac:dyDescent="0.25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K139" s="5"/>
      <c r="L139" s="5"/>
      <c r="M139" s="5"/>
      <c r="N139" s="5"/>
      <c r="O139" s="5"/>
      <c r="P139" s="5"/>
      <c r="Q139" s="5"/>
      <c r="R139" s="5"/>
      <c r="S139" s="5">
        <f>SUM(bron[[#This Row],[Januari]:[December]])</f>
        <v>1</v>
      </c>
      <c r="T139" s="9">
        <v>45386</v>
      </c>
      <c r="U139" s="8" t="s">
        <v>540</v>
      </c>
      <c r="V139" s="8">
        <v>1</v>
      </c>
      <c r="W139" s="8"/>
      <c r="X139" t="s">
        <v>3</v>
      </c>
      <c r="Y139" t="s">
        <v>541</v>
      </c>
      <c r="Z139"/>
      <c r="AA139" t="s">
        <v>3612</v>
      </c>
      <c r="AB139">
        <f>COUNTIF(B:B,bron[[#This Row],[volledige naam]])</f>
        <v>2</v>
      </c>
    </row>
    <row r="140" spans="1:28" x14ac:dyDescent="0.25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K140" s="5"/>
      <c r="L140" s="5"/>
      <c r="M140" s="5"/>
      <c r="N140" s="5"/>
      <c r="O140" s="5"/>
      <c r="P140" s="5"/>
      <c r="Q140" s="5"/>
      <c r="R140" s="5"/>
      <c r="S140" s="5">
        <f>SUM(bron[[#This Row],[Januari]:[December]])</f>
        <v>1</v>
      </c>
      <c r="T140" s="9">
        <v>45387</v>
      </c>
      <c r="U140" s="8" t="s">
        <v>542</v>
      </c>
      <c r="V140" s="8"/>
      <c r="W140" s="8">
        <v>1</v>
      </c>
      <c r="X140" t="s">
        <v>4</v>
      </c>
      <c r="Y140" t="s">
        <v>512</v>
      </c>
      <c r="Z140"/>
      <c r="AA140" t="s">
        <v>3612</v>
      </c>
      <c r="AB140">
        <f>COUNTIF(B:B,bron[[#This Row],[volledige naam]])</f>
        <v>1</v>
      </c>
    </row>
    <row r="141" spans="1:28" x14ac:dyDescent="0.25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370</v>
      </c>
      <c r="D141" t="s">
        <v>370</v>
      </c>
      <c r="E141" t="s">
        <v>62</v>
      </c>
      <c r="F141" s="10"/>
      <c r="G141" s="7"/>
      <c r="H141" s="7"/>
      <c r="I141" s="7"/>
      <c r="J141" s="5">
        <v>1</v>
      </c>
      <c r="K141" s="5"/>
      <c r="L141" s="5"/>
      <c r="M141" s="5"/>
      <c r="N141" s="5"/>
      <c r="O141" s="5"/>
      <c r="P141" s="5"/>
      <c r="Q141" s="5"/>
      <c r="R141" s="5"/>
      <c r="S141" s="5">
        <f>SUM(bron[[#This Row],[Januari]:[December]])</f>
        <v>1</v>
      </c>
      <c r="T141" s="9">
        <v>45389</v>
      </c>
      <c r="U141" s="8" t="s">
        <v>543</v>
      </c>
      <c r="V141" s="8">
        <v>1</v>
      </c>
      <c r="W141" s="8"/>
      <c r="X141" t="s">
        <v>3</v>
      </c>
      <c r="Y141" t="s">
        <v>142</v>
      </c>
      <c r="Z141"/>
      <c r="AA141" t="s">
        <v>3612</v>
      </c>
      <c r="AB141">
        <f>COUNTIF(B:B,bron[[#This Row],[volledige naam]])</f>
        <v>58</v>
      </c>
    </row>
    <row r="142" spans="1:28" x14ac:dyDescent="0.25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K142" s="5"/>
      <c r="L142" s="5"/>
      <c r="M142" s="5"/>
      <c r="N142" s="5"/>
      <c r="O142" s="5"/>
      <c r="P142" s="5"/>
      <c r="Q142" s="5"/>
      <c r="R142" s="5"/>
      <c r="S142" s="5">
        <f>SUM(bron[[#This Row],[Januari]:[December]])</f>
        <v>1</v>
      </c>
      <c r="T142" s="9">
        <v>45389</v>
      </c>
      <c r="U142" s="8" t="s">
        <v>544</v>
      </c>
      <c r="V142" s="8">
        <v>1</v>
      </c>
      <c r="W142" s="8"/>
      <c r="X142" t="s">
        <v>3</v>
      </c>
      <c r="Y142" t="s">
        <v>158</v>
      </c>
      <c r="Z142"/>
      <c r="AA142" t="s">
        <v>3612</v>
      </c>
      <c r="AB142">
        <f>COUNTIF(B:B,bron[[#This Row],[volledige naam]])</f>
        <v>3</v>
      </c>
    </row>
    <row r="143" spans="1:28" x14ac:dyDescent="0.25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K143" s="5"/>
      <c r="L143" s="5"/>
      <c r="M143" s="5"/>
      <c r="N143" s="5"/>
      <c r="O143" s="5"/>
      <c r="P143" s="5"/>
      <c r="Q143" s="5"/>
      <c r="R143" s="5"/>
      <c r="S143" s="5">
        <f>SUM(bron[[#This Row],[Januari]:[December]])</f>
        <v>1</v>
      </c>
      <c r="T143" s="9">
        <v>45389</v>
      </c>
      <c r="U143" s="8" t="s">
        <v>545</v>
      </c>
      <c r="V143" s="8">
        <v>1</v>
      </c>
      <c r="W143" s="8"/>
      <c r="X143" t="s">
        <v>3</v>
      </c>
      <c r="Y143" t="s">
        <v>37</v>
      </c>
      <c r="Z143"/>
      <c r="AA143" t="s">
        <v>3612</v>
      </c>
      <c r="AB143">
        <f>COUNTIF(B:B,bron[[#This Row],[volledige naam]])</f>
        <v>1</v>
      </c>
    </row>
    <row r="144" spans="1:28" x14ac:dyDescent="0.25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370</v>
      </c>
      <c r="D144" t="s">
        <v>370</v>
      </c>
      <c r="E144" t="s">
        <v>62</v>
      </c>
      <c r="F144" s="10"/>
      <c r="G144" s="7"/>
      <c r="H144" s="7"/>
      <c r="I144" s="7"/>
      <c r="J144" s="5">
        <v>1</v>
      </c>
      <c r="K144" s="5"/>
      <c r="L144" s="5"/>
      <c r="M144" s="5"/>
      <c r="N144" s="5"/>
      <c r="O144" s="5"/>
      <c r="P144" s="5"/>
      <c r="Q144" s="5"/>
      <c r="R144" s="5"/>
      <c r="S144" s="5">
        <f>SUM(bron[[#This Row],[Januari]:[December]])</f>
        <v>1</v>
      </c>
      <c r="T144" s="9">
        <v>45390</v>
      </c>
      <c r="U144" s="8" t="s">
        <v>546</v>
      </c>
      <c r="V144" s="8">
        <v>1</v>
      </c>
      <c r="W144" s="8"/>
      <c r="X144" t="s">
        <v>3</v>
      </c>
      <c r="Y144" t="s">
        <v>2</v>
      </c>
      <c r="Z144"/>
      <c r="AA144" t="s">
        <v>3612</v>
      </c>
      <c r="AB144">
        <f>COUNTIF(B:B,bron[[#This Row],[volledige naam]])</f>
        <v>58</v>
      </c>
    </row>
    <row r="145" spans="1:28" x14ac:dyDescent="0.25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K145" s="5"/>
      <c r="L145" s="5"/>
      <c r="M145" s="5"/>
      <c r="N145" s="5"/>
      <c r="O145" s="5"/>
      <c r="P145" s="5"/>
      <c r="Q145" s="5"/>
      <c r="R145" s="5"/>
      <c r="S145" s="5">
        <f>SUM(bron[[#This Row],[Januari]:[December]])</f>
        <v>1</v>
      </c>
      <c r="T145" s="9">
        <v>45390</v>
      </c>
      <c r="U145" s="8" t="s">
        <v>547</v>
      </c>
      <c r="V145" s="8">
        <v>1</v>
      </c>
      <c r="W145" s="8"/>
      <c r="X145" t="s">
        <v>3</v>
      </c>
      <c r="Y145" t="s">
        <v>378</v>
      </c>
      <c r="Z145"/>
      <c r="AA145" t="s">
        <v>3612</v>
      </c>
      <c r="AB145">
        <f>COUNTIF(B:B,bron[[#This Row],[volledige naam]])</f>
        <v>6</v>
      </c>
    </row>
    <row r="146" spans="1:28" x14ac:dyDescent="0.25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548</v>
      </c>
      <c r="D146" t="s">
        <v>549</v>
      </c>
      <c r="E146" t="s">
        <v>59</v>
      </c>
      <c r="F146" s="10"/>
      <c r="G146" s="7"/>
      <c r="H146" s="7"/>
      <c r="I146" s="7"/>
      <c r="J146" s="5">
        <v>1</v>
      </c>
      <c r="K146" s="5"/>
      <c r="L146" s="5"/>
      <c r="M146" s="5"/>
      <c r="N146" s="5"/>
      <c r="O146" s="5"/>
      <c r="P146" s="5"/>
      <c r="Q146" s="5"/>
      <c r="R146" s="5"/>
      <c r="S146" s="5">
        <f>SUM(bron[[#This Row],[Januari]:[December]])</f>
        <v>1</v>
      </c>
      <c r="T146" s="9">
        <v>45390</v>
      </c>
      <c r="U146" s="8" t="s">
        <v>550</v>
      </c>
      <c r="V146" s="8">
        <v>1</v>
      </c>
      <c r="W146" s="8"/>
      <c r="X146" t="s">
        <v>3</v>
      </c>
      <c r="Y146" t="s">
        <v>8</v>
      </c>
      <c r="Z146"/>
      <c r="AA146" t="s">
        <v>3612</v>
      </c>
      <c r="AB146">
        <f>COUNTIF(B:B,bron[[#This Row],[volledige naam]])</f>
        <v>1</v>
      </c>
    </row>
    <row r="147" spans="1:28" x14ac:dyDescent="0.25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K147" s="5"/>
      <c r="L147" s="5"/>
      <c r="M147" s="5"/>
      <c r="N147" s="5"/>
      <c r="O147" s="5"/>
      <c r="P147" s="5"/>
      <c r="Q147" s="5"/>
      <c r="R147" s="5"/>
      <c r="S147" s="5">
        <f>SUM(bron[[#This Row],[Januari]:[December]])</f>
        <v>1</v>
      </c>
      <c r="T147" s="9">
        <v>45391</v>
      </c>
      <c r="U147" s="8" t="s">
        <v>551</v>
      </c>
      <c r="V147" s="8">
        <v>1</v>
      </c>
      <c r="W147" s="8"/>
      <c r="X147" t="s">
        <v>3</v>
      </c>
      <c r="Y147" t="s">
        <v>6</v>
      </c>
      <c r="Z147"/>
      <c r="AA147" t="s">
        <v>3612</v>
      </c>
      <c r="AB147">
        <f>COUNTIF(B:B,bron[[#This Row],[volledige naam]])</f>
        <v>3</v>
      </c>
    </row>
    <row r="148" spans="1:28" x14ac:dyDescent="0.25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370</v>
      </c>
      <c r="D148" t="s">
        <v>370</v>
      </c>
      <c r="E148" t="s">
        <v>62</v>
      </c>
      <c r="F148" s="10"/>
      <c r="G148" s="7"/>
      <c r="H148" s="7"/>
      <c r="I148" s="7"/>
      <c r="J148" s="5">
        <v>1</v>
      </c>
      <c r="K148" s="5"/>
      <c r="L148" s="5"/>
      <c r="M148" s="5"/>
      <c r="N148" s="5"/>
      <c r="O148" s="5"/>
      <c r="P148" s="5"/>
      <c r="Q148" s="5"/>
      <c r="R148" s="5"/>
      <c r="S148" s="5">
        <f>SUM(bron[[#This Row],[Januari]:[December]])</f>
        <v>1</v>
      </c>
      <c r="T148" s="9">
        <v>45392</v>
      </c>
      <c r="U148" s="8" t="s">
        <v>552</v>
      </c>
      <c r="V148" s="8"/>
      <c r="W148" s="8">
        <v>1</v>
      </c>
      <c r="X148" t="s">
        <v>4</v>
      </c>
      <c r="Y148" t="s">
        <v>52</v>
      </c>
      <c r="Z148"/>
      <c r="AA148" t="s">
        <v>3612</v>
      </c>
      <c r="AB148">
        <f>COUNTIF(B:B,bron[[#This Row],[volledige naam]])</f>
        <v>58</v>
      </c>
    </row>
    <row r="149" spans="1:28" x14ac:dyDescent="0.25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K149" s="5"/>
      <c r="L149" s="5"/>
      <c r="M149" s="5"/>
      <c r="N149" s="5"/>
      <c r="O149" s="5"/>
      <c r="P149" s="5"/>
      <c r="Q149" s="5"/>
      <c r="R149" s="5"/>
      <c r="S149" s="5">
        <f>SUM(bron[[#This Row],[Januari]:[December]])</f>
        <v>1</v>
      </c>
      <c r="T149" s="9">
        <v>45393</v>
      </c>
      <c r="U149" s="8" t="s">
        <v>553</v>
      </c>
      <c r="V149" s="8">
        <v>1</v>
      </c>
      <c r="W149" s="8"/>
      <c r="X149" t="s">
        <v>3</v>
      </c>
      <c r="Y149" t="s">
        <v>236</v>
      </c>
      <c r="Z149"/>
      <c r="AA149" t="s">
        <v>3612</v>
      </c>
      <c r="AB149">
        <f>COUNTIF(B:B,bron[[#This Row],[volledige naam]])</f>
        <v>1</v>
      </c>
    </row>
    <row r="150" spans="1:28" x14ac:dyDescent="0.25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370</v>
      </c>
      <c r="D150" t="s">
        <v>370</v>
      </c>
      <c r="E150" t="s">
        <v>62</v>
      </c>
      <c r="F150" s="10"/>
      <c r="G150" s="7"/>
      <c r="H150" s="7"/>
      <c r="I150" s="7"/>
      <c r="J150" s="5">
        <v>1</v>
      </c>
      <c r="K150" s="5"/>
      <c r="L150" s="5"/>
      <c r="M150" s="5"/>
      <c r="N150" s="5"/>
      <c r="O150" s="5"/>
      <c r="P150" s="5"/>
      <c r="Q150" s="5"/>
      <c r="R150" s="5"/>
      <c r="S150" s="5">
        <f>SUM(bron[[#This Row],[Januari]:[December]])</f>
        <v>1</v>
      </c>
      <c r="T150" s="9">
        <v>45393</v>
      </c>
      <c r="U150" s="8" t="s">
        <v>554</v>
      </c>
      <c r="V150" s="8"/>
      <c r="W150" s="8">
        <v>1</v>
      </c>
      <c r="X150" t="s">
        <v>4</v>
      </c>
      <c r="Y150" t="s">
        <v>52</v>
      </c>
      <c r="Z150"/>
      <c r="AA150" t="s">
        <v>3612</v>
      </c>
      <c r="AB150">
        <f>COUNTIF(B:B,bron[[#This Row],[volledige naam]])</f>
        <v>58</v>
      </c>
    </row>
    <row r="151" spans="1:28" x14ac:dyDescent="0.25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K151" s="5"/>
      <c r="L151" s="5"/>
      <c r="M151" s="5"/>
      <c r="N151" s="5"/>
      <c r="O151" s="5"/>
      <c r="P151" s="5"/>
      <c r="Q151" s="5"/>
      <c r="R151" s="5"/>
      <c r="S151" s="5">
        <f>SUM(bron[[#This Row],[Januari]:[December]])</f>
        <v>1</v>
      </c>
      <c r="T151" s="9">
        <v>45394</v>
      </c>
      <c r="U151" s="8" t="s">
        <v>555</v>
      </c>
      <c r="V151" s="8">
        <v>1</v>
      </c>
      <c r="W151" s="8"/>
      <c r="X151" t="s">
        <v>3</v>
      </c>
      <c r="Y151" t="s">
        <v>556</v>
      </c>
      <c r="Z151"/>
      <c r="AA151" t="s">
        <v>3612</v>
      </c>
      <c r="AB151">
        <f>COUNTIF(B:B,bron[[#This Row],[volledige naam]])</f>
        <v>4</v>
      </c>
    </row>
    <row r="152" spans="1:28" x14ac:dyDescent="0.25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K152" s="5"/>
      <c r="L152" s="5"/>
      <c r="M152" s="5"/>
      <c r="N152" s="5"/>
      <c r="O152" s="5"/>
      <c r="P152" s="5"/>
      <c r="Q152" s="5"/>
      <c r="R152" s="5"/>
      <c r="S152" s="5">
        <f>SUM(bron[[#This Row],[Januari]:[December]])</f>
        <v>1</v>
      </c>
      <c r="T152" s="9">
        <v>45394</v>
      </c>
      <c r="U152" s="8" t="s">
        <v>557</v>
      </c>
      <c r="V152" s="8">
        <v>1</v>
      </c>
      <c r="W152" s="8"/>
      <c r="X152" t="s">
        <v>3</v>
      </c>
      <c r="Y152" t="s">
        <v>6</v>
      </c>
      <c r="Z152"/>
      <c r="AA152" t="s">
        <v>3612</v>
      </c>
      <c r="AB152">
        <f>COUNTIF(B:B,bron[[#This Row],[volledige naam]])</f>
        <v>1</v>
      </c>
    </row>
    <row r="153" spans="1:28" x14ac:dyDescent="0.25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K153" s="5"/>
      <c r="L153" s="5"/>
      <c r="M153" s="5"/>
      <c r="N153" s="5"/>
      <c r="O153" s="5"/>
      <c r="P153" s="5"/>
      <c r="Q153" s="5"/>
      <c r="R153" s="5"/>
      <c r="S153" s="5">
        <f>SUM(bron[[#This Row],[Januari]:[December]])</f>
        <v>1</v>
      </c>
      <c r="T153" s="9">
        <v>45395</v>
      </c>
      <c r="U153" s="8" t="s">
        <v>558</v>
      </c>
      <c r="V153" s="8">
        <v>1</v>
      </c>
      <c r="W153" s="8"/>
      <c r="X153" t="s">
        <v>3</v>
      </c>
      <c r="Y153" t="s">
        <v>559</v>
      </c>
      <c r="Z153"/>
      <c r="AA153" t="s">
        <v>3612</v>
      </c>
      <c r="AB153">
        <f>COUNTIF(B:B,bron[[#This Row],[volledige naam]])</f>
        <v>2</v>
      </c>
    </row>
    <row r="154" spans="1:28" x14ac:dyDescent="0.25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K154" s="5"/>
      <c r="L154" s="5"/>
      <c r="M154" s="5"/>
      <c r="N154" s="5"/>
      <c r="O154" s="5"/>
      <c r="P154" s="5"/>
      <c r="Q154" s="5"/>
      <c r="R154" s="5"/>
      <c r="S154" s="5">
        <f>SUM(bron[[#This Row],[Januari]:[December]])</f>
        <v>1</v>
      </c>
      <c r="T154" s="9">
        <v>45396</v>
      </c>
      <c r="U154" s="8" t="s">
        <v>560</v>
      </c>
      <c r="V154" s="8">
        <v>1</v>
      </c>
      <c r="W154" s="8"/>
      <c r="X154" t="s">
        <v>3</v>
      </c>
      <c r="Y154" t="s">
        <v>37</v>
      </c>
      <c r="Z154"/>
      <c r="AA154" t="s">
        <v>3612</v>
      </c>
      <c r="AB154">
        <f>COUNTIF(B:B,bron[[#This Row],[volledige naam]])</f>
        <v>1</v>
      </c>
    </row>
    <row r="155" spans="1:28" x14ac:dyDescent="0.25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K155" s="5"/>
      <c r="L155" s="5"/>
      <c r="M155" s="5"/>
      <c r="N155" s="5"/>
      <c r="O155" s="5"/>
      <c r="P155" s="5"/>
      <c r="Q155" s="5"/>
      <c r="R155" s="5"/>
      <c r="S155" s="5">
        <f>SUM(bron[[#This Row],[Januari]:[December]])</f>
        <v>1</v>
      </c>
      <c r="T155" s="9">
        <v>45397</v>
      </c>
      <c r="U155" s="8" t="s">
        <v>561</v>
      </c>
      <c r="V155" s="8">
        <v>1</v>
      </c>
      <c r="W155" s="8"/>
      <c r="X155" t="s">
        <v>3</v>
      </c>
      <c r="Y155" t="s">
        <v>464</v>
      </c>
      <c r="Z155"/>
      <c r="AA155" t="s">
        <v>3612</v>
      </c>
      <c r="AB155">
        <f>COUNTIF(B:B,bron[[#This Row],[volledige naam]])</f>
        <v>3</v>
      </c>
    </row>
    <row r="156" spans="1:28" x14ac:dyDescent="0.25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K156" s="5"/>
      <c r="L156" s="5"/>
      <c r="M156" s="5"/>
      <c r="N156" s="5"/>
      <c r="O156" s="5"/>
      <c r="P156" s="5"/>
      <c r="Q156" s="5"/>
      <c r="R156" s="5"/>
      <c r="S156" s="5">
        <f>SUM(bron[[#This Row],[Januari]:[December]])</f>
        <v>1</v>
      </c>
      <c r="T156" s="9">
        <v>45399</v>
      </c>
      <c r="U156" s="8" t="s">
        <v>562</v>
      </c>
      <c r="V156" s="8">
        <v>1</v>
      </c>
      <c r="W156" s="8"/>
      <c r="X156" t="s">
        <v>3</v>
      </c>
      <c r="Y156" t="s">
        <v>6</v>
      </c>
      <c r="Z156"/>
      <c r="AA156" t="s">
        <v>3612</v>
      </c>
      <c r="AB156">
        <f>COUNTIF(B:B,bron[[#This Row],[volledige naam]])</f>
        <v>2</v>
      </c>
    </row>
    <row r="157" spans="1:28" x14ac:dyDescent="0.25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K157" s="5"/>
      <c r="L157" s="5"/>
      <c r="M157" s="5"/>
      <c r="N157" s="5"/>
      <c r="O157" s="5"/>
      <c r="P157" s="5"/>
      <c r="Q157" s="5"/>
      <c r="R157" s="5"/>
      <c r="S157" s="5">
        <f>SUM(bron[[#This Row],[Januari]:[December]])</f>
        <v>1</v>
      </c>
      <c r="T157" s="9">
        <v>45399</v>
      </c>
      <c r="U157" s="8" t="s">
        <v>563</v>
      </c>
      <c r="V157" s="8">
        <v>1</v>
      </c>
      <c r="W157" s="8"/>
      <c r="X157" t="s">
        <v>3</v>
      </c>
      <c r="Y157" t="s">
        <v>67</v>
      </c>
      <c r="Z157"/>
      <c r="AA157" t="s">
        <v>3612</v>
      </c>
      <c r="AB157">
        <f>COUNTIF(B:B,bron[[#This Row],[volledige naam]])</f>
        <v>2</v>
      </c>
    </row>
    <row r="158" spans="1:28" x14ac:dyDescent="0.25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K158" s="5"/>
      <c r="L158" s="5"/>
      <c r="M158" s="5"/>
      <c r="N158" s="5"/>
      <c r="O158" s="5"/>
      <c r="P158" s="5"/>
      <c r="Q158" s="5"/>
      <c r="R158" s="5"/>
      <c r="S158" s="5">
        <f>SUM(bron[[#This Row],[Januari]:[December]])</f>
        <v>1</v>
      </c>
      <c r="T158" s="9">
        <v>45399</v>
      </c>
      <c r="U158" s="8" t="s">
        <v>564</v>
      </c>
      <c r="V158" s="8">
        <v>1</v>
      </c>
      <c r="W158" s="8"/>
      <c r="X158" t="s">
        <v>3</v>
      </c>
      <c r="Y158" t="s">
        <v>166</v>
      </c>
      <c r="Z158"/>
      <c r="AA158" t="s">
        <v>3612</v>
      </c>
      <c r="AB158">
        <f>COUNTIF(B:B,bron[[#This Row],[volledige naam]])</f>
        <v>8</v>
      </c>
    </row>
    <row r="159" spans="1:28" x14ac:dyDescent="0.25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K159" s="5"/>
      <c r="L159" s="5"/>
      <c r="M159" s="5"/>
      <c r="N159" s="5"/>
      <c r="O159" s="5"/>
      <c r="P159" s="5"/>
      <c r="Q159" s="5"/>
      <c r="R159" s="5"/>
      <c r="S159" s="5">
        <f>SUM(bron[[#This Row],[Januari]:[December]])</f>
        <v>1</v>
      </c>
      <c r="T159" s="9">
        <v>45399</v>
      </c>
      <c r="U159" s="8" t="s">
        <v>565</v>
      </c>
      <c r="V159" s="8"/>
      <c r="W159" s="8">
        <v>1</v>
      </c>
      <c r="X159" t="s">
        <v>4</v>
      </c>
      <c r="Y159" t="s">
        <v>2</v>
      </c>
      <c r="Z159"/>
      <c r="AA159" t="s">
        <v>3612</v>
      </c>
      <c r="AB159">
        <f>COUNTIF(B:B,bron[[#This Row],[volledige naam]])</f>
        <v>1</v>
      </c>
    </row>
    <row r="160" spans="1:28" x14ac:dyDescent="0.25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K160" s="5"/>
      <c r="L160" s="5"/>
      <c r="M160" s="5"/>
      <c r="N160" s="5"/>
      <c r="O160" s="5"/>
      <c r="P160" s="5"/>
      <c r="Q160" s="5"/>
      <c r="R160" s="5"/>
      <c r="S160" s="5">
        <f>SUM(bron[[#This Row],[Januari]:[December]])</f>
        <v>1</v>
      </c>
      <c r="T160" s="9">
        <v>45400</v>
      </c>
      <c r="U160" s="8" t="s">
        <v>566</v>
      </c>
      <c r="V160" s="8">
        <v>1</v>
      </c>
      <c r="W160" s="8"/>
      <c r="X160" t="s">
        <v>3</v>
      </c>
      <c r="Y160" t="s">
        <v>468</v>
      </c>
      <c r="Z160"/>
      <c r="AA160" t="s">
        <v>3612</v>
      </c>
      <c r="AB160">
        <f>COUNTIF(B:B,bron[[#This Row],[volledige naam]])</f>
        <v>3</v>
      </c>
    </row>
    <row r="161" spans="1:28" x14ac:dyDescent="0.25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K161" s="5"/>
      <c r="L161" s="5"/>
      <c r="M161" s="5"/>
      <c r="N161" s="5"/>
      <c r="O161" s="5"/>
      <c r="P161" s="5"/>
      <c r="Q161" s="5"/>
      <c r="R161" s="5"/>
      <c r="S161" s="5">
        <f>SUM(bron[[#This Row],[Januari]:[December]])</f>
        <v>1</v>
      </c>
      <c r="T161" s="9">
        <v>45400</v>
      </c>
      <c r="U161" s="8" t="s">
        <v>567</v>
      </c>
      <c r="V161" s="8">
        <v>1</v>
      </c>
      <c r="W161" s="8"/>
      <c r="X161" t="s">
        <v>3</v>
      </c>
      <c r="Y161" t="s">
        <v>6</v>
      </c>
      <c r="Z161"/>
      <c r="AA161" t="s">
        <v>3612</v>
      </c>
      <c r="AB161">
        <f>COUNTIF(B:B,bron[[#This Row],[volledige naam]])</f>
        <v>4</v>
      </c>
    </row>
    <row r="162" spans="1:28" x14ac:dyDescent="0.25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K162" s="5"/>
      <c r="L162" s="5"/>
      <c r="M162" s="5"/>
      <c r="N162" s="5"/>
      <c r="O162" s="5"/>
      <c r="P162" s="5"/>
      <c r="Q162" s="5"/>
      <c r="R162" s="5"/>
      <c r="S162" s="5">
        <f>SUM(bron[[#This Row],[Januari]:[December]])</f>
        <v>1</v>
      </c>
      <c r="T162" s="9">
        <v>45401</v>
      </c>
      <c r="U162" s="8" t="s">
        <v>568</v>
      </c>
      <c r="V162" s="8">
        <v>1</v>
      </c>
      <c r="W162" s="8"/>
      <c r="X162" t="s">
        <v>3</v>
      </c>
      <c r="Y162" t="s">
        <v>569</v>
      </c>
      <c r="Z162"/>
      <c r="AA162" t="s">
        <v>3612</v>
      </c>
      <c r="AB162">
        <f>COUNTIF(B:B,bron[[#This Row],[volledige naam]])</f>
        <v>3</v>
      </c>
    </row>
    <row r="163" spans="1:28" x14ac:dyDescent="0.25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K163" s="5"/>
      <c r="L163" s="5"/>
      <c r="M163" s="5"/>
      <c r="N163" s="5"/>
      <c r="O163" s="5"/>
      <c r="P163" s="5"/>
      <c r="Q163" s="5"/>
      <c r="R163" s="5"/>
      <c r="S163" s="5">
        <f>SUM(bron[[#This Row],[Januari]:[December]])</f>
        <v>1</v>
      </c>
      <c r="T163" s="9">
        <v>45401</v>
      </c>
      <c r="U163" s="8" t="s">
        <v>570</v>
      </c>
      <c r="V163" s="8">
        <v>1</v>
      </c>
      <c r="W163" s="8"/>
      <c r="X163" t="s">
        <v>3</v>
      </c>
      <c r="Y163" t="s">
        <v>539</v>
      </c>
      <c r="Z163"/>
      <c r="AA163" t="s">
        <v>3612</v>
      </c>
      <c r="AB163">
        <f>COUNTIF(B:B,bron[[#This Row],[volledige naam]])</f>
        <v>4</v>
      </c>
    </row>
    <row r="164" spans="1:28" x14ac:dyDescent="0.25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K164" s="5"/>
      <c r="L164" s="5"/>
      <c r="M164" s="5"/>
      <c r="N164" s="5"/>
      <c r="O164" s="5"/>
      <c r="P164" s="5"/>
      <c r="Q164" s="5"/>
      <c r="R164" s="5"/>
      <c r="S164" s="5">
        <f>SUM(bron[[#This Row],[Januari]:[December]])</f>
        <v>1</v>
      </c>
      <c r="T164" s="9">
        <v>45401</v>
      </c>
      <c r="U164" s="8" t="s">
        <v>571</v>
      </c>
      <c r="V164" s="8"/>
      <c r="W164" s="8">
        <v>1</v>
      </c>
      <c r="X164" t="s">
        <v>4</v>
      </c>
      <c r="Y164" t="s">
        <v>527</v>
      </c>
      <c r="Z164"/>
      <c r="AA164" t="s">
        <v>3612</v>
      </c>
      <c r="AB164">
        <f>COUNTIF(B:B,bron[[#This Row],[volledige naam]])</f>
        <v>6</v>
      </c>
    </row>
    <row r="165" spans="1:28" x14ac:dyDescent="0.25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K165" s="5"/>
      <c r="L165" s="5"/>
      <c r="M165" s="5"/>
      <c r="N165" s="5"/>
      <c r="O165" s="5"/>
      <c r="P165" s="5"/>
      <c r="Q165" s="5"/>
      <c r="R165" s="5"/>
      <c r="S165" s="5">
        <f>SUM(bron[[#This Row],[Januari]:[December]])</f>
        <v>1</v>
      </c>
      <c r="T165" s="9">
        <v>45401</v>
      </c>
      <c r="U165" s="8" t="s">
        <v>572</v>
      </c>
      <c r="V165" s="8"/>
      <c r="W165" s="8">
        <v>1</v>
      </c>
      <c r="X165" t="s">
        <v>4</v>
      </c>
      <c r="Y165" t="s">
        <v>20</v>
      </c>
      <c r="Z165"/>
      <c r="AA165" t="s">
        <v>3612</v>
      </c>
      <c r="AB165">
        <f>COUNTIF(B:B,bron[[#This Row],[volledige naam]])</f>
        <v>2</v>
      </c>
    </row>
    <row r="166" spans="1:28" x14ac:dyDescent="0.25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K166" s="5"/>
      <c r="L166" s="5"/>
      <c r="M166" s="5"/>
      <c r="N166" s="5"/>
      <c r="O166" s="5"/>
      <c r="P166" s="5"/>
      <c r="Q166" s="5"/>
      <c r="R166" s="5"/>
      <c r="S166" s="5">
        <f>SUM(bron[[#This Row],[Januari]:[December]])</f>
        <v>1</v>
      </c>
      <c r="T166" s="9">
        <v>45402</v>
      </c>
      <c r="U166" s="8" t="s">
        <v>573</v>
      </c>
      <c r="V166" s="8"/>
      <c r="W166" s="8">
        <v>1</v>
      </c>
      <c r="X166" t="s">
        <v>4</v>
      </c>
      <c r="Y166" t="s">
        <v>6</v>
      </c>
      <c r="Z166"/>
      <c r="AA166" t="s">
        <v>3612</v>
      </c>
      <c r="AB166">
        <f>COUNTIF(B:B,bron[[#This Row],[volledige naam]])</f>
        <v>1</v>
      </c>
    </row>
    <row r="167" spans="1:28" x14ac:dyDescent="0.25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370</v>
      </c>
      <c r="D167" t="s">
        <v>370</v>
      </c>
      <c r="E167" t="s">
        <v>62</v>
      </c>
      <c r="F167" s="10"/>
      <c r="G167" s="7"/>
      <c r="H167" s="7"/>
      <c r="I167" s="7"/>
      <c r="J167" s="5">
        <v>1</v>
      </c>
      <c r="K167" s="5"/>
      <c r="L167" s="5"/>
      <c r="M167" s="5"/>
      <c r="N167" s="5"/>
      <c r="O167" s="5"/>
      <c r="P167" s="5"/>
      <c r="Q167" s="5"/>
      <c r="R167" s="5"/>
      <c r="S167" s="5">
        <f>SUM(bron[[#This Row],[Januari]:[December]])</f>
        <v>1</v>
      </c>
      <c r="T167" s="9">
        <v>45403</v>
      </c>
      <c r="U167" s="8" t="s">
        <v>574</v>
      </c>
      <c r="V167" s="8">
        <v>1</v>
      </c>
      <c r="W167" s="8"/>
      <c r="X167" t="s">
        <v>3</v>
      </c>
      <c r="Y167" t="s">
        <v>10</v>
      </c>
      <c r="Z167"/>
      <c r="AA167" t="s">
        <v>3612</v>
      </c>
      <c r="AB167">
        <f>COUNTIF(B:B,bron[[#This Row],[volledige naam]])</f>
        <v>58</v>
      </c>
    </row>
    <row r="168" spans="1:28" x14ac:dyDescent="0.25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K168" s="5"/>
      <c r="L168" s="5"/>
      <c r="M168" s="5"/>
      <c r="N168" s="5"/>
      <c r="O168" s="5"/>
      <c r="P168" s="5"/>
      <c r="Q168" s="5"/>
      <c r="R168" s="5"/>
      <c r="S168" s="5">
        <f>SUM(bron[[#This Row],[Januari]:[December]])</f>
        <v>1</v>
      </c>
      <c r="T168" s="9">
        <v>45404</v>
      </c>
      <c r="U168" s="8" t="s">
        <v>575</v>
      </c>
      <c r="V168" s="8">
        <v>1</v>
      </c>
      <c r="W168" s="8"/>
      <c r="X168" t="s">
        <v>3</v>
      </c>
      <c r="Y168" t="s">
        <v>16</v>
      </c>
      <c r="Z168"/>
      <c r="AA168" t="s">
        <v>3612</v>
      </c>
      <c r="AB168">
        <f>COUNTIF(B:B,bron[[#This Row],[volledige naam]])</f>
        <v>1</v>
      </c>
    </row>
    <row r="169" spans="1:28" x14ac:dyDescent="0.25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K169" s="5"/>
      <c r="L169" s="5"/>
      <c r="M169" s="5"/>
      <c r="N169" s="5"/>
      <c r="O169" s="5"/>
      <c r="P169" s="5"/>
      <c r="Q169" s="5"/>
      <c r="R169" s="5"/>
      <c r="S169" s="5">
        <f>SUM(bron[[#This Row],[Januari]:[December]])</f>
        <v>1</v>
      </c>
      <c r="T169" s="9">
        <v>45404</v>
      </c>
      <c r="U169" s="8" t="s">
        <v>576</v>
      </c>
      <c r="V169" s="8">
        <v>1</v>
      </c>
      <c r="W169" s="8"/>
      <c r="X169" t="s">
        <v>3</v>
      </c>
      <c r="Y169" t="s">
        <v>6</v>
      </c>
      <c r="Z169"/>
      <c r="AA169" t="s">
        <v>3612</v>
      </c>
      <c r="AB169">
        <f>COUNTIF(B:B,bron[[#This Row],[volledige naam]])</f>
        <v>1</v>
      </c>
    </row>
    <row r="170" spans="1:28" x14ac:dyDescent="0.25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K170" s="5"/>
      <c r="L170" s="5"/>
      <c r="M170" s="5"/>
      <c r="N170" s="5"/>
      <c r="O170" s="5"/>
      <c r="P170" s="5"/>
      <c r="Q170" s="5"/>
      <c r="R170" s="5"/>
      <c r="S170" s="5">
        <f>SUM(bron[[#This Row],[Januari]:[December]])</f>
        <v>1</v>
      </c>
      <c r="T170" s="9">
        <v>45405</v>
      </c>
      <c r="U170" s="8" t="s">
        <v>577</v>
      </c>
      <c r="V170" s="8">
        <v>1</v>
      </c>
      <c r="W170" s="8"/>
      <c r="X170" t="s">
        <v>3</v>
      </c>
      <c r="Y170" t="s">
        <v>94</v>
      </c>
      <c r="Z170"/>
      <c r="AA170" t="s">
        <v>3612</v>
      </c>
      <c r="AB170">
        <f>COUNTIF(B:B,bron[[#This Row],[volledige naam]])</f>
        <v>10</v>
      </c>
    </row>
    <row r="171" spans="1:28" x14ac:dyDescent="0.25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K171" s="5"/>
      <c r="L171" s="5"/>
      <c r="M171" s="5"/>
      <c r="N171" s="5"/>
      <c r="O171" s="5"/>
      <c r="P171" s="5"/>
      <c r="Q171" s="5"/>
      <c r="R171" s="5"/>
      <c r="S171" s="5">
        <f>SUM(bron[[#This Row],[Januari]:[December]])</f>
        <v>1</v>
      </c>
      <c r="T171" s="9">
        <v>45405</v>
      </c>
      <c r="U171" s="8" t="s">
        <v>578</v>
      </c>
      <c r="V171" s="8">
        <v>1</v>
      </c>
      <c r="W171" s="8"/>
      <c r="X171" t="s">
        <v>3</v>
      </c>
      <c r="Y171" t="s">
        <v>6</v>
      </c>
      <c r="Z171"/>
      <c r="AA171" t="s">
        <v>3612</v>
      </c>
      <c r="AB171">
        <f>COUNTIF(B:B,bron[[#This Row],[volledige naam]])</f>
        <v>2</v>
      </c>
    </row>
    <row r="172" spans="1:28" x14ac:dyDescent="0.25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K172" s="5"/>
      <c r="L172" s="5"/>
      <c r="M172" s="5"/>
      <c r="N172" s="5"/>
      <c r="O172" s="5"/>
      <c r="P172" s="5"/>
      <c r="Q172" s="5"/>
      <c r="R172" s="5"/>
      <c r="S172" s="5">
        <f>SUM(bron[[#This Row],[Januari]:[December]])</f>
        <v>1</v>
      </c>
      <c r="T172" s="9">
        <v>45405</v>
      </c>
      <c r="U172" s="8" t="s">
        <v>579</v>
      </c>
      <c r="V172" s="8">
        <v>1</v>
      </c>
      <c r="W172" s="8"/>
      <c r="X172" t="s">
        <v>3</v>
      </c>
      <c r="Y172" t="s">
        <v>489</v>
      </c>
      <c r="Z172"/>
      <c r="AA172" t="s">
        <v>3612</v>
      </c>
      <c r="AB172">
        <f>COUNTIF(B:B,bron[[#This Row],[volledige naam]])</f>
        <v>1</v>
      </c>
    </row>
    <row r="173" spans="1:28" x14ac:dyDescent="0.25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K173" s="5"/>
      <c r="L173" s="5"/>
      <c r="M173" s="5"/>
      <c r="N173" s="5"/>
      <c r="O173" s="5"/>
      <c r="P173" s="5"/>
      <c r="Q173" s="5"/>
      <c r="R173" s="5"/>
      <c r="S173" s="5">
        <f>SUM(bron[[#This Row],[Januari]:[December]])</f>
        <v>1</v>
      </c>
      <c r="T173" s="9">
        <v>45406</v>
      </c>
      <c r="U173" s="8" t="s">
        <v>580</v>
      </c>
      <c r="V173" s="8">
        <v>1</v>
      </c>
      <c r="W173" s="8"/>
      <c r="X173" t="s">
        <v>3</v>
      </c>
      <c r="Y173" t="s">
        <v>581</v>
      </c>
      <c r="Z173"/>
      <c r="AA173" t="s">
        <v>3612</v>
      </c>
      <c r="AB173">
        <f>COUNTIF(B:B,bron[[#This Row],[volledige naam]])</f>
        <v>1</v>
      </c>
    </row>
    <row r="174" spans="1:28" x14ac:dyDescent="0.25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370</v>
      </c>
      <c r="D174" t="s">
        <v>370</v>
      </c>
      <c r="E174" t="s">
        <v>62</v>
      </c>
      <c r="F174" s="10"/>
      <c r="G174" s="7"/>
      <c r="H174" s="7"/>
      <c r="I174" s="7"/>
      <c r="J174" s="5">
        <v>1</v>
      </c>
      <c r="K174" s="5"/>
      <c r="L174" s="5"/>
      <c r="M174" s="5"/>
      <c r="N174" s="5"/>
      <c r="O174" s="5"/>
      <c r="P174" s="5"/>
      <c r="Q174" s="5"/>
      <c r="R174" s="5"/>
      <c r="S174" s="5">
        <f>SUM(bron[[#This Row],[Januari]:[December]])</f>
        <v>1</v>
      </c>
      <c r="T174" s="9">
        <v>45409</v>
      </c>
      <c r="U174" s="8" t="s">
        <v>582</v>
      </c>
      <c r="V174" s="8">
        <v>1</v>
      </c>
      <c r="W174" s="8"/>
      <c r="X174" t="s">
        <v>3</v>
      </c>
      <c r="Y174" t="s">
        <v>37</v>
      </c>
      <c r="Z174"/>
      <c r="AA174" t="s">
        <v>3612</v>
      </c>
      <c r="AB174">
        <f>COUNTIF(B:B,bron[[#This Row],[volledige naam]])</f>
        <v>58</v>
      </c>
    </row>
    <row r="175" spans="1:28" x14ac:dyDescent="0.25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370</v>
      </c>
      <c r="D175" t="s">
        <v>370</v>
      </c>
      <c r="E175" t="s">
        <v>62</v>
      </c>
      <c r="F175" s="10"/>
      <c r="G175" s="7"/>
      <c r="H175" s="7"/>
      <c r="I175" s="7"/>
      <c r="J175" s="5">
        <v>1</v>
      </c>
      <c r="K175" s="5"/>
      <c r="L175" s="5"/>
      <c r="M175" s="5"/>
      <c r="N175" s="5"/>
      <c r="O175" s="5"/>
      <c r="P175" s="5"/>
      <c r="Q175" s="5"/>
      <c r="R175" s="5"/>
      <c r="S175" s="5">
        <f>SUM(bron[[#This Row],[Januari]:[December]])</f>
        <v>1</v>
      </c>
      <c r="T175" s="9">
        <v>45410</v>
      </c>
      <c r="U175" s="8" t="s">
        <v>583</v>
      </c>
      <c r="V175" s="8"/>
      <c r="W175" s="8">
        <v>1</v>
      </c>
      <c r="X175" t="s">
        <v>4</v>
      </c>
      <c r="Y175" t="s">
        <v>2</v>
      </c>
      <c r="Z175"/>
      <c r="AA175" t="s">
        <v>3612</v>
      </c>
      <c r="AB175">
        <f>COUNTIF(B:B,bron[[#This Row],[volledige naam]])</f>
        <v>58</v>
      </c>
    </row>
    <row r="176" spans="1:28" x14ac:dyDescent="0.25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K176" s="5"/>
      <c r="L176" s="5"/>
      <c r="M176" s="5"/>
      <c r="N176" s="5"/>
      <c r="O176" s="5"/>
      <c r="P176" s="5"/>
      <c r="Q176" s="5"/>
      <c r="R176" s="5"/>
      <c r="S176" s="5">
        <f>SUM(bron[[#This Row],[Januari]:[December]])</f>
        <v>1</v>
      </c>
      <c r="T176" s="9">
        <v>45411</v>
      </c>
      <c r="U176" s="8" t="s">
        <v>584</v>
      </c>
      <c r="V176" s="8">
        <v>1</v>
      </c>
      <c r="W176" s="8"/>
      <c r="X176" t="s">
        <v>3</v>
      </c>
      <c r="Y176" t="s">
        <v>378</v>
      </c>
      <c r="Z176"/>
      <c r="AA176" t="s">
        <v>3612</v>
      </c>
      <c r="AB176">
        <f>COUNTIF(B:B,bron[[#This Row],[volledige naam]])</f>
        <v>2</v>
      </c>
    </row>
    <row r="177" spans="1:28" x14ac:dyDescent="0.25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K177" s="5"/>
      <c r="L177" s="5"/>
      <c r="M177" s="5"/>
      <c r="N177" s="5"/>
      <c r="O177" s="5"/>
      <c r="P177" s="5"/>
      <c r="Q177" s="5"/>
      <c r="R177" s="5"/>
      <c r="S177" s="5">
        <f>SUM(bron[[#This Row],[Januari]:[December]])</f>
        <v>1</v>
      </c>
      <c r="T177" s="9">
        <v>45411</v>
      </c>
      <c r="U177" s="8" t="s">
        <v>585</v>
      </c>
      <c r="V177" s="8">
        <v>1</v>
      </c>
      <c r="W177" s="8"/>
      <c r="X177" t="s">
        <v>3</v>
      </c>
      <c r="Y177" t="s">
        <v>581</v>
      </c>
      <c r="Z177"/>
      <c r="AA177" t="s">
        <v>3612</v>
      </c>
      <c r="AB177">
        <f>COUNTIF(B:B,bron[[#This Row],[volledige naam]])</f>
        <v>2</v>
      </c>
    </row>
    <row r="178" spans="1:28" x14ac:dyDescent="0.25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K178" s="5"/>
      <c r="L178" s="5"/>
      <c r="M178" s="5"/>
      <c r="N178" s="5"/>
      <c r="O178" s="5"/>
      <c r="P178" s="5"/>
      <c r="Q178" s="5"/>
      <c r="R178" s="5"/>
      <c r="S178" s="5">
        <f>SUM(bron[[#This Row],[Januari]:[December]])</f>
        <v>1</v>
      </c>
      <c r="T178" s="9">
        <v>45411</v>
      </c>
      <c r="U178" s="8" t="s">
        <v>586</v>
      </c>
      <c r="V178" s="8"/>
      <c r="W178" s="8">
        <v>1</v>
      </c>
      <c r="X178" t="s">
        <v>4</v>
      </c>
      <c r="Y178" t="s">
        <v>587</v>
      </c>
      <c r="Z178"/>
      <c r="AA178" t="s">
        <v>3612</v>
      </c>
      <c r="AB178">
        <f>COUNTIF(B:B,bron[[#This Row],[volledige naam]])</f>
        <v>2</v>
      </c>
    </row>
    <row r="179" spans="1:28" x14ac:dyDescent="0.25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370</v>
      </c>
      <c r="D179" t="s">
        <v>370</v>
      </c>
      <c r="E179" t="s">
        <v>62</v>
      </c>
      <c r="F179" s="10"/>
      <c r="G179" s="7"/>
      <c r="H179" s="7"/>
      <c r="I179" s="7"/>
      <c r="J179" s="5">
        <v>1</v>
      </c>
      <c r="K179" s="5"/>
      <c r="L179" s="5"/>
      <c r="M179" s="5"/>
      <c r="N179" s="5"/>
      <c r="O179" s="5"/>
      <c r="P179" s="5"/>
      <c r="Q179" s="5"/>
      <c r="R179" s="5"/>
      <c r="S179" s="5">
        <f>SUM(bron[[#This Row],[Januari]:[December]])</f>
        <v>1</v>
      </c>
      <c r="T179" s="9">
        <v>45411</v>
      </c>
      <c r="U179" s="8" t="s">
        <v>588</v>
      </c>
      <c r="V179" s="8">
        <v>1</v>
      </c>
      <c r="W179" s="8"/>
      <c r="X179" t="s">
        <v>3</v>
      </c>
      <c r="Y179" t="s">
        <v>589</v>
      </c>
      <c r="Z179"/>
      <c r="AA179" t="s">
        <v>3612</v>
      </c>
      <c r="AB179">
        <f>COUNTIF(B:B,bron[[#This Row],[volledige naam]])</f>
        <v>58</v>
      </c>
    </row>
    <row r="180" spans="1:28" x14ac:dyDescent="0.25">
      <c r="A180">
        <v>21582</v>
      </c>
      <c r="B180" t="e">
        <f>_xlfn.CONCAT(bron[[#This Row],[personeelsnr]]," ",bron[[#This Row],[achternaam]]," ",bron[[#This Row],[voornaam]])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  <c r="F180" s="10"/>
      <c r="G180" s="7"/>
      <c r="H180" s="7"/>
      <c r="I180" s="7"/>
      <c r="J180" s="5">
        <v>1</v>
      </c>
      <c r="K180" s="5"/>
      <c r="L180" s="5"/>
      <c r="M180" s="5"/>
      <c r="N180" s="5"/>
      <c r="O180" s="5"/>
      <c r="P180" s="5"/>
      <c r="Q180" s="5"/>
      <c r="R180" s="5"/>
      <c r="S180" s="5">
        <f>SUM(bron[[#This Row],[Januari]:[December]])</f>
        <v>1</v>
      </c>
      <c r="T180" s="9">
        <v>45412</v>
      </c>
      <c r="U180" s="8" t="s">
        <v>590</v>
      </c>
      <c r="V180" s="8"/>
      <c r="W180" s="8">
        <v>1</v>
      </c>
      <c r="X180" t="s">
        <v>4</v>
      </c>
      <c r="Y180" t="s">
        <v>2</v>
      </c>
      <c r="Z180"/>
      <c r="AA180" t="s">
        <v>3612</v>
      </c>
      <c r="AB180">
        <f>COUNTIF(B:B,bron[[#This Row],[volledige naam]])</f>
        <v>24</v>
      </c>
    </row>
    <row r="181" spans="1:28" x14ac:dyDescent="0.25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K181" s="5"/>
      <c r="L181" s="5"/>
      <c r="M181" s="5"/>
      <c r="N181" s="5"/>
      <c r="O181" s="5"/>
      <c r="P181" s="5"/>
      <c r="Q181" s="5"/>
      <c r="R181" s="5"/>
      <c r="S181" s="5">
        <f>SUM(bron[[#This Row],[Januari]:[December]])</f>
        <v>1</v>
      </c>
      <c r="T181" s="9">
        <v>45412</v>
      </c>
      <c r="U181" s="8" t="s">
        <v>591</v>
      </c>
      <c r="V181" s="8"/>
      <c r="W181" s="8">
        <v>1</v>
      </c>
      <c r="X181" t="s">
        <v>4</v>
      </c>
      <c r="Y181" t="s">
        <v>592</v>
      </c>
      <c r="Z181"/>
      <c r="AA181" t="s">
        <v>3612</v>
      </c>
      <c r="AB181">
        <f>COUNTIF(B:B,bron[[#This Row],[volledige naam]])</f>
        <v>1</v>
      </c>
    </row>
    <row r="182" spans="1:28" x14ac:dyDescent="0.25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K182" s="5"/>
      <c r="L182" s="5"/>
      <c r="M182" s="5"/>
      <c r="N182" s="5"/>
      <c r="O182" s="5"/>
      <c r="P182" s="5"/>
      <c r="Q182" s="5"/>
      <c r="R182" s="5"/>
      <c r="S182" s="5">
        <f>SUM(bron[[#This Row],[Januari]:[December]])</f>
        <v>1</v>
      </c>
      <c r="T182" s="9">
        <v>45412</v>
      </c>
      <c r="U182" s="8" t="s">
        <v>593</v>
      </c>
      <c r="V182" s="8">
        <v>1</v>
      </c>
      <c r="W182" s="8"/>
      <c r="X182" t="s">
        <v>3</v>
      </c>
      <c r="Y182" t="s">
        <v>468</v>
      </c>
      <c r="Z182"/>
      <c r="AA182" t="s">
        <v>3612</v>
      </c>
      <c r="AB182">
        <f>COUNTIF(B:B,bron[[#This Row],[volledige naam]])</f>
        <v>2</v>
      </c>
    </row>
    <row r="183" spans="1:28" x14ac:dyDescent="0.25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J183" s="5"/>
      <c r="K183" s="5">
        <v>1</v>
      </c>
      <c r="L183" s="5"/>
      <c r="M183" s="5"/>
      <c r="N183" s="5"/>
      <c r="O183" s="5"/>
      <c r="P183" s="5"/>
      <c r="Q183" s="5"/>
      <c r="R183" s="5"/>
      <c r="S183" s="5">
        <f>SUM(bron[[#This Row],[Januari]:[December]])</f>
        <v>1</v>
      </c>
      <c r="T183" s="9">
        <v>45413</v>
      </c>
      <c r="U183" s="8" t="s">
        <v>594</v>
      </c>
      <c r="V183" s="8">
        <v>1</v>
      </c>
      <c r="W183" s="8"/>
      <c r="X183" t="s">
        <v>3</v>
      </c>
      <c r="Y183" t="s">
        <v>595</v>
      </c>
      <c r="Z183"/>
      <c r="AA183" t="s">
        <v>3612</v>
      </c>
      <c r="AB183">
        <f>COUNTIF(B:B,bron[[#This Row],[volledige naam]])</f>
        <v>7</v>
      </c>
    </row>
    <row r="184" spans="1:28" x14ac:dyDescent="0.25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J184" s="5"/>
      <c r="K184" s="5">
        <v>1</v>
      </c>
      <c r="L184" s="5"/>
      <c r="M184" s="5"/>
      <c r="N184" s="5"/>
      <c r="O184" s="5"/>
      <c r="P184" s="5"/>
      <c r="Q184" s="5"/>
      <c r="R184" s="5"/>
      <c r="S184" s="5">
        <f>SUM(bron[[#This Row],[Januari]:[December]])</f>
        <v>1</v>
      </c>
      <c r="T184" s="9">
        <v>45413</v>
      </c>
      <c r="U184" s="8" t="s">
        <v>596</v>
      </c>
      <c r="V184" s="8">
        <v>1</v>
      </c>
      <c r="W184" s="8"/>
      <c r="X184" t="s">
        <v>3</v>
      </c>
      <c r="Y184" t="s">
        <v>6</v>
      </c>
      <c r="Z184"/>
      <c r="AA184" t="s">
        <v>3612</v>
      </c>
      <c r="AB184">
        <f>COUNTIF(B:B,bron[[#This Row],[volledige naam]])</f>
        <v>4</v>
      </c>
    </row>
    <row r="185" spans="1:28" x14ac:dyDescent="0.25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J185" s="5"/>
      <c r="K185" s="5">
        <v>1</v>
      </c>
      <c r="L185" s="5"/>
      <c r="M185" s="5"/>
      <c r="N185" s="5"/>
      <c r="O185" s="5"/>
      <c r="P185" s="5"/>
      <c r="Q185" s="5"/>
      <c r="R185" s="5"/>
      <c r="S185" s="5">
        <f>SUM(bron[[#This Row],[Januari]:[December]])</f>
        <v>1</v>
      </c>
      <c r="T185" s="9">
        <v>45414</v>
      </c>
      <c r="U185" s="8" t="s">
        <v>597</v>
      </c>
      <c r="V185" s="8"/>
      <c r="W185" s="8">
        <v>1</v>
      </c>
      <c r="X185" t="s">
        <v>4</v>
      </c>
      <c r="Y185" t="s">
        <v>6</v>
      </c>
      <c r="Z185"/>
      <c r="AA185" t="s">
        <v>3612</v>
      </c>
      <c r="AB185">
        <f>COUNTIF(B:B,bron[[#This Row],[volledige naam]])</f>
        <v>4</v>
      </c>
    </row>
    <row r="186" spans="1:28" x14ac:dyDescent="0.25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J186" s="5"/>
      <c r="K186" s="5">
        <v>1</v>
      </c>
      <c r="L186" s="5"/>
      <c r="M186" s="5"/>
      <c r="N186" s="5"/>
      <c r="O186" s="5"/>
      <c r="P186" s="5"/>
      <c r="Q186" s="5"/>
      <c r="R186" s="5"/>
      <c r="S186" s="5">
        <f>SUM(bron[[#This Row],[Januari]:[December]])</f>
        <v>1</v>
      </c>
      <c r="T186" s="9">
        <v>45415</v>
      </c>
      <c r="U186" s="8" t="s">
        <v>598</v>
      </c>
      <c r="V186" s="8"/>
      <c r="W186" s="8">
        <v>1</v>
      </c>
      <c r="X186" t="s">
        <v>4</v>
      </c>
      <c r="Y186" t="s">
        <v>6</v>
      </c>
      <c r="Z186"/>
      <c r="AA186" t="s">
        <v>3612</v>
      </c>
      <c r="AB186">
        <f>COUNTIF(B:B,bron[[#This Row],[volledige naam]])</f>
        <v>1</v>
      </c>
    </row>
    <row r="187" spans="1:28" x14ac:dyDescent="0.25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J187" s="5"/>
      <c r="K187" s="5">
        <v>1</v>
      </c>
      <c r="L187" s="5"/>
      <c r="M187" s="5"/>
      <c r="N187" s="5"/>
      <c r="O187" s="5"/>
      <c r="P187" s="5"/>
      <c r="Q187" s="5"/>
      <c r="R187" s="5"/>
      <c r="S187" s="5">
        <f>SUM(bron[[#This Row],[Januari]:[December]])</f>
        <v>1</v>
      </c>
      <c r="T187" s="9">
        <v>45416</v>
      </c>
      <c r="U187" s="8" t="s">
        <v>599</v>
      </c>
      <c r="V187" s="8">
        <v>1</v>
      </c>
      <c r="W187" s="8"/>
      <c r="X187" t="s">
        <v>3</v>
      </c>
      <c r="Y187" t="s">
        <v>378</v>
      </c>
      <c r="Z187"/>
      <c r="AA187" t="s">
        <v>3612</v>
      </c>
      <c r="AB187">
        <f>COUNTIF(B:B,bron[[#This Row],[volledige naam]])</f>
        <v>2</v>
      </c>
    </row>
    <row r="188" spans="1:28" x14ac:dyDescent="0.25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J188" s="5"/>
      <c r="K188" s="5">
        <v>1</v>
      </c>
      <c r="L188" s="5"/>
      <c r="M188" s="5"/>
      <c r="N188" s="5"/>
      <c r="O188" s="5"/>
      <c r="P188" s="5"/>
      <c r="Q188" s="5"/>
      <c r="R188" s="5"/>
      <c r="S188" s="5">
        <f>SUM(bron[[#This Row],[Januari]:[December]])</f>
        <v>1</v>
      </c>
      <c r="T188" s="9">
        <v>45416</v>
      </c>
      <c r="U188" s="8" t="s">
        <v>600</v>
      </c>
      <c r="V188" s="8">
        <v>1</v>
      </c>
      <c r="W188" s="8"/>
      <c r="X188" t="s">
        <v>3</v>
      </c>
      <c r="Y188" t="s">
        <v>378</v>
      </c>
      <c r="Z188"/>
      <c r="AA188" t="s">
        <v>3612</v>
      </c>
      <c r="AB188">
        <f>COUNTIF(B:B,bron[[#This Row],[volledige naam]])</f>
        <v>3</v>
      </c>
    </row>
    <row r="189" spans="1:28" x14ac:dyDescent="0.25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J189" s="5"/>
      <c r="K189" s="5">
        <v>1</v>
      </c>
      <c r="L189" s="5"/>
      <c r="M189" s="5"/>
      <c r="N189" s="5"/>
      <c r="O189" s="5"/>
      <c r="P189" s="5"/>
      <c r="Q189" s="5"/>
      <c r="R189" s="5"/>
      <c r="S189" s="5">
        <f>SUM(bron[[#This Row],[Januari]:[December]])</f>
        <v>1</v>
      </c>
      <c r="T189" s="9">
        <v>45416</v>
      </c>
      <c r="U189" s="8" t="s">
        <v>601</v>
      </c>
      <c r="V189" s="8"/>
      <c r="W189" s="8">
        <v>1</v>
      </c>
      <c r="X189" t="s">
        <v>4</v>
      </c>
      <c r="Y189" t="s">
        <v>30</v>
      </c>
      <c r="Z189"/>
      <c r="AA189" t="s">
        <v>3612</v>
      </c>
      <c r="AB189">
        <f>COUNTIF(B:B,bron[[#This Row],[volledige naam]])</f>
        <v>10</v>
      </c>
    </row>
    <row r="190" spans="1:28" x14ac:dyDescent="0.25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J190" s="5"/>
      <c r="K190" s="5">
        <v>1</v>
      </c>
      <c r="L190" s="5"/>
      <c r="M190" s="5"/>
      <c r="N190" s="5"/>
      <c r="O190" s="5"/>
      <c r="P190" s="5"/>
      <c r="Q190" s="5"/>
      <c r="R190" s="5"/>
      <c r="S190" s="5">
        <f>SUM(bron[[#This Row],[Januari]:[December]])</f>
        <v>1</v>
      </c>
      <c r="T190" s="9">
        <v>45417</v>
      </c>
      <c r="U190" s="8" t="s">
        <v>602</v>
      </c>
      <c r="V190" s="8">
        <v>1</v>
      </c>
      <c r="W190" s="8"/>
      <c r="X190" t="s">
        <v>3</v>
      </c>
      <c r="Y190" t="s">
        <v>516</v>
      </c>
      <c r="Z190"/>
      <c r="AA190" t="s">
        <v>3612</v>
      </c>
      <c r="AB190">
        <f>COUNTIF(B:B,bron[[#This Row],[volledige naam]])</f>
        <v>3</v>
      </c>
    </row>
    <row r="191" spans="1:28" x14ac:dyDescent="0.25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J191" s="5"/>
      <c r="K191" s="5">
        <v>1</v>
      </c>
      <c r="L191" s="5"/>
      <c r="M191" s="5"/>
      <c r="N191" s="5"/>
      <c r="O191" s="5"/>
      <c r="P191" s="5"/>
      <c r="Q191" s="5"/>
      <c r="R191" s="5"/>
      <c r="S191" s="5">
        <f>SUM(bron[[#This Row],[Januari]:[December]])</f>
        <v>1</v>
      </c>
      <c r="T191" s="9">
        <v>45417</v>
      </c>
      <c r="U191" s="8" t="s">
        <v>603</v>
      </c>
      <c r="V191" s="8"/>
      <c r="W191" s="8">
        <v>1</v>
      </c>
      <c r="X191" t="s">
        <v>4</v>
      </c>
      <c r="Y191" t="s">
        <v>604</v>
      </c>
      <c r="Z191"/>
      <c r="AA191" t="s">
        <v>3612</v>
      </c>
      <c r="AB191">
        <f>COUNTIF(B:B,bron[[#This Row],[volledige naam]])</f>
        <v>1</v>
      </c>
    </row>
    <row r="192" spans="1:28" x14ac:dyDescent="0.25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J192" s="5"/>
      <c r="K192" s="5">
        <v>1</v>
      </c>
      <c r="L192" s="5"/>
      <c r="M192" s="5"/>
      <c r="N192" s="5"/>
      <c r="O192" s="5"/>
      <c r="P192" s="5"/>
      <c r="Q192" s="5"/>
      <c r="R192" s="5"/>
      <c r="S192" s="5">
        <f>SUM(bron[[#This Row],[Januari]:[December]])</f>
        <v>1</v>
      </c>
      <c r="T192" s="9">
        <v>45418</v>
      </c>
      <c r="U192" s="8" t="s">
        <v>605</v>
      </c>
      <c r="V192" s="8">
        <v>1</v>
      </c>
      <c r="W192" s="8"/>
      <c r="X192" t="s">
        <v>3</v>
      </c>
      <c r="Y192" t="s">
        <v>606</v>
      </c>
      <c r="Z192"/>
      <c r="AA192" t="s">
        <v>3612</v>
      </c>
      <c r="AB192">
        <f>COUNTIF(B:B,bron[[#This Row],[volledige naam]])</f>
        <v>2</v>
      </c>
    </row>
    <row r="193" spans="1:28" x14ac:dyDescent="0.25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J193" s="5"/>
      <c r="K193" s="5">
        <v>1</v>
      </c>
      <c r="L193" s="5"/>
      <c r="M193" s="5"/>
      <c r="N193" s="5"/>
      <c r="O193" s="5"/>
      <c r="P193" s="5"/>
      <c r="Q193" s="5"/>
      <c r="R193" s="5"/>
      <c r="S193" s="5">
        <f>SUM(bron[[#This Row],[Januari]:[December]])</f>
        <v>1</v>
      </c>
      <c r="T193" s="9">
        <v>45418</v>
      </c>
      <c r="U193" s="8" t="s">
        <v>607</v>
      </c>
      <c r="V193" s="8">
        <v>1</v>
      </c>
      <c r="W193" s="8"/>
      <c r="X193" t="s">
        <v>3</v>
      </c>
      <c r="Y193" t="s">
        <v>18</v>
      </c>
      <c r="Z193"/>
      <c r="AA193" t="s">
        <v>3612</v>
      </c>
      <c r="AB193">
        <f>COUNTIF(B:B,bron[[#This Row],[volledige naam]])</f>
        <v>4</v>
      </c>
    </row>
    <row r="194" spans="1:28" x14ac:dyDescent="0.25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370</v>
      </c>
      <c r="D194" t="s">
        <v>370</v>
      </c>
      <c r="E194" t="s">
        <v>62</v>
      </c>
      <c r="F194" s="10"/>
      <c r="G194" s="7"/>
      <c r="H194" s="7"/>
      <c r="I194" s="7"/>
      <c r="J194" s="5"/>
      <c r="K194" s="5">
        <v>1</v>
      </c>
      <c r="L194" s="5"/>
      <c r="M194" s="5"/>
      <c r="N194" s="5"/>
      <c r="O194" s="5"/>
      <c r="P194" s="5"/>
      <c r="Q194" s="5"/>
      <c r="R194" s="5"/>
      <c r="S194" s="5">
        <f>SUM(bron[[#This Row],[Januari]:[December]])</f>
        <v>1</v>
      </c>
      <c r="T194" s="9">
        <v>45419</v>
      </c>
      <c r="U194" s="8" t="s">
        <v>608</v>
      </c>
      <c r="V194" s="8">
        <v>1</v>
      </c>
      <c r="W194" s="8"/>
      <c r="X194" t="s">
        <v>3</v>
      </c>
      <c r="Y194" t="s">
        <v>94</v>
      </c>
      <c r="Z194"/>
      <c r="AA194" t="s">
        <v>3612</v>
      </c>
      <c r="AB194">
        <f>COUNTIF(B:B,bron[[#This Row],[volledige naam]])</f>
        <v>58</v>
      </c>
    </row>
    <row r="195" spans="1:28" x14ac:dyDescent="0.25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J195" s="5"/>
      <c r="K195" s="5">
        <v>1</v>
      </c>
      <c r="L195" s="5"/>
      <c r="M195" s="5"/>
      <c r="N195" s="5"/>
      <c r="O195" s="5"/>
      <c r="P195" s="5"/>
      <c r="Q195" s="5"/>
      <c r="R195" s="5"/>
      <c r="S195" s="5">
        <f>SUM(bron[[#This Row],[Januari]:[December]])</f>
        <v>1</v>
      </c>
      <c r="T195" s="9">
        <v>45419</v>
      </c>
      <c r="U195" s="8" t="s">
        <v>609</v>
      </c>
      <c r="V195" s="8">
        <v>1</v>
      </c>
      <c r="W195" s="8"/>
      <c r="X195" t="s">
        <v>3</v>
      </c>
      <c r="Y195" t="s">
        <v>610</v>
      </c>
      <c r="Z195"/>
      <c r="AA195" t="s">
        <v>3612</v>
      </c>
      <c r="AB195">
        <f>COUNTIF(B:B,bron[[#This Row],[volledige naam]])</f>
        <v>2</v>
      </c>
    </row>
    <row r="196" spans="1:28" x14ac:dyDescent="0.25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J196" s="5"/>
      <c r="K196" s="5">
        <v>1</v>
      </c>
      <c r="L196" s="5"/>
      <c r="M196" s="5"/>
      <c r="N196" s="5"/>
      <c r="O196" s="5"/>
      <c r="P196" s="5"/>
      <c r="Q196" s="5"/>
      <c r="R196" s="5"/>
      <c r="S196" s="5">
        <f>SUM(bron[[#This Row],[Januari]:[December]])</f>
        <v>1</v>
      </c>
      <c r="T196" s="9">
        <v>45420</v>
      </c>
      <c r="U196" s="8" t="s">
        <v>611</v>
      </c>
      <c r="V196" s="8">
        <v>1</v>
      </c>
      <c r="W196" s="8"/>
      <c r="X196" t="s">
        <v>3</v>
      </c>
      <c r="Y196" t="s">
        <v>94</v>
      </c>
      <c r="Z196"/>
      <c r="AA196" t="s">
        <v>3612</v>
      </c>
      <c r="AB196">
        <f>COUNTIF(B:B,bron[[#This Row],[volledige naam]])</f>
        <v>3</v>
      </c>
    </row>
    <row r="197" spans="1:28" x14ac:dyDescent="0.25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J197" s="5"/>
      <c r="K197" s="5">
        <v>1</v>
      </c>
      <c r="L197" s="5"/>
      <c r="M197" s="5"/>
      <c r="N197" s="5"/>
      <c r="O197" s="5"/>
      <c r="P197" s="5"/>
      <c r="Q197" s="5"/>
      <c r="R197" s="5"/>
      <c r="S197" s="5">
        <f>SUM(bron[[#This Row],[Januari]:[December]])</f>
        <v>1</v>
      </c>
      <c r="T197" s="9">
        <v>45423</v>
      </c>
      <c r="U197" s="8" t="s">
        <v>612</v>
      </c>
      <c r="V197" s="8">
        <v>1</v>
      </c>
      <c r="W197" s="8"/>
      <c r="X197" t="s">
        <v>3</v>
      </c>
      <c r="Y197" t="s">
        <v>22</v>
      </c>
      <c r="Z197"/>
      <c r="AA197" t="s">
        <v>3612</v>
      </c>
      <c r="AB197">
        <f>COUNTIF(B:B,bron[[#This Row],[volledige naam]])</f>
        <v>2</v>
      </c>
    </row>
    <row r="198" spans="1:28" x14ac:dyDescent="0.25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J198" s="5"/>
      <c r="K198" s="5">
        <v>1</v>
      </c>
      <c r="L198" s="5"/>
      <c r="M198" s="5"/>
      <c r="N198" s="5"/>
      <c r="O198" s="5"/>
      <c r="P198" s="5"/>
      <c r="Q198" s="5"/>
      <c r="R198" s="5"/>
      <c r="S198" s="5">
        <f>SUM(bron[[#This Row],[Januari]:[December]])</f>
        <v>1</v>
      </c>
      <c r="T198" s="9">
        <v>45423</v>
      </c>
      <c r="U198" s="8" t="s">
        <v>613</v>
      </c>
      <c r="V198" s="8"/>
      <c r="W198" s="8">
        <v>1</v>
      </c>
      <c r="X198" t="s">
        <v>4</v>
      </c>
      <c r="Y198" t="s">
        <v>2</v>
      </c>
      <c r="Z198"/>
      <c r="AA198" t="s">
        <v>3612</v>
      </c>
      <c r="AB198">
        <f>COUNTIF(B:B,bron[[#This Row],[volledige naam]])</f>
        <v>1</v>
      </c>
    </row>
    <row r="199" spans="1:28" x14ac:dyDescent="0.25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370</v>
      </c>
      <c r="D199" t="s">
        <v>370</v>
      </c>
      <c r="E199" t="s">
        <v>62</v>
      </c>
      <c r="F199" s="10"/>
      <c r="G199" s="7"/>
      <c r="H199" s="7"/>
      <c r="I199" s="7"/>
      <c r="J199" s="5"/>
      <c r="K199" s="5">
        <v>1</v>
      </c>
      <c r="L199" s="5"/>
      <c r="M199" s="5"/>
      <c r="N199" s="5"/>
      <c r="O199" s="5"/>
      <c r="P199" s="5"/>
      <c r="Q199" s="5"/>
      <c r="R199" s="5"/>
      <c r="S199" s="5">
        <f>SUM(bron[[#This Row],[Januari]:[December]])</f>
        <v>1</v>
      </c>
      <c r="T199" s="9">
        <v>45424</v>
      </c>
      <c r="U199" s="8" t="s">
        <v>614</v>
      </c>
      <c r="V199" s="8">
        <v>1</v>
      </c>
      <c r="W199" s="8"/>
      <c r="X199" t="s">
        <v>3</v>
      </c>
      <c r="Y199" t="s">
        <v>10</v>
      </c>
      <c r="Z199"/>
      <c r="AA199" t="s">
        <v>3612</v>
      </c>
      <c r="AB199">
        <f>COUNTIF(B:B,bron[[#This Row],[volledige naam]])</f>
        <v>58</v>
      </c>
    </row>
    <row r="200" spans="1:28" x14ac:dyDescent="0.25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J200" s="5"/>
      <c r="K200" s="5">
        <v>1</v>
      </c>
      <c r="L200" s="5"/>
      <c r="M200" s="5"/>
      <c r="N200" s="5"/>
      <c r="O200" s="5"/>
      <c r="P200" s="5"/>
      <c r="Q200" s="5"/>
      <c r="R200" s="5"/>
      <c r="S200" s="5">
        <f>SUM(bron[[#This Row],[Januari]:[December]])</f>
        <v>1</v>
      </c>
      <c r="T200" s="9">
        <v>45424</v>
      </c>
      <c r="U200" s="8" t="s">
        <v>615</v>
      </c>
      <c r="V200" s="8"/>
      <c r="W200" s="8">
        <v>1</v>
      </c>
      <c r="X200" t="s">
        <v>4</v>
      </c>
      <c r="Y200" t="s">
        <v>6</v>
      </c>
      <c r="Z200"/>
      <c r="AA200" t="s">
        <v>3612</v>
      </c>
      <c r="AB200">
        <f>COUNTIF(B:B,bron[[#This Row],[volledige naam]])</f>
        <v>3</v>
      </c>
    </row>
    <row r="201" spans="1:28" x14ac:dyDescent="0.25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J201" s="5"/>
      <c r="K201" s="5">
        <v>1</v>
      </c>
      <c r="L201" s="5"/>
      <c r="M201" s="5"/>
      <c r="N201" s="5"/>
      <c r="O201" s="5"/>
      <c r="P201" s="5"/>
      <c r="Q201" s="5"/>
      <c r="R201" s="5"/>
      <c r="S201" s="5">
        <f>SUM(bron[[#This Row],[Januari]:[December]])</f>
        <v>1</v>
      </c>
      <c r="T201" s="9">
        <v>45425</v>
      </c>
      <c r="U201" s="8" t="s">
        <v>616</v>
      </c>
      <c r="V201" s="8">
        <v>1</v>
      </c>
      <c r="W201" s="8"/>
      <c r="X201" t="s">
        <v>3</v>
      </c>
      <c r="Y201" t="s">
        <v>6</v>
      </c>
      <c r="Z201"/>
      <c r="AA201" t="s">
        <v>3612</v>
      </c>
      <c r="AB201">
        <f>COUNTIF(B:B,bron[[#This Row],[volledige naam]])</f>
        <v>3</v>
      </c>
    </row>
    <row r="202" spans="1:28" x14ac:dyDescent="0.25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J202" s="5"/>
      <c r="K202" s="5">
        <v>1</v>
      </c>
      <c r="L202" s="5"/>
      <c r="M202" s="5"/>
      <c r="N202" s="5"/>
      <c r="O202" s="5"/>
      <c r="P202" s="5"/>
      <c r="Q202" s="5"/>
      <c r="R202" s="5"/>
      <c r="S202" s="5">
        <f>SUM(bron[[#This Row],[Januari]:[December]])</f>
        <v>1</v>
      </c>
      <c r="T202" s="9">
        <v>45425</v>
      </c>
      <c r="U202" s="8" t="s">
        <v>617</v>
      </c>
      <c r="V202" s="8">
        <v>1</v>
      </c>
      <c r="W202" s="8"/>
      <c r="X202" t="s">
        <v>3</v>
      </c>
      <c r="Y202" t="s">
        <v>6</v>
      </c>
      <c r="Z202"/>
      <c r="AA202" t="s">
        <v>3612</v>
      </c>
      <c r="AB202">
        <f>COUNTIF(B:B,bron[[#This Row],[volledige naam]])</f>
        <v>1</v>
      </c>
    </row>
    <row r="203" spans="1:28" x14ac:dyDescent="0.25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J203" s="5"/>
      <c r="K203" s="5">
        <v>1</v>
      </c>
      <c r="L203" s="5"/>
      <c r="M203" s="5"/>
      <c r="N203" s="5"/>
      <c r="O203" s="5"/>
      <c r="P203" s="5"/>
      <c r="Q203" s="5"/>
      <c r="R203" s="5"/>
      <c r="S203" s="5">
        <f>SUM(bron[[#This Row],[Januari]:[December]])</f>
        <v>1</v>
      </c>
      <c r="T203" s="9">
        <v>45427</v>
      </c>
      <c r="U203" s="8" t="s">
        <v>618</v>
      </c>
      <c r="V203" s="8">
        <v>1</v>
      </c>
      <c r="W203" s="8"/>
      <c r="X203" t="s">
        <v>3</v>
      </c>
      <c r="Y203" t="s">
        <v>16</v>
      </c>
      <c r="Z203"/>
      <c r="AA203" t="s">
        <v>3612</v>
      </c>
      <c r="AB203">
        <f>COUNTIF(B:B,bron[[#This Row],[volledige naam]])</f>
        <v>10</v>
      </c>
    </row>
    <row r="204" spans="1:28" x14ac:dyDescent="0.25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J204" s="5"/>
      <c r="K204" s="5">
        <v>1</v>
      </c>
      <c r="L204" s="5"/>
      <c r="M204" s="5"/>
      <c r="N204" s="5"/>
      <c r="O204" s="5"/>
      <c r="P204" s="5"/>
      <c r="Q204" s="5"/>
      <c r="R204" s="5"/>
      <c r="S204" s="5">
        <f>SUM(bron[[#This Row],[Januari]:[December]])</f>
        <v>1</v>
      </c>
      <c r="T204" s="9">
        <v>45428</v>
      </c>
      <c r="U204" s="8" t="s">
        <v>619</v>
      </c>
      <c r="V204" s="8">
        <v>1</v>
      </c>
      <c r="W204" s="8"/>
      <c r="X204" t="s">
        <v>3</v>
      </c>
      <c r="Y204" t="s">
        <v>223</v>
      </c>
      <c r="Z204"/>
      <c r="AA204" t="s">
        <v>3612</v>
      </c>
      <c r="AB204">
        <f>COUNTIF(B:B,bron[[#This Row],[volledige naam]])</f>
        <v>5</v>
      </c>
    </row>
    <row r="205" spans="1:28" x14ac:dyDescent="0.25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J205" s="5"/>
      <c r="K205" s="5">
        <v>1</v>
      </c>
      <c r="L205" s="5"/>
      <c r="M205" s="5"/>
      <c r="N205" s="5"/>
      <c r="O205" s="5"/>
      <c r="P205" s="5"/>
      <c r="Q205" s="5"/>
      <c r="R205" s="5"/>
      <c r="S205" s="5">
        <f>SUM(bron[[#This Row],[Januari]:[December]])</f>
        <v>1</v>
      </c>
      <c r="T205" s="9">
        <v>45428</v>
      </c>
      <c r="U205" s="8" t="s">
        <v>620</v>
      </c>
      <c r="V205" s="8">
        <v>1</v>
      </c>
      <c r="W205" s="8"/>
      <c r="X205" t="s">
        <v>3</v>
      </c>
      <c r="Y205" t="s">
        <v>621</v>
      </c>
      <c r="Z205"/>
      <c r="AA205" t="s">
        <v>3612</v>
      </c>
      <c r="AB205">
        <f>COUNTIF(B:B,bron[[#This Row],[volledige naam]])</f>
        <v>3</v>
      </c>
    </row>
    <row r="206" spans="1:28" x14ac:dyDescent="0.25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J206" s="5"/>
      <c r="K206" s="5">
        <v>1</v>
      </c>
      <c r="L206" s="5"/>
      <c r="M206" s="5"/>
      <c r="N206" s="5"/>
      <c r="O206" s="5"/>
      <c r="P206" s="5"/>
      <c r="Q206" s="5"/>
      <c r="R206" s="5"/>
      <c r="S206" s="5">
        <f>SUM(bron[[#This Row],[Januari]:[December]])</f>
        <v>1</v>
      </c>
      <c r="T206" s="9">
        <v>45429</v>
      </c>
      <c r="U206" s="8" t="s">
        <v>622</v>
      </c>
      <c r="V206" s="8">
        <v>1</v>
      </c>
      <c r="W206" s="8"/>
      <c r="X206" t="s">
        <v>3</v>
      </c>
      <c r="Y206" t="s">
        <v>152</v>
      </c>
      <c r="Z206"/>
      <c r="AA206" t="s">
        <v>3612</v>
      </c>
      <c r="AB206">
        <f>COUNTIF(B:B,bron[[#This Row],[volledige naam]])</f>
        <v>1</v>
      </c>
    </row>
    <row r="207" spans="1:28" x14ac:dyDescent="0.25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J207" s="5"/>
      <c r="K207" s="5">
        <v>1</v>
      </c>
      <c r="L207" s="5"/>
      <c r="M207" s="5"/>
      <c r="N207" s="5"/>
      <c r="O207" s="5"/>
      <c r="P207" s="5"/>
      <c r="Q207" s="5"/>
      <c r="R207" s="5"/>
      <c r="S207" s="5">
        <f>SUM(bron[[#This Row],[Januari]:[December]])</f>
        <v>1</v>
      </c>
      <c r="T207" s="9">
        <v>45433</v>
      </c>
      <c r="U207" s="8" t="s">
        <v>623</v>
      </c>
      <c r="V207" s="8">
        <v>1</v>
      </c>
      <c r="W207" s="8"/>
      <c r="X207" t="s">
        <v>3</v>
      </c>
      <c r="Y207" t="s">
        <v>94</v>
      </c>
      <c r="Z207"/>
      <c r="AA207" t="s">
        <v>3612</v>
      </c>
      <c r="AB207">
        <f>COUNTIF(B:B,bron[[#This Row],[volledige naam]])</f>
        <v>4</v>
      </c>
    </row>
    <row r="208" spans="1:28" x14ac:dyDescent="0.25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J208" s="5"/>
      <c r="K208" s="5">
        <v>1</v>
      </c>
      <c r="L208" s="5"/>
      <c r="M208" s="5"/>
      <c r="N208" s="5"/>
      <c r="O208" s="5"/>
      <c r="P208" s="5"/>
      <c r="Q208" s="5"/>
      <c r="R208" s="5"/>
      <c r="S208" s="5">
        <f>SUM(bron[[#This Row],[Januari]:[December]])</f>
        <v>1</v>
      </c>
      <c r="T208" s="9">
        <v>45433</v>
      </c>
      <c r="U208" s="8" t="s">
        <v>624</v>
      </c>
      <c r="V208" s="8">
        <v>1</v>
      </c>
      <c r="W208" s="8"/>
      <c r="X208" t="s">
        <v>3</v>
      </c>
      <c r="Y208" t="s">
        <v>6</v>
      </c>
      <c r="Z208"/>
      <c r="AA208" t="s">
        <v>3612</v>
      </c>
      <c r="AB208">
        <f>COUNTIF(B:B,bron[[#This Row],[volledige naam]])</f>
        <v>3</v>
      </c>
    </row>
    <row r="209" spans="1:28" x14ac:dyDescent="0.25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J209" s="5"/>
      <c r="K209" s="5">
        <v>1</v>
      </c>
      <c r="L209" s="5"/>
      <c r="M209" s="5"/>
      <c r="N209" s="5"/>
      <c r="O209" s="5"/>
      <c r="P209" s="5"/>
      <c r="Q209" s="5"/>
      <c r="R209" s="5"/>
      <c r="S209" s="5">
        <f>SUM(bron[[#This Row],[Januari]:[December]])</f>
        <v>1</v>
      </c>
      <c r="T209" s="9">
        <v>45433</v>
      </c>
      <c r="U209" s="8" t="s">
        <v>625</v>
      </c>
      <c r="V209" s="8">
        <v>1</v>
      </c>
      <c r="W209" s="8"/>
      <c r="X209" t="s">
        <v>3</v>
      </c>
      <c r="Y209" t="s">
        <v>124</v>
      </c>
      <c r="Z209"/>
      <c r="AA209" t="s">
        <v>3612</v>
      </c>
      <c r="AB209">
        <f>COUNTIF(B:B,bron[[#This Row],[volledige naam]])</f>
        <v>8</v>
      </c>
    </row>
    <row r="210" spans="1:28" x14ac:dyDescent="0.25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J210" s="5"/>
      <c r="K210" s="5">
        <v>1</v>
      </c>
      <c r="L210" s="5"/>
      <c r="M210" s="5"/>
      <c r="N210" s="5"/>
      <c r="O210" s="5"/>
      <c r="P210" s="5"/>
      <c r="Q210" s="5"/>
      <c r="R210" s="5"/>
      <c r="S210" s="5">
        <f>SUM(bron[[#This Row],[Januari]:[December]])</f>
        <v>1</v>
      </c>
      <c r="T210" s="9">
        <v>45434</v>
      </c>
      <c r="U210" s="8" t="s">
        <v>626</v>
      </c>
      <c r="V210" s="8"/>
      <c r="W210" s="8">
        <v>1</v>
      </c>
      <c r="X210" t="s">
        <v>4</v>
      </c>
      <c r="Y210" t="s">
        <v>2</v>
      </c>
      <c r="Z210"/>
      <c r="AA210" t="s">
        <v>3612</v>
      </c>
      <c r="AB210">
        <f>COUNTIF(B:B,bron[[#This Row],[volledige naam]])</f>
        <v>1</v>
      </c>
    </row>
    <row r="211" spans="1:28" x14ac:dyDescent="0.25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J211" s="5"/>
      <c r="K211" s="5">
        <v>1</v>
      </c>
      <c r="L211" s="5"/>
      <c r="M211" s="5"/>
      <c r="N211" s="5"/>
      <c r="O211" s="5"/>
      <c r="P211" s="5"/>
      <c r="Q211" s="5"/>
      <c r="R211" s="5"/>
      <c r="S211" s="5">
        <f>SUM(bron[[#This Row],[Januari]:[December]])</f>
        <v>1</v>
      </c>
      <c r="T211" s="9">
        <v>45434</v>
      </c>
      <c r="U211" s="8" t="s">
        <v>627</v>
      </c>
      <c r="V211" s="8">
        <v>1</v>
      </c>
      <c r="W211" s="8"/>
      <c r="X211" t="s">
        <v>3</v>
      </c>
      <c r="Y211" t="s">
        <v>37</v>
      </c>
      <c r="Z211"/>
      <c r="AA211" t="s">
        <v>3612</v>
      </c>
      <c r="AB211">
        <f>COUNTIF(B:B,bron[[#This Row],[volledige naam]])</f>
        <v>4</v>
      </c>
    </row>
    <row r="212" spans="1:28" x14ac:dyDescent="0.25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J212" s="5"/>
      <c r="K212" s="5">
        <v>1</v>
      </c>
      <c r="L212" s="5"/>
      <c r="M212" s="5"/>
      <c r="N212" s="5"/>
      <c r="O212" s="5"/>
      <c r="P212" s="5"/>
      <c r="Q212" s="5"/>
      <c r="R212" s="5"/>
      <c r="S212" s="5">
        <f>SUM(bron[[#This Row],[Januari]:[December]])</f>
        <v>1</v>
      </c>
      <c r="T212" s="9">
        <v>45435</v>
      </c>
      <c r="U212" s="8" t="s">
        <v>628</v>
      </c>
      <c r="V212" s="8">
        <v>1</v>
      </c>
      <c r="W212" s="8"/>
      <c r="X212" t="s">
        <v>3</v>
      </c>
      <c r="Y212" t="s">
        <v>217</v>
      </c>
      <c r="Z212"/>
      <c r="AA212" t="s">
        <v>3612</v>
      </c>
      <c r="AB212">
        <f>COUNTIF(B:B,bron[[#This Row],[volledige naam]])</f>
        <v>1</v>
      </c>
    </row>
    <row r="213" spans="1:28" x14ac:dyDescent="0.25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J213" s="5"/>
      <c r="K213" s="5">
        <v>1</v>
      </c>
      <c r="L213" s="5"/>
      <c r="M213" s="5"/>
      <c r="N213" s="5"/>
      <c r="O213" s="5"/>
      <c r="P213" s="5"/>
      <c r="Q213" s="5"/>
      <c r="R213" s="5"/>
      <c r="S213" s="5">
        <f>SUM(bron[[#This Row],[Januari]:[December]])</f>
        <v>1</v>
      </c>
      <c r="T213" s="9">
        <v>45435</v>
      </c>
      <c r="U213" s="8" t="s">
        <v>629</v>
      </c>
      <c r="V213" s="8">
        <v>1</v>
      </c>
      <c r="W213" s="8"/>
      <c r="X213" t="s">
        <v>3</v>
      </c>
      <c r="Y213" t="s">
        <v>37</v>
      </c>
      <c r="Z213"/>
      <c r="AA213" t="s">
        <v>3612</v>
      </c>
      <c r="AB213">
        <f>COUNTIF(B:B,bron[[#This Row],[volledige naam]])</f>
        <v>4</v>
      </c>
    </row>
    <row r="214" spans="1:28" x14ac:dyDescent="0.25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J214" s="5"/>
      <c r="K214" s="5">
        <v>1</v>
      </c>
      <c r="L214" s="5"/>
      <c r="M214" s="5"/>
      <c r="N214" s="5"/>
      <c r="O214" s="5"/>
      <c r="P214" s="5"/>
      <c r="Q214" s="5"/>
      <c r="R214" s="5"/>
      <c r="S214" s="5">
        <f>SUM(bron[[#This Row],[Januari]:[December]])</f>
        <v>1</v>
      </c>
      <c r="T214" s="9">
        <v>45436</v>
      </c>
      <c r="U214" s="8" t="s">
        <v>630</v>
      </c>
      <c r="V214" s="8">
        <v>1</v>
      </c>
      <c r="W214" s="8"/>
      <c r="X214" t="s">
        <v>3</v>
      </c>
      <c r="Y214" t="s">
        <v>631</v>
      </c>
      <c r="Z214"/>
      <c r="AA214" t="s">
        <v>3612</v>
      </c>
      <c r="AB214">
        <f>COUNTIF(B:B,bron[[#This Row],[volledige naam]])</f>
        <v>2</v>
      </c>
    </row>
    <row r="215" spans="1:28" x14ac:dyDescent="0.25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J215" s="5"/>
      <c r="K215" s="5">
        <v>1</v>
      </c>
      <c r="L215" s="5"/>
      <c r="M215" s="5"/>
      <c r="N215" s="5"/>
      <c r="O215" s="5"/>
      <c r="P215" s="5"/>
      <c r="Q215" s="5"/>
      <c r="R215" s="5"/>
      <c r="S215" s="5">
        <f>SUM(bron[[#This Row],[Januari]:[December]])</f>
        <v>1</v>
      </c>
      <c r="T215" s="9">
        <v>45436</v>
      </c>
      <c r="U215" s="8" t="s">
        <v>632</v>
      </c>
      <c r="V215" s="8">
        <v>1</v>
      </c>
      <c r="W215" s="8"/>
      <c r="X215" t="s">
        <v>3</v>
      </c>
      <c r="Y215" t="s">
        <v>462</v>
      </c>
      <c r="Z215"/>
      <c r="AA215" t="s">
        <v>3612</v>
      </c>
      <c r="AB215">
        <f>COUNTIF(B:B,bron[[#This Row],[volledige naam]])</f>
        <v>4</v>
      </c>
    </row>
    <row r="216" spans="1:28" x14ac:dyDescent="0.25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370</v>
      </c>
      <c r="D216" t="s">
        <v>370</v>
      </c>
      <c r="E216" t="s">
        <v>62</v>
      </c>
      <c r="F216" s="10"/>
      <c r="G216" s="7"/>
      <c r="H216" s="7"/>
      <c r="I216" s="7"/>
      <c r="J216" s="5"/>
      <c r="K216" s="5">
        <v>1</v>
      </c>
      <c r="L216" s="5"/>
      <c r="M216" s="5"/>
      <c r="N216" s="5"/>
      <c r="O216" s="5"/>
      <c r="P216" s="5"/>
      <c r="Q216" s="5"/>
      <c r="R216" s="5"/>
      <c r="S216" s="5">
        <f>SUM(bron[[#This Row],[Januari]:[December]])</f>
        <v>1</v>
      </c>
      <c r="T216" s="9">
        <v>45436</v>
      </c>
      <c r="U216" s="8" t="s">
        <v>633</v>
      </c>
      <c r="V216" s="8">
        <v>1</v>
      </c>
      <c r="W216" s="8"/>
      <c r="X216" t="s">
        <v>3</v>
      </c>
      <c r="Y216" t="s">
        <v>184</v>
      </c>
      <c r="Z216"/>
      <c r="AA216" t="s">
        <v>3612</v>
      </c>
      <c r="AB216">
        <f>COUNTIF(B:B,bron[[#This Row],[volledige naam]])</f>
        <v>58</v>
      </c>
    </row>
    <row r="217" spans="1:28" x14ac:dyDescent="0.25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J217" s="5"/>
      <c r="K217" s="5">
        <v>1</v>
      </c>
      <c r="L217" s="5"/>
      <c r="M217" s="5"/>
      <c r="N217" s="5"/>
      <c r="O217" s="5"/>
      <c r="P217" s="5"/>
      <c r="Q217" s="5"/>
      <c r="R217" s="5"/>
      <c r="S217" s="5">
        <f>SUM(bron[[#This Row],[Januari]:[December]])</f>
        <v>1</v>
      </c>
      <c r="T217" s="9">
        <v>45439</v>
      </c>
      <c r="U217" s="8" t="s">
        <v>634</v>
      </c>
      <c r="V217" s="8"/>
      <c r="W217" s="8">
        <v>1</v>
      </c>
      <c r="X217" t="s">
        <v>4</v>
      </c>
      <c r="Y217" t="s">
        <v>55</v>
      </c>
      <c r="Z217"/>
      <c r="AA217" t="s">
        <v>3612</v>
      </c>
      <c r="AB217">
        <f>COUNTIF(B:B,bron[[#This Row],[volledige naam]])</f>
        <v>2</v>
      </c>
    </row>
    <row r="218" spans="1:28" x14ac:dyDescent="0.25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370</v>
      </c>
      <c r="D218" t="s">
        <v>370</v>
      </c>
      <c r="E218" t="s">
        <v>62</v>
      </c>
      <c r="F218" s="10"/>
      <c r="G218" s="7"/>
      <c r="H218" s="7"/>
      <c r="I218" s="7"/>
      <c r="J218" s="5"/>
      <c r="K218" s="5">
        <v>1</v>
      </c>
      <c r="L218" s="5"/>
      <c r="M218" s="5"/>
      <c r="N218" s="5"/>
      <c r="O218" s="5"/>
      <c r="P218" s="5"/>
      <c r="Q218" s="5"/>
      <c r="R218" s="5"/>
      <c r="S218" s="5">
        <f>SUM(bron[[#This Row],[Januari]:[December]])</f>
        <v>1</v>
      </c>
      <c r="T218" s="9">
        <v>45440</v>
      </c>
      <c r="U218" s="8" t="s">
        <v>635</v>
      </c>
      <c r="V218" s="8">
        <v>1</v>
      </c>
      <c r="W218" s="8"/>
      <c r="X218" t="s">
        <v>3</v>
      </c>
      <c r="Y218" t="s">
        <v>158</v>
      </c>
      <c r="Z218"/>
      <c r="AA218" t="s">
        <v>3612</v>
      </c>
      <c r="AB218">
        <f>COUNTIF(B:B,bron[[#This Row],[volledige naam]])</f>
        <v>58</v>
      </c>
    </row>
    <row r="219" spans="1:28" x14ac:dyDescent="0.25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370</v>
      </c>
      <c r="D219" t="s">
        <v>370</v>
      </c>
      <c r="E219" t="s">
        <v>62</v>
      </c>
      <c r="F219" s="10"/>
      <c r="G219" s="7"/>
      <c r="H219" s="7"/>
      <c r="I219" s="7"/>
      <c r="J219" s="5"/>
      <c r="K219" s="5">
        <v>1</v>
      </c>
      <c r="L219" s="5"/>
      <c r="M219" s="5"/>
      <c r="N219" s="5"/>
      <c r="O219" s="5"/>
      <c r="P219" s="5"/>
      <c r="Q219" s="5"/>
      <c r="R219" s="5"/>
      <c r="S219" s="5">
        <f>SUM(bron[[#This Row],[Januari]:[December]])</f>
        <v>1</v>
      </c>
      <c r="T219" s="9">
        <v>45440</v>
      </c>
      <c r="U219" s="8" t="s">
        <v>636</v>
      </c>
      <c r="V219" s="8"/>
      <c r="W219" s="8">
        <v>1</v>
      </c>
      <c r="X219" t="s">
        <v>4</v>
      </c>
      <c r="Y219" t="s">
        <v>512</v>
      </c>
      <c r="Z219"/>
      <c r="AA219" t="s">
        <v>3612</v>
      </c>
      <c r="AB219">
        <f>COUNTIF(B:B,bron[[#This Row],[volledige naam]])</f>
        <v>58</v>
      </c>
    </row>
    <row r="220" spans="1:28" x14ac:dyDescent="0.25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J220" s="5"/>
      <c r="K220" s="5">
        <v>1</v>
      </c>
      <c r="L220" s="5"/>
      <c r="M220" s="5"/>
      <c r="N220" s="5"/>
      <c r="O220" s="5"/>
      <c r="P220" s="5"/>
      <c r="Q220" s="5"/>
      <c r="R220" s="5"/>
      <c r="S220" s="5">
        <f>SUM(bron[[#This Row],[Januari]:[December]])</f>
        <v>1</v>
      </c>
      <c r="T220" s="9">
        <v>45440</v>
      </c>
      <c r="U220" s="8" t="s">
        <v>637</v>
      </c>
      <c r="V220" s="8"/>
      <c r="W220" s="8">
        <v>1</v>
      </c>
      <c r="X220" t="s">
        <v>4</v>
      </c>
      <c r="Y220" t="s">
        <v>152</v>
      </c>
      <c r="Z220"/>
      <c r="AA220" t="s">
        <v>3612</v>
      </c>
      <c r="AB220">
        <f>COUNTIF(B:B,bron[[#This Row],[volledige naam]])</f>
        <v>2</v>
      </c>
    </row>
    <row r="221" spans="1:28" x14ac:dyDescent="0.25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J221" s="5"/>
      <c r="K221" s="5">
        <v>1</v>
      </c>
      <c r="L221" s="5"/>
      <c r="M221" s="5"/>
      <c r="N221" s="5"/>
      <c r="O221" s="5"/>
      <c r="P221" s="5"/>
      <c r="Q221" s="5"/>
      <c r="R221" s="5"/>
      <c r="S221" s="5">
        <f>SUM(bron[[#This Row],[Januari]:[December]])</f>
        <v>1</v>
      </c>
      <c r="T221" s="9">
        <v>45441</v>
      </c>
      <c r="U221" s="8" t="s">
        <v>638</v>
      </c>
      <c r="V221" s="8">
        <v>1</v>
      </c>
      <c r="W221" s="8"/>
      <c r="X221" t="s">
        <v>3</v>
      </c>
      <c r="Y221" t="s">
        <v>10</v>
      </c>
      <c r="Z221"/>
      <c r="AA221" t="s">
        <v>3612</v>
      </c>
      <c r="AB221">
        <f>COUNTIF(B:B,bron[[#This Row],[volledige naam]])</f>
        <v>2</v>
      </c>
    </row>
    <row r="222" spans="1:28" x14ac:dyDescent="0.25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370</v>
      </c>
      <c r="D222" t="s">
        <v>370</v>
      </c>
      <c r="E222" t="s">
        <v>62</v>
      </c>
      <c r="F222" s="10"/>
      <c r="G222" s="7"/>
      <c r="H222" s="7"/>
      <c r="I222" s="7"/>
      <c r="J222" s="5"/>
      <c r="K222" s="5">
        <v>1</v>
      </c>
      <c r="L222" s="5"/>
      <c r="M222" s="5"/>
      <c r="N222" s="5"/>
      <c r="O222" s="5"/>
      <c r="P222" s="5"/>
      <c r="Q222" s="5"/>
      <c r="R222" s="5"/>
      <c r="S222" s="5">
        <f>SUM(bron[[#This Row],[Januari]:[December]])</f>
        <v>1</v>
      </c>
      <c r="T222" s="9">
        <v>45441</v>
      </c>
      <c r="U222" s="8" t="s">
        <v>639</v>
      </c>
      <c r="V222" s="8"/>
      <c r="W222" s="8">
        <v>1</v>
      </c>
      <c r="X222" t="s">
        <v>4</v>
      </c>
      <c r="Y222" t="s">
        <v>2</v>
      </c>
      <c r="Z222"/>
      <c r="AA222" t="s">
        <v>3612</v>
      </c>
      <c r="AB222">
        <f>COUNTIF(B:B,bron[[#This Row],[volledige naam]])</f>
        <v>58</v>
      </c>
    </row>
    <row r="223" spans="1:28" x14ac:dyDescent="0.25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J223" s="5"/>
      <c r="K223" s="5">
        <v>1</v>
      </c>
      <c r="L223" s="5"/>
      <c r="M223" s="5"/>
      <c r="N223" s="5"/>
      <c r="O223" s="5"/>
      <c r="P223" s="5"/>
      <c r="Q223" s="5"/>
      <c r="R223" s="5"/>
      <c r="S223" s="5">
        <f>SUM(bron[[#This Row],[Januari]:[December]])</f>
        <v>1</v>
      </c>
      <c r="T223" s="9">
        <v>45442</v>
      </c>
      <c r="U223" s="8" t="s">
        <v>640</v>
      </c>
      <c r="V223" s="8">
        <v>1</v>
      </c>
      <c r="W223" s="8"/>
      <c r="X223" t="s">
        <v>3</v>
      </c>
      <c r="Y223" t="s">
        <v>16</v>
      </c>
      <c r="Z223"/>
      <c r="AA223" t="s">
        <v>3612</v>
      </c>
      <c r="AB223">
        <f>COUNTIF(B:B,bron[[#This Row],[volledige naam]])</f>
        <v>10</v>
      </c>
    </row>
    <row r="224" spans="1:28" x14ac:dyDescent="0.25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J224" s="5"/>
      <c r="K224" s="5">
        <v>1</v>
      </c>
      <c r="L224" s="5"/>
      <c r="M224" s="5"/>
      <c r="N224" s="5"/>
      <c r="O224" s="5"/>
      <c r="P224" s="5"/>
      <c r="Q224" s="5"/>
      <c r="R224" s="5"/>
      <c r="S224" s="5">
        <f>SUM(bron[[#This Row],[Januari]:[December]])</f>
        <v>1</v>
      </c>
      <c r="T224" s="9">
        <v>45442</v>
      </c>
      <c r="U224" s="8" t="s">
        <v>641</v>
      </c>
      <c r="V224" s="8">
        <v>1</v>
      </c>
      <c r="W224" s="8"/>
      <c r="X224" t="s">
        <v>3</v>
      </c>
      <c r="Y224" t="s">
        <v>6</v>
      </c>
      <c r="Z224"/>
      <c r="AA224" t="s">
        <v>3612</v>
      </c>
      <c r="AB224">
        <f>COUNTIF(B:B,bron[[#This Row],[volledige naam]])</f>
        <v>1</v>
      </c>
    </row>
    <row r="225" spans="1:28" x14ac:dyDescent="0.25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J225" s="5"/>
      <c r="K225" s="5"/>
      <c r="L225" s="5"/>
      <c r="M225" s="5"/>
      <c r="N225" s="5"/>
      <c r="O225" s="5"/>
      <c r="P225" s="5"/>
      <c r="Q225" s="5"/>
      <c r="R225" s="5"/>
      <c r="S225" s="5">
        <f>SUM(bron[[#This Row],[Januari]:[December]])</f>
        <v>0</v>
      </c>
      <c r="T225" s="9">
        <v>45445</v>
      </c>
      <c r="U225" s="8" t="s">
        <v>642</v>
      </c>
      <c r="V225" s="8">
        <v>1</v>
      </c>
      <c r="W225" s="8"/>
      <c r="X225" t="s">
        <v>3</v>
      </c>
      <c r="Y225" t="s">
        <v>238</v>
      </c>
      <c r="Z225"/>
      <c r="AA225" t="s">
        <v>3612</v>
      </c>
      <c r="AB225">
        <f>COUNTIF(B:B,bron[[#This Row],[volledige naam]])</f>
        <v>3</v>
      </c>
    </row>
    <row r="226" spans="1:28" x14ac:dyDescent="0.25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370</v>
      </c>
      <c r="D226" t="s">
        <v>370</v>
      </c>
      <c r="E226" t="s">
        <v>62</v>
      </c>
      <c r="F226" s="10"/>
      <c r="G226" s="7"/>
      <c r="H226" s="7"/>
      <c r="I226" s="7"/>
      <c r="J226" s="5"/>
      <c r="K226" s="5"/>
      <c r="L226" s="5"/>
      <c r="M226" s="5"/>
      <c r="N226" s="5"/>
      <c r="O226" s="5"/>
      <c r="P226" s="5"/>
      <c r="Q226" s="5"/>
      <c r="R226" s="5"/>
      <c r="S226" s="5">
        <f>SUM(bron[[#This Row],[Januari]:[December]])</f>
        <v>0</v>
      </c>
      <c r="T226" s="9">
        <v>45445</v>
      </c>
      <c r="U226" s="8" t="s">
        <v>643</v>
      </c>
      <c r="V226" s="8">
        <v>1</v>
      </c>
      <c r="W226" s="8"/>
      <c r="X226" t="s">
        <v>3</v>
      </c>
      <c r="Y226" t="s">
        <v>644</v>
      </c>
      <c r="Z226"/>
      <c r="AA226" t="s">
        <v>3612</v>
      </c>
      <c r="AB226">
        <f>COUNTIF(B:B,bron[[#This Row],[volledige naam]])</f>
        <v>58</v>
      </c>
    </row>
    <row r="227" spans="1:28" x14ac:dyDescent="0.25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J227" s="5"/>
      <c r="K227" s="5"/>
      <c r="L227" s="5"/>
      <c r="M227" s="5"/>
      <c r="N227" s="5"/>
      <c r="O227" s="5"/>
      <c r="P227" s="5"/>
      <c r="Q227" s="5"/>
      <c r="R227" s="5"/>
      <c r="S227" s="5">
        <f>SUM(bron[[#This Row],[Januari]:[December]])</f>
        <v>0</v>
      </c>
      <c r="T227" s="9">
        <v>45447</v>
      </c>
      <c r="U227" s="8" t="s">
        <v>645</v>
      </c>
      <c r="V227" s="8"/>
      <c r="W227" s="8">
        <v>1</v>
      </c>
      <c r="X227" t="s">
        <v>4</v>
      </c>
      <c r="Y227" t="s">
        <v>140</v>
      </c>
      <c r="Z227"/>
      <c r="AA227" t="s">
        <v>3612</v>
      </c>
      <c r="AB227">
        <f>COUNTIF(B:B,bron[[#This Row],[volledige naam]])</f>
        <v>5</v>
      </c>
    </row>
    <row r="228" spans="1:28" x14ac:dyDescent="0.25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J228" s="5"/>
      <c r="K228" s="5"/>
      <c r="L228" s="5"/>
      <c r="M228" s="5"/>
      <c r="N228" s="5"/>
      <c r="O228" s="5"/>
      <c r="P228" s="5"/>
      <c r="Q228" s="5"/>
      <c r="R228" s="5"/>
      <c r="S228" s="5">
        <f>SUM(bron[[#This Row],[Januari]:[December]])</f>
        <v>0</v>
      </c>
      <c r="T228" s="9">
        <v>45447</v>
      </c>
      <c r="U228" s="8" t="s">
        <v>646</v>
      </c>
      <c r="V228" s="8"/>
      <c r="W228" s="8">
        <v>1</v>
      </c>
      <c r="X228" t="s">
        <v>4</v>
      </c>
      <c r="Y228" t="s">
        <v>647</v>
      </c>
      <c r="Z228"/>
      <c r="AA228" t="s">
        <v>3612</v>
      </c>
      <c r="AB228">
        <f>COUNTIF(B:B,bron[[#This Row],[volledige naam]])</f>
        <v>4</v>
      </c>
    </row>
    <row r="229" spans="1:28" x14ac:dyDescent="0.25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J229" s="5"/>
      <c r="K229" s="5"/>
      <c r="L229" s="5"/>
      <c r="M229" s="5"/>
      <c r="N229" s="5"/>
      <c r="O229" s="5"/>
      <c r="P229" s="5"/>
      <c r="Q229" s="5"/>
      <c r="R229" s="5"/>
      <c r="S229" s="5">
        <f>SUM(bron[[#This Row],[Januari]:[December]])</f>
        <v>0</v>
      </c>
      <c r="T229" s="9">
        <v>45447</v>
      </c>
      <c r="U229" s="8" t="s">
        <v>648</v>
      </c>
      <c r="V229" s="8"/>
      <c r="W229" s="8">
        <v>1</v>
      </c>
      <c r="X229" t="s">
        <v>4</v>
      </c>
      <c r="Y229" t="s">
        <v>140</v>
      </c>
      <c r="Z229"/>
      <c r="AA229" t="s">
        <v>3612</v>
      </c>
      <c r="AB229">
        <f>COUNTIF(B:B,bron[[#This Row],[volledige naam]])</f>
        <v>5</v>
      </c>
    </row>
    <row r="230" spans="1:28" x14ac:dyDescent="0.25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J230" s="5"/>
      <c r="K230" s="5"/>
      <c r="L230" s="5"/>
      <c r="M230" s="5"/>
      <c r="N230" s="5"/>
      <c r="O230" s="5"/>
      <c r="P230" s="5"/>
      <c r="Q230" s="5"/>
      <c r="R230" s="5"/>
      <c r="S230" s="5">
        <f>SUM(bron[[#This Row],[Januari]:[December]])</f>
        <v>0</v>
      </c>
      <c r="T230" s="9">
        <v>45448</v>
      </c>
      <c r="U230" s="8" t="s">
        <v>649</v>
      </c>
      <c r="V230" s="8">
        <v>1</v>
      </c>
      <c r="W230" s="8"/>
      <c r="X230" t="s">
        <v>3</v>
      </c>
      <c r="Y230" t="s">
        <v>650</v>
      </c>
      <c r="Z230"/>
      <c r="AA230" t="s">
        <v>3612</v>
      </c>
      <c r="AB230">
        <f>COUNTIF(B:B,bron[[#This Row],[volledige naam]])</f>
        <v>2</v>
      </c>
    </row>
    <row r="231" spans="1:28" x14ac:dyDescent="0.25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J231" s="5"/>
      <c r="K231" s="5"/>
      <c r="L231" s="5"/>
      <c r="M231" s="5"/>
      <c r="N231" s="5"/>
      <c r="O231" s="5"/>
      <c r="P231" s="5"/>
      <c r="Q231" s="5"/>
      <c r="R231" s="5"/>
      <c r="S231" s="5">
        <f>SUM(bron[[#This Row],[Januari]:[December]])</f>
        <v>0</v>
      </c>
      <c r="T231" s="9">
        <v>45448</v>
      </c>
      <c r="U231" s="8" t="s">
        <v>651</v>
      </c>
      <c r="V231" s="8">
        <v>1</v>
      </c>
      <c r="W231" s="8"/>
      <c r="X231" t="s">
        <v>3</v>
      </c>
      <c r="Y231" t="s">
        <v>442</v>
      </c>
      <c r="Z231"/>
      <c r="AA231" t="s">
        <v>3612</v>
      </c>
      <c r="AB231">
        <f>COUNTIF(B:B,bron[[#This Row],[volledige naam]])</f>
        <v>4</v>
      </c>
    </row>
    <row r="232" spans="1:28" x14ac:dyDescent="0.25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J232" s="5"/>
      <c r="K232" s="5"/>
      <c r="L232" s="5"/>
      <c r="M232" s="5"/>
      <c r="N232" s="5"/>
      <c r="O232" s="5"/>
      <c r="P232" s="5"/>
      <c r="Q232" s="5"/>
      <c r="R232" s="5"/>
      <c r="S232" s="5">
        <f>SUM(bron[[#This Row],[Januari]:[December]])</f>
        <v>0</v>
      </c>
      <c r="T232" s="9">
        <v>45448</v>
      </c>
      <c r="U232" s="8" t="s">
        <v>652</v>
      </c>
      <c r="V232" s="8"/>
      <c r="W232" s="8">
        <v>1</v>
      </c>
      <c r="X232" t="s">
        <v>4</v>
      </c>
      <c r="Y232" t="s">
        <v>653</v>
      </c>
      <c r="Z232"/>
      <c r="AA232" t="s">
        <v>3612</v>
      </c>
      <c r="AB232">
        <f>COUNTIF(B:B,bron[[#This Row],[volledige naam]])</f>
        <v>6</v>
      </c>
    </row>
    <row r="233" spans="1:28" x14ac:dyDescent="0.25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J233" s="5"/>
      <c r="K233" s="5"/>
      <c r="L233" s="5"/>
      <c r="M233" s="5"/>
      <c r="N233" s="5"/>
      <c r="O233" s="5"/>
      <c r="P233" s="5"/>
      <c r="Q233" s="5"/>
      <c r="R233" s="5"/>
      <c r="S233" s="5">
        <f>SUM(bron[[#This Row],[Januari]:[December]])</f>
        <v>0</v>
      </c>
      <c r="T233" s="9">
        <v>45449</v>
      </c>
      <c r="U233" s="8" t="s">
        <v>654</v>
      </c>
      <c r="V233" s="8">
        <v>1</v>
      </c>
      <c r="W233" s="8"/>
      <c r="X233" t="s">
        <v>3</v>
      </c>
      <c r="Y233" t="s">
        <v>16</v>
      </c>
      <c r="Z233"/>
      <c r="AA233" t="s">
        <v>3612</v>
      </c>
      <c r="AB233">
        <f>COUNTIF(B:B,bron[[#This Row],[volledige naam]])</f>
        <v>4</v>
      </c>
    </row>
    <row r="234" spans="1:28" x14ac:dyDescent="0.25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370</v>
      </c>
      <c r="D234" t="s">
        <v>370</v>
      </c>
      <c r="E234" t="s">
        <v>62</v>
      </c>
      <c r="F234" s="10"/>
      <c r="G234" s="7"/>
      <c r="H234" s="7"/>
      <c r="I234" s="7"/>
      <c r="J234" s="5"/>
      <c r="K234" s="5"/>
      <c r="L234" s="5"/>
      <c r="M234" s="5"/>
      <c r="N234" s="5"/>
      <c r="O234" s="5"/>
      <c r="P234" s="5"/>
      <c r="Q234" s="5"/>
      <c r="R234" s="5"/>
      <c r="S234" s="5">
        <f>SUM(bron[[#This Row],[Januari]:[December]])</f>
        <v>0</v>
      </c>
      <c r="T234" s="9">
        <v>45449</v>
      </c>
      <c r="U234" s="8" t="s">
        <v>655</v>
      </c>
      <c r="V234" s="8">
        <v>1</v>
      </c>
      <c r="W234" s="8"/>
      <c r="X234" t="s">
        <v>3</v>
      </c>
      <c r="Y234" t="s">
        <v>20</v>
      </c>
      <c r="Z234"/>
      <c r="AA234" t="s">
        <v>3612</v>
      </c>
      <c r="AB234">
        <f>COUNTIF(B:B,bron[[#This Row],[volledige naam]])</f>
        <v>58</v>
      </c>
    </row>
    <row r="235" spans="1:28" x14ac:dyDescent="0.25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J235" s="5"/>
      <c r="K235" s="5"/>
      <c r="L235" s="5"/>
      <c r="M235" s="5"/>
      <c r="N235" s="5"/>
      <c r="O235" s="5"/>
      <c r="P235" s="5"/>
      <c r="Q235" s="5"/>
      <c r="R235" s="5"/>
      <c r="S235" s="5">
        <f>SUM(bron[[#This Row],[Januari]:[December]])</f>
        <v>0</v>
      </c>
      <c r="T235" s="9">
        <v>45450</v>
      </c>
      <c r="U235" s="8" t="s">
        <v>656</v>
      </c>
      <c r="V235" s="8">
        <v>1</v>
      </c>
      <c r="W235" s="8"/>
      <c r="X235" t="s">
        <v>3</v>
      </c>
      <c r="Y235" t="s">
        <v>657</v>
      </c>
      <c r="Z235"/>
      <c r="AA235" t="s">
        <v>3612</v>
      </c>
      <c r="AB235">
        <f>COUNTIF(B:B,bron[[#This Row],[volledige naam]])</f>
        <v>2</v>
      </c>
    </row>
    <row r="236" spans="1:28" x14ac:dyDescent="0.25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370</v>
      </c>
      <c r="D236" t="s">
        <v>370</v>
      </c>
      <c r="E236" t="s">
        <v>62</v>
      </c>
      <c r="F236" s="10"/>
      <c r="G236" s="7"/>
      <c r="H236" s="7"/>
      <c r="I236" s="7"/>
      <c r="J236" s="5"/>
      <c r="K236" s="5"/>
      <c r="L236" s="5"/>
      <c r="M236" s="5"/>
      <c r="N236" s="5"/>
      <c r="O236" s="5"/>
      <c r="P236" s="5"/>
      <c r="Q236" s="5"/>
      <c r="R236" s="5"/>
      <c r="S236" s="5">
        <f>SUM(bron[[#This Row],[Januari]:[December]])</f>
        <v>0</v>
      </c>
      <c r="T236" s="9">
        <v>45453</v>
      </c>
      <c r="U236" s="8" t="s">
        <v>658</v>
      </c>
      <c r="V236" s="8">
        <v>1</v>
      </c>
      <c r="W236" s="8"/>
      <c r="X236" t="s">
        <v>3</v>
      </c>
      <c r="Y236" t="s">
        <v>37</v>
      </c>
      <c r="Z236"/>
      <c r="AA236" t="s">
        <v>3612</v>
      </c>
      <c r="AB236">
        <f>COUNTIF(B:B,bron[[#This Row],[volledige naam]])</f>
        <v>58</v>
      </c>
    </row>
    <row r="237" spans="1:28" x14ac:dyDescent="0.25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J237" s="5"/>
      <c r="K237" s="5"/>
      <c r="L237" s="5"/>
      <c r="M237" s="5"/>
      <c r="N237" s="5"/>
      <c r="O237" s="5"/>
      <c r="P237" s="5"/>
      <c r="Q237" s="5"/>
      <c r="R237" s="5"/>
      <c r="S237" s="5">
        <f>SUM(bron[[#This Row],[Januari]:[December]])</f>
        <v>0</v>
      </c>
      <c r="T237" s="9">
        <v>45453</v>
      </c>
      <c r="U237" s="8" t="s">
        <v>659</v>
      </c>
      <c r="V237" s="8">
        <v>1</v>
      </c>
      <c r="W237" s="8"/>
      <c r="X237" t="s">
        <v>3</v>
      </c>
      <c r="Y237" t="s">
        <v>6</v>
      </c>
      <c r="Z237"/>
      <c r="AA237" t="s">
        <v>3612</v>
      </c>
      <c r="AB237">
        <f>COUNTIF(B:B,bron[[#This Row],[volledige naam]])</f>
        <v>2</v>
      </c>
    </row>
    <row r="238" spans="1:28" x14ac:dyDescent="0.25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J238" s="5"/>
      <c r="K238" s="5"/>
      <c r="L238" s="5"/>
      <c r="M238" s="5"/>
      <c r="N238" s="5"/>
      <c r="O238" s="5"/>
      <c r="P238" s="5"/>
      <c r="Q238" s="5"/>
      <c r="R238" s="5"/>
      <c r="S238" s="5">
        <f>SUM(bron[[#This Row],[Januari]:[December]])</f>
        <v>0</v>
      </c>
      <c r="T238" s="9">
        <v>45453</v>
      </c>
      <c r="U238" s="8" t="s">
        <v>660</v>
      </c>
      <c r="V238" s="8">
        <v>1</v>
      </c>
      <c r="W238" s="8"/>
      <c r="X238" t="s">
        <v>3</v>
      </c>
      <c r="Y238" t="s">
        <v>22</v>
      </c>
      <c r="Z238"/>
      <c r="AA238" t="s">
        <v>3612</v>
      </c>
      <c r="AB238">
        <f>COUNTIF(B:B,bron[[#This Row],[volledige naam]])</f>
        <v>3</v>
      </c>
    </row>
    <row r="239" spans="1:28" x14ac:dyDescent="0.25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J239" s="5"/>
      <c r="K239" s="5"/>
      <c r="L239" s="5"/>
      <c r="M239" s="5"/>
      <c r="N239" s="5"/>
      <c r="O239" s="5"/>
      <c r="P239" s="5"/>
      <c r="Q239" s="5"/>
      <c r="R239" s="5"/>
      <c r="S239" s="5">
        <f>SUM(bron[[#This Row],[Januari]:[December]])</f>
        <v>0</v>
      </c>
      <c r="T239" s="9">
        <v>45453</v>
      </c>
      <c r="U239" s="8" t="s">
        <v>661</v>
      </c>
      <c r="V239" s="8">
        <v>1</v>
      </c>
      <c r="W239" s="8"/>
      <c r="X239" t="s">
        <v>3</v>
      </c>
      <c r="Y239" t="s">
        <v>662</v>
      </c>
      <c r="Z239"/>
      <c r="AA239" t="s">
        <v>3612</v>
      </c>
      <c r="AB239">
        <f>COUNTIF(B:B,bron[[#This Row],[volledige naam]])</f>
        <v>2</v>
      </c>
    </row>
    <row r="240" spans="1:28" x14ac:dyDescent="0.25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J240" s="5"/>
      <c r="K240" s="5"/>
      <c r="L240" s="5"/>
      <c r="M240" s="5"/>
      <c r="N240" s="5"/>
      <c r="O240" s="5"/>
      <c r="P240" s="5"/>
      <c r="Q240" s="5"/>
      <c r="R240" s="5"/>
      <c r="S240" s="5">
        <f>SUM(bron[[#This Row],[Januari]:[December]])</f>
        <v>0</v>
      </c>
      <c r="T240" s="9">
        <v>45453</v>
      </c>
      <c r="U240" s="8" t="s">
        <v>663</v>
      </c>
      <c r="V240" s="8">
        <v>1</v>
      </c>
      <c r="W240" s="8"/>
      <c r="X240" t="s">
        <v>3</v>
      </c>
      <c r="Y240" t="s">
        <v>6</v>
      </c>
      <c r="Z240"/>
      <c r="AA240" t="s">
        <v>3612</v>
      </c>
      <c r="AB240">
        <f>COUNTIF(B:B,bron[[#This Row],[volledige naam]])</f>
        <v>5</v>
      </c>
    </row>
    <row r="241" spans="1:28" x14ac:dyDescent="0.25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370</v>
      </c>
      <c r="D241" t="s">
        <v>370</v>
      </c>
      <c r="E241" t="s">
        <v>62</v>
      </c>
      <c r="F241" s="10"/>
      <c r="G241" s="7"/>
      <c r="H241" s="7"/>
      <c r="I241" s="7"/>
      <c r="J241" s="5"/>
      <c r="K241" s="5"/>
      <c r="L241" s="5"/>
      <c r="M241" s="5"/>
      <c r="N241" s="5"/>
      <c r="O241" s="5"/>
      <c r="P241" s="5"/>
      <c r="Q241" s="5"/>
      <c r="R241" s="5"/>
      <c r="S241" s="5">
        <f>SUM(bron[[#This Row],[Januari]:[December]])</f>
        <v>0</v>
      </c>
      <c r="T241" s="9">
        <v>45453</v>
      </c>
      <c r="U241" s="8" t="s">
        <v>664</v>
      </c>
      <c r="V241" s="8">
        <v>1</v>
      </c>
      <c r="W241" s="8"/>
      <c r="X241" t="s">
        <v>3</v>
      </c>
      <c r="Y241" t="s">
        <v>37</v>
      </c>
      <c r="Z241"/>
      <c r="AA241" t="s">
        <v>3612</v>
      </c>
      <c r="AB241">
        <f>COUNTIF(B:B,bron[[#This Row],[volledige naam]])</f>
        <v>58</v>
      </c>
    </row>
    <row r="242" spans="1:28" x14ac:dyDescent="0.25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J242" s="5"/>
      <c r="K242" s="5"/>
      <c r="L242" s="5"/>
      <c r="M242" s="5"/>
      <c r="N242" s="5"/>
      <c r="O242" s="5"/>
      <c r="P242" s="5"/>
      <c r="Q242" s="5"/>
      <c r="R242" s="5"/>
      <c r="S242" s="5">
        <f>SUM(bron[[#This Row],[Januari]:[December]])</f>
        <v>0</v>
      </c>
      <c r="T242" s="9">
        <v>45454</v>
      </c>
      <c r="U242" s="8" t="s">
        <v>665</v>
      </c>
      <c r="V242" s="8">
        <v>1</v>
      </c>
      <c r="W242" s="8"/>
      <c r="X242" t="s">
        <v>3</v>
      </c>
      <c r="Y242" t="s">
        <v>666</v>
      </c>
      <c r="Z242"/>
      <c r="AA242" t="s">
        <v>3612</v>
      </c>
      <c r="AB242">
        <f>COUNTIF(B:B,bron[[#This Row],[volledige naam]])</f>
        <v>2</v>
      </c>
    </row>
    <row r="243" spans="1:28" x14ac:dyDescent="0.25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370</v>
      </c>
      <c r="D243" t="s">
        <v>370</v>
      </c>
      <c r="E243" t="s">
        <v>62</v>
      </c>
      <c r="F243" s="10"/>
      <c r="G243" s="7"/>
      <c r="H243" s="7"/>
      <c r="I243" s="7"/>
      <c r="J243" s="5"/>
      <c r="K243" s="5"/>
      <c r="L243" s="5"/>
      <c r="M243" s="5"/>
      <c r="N243" s="5"/>
      <c r="O243" s="5"/>
      <c r="P243" s="5"/>
      <c r="Q243" s="5"/>
      <c r="R243" s="5"/>
      <c r="S243" s="5">
        <f>SUM(bron[[#This Row],[Januari]:[December]])</f>
        <v>0</v>
      </c>
      <c r="T243" s="9">
        <v>45454</v>
      </c>
      <c r="U243" s="8" t="s">
        <v>667</v>
      </c>
      <c r="V243" s="8">
        <v>1</v>
      </c>
      <c r="W243" s="8"/>
      <c r="X243" t="s">
        <v>3</v>
      </c>
      <c r="Y243" t="s">
        <v>668</v>
      </c>
      <c r="Z243"/>
      <c r="AA243" t="s">
        <v>3612</v>
      </c>
      <c r="AB243">
        <f>COUNTIF(B:B,bron[[#This Row],[volledige naam]])</f>
        <v>58</v>
      </c>
    </row>
    <row r="244" spans="1:28" x14ac:dyDescent="0.25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J244" s="5"/>
      <c r="K244" s="5"/>
      <c r="L244" s="5"/>
      <c r="M244" s="5"/>
      <c r="N244" s="5"/>
      <c r="O244" s="5"/>
      <c r="P244" s="5"/>
      <c r="Q244" s="5"/>
      <c r="R244" s="5"/>
      <c r="S244" s="5">
        <f>SUM(bron[[#This Row],[Januari]:[December]])</f>
        <v>0</v>
      </c>
      <c r="T244" s="9">
        <v>45455</v>
      </c>
      <c r="U244" s="8" t="s">
        <v>669</v>
      </c>
      <c r="V244" s="8">
        <v>1</v>
      </c>
      <c r="W244" s="8"/>
      <c r="X244" t="s">
        <v>3</v>
      </c>
      <c r="Y244" t="s">
        <v>6</v>
      </c>
      <c r="Z244"/>
      <c r="AA244" t="s">
        <v>3612</v>
      </c>
      <c r="AB244">
        <f>COUNTIF(B:B,bron[[#This Row],[volledige naam]])</f>
        <v>9</v>
      </c>
    </row>
    <row r="245" spans="1:28" x14ac:dyDescent="0.25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J245" s="5"/>
      <c r="K245" s="5"/>
      <c r="L245" s="5"/>
      <c r="M245" s="5"/>
      <c r="N245" s="5"/>
      <c r="O245" s="5"/>
      <c r="P245" s="5"/>
      <c r="Q245" s="5"/>
      <c r="R245" s="5"/>
      <c r="S245" s="5">
        <f>SUM(bron[[#This Row],[Januari]:[December]])</f>
        <v>0</v>
      </c>
      <c r="T245" s="9">
        <v>45455</v>
      </c>
      <c r="U245" s="8" t="s">
        <v>670</v>
      </c>
      <c r="V245" s="8">
        <v>1</v>
      </c>
      <c r="W245" s="8"/>
      <c r="X245" t="s">
        <v>3</v>
      </c>
      <c r="Y245" t="s">
        <v>67</v>
      </c>
      <c r="Z245"/>
      <c r="AA245" t="s">
        <v>3612</v>
      </c>
      <c r="AB245">
        <f>COUNTIF(B:B,bron[[#This Row],[volledige naam]])</f>
        <v>7</v>
      </c>
    </row>
    <row r="246" spans="1:28" x14ac:dyDescent="0.25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J246" s="5"/>
      <c r="K246" s="5"/>
      <c r="L246" s="5"/>
      <c r="M246" s="5"/>
      <c r="N246" s="5"/>
      <c r="O246" s="5"/>
      <c r="P246" s="5"/>
      <c r="Q246" s="5"/>
      <c r="R246" s="5"/>
      <c r="S246" s="5">
        <f>SUM(bron[[#This Row],[Januari]:[December]])</f>
        <v>0</v>
      </c>
      <c r="T246" s="9">
        <v>45455</v>
      </c>
      <c r="U246" s="8" t="s">
        <v>671</v>
      </c>
      <c r="V246" s="8">
        <v>1</v>
      </c>
      <c r="W246" s="8"/>
      <c r="X246" t="s">
        <v>3</v>
      </c>
      <c r="Y246" t="s">
        <v>516</v>
      </c>
      <c r="Z246"/>
      <c r="AA246" t="s">
        <v>3612</v>
      </c>
      <c r="AB246">
        <f>COUNTIF(B:B,bron[[#This Row],[volledige naam]])</f>
        <v>1</v>
      </c>
    </row>
    <row r="247" spans="1:28" x14ac:dyDescent="0.25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J247" s="5"/>
      <c r="K247" s="5"/>
      <c r="L247" s="5"/>
      <c r="M247" s="5"/>
      <c r="N247" s="5"/>
      <c r="O247" s="5"/>
      <c r="P247" s="5"/>
      <c r="Q247" s="5"/>
      <c r="R247" s="5"/>
      <c r="S247" s="5">
        <f>SUM(bron[[#This Row],[Januari]:[December]])</f>
        <v>0</v>
      </c>
      <c r="T247" s="9">
        <v>45456</v>
      </c>
      <c r="U247" s="8" t="s">
        <v>672</v>
      </c>
      <c r="V247" s="8">
        <v>1</v>
      </c>
      <c r="W247" s="8"/>
      <c r="X247" t="s">
        <v>3</v>
      </c>
      <c r="Y247" t="s">
        <v>223</v>
      </c>
      <c r="Z247"/>
      <c r="AA247" t="s">
        <v>3612</v>
      </c>
      <c r="AB247">
        <f>COUNTIF(B:B,bron[[#This Row],[volledige naam]])</f>
        <v>2</v>
      </c>
    </row>
    <row r="248" spans="1:28" x14ac:dyDescent="0.25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J248" s="5"/>
      <c r="K248" s="5"/>
      <c r="L248" s="5"/>
      <c r="M248" s="5"/>
      <c r="N248" s="5"/>
      <c r="O248" s="5"/>
      <c r="P248" s="5"/>
      <c r="Q248" s="5"/>
      <c r="R248" s="5"/>
      <c r="S248" s="5">
        <f>SUM(bron[[#This Row],[Januari]:[December]])</f>
        <v>0</v>
      </c>
      <c r="T248" s="9">
        <v>45456</v>
      </c>
      <c r="U248" s="8" t="s">
        <v>673</v>
      </c>
      <c r="V248" s="8">
        <v>1</v>
      </c>
      <c r="W248" s="8"/>
      <c r="X248" t="s">
        <v>3</v>
      </c>
      <c r="Y248" t="s">
        <v>37</v>
      </c>
      <c r="Z248"/>
      <c r="AA248" t="s">
        <v>3612</v>
      </c>
      <c r="AB248">
        <f>COUNTIF(B:B,bron[[#This Row],[volledige naam]])</f>
        <v>5</v>
      </c>
    </row>
    <row r="249" spans="1:28" x14ac:dyDescent="0.25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J249" s="5"/>
      <c r="K249" s="5"/>
      <c r="L249" s="5"/>
      <c r="M249" s="5"/>
      <c r="N249" s="5"/>
      <c r="O249" s="5"/>
      <c r="P249" s="5"/>
      <c r="Q249" s="5"/>
      <c r="R249" s="5"/>
      <c r="S249" s="5">
        <f>SUM(bron[[#This Row],[Januari]:[December]])</f>
        <v>0</v>
      </c>
      <c r="T249" s="9">
        <v>45456</v>
      </c>
      <c r="U249" s="8" t="s">
        <v>674</v>
      </c>
      <c r="V249" s="8">
        <v>1</v>
      </c>
      <c r="W249" s="8"/>
      <c r="X249" t="s">
        <v>3</v>
      </c>
      <c r="Y249" t="s">
        <v>37</v>
      </c>
      <c r="Z249"/>
      <c r="AA249" t="s">
        <v>3612</v>
      </c>
      <c r="AB249">
        <f>COUNTIF(B:B,bron[[#This Row],[volledige naam]])</f>
        <v>5</v>
      </c>
    </row>
    <row r="250" spans="1:28" x14ac:dyDescent="0.25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J250" s="5"/>
      <c r="K250" s="5"/>
      <c r="L250" s="5"/>
      <c r="M250" s="5"/>
      <c r="N250" s="5"/>
      <c r="O250" s="5"/>
      <c r="P250" s="5"/>
      <c r="Q250" s="5"/>
      <c r="R250" s="5"/>
      <c r="S250" s="5">
        <f>SUM(bron[[#This Row],[Januari]:[December]])</f>
        <v>0</v>
      </c>
      <c r="T250" s="9">
        <v>45457</v>
      </c>
      <c r="U250" s="8" t="s">
        <v>675</v>
      </c>
      <c r="V250" s="8">
        <v>1</v>
      </c>
      <c r="W250" s="8"/>
      <c r="X250" t="s">
        <v>3</v>
      </c>
      <c r="Y250" t="s">
        <v>166</v>
      </c>
      <c r="Z250"/>
      <c r="AA250" t="s">
        <v>3612</v>
      </c>
      <c r="AB250">
        <f>COUNTIF(B:B,bron[[#This Row],[volledige naam]])</f>
        <v>2</v>
      </c>
    </row>
    <row r="251" spans="1:28" x14ac:dyDescent="0.25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J251" s="5"/>
      <c r="K251" s="5"/>
      <c r="L251" s="5"/>
      <c r="M251" s="5"/>
      <c r="N251" s="5"/>
      <c r="O251" s="5"/>
      <c r="P251" s="5"/>
      <c r="Q251" s="5"/>
      <c r="R251" s="5"/>
      <c r="S251" s="5">
        <f>SUM(bron[[#This Row],[Januari]:[December]])</f>
        <v>0</v>
      </c>
      <c r="T251" s="9">
        <v>45458</v>
      </c>
      <c r="U251" s="8" t="s">
        <v>676</v>
      </c>
      <c r="V251" s="8">
        <v>1</v>
      </c>
      <c r="W251" s="8"/>
      <c r="X251" t="s">
        <v>3</v>
      </c>
      <c r="Y251" t="s">
        <v>24</v>
      </c>
      <c r="Z251"/>
      <c r="AA251" t="s">
        <v>3612</v>
      </c>
      <c r="AB251">
        <f>COUNTIF(B:B,bron[[#This Row],[volledige naam]])</f>
        <v>4</v>
      </c>
    </row>
    <row r="252" spans="1:28" x14ac:dyDescent="0.25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J252" s="5"/>
      <c r="K252" s="5"/>
      <c r="L252" s="5"/>
      <c r="M252" s="5"/>
      <c r="N252" s="5"/>
      <c r="O252" s="5"/>
      <c r="P252" s="5"/>
      <c r="Q252" s="5"/>
      <c r="R252" s="5"/>
      <c r="S252" s="5">
        <f>SUM(bron[[#This Row],[Januari]:[December]])</f>
        <v>0</v>
      </c>
      <c r="T252" s="9">
        <v>45458</v>
      </c>
      <c r="U252" s="8" t="s">
        <v>677</v>
      </c>
      <c r="V252" s="8">
        <v>1</v>
      </c>
      <c r="W252" s="8"/>
      <c r="X252" t="s">
        <v>3</v>
      </c>
      <c r="Y252" t="s">
        <v>37</v>
      </c>
      <c r="Z252"/>
      <c r="AA252" t="s">
        <v>3612</v>
      </c>
      <c r="AB252">
        <f>COUNTIF(B:B,bron[[#This Row],[volledige naam]])</f>
        <v>6</v>
      </c>
    </row>
    <row r="253" spans="1:28" x14ac:dyDescent="0.25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J253" s="5"/>
      <c r="K253" s="5"/>
      <c r="L253" s="5"/>
      <c r="M253" s="5"/>
      <c r="N253" s="5"/>
      <c r="O253" s="5"/>
      <c r="P253" s="5"/>
      <c r="Q253" s="5"/>
      <c r="R253" s="5"/>
      <c r="S253" s="5">
        <f>SUM(bron[[#This Row],[Januari]:[December]])</f>
        <v>0</v>
      </c>
      <c r="T253" s="9">
        <v>45458</v>
      </c>
      <c r="U253" s="8" t="s">
        <v>678</v>
      </c>
      <c r="V253" s="8">
        <v>1</v>
      </c>
      <c r="W253" s="8"/>
      <c r="X253" t="s">
        <v>3</v>
      </c>
      <c r="Y253" t="s">
        <v>37</v>
      </c>
      <c r="Z253"/>
      <c r="AA253" t="s">
        <v>3612</v>
      </c>
      <c r="AB253">
        <f>COUNTIF(B:B,bron[[#This Row],[volledige naam]])</f>
        <v>6</v>
      </c>
    </row>
    <row r="254" spans="1:28" x14ac:dyDescent="0.25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J254" s="5"/>
      <c r="K254" s="5"/>
      <c r="L254" s="5"/>
      <c r="M254" s="5"/>
      <c r="N254" s="5"/>
      <c r="O254" s="5"/>
      <c r="P254" s="5"/>
      <c r="Q254" s="5"/>
      <c r="R254" s="5"/>
      <c r="S254" s="5">
        <f>SUM(bron[[#This Row],[Januari]:[December]])</f>
        <v>0</v>
      </c>
      <c r="T254" s="9">
        <v>45459</v>
      </c>
      <c r="U254" s="8" t="s">
        <v>679</v>
      </c>
      <c r="V254" s="8"/>
      <c r="W254" s="8">
        <v>1</v>
      </c>
      <c r="X254" t="s">
        <v>4</v>
      </c>
      <c r="Y254" t="s">
        <v>2</v>
      </c>
      <c r="Z254"/>
      <c r="AA254" t="s">
        <v>3612</v>
      </c>
      <c r="AB254">
        <f>COUNTIF(B:B,bron[[#This Row],[volledige naam]])</f>
        <v>2</v>
      </c>
    </row>
    <row r="255" spans="1:28" x14ac:dyDescent="0.25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J255" s="5"/>
      <c r="K255" s="5"/>
      <c r="L255" s="5"/>
      <c r="M255" s="5"/>
      <c r="N255" s="5"/>
      <c r="O255" s="5"/>
      <c r="P255" s="5"/>
      <c r="Q255" s="5"/>
      <c r="R255" s="5"/>
      <c r="S255" s="5">
        <f>SUM(bron[[#This Row],[Januari]:[December]])</f>
        <v>0</v>
      </c>
      <c r="T255" s="9">
        <v>45460</v>
      </c>
      <c r="U255" s="8" t="s">
        <v>680</v>
      </c>
      <c r="V255" s="8"/>
      <c r="W255" s="8">
        <v>1</v>
      </c>
      <c r="X255" t="s">
        <v>4</v>
      </c>
      <c r="Y255" t="s">
        <v>681</v>
      </c>
      <c r="Z255"/>
      <c r="AA255" t="s">
        <v>3612</v>
      </c>
      <c r="AB255">
        <f>COUNTIF(B:B,bron[[#This Row],[volledige naam]])</f>
        <v>1</v>
      </c>
    </row>
    <row r="256" spans="1:28" x14ac:dyDescent="0.25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J256" s="5"/>
      <c r="K256" s="5"/>
      <c r="L256" s="5"/>
      <c r="M256" s="5"/>
      <c r="N256" s="5"/>
      <c r="O256" s="5"/>
      <c r="P256" s="5"/>
      <c r="Q256" s="5"/>
      <c r="R256" s="5"/>
      <c r="S256" s="5">
        <f>SUM(bron[[#This Row],[Januari]:[December]])</f>
        <v>0</v>
      </c>
      <c r="T256" s="9">
        <v>45460</v>
      </c>
      <c r="U256" s="8" t="s">
        <v>682</v>
      </c>
      <c r="V256" s="8"/>
      <c r="W256" s="8">
        <v>1</v>
      </c>
      <c r="X256" t="s">
        <v>4</v>
      </c>
      <c r="Y256" t="s">
        <v>681</v>
      </c>
      <c r="Z256"/>
      <c r="AA256" t="s">
        <v>3612</v>
      </c>
      <c r="AB256">
        <f>COUNTIF(B:B,bron[[#This Row],[volledige naam]])</f>
        <v>3</v>
      </c>
    </row>
    <row r="257" spans="1:28" x14ac:dyDescent="0.25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J257" s="5"/>
      <c r="K257" s="5"/>
      <c r="L257" s="5"/>
      <c r="M257" s="5"/>
      <c r="N257" s="5"/>
      <c r="O257" s="5"/>
      <c r="P257" s="5"/>
      <c r="Q257" s="5"/>
      <c r="R257" s="5"/>
      <c r="S257" s="5">
        <f>SUM(bron[[#This Row],[Januari]:[December]])</f>
        <v>0</v>
      </c>
      <c r="T257" s="9">
        <v>45461</v>
      </c>
      <c r="U257" s="8" t="s">
        <v>683</v>
      </c>
      <c r="V257" s="8">
        <v>1</v>
      </c>
      <c r="W257" s="8"/>
      <c r="X257" t="s">
        <v>3</v>
      </c>
      <c r="Y257" t="s">
        <v>430</v>
      </c>
      <c r="Z257"/>
      <c r="AA257" t="s">
        <v>3612</v>
      </c>
      <c r="AB257">
        <f>COUNTIF(B:B,bron[[#This Row],[volledige naam]])</f>
        <v>4</v>
      </c>
    </row>
    <row r="258" spans="1:28" x14ac:dyDescent="0.25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J258" s="5"/>
      <c r="K258" s="5"/>
      <c r="L258" s="5"/>
      <c r="M258" s="5"/>
      <c r="N258" s="5"/>
      <c r="O258" s="5"/>
      <c r="P258" s="5"/>
      <c r="Q258" s="5"/>
      <c r="R258" s="5"/>
      <c r="S258" s="5">
        <f>SUM(bron[[#This Row],[Januari]:[December]])</f>
        <v>0</v>
      </c>
      <c r="T258" s="9">
        <v>45462</v>
      </c>
      <c r="U258" s="8" t="s">
        <v>684</v>
      </c>
      <c r="V258" s="8">
        <v>1</v>
      </c>
      <c r="W258" s="8"/>
      <c r="X258" t="s">
        <v>3</v>
      </c>
      <c r="Y258" t="s">
        <v>188</v>
      </c>
      <c r="Z258"/>
      <c r="AA258" t="s">
        <v>3612</v>
      </c>
      <c r="AB258">
        <f>COUNTIF(B:B,bron[[#This Row],[volledige naam]])</f>
        <v>8</v>
      </c>
    </row>
    <row r="259" spans="1:28" x14ac:dyDescent="0.25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370</v>
      </c>
      <c r="D259" t="s">
        <v>370</v>
      </c>
      <c r="E259" t="s">
        <v>62</v>
      </c>
      <c r="F259" s="10"/>
      <c r="G259" s="7"/>
      <c r="H259" s="7"/>
      <c r="I259" s="7"/>
      <c r="J259" s="5"/>
      <c r="K259" s="5"/>
      <c r="L259" s="5"/>
      <c r="M259" s="5"/>
      <c r="N259" s="5"/>
      <c r="O259" s="5"/>
      <c r="P259" s="5"/>
      <c r="Q259" s="5"/>
      <c r="R259" s="5"/>
      <c r="S259" s="5">
        <f>SUM(bron[[#This Row],[Januari]:[December]])</f>
        <v>0</v>
      </c>
      <c r="T259" s="9">
        <v>45464</v>
      </c>
      <c r="U259" s="8" t="s">
        <v>685</v>
      </c>
      <c r="V259" s="8">
        <v>1</v>
      </c>
      <c r="W259" s="8"/>
      <c r="X259" t="s">
        <v>3</v>
      </c>
      <c r="Y259" t="s">
        <v>12</v>
      </c>
      <c r="Z259"/>
      <c r="AA259" t="s">
        <v>3612</v>
      </c>
      <c r="AB259">
        <f>COUNTIF(B:B,bron[[#This Row],[volledige naam]])</f>
        <v>58</v>
      </c>
    </row>
    <row r="260" spans="1:28" x14ac:dyDescent="0.25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J260" s="5"/>
      <c r="K260" s="5"/>
      <c r="L260" s="5"/>
      <c r="M260" s="5"/>
      <c r="N260" s="5"/>
      <c r="O260" s="5"/>
      <c r="P260" s="5"/>
      <c r="Q260" s="5"/>
      <c r="R260" s="5"/>
      <c r="S260" s="5">
        <f>SUM(bron[[#This Row],[Januari]:[December]])</f>
        <v>0</v>
      </c>
      <c r="T260" s="9">
        <v>45465</v>
      </c>
      <c r="U260" s="8" t="s">
        <v>686</v>
      </c>
      <c r="V260" s="8">
        <v>1</v>
      </c>
      <c r="W260" s="8"/>
      <c r="X260" t="s">
        <v>3</v>
      </c>
      <c r="Y260" t="s">
        <v>49</v>
      </c>
      <c r="Z260"/>
      <c r="AA260" t="s">
        <v>3612</v>
      </c>
      <c r="AB260">
        <f>COUNTIF(B:B,bron[[#This Row],[volledige naam]])</f>
        <v>2</v>
      </c>
    </row>
    <row r="261" spans="1:28" x14ac:dyDescent="0.25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370</v>
      </c>
      <c r="D261" t="s">
        <v>370</v>
      </c>
      <c r="E261" t="s">
        <v>62</v>
      </c>
      <c r="F261" s="10"/>
      <c r="G261" s="7"/>
      <c r="H261" s="7"/>
      <c r="I261" s="7"/>
      <c r="J261" s="5"/>
      <c r="K261" s="5"/>
      <c r="L261" s="5"/>
      <c r="M261" s="5"/>
      <c r="N261" s="5"/>
      <c r="O261" s="5"/>
      <c r="P261" s="5"/>
      <c r="Q261" s="5"/>
      <c r="R261" s="5"/>
      <c r="S261" s="5">
        <f>SUM(bron[[#This Row],[Januari]:[December]])</f>
        <v>0</v>
      </c>
      <c r="T261" s="9">
        <v>45467</v>
      </c>
      <c r="U261" s="8" t="s">
        <v>687</v>
      </c>
      <c r="V261" s="8">
        <v>1</v>
      </c>
      <c r="W261" s="8"/>
      <c r="X261" t="s">
        <v>3</v>
      </c>
      <c r="Y261" t="s">
        <v>688</v>
      </c>
      <c r="Z261"/>
      <c r="AA261" t="s">
        <v>3612</v>
      </c>
      <c r="AB261">
        <f>COUNTIF(B:B,bron[[#This Row],[volledige naam]])</f>
        <v>58</v>
      </c>
    </row>
    <row r="262" spans="1:28" x14ac:dyDescent="0.25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J262" s="5"/>
      <c r="K262" s="5"/>
      <c r="L262" s="5"/>
      <c r="M262" s="5"/>
      <c r="N262" s="5"/>
      <c r="O262" s="5"/>
      <c r="P262" s="5"/>
      <c r="Q262" s="5"/>
      <c r="R262" s="5"/>
      <c r="S262" s="5">
        <f>SUM(bron[[#This Row],[Januari]:[December]])</f>
        <v>0</v>
      </c>
      <c r="T262" s="9">
        <v>45468</v>
      </c>
      <c r="U262" s="8" t="s">
        <v>689</v>
      </c>
      <c r="V262" s="8">
        <v>1</v>
      </c>
      <c r="W262" s="8"/>
      <c r="X262" t="s">
        <v>3</v>
      </c>
      <c r="Y262" t="s">
        <v>589</v>
      </c>
      <c r="Z262"/>
      <c r="AA262" t="s">
        <v>3612</v>
      </c>
      <c r="AB262">
        <f>COUNTIF(B:B,bron[[#This Row],[volledige naam]])</f>
        <v>2</v>
      </c>
    </row>
    <row r="263" spans="1:28" x14ac:dyDescent="0.25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J263" s="5"/>
      <c r="K263" s="5"/>
      <c r="L263" s="5"/>
      <c r="M263" s="5"/>
      <c r="N263" s="5"/>
      <c r="O263" s="5"/>
      <c r="P263" s="5"/>
      <c r="Q263" s="5"/>
      <c r="R263" s="5"/>
      <c r="S263" s="5">
        <f>SUM(bron[[#This Row],[Januari]:[December]])</f>
        <v>0</v>
      </c>
      <c r="T263" s="9">
        <v>45468</v>
      </c>
      <c r="U263" s="8" t="s">
        <v>690</v>
      </c>
      <c r="V263" s="8"/>
      <c r="W263" s="8">
        <v>1</v>
      </c>
      <c r="X263" t="s">
        <v>4</v>
      </c>
      <c r="Y263" t="s">
        <v>85</v>
      </c>
      <c r="Z263"/>
      <c r="AA263" t="s">
        <v>3612</v>
      </c>
      <c r="AB263">
        <f>COUNTIF(B:B,bron[[#This Row],[volledige naam]])</f>
        <v>2</v>
      </c>
    </row>
    <row r="264" spans="1:28" x14ac:dyDescent="0.25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J264" s="5"/>
      <c r="K264" s="5"/>
      <c r="L264" s="5"/>
      <c r="M264" s="5"/>
      <c r="N264" s="5"/>
      <c r="O264" s="5"/>
      <c r="P264" s="5"/>
      <c r="Q264" s="5"/>
      <c r="R264" s="5"/>
      <c r="S264" s="5">
        <f>SUM(bron[[#This Row],[Januari]:[December]])</f>
        <v>0</v>
      </c>
      <c r="T264" s="9">
        <v>45469</v>
      </c>
      <c r="U264" s="8" t="s">
        <v>691</v>
      </c>
      <c r="V264" s="8">
        <v>1</v>
      </c>
      <c r="W264" s="8"/>
      <c r="X264" t="s">
        <v>3</v>
      </c>
      <c r="Y264" t="s">
        <v>37</v>
      </c>
      <c r="Z264"/>
      <c r="AA264" t="s">
        <v>3612</v>
      </c>
      <c r="AB264">
        <f>COUNTIF(B:B,bron[[#This Row],[volledige naam]])</f>
        <v>3</v>
      </c>
    </row>
    <row r="265" spans="1:28" x14ac:dyDescent="0.25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J265" s="5"/>
      <c r="K265" s="5"/>
      <c r="L265" s="5"/>
      <c r="M265" s="5"/>
      <c r="N265" s="5"/>
      <c r="O265" s="5"/>
      <c r="P265" s="5"/>
      <c r="Q265" s="5"/>
      <c r="R265" s="5"/>
      <c r="S265" s="5">
        <f>SUM(bron[[#This Row],[Januari]:[December]])</f>
        <v>0</v>
      </c>
      <c r="T265" s="9">
        <v>45469</v>
      </c>
      <c r="U265" s="8" t="s">
        <v>692</v>
      </c>
      <c r="V265" s="8">
        <v>1</v>
      </c>
      <c r="W265" s="8"/>
      <c r="X265" t="s">
        <v>3</v>
      </c>
      <c r="Y265" t="s">
        <v>539</v>
      </c>
      <c r="Z265"/>
      <c r="AA265" t="s">
        <v>3612</v>
      </c>
      <c r="AB265">
        <f>COUNTIF(B:B,bron[[#This Row],[volledige naam]])</f>
        <v>6</v>
      </c>
    </row>
    <row r="266" spans="1:28" x14ac:dyDescent="0.25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J266" s="5"/>
      <c r="K266" s="5"/>
      <c r="L266" s="5"/>
      <c r="M266" s="5"/>
      <c r="N266" s="5"/>
      <c r="O266" s="5"/>
      <c r="P266" s="5"/>
      <c r="Q266" s="5"/>
      <c r="R266" s="5"/>
      <c r="S266" s="5">
        <f>SUM(bron[[#This Row],[Januari]:[December]])</f>
        <v>0</v>
      </c>
      <c r="T266" s="9">
        <v>45469</v>
      </c>
      <c r="U266" s="8" t="s">
        <v>693</v>
      </c>
      <c r="V266" s="8">
        <v>1</v>
      </c>
      <c r="W266" s="8"/>
      <c r="X266" t="s">
        <v>3</v>
      </c>
      <c r="Y266" t="s">
        <v>10</v>
      </c>
      <c r="Z266"/>
      <c r="AA266" t="s">
        <v>3612</v>
      </c>
      <c r="AB266">
        <f>COUNTIF(B:B,bron[[#This Row],[volledige naam]])</f>
        <v>2</v>
      </c>
    </row>
    <row r="267" spans="1:28" x14ac:dyDescent="0.25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J267" s="5"/>
      <c r="K267" s="5"/>
      <c r="L267" s="5"/>
      <c r="M267" s="5"/>
      <c r="N267" s="5"/>
      <c r="O267" s="5"/>
      <c r="P267" s="5"/>
      <c r="Q267" s="5"/>
      <c r="R267" s="5"/>
      <c r="S267" s="5">
        <f>SUM(bron[[#This Row],[Januari]:[December]])</f>
        <v>0</v>
      </c>
      <c r="T267" s="9">
        <v>45470</v>
      </c>
      <c r="U267" s="8" t="s">
        <v>694</v>
      </c>
      <c r="V267" s="8"/>
      <c r="W267" s="8">
        <v>1</v>
      </c>
      <c r="X267" t="s">
        <v>4</v>
      </c>
      <c r="Y267" t="s">
        <v>695</v>
      </c>
      <c r="Z267"/>
      <c r="AA267" t="s">
        <v>3612</v>
      </c>
      <c r="AB267">
        <f>COUNTIF(B:B,bron[[#This Row],[volledige naam]])</f>
        <v>2</v>
      </c>
    </row>
    <row r="268" spans="1:28" x14ac:dyDescent="0.25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J268" s="5"/>
      <c r="K268" s="5"/>
      <c r="L268" s="5"/>
      <c r="M268" s="5"/>
      <c r="N268" s="5"/>
      <c r="O268" s="5"/>
      <c r="P268" s="5"/>
      <c r="Q268" s="5"/>
      <c r="R268" s="5"/>
      <c r="S268" s="5">
        <f>SUM(bron[[#This Row],[Januari]:[December]])</f>
        <v>0</v>
      </c>
      <c r="T268" s="9">
        <v>45472</v>
      </c>
      <c r="U268" s="8" t="s">
        <v>696</v>
      </c>
      <c r="V268" s="8">
        <v>1</v>
      </c>
      <c r="W268" s="8"/>
      <c r="X268" t="s">
        <v>3</v>
      </c>
      <c r="Y268" t="s">
        <v>24</v>
      </c>
      <c r="Z268"/>
      <c r="AA268" t="s">
        <v>3612</v>
      </c>
      <c r="AB268">
        <f>COUNTIF(B:B,bron[[#This Row],[volledige naam]])</f>
        <v>1</v>
      </c>
    </row>
    <row r="269" spans="1:28" x14ac:dyDescent="0.25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370</v>
      </c>
      <c r="D269" t="s">
        <v>370</v>
      </c>
      <c r="E269" t="s">
        <v>62</v>
      </c>
      <c r="F269" s="10"/>
      <c r="G269" s="7"/>
      <c r="H269" s="7"/>
      <c r="I269" s="7"/>
      <c r="J269" s="5"/>
      <c r="K269" s="5"/>
      <c r="L269" s="5"/>
      <c r="M269" s="5">
        <v>1</v>
      </c>
      <c r="N269" s="5"/>
      <c r="O269" s="5"/>
      <c r="P269" s="5"/>
      <c r="Q269" s="5"/>
      <c r="R269" s="5"/>
      <c r="S269" s="5">
        <f>SUM(bron[[#This Row],[Januari]:[December]])</f>
        <v>1</v>
      </c>
      <c r="T269" s="9">
        <v>45474</v>
      </c>
      <c r="U269" s="8" t="s">
        <v>697</v>
      </c>
      <c r="V269" s="8">
        <v>1</v>
      </c>
      <c r="W269" s="8"/>
      <c r="X269" t="s">
        <v>3</v>
      </c>
      <c r="Y269" t="s">
        <v>256</v>
      </c>
      <c r="Z269"/>
      <c r="AA269" t="s">
        <v>3612</v>
      </c>
      <c r="AB269">
        <f>COUNTIF(B:B,bron[[#This Row],[volledige naam]])</f>
        <v>58</v>
      </c>
    </row>
    <row r="270" spans="1:28" x14ac:dyDescent="0.25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J270" s="5"/>
      <c r="K270" s="5"/>
      <c r="L270" s="5"/>
      <c r="M270" s="5">
        <v>1</v>
      </c>
      <c r="N270" s="5"/>
      <c r="O270" s="5"/>
      <c r="P270" s="5"/>
      <c r="Q270" s="5"/>
      <c r="R270" s="5"/>
      <c r="S270" s="5">
        <f>SUM(bron[[#This Row],[Januari]:[December]])</f>
        <v>1</v>
      </c>
      <c r="T270" s="9">
        <v>45474</v>
      </c>
      <c r="U270" s="8" t="s">
        <v>698</v>
      </c>
      <c r="V270" s="8">
        <v>1</v>
      </c>
      <c r="W270" s="8"/>
      <c r="X270" t="s">
        <v>3</v>
      </c>
      <c r="Y270" t="s">
        <v>22</v>
      </c>
      <c r="Z270"/>
      <c r="AA270" t="s">
        <v>3612</v>
      </c>
      <c r="AB270">
        <f>COUNTIF(B:B,bron[[#This Row],[volledige naam]])</f>
        <v>4</v>
      </c>
    </row>
    <row r="271" spans="1:28" x14ac:dyDescent="0.25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370</v>
      </c>
      <c r="D271" t="s">
        <v>370</v>
      </c>
      <c r="E271" t="s">
        <v>62</v>
      </c>
      <c r="F271" s="10"/>
      <c r="G271" s="7"/>
      <c r="H271" s="7"/>
      <c r="I271" s="7"/>
      <c r="J271" s="5"/>
      <c r="K271" s="5"/>
      <c r="L271" s="5"/>
      <c r="M271" s="5">
        <v>1</v>
      </c>
      <c r="N271" s="5"/>
      <c r="O271" s="5"/>
      <c r="P271" s="5"/>
      <c r="Q271" s="5"/>
      <c r="R271" s="5"/>
      <c r="S271" s="5">
        <f>SUM(bron[[#This Row],[Januari]:[December]])</f>
        <v>1</v>
      </c>
      <c r="T271" s="9">
        <v>45475</v>
      </c>
      <c r="U271" s="8" t="s">
        <v>699</v>
      </c>
      <c r="V271" s="8">
        <v>1</v>
      </c>
      <c r="W271" s="8"/>
      <c r="X271" t="s">
        <v>3</v>
      </c>
      <c r="Y271" t="s">
        <v>700</v>
      </c>
      <c r="Z271"/>
      <c r="AA271" t="s">
        <v>3612</v>
      </c>
      <c r="AB271">
        <f>COUNTIF(B:B,bron[[#This Row],[volledige naam]])</f>
        <v>58</v>
      </c>
    </row>
    <row r="272" spans="1:28" x14ac:dyDescent="0.25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J272" s="5"/>
      <c r="K272" s="5"/>
      <c r="L272" s="5"/>
      <c r="M272" s="5">
        <v>1</v>
      </c>
      <c r="N272" s="5"/>
      <c r="O272" s="5"/>
      <c r="P272" s="5"/>
      <c r="Q272" s="5"/>
      <c r="R272" s="5"/>
      <c r="S272" s="5">
        <f>SUM(bron[[#This Row],[Januari]:[December]])</f>
        <v>1</v>
      </c>
      <c r="T272" s="9">
        <v>45475</v>
      </c>
      <c r="U272" s="8" t="s">
        <v>701</v>
      </c>
      <c r="V272" s="8">
        <v>1</v>
      </c>
      <c r="W272" s="8"/>
      <c r="X272" t="s">
        <v>3</v>
      </c>
      <c r="Y272" t="s">
        <v>442</v>
      </c>
      <c r="Z272"/>
      <c r="AA272" t="s">
        <v>3612</v>
      </c>
      <c r="AB272">
        <f>COUNTIF(B:B,bron[[#This Row],[volledige naam]])</f>
        <v>4</v>
      </c>
    </row>
    <row r="273" spans="1:28" x14ac:dyDescent="0.25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J273" s="5"/>
      <c r="K273" s="5"/>
      <c r="L273" s="5"/>
      <c r="M273" s="5">
        <v>1</v>
      </c>
      <c r="N273" s="5"/>
      <c r="O273" s="5"/>
      <c r="P273" s="5"/>
      <c r="Q273" s="5"/>
      <c r="R273" s="5"/>
      <c r="S273" s="5">
        <f>SUM(bron[[#This Row],[Januari]:[December]])</f>
        <v>1</v>
      </c>
      <c r="T273" s="9">
        <v>45477</v>
      </c>
      <c r="U273" s="8" t="s">
        <v>702</v>
      </c>
      <c r="V273" s="8">
        <v>1</v>
      </c>
      <c r="W273" s="8"/>
      <c r="X273" t="s">
        <v>3</v>
      </c>
      <c r="Y273" t="s">
        <v>12</v>
      </c>
      <c r="Z273"/>
      <c r="AA273" t="s">
        <v>3612</v>
      </c>
      <c r="AB273">
        <f>COUNTIF(B:B,bron[[#This Row],[volledige naam]])</f>
        <v>3</v>
      </c>
    </row>
    <row r="274" spans="1:28" x14ac:dyDescent="0.25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J274" s="5"/>
      <c r="K274" s="5"/>
      <c r="L274" s="5"/>
      <c r="M274" s="5">
        <v>1</v>
      </c>
      <c r="N274" s="5"/>
      <c r="O274" s="5"/>
      <c r="P274" s="5"/>
      <c r="Q274" s="5"/>
      <c r="R274" s="5"/>
      <c r="S274" s="5">
        <f>SUM(bron[[#This Row],[Januari]:[December]])</f>
        <v>1</v>
      </c>
      <c r="T274" s="9">
        <v>45477</v>
      </c>
      <c r="U274" s="8" t="s">
        <v>703</v>
      </c>
      <c r="V274" s="8">
        <v>1</v>
      </c>
      <c r="W274" s="8"/>
      <c r="X274" t="s">
        <v>3</v>
      </c>
      <c r="Y274" t="s">
        <v>238</v>
      </c>
      <c r="Z274"/>
      <c r="AA274" t="s">
        <v>3612</v>
      </c>
      <c r="AB274">
        <f>COUNTIF(B:B,bron[[#This Row],[volledige naam]])</f>
        <v>6</v>
      </c>
    </row>
    <row r="275" spans="1:28" x14ac:dyDescent="0.25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J275" s="5"/>
      <c r="K275" s="5"/>
      <c r="L275" s="5"/>
      <c r="M275" s="5">
        <v>1</v>
      </c>
      <c r="N275" s="5"/>
      <c r="O275" s="5"/>
      <c r="P275" s="5"/>
      <c r="Q275" s="5"/>
      <c r="R275" s="5"/>
      <c r="S275" s="5">
        <f>SUM(bron[[#This Row],[Januari]:[December]])</f>
        <v>1</v>
      </c>
      <c r="T275" s="9">
        <v>45478</v>
      </c>
      <c r="U275" s="8" t="s">
        <v>704</v>
      </c>
      <c r="V275" s="8">
        <v>1</v>
      </c>
      <c r="W275" s="8"/>
      <c r="X275" t="s">
        <v>3</v>
      </c>
      <c r="Y275" t="s">
        <v>2</v>
      </c>
      <c r="Z275"/>
      <c r="AA275" t="s">
        <v>3612</v>
      </c>
      <c r="AB275">
        <f>COUNTIF(B:B,bron[[#This Row],[volledige naam]])</f>
        <v>4</v>
      </c>
    </row>
    <row r="276" spans="1:28" x14ac:dyDescent="0.25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J276" s="5"/>
      <c r="K276" s="5"/>
      <c r="L276" s="5"/>
      <c r="M276" s="5">
        <v>1</v>
      </c>
      <c r="N276" s="5"/>
      <c r="O276" s="5"/>
      <c r="P276" s="5"/>
      <c r="Q276" s="5"/>
      <c r="R276" s="5"/>
      <c r="S276" s="5">
        <f>SUM(bron[[#This Row],[Januari]:[December]])</f>
        <v>1</v>
      </c>
      <c r="T276" s="9">
        <v>45478</v>
      </c>
      <c r="U276" s="8" t="s">
        <v>705</v>
      </c>
      <c r="V276" s="8">
        <v>1</v>
      </c>
      <c r="W276" s="8"/>
      <c r="X276" t="s">
        <v>3</v>
      </c>
      <c r="Y276" t="s">
        <v>24</v>
      </c>
      <c r="Z276"/>
      <c r="AA276" t="s">
        <v>3612</v>
      </c>
      <c r="AB276">
        <f>COUNTIF(B:B,bron[[#This Row],[volledige naam]])</f>
        <v>2</v>
      </c>
    </row>
    <row r="277" spans="1:28" x14ac:dyDescent="0.25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J277" s="5"/>
      <c r="K277" s="5"/>
      <c r="L277" s="5"/>
      <c r="M277" s="5">
        <v>1</v>
      </c>
      <c r="N277" s="5"/>
      <c r="O277" s="5"/>
      <c r="P277" s="5"/>
      <c r="Q277" s="5"/>
      <c r="R277" s="5"/>
      <c r="S277" s="5">
        <f>SUM(bron[[#This Row],[Januari]:[December]])</f>
        <v>1</v>
      </c>
      <c r="T277" s="9">
        <v>45478</v>
      </c>
      <c r="U277" s="8" t="s">
        <v>706</v>
      </c>
      <c r="V277" s="8"/>
      <c r="W277" s="8">
        <v>1</v>
      </c>
      <c r="X277" t="s">
        <v>4</v>
      </c>
      <c r="Y277" t="s">
        <v>707</v>
      </c>
      <c r="Z277"/>
      <c r="AA277" t="s">
        <v>3612</v>
      </c>
      <c r="AB277">
        <f>COUNTIF(B:B,bron[[#This Row],[volledige naam]])</f>
        <v>2</v>
      </c>
    </row>
    <row r="278" spans="1:28" x14ac:dyDescent="0.25">
      <c r="A278">
        <v>36569</v>
      </c>
      <c r="B278" t="e">
        <f>_xlfn.CONCAT(bron[[#This Row],[personeelsnr]]," ",bron[[#This Row],[achternaam]]," ",bron[[#This Row],[voornaam]])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 s="10"/>
      <c r="G278" s="7"/>
      <c r="H278" s="7"/>
      <c r="I278" s="7"/>
      <c r="J278" s="5"/>
      <c r="K278" s="5"/>
      <c r="L278" s="5"/>
      <c r="M278" s="5">
        <v>1</v>
      </c>
      <c r="N278" s="5"/>
      <c r="O278" s="5"/>
      <c r="P278" s="5"/>
      <c r="Q278" s="5"/>
      <c r="R278" s="5"/>
      <c r="S278" s="5">
        <f>SUM(bron[[#This Row],[Januari]:[December]])</f>
        <v>1</v>
      </c>
      <c r="T278" s="9">
        <v>45479</v>
      </c>
      <c r="U278" s="8" t="s">
        <v>708</v>
      </c>
      <c r="V278" s="8">
        <v>1</v>
      </c>
      <c r="W278" s="8"/>
      <c r="X278" t="s">
        <v>3</v>
      </c>
      <c r="Y278" t="s">
        <v>709</v>
      </c>
      <c r="Z278"/>
      <c r="AA278" t="s">
        <v>3612</v>
      </c>
      <c r="AB278">
        <f>COUNTIF(B:B,bron[[#This Row],[volledige naam]])</f>
        <v>24</v>
      </c>
    </row>
    <row r="279" spans="1:28" x14ac:dyDescent="0.25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370</v>
      </c>
      <c r="D279" t="s">
        <v>370</v>
      </c>
      <c r="E279" t="s">
        <v>62</v>
      </c>
      <c r="F279" s="10"/>
      <c r="G279" s="7"/>
      <c r="H279" s="7"/>
      <c r="I279" s="7"/>
      <c r="J279" s="5"/>
      <c r="K279" s="5"/>
      <c r="L279" s="5"/>
      <c r="M279" s="5">
        <v>1</v>
      </c>
      <c r="N279" s="5"/>
      <c r="O279" s="5"/>
      <c r="P279" s="5"/>
      <c r="Q279" s="5"/>
      <c r="R279" s="5"/>
      <c r="S279" s="5">
        <f>SUM(bron[[#This Row],[Januari]:[December]])</f>
        <v>1</v>
      </c>
      <c r="T279" s="9">
        <v>45479</v>
      </c>
      <c r="U279" s="8" t="s">
        <v>710</v>
      </c>
      <c r="V279" s="8">
        <v>1</v>
      </c>
      <c r="W279" s="8"/>
      <c r="X279" t="s">
        <v>3</v>
      </c>
      <c r="Y279" t="s">
        <v>711</v>
      </c>
      <c r="Z279"/>
      <c r="AA279" t="s">
        <v>3612</v>
      </c>
      <c r="AB279">
        <f>COUNTIF(B:B,bron[[#This Row],[volledige naam]])</f>
        <v>58</v>
      </c>
    </row>
    <row r="280" spans="1:28" x14ac:dyDescent="0.25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370</v>
      </c>
      <c r="D280" t="s">
        <v>370</v>
      </c>
      <c r="E280" t="s">
        <v>62</v>
      </c>
      <c r="F280" s="10"/>
      <c r="G280" s="7"/>
      <c r="H280" s="7"/>
      <c r="I280" s="7"/>
      <c r="J280" s="5"/>
      <c r="K280" s="5"/>
      <c r="L280" s="5"/>
      <c r="M280" s="5">
        <v>1</v>
      </c>
      <c r="N280" s="5"/>
      <c r="O280" s="5"/>
      <c r="P280" s="5"/>
      <c r="Q280" s="5"/>
      <c r="R280" s="5"/>
      <c r="S280" s="5">
        <f>SUM(bron[[#This Row],[Januari]:[December]])</f>
        <v>1</v>
      </c>
      <c r="T280" s="9">
        <v>45480</v>
      </c>
      <c r="U280" s="8" t="s">
        <v>712</v>
      </c>
      <c r="V280" s="8">
        <v>1</v>
      </c>
      <c r="W280" s="8"/>
      <c r="X280" t="s">
        <v>3</v>
      </c>
      <c r="Y280" t="s">
        <v>713</v>
      </c>
      <c r="Z280"/>
      <c r="AA280" t="s">
        <v>3612</v>
      </c>
      <c r="AB280">
        <f>COUNTIF(B:B,bron[[#This Row],[volledige naam]])</f>
        <v>58</v>
      </c>
    </row>
    <row r="281" spans="1:28" x14ac:dyDescent="0.25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370</v>
      </c>
      <c r="D281" t="s">
        <v>370</v>
      </c>
      <c r="E281" t="s">
        <v>62</v>
      </c>
      <c r="F281" s="10"/>
      <c r="G281" s="7"/>
      <c r="H281" s="7"/>
      <c r="I281" s="7"/>
      <c r="J281" s="5"/>
      <c r="K281" s="5"/>
      <c r="L281" s="5"/>
      <c r="M281" s="5">
        <v>1</v>
      </c>
      <c r="N281" s="5"/>
      <c r="O281" s="5"/>
      <c r="P281" s="5"/>
      <c r="Q281" s="5"/>
      <c r="R281" s="5"/>
      <c r="S281" s="5">
        <f>SUM(bron[[#This Row],[Januari]:[December]])</f>
        <v>1</v>
      </c>
      <c r="T281" s="9">
        <v>45481</v>
      </c>
      <c r="U281" s="8" t="s">
        <v>714</v>
      </c>
      <c r="V281" s="8">
        <v>1</v>
      </c>
      <c r="W281" s="8"/>
      <c r="X281" t="s">
        <v>3</v>
      </c>
      <c r="Y281" t="s">
        <v>81</v>
      </c>
      <c r="Z281"/>
      <c r="AA281" t="s">
        <v>3612</v>
      </c>
      <c r="AB281">
        <f>COUNTIF(B:B,bron[[#This Row],[volledige naam]])</f>
        <v>58</v>
      </c>
    </row>
    <row r="282" spans="1:28" x14ac:dyDescent="0.25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J282" s="5"/>
      <c r="K282" s="5"/>
      <c r="L282" s="5"/>
      <c r="M282" s="5">
        <v>1</v>
      </c>
      <c r="N282" s="5"/>
      <c r="O282" s="5"/>
      <c r="P282" s="5"/>
      <c r="Q282" s="5"/>
      <c r="R282" s="5"/>
      <c r="S282" s="5">
        <f>SUM(bron[[#This Row],[Januari]:[December]])</f>
        <v>1</v>
      </c>
      <c r="T282" s="9">
        <v>45483</v>
      </c>
      <c r="U282" s="8" t="s">
        <v>715</v>
      </c>
      <c r="V282" s="8">
        <v>1</v>
      </c>
      <c r="W282" s="8"/>
      <c r="X282" t="s">
        <v>3</v>
      </c>
      <c r="Y282" t="s">
        <v>142</v>
      </c>
      <c r="Z282"/>
      <c r="AA282" t="s">
        <v>3612</v>
      </c>
      <c r="AB282">
        <f>COUNTIF(B:B,bron[[#This Row],[volledige naam]])</f>
        <v>5</v>
      </c>
    </row>
    <row r="283" spans="1:28" x14ac:dyDescent="0.25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J283" s="5"/>
      <c r="K283" s="5"/>
      <c r="L283" s="5"/>
      <c r="M283" s="5">
        <v>1</v>
      </c>
      <c r="N283" s="5"/>
      <c r="O283" s="5"/>
      <c r="P283" s="5"/>
      <c r="Q283" s="5"/>
      <c r="R283" s="5"/>
      <c r="S283" s="5">
        <f>SUM(bron[[#This Row],[Januari]:[December]])</f>
        <v>1</v>
      </c>
      <c r="T283" s="9">
        <v>45483</v>
      </c>
      <c r="U283" s="8" t="s">
        <v>716</v>
      </c>
      <c r="V283" s="8"/>
      <c r="W283" s="8">
        <v>1</v>
      </c>
      <c r="X283" t="s">
        <v>4</v>
      </c>
      <c r="Y283" t="s">
        <v>2</v>
      </c>
      <c r="Z283"/>
      <c r="AA283" t="s">
        <v>3612</v>
      </c>
      <c r="AB283">
        <f>COUNTIF(B:B,bron[[#This Row],[volledige naam]])</f>
        <v>2</v>
      </c>
    </row>
    <row r="284" spans="1:28" x14ac:dyDescent="0.25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J284" s="5"/>
      <c r="K284" s="5"/>
      <c r="L284" s="5"/>
      <c r="M284" s="5">
        <v>1</v>
      </c>
      <c r="N284" s="5"/>
      <c r="O284" s="5"/>
      <c r="P284" s="5"/>
      <c r="Q284" s="5"/>
      <c r="R284" s="5"/>
      <c r="S284" s="5">
        <f>SUM(bron[[#This Row],[Januari]:[December]])</f>
        <v>1</v>
      </c>
      <c r="T284" s="9">
        <v>45483</v>
      </c>
      <c r="U284" s="8" t="s">
        <v>717</v>
      </c>
      <c r="V284" s="8"/>
      <c r="W284" s="8">
        <v>1</v>
      </c>
      <c r="X284" t="s">
        <v>4</v>
      </c>
      <c r="Y284" t="s">
        <v>718</v>
      </c>
      <c r="Z284"/>
      <c r="AA284" t="s">
        <v>3612</v>
      </c>
      <c r="AB284">
        <f>COUNTIF(B:B,bron[[#This Row],[volledige naam]])</f>
        <v>4</v>
      </c>
    </row>
    <row r="285" spans="1:28" x14ac:dyDescent="0.25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J285" s="5"/>
      <c r="K285" s="5"/>
      <c r="L285" s="5"/>
      <c r="M285" s="5">
        <v>1</v>
      </c>
      <c r="N285" s="5"/>
      <c r="O285" s="5"/>
      <c r="P285" s="5"/>
      <c r="Q285" s="5"/>
      <c r="R285" s="5"/>
      <c r="S285" s="5">
        <f>SUM(bron[[#This Row],[Januari]:[December]])</f>
        <v>1</v>
      </c>
      <c r="T285" s="9">
        <v>45483</v>
      </c>
      <c r="U285" s="8" t="s">
        <v>719</v>
      </c>
      <c r="V285" s="8">
        <v>1</v>
      </c>
      <c r="W285" s="8"/>
      <c r="X285" t="s">
        <v>3</v>
      </c>
      <c r="Y285" t="s">
        <v>37</v>
      </c>
      <c r="Z285"/>
      <c r="AA285" t="s">
        <v>3612</v>
      </c>
      <c r="AB285">
        <f>COUNTIF(B:B,bron[[#This Row],[volledige naam]])</f>
        <v>6</v>
      </c>
    </row>
    <row r="286" spans="1:28" x14ac:dyDescent="0.25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J286" s="5"/>
      <c r="K286" s="5"/>
      <c r="L286" s="5"/>
      <c r="M286" s="5">
        <v>1</v>
      </c>
      <c r="N286" s="5"/>
      <c r="O286" s="5"/>
      <c r="P286" s="5"/>
      <c r="Q286" s="5"/>
      <c r="R286" s="5"/>
      <c r="S286" s="5">
        <f>SUM(bron[[#This Row],[Januari]:[December]])</f>
        <v>1</v>
      </c>
      <c r="T286" s="9">
        <v>45484</v>
      </c>
      <c r="U286" s="8" t="s">
        <v>720</v>
      </c>
      <c r="V286" s="8">
        <v>1</v>
      </c>
      <c r="W286" s="8"/>
      <c r="X286" t="s">
        <v>3</v>
      </c>
      <c r="Y286" t="s">
        <v>166</v>
      </c>
      <c r="Z286"/>
      <c r="AA286" t="s">
        <v>3612</v>
      </c>
      <c r="AB286">
        <f>COUNTIF(B:B,bron[[#This Row],[volledige naam]])</f>
        <v>7</v>
      </c>
    </row>
    <row r="287" spans="1:28" x14ac:dyDescent="0.25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J287" s="5"/>
      <c r="K287" s="5"/>
      <c r="L287" s="5"/>
      <c r="M287" s="5">
        <v>1</v>
      </c>
      <c r="N287" s="5"/>
      <c r="O287" s="5"/>
      <c r="P287" s="5"/>
      <c r="Q287" s="5"/>
      <c r="R287" s="5"/>
      <c r="S287" s="5">
        <f>SUM(bron[[#This Row],[Januari]:[December]])</f>
        <v>1</v>
      </c>
      <c r="T287" s="9">
        <v>45484</v>
      </c>
      <c r="U287" s="8" t="s">
        <v>721</v>
      </c>
      <c r="V287" s="8"/>
      <c r="W287" s="8">
        <v>1</v>
      </c>
      <c r="X287" t="s">
        <v>4</v>
      </c>
      <c r="Y287" t="s">
        <v>102</v>
      </c>
      <c r="Z287"/>
      <c r="AA287" t="s">
        <v>3612</v>
      </c>
      <c r="AB287">
        <f>COUNTIF(B:B,bron[[#This Row],[volledige naam]])</f>
        <v>6</v>
      </c>
    </row>
    <row r="288" spans="1:28" x14ac:dyDescent="0.25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J288" s="5"/>
      <c r="K288" s="5"/>
      <c r="L288" s="5"/>
      <c r="M288" s="5">
        <v>1</v>
      </c>
      <c r="N288" s="5"/>
      <c r="O288" s="5"/>
      <c r="P288" s="5"/>
      <c r="Q288" s="5"/>
      <c r="R288" s="5"/>
      <c r="S288" s="5">
        <f>SUM(bron[[#This Row],[Januari]:[December]])</f>
        <v>1</v>
      </c>
      <c r="T288" s="9">
        <v>45485</v>
      </c>
      <c r="U288" s="8" t="s">
        <v>722</v>
      </c>
      <c r="V288" s="8">
        <v>1</v>
      </c>
      <c r="W288" s="8"/>
      <c r="X288" t="s">
        <v>3</v>
      </c>
      <c r="Y288" t="s">
        <v>124</v>
      </c>
      <c r="Z288"/>
      <c r="AA288" t="s">
        <v>3612</v>
      </c>
      <c r="AB288">
        <f>COUNTIF(B:B,bron[[#This Row],[volledige naam]])</f>
        <v>4</v>
      </c>
    </row>
    <row r="289" spans="1:28" x14ac:dyDescent="0.25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J289" s="5"/>
      <c r="K289" s="5"/>
      <c r="L289" s="5"/>
      <c r="M289" s="5">
        <v>1</v>
      </c>
      <c r="N289" s="5"/>
      <c r="O289" s="5"/>
      <c r="P289" s="5"/>
      <c r="Q289" s="5"/>
      <c r="R289" s="5"/>
      <c r="S289" s="5">
        <f>SUM(bron[[#This Row],[Januari]:[December]])</f>
        <v>1</v>
      </c>
      <c r="T289" s="9">
        <v>45486</v>
      </c>
      <c r="U289" s="8" t="s">
        <v>723</v>
      </c>
      <c r="V289" s="8">
        <v>1</v>
      </c>
      <c r="W289" s="8"/>
      <c r="X289" t="s">
        <v>3</v>
      </c>
      <c r="Y289" t="s">
        <v>6</v>
      </c>
      <c r="Z289"/>
      <c r="AA289" t="s">
        <v>3612</v>
      </c>
      <c r="AB289">
        <f>COUNTIF(B:B,bron[[#This Row],[volledige naam]])</f>
        <v>2</v>
      </c>
    </row>
    <row r="290" spans="1:28" x14ac:dyDescent="0.25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J290" s="5"/>
      <c r="K290" s="5"/>
      <c r="L290" s="5"/>
      <c r="M290" s="5">
        <v>1</v>
      </c>
      <c r="N290" s="5"/>
      <c r="O290" s="5"/>
      <c r="P290" s="5"/>
      <c r="Q290" s="5"/>
      <c r="R290" s="5"/>
      <c r="S290" s="5">
        <f>SUM(bron[[#This Row],[Januari]:[December]])</f>
        <v>1</v>
      </c>
      <c r="T290" s="9">
        <v>45489</v>
      </c>
      <c r="U290" s="8" t="s">
        <v>724</v>
      </c>
      <c r="V290" s="8"/>
      <c r="W290" s="8">
        <v>1</v>
      </c>
      <c r="X290" t="s">
        <v>4</v>
      </c>
      <c r="Y290" t="s">
        <v>6</v>
      </c>
      <c r="Z290"/>
      <c r="AA290" t="s">
        <v>3612</v>
      </c>
      <c r="AB290">
        <f>COUNTIF(B:B,bron[[#This Row],[volledige naam]])</f>
        <v>2</v>
      </c>
    </row>
    <row r="291" spans="1:28" x14ac:dyDescent="0.25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J291" s="5"/>
      <c r="K291" s="5"/>
      <c r="L291" s="5"/>
      <c r="M291" s="5">
        <v>1</v>
      </c>
      <c r="N291" s="5"/>
      <c r="O291" s="5"/>
      <c r="P291" s="5"/>
      <c r="Q291" s="5"/>
      <c r="R291" s="5"/>
      <c r="S291" s="5">
        <f>SUM(bron[[#This Row],[Januari]:[December]])</f>
        <v>1</v>
      </c>
      <c r="T291" s="9">
        <v>45490</v>
      </c>
      <c r="U291" s="8" t="s">
        <v>725</v>
      </c>
      <c r="V291" s="8">
        <v>1</v>
      </c>
      <c r="W291" s="8"/>
      <c r="X291" t="s">
        <v>3</v>
      </c>
      <c r="Y291" t="s">
        <v>726</v>
      </c>
      <c r="Z291"/>
      <c r="AA291" t="s">
        <v>3612</v>
      </c>
      <c r="AB291">
        <f>COUNTIF(B:B,bron[[#This Row],[volledige naam]])</f>
        <v>6</v>
      </c>
    </row>
    <row r="292" spans="1:28" x14ac:dyDescent="0.25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J292" s="5"/>
      <c r="K292" s="5"/>
      <c r="L292" s="5"/>
      <c r="M292" s="5">
        <v>1</v>
      </c>
      <c r="N292" s="5"/>
      <c r="O292" s="5"/>
      <c r="P292" s="5"/>
      <c r="Q292" s="5"/>
      <c r="R292" s="5"/>
      <c r="S292" s="5">
        <f>SUM(bron[[#This Row],[Januari]:[December]])</f>
        <v>1</v>
      </c>
      <c r="T292" s="9">
        <v>45490</v>
      </c>
      <c r="U292" s="8" t="s">
        <v>727</v>
      </c>
      <c r="V292" s="8">
        <v>1</v>
      </c>
      <c r="W292" s="8"/>
      <c r="X292" t="s">
        <v>3</v>
      </c>
      <c r="Y292" t="s">
        <v>468</v>
      </c>
      <c r="Z292"/>
      <c r="AA292" t="s">
        <v>3612</v>
      </c>
      <c r="AB292">
        <f>COUNTIF(B:B,bron[[#This Row],[volledige naam]])</f>
        <v>4</v>
      </c>
    </row>
    <row r="293" spans="1:28" x14ac:dyDescent="0.25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J293" s="5"/>
      <c r="K293" s="5"/>
      <c r="L293" s="5"/>
      <c r="M293" s="5">
        <v>1</v>
      </c>
      <c r="N293" s="5"/>
      <c r="O293" s="5"/>
      <c r="P293" s="5"/>
      <c r="Q293" s="5"/>
      <c r="R293" s="5"/>
      <c r="S293" s="5">
        <f>SUM(bron[[#This Row],[Januari]:[December]])</f>
        <v>1</v>
      </c>
      <c r="T293" s="9">
        <v>45491</v>
      </c>
      <c r="U293" s="8" t="s">
        <v>728</v>
      </c>
      <c r="V293" s="8"/>
      <c r="W293" s="8">
        <v>1</v>
      </c>
      <c r="X293" t="s">
        <v>4</v>
      </c>
      <c r="Y293" t="s">
        <v>729</v>
      </c>
      <c r="Z293"/>
      <c r="AA293" t="s">
        <v>3612</v>
      </c>
      <c r="AB293">
        <f>COUNTIF(B:B,bron[[#This Row],[volledige naam]])</f>
        <v>2</v>
      </c>
    </row>
    <row r="294" spans="1:28" x14ac:dyDescent="0.25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J294" s="5"/>
      <c r="K294" s="5"/>
      <c r="L294" s="5"/>
      <c r="M294" s="5">
        <v>1</v>
      </c>
      <c r="N294" s="5"/>
      <c r="O294" s="5"/>
      <c r="P294" s="5"/>
      <c r="Q294" s="5"/>
      <c r="R294" s="5"/>
      <c r="S294" s="5">
        <f>SUM(bron[[#This Row],[Januari]:[December]])</f>
        <v>1</v>
      </c>
      <c r="T294" s="9">
        <v>45491</v>
      </c>
      <c r="U294" s="8" t="s">
        <v>730</v>
      </c>
      <c r="V294" s="8"/>
      <c r="W294" s="8">
        <v>1</v>
      </c>
      <c r="X294" t="s">
        <v>4</v>
      </c>
      <c r="Y294" t="s">
        <v>280</v>
      </c>
      <c r="Z294"/>
      <c r="AA294" t="s">
        <v>3612</v>
      </c>
      <c r="AB294">
        <f>COUNTIF(B:B,bron[[#This Row],[volledige naam]])</f>
        <v>2</v>
      </c>
    </row>
    <row r="295" spans="1:28" x14ac:dyDescent="0.25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J295" s="5"/>
      <c r="K295" s="5"/>
      <c r="L295" s="5"/>
      <c r="M295" s="5">
        <v>1</v>
      </c>
      <c r="N295" s="5"/>
      <c r="O295" s="5"/>
      <c r="P295" s="5"/>
      <c r="Q295" s="5"/>
      <c r="R295" s="5"/>
      <c r="S295" s="5">
        <f>SUM(bron[[#This Row],[Januari]:[December]])</f>
        <v>1</v>
      </c>
      <c r="T295" s="9">
        <v>45491</v>
      </c>
      <c r="U295" s="8" t="s">
        <v>731</v>
      </c>
      <c r="V295" s="8"/>
      <c r="W295" s="8">
        <v>1</v>
      </c>
      <c r="X295" t="s">
        <v>4</v>
      </c>
      <c r="Y295" t="s">
        <v>55</v>
      </c>
      <c r="Z295"/>
      <c r="AA295" t="s">
        <v>3612</v>
      </c>
      <c r="AB295">
        <f>COUNTIF(B:B,bron[[#This Row],[volledige naam]])</f>
        <v>6</v>
      </c>
    </row>
    <row r="296" spans="1:28" x14ac:dyDescent="0.25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J296" s="5"/>
      <c r="K296" s="5"/>
      <c r="L296" s="5"/>
      <c r="M296" s="5">
        <v>1</v>
      </c>
      <c r="N296" s="5"/>
      <c r="O296" s="5"/>
      <c r="P296" s="5"/>
      <c r="Q296" s="5"/>
      <c r="R296" s="5"/>
      <c r="S296" s="5">
        <f>SUM(bron[[#This Row],[Januari]:[December]])</f>
        <v>1</v>
      </c>
      <c r="T296" s="9">
        <v>45492</v>
      </c>
      <c r="U296" s="8" t="s">
        <v>732</v>
      </c>
      <c r="V296" s="8"/>
      <c r="W296" s="8">
        <v>1</v>
      </c>
      <c r="X296" t="s">
        <v>4</v>
      </c>
      <c r="Y296" t="s">
        <v>64</v>
      </c>
      <c r="Z296"/>
      <c r="AA296" t="s">
        <v>3612</v>
      </c>
      <c r="AB296">
        <f>COUNTIF(B:B,bron[[#This Row],[volledige naam]])</f>
        <v>3</v>
      </c>
    </row>
    <row r="297" spans="1:28" x14ac:dyDescent="0.25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370</v>
      </c>
      <c r="D297" t="s">
        <v>370</v>
      </c>
      <c r="E297" t="s">
        <v>62</v>
      </c>
      <c r="F297" s="10"/>
      <c r="G297" s="7"/>
      <c r="H297" s="7"/>
      <c r="I297" s="7"/>
      <c r="J297" s="5"/>
      <c r="K297" s="5"/>
      <c r="L297" s="5"/>
      <c r="M297" s="5">
        <v>1</v>
      </c>
      <c r="N297" s="5"/>
      <c r="O297" s="5"/>
      <c r="P297" s="5"/>
      <c r="Q297" s="5"/>
      <c r="R297" s="5"/>
      <c r="S297" s="5">
        <f>SUM(bron[[#This Row],[Januari]:[December]])</f>
        <v>1</v>
      </c>
      <c r="T297" s="9">
        <v>45493</v>
      </c>
      <c r="U297" s="8" t="s">
        <v>733</v>
      </c>
      <c r="V297" s="8">
        <v>1</v>
      </c>
      <c r="W297" s="8"/>
      <c r="X297" t="s">
        <v>3</v>
      </c>
      <c r="Y297" t="s">
        <v>10</v>
      </c>
      <c r="Z297"/>
      <c r="AA297" t="s">
        <v>3612</v>
      </c>
      <c r="AB297">
        <f>COUNTIF(B:B,bron[[#This Row],[volledige naam]])</f>
        <v>58</v>
      </c>
    </row>
    <row r="298" spans="1:28" x14ac:dyDescent="0.25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J298" s="5"/>
      <c r="K298" s="5"/>
      <c r="L298" s="5"/>
      <c r="M298" s="5">
        <v>1</v>
      </c>
      <c r="N298" s="5"/>
      <c r="O298" s="5"/>
      <c r="P298" s="5"/>
      <c r="Q298" s="5"/>
      <c r="R298" s="5"/>
      <c r="S298" s="5">
        <f>SUM(bron[[#This Row],[Januari]:[December]])</f>
        <v>1</v>
      </c>
      <c r="T298" s="9">
        <v>45496</v>
      </c>
      <c r="U298" s="8" t="s">
        <v>734</v>
      </c>
      <c r="V298" s="8">
        <v>1</v>
      </c>
      <c r="W298" s="8"/>
      <c r="X298" t="s">
        <v>3</v>
      </c>
      <c r="Y298" t="s">
        <v>14</v>
      </c>
      <c r="Z298"/>
      <c r="AA298" t="s">
        <v>3612</v>
      </c>
      <c r="AB298">
        <f>COUNTIF(B:B,bron[[#This Row],[volledige naam]])</f>
        <v>1</v>
      </c>
    </row>
    <row r="299" spans="1:28" x14ac:dyDescent="0.25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J299" s="5"/>
      <c r="K299" s="5"/>
      <c r="L299" s="5"/>
      <c r="M299" s="5">
        <v>1</v>
      </c>
      <c r="N299" s="5"/>
      <c r="O299" s="5"/>
      <c r="P299" s="5"/>
      <c r="Q299" s="5"/>
      <c r="R299" s="5"/>
      <c r="S299" s="5">
        <f>SUM(bron[[#This Row],[Januari]:[December]])</f>
        <v>1</v>
      </c>
      <c r="T299" s="9">
        <v>45497</v>
      </c>
      <c r="U299" s="8" t="s">
        <v>735</v>
      </c>
      <c r="V299" s="8">
        <v>1</v>
      </c>
      <c r="W299" s="8"/>
      <c r="X299" t="s">
        <v>3</v>
      </c>
      <c r="Y299" t="s">
        <v>6</v>
      </c>
      <c r="Z299"/>
      <c r="AA299" t="s">
        <v>3612</v>
      </c>
      <c r="AB299">
        <f>COUNTIF(B:B,bron[[#This Row],[volledige naam]])</f>
        <v>1</v>
      </c>
    </row>
    <row r="300" spans="1:28" x14ac:dyDescent="0.25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J300" s="5"/>
      <c r="K300" s="5"/>
      <c r="L300" s="5"/>
      <c r="M300" s="5">
        <v>1</v>
      </c>
      <c r="N300" s="5"/>
      <c r="O300" s="5"/>
      <c r="P300" s="5"/>
      <c r="Q300" s="5"/>
      <c r="R300" s="5"/>
      <c r="S300" s="5">
        <f>SUM(bron[[#This Row],[Januari]:[December]])</f>
        <v>1</v>
      </c>
      <c r="T300" s="9">
        <v>45497</v>
      </c>
      <c r="U300" s="8" t="s">
        <v>736</v>
      </c>
      <c r="V300" s="8">
        <v>1</v>
      </c>
      <c r="W300" s="8"/>
      <c r="X300" t="s">
        <v>3</v>
      </c>
      <c r="Y300" t="s">
        <v>6</v>
      </c>
      <c r="Z300"/>
      <c r="AA300" t="s">
        <v>3612</v>
      </c>
      <c r="AB300">
        <f>COUNTIF(B:B,bron[[#This Row],[volledige naam]])</f>
        <v>2</v>
      </c>
    </row>
    <row r="301" spans="1:28" x14ac:dyDescent="0.25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J301" s="5"/>
      <c r="K301" s="5"/>
      <c r="L301" s="5"/>
      <c r="M301" s="5">
        <v>1</v>
      </c>
      <c r="N301" s="5"/>
      <c r="O301" s="5"/>
      <c r="P301" s="5"/>
      <c r="Q301" s="5"/>
      <c r="R301" s="5"/>
      <c r="S301" s="5">
        <f>SUM(bron[[#This Row],[Januari]:[December]])</f>
        <v>1</v>
      </c>
      <c r="T301" s="9">
        <v>45497</v>
      </c>
      <c r="U301" s="8" t="s">
        <v>737</v>
      </c>
      <c r="V301" s="8">
        <v>1</v>
      </c>
      <c r="W301" s="8"/>
      <c r="X301" t="s">
        <v>3</v>
      </c>
      <c r="Y301" t="s">
        <v>98</v>
      </c>
      <c r="Z301"/>
      <c r="AA301" t="s">
        <v>3612</v>
      </c>
      <c r="AB301">
        <f>COUNTIF(B:B,bron[[#This Row],[volledige naam]])</f>
        <v>1</v>
      </c>
    </row>
    <row r="302" spans="1:28" x14ac:dyDescent="0.25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J302" s="5"/>
      <c r="K302" s="5"/>
      <c r="L302" s="5"/>
      <c r="M302" s="5">
        <v>1</v>
      </c>
      <c r="N302" s="5"/>
      <c r="O302" s="5"/>
      <c r="P302" s="5"/>
      <c r="Q302" s="5"/>
      <c r="R302" s="5"/>
      <c r="S302" s="5">
        <f>SUM(bron[[#This Row],[Januari]:[December]])</f>
        <v>1</v>
      </c>
      <c r="T302" s="9">
        <v>45498</v>
      </c>
      <c r="U302" s="8" t="s">
        <v>738</v>
      </c>
      <c r="V302" s="8">
        <v>1</v>
      </c>
      <c r="W302" s="8"/>
      <c r="X302" t="s">
        <v>3</v>
      </c>
      <c r="Y302" t="s">
        <v>6</v>
      </c>
      <c r="Z302"/>
      <c r="AA302" t="s">
        <v>3612</v>
      </c>
      <c r="AB302">
        <f>COUNTIF(B:B,bron[[#This Row],[volledige naam]])</f>
        <v>5</v>
      </c>
    </row>
    <row r="303" spans="1:28" x14ac:dyDescent="0.25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J303" s="5"/>
      <c r="K303" s="5"/>
      <c r="L303" s="5"/>
      <c r="M303" s="5">
        <v>1</v>
      </c>
      <c r="N303" s="5"/>
      <c r="O303" s="5"/>
      <c r="P303" s="5"/>
      <c r="Q303" s="5"/>
      <c r="R303" s="5"/>
      <c r="S303" s="5">
        <f>SUM(bron[[#This Row],[Januari]:[December]])</f>
        <v>1</v>
      </c>
      <c r="T303" s="9">
        <v>45498</v>
      </c>
      <c r="U303" s="8" t="s">
        <v>739</v>
      </c>
      <c r="V303" s="8">
        <v>1</v>
      </c>
      <c r="W303" s="8"/>
      <c r="X303" t="s">
        <v>3</v>
      </c>
      <c r="Y303" t="s">
        <v>516</v>
      </c>
      <c r="Z303"/>
      <c r="AA303" t="s">
        <v>3612</v>
      </c>
      <c r="AB303">
        <f>COUNTIF(B:B,bron[[#This Row],[volledige naam]])</f>
        <v>4</v>
      </c>
    </row>
    <row r="304" spans="1:28" x14ac:dyDescent="0.25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J304" s="5"/>
      <c r="K304" s="5"/>
      <c r="L304" s="5"/>
      <c r="M304" s="5">
        <v>1</v>
      </c>
      <c r="N304" s="5"/>
      <c r="O304" s="5"/>
      <c r="P304" s="5"/>
      <c r="Q304" s="5"/>
      <c r="R304" s="5"/>
      <c r="S304" s="5">
        <f>SUM(bron[[#This Row],[Januari]:[December]])</f>
        <v>1</v>
      </c>
      <c r="T304" s="9">
        <v>45498</v>
      </c>
      <c r="U304" s="8" t="s">
        <v>740</v>
      </c>
      <c r="V304" s="8"/>
      <c r="W304" s="8">
        <v>1</v>
      </c>
      <c r="X304" t="s">
        <v>4</v>
      </c>
      <c r="Y304" t="s">
        <v>6</v>
      </c>
      <c r="Z304"/>
      <c r="AA304" t="s">
        <v>3612</v>
      </c>
      <c r="AB304">
        <f>COUNTIF(B:B,bron[[#This Row],[volledige naam]])</f>
        <v>4</v>
      </c>
    </row>
    <row r="305" spans="1:28" x14ac:dyDescent="0.25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J305" s="5"/>
      <c r="K305" s="5"/>
      <c r="L305" s="5"/>
      <c r="M305" s="5">
        <v>1</v>
      </c>
      <c r="N305" s="5"/>
      <c r="O305" s="5"/>
      <c r="P305" s="5"/>
      <c r="Q305" s="5"/>
      <c r="R305" s="5"/>
      <c r="S305" s="5">
        <f>SUM(bron[[#This Row],[Januari]:[December]])</f>
        <v>1</v>
      </c>
      <c r="T305" s="9">
        <v>45500</v>
      </c>
      <c r="U305" s="8" t="s">
        <v>741</v>
      </c>
      <c r="V305" s="8">
        <v>1</v>
      </c>
      <c r="W305" s="8"/>
      <c r="X305" t="s">
        <v>3</v>
      </c>
      <c r="Y305" t="s">
        <v>232</v>
      </c>
      <c r="Z305"/>
      <c r="AA305" t="s">
        <v>3612</v>
      </c>
      <c r="AB305">
        <f>COUNTIF(B:B,bron[[#This Row],[volledige naam]])</f>
        <v>3</v>
      </c>
    </row>
    <row r="306" spans="1:28" x14ac:dyDescent="0.25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J306" s="5"/>
      <c r="K306" s="5"/>
      <c r="L306" s="5"/>
      <c r="M306" s="5">
        <v>1</v>
      </c>
      <c r="N306" s="5"/>
      <c r="O306" s="5"/>
      <c r="P306" s="5"/>
      <c r="Q306" s="5"/>
      <c r="R306" s="5"/>
      <c r="S306" s="5">
        <f>SUM(bron[[#This Row],[Januari]:[December]])</f>
        <v>1</v>
      </c>
      <c r="T306" s="9">
        <v>45502</v>
      </c>
      <c r="U306" s="8" t="s">
        <v>742</v>
      </c>
      <c r="V306" s="8">
        <v>1</v>
      </c>
      <c r="W306" s="8"/>
      <c r="X306" t="s">
        <v>3</v>
      </c>
      <c r="Y306" t="s">
        <v>378</v>
      </c>
      <c r="Z306"/>
      <c r="AA306" t="s">
        <v>3612</v>
      </c>
      <c r="AB306">
        <f>COUNTIF(B:B,bron[[#This Row],[volledige naam]])</f>
        <v>3</v>
      </c>
    </row>
    <row r="307" spans="1:28" x14ac:dyDescent="0.25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J307" s="5"/>
      <c r="K307" s="5"/>
      <c r="L307" s="5"/>
      <c r="M307" s="5">
        <v>1</v>
      </c>
      <c r="N307" s="5"/>
      <c r="O307" s="5"/>
      <c r="P307" s="5"/>
      <c r="Q307" s="5"/>
      <c r="R307" s="5"/>
      <c r="S307" s="5">
        <f>SUM(bron[[#This Row],[Januari]:[December]])</f>
        <v>1</v>
      </c>
      <c r="T307" s="9">
        <v>45502</v>
      </c>
      <c r="U307" s="8" t="s">
        <v>743</v>
      </c>
      <c r="V307" s="8"/>
      <c r="W307" s="8">
        <v>1</v>
      </c>
      <c r="X307" t="s">
        <v>4</v>
      </c>
      <c r="Y307" t="s">
        <v>6</v>
      </c>
      <c r="Z307"/>
      <c r="AA307" t="s">
        <v>3612</v>
      </c>
      <c r="AB307">
        <f>COUNTIF(B:B,bron[[#This Row],[volledige naam]])</f>
        <v>1</v>
      </c>
    </row>
    <row r="308" spans="1:28" x14ac:dyDescent="0.25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J308" s="5"/>
      <c r="K308" s="5"/>
      <c r="L308" s="5"/>
      <c r="M308" s="5">
        <v>1</v>
      </c>
      <c r="N308" s="5"/>
      <c r="O308" s="5"/>
      <c r="P308" s="5"/>
      <c r="Q308" s="5"/>
      <c r="R308" s="5"/>
      <c r="S308" s="5">
        <f>SUM(bron[[#This Row],[Januari]:[December]])</f>
        <v>1</v>
      </c>
      <c r="T308" s="9">
        <v>45502</v>
      </c>
      <c r="U308" s="8" t="s">
        <v>744</v>
      </c>
      <c r="V308" s="8"/>
      <c r="W308" s="8">
        <v>1</v>
      </c>
      <c r="X308" t="s">
        <v>4</v>
      </c>
      <c r="Y308" t="s">
        <v>729</v>
      </c>
      <c r="Z308"/>
      <c r="AA308" t="s">
        <v>3612</v>
      </c>
      <c r="AB308">
        <f>COUNTIF(B:B,bron[[#This Row],[volledige naam]])</f>
        <v>1</v>
      </c>
    </row>
    <row r="309" spans="1:28" x14ac:dyDescent="0.25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J309" s="5"/>
      <c r="K309" s="5"/>
      <c r="L309" s="5"/>
      <c r="M309" s="5">
        <v>1</v>
      </c>
      <c r="N309" s="5"/>
      <c r="O309" s="5"/>
      <c r="P309" s="5"/>
      <c r="Q309" s="5"/>
      <c r="R309" s="5"/>
      <c r="S309" s="5">
        <f>SUM(bron[[#This Row],[Januari]:[December]])</f>
        <v>1</v>
      </c>
      <c r="T309" s="9">
        <v>45502</v>
      </c>
      <c r="U309" s="8" t="s">
        <v>745</v>
      </c>
      <c r="V309" s="8"/>
      <c r="W309" s="8">
        <v>1</v>
      </c>
      <c r="X309" t="s">
        <v>4</v>
      </c>
      <c r="Y309" t="s">
        <v>2</v>
      </c>
      <c r="Z309"/>
      <c r="AA309" t="s">
        <v>3612</v>
      </c>
      <c r="AB309">
        <f>COUNTIF(B:B,bron[[#This Row],[volledige naam]])</f>
        <v>2</v>
      </c>
    </row>
    <row r="310" spans="1:28" x14ac:dyDescent="0.25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J310" s="5"/>
      <c r="K310" s="5"/>
      <c r="L310" s="5"/>
      <c r="M310" s="5">
        <v>1</v>
      </c>
      <c r="N310" s="5"/>
      <c r="O310" s="5"/>
      <c r="P310" s="5"/>
      <c r="Q310" s="5"/>
      <c r="R310" s="5"/>
      <c r="S310" s="5">
        <f>SUM(bron[[#This Row],[Januari]:[December]])</f>
        <v>1</v>
      </c>
      <c r="T310" s="9">
        <v>45503</v>
      </c>
      <c r="U310" s="8" t="s">
        <v>746</v>
      </c>
      <c r="V310" s="8">
        <v>1</v>
      </c>
      <c r="W310" s="8"/>
      <c r="X310" t="s">
        <v>3</v>
      </c>
      <c r="Y310" t="s">
        <v>32</v>
      </c>
      <c r="Z310"/>
      <c r="AA310" t="s">
        <v>3612</v>
      </c>
      <c r="AB310">
        <f>COUNTIF(B:B,bron[[#This Row],[volledige naam]])</f>
        <v>3</v>
      </c>
    </row>
    <row r="311" spans="1:28" x14ac:dyDescent="0.25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J311" s="5"/>
      <c r="K311" s="5"/>
      <c r="L311" s="5"/>
      <c r="M311" s="5">
        <v>1</v>
      </c>
      <c r="N311" s="5"/>
      <c r="O311" s="5"/>
      <c r="P311" s="5"/>
      <c r="Q311" s="5"/>
      <c r="R311" s="5"/>
      <c r="S311" s="5">
        <f>SUM(bron[[#This Row],[Januari]:[December]])</f>
        <v>1</v>
      </c>
      <c r="T311" s="9">
        <v>45503</v>
      </c>
      <c r="U311" s="8" t="s">
        <v>747</v>
      </c>
      <c r="V311" s="8"/>
      <c r="W311" s="8">
        <v>1</v>
      </c>
      <c r="X311" t="s">
        <v>4</v>
      </c>
      <c r="Y311" t="s">
        <v>2</v>
      </c>
      <c r="Z311"/>
      <c r="AA311" t="s">
        <v>3612</v>
      </c>
      <c r="AB311">
        <f>COUNTIF(B:B,bron[[#This Row],[volledige naam]])</f>
        <v>4</v>
      </c>
    </row>
    <row r="312" spans="1:28" x14ac:dyDescent="0.25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J312" s="5"/>
      <c r="K312" s="5"/>
      <c r="L312" s="5"/>
      <c r="M312" s="5"/>
      <c r="N312" s="5">
        <v>1</v>
      </c>
      <c r="O312" s="5"/>
      <c r="P312" s="5"/>
      <c r="Q312" s="5"/>
      <c r="R312" s="5"/>
      <c r="S312" s="5">
        <f>SUM(bron[[#This Row],[Januari]:[December]])</f>
        <v>1</v>
      </c>
      <c r="T312" s="9">
        <v>45505</v>
      </c>
      <c r="U312" s="8" t="s">
        <v>748</v>
      </c>
      <c r="V312" s="8">
        <v>1</v>
      </c>
      <c r="W312" s="8"/>
      <c r="X312" t="s">
        <v>3</v>
      </c>
      <c r="Y312" t="s">
        <v>6</v>
      </c>
      <c r="Z312"/>
      <c r="AA312" t="s">
        <v>3612</v>
      </c>
      <c r="AB312">
        <f>COUNTIF(B:B,bron[[#This Row],[volledige naam]])</f>
        <v>5</v>
      </c>
    </row>
    <row r="313" spans="1:28" x14ac:dyDescent="0.25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370</v>
      </c>
      <c r="D313" t="s">
        <v>370</v>
      </c>
      <c r="E313" t="s">
        <v>62</v>
      </c>
      <c r="F313" s="10"/>
      <c r="G313" s="7"/>
      <c r="H313" s="7"/>
      <c r="I313" s="7"/>
      <c r="J313" s="5"/>
      <c r="K313" s="5"/>
      <c r="L313" s="5"/>
      <c r="M313" s="5"/>
      <c r="N313" s="5">
        <v>1</v>
      </c>
      <c r="O313" s="5"/>
      <c r="P313" s="5"/>
      <c r="Q313" s="5"/>
      <c r="R313" s="5"/>
      <c r="S313" s="5">
        <f>SUM(bron[[#This Row],[Januari]:[December]])</f>
        <v>1</v>
      </c>
      <c r="T313" s="9">
        <v>45506</v>
      </c>
      <c r="U313" s="8" t="s">
        <v>749</v>
      </c>
      <c r="V313" s="8">
        <v>1</v>
      </c>
      <c r="W313" s="8"/>
      <c r="X313" t="s">
        <v>3</v>
      </c>
      <c r="Y313" t="s">
        <v>10</v>
      </c>
      <c r="Z313"/>
      <c r="AA313" t="s">
        <v>3612</v>
      </c>
      <c r="AB313">
        <f>COUNTIF(B:B,bron[[#This Row],[volledige naam]])</f>
        <v>58</v>
      </c>
    </row>
    <row r="314" spans="1:28" x14ac:dyDescent="0.25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370</v>
      </c>
      <c r="D314" t="s">
        <v>370</v>
      </c>
      <c r="E314" t="s">
        <v>62</v>
      </c>
      <c r="F314" s="10"/>
      <c r="G314" s="7"/>
      <c r="H314" s="7"/>
      <c r="I314" s="7"/>
      <c r="J314" s="5"/>
      <c r="K314" s="5"/>
      <c r="L314" s="5"/>
      <c r="M314" s="5"/>
      <c r="N314" s="5">
        <v>1</v>
      </c>
      <c r="O314" s="5"/>
      <c r="P314" s="5"/>
      <c r="Q314" s="5"/>
      <c r="R314" s="5"/>
      <c r="S314" s="5">
        <f>SUM(bron[[#This Row],[Januari]:[December]])</f>
        <v>1</v>
      </c>
      <c r="T314" s="9">
        <v>45506</v>
      </c>
      <c r="U314" s="8" t="s">
        <v>750</v>
      </c>
      <c r="V314" s="8">
        <v>1</v>
      </c>
      <c r="W314" s="8"/>
      <c r="X314" t="s">
        <v>3</v>
      </c>
      <c r="Y314" t="s">
        <v>516</v>
      </c>
      <c r="Z314"/>
      <c r="AA314" t="s">
        <v>3612</v>
      </c>
      <c r="AB314">
        <f>COUNTIF(B:B,bron[[#This Row],[volledige naam]])</f>
        <v>58</v>
      </c>
    </row>
    <row r="315" spans="1:28" x14ac:dyDescent="0.25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J315" s="5"/>
      <c r="K315" s="5"/>
      <c r="L315" s="5"/>
      <c r="M315" s="5"/>
      <c r="N315" s="5">
        <v>1</v>
      </c>
      <c r="O315" s="5"/>
      <c r="P315" s="5"/>
      <c r="Q315" s="5"/>
      <c r="R315" s="5"/>
      <c r="S315" s="5">
        <f>SUM(bron[[#This Row],[Januari]:[December]])</f>
        <v>1</v>
      </c>
      <c r="T315" s="9">
        <v>45507</v>
      </c>
      <c r="U315" s="8" t="s">
        <v>751</v>
      </c>
      <c r="V315" s="8">
        <v>1</v>
      </c>
      <c r="W315" s="8"/>
      <c r="X315" t="s">
        <v>3</v>
      </c>
      <c r="Y315" t="s">
        <v>98</v>
      </c>
      <c r="Z315"/>
      <c r="AA315" t="s">
        <v>3612</v>
      </c>
      <c r="AB315">
        <f>COUNTIF(B:B,bron[[#This Row],[volledige naam]])</f>
        <v>3</v>
      </c>
    </row>
    <row r="316" spans="1:28" x14ac:dyDescent="0.25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J316" s="5"/>
      <c r="K316" s="5"/>
      <c r="L316" s="5"/>
      <c r="M316" s="5"/>
      <c r="N316" s="5">
        <v>1</v>
      </c>
      <c r="O316" s="5"/>
      <c r="P316" s="5"/>
      <c r="Q316" s="5"/>
      <c r="R316" s="5"/>
      <c r="S316" s="5">
        <f>SUM(bron[[#This Row],[Januari]:[December]])</f>
        <v>1</v>
      </c>
      <c r="T316" s="9">
        <v>45507</v>
      </c>
      <c r="U316" s="8" t="s">
        <v>752</v>
      </c>
      <c r="V316" s="8">
        <v>1</v>
      </c>
      <c r="W316" s="8"/>
      <c r="X316" t="s">
        <v>3</v>
      </c>
      <c r="Y316" t="s">
        <v>223</v>
      </c>
      <c r="Z316"/>
      <c r="AA316" t="s">
        <v>3612</v>
      </c>
      <c r="AB316">
        <f>COUNTIF(B:B,bron[[#This Row],[volledige naam]])</f>
        <v>9</v>
      </c>
    </row>
    <row r="317" spans="1:28" x14ac:dyDescent="0.25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J317" s="5"/>
      <c r="K317" s="5"/>
      <c r="L317" s="5"/>
      <c r="M317" s="5"/>
      <c r="N317" s="5">
        <v>1</v>
      </c>
      <c r="O317" s="5"/>
      <c r="P317" s="5"/>
      <c r="Q317" s="5"/>
      <c r="R317" s="5"/>
      <c r="S317" s="5">
        <f>SUM(bron[[#This Row],[Januari]:[December]])</f>
        <v>1</v>
      </c>
      <c r="T317" s="9">
        <v>45508</v>
      </c>
      <c r="U317" s="8" t="s">
        <v>753</v>
      </c>
      <c r="V317" s="8">
        <v>1</v>
      </c>
      <c r="W317" s="8"/>
      <c r="X317" t="s">
        <v>3</v>
      </c>
      <c r="Y317" t="s">
        <v>2</v>
      </c>
      <c r="Z317"/>
      <c r="AA317" t="s">
        <v>3612</v>
      </c>
      <c r="AB317">
        <f>COUNTIF(B:B,bron[[#This Row],[volledige naam]])</f>
        <v>8</v>
      </c>
    </row>
    <row r="318" spans="1:28" x14ac:dyDescent="0.25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J318" s="5"/>
      <c r="K318" s="5"/>
      <c r="L318" s="5"/>
      <c r="M318" s="5"/>
      <c r="N318" s="5">
        <v>1</v>
      </c>
      <c r="O318" s="5"/>
      <c r="P318" s="5"/>
      <c r="Q318" s="5"/>
      <c r="R318" s="5"/>
      <c r="S318" s="5">
        <f>SUM(bron[[#This Row],[Januari]:[December]])</f>
        <v>1</v>
      </c>
      <c r="T318" s="9">
        <v>45509</v>
      </c>
      <c r="U318" s="8" t="s">
        <v>754</v>
      </c>
      <c r="V318" s="8">
        <v>1</v>
      </c>
      <c r="W318" s="8"/>
      <c r="X318" t="s">
        <v>3</v>
      </c>
      <c r="Y318" t="s">
        <v>6</v>
      </c>
      <c r="Z318"/>
      <c r="AA318" t="s">
        <v>3612</v>
      </c>
      <c r="AB318">
        <f>COUNTIF(B:B,bron[[#This Row],[volledige naam]])</f>
        <v>1</v>
      </c>
    </row>
    <row r="319" spans="1:28" x14ac:dyDescent="0.25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J319" s="5"/>
      <c r="K319" s="5"/>
      <c r="L319" s="5"/>
      <c r="M319" s="5"/>
      <c r="N319" s="5">
        <v>1</v>
      </c>
      <c r="O319" s="5"/>
      <c r="P319" s="5"/>
      <c r="Q319" s="5"/>
      <c r="R319" s="5"/>
      <c r="S319" s="5">
        <f>SUM(bron[[#This Row],[Januari]:[December]])</f>
        <v>1</v>
      </c>
      <c r="T319" s="9">
        <v>45512</v>
      </c>
      <c r="U319" s="8" t="s">
        <v>755</v>
      </c>
      <c r="V319" s="8"/>
      <c r="W319" s="8">
        <v>1</v>
      </c>
      <c r="X319" t="s">
        <v>4</v>
      </c>
      <c r="Y319" t="s">
        <v>2</v>
      </c>
      <c r="Z319"/>
      <c r="AA319" t="s">
        <v>3612</v>
      </c>
      <c r="AB319">
        <f>COUNTIF(B:B,bron[[#This Row],[volledige naam]])</f>
        <v>2</v>
      </c>
    </row>
    <row r="320" spans="1:28" x14ac:dyDescent="0.25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J320" s="5"/>
      <c r="K320" s="5"/>
      <c r="L320" s="5"/>
      <c r="M320" s="5"/>
      <c r="N320" s="5">
        <v>1</v>
      </c>
      <c r="O320" s="5"/>
      <c r="P320" s="5"/>
      <c r="Q320" s="5"/>
      <c r="R320" s="5"/>
      <c r="S320" s="5">
        <f>SUM(bron[[#This Row],[Januari]:[December]])</f>
        <v>1</v>
      </c>
      <c r="T320" s="9">
        <v>45513</v>
      </c>
      <c r="U320" s="8" t="s">
        <v>756</v>
      </c>
      <c r="V320" s="8"/>
      <c r="W320" s="8">
        <v>1</v>
      </c>
      <c r="X320" t="s">
        <v>4</v>
      </c>
      <c r="Y320" t="s">
        <v>85</v>
      </c>
      <c r="Z320"/>
      <c r="AA320" t="s">
        <v>3612</v>
      </c>
      <c r="AB320">
        <f>COUNTIF(B:B,bron[[#This Row],[volledige naam]])</f>
        <v>2</v>
      </c>
    </row>
    <row r="321" spans="1:28" x14ac:dyDescent="0.25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J321" s="5"/>
      <c r="K321" s="5"/>
      <c r="L321" s="5"/>
      <c r="M321" s="5"/>
      <c r="N321" s="5">
        <v>1</v>
      </c>
      <c r="O321" s="5"/>
      <c r="P321" s="5"/>
      <c r="Q321" s="5"/>
      <c r="R321" s="5"/>
      <c r="S321" s="5">
        <f>SUM(bron[[#This Row],[Januari]:[December]])</f>
        <v>1</v>
      </c>
      <c r="T321" s="9">
        <v>45515</v>
      </c>
      <c r="U321" s="8" t="s">
        <v>757</v>
      </c>
      <c r="V321" s="8">
        <v>1</v>
      </c>
      <c r="W321" s="8"/>
      <c r="X321" t="s">
        <v>3</v>
      </c>
      <c r="Y321" t="s">
        <v>142</v>
      </c>
      <c r="Z321"/>
      <c r="AA321" t="s">
        <v>3612</v>
      </c>
      <c r="AB321">
        <f>COUNTIF(B:B,bron[[#This Row],[volledige naam]])</f>
        <v>6</v>
      </c>
    </row>
    <row r="322" spans="1:28" x14ac:dyDescent="0.25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J322" s="5"/>
      <c r="K322" s="5"/>
      <c r="L322" s="5"/>
      <c r="M322" s="5"/>
      <c r="N322" s="5">
        <v>1</v>
      </c>
      <c r="O322" s="5"/>
      <c r="P322" s="5"/>
      <c r="Q322" s="5"/>
      <c r="R322" s="5"/>
      <c r="S322" s="5">
        <f>SUM(bron[[#This Row],[Januari]:[December]])</f>
        <v>1</v>
      </c>
      <c r="T322" s="9">
        <v>45518</v>
      </c>
      <c r="U322" s="8" t="s">
        <v>758</v>
      </c>
      <c r="V322" s="8">
        <v>1</v>
      </c>
      <c r="W322" s="8"/>
      <c r="X322" t="s">
        <v>3</v>
      </c>
      <c r="Y322" t="s">
        <v>22</v>
      </c>
      <c r="Z322"/>
      <c r="AA322" t="s">
        <v>3612</v>
      </c>
      <c r="AB322">
        <f>COUNTIF(B:B,bron[[#This Row],[volledige naam]])</f>
        <v>2</v>
      </c>
    </row>
    <row r="323" spans="1:28" x14ac:dyDescent="0.25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370</v>
      </c>
      <c r="D323" t="s">
        <v>370</v>
      </c>
      <c r="E323" t="s">
        <v>62</v>
      </c>
      <c r="F323" s="10"/>
      <c r="G323" s="7"/>
      <c r="H323" s="7"/>
      <c r="I323" s="7"/>
      <c r="J323" s="5"/>
      <c r="K323" s="5"/>
      <c r="L323" s="5"/>
      <c r="M323" s="5"/>
      <c r="N323" s="5">
        <v>1</v>
      </c>
      <c r="O323" s="5"/>
      <c r="P323" s="5"/>
      <c r="Q323" s="5"/>
      <c r="R323" s="5"/>
      <c r="S323" s="5">
        <f>SUM(bron[[#This Row],[Januari]:[December]])</f>
        <v>1</v>
      </c>
      <c r="T323" s="9">
        <v>45518</v>
      </c>
      <c r="U323" s="8" t="s">
        <v>759</v>
      </c>
      <c r="V323" s="8">
        <v>1</v>
      </c>
      <c r="W323" s="8"/>
      <c r="X323" t="s">
        <v>3</v>
      </c>
      <c r="Y323" t="s">
        <v>114</v>
      </c>
      <c r="Z323"/>
      <c r="AA323" t="s">
        <v>3612</v>
      </c>
      <c r="AB323">
        <f>COUNTIF(B:B,bron[[#This Row],[volledige naam]])</f>
        <v>58</v>
      </c>
    </row>
    <row r="324" spans="1:28" x14ac:dyDescent="0.25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J324" s="5"/>
      <c r="K324" s="5"/>
      <c r="L324" s="5"/>
      <c r="M324" s="5"/>
      <c r="N324" s="5">
        <v>1</v>
      </c>
      <c r="O324" s="5"/>
      <c r="P324" s="5"/>
      <c r="Q324" s="5"/>
      <c r="R324" s="5"/>
      <c r="S324" s="5">
        <f>SUM(bron[[#This Row],[Januari]:[December]])</f>
        <v>1</v>
      </c>
      <c r="T324" s="9">
        <v>45518</v>
      </c>
      <c r="U324" s="8" t="s">
        <v>760</v>
      </c>
      <c r="V324" s="8"/>
      <c r="W324" s="8">
        <v>1</v>
      </c>
      <c r="X324" t="s">
        <v>4</v>
      </c>
      <c r="Y324" t="s">
        <v>761</v>
      </c>
      <c r="Z324"/>
      <c r="AA324" t="s">
        <v>3612</v>
      </c>
      <c r="AB324">
        <f>COUNTIF(B:B,bron[[#This Row],[volledige naam]])</f>
        <v>2</v>
      </c>
    </row>
    <row r="325" spans="1:28" x14ac:dyDescent="0.25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J325" s="5"/>
      <c r="K325" s="5"/>
      <c r="L325" s="5"/>
      <c r="M325" s="5"/>
      <c r="N325" s="5">
        <v>1</v>
      </c>
      <c r="O325" s="5"/>
      <c r="P325" s="5"/>
      <c r="Q325" s="5"/>
      <c r="R325" s="5"/>
      <c r="S325" s="5">
        <f>SUM(bron[[#This Row],[Januari]:[December]])</f>
        <v>1</v>
      </c>
      <c r="T325" s="9">
        <v>45523</v>
      </c>
      <c r="U325" s="8" t="s">
        <v>762</v>
      </c>
      <c r="V325" s="8">
        <v>1</v>
      </c>
      <c r="W325" s="8"/>
      <c r="X325" t="s">
        <v>3</v>
      </c>
      <c r="Y325" t="s">
        <v>2</v>
      </c>
      <c r="Z325"/>
      <c r="AA325" t="s">
        <v>3612</v>
      </c>
      <c r="AB325">
        <f>COUNTIF(B:B,bron[[#This Row],[volledige naam]])</f>
        <v>2</v>
      </c>
    </row>
    <row r="326" spans="1:28" x14ac:dyDescent="0.25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370</v>
      </c>
      <c r="D326" t="s">
        <v>370</v>
      </c>
      <c r="E326" t="s">
        <v>62</v>
      </c>
      <c r="F326" s="10"/>
      <c r="G326" s="7"/>
      <c r="H326" s="7"/>
      <c r="I326" s="7"/>
      <c r="J326" s="5"/>
      <c r="K326" s="5"/>
      <c r="L326" s="5"/>
      <c r="M326" s="5"/>
      <c r="N326" s="5">
        <v>1</v>
      </c>
      <c r="O326" s="5"/>
      <c r="P326" s="5"/>
      <c r="Q326" s="5"/>
      <c r="R326" s="5"/>
      <c r="S326" s="5">
        <f>SUM(bron[[#This Row],[Januari]:[December]])</f>
        <v>1</v>
      </c>
      <c r="T326" s="9">
        <v>45523</v>
      </c>
      <c r="U326" s="8" t="s">
        <v>763</v>
      </c>
      <c r="V326" s="8">
        <v>1</v>
      </c>
      <c r="W326" s="8"/>
      <c r="X326" t="s">
        <v>3</v>
      </c>
      <c r="Y326" t="s">
        <v>8</v>
      </c>
      <c r="Z326"/>
      <c r="AA326" t="s">
        <v>3612</v>
      </c>
      <c r="AB326">
        <f>COUNTIF(B:B,bron[[#This Row],[volledige naam]])</f>
        <v>58</v>
      </c>
    </row>
    <row r="327" spans="1:28" x14ac:dyDescent="0.25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J327" s="5"/>
      <c r="K327" s="5"/>
      <c r="L327" s="5"/>
      <c r="M327" s="5"/>
      <c r="N327" s="5">
        <v>1</v>
      </c>
      <c r="O327" s="5"/>
      <c r="P327" s="5"/>
      <c r="Q327" s="5"/>
      <c r="R327" s="5"/>
      <c r="S327" s="5">
        <f>SUM(bron[[#This Row],[Januari]:[December]])</f>
        <v>1</v>
      </c>
      <c r="T327" s="9">
        <v>45524</v>
      </c>
      <c r="U327" s="8" t="s">
        <v>764</v>
      </c>
      <c r="V327" s="8"/>
      <c r="W327" s="8">
        <v>1</v>
      </c>
      <c r="X327" t="s">
        <v>4</v>
      </c>
      <c r="Y327" t="s">
        <v>219</v>
      </c>
      <c r="Z327"/>
      <c r="AA327" t="s">
        <v>3612</v>
      </c>
      <c r="AB327">
        <f>COUNTIF(B:B,bron[[#This Row],[volledige naam]])</f>
        <v>10</v>
      </c>
    </row>
    <row r="328" spans="1:28" x14ac:dyDescent="0.25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J328" s="5"/>
      <c r="K328" s="5"/>
      <c r="L328" s="5"/>
      <c r="M328" s="5"/>
      <c r="N328" s="5">
        <v>1</v>
      </c>
      <c r="O328" s="5"/>
      <c r="P328" s="5"/>
      <c r="Q328" s="5"/>
      <c r="R328" s="5"/>
      <c r="S328" s="5">
        <f>SUM(bron[[#This Row],[Januari]:[December]])</f>
        <v>1</v>
      </c>
      <c r="T328" s="9">
        <v>45525</v>
      </c>
      <c r="U328" s="8" t="s">
        <v>765</v>
      </c>
      <c r="V328" s="8">
        <v>1</v>
      </c>
      <c r="W328" s="8"/>
      <c r="X328" t="s">
        <v>3</v>
      </c>
      <c r="Y328" t="s">
        <v>24</v>
      </c>
      <c r="Z328"/>
      <c r="AA328" t="s">
        <v>3612</v>
      </c>
      <c r="AB328">
        <f>COUNTIF(B:B,bron[[#This Row],[volledige naam]])</f>
        <v>3</v>
      </c>
    </row>
    <row r="329" spans="1:28" x14ac:dyDescent="0.25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J329" s="5"/>
      <c r="K329" s="5"/>
      <c r="L329" s="5"/>
      <c r="M329" s="5"/>
      <c r="N329" s="5">
        <v>1</v>
      </c>
      <c r="O329" s="5"/>
      <c r="P329" s="5"/>
      <c r="Q329" s="5"/>
      <c r="R329" s="5"/>
      <c r="S329" s="5">
        <f>SUM(bron[[#This Row],[Januari]:[December]])</f>
        <v>1</v>
      </c>
      <c r="T329" s="9">
        <v>45526</v>
      </c>
      <c r="U329" s="8" t="s">
        <v>766</v>
      </c>
      <c r="V329" s="8">
        <v>1</v>
      </c>
      <c r="W329" s="8"/>
      <c r="X329" t="s">
        <v>3</v>
      </c>
      <c r="Y329" t="s">
        <v>14</v>
      </c>
      <c r="Z329"/>
      <c r="AA329" t="s">
        <v>3612</v>
      </c>
      <c r="AB329">
        <f>COUNTIF(B:B,bron[[#This Row],[volledige naam]])</f>
        <v>8</v>
      </c>
    </row>
    <row r="330" spans="1:28" x14ac:dyDescent="0.25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J330" s="5"/>
      <c r="K330" s="5"/>
      <c r="L330" s="5"/>
      <c r="M330" s="5"/>
      <c r="N330" s="5">
        <v>1</v>
      </c>
      <c r="O330" s="5"/>
      <c r="P330" s="5"/>
      <c r="Q330" s="5"/>
      <c r="R330" s="5"/>
      <c r="S330" s="5">
        <f>SUM(bron[[#This Row],[Januari]:[December]])</f>
        <v>1</v>
      </c>
      <c r="T330" s="9">
        <v>45528</v>
      </c>
      <c r="U330" s="8" t="s">
        <v>767</v>
      </c>
      <c r="V330" s="8">
        <v>1</v>
      </c>
      <c r="W330" s="8"/>
      <c r="X330" t="s">
        <v>3</v>
      </c>
      <c r="Y330" t="s">
        <v>132</v>
      </c>
      <c r="Z330"/>
      <c r="AA330" t="s">
        <v>3612</v>
      </c>
      <c r="AB330">
        <f>COUNTIF(B:B,bron[[#This Row],[volledige naam]])</f>
        <v>10</v>
      </c>
    </row>
    <row r="331" spans="1:28" x14ac:dyDescent="0.25">
      <c r="A331">
        <v>30389</v>
      </c>
      <c r="B331" t="e">
        <f>_xlfn.CONCAT(bron[[#This Row],[personeelsnr]]," ",bron[[#This Row],[achternaam]]," ",bron[[#This Row],[voornaam]])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  <c r="F331" s="10"/>
      <c r="G331" s="7"/>
      <c r="H331" s="7"/>
      <c r="I331" s="7"/>
      <c r="J331" s="5"/>
      <c r="K331" s="5"/>
      <c r="L331" s="5"/>
      <c r="M331" s="5"/>
      <c r="N331" s="5">
        <v>1</v>
      </c>
      <c r="O331" s="5"/>
      <c r="P331" s="5"/>
      <c r="Q331" s="5"/>
      <c r="R331" s="5"/>
      <c r="S331" s="5">
        <f>SUM(bron[[#This Row],[Januari]:[December]])</f>
        <v>1</v>
      </c>
      <c r="T331" s="9">
        <v>45528</v>
      </c>
      <c r="U331" s="8" t="s">
        <v>768</v>
      </c>
      <c r="V331" s="8"/>
      <c r="W331" s="8">
        <v>1</v>
      </c>
      <c r="X331" t="s">
        <v>4</v>
      </c>
      <c r="Y331" t="s">
        <v>128</v>
      </c>
      <c r="Z331"/>
      <c r="AA331" t="s">
        <v>3612</v>
      </c>
      <c r="AB331">
        <f>COUNTIF(B:B,bron[[#This Row],[volledige naam]])</f>
        <v>24</v>
      </c>
    </row>
    <row r="332" spans="1:28" x14ac:dyDescent="0.25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J332" s="5"/>
      <c r="K332" s="5"/>
      <c r="L332" s="5"/>
      <c r="M332" s="5"/>
      <c r="N332" s="5">
        <v>1</v>
      </c>
      <c r="O332" s="5"/>
      <c r="P332" s="5"/>
      <c r="Q332" s="5"/>
      <c r="R332" s="5"/>
      <c r="S332" s="5">
        <f>SUM(bron[[#This Row],[Januari]:[December]])</f>
        <v>1</v>
      </c>
      <c r="T332" s="9">
        <v>45530</v>
      </c>
      <c r="U332" s="8" t="s">
        <v>769</v>
      </c>
      <c r="V332" s="8">
        <v>1</v>
      </c>
      <c r="W332" s="8"/>
      <c r="X332" t="s">
        <v>3</v>
      </c>
      <c r="Y332" t="s">
        <v>256</v>
      </c>
      <c r="Z332"/>
      <c r="AA332" t="s">
        <v>3612</v>
      </c>
      <c r="AB332">
        <f>COUNTIF(B:B,bron[[#This Row],[volledige naam]])</f>
        <v>2</v>
      </c>
    </row>
    <row r="333" spans="1:28" x14ac:dyDescent="0.25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370</v>
      </c>
      <c r="D333" t="s">
        <v>370</v>
      </c>
      <c r="E333" t="s">
        <v>62</v>
      </c>
      <c r="F333" s="10"/>
      <c r="G333" s="7"/>
      <c r="H333" s="7"/>
      <c r="I333" s="7"/>
      <c r="J333" s="5"/>
      <c r="K333" s="5"/>
      <c r="L333" s="5"/>
      <c r="M333" s="5"/>
      <c r="N333" s="5">
        <v>1</v>
      </c>
      <c r="O333" s="5"/>
      <c r="P333" s="5"/>
      <c r="Q333" s="5"/>
      <c r="R333" s="5"/>
      <c r="S333" s="5">
        <f>SUM(bron[[#This Row],[Januari]:[December]])</f>
        <v>1</v>
      </c>
      <c r="T333" s="9">
        <v>45530</v>
      </c>
      <c r="U333" s="8" t="s">
        <v>770</v>
      </c>
      <c r="V333" s="8"/>
      <c r="W333" s="8">
        <v>1</v>
      </c>
      <c r="X333" t="s">
        <v>4</v>
      </c>
      <c r="Y333" t="s">
        <v>20</v>
      </c>
      <c r="Z333"/>
      <c r="AA333" t="s">
        <v>3612</v>
      </c>
      <c r="AB333">
        <f>COUNTIF(B:B,bron[[#This Row],[volledige naam]])</f>
        <v>58</v>
      </c>
    </row>
    <row r="334" spans="1:28" x14ac:dyDescent="0.25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J334" s="5"/>
      <c r="K334" s="5"/>
      <c r="L334" s="5"/>
      <c r="M334" s="5"/>
      <c r="N334" s="5">
        <v>1</v>
      </c>
      <c r="O334" s="5"/>
      <c r="P334" s="5"/>
      <c r="Q334" s="5"/>
      <c r="R334" s="5"/>
      <c r="S334" s="5">
        <f>SUM(bron[[#This Row],[Januari]:[December]])</f>
        <v>1</v>
      </c>
      <c r="T334" s="9">
        <v>45533</v>
      </c>
      <c r="U334" s="8" t="s">
        <v>771</v>
      </c>
      <c r="V334" s="8">
        <v>1</v>
      </c>
      <c r="W334" s="8"/>
      <c r="X334" t="s">
        <v>3</v>
      </c>
      <c r="Y334" t="s">
        <v>223</v>
      </c>
      <c r="Z334"/>
      <c r="AA334" t="s">
        <v>3612</v>
      </c>
      <c r="AB334">
        <f>COUNTIF(B:B,bron[[#This Row],[volledige naam]])</f>
        <v>6</v>
      </c>
    </row>
    <row r="335" spans="1:28" x14ac:dyDescent="0.25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370</v>
      </c>
      <c r="D335" t="s">
        <v>370</v>
      </c>
      <c r="E335" t="s">
        <v>62</v>
      </c>
      <c r="F335" s="10"/>
      <c r="G335" s="7"/>
      <c r="H335" s="7"/>
      <c r="I335" s="7"/>
      <c r="J335" s="5"/>
      <c r="K335" s="5"/>
      <c r="L335" s="5"/>
      <c r="M335" s="5"/>
      <c r="N335" s="5">
        <v>1</v>
      </c>
      <c r="O335" s="5"/>
      <c r="P335" s="5"/>
      <c r="Q335" s="5"/>
      <c r="R335" s="5"/>
      <c r="S335" s="5">
        <f>SUM(bron[[#This Row],[Januari]:[December]])</f>
        <v>1</v>
      </c>
      <c r="T335" s="9">
        <v>45534</v>
      </c>
      <c r="U335" s="8" t="s">
        <v>772</v>
      </c>
      <c r="V335" s="8">
        <v>1</v>
      </c>
      <c r="W335" s="8"/>
      <c r="X335" t="s">
        <v>3</v>
      </c>
      <c r="Y335" t="s">
        <v>79</v>
      </c>
      <c r="Z335"/>
      <c r="AA335" t="s">
        <v>3612</v>
      </c>
      <c r="AB335">
        <f>COUNTIF(B:B,bron[[#This Row],[volledige naam]])</f>
        <v>58</v>
      </c>
    </row>
    <row r="336" spans="1:28" x14ac:dyDescent="0.25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J336" s="5"/>
      <c r="K336" s="5"/>
      <c r="L336" s="5"/>
      <c r="M336" s="5"/>
      <c r="N336" s="5">
        <v>1</v>
      </c>
      <c r="O336" s="5"/>
      <c r="P336" s="5"/>
      <c r="Q336" s="5"/>
      <c r="R336" s="5"/>
      <c r="S336" s="5">
        <f>SUM(bron[[#This Row],[Januari]:[December]])</f>
        <v>1</v>
      </c>
      <c r="T336" s="9">
        <v>45535</v>
      </c>
      <c r="U336" s="8" t="s">
        <v>773</v>
      </c>
      <c r="V336" s="8">
        <v>1</v>
      </c>
      <c r="W336" s="8"/>
      <c r="X336" t="s">
        <v>3</v>
      </c>
      <c r="Y336" t="s">
        <v>406</v>
      </c>
      <c r="Z336"/>
      <c r="AA336" t="s">
        <v>3612</v>
      </c>
      <c r="AB336">
        <f>COUNTIF(B:B,bron[[#This Row],[volledige naam]])</f>
        <v>2</v>
      </c>
    </row>
    <row r="337" spans="1:28" x14ac:dyDescent="0.25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J337" s="5"/>
      <c r="K337" s="5"/>
      <c r="L337" s="5"/>
      <c r="M337" s="5"/>
      <c r="N337" s="5">
        <v>1</v>
      </c>
      <c r="O337" s="5"/>
      <c r="P337" s="5"/>
      <c r="Q337" s="5"/>
      <c r="R337" s="5"/>
      <c r="S337" s="5">
        <f>SUM(bron[[#This Row],[Januari]:[December]])</f>
        <v>1</v>
      </c>
      <c r="T337" s="9">
        <v>45535</v>
      </c>
      <c r="U337" s="8" t="s">
        <v>774</v>
      </c>
      <c r="V337" s="8">
        <v>1</v>
      </c>
      <c r="W337" s="8"/>
      <c r="X337" t="s">
        <v>3</v>
      </c>
      <c r="Y337" t="s">
        <v>6</v>
      </c>
      <c r="Z337"/>
      <c r="AA337" t="s">
        <v>3612</v>
      </c>
      <c r="AB337">
        <f>COUNTIF(B:B,bron[[#This Row],[volledige naam]])</f>
        <v>5</v>
      </c>
    </row>
    <row r="338" spans="1:28" x14ac:dyDescent="0.25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J338" s="5"/>
      <c r="K338" s="5"/>
      <c r="L338" s="5"/>
      <c r="M338" s="5"/>
      <c r="N338" s="5"/>
      <c r="O338" s="5"/>
      <c r="P338" s="5"/>
      <c r="Q338" s="5"/>
      <c r="R338" s="5"/>
      <c r="S338" s="5">
        <f>SUM(bron[[#This Row],[Januari]:[December]])</f>
        <v>0</v>
      </c>
      <c r="T338" s="9">
        <v>45536</v>
      </c>
      <c r="U338" s="8" t="s">
        <v>775</v>
      </c>
      <c r="V338" s="8">
        <v>1</v>
      </c>
      <c r="W338" s="8"/>
      <c r="X338" t="s">
        <v>3</v>
      </c>
      <c r="Y338" t="s">
        <v>592</v>
      </c>
      <c r="Z338"/>
      <c r="AA338" t="s">
        <v>3612</v>
      </c>
      <c r="AB338">
        <f>COUNTIF(B:B,bron[[#This Row],[volledige naam]])</f>
        <v>6</v>
      </c>
    </row>
    <row r="339" spans="1:28" x14ac:dyDescent="0.25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J339" s="5"/>
      <c r="K339" s="5"/>
      <c r="L339" s="5"/>
      <c r="M339" s="5"/>
      <c r="N339" s="5"/>
      <c r="O339" s="5">
        <v>1</v>
      </c>
      <c r="P339" s="5"/>
      <c r="Q339" s="5"/>
      <c r="R339" s="5"/>
      <c r="S339" s="5">
        <f>SUM(bron[[#This Row],[Januari]:[December]])</f>
        <v>1</v>
      </c>
      <c r="T339" s="9">
        <v>45536</v>
      </c>
      <c r="U339" s="8" t="s">
        <v>776</v>
      </c>
      <c r="V339" s="8"/>
      <c r="W339" s="8">
        <v>1</v>
      </c>
      <c r="X339" t="s">
        <v>4</v>
      </c>
      <c r="Y339" t="s">
        <v>777</v>
      </c>
      <c r="Z339"/>
      <c r="AA339" t="s">
        <v>3612</v>
      </c>
      <c r="AB339">
        <f>COUNTIF(B:B,bron[[#This Row],[volledige naam]])</f>
        <v>10</v>
      </c>
    </row>
    <row r="340" spans="1:28" x14ac:dyDescent="0.25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J340" s="5"/>
      <c r="K340" s="5"/>
      <c r="L340" s="5"/>
      <c r="M340" s="5"/>
      <c r="N340" s="5"/>
      <c r="O340" s="5">
        <v>1</v>
      </c>
      <c r="P340" s="5"/>
      <c r="Q340" s="5"/>
      <c r="R340" s="5"/>
      <c r="S340" s="5">
        <f>SUM(bron[[#This Row],[Januari]:[December]])</f>
        <v>1</v>
      </c>
      <c r="T340" s="9">
        <v>45538</v>
      </c>
      <c r="U340" s="8" t="s">
        <v>778</v>
      </c>
      <c r="V340" s="8">
        <v>1</v>
      </c>
      <c r="W340" s="8"/>
      <c r="X340" t="s">
        <v>3</v>
      </c>
      <c r="Y340" t="s">
        <v>779</v>
      </c>
      <c r="Z340"/>
      <c r="AA340" t="s">
        <v>3612</v>
      </c>
      <c r="AB340">
        <f>COUNTIF(B:B,bron[[#This Row],[volledige naam]])</f>
        <v>3</v>
      </c>
    </row>
    <row r="341" spans="1:28" x14ac:dyDescent="0.25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J341" s="5"/>
      <c r="K341" s="5"/>
      <c r="L341" s="5"/>
      <c r="M341" s="5"/>
      <c r="N341" s="5"/>
      <c r="O341" s="5">
        <v>1</v>
      </c>
      <c r="P341" s="5"/>
      <c r="Q341" s="5"/>
      <c r="R341" s="5"/>
      <c r="S341" s="5">
        <f>SUM(bron[[#This Row],[Januari]:[December]])</f>
        <v>1</v>
      </c>
      <c r="T341" s="9">
        <v>45538</v>
      </c>
      <c r="U341" s="8" t="s">
        <v>780</v>
      </c>
      <c r="V341" s="8">
        <v>1</v>
      </c>
      <c r="W341" s="8"/>
      <c r="X341" t="s">
        <v>3</v>
      </c>
      <c r="Y341" t="s">
        <v>6</v>
      </c>
      <c r="Z341"/>
      <c r="AA341" t="s">
        <v>3612</v>
      </c>
      <c r="AB341">
        <f>COUNTIF(B:B,bron[[#This Row],[volledige naam]])</f>
        <v>4</v>
      </c>
    </row>
    <row r="342" spans="1:28" x14ac:dyDescent="0.25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J342" s="5"/>
      <c r="K342" s="5"/>
      <c r="L342" s="5"/>
      <c r="M342" s="5"/>
      <c r="N342" s="5"/>
      <c r="O342" s="5">
        <v>1</v>
      </c>
      <c r="P342" s="5"/>
      <c r="Q342" s="5"/>
      <c r="R342" s="5"/>
      <c r="S342" s="5">
        <f>SUM(bron[[#This Row],[Januari]:[December]])</f>
        <v>1</v>
      </c>
      <c r="T342" s="9">
        <v>45538</v>
      </c>
      <c r="U342" s="8" t="s">
        <v>781</v>
      </c>
      <c r="V342" s="8">
        <v>1</v>
      </c>
      <c r="W342" s="8"/>
      <c r="X342" t="s">
        <v>3</v>
      </c>
      <c r="Y342" t="s">
        <v>782</v>
      </c>
      <c r="Z342"/>
      <c r="AA342" t="s">
        <v>3612</v>
      </c>
      <c r="AB342">
        <f>COUNTIF(B:B,bron[[#This Row],[volledige naam]])</f>
        <v>3</v>
      </c>
    </row>
    <row r="343" spans="1:28" x14ac:dyDescent="0.25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J343" s="5"/>
      <c r="K343" s="5"/>
      <c r="L343" s="5"/>
      <c r="M343" s="5"/>
      <c r="N343" s="5"/>
      <c r="O343" s="5">
        <v>1</v>
      </c>
      <c r="P343" s="5"/>
      <c r="Q343" s="5"/>
      <c r="R343" s="5"/>
      <c r="S343" s="5">
        <f>SUM(bron[[#This Row],[Januari]:[December]])</f>
        <v>1</v>
      </c>
      <c r="T343" s="9">
        <v>45538</v>
      </c>
      <c r="U343" s="8" t="s">
        <v>783</v>
      </c>
      <c r="V343" s="8">
        <v>1</v>
      </c>
      <c r="W343" s="8"/>
      <c r="X343" t="s">
        <v>3</v>
      </c>
      <c r="Y343" t="s">
        <v>6</v>
      </c>
      <c r="Z343"/>
      <c r="AA343" t="s">
        <v>3612</v>
      </c>
      <c r="AB343">
        <f>COUNTIF(B:B,bron[[#This Row],[volledige naam]])</f>
        <v>1</v>
      </c>
    </row>
    <row r="344" spans="1:28" x14ac:dyDescent="0.25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J344" s="5"/>
      <c r="K344" s="5"/>
      <c r="L344" s="5"/>
      <c r="M344" s="5"/>
      <c r="N344" s="5"/>
      <c r="O344" s="5">
        <v>1</v>
      </c>
      <c r="P344" s="5"/>
      <c r="Q344" s="5"/>
      <c r="R344" s="5"/>
      <c r="S344" s="5">
        <f>SUM(bron[[#This Row],[Januari]:[December]])</f>
        <v>1</v>
      </c>
      <c r="T344" s="9">
        <v>45538</v>
      </c>
      <c r="U344" s="8" t="s">
        <v>784</v>
      </c>
      <c r="V344" s="8">
        <v>1</v>
      </c>
      <c r="W344" s="8"/>
      <c r="X344" t="s">
        <v>3</v>
      </c>
      <c r="Y344" t="s">
        <v>785</v>
      </c>
      <c r="Z344"/>
      <c r="AA344" t="s">
        <v>3612</v>
      </c>
      <c r="AB344">
        <f>COUNTIF(B:B,bron[[#This Row],[volledige naam]])</f>
        <v>5</v>
      </c>
    </row>
    <row r="345" spans="1:28" x14ac:dyDescent="0.25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J345" s="5"/>
      <c r="K345" s="5"/>
      <c r="L345" s="5"/>
      <c r="M345" s="5"/>
      <c r="N345" s="5"/>
      <c r="O345" s="5">
        <v>1</v>
      </c>
      <c r="P345" s="5"/>
      <c r="Q345" s="5"/>
      <c r="R345" s="5"/>
      <c r="S345" s="5">
        <f>SUM(bron[[#This Row],[Januari]:[December]])</f>
        <v>1</v>
      </c>
      <c r="T345" s="9">
        <v>45538</v>
      </c>
      <c r="U345" s="8" t="s">
        <v>786</v>
      </c>
      <c r="V345" s="8">
        <v>1</v>
      </c>
      <c r="W345" s="8"/>
      <c r="X345" t="s">
        <v>3</v>
      </c>
      <c r="Y345" t="s">
        <v>787</v>
      </c>
      <c r="Z345"/>
      <c r="AA345" t="s">
        <v>3612</v>
      </c>
      <c r="AB345">
        <f>COUNTIF(B:B,bron[[#This Row],[volledige naam]])</f>
        <v>6</v>
      </c>
    </row>
    <row r="346" spans="1:28" x14ac:dyDescent="0.25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370</v>
      </c>
      <c r="D346" t="s">
        <v>370</v>
      </c>
      <c r="E346" t="s">
        <v>62</v>
      </c>
      <c r="F346" s="10"/>
      <c r="G346" s="7"/>
      <c r="H346" s="7"/>
      <c r="I346" s="7"/>
      <c r="J346" s="5"/>
      <c r="K346" s="5"/>
      <c r="L346" s="5"/>
      <c r="M346" s="5"/>
      <c r="N346" s="5"/>
      <c r="O346" s="5">
        <v>1</v>
      </c>
      <c r="P346" s="5"/>
      <c r="Q346" s="5"/>
      <c r="R346" s="5"/>
      <c r="S346" s="5">
        <f>SUM(bron[[#This Row],[Januari]:[December]])</f>
        <v>1</v>
      </c>
      <c r="T346" s="9">
        <v>45538</v>
      </c>
      <c r="U346" s="8" t="s">
        <v>788</v>
      </c>
      <c r="V346" s="8">
        <v>1</v>
      </c>
      <c r="W346" s="8"/>
      <c r="X346" t="s">
        <v>3</v>
      </c>
      <c r="Y346" t="s">
        <v>6</v>
      </c>
      <c r="Z346"/>
      <c r="AA346" t="s">
        <v>3612</v>
      </c>
      <c r="AB346">
        <f>COUNTIF(B:B,bron[[#This Row],[volledige naam]])</f>
        <v>58</v>
      </c>
    </row>
    <row r="347" spans="1:28" x14ac:dyDescent="0.25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J347" s="5"/>
      <c r="K347" s="5"/>
      <c r="L347" s="5"/>
      <c r="M347" s="5"/>
      <c r="N347" s="5"/>
      <c r="O347" s="5">
        <v>1</v>
      </c>
      <c r="P347" s="5"/>
      <c r="Q347" s="5"/>
      <c r="R347" s="5"/>
      <c r="S347" s="5">
        <f>SUM(bron[[#This Row],[Januari]:[December]])</f>
        <v>1</v>
      </c>
      <c r="T347" s="9">
        <v>45539</v>
      </c>
      <c r="U347" s="8" t="s">
        <v>789</v>
      </c>
      <c r="V347" s="8">
        <v>1</v>
      </c>
      <c r="W347" s="8"/>
      <c r="X347" t="s">
        <v>3</v>
      </c>
      <c r="Y347" t="s">
        <v>64</v>
      </c>
      <c r="Z347"/>
      <c r="AA347" t="s">
        <v>3612</v>
      </c>
      <c r="AB347">
        <f>COUNTIF(B:B,bron[[#This Row],[volledige naam]])</f>
        <v>6</v>
      </c>
    </row>
    <row r="348" spans="1:28" x14ac:dyDescent="0.25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J348" s="5"/>
      <c r="K348" s="5"/>
      <c r="L348" s="5"/>
      <c r="M348" s="5"/>
      <c r="N348" s="5"/>
      <c r="O348" s="5">
        <v>1</v>
      </c>
      <c r="P348" s="5"/>
      <c r="Q348" s="5"/>
      <c r="R348" s="5"/>
      <c r="S348" s="5">
        <f>SUM(bron[[#This Row],[Januari]:[December]])</f>
        <v>1</v>
      </c>
      <c r="T348" s="9">
        <v>45540</v>
      </c>
      <c r="U348" s="8" t="s">
        <v>790</v>
      </c>
      <c r="V348" s="8">
        <v>1</v>
      </c>
      <c r="W348" s="8"/>
      <c r="X348" t="s">
        <v>3</v>
      </c>
      <c r="Y348" t="s">
        <v>81</v>
      </c>
      <c r="Z348"/>
      <c r="AA348" t="s">
        <v>3612</v>
      </c>
      <c r="AB348">
        <f>COUNTIF(B:B,bron[[#This Row],[volledige naam]])</f>
        <v>3</v>
      </c>
    </row>
    <row r="349" spans="1:28" x14ac:dyDescent="0.25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J349" s="5"/>
      <c r="K349" s="5"/>
      <c r="L349" s="5"/>
      <c r="M349" s="5"/>
      <c r="N349" s="5"/>
      <c r="O349" s="5">
        <v>1</v>
      </c>
      <c r="P349" s="5"/>
      <c r="Q349" s="5"/>
      <c r="R349" s="5"/>
      <c r="S349" s="5">
        <f>SUM(bron[[#This Row],[Januari]:[December]])</f>
        <v>1</v>
      </c>
      <c r="T349" s="9">
        <v>45540</v>
      </c>
      <c r="U349" s="8" t="s">
        <v>791</v>
      </c>
      <c r="V349" s="8">
        <v>1</v>
      </c>
      <c r="W349" s="8"/>
      <c r="X349" t="s">
        <v>3</v>
      </c>
      <c r="Y349" t="s">
        <v>81</v>
      </c>
      <c r="Z349"/>
      <c r="AA349" t="s">
        <v>3612</v>
      </c>
      <c r="AB349">
        <f>COUNTIF(B:B,bron[[#This Row],[volledige naam]])</f>
        <v>1</v>
      </c>
    </row>
    <row r="350" spans="1:28" x14ac:dyDescent="0.25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J350" s="5"/>
      <c r="K350" s="5"/>
      <c r="L350" s="5"/>
      <c r="M350" s="5"/>
      <c r="N350" s="5"/>
      <c r="O350" s="5">
        <v>1</v>
      </c>
      <c r="P350" s="5"/>
      <c r="Q350" s="5"/>
      <c r="R350" s="5"/>
      <c r="S350" s="5">
        <f>SUM(bron[[#This Row],[Januari]:[December]])</f>
        <v>1</v>
      </c>
      <c r="T350" s="9">
        <v>45540</v>
      </c>
      <c r="U350" s="8" t="s">
        <v>792</v>
      </c>
      <c r="V350" s="8">
        <v>1</v>
      </c>
      <c r="W350" s="8"/>
      <c r="X350" t="s">
        <v>3</v>
      </c>
      <c r="Y350" t="s">
        <v>49</v>
      </c>
      <c r="Z350"/>
      <c r="AA350" t="s">
        <v>3612</v>
      </c>
      <c r="AB350">
        <f>COUNTIF(B:B,bron[[#This Row],[volledige naam]])</f>
        <v>8</v>
      </c>
    </row>
    <row r="351" spans="1:28" x14ac:dyDescent="0.25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J351" s="5"/>
      <c r="K351" s="5"/>
      <c r="L351" s="5"/>
      <c r="M351" s="5"/>
      <c r="N351" s="5"/>
      <c r="O351" s="5">
        <v>1</v>
      </c>
      <c r="P351" s="5"/>
      <c r="Q351" s="5"/>
      <c r="R351" s="5"/>
      <c r="S351" s="5">
        <f>SUM(bron[[#This Row],[Januari]:[December]])</f>
        <v>1</v>
      </c>
      <c r="T351" s="9">
        <v>45541</v>
      </c>
      <c r="U351" s="8" t="s">
        <v>793</v>
      </c>
      <c r="V351" s="8">
        <v>1</v>
      </c>
      <c r="W351" s="8"/>
      <c r="X351" t="s">
        <v>3</v>
      </c>
      <c r="Y351" t="s">
        <v>184</v>
      </c>
      <c r="Z351"/>
      <c r="AA351" t="s">
        <v>3612</v>
      </c>
      <c r="AB351">
        <f>COUNTIF(B:B,bron[[#This Row],[volledige naam]])</f>
        <v>9</v>
      </c>
    </row>
    <row r="352" spans="1:28" x14ac:dyDescent="0.25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J352" s="5"/>
      <c r="K352" s="5"/>
      <c r="L352" s="5"/>
      <c r="M352" s="5"/>
      <c r="N352" s="5"/>
      <c r="O352" s="5">
        <v>1</v>
      </c>
      <c r="P352" s="5"/>
      <c r="Q352" s="5"/>
      <c r="R352" s="5"/>
      <c r="S352" s="5">
        <f>SUM(bron[[#This Row],[Januari]:[December]])</f>
        <v>1</v>
      </c>
      <c r="T352" s="9">
        <v>45541</v>
      </c>
      <c r="U352" s="8" t="s">
        <v>794</v>
      </c>
      <c r="V352" s="8">
        <v>1</v>
      </c>
      <c r="W352" s="8"/>
      <c r="X352" t="s">
        <v>3</v>
      </c>
      <c r="Y352" t="s">
        <v>108</v>
      </c>
      <c r="Z352"/>
      <c r="AA352" t="s">
        <v>3612</v>
      </c>
      <c r="AB352">
        <f>COUNTIF(B:B,bron[[#This Row],[volledige naam]])</f>
        <v>3</v>
      </c>
    </row>
    <row r="353" spans="1:28" x14ac:dyDescent="0.25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J353" s="5"/>
      <c r="K353" s="5"/>
      <c r="L353" s="5"/>
      <c r="M353" s="5"/>
      <c r="N353" s="5"/>
      <c r="O353" s="5">
        <v>1</v>
      </c>
      <c r="P353" s="5"/>
      <c r="Q353" s="5"/>
      <c r="R353" s="5"/>
      <c r="S353" s="5">
        <f>SUM(bron[[#This Row],[Januari]:[December]])</f>
        <v>1</v>
      </c>
      <c r="T353" s="9">
        <v>45541</v>
      </c>
      <c r="U353" s="8" t="s">
        <v>795</v>
      </c>
      <c r="V353" s="8"/>
      <c r="W353" s="8">
        <v>1</v>
      </c>
      <c r="X353" t="s">
        <v>4</v>
      </c>
      <c r="Y353" t="s">
        <v>796</v>
      </c>
      <c r="Z353"/>
      <c r="AA353" t="s">
        <v>3612</v>
      </c>
      <c r="AB353">
        <f>COUNTIF(B:B,bron[[#This Row],[volledige naam]])</f>
        <v>3</v>
      </c>
    </row>
    <row r="354" spans="1:28" x14ac:dyDescent="0.25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J354" s="5"/>
      <c r="K354" s="5"/>
      <c r="L354" s="5"/>
      <c r="M354" s="5"/>
      <c r="N354" s="5"/>
      <c r="O354" s="5">
        <v>1</v>
      </c>
      <c r="P354" s="5"/>
      <c r="Q354" s="5"/>
      <c r="R354" s="5"/>
      <c r="S354" s="5">
        <f>SUM(bron[[#This Row],[Januari]:[December]])</f>
        <v>1</v>
      </c>
      <c r="T354" s="9">
        <v>45541</v>
      </c>
      <c r="U354" s="8" t="s">
        <v>797</v>
      </c>
      <c r="V354" s="8">
        <v>1</v>
      </c>
      <c r="W354" s="8"/>
      <c r="X354" t="s">
        <v>3</v>
      </c>
      <c r="Y354" t="s">
        <v>6</v>
      </c>
      <c r="Z354"/>
      <c r="AA354" t="s">
        <v>3612</v>
      </c>
      <c r="AB354">
        <f>COUNTIF(B:B,bron[[#This Row],[volledige naam]])</f>
        <v>4</v>
      </c>
    </row>
    <row r="355" spans="1:28" x14ac:dyDescent="0.25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370</v>
      </c>
      <c r="D355" t="s">
        <v>370</v>
      </c>
      <c r="E355" t="s">
        <v>62</v>
      </c>
      <c r="F355" s="10"/>
      <c r="G355" s="7"/>
      <c r="H355" s="7"/>
      <c r="I355" s="7"/>
      <c r="J355" s="5"/>
      <c r="K355" s="5"/>
      <c r="L355" s="5"/>
      <c r="M355" s="5"/>
      <c r="N355" s="5"/>
      <c r="O355" s="5">
        <v>1</v>
      </c>
      <c r="P355" s="5"/>
      <c r="Q355" s="5"/>
      <c r="R355" s="5"/>
      <c r="S355" s="5">
        <f>SUM(bron[[#This Row],[Januari]:[December]])</f>
        <v>1</v>
      </c>
      <c r="T355" s="9">
        <v>45542</v>
      </c>
      <c r="U355" s="8" t="s">
        <v>798</v>
      </c>
      <c r="V355" s="8">
        <v>1</v>
      </c>
      <c r="W355" s="8"/>
      <c r="X355" t="s">
        <v>3</v>
      </c>
      <c r="Y355" t="s">
        <v>498</v>
      </c>
      <c r="Z355"/>
      <c r="AA355" t="s">
        <v>3612</v>
      </c>
      <c r="AB355">
        <f>COUNTIF(B:B,bron[[#This Row],[volledige naam]])</f>
        <v>58</v>
      </c>
    </row>
    <row r="356" spans="1:28" x14ac:dyDescent="0.25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J356" s="5"/>
      <c r="K356" s="5"/>
      <c r="L356" s="5"/>
      <c r="M356" s="5"/>
      <c r="N356" s="5"/>
      <c r="O356" s="5">
        <v>1</v>
      </c>
      <c r="P356" s="5"/>
      <c r="Q356" s="5"/>
      <c r="R356" s="5"/>
      <c r="S356" s="5">
        <f>SUM(bron[[#This Row],[Januari]:[December]])</f>
        <v>1</v>
      </c>
      <c r="T356" s="9">
        <v>45543</v>
      </c>
      <c r="U356" s="8" t="s">
        <v>799</v>
      </c>
      <c r="V356" s="8">
        <v>1</v>
      </c>
      <c r="W356" s="8"/>
      <c r="X356" t="s">
        <v>3</v>
      </c>
      <c r="Y356" t="s">
        <v>158</v>
      </c>
      <c r="Z356"/>
      <c r="AA356" t="s">
        <v>3612</v>
      </c>
      <c r="AB356">
        <f>COUNTIF(B:B,bron[[#This Row],[volledige naam]])</f>
        <v>4</v>
      </c>
    </row>
    <row r="357" spans="1:28" x14ac:dyDescent="0.25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J357" s="5"/>
      <c r="K357" s="5"/>
      <c r="L357" s="5"/>
      <c r="M357" s="5"/>
      <c r="N357" s="5"/>
      <c r="O357" s="5">
        <v>1</v>
      </c>
      <c r="P357" s="5"/>
      <c r="Q357" s="5"/>
      <c r="R357" s="5"/>
      <c r="S357" s="5">
        <f>SUM(bron[[#This Row],[Januari]:[December]])</f>
        <v>1</v>
      </c>
      <c r="T357" s="9">
        <v>45543</v>
      </c>
      <c r="U357" s="8" t="s">
        <v>800</v>
      </c>
      <c r="V357" s="8">
        <v>1</v>
      </c>
      <c r="W357" s="8"/>
      <c r="X357" t="s">
        <v>3</v>
      </c>
      <c r="Y357" t="s">
        <v>2</v>
      </c>
      <c r="Z357"/>
      <c r="AA357" t="s">
        <v>3612</v>
      </c>
      <c r="AB357">
        <f>COUNTIF(B:B,bron[[#This Row],[volledige naam]])</f>
        <v>1</v>
      </c>
    </row>
    <row r="358" spans="1:28" x14ac:dyDescent="0.25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J358" s="5"/>
      <c r="K358" s="5"/>
      <c r="L358" s="5"/>
      <c r="M358" s="5"/>
      <c r="N358" s="5"/>
      <c r="O358" s="5">
        <v>1</v>
      </c>
      <c r="P358" s="5"/>
      <c r="Q358" s="5"/>
      <c r="R358" s="5"/>
      <c r="S358" s="5">
        <f>SUM(bron[[#This Row],[Januari]:[December]])</f>
        <v>1</v>
      </c>
      <c r="T358" s="9">
        <v>45544</v>
      </c>
      <c r="U358" s="8" t="s">
        <v>801</v>
      </c>
      <c r="V358" s="8">
        <v>1</v>
      </c>
      <c r="W358" s="8"/>
      <c r="X358" t="s">
        <v>3</v>
      </c>
      <c r="Y358" t="s">
        <v>6</v>
      </c>
      <c r="Z358"/>
      <c r="AA358" t="s">
        <v>3612</v>
      </c>
      <c r="AB358">
        <f>COUNTIF(B:B,bron[[#This Row],[volledige naam]])</f>
        <v>4</v>
      </c>
    </row>
    <row r="359" spans="1:28" x14ac:dyDescent="0.25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J359" s="5"/>
      <c r="K359" s="5"/>
      <c r="L359" s="5"/>
      <c r="M359" s="5"/>
      <c r="N359" s="5"/>
      <c r="O359" s="5">
        <v>1</v>
      </c>
      <c r="P359" s="5"/>
      <c r="Q359" s="5"/>
      <c r="R359" s="5"/>
      <c r="S359" s="5">
        <f>SUM(bron[[#This Row],[Januari]:[December]])</f>
        <v>1</v>
      </c>
      <c r="T359" s="9">
        <v>45545</v>
      </c>
      <c r="U359" s="8" t="s">
        <v>802</v>
      </c>
      <c r="V359" s="8">
        <v>1</v>
      </c>
      <c r="W359" s="8"/>
      <c r="X359" t="s">
        <v>3</v>
      </c>
      <c r="Y359" t="s">
        <v>266</v>
      </c>
      <c r="Z359"/>
      <c r="AA359" t="s">
        <v>3612</v>
      </c>
      <c r="AB359">
        <f>COUNTIF(B:B,bron[[#This Row],[volledige naam]])</f>
        <v>4</v>
      </c>
    </row>
    <row r="360" spans="1:28" x14ac:dyDescent="0.25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J360" s="5"/>
      <c r="K360" s="5"/>
      <c r="L360" s="5"/>
      <c r="M360" s="5"/>
      <c r="N360" s="5"/>
      <c r="O360" s="5">
        <v>1</v>
      </c>
      <c r="P360" s="5"/>
      <c r="Q360" s="5"/>
      <c r="R360" s="5"/>
      <c r="S360" s="5">
        <f>SUM(bron[[#This Row],[Januari]:[December]])</f>
        <v>1</v>
      </c>
      <c r="T360" s="9">
        <v>45545</v>
      </c>
      <c r="U360" s="8" t="s">
        <v>803</v>
      </c>
      <c r="V360" s="8"/>
      <c r="W360" s="8">
        <v>1</v>
      </c>
      <c r="X360" t="s">
        <v>4</v>
      </c>
      <c r="Y360" t="s">
        <v>604</v>
      </c>
      <c r="Z360"/>
      <c r="AA360" t="s">
        <v>3612</v>
      </c>
      <c r="AB360">
        <f>COUNTIF(B:B,bron[[#This Row],[volledige naam]])</f>
        <v>3</v>
      </c>
    </row>
    <row r="361" spans="1:28" x14ac:dyDescent="0.25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J361" s="5"/>
      <c r="K361" s="5"/>
      <c r="L361" s="5"/>
      <c r="M361" s="5"/>
      <c r="N361" s="5"/>
      <c r="O361" s="5">
        <v>1</v>
      </c>
      <c r="P361" s="5"/>
      <c r="Q361" s="5"/>
      <c r="R361" s="5"/>
      <c r="S361" s="5">
        <f>SUM(bron[[#This Row],[Januari]:[December]])</f>
        <v>1</v>
      </c>
      <c r="T361" s="9">
        <v>45545</v>
      </c>
      <c r="U361" s="8" t="s">
        <v>804</v>
      </c>
      <c r="V361" s="8"/>
      <c r="W361" s="8">
        <v>1</v>
      </c>
      <c r="X361" t="s">
        <v>4</v>
      </c>
      <c r="Y361" t="s">
        <v>6</v>
      </c>
      <c r="Z361"/>
      <c r="AA361" t="s">
        <v>3612</v>
      </c>
      <c r="AB361">
        <f>COUNTIF(B:B,bron[[#This Row],[volledige naam]])</f>
        <v>1</v>
      </c>
    </row>
    <row r="362" spans="1:28" x14ac:dyDescent="0.25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J362" s="5"/>
      <c r="K362" s="5"/>
      <c r="L362" s="5"/>
      <c r="M362" s="5"/>
      <c r="N362" s="5"/>
      <c r="O362" s="5">
        <v>1</v>
      </c>
      <c r="P362" s="5"/>
      <c r="Q362" s="5"/>
      <c r="R362" s="5"/>
      <c r="S362" s="5">
        <f>SUM(bron[[#This Row],[Januari]:[December]])</f>
        <v>1</v>
      </c>
      <c r="T362" s="9">
        <v>45546</v>
      </c>
      <c r="U362" s="8" t="s">
        <v>805</v>
      </c>
      <c r="V362" s="8">
        <v>1</v>
      </c>
      <c r="W362" s="8"/>
      <c r="X362" t="s">
        <v>3</v>
      </c>
      <c r="Y362" t="s">
        <v>10</v>
      </c>
      <c r="Z362"/>
      <c r="AA362" t="s">
        <v>3612</v>
      </c>
      <c r="AB362">
        <f>COUNTIF(B:B,bron[[#This Row],[volledige naam]])</f>
        <v>7</v>
      </c>
    </row>
    <row r="363" spans="1:28" x14ac:dyDescent="0.25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J363" s="5"/>
      <c r="K363" s="5"/>
      <c r="L363" s="5"/>
      <c r="M363" s="5"/>
      <c r="N363" s="5"/>
      <c r="O363" s="5">
        <v>1</v>
      </c>
      <c r="P363" s="5"/>
      <c r="Q363" s="5"/>
      <c r="R363" s="5"/>
      <c r="S363" s="5">
        <f>SUM(bron[[#This Row],[Januari]:[December]])</f>
        <v>1</v>
      </c>
      <c r="T363" s="9">
        <v>45548</v>
      </c>
      <c r="U363" s="8" t="s">
        <v>806</v>
      </c>
      <c r="V363" s="8">
        <v>1</v>
      </c>
      <c r="W363" s="8"/>
      <c r="X363" t="s">
        <v>3</v>
      </c>
      <c r="Y363" t="s">
        <v>100</v>
      </c>
      <c r="Z363"/>
      <c r="AA363" t="s">
        <v>3612</v>
      </c>
      <c r="AB363">
        <f>COUNTIF(B:B,bron[[#This Row],[volledige naam]])</f>
        <v>7</v>
      </c>
    </row>
    <row r="364" spans="1:28" x14ac:dyDescent="0.25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J364" s="5"/>
      <c r="K364" s="5"/>
      <c r="L364" s="5"/>
      <c r="M364" s="5"/>
      <c r="N364" s="5"/>
      <c r="O364" s="5">
        <v>1</v>
      </c>
      <c r="P364" s="5"/>
      <c r="Q364" s="5"/>
      <c r="R364" s="5"/>
      <c r="S364" s="5">
        <f>SUM(bron[[#This Row],[Januari]:[December]])</f>
        <v>1</v>
      </c>
      <c r="T364" s="9">
        <v>45549</v>
      </c>
      <c r="U364" s="8" t="s">
        <v>807</v>
      </c>
      <c r="V364" s="8">
        <v>1</v>
      </c>
      <c r="W364" s="8"/>
      <c r="X364" t="s">
        <v>3</v>
      </c>
      <c r="Y364" t="s">
        <v>556</v>
      </c>
      <c r="Z364"/>
      <c r="AA364" t="s">
        <v>3612</v>
      </c>
      <c r="AB364">
        <f>COUNTIF(B:B,bron[[#This Row],[volledige naam]])</f>
        <v>9</v>
      </c>
    </row>
    <row r="365" spans="1:28" x14ac:dyDescent="0.25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J365" s="5"/>
      <c r="K365" s="5"/>
      <c r="L365" s="5"/>
      <c r="M365" s="5"/>
      <c r="N365" s="5"/>
      <c r="O365" s="5">
        <v>1</v>
      </c>
      <c r="P365" s="5"/>
      <c r="Q365" s="5"/>
      <c r="R365" s="5"/>
      <c r="S365" s="5">
        <f>SUM(bron[[#This Row],[Januari]:[December]])</f>
        <v>1</v>
      </c>
      <c r="T365" s="9">
        <v>45549</v>
      </c>
      <c r="U365" s="8" t="s">
        <v>808</v>
      </c>
      <c r="V365" s="8">
        <v>1</v>
      </c>
      <c r="W365" s="8"/>
      <c r="X365" t="s">
        <v>3</v>
      </c>
      <c r="Y365" t="s">
        <v>280</v>
      </c>
      <c r="Z365"/>
      <c r="AA365" t="s">
        <v>3612</v>
      </c>
      <c r="AB365">
        <f>COUNTIF(B:B,bron[[#This Row],[volledige naam]])</f>
        <v>3</v>
      </c>
    </row>
    <row r="366" spans="1:28" x14ac:dyDescent="0.25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J366" s="5"/>
      <c r="K366" s="5"/>
      <c r="L366" s="5"/>
      <c r="M366" s="5"/>
      <c r="N366" s="5"/>
      <c r="O366" s="5">
        <v>1</v>
      </c>
      <c r="P366" s="5"/>
      <c r="Q366" s="5"/>
      <c r="R366" s="5"/>
      <c r="S366" s="5">
        <f>SUM(bron[[#This Row],[Januari]:[December]])</f>
        <v>1</v>
      </c>
      <c r="T366" s="9">
        <v>45549</v>
      </c>
      <c r="U366" s="8" t="s">
        <v>809</v>
      </c>
      <c r="V366" s="8">
        <v>1</v>
      </c>
      <c r="W366" s="8"/>
      <c r="X366" t="s">
        <v>3</v>
      </c>
      <c r="Y366" t="s">
        <v>810</v>
      </c>
      <c r="Z366"/>
      <c r="AA366" t="s">
        <v>3612</v>
      </c>
      <c r="AB366">
        <f>COUNTIF(B:B,bron[[#This Row],[volledige naam]])</f>
        <v>4</v>
      </c>
    </row>
    <row r="367" spans="1:28" x14ac:dyDescent="0.25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J367" s="5"/>
      <c r="K367" s="5"/>
      <c r="L367" s="5"/>
      <c r="M367" s="5"/>
      <c r="N367" s="5"/>
      <c r="O367" s="5">
        <v>1</v>
      </c>
      <c r="P367" s="5"/>
      <c r="Q367" s="5"/>
      <c r="R367" s="5"/>
      <c r="S367" s="5">
        <f>SUM(bron[[#This Row],[Januari]:[December]])</f>
        <v>1</v>
      </c>
      <c r="T367" s="9">
        <v>45550</v>
      </c>
      <c r="U367" s="8" t="s">
        <v>811</v>
      </c>
      <c r="V367" s="8">
        <v>1</v>
      </c>
      <c r="W367" s="8"/>
      <c r="X367" t="s">
        <v>3</v>
      </c>
      <c r="Y367" t="s">
        <v>14</v>
      </c>
      <c r="Z367"/>
      <c r="AA367" t="s">
        <v>3612</v>
      </c>
      <c r="AB367">
        <f>COUNTIF(B:B,bron[[#This Row],[volledige naam]])</f>
        <v>4</v>
      </c>
    </row>
    <row r="368" spans="1:28" x14ac:dyDescent="0.25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J368" s="5"/>
      <c r="K368" s="5"/>
      <c r="L368" s="5"/>
      <c r="M368" s="5"/>
      <c r="N368" s="5"/>
      <c r="O368" s="5">
        <v>1</v>
      </c>
      <c r="P368" s="5"/>
      <c r="Q368" s="5"/>
      <c r="R368" s="5"/>
      <c r="S368" s="5">
        <f>SUM(bron[[#This Row],[Januari]:[December]])</f>
        <v>1</v>
      </c>
      <c r="T368" s="9">
        <v>45551</v>
      </c>
      <c r="U368" s="8" t="s">
        <v>812</v>
      </c>
      <c r="V368" s="8">
        <v>1</v>
      </c>
      <c r="W368" s="8"/>
      <c r="X368" t="s">
        <v>3</v>
      </c>
      <c r="Y368" t="s">
        <v>221</v>
      </c>
      <c r="Z368"/>
      <c r="AA368" t="s">
        <v>3612</v>
      </c>
      <c r="AB368">
        <f>COUNTIF(B:B,bron[[#This Row],[volledige naam]])</f>
        <v>2</v>
      </c>
    </row>
    <row r="369" spans="1:28" x14ac:dyDescent="0.25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J369" s="5"/>
      <c r="K369" s="5"/>
      <c r="L369" s="5"/>
      <c r="M369" s="5"/>
      <c r="N369" s="5"/>
      <c r="O369" s="5">
        <v>1</v>
      </c>
      <c r="P369" s="5"/>
      <c r="Q369" s="5"/>
      <c r="R369" s="5"/>
      <c r="S369" s="5">
        <f>SUM(bron[[#This Row],[Januari]:[December]])</f>
        <v>1</v>
      </c>
      <c r="T369" s="9">
        <v>45551</v>
      </c>
      <c r="U369" s="8" t="s">
        <v>813</v>
      </c>
      <c r="V369" s="8">
        <v>1</v>
      </c>
      <c r="W369" s="8"/>
      <c r="X369" t="s">
        <v>3</v>
      </c>
      <c r="Y369" t="s">
        <v>87</v>
      </c>
      <c r="Z369"/>
      <c r="AA369" t="s">
        <v>3612</v>
      </c>
      <c r="AB369">
        <f>COUNTIF(B:B,bron[[#This Row],[volledige naam]])</f>
        <v>2</v>
      </c>
    </row>
    <row r="370" spans="1:28" x14ac:dyDescent="0.25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370</v>
      </c>
      <c r="D370" t="s">
        <v>370</v>
      </c>
      <c r="E370" t="s">
        <v>62</v>
      </c>
      <c r="F370" s="10"/>
      <c r="G370" s="7"/>
      <c r="H370" s="7"/>
      <c r="I370" s="7"/>
      <c r="J370" s="5"/>
      <c r="K370" s="5"/>
      <c r="L370" s="5"/>
      <c r="M370" s="5"/>
      <c r="N370" s="5"/>
      <c r="O370" s="5">
        <v>1</v>
      </c>
      <c r="P370" s="5"/>
      <c r="Q370" s="5"/>
      <c r="R370" s="5"/>
      <c r="S370" s="5">
        <f>SUM(bron[[#This Row],[Januari]:[December]])</f>
        <v>1</v>
      </c>
      <c r="T370" s="9">
        <v>45551</v>
      </c>
      <c r="U370" s="8" t="s">
        <v>814</v>
      </c>
      <c r="V370" s="8">
        <v>1</v>
      </c>
      <c r="W370" s="8"/>
      <c r="X370" t="s">
        <v>3</v>
      </c>
      <c r="Y370" t="s">
        <v>81</v>
      </c>
      <c r="Z370"/>
      <c r="AA370" t="s">
        <v>3612</v>
      </c>
      <c r="AB370">
        <f>COUNTIF(B:B,bron[[#This Row],[volledige naam]])</f>
        <v>58</v>
      </c>
    </row>
    <row r="371" spans="1:28" x14ac:dyDescent="0.25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J371" s="5"/>
      <c r="K371" s="5"/>
      <c r="L371" s="5"/>
      <c r="M371" s="5"/>
      <c r="N371" s="5"/>
      <c r="O371" s="5">
        <v>1</v>
      </c>
      <c r="P371" s="5"/>
      <c r="Q371" s="5"/>
      <c r="R371" s="5"/>
      <c r="S371" s="5">
        <f>SUM(bron[[#This Row],[Januari]:[December]])</f>
        <v>1</v>
      </c>
      <c r="T371" s="9">
        <v>45551</v>
      </c>
      <c r="U371" s="8" t="s">
        <v>815</v>
      </c>
      <c r="V371" s="8"/>
      <c r="W371" s="8">
        <v>1</v>
      </c>
      <c r="X371" t="s">
        <v>4</v>
      </c>
      <c r="Y371" t="s">
        <v>2</v>
      </c>
      <c r="Z371"/>
      <c r="AA371" t="s">
        <v>3612</v>
      </c>
      <c r="AB371">
        <f>COUNTIF(B:B,bron[[#This Row],[volledige naam]])</f>
        <v>1</v>
      </c>
    </row>
    <row r="372" spans="1:28" x14ac:dyDescent="0.25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J372" s="5"/>
      <c r="K372" s="5"/>
      <c r="L372" s="5"/>
      <c r="M372" s="5"/>
      <c r="N372" s="5"/>
      <c r="O372" s="5">
        <v>1</v>
      </c>
      <c r="P372" s="5"/>
      <c r="Q372" s="5"/>
      <c r="R372" s="5"/>
      <c r="S372" s="5">
        <f>SUM(bron[[#This Row],[Januari]:[December]])</f>
        <v>1</v>
      </c>
      <c r="T372" s="9">
        <v>45552</v>
      </c>
      <c r="U372" s="8" t="s">
        <v>816</v>
      </c>
      <c r="V372" s="8">
        <v>1</v>
      </c>
      <c r="W372" s="8"/>
      <c r="X372" t="s">
        <v>3</v>
      </c>
      <c r="Y372" t="s">
        <v>6</v>
      </c>
      <c r="Z372"/>
      <c r="AA372" t="s">
        <v>3612</v>
      </c>
      <c r="AB372">
        <f>COUNTIF(B:B,bron[[#This Row],[volledige naam]])</f>
        <v>2</v>
      </c>
    </row>
    <row r="373" spans="1:28" x14ac:dyDescent="0.25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370</v>
      </c>
      <c r="D373" t="s">
        <v>370</v>
      </c>
      <c r="E373" t="s">
        <v>62</v>
      </c>
      <c r="F373" s="10"/>
      <c r="G373" s="7"/>
      <c r="H373" s="7"/>
      <c r="I373" s="7"/>
      <c r="J373" s="5"/>
      <c r="K373" s="5"/>
      <c r="L373" s="5"/>
      <c r="M373" s="5"/>
      <c r="N373" s="5"/>
      <c r="O373" s="5">
        <v>1</v>
      </c>
      <c r="P373" s="5"/>
      <c r="Q373" s="5"/>
      <c r="R373" s="5"/>
      <c r="S373" s="5">
        <f>SUM(bron[[#This Row],[Januari]:[December]])</f>
        <v>1</v>
      </c>
      <c r="T373" s="9">
        <v>45554</v>
      </c>
      <c r="U373" s="8" t="s">
        <v>817</v>
      </c>
      <c r="V373" s="8">
        <v>1</v>
      </c>
      <c r="W373" s="8"/>
      <c r="X373" t="s">
        <v>3</v>
      </c>
      <c r="Y373" t="s">
        <v>406</v>
      </c>
      <c r="Z373"/>
      <c r="AA373" t="s">
        <v>3612</v>
      </c>
      <c r="AB373">
        <f>COUNTIF(B:B,bron[[#This Row],[volledige naam]])</f>
        <v>58</v>
      </c>
    </row>
    <row r="374" spans="1:28" x14ac:dyDescent="0.25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J374" s="5"/>
      <c r="K374" s="5"/>
      <c r="L374" s="5"/>
      <c r="M374" s="5"/>
      <c r="N374" s="5"/>
      <c r="O374" s="5">
        <v>1</v>
      </c>
      <c r="P374" s="5"/>
      <c r="Q374" s="5"/>
      <c r="R374" s="5"/>
      <c r="S374" s="5">
        <f>SUM(bron[[#This Row],[Januari]:[December]])</f>
        <v>1</v>
      </c>
      <c r="T374" s="9">
        <v>45556</v>
      </c>
      <c r="U374" s="8" t="s">
        <v>818</v>
      </c>
      <c r="V374" s="8">
        <v>1</v>
      </c>
      <c r="W374" s="8"/>
      <c r="X374" t="s">
        <v>3</v>
      </c>
      <c r="Y374" t="s">
        <v>819</v>
      </c>
      <c r="Z374"/>
      <c r="AA374" t="s">
        <v>3612</v>
      </c>
      <c r="AB374">
        <f>COUNTIF(B:B,bron[[#This Row],[volledige naam]])</f>
        <v>1</v>
      </c>
    </row>
    <row r="375" spans="1:28" x14ac:dyDescent="0.25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J375" s="5"/>
      <c r="K375" s="5"/>
      <c r="L375" s="5"/>
      <c r="M375" s="5"/>
      <c r="N375" s="5"/>
      <c r="O375" s="5">
        <v>1</v>
      </c>
      <c r="P375" s="5"/>
      <c r="Q375" s="5"/>
      <c r="R375" s="5"/>
      <c r="S375" s="5">
        <f>SUM(bron[[#This Row],[Januari]:[December]])</f>
        <v>1</v>
      </c>
      <c r="T375" s="9">
        <v>45557</v>
      </c>
      <c r="U375" s="8" t="s">
        <v>820</v>
      </c>
      <c r="V375" s="8"/>
      <c r="W375" s="8">
        <v>1</v>
      </c>
      <c r="X375" t="s">
        <v>4</v>
      </c>
      <c r="Y375" t="s">
        <v>20</v>
      </c>
      <c r="Z375"/>
      <c r="AA375" t="s">
        <v>3612</v>
      </c>
      <c r="AB375">
        <f>COUNTIF(B:B,bron[[#This Row],[volledige naam]])</f>
        <v>4</v>
      </c>
    </row>
    <row r="376" spans="1:28" x14ac:dyDescent="0.25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J376" s="5"/>
      <c r="K376" s="5"/>
      <c r="L376" s="5"/>
      <c r="M376" s="5"/>
      <c r="N376" s="5"/>
      <c r="O376" s="5"/>
      <c r="P376" s="5"/>
      <c r="Q376" s="5"/>
      <c r="R376" s="5"/>
      <c r="S376" s="5">
        <f>SUM(bron[[#This Row],[Januari]:[December]])</f>
        <v>0</v>
      </c>
      <c r="T376" s="9">
        <v>45558</v>
      </c>
      <c r="U376" s="8" t="s">
        <v>821</v>
      </c>
      <c r="V376" s="8">
        <v>1</v>
      </c>
      <c r="W376" s="8"/>
      <c r="X376" t="s">
        <v>3</v>
      </c>
      <c r="Y376" t="s">
        <v>6</v>
      </c>
      <c r="Z376"/>
      <c r="AA376" t="s">
        <v>3612</v>
      </c>
      <c r="AB376">
        <f>COUNTIF(B:B,bron[[#This Row],[volledige naam]])</f>
        <v>5</v>
      </c>
    </row>
    <row r="377" spans="1:28" x14ac:dyDescent="0.25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J377" s="5"/>
      <c r="K377" s="5"/>
      <c r="L377" s="5"/>
      <c r="M377" s="5"/>
      <c r="N377" s="5"/>
      <c r="O377" s="5">
        <v>1</v>
      </c>
      <c r="P377" s="5"/>
      <c r="Q377" s="5"/>
      <c r="R377" s="5"/>
      <c r="S377" s="5">
        <f>SUM(bron[[#This Row],[Januari]:[December]])</f>
        <v>1</v>
      </c>
      <c r="T377" s="9">
        <v>45558</v>
      </c>
      <c r="U377" s="8" t="s">
        <v>822</v>
      </c>
      <c r="V377" s="8"/>
      <c r="W377" s="8">
        <v>1</v>
      </c>
      <c r="X377" t="s">
        <v>4</v>
      </c>
      <c r="Y377" t="s">
        <v>6</v>
      </c>
      <c r="Z377"/>
      <c r="AA377" t="s">
        <v>3612</v>
      </c>
      <c r="AB377">
        <f>COUNTIF(B:B,bron[[#This Row],[volledige naam]])</f>
        <v>4</v>
      </c>
    </row>
    <row r="378" spans="1:28" x14ac:dyDescent="0.25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J378" s="5"/>
      <c r="K378" s="5"/>
      <c r="L378" s="5"/>
      <c r="M378" s="5"/>
      <c r="N378" s="5"/>
      <c r="O378" s="5">
        <v>1</v>
      </c>
      <c r="P378" s="5"/>
      <c r="Q378" s="5"/>
      <c r="R378" s="5"/>
      <c r="S378" s="5">
        <f>SUM(bron[[#This Row],[Januari]:[December]])</f>
        <v>1</v>
      </c>
      <c r="T378" s="9">
        <v>45559</v>
      </c>
      <c r="U378" s="8" t="s">
        <v>823</v>
      </c>
      <c r="V378" s="8">
        <v>1</v>
      </c>
      <c r="W378" s="8"/>
      <c r="X378" t="s">
        <v>3</v>
      </c>
      <c r="Y378" t="s">
        <v>26</v>
      </c>
      <c r="Z378"/>
      <c r="AA378" t="s">
        <v>3612</v>
      </c>
      <c r="AB378">
        <f>COUNTIF(B:B,bron[[#This Row],[volledige naam]])</f>
        <v>3</v>
      </c>
    </row>
    <row r="379" spans="1:28" x14ac:dyDescent="0.25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J379" s="5"/>
      <c r="K379" s="5"/>
      <c r="L379" s="5"/>
      <c r="M379" s="5"/>
      <c r="N379" s="5"/>
      <c r="O379" s="5">
        <v>1</v>
      </c>
      <c r="P379" s="5"/>
      <c r="Q379" s="5"/>
      <c r="R379" s="5"/>
      <c r="S379" s="5">
        <f>SUM(bron[[#This Row],[Januari]:[December]])</f>
        <v>1</v>
      </c>
      <c r="T379" s="9">
        <v>45559</v>
      </c>
      <c r="U379" s="8" t="s">
        <v>824</v>
      </c>
      <c r="V379" s="8"/>
      <c r="W379" s="8">
        <v>1</v>
      </c>
      <c r="X379" t="s">
        <v>4</v>
      </c>
      <c r="Y379" t="s">
        <v>468</v>
      </c>
      <c r="Z379"/>
      <c r="AA379" t="s">
        <v>3612</v>
      </c>
      <c r="AB379">
        <f>COUNTIF(B:B,bron[[#This Row],[volledige naam]])</f>
        <v>5</v>
      </c>
    </row>
    <row r="380" spans="1:28" x14ac:dyDescent="0.25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J380" s="5"/>
      <c r="K380" s="5"/>
      <c r="L380" s="5"/>
      <c r="M380" s="5"/>
      <c r="N380" s="5"/>
      <c r="O380" s="5">
        <v>1</v>
      </c>
      <c r="P380" s="5"/>
      <c r="Q380" s="5"/>
      <c r="R380" s="5"/>
      <c r="S380" s="5">
        <f>SUM(bron[[#This Row],[Januari]:[December]])</f>
        <v>1</v>
      </c>
      <c r="T380" s="9">
        <v>45560</v>
      </c>
      <c r="U380" s="8" t="s">
        <v>825</v>
      </c>
      <c r="V380" s="8">
        <v>1</v>
      </c>
      <c r="W380" s="8"/>
      <c r="X380" t="s">
        <v>3</v>
      </c>
      <c r="Y380" t="s">
        <v>199</v>
      </c>
      <c r="Z380"/>
      <c r="AA380" t="s">
        <v>3612</v>
      </c>
      <c r="AB380">
        <f>COUNTIF(B:B,bron[[#This Row],[volledige naam]])</f>
        <v>4</v>
      </c>
    </row>
    <row r="381" spans="1:28" x14ac:dyDescent="0.25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J381" s="5"/>
      <c r="K381" s="5"/>
      <c r="L381" s="5"/>
      <c r="M381" s="5"/>
      <c r="N381" s="5"/>
      <c r="O381" s="5">
        <v>1</v>
      </c>
      <c r="P381" s="5"/>
      <c r="Q381" s="5"/>
      <c r="R381" s="5"/>
      <c r="S381" s="5">
        <f>SUM(bron[[#This Row],[Januari]:[December]])</f>
        <v>1</v>
      </c>
      <c r="T381" s="9">
        <v>45560</v>
      </c>
      <c r="U381" s="8" t="s">
        <v>826</v>
      </c>
      <c r="V381" s="8">
        <v>1</v>
      </c>
      <c r="W381" s="8"/>
      <c r="X381" t="s">
        <v>3</v>
      </c>
      <c r="Y381" t="s">
        <v>827</v>
      </c>
      <c r="Z381"/>
      <c r="AA381" t="s">
        <v>3612</v>
      </c>
      <c r="AB381">
        <f>COUNTIF(B:B,bron[[#This Row],[volledige naam]])</f>
        <v>3</v>
      </c>
    </row>
    <row r="382" spans="1:28" x14ac:dyDescent="0.25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370</v>
      </c>
      <c r="D382" t="s">
        <v>370</v>
      </c>
      <c r="E382" t="s">
        <v>62</v>
      </c>
      <c r="F382" s="10"/>
      <c r="G382" s="7"/>
      <c r="H382" s="7"/>
      <c r="I382" s="7"/>
      <c r="J382" s="5"/>
      <c r="K382" s="5"/>
      <c r="L382" s="5"/>
      <c r="M382" s="5"/>
      <c r="N382" s="5"/>
      <c r="O382" s="5">
        <v>1</v>
      </c>
      <c r="P382" s="5"/>
      <c r="Q382" s="5"/>
      <c r="R382" s="5"/>
      <c r="S382" s="5">
        <f>SUM(bron[[#This Row],[Januari]:[December]])</f>
        <v>1</v>
      </c>
      <c r="T382" s="9">
        <v>45561</v>
      </c>
      <c r="U382" s="8" t="s">
        <v>828</v>
      </c>
      <c r="V382" s="8">
        <v>1</v>
      </c>
      <c r="W382" s="8"/>
      <c r="X382" t="s">
        <v>3</v>
      </c>
      <c r="Y382" t="s">
        <v>6</v>
      </c>
      <c r="Z382"/>
      <c r="AA382" t="s">
        <v>3612</v>
      </c>
      <c r="AB382">
        <f>COUNTIF(B:B,bron[[#This Row],[volledige naam]])</f>
        <v>58</v>
      </c>
    </row>
    <row r="383" spans="1:28" x14ac:dyDescent="0.25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J383" s="5"/>
      <c r="K383" s="5"/>
      <c r="L383" s="5"/>
      <c r="M383" s="5"/>
      <c r="N383" s="5"/>
      <c r="O383" s="5">
        <v>1</v>
      </c>
      <c r="P383" s="5"/>
      <c r="Q383" s="5"/>
      <c r="R383" s="5"/>
      <c r="S383" s="5">
        <f>SUM(bron[[#This Row],[Januari]:[December]])</f>
        <v>1</v>
      </c>
      <c r="T383" s="9">
        <v>45562</v>
      </c>
      <c r="U383" s="8" t="s">
        <v>829</v>
      </c>
      <c r="V383" s="8">
        <v>1</v>
      </c>
      <c r="W383" s="8"/>
      <c r="X383" t="s">
        <v>3</v>
      </c>
      <c r="Y383" t="s">
        <v>709</v>
      </c>
      <c r="Z383"/>
      <c r="AA383" t="s">
        <v>3612</v>
      </c>
      <c r="AB383">
        <f>COUNTIF(B:B,bron[[#This Row],[volledige naam]])</f>
        <v>1</v>
      </c>
    </row>
    <row r="384" spans="1:28" x14ac:dyDescent="0.25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J384" s="5"/>
      <c r="K384" s="5"/>
      <c r="L384" s="5"/>
      <c r="M384" s="5"/>
      <c r="N384" s="5"/>
      <c r="O384" s="5">
        <v>1</v>
      </c>
      <c r="P384" s="5"/>
      <c r="Q384" s="5"/>
      <c r="R384" s="5"/>
      <c r="S384" s="5">
        <f>SUM(bron[[#This Row],[Januari]:[December]])</f>
        <v>1</v>
      </c>
      <c r="T384" s="9">
        <v>45562</v>
      </c>
      <c r="U384" s="8" t="s">
        <v>830</v>
      </c>
      <c r="V384" s="8"/>
      <c r="W384" s="8">
        <v>1</v>
      </c>
      <c r="X384" t="s">
        <v>4</v>
      </c>
      <c r="Y384" t="s">
        <v>521</v>
      </c>
      <c r="Z384"/>
      <c r="AA384" t="s">
        <v>3612</v>
      </c>
      <c r="AB384">
        <f>COUNTIF(B:B,bron[[#This Row],[volledige naam]])</f>
        <v>2</v>
      </c>
    </row>
    <row r="385" spans="1:28" x14ac:dyDescent="0.25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J385" s="5"/>
      <c r="K385" s="5"/>
      <c r="L385" s="5"/>
      <c r="M385" s="5"/>
      <c r="N385" s="5"/>
      <c r="O385" s="5">
        <v>1</v>
      </c>
      <c r="P385" s="5"/>
      <c r="Q385" s="5"/>
      <c r="R385" s="5"/>
      <c r="S385" s="5">
        <f>SUM(bron[[#This Row],[Januari]:[December]])</f>
        <v>1</v>
      </c>
      <c r="T385" s="9">
        <v>45563</v>
      </c>
      <c r="U385" s="8" t="s">
        <v>831</v>
      </c>
      <c r="V385" s="8">
        <v>1</v>
      </c>
      <c r="W385" s="8"/>
      <c r="X385" t="s">
        <v>3</v>
      </c>
      <c r="Y385" t="s">
        <v>22</v>
      </c>
      <c r="Z385"/>
      <c r="AA385" t="s">
        <v>3612</v>
      </c>
      <c r="AB385">
        <f>COUNTIF(B:B,bron[[#This Row],[volledige naam]])</f>
        <v>1</v>
      </c>
    </row>
    <row r="386" spans="1:28" x14ac:dyDescent="0.25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J386" s="5"/>
      <c r="K386" s="5"/>
      <c r="L386" s="5"/>
      <c r="M386" s="5"/>
      <c r="N386" s="5"/>
      <c r="O386" s="5">
        <v>1</v>
      </c>
      <c r="P386" s="5"/>
      <c r="Q386" s="5"/>
      <c r="R386" s="5"/>
      <c r="S386" s="5">
        <f>SUM(bron[[#This Row],[Januari]:[December]])</f>
        <v>1</v>
      </c>
      <c r="T386" s="9">
        <v>45563</v>
      </c>
      <c r="U386" s="8" t="s">
        <v>832</v>
      </c>
      <c r="V386" s="8">
        <v>1</v>
      </c>
      <c r="W386" s="8"/>
      <c r="X386" t="s">
        <v>3</v>
      </c>
      <c r="Y386" t="s">
        <v>6</v>
      </c>
      <c r="Z386"/>
      <c r="AA386" t="s">
        <v>3612</v>
      </c>
      <c r="AB386">
        <f>COUNTIF(B:B,bron[[#This Row],[volledige naam]])</f>
        <v>1</v>
      </c>
    </row>
    <row r="387" spans="1:28" x14ac:dyDescent="0.25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J387" s="5"/>
      <c r="K387" s="5"/>
      <c r="L387" s="5"/>
      <c r="M387" s="5"/>
      <c r="N387" s="5"/>
      <c r="O387" s="5"/>
      <c r="P387" s="5">
        <v>1</v>
      </c>
      <c r="Q387" s="5"/>
      <c r="R387" s="5"/>
      <c r="S387" s="5">
        <f>SUM(bron[[#This Row],[Januari]:[December]])</f>
        <v>1</v>
      </c>
      <c r="T387" s="9">
        <v>45567</v>
      </c>
      <c r="U387" s="8" t="s">
        <v>833</v>
      </c>
      <c r="V387" s="8">
        <v>1</v>
      </c>
      <c r="W387" s="8"/>
      <c r="X387" t="s">
        <v>3</v>
      </c>
      <c r="Y387" t="s">
        <v>834</v>
      </c>
      <c r="Z387"/>
      <c r="AA387" t="s">
        <v>3612</v>
      </c>
      <c r="AB387">
        <f>COUNTIF(B:B,bron[[#This Row],[volledige naam]])</f>
        <v>2</v>
      </c>
    </row>
    <row r="388" spans="1:28" x14ac:dyDescent="0.25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J388" s="5"/>
      <c r="K388" s="5"/>
      <c r="L388" s="5"/>
      <c r="M388" s="5"/>
      <c r="N388" s="5"/>
      <c r="O388" s="5"/>
      <c r="P388" s="5">
        <v>1</v>
      </c>
      <c r="Q388" s="5"/>
      <c r="R388" s="5"/>
      <c r="S388" s="5">
        <f>SUM(bron[[#This Row],[Januari]:[December]])</f>
        <v>1</v>
      </c>
      <c r="T388" s="9">
        <v>45568</v>
      </c>
      <c r="U388" s="8" t="s">
        <v>835</v>
      </c>
      <c r="V388" s="8">
        <v>1</v>
      </c>
      <c r="W388" s="8"/>
      <c r="X388" t="s">
        <v>3</v>
      </c>
      <c r="Y388" t="s">
        <v>64</v>
      </c>
      <c r="Z388"/>
      <c r="AA388" t="s">
        <v>3612</v>
      </c>
      <c r="AB388">
        <f>COUNTIF(B:B,bron[[#This Row],[volledige naam]])</f>
        <v>5</v>
      </c>
    </row>
    <row r="389" spans="1:28" x14ac:dyDescent="0.25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J389" s="5"/>
      <c r="K389" s="5"/>
      <c r="L389" s="5"/>
      <c r="M389" s="5"/>
      <c r="N389" s="5"/>
      <c r="O389" s="5"/>
      <c r="P389" s="5">
        <v>1</v>
      </c>
      <c r="Q389" s="5"/>
      <c r="R389" s="5"/>
      <c r="S389" s="5">
        <f>SUM(bron[[#This Row],[Januari]:[December]])</f>
        <v>1</v>
      </c>
      <c r="T389" s="9">
        <v>45569</v>
      </c>
      <c r="U389" s="8" t="s">
        <v>836</v>
      </c>
      <c r="V389" s="8"/>
      <c r="W389" s="8">
        <v>1</v>
      </c>
      <c r="X389" t="s">
        <v>4</v>
      </c>
      <c r="Y389" t="s">
        <v>589</v>
      </c>
      <c r="Z389"/>
      <c r="AA389" t="s">
        <v>3612</v>
      </c>
      <c r="AB389">
        <f>COUNTIF(B:B,bron[[#This Row],[volledige naam]])</f>
        <v>2</v>
      </c>
    </row>
    <row r="390" spans="1:28" x14ac:dyDescent="0.25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J390" s="5"/>
      <c r="K390" s="5"/>
      <c r="L390" s="5"/>
      <c r="M390" s="5"/>
      <c r="N390" s="5"/>
      <c r="O390" s="5"/>
      <c r="P390" s="5">
        <v>1</v>
      </c>
      <c r="Q390" s="5"/>
      <c r="R390" s="5"/>
      <c r="S390" s="5">
        <f>SUM(bron[[#This Row],[Januari]:[December]])</f>
        <v>1</v>
      </c>
      <c r="T390" s="9">
        <v>45570</v>
      </c>
      <c r="U390" s="8" t="s">
        <v>837</v>
      </c>
      <c r="V390" s="8"/>
      <c r="W390" s="8">
        <v>1</v>
      </c>
      <c r="X390" t="s">
        <v>4</v>
      </c>
      <c r="Y390" t="s">
        <v>838</v>
      </c>
      <c r="Z390"/>
      <c r="AA390" t="s">
        <v>3612</v>
      </c>
      <c r="AB390">
        <f>COUNTIF(B:B,bron[[#This Row],[volledige naam]])</f>
        <v>4</v>
      </c>
    </row>
    <row r="391" spans="1:28" x14ac:dyDescent="0.25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J391" s="5"/>
      <c r="K391" s="5"/>
      <c r="L391" s="5"/>
      <c r="M391" s="5"/>
      <c r="N391" s="5"/>
      <c r="O391" s="5"/>
      <c r="P391" s="5">
        <v>1</v>
      </c>
      <c r="Q391" s="5"/>
      <c r="R391" s="5"/>
      <c r="S391" s="5">
        <f>SUM(bron[[#This Row],[Januari]:[December]])</f>
        <v>1</v>
      </c>
      <c r="T391" s="9">
        <v>45572</v>
      </c>
      <c r="U391" s="8" t="s">
        <v>839</v>
      </c>
      <c r="V391" s="8">
        <v>1</v>
      </c>
      <c r="W391" s="8"/>
      <c r="X391" t="s">
        <v>3</v>
      </c>
      <c r="Y391" t="s">
        <v>6</v>
      </c>
      <c r="Z391"/>
      <c r="AA391" t="s">
        <v>3612</v>
      </c>
      <c r="AB391">
        <f>COUNTIF(B:B,bron[[#This Row],[volledige naam]])</f>
        <v>1</v>
      </c>
    </row>
    <row r="392" spans="1:28" x14ac:dyDescent="0.25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J392" s="5"/>
      <c r="K392" s="5"/>
      <c r="L392" s="5"/>
      <c r="M392" s="5"/>
      <c r="N392" s="5"/>
      <c r="O392" s="5"/>
      <c r="P392" s="5">
        <v>1</v>
      </c>
      <c r="Q392" s="5"/>
      <c r="R392" s="5"/>
      <c r="S392" s="5">
        <f>SUM(bron[[#This Row],[Januari]:[December]])</f>
        <v>1</v>
      </c>
      <c r="T392" s="9">
        <v>45573</v>
      </c>
      <c r="U392" s="8" t="s">
        <v>840</v>
      </c>
      <c r="V392" s="8">
        <v>1</v>
      </c>
      <c r="W392" s="8"/>
      <c r="X392" t="s">
        <v>3</v>
      </c>
      <c r="Y392" t="s">
        <v>280</v>
      </c>
      <c r="Z392"/>
      <c r="AA392" t="s">
        <v>3612</v>
      </c>
      <c r="AB392">
        <f>COUNTIF(B:B,bron[[#This Row],[volledige naam]])</f>
        <v>5</v>
      </c>
    </row>
    <row r="393" spans="1:28" x14ac:dyDescent="0.25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J393" s="5"/>
      <c r="K393" s="5"/>
      <c r="L393" s="5"/>
      <c r="M393" s="5"/>
      <c r="N393" s="5"/>
      <c r="O393" s="5"/>
      <c r="P393" s="5">
        <v>1</v>
      </c>
      <c r="Q393" s="5"/>
      <c r="R393" s="5"/>
      <c r="S393" s="5">
        <f>SUM(bron[[#This Row],[Januari]:[December]])</f>
        <v>1</v>
      </c>
      <c r="T393" s="9">
        <v>45573</v>
      </c>
      <c r="U393" s="8" t="s">
        <v>841</v>
      </c>
      <c r="V393" s="8">
        <v>1</v>
      </c>
      <c r="W393" s="8"/>
      <c r="X393" t="s">
        <v>3</v>
      </c>
      <c r="Y393" t="s">
        <v>787</v>
      </c>
      <c r="Z393"/>
      <c r="AA393" t="s">
        <v>3612</v>
      </c>
      <c r="AB393">
        <f>COUNTIF(B:B,bron[[#This Row],[volledige naam]])</f>
        <v>3</v>
      </c>
    </row>
    <row r="394" spans="1:28" x14ac:dyDescent="0.25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J394" s="5"/>
      <c r="K394" s="5"/>
      <c r="L394" s="5"/>
      <c r="M394" s="5"/>
      <c r="N394" s="5"/>
      <c r="O394" s="5"/>
      <c r="P394" s="5">
        <v>1</v>
      </c>
      <c r="Q394" s="5"/>
      <c r="R394" s="5"/>
      <c r="S394" s="5">
        <f>SUM(bron[[#This Row],[Januari]:[December]])</f>
        <v>1</v>
      </c>
      <c r="T394" s="9">
        <v>45574</v>
      </c>
      <c r="U394" s="8" t="s">
        <v>842</v>
      </c>
      <c r="V394" s="8">
        <v>1</v>
      </c>
      <c r="W394" s="8"/>
      <c r="X394" t="s">
        <v>3</v>
      </c>
      <c r="Y394" t="s">
        <v>843</v>
      </c>
      <c r="Z394"/>
      <c r="AA394" t="s">
        <v>3612</v>
      </c>
      <c r="AB394">
        <f>COUNTIF(B:B,bron[[#This Row],[volledige naam]])</f>
        <v>5</v>
      </c>
    </row>
    <row r="395" spans="1:28" x14ac:dyDescent="0.25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J395" s="5"/>
      <c r="K395" s="5"/>
      <c r="L395" s="5"/>
      <c r="M395" s="5"/>
      <c r="N395" s="5"/>
      <c r="O395" s="5"/>
      <c r="P395" s="5">
        <v>1</v>
      </c>
      <c r="Q395" s="5"/>
      <c r="R395" s="5"/>
      <c r="S395" s="5">
        <f>SUM(bron[[#This Row],[Januari]:[December]])</f>
        <v>1</v>
      </c>
      <c r="T395" s="9">
        <v>45574</v>
      </c>
      <c r="U395" s="8" t="s">
        <v>844</v>
      </c>
      <c r="V395" s="8"/>
      <c r="W395" s="8">
        <v>1</v>
      </c>
      <c r="X395" t="s">
        <v>4</v>
      </c>
      <c r="Y395" t="s">
        <v>468</v>
      </c>
      <c r="Z395"/>
      <c r="AA395" t="s">
        <v>3612</v>
      </c>
      <c r="AB395">
        <f>COUNTIF(B:B,bron[[#This Row],[volledige naam]])</f>
        <v>1</v>
      </c>
    </row>
    <row r="396" spans="1:28" x14ac:dyDescent="0.25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J396" s="5"/>
      <c r="K396" s="5"/>
      <c r="L396" s="5"/>
      <c r="M396" s="5"/>
      <c r="N396" s="5"/>
      <c r="O396" s="5"/>
      <c r="P396" s="5">
        <v>1</v>
      </c>
      <c r="Q396" s="5"/>
      <c r="R396" s="5"/>
      <c r="S396" s="5">
        <f>SUM(bron[[#This Row],[Januari]:[December]])</f>
        <v>1</v>
      </c>
      <c r="T396" s="9">
        <v>45574</v>
      </c>
      <c r="U396" s="8" t="s">
        <v>845</v>
      </c>
      <c r="V396" s="8">
        <v>1</v>
      </c>
      <c r="W396" s="8"/>
      <c r="X396" t="s">
        <v>3</v>
      </c>
      <c r="Y396" t="s">
        <v>55</v>
      </c>
      <c r="Z396"/>
      <c r="AA396" t="s">
        <v>3612</v>
      </c>
      <c r="AB396">
        <f>COUNTIF(B:B,bron[[#This Row],[volledige naam]])</f>
        <v>10</v>
      </c>
    </row>
    <row r="397" spans="1:28" x14ac:dyDescent="0.25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J397" s="5"/>
      <c r="K397" s="5"/>
      <c r="L397" s="5"/>
      <c r="M397" s="5"/>
      <c r="N397" s="5"/>
      <c r="O397" s="5"/>
      <c r="P397" s="5">
        <v>1</v>
      </c>
      <c r="Q397" s="5"/>
      <c r="R397" s="5"/>
      <c r="S397" s="5">
        <f>SUM(bron[[#This Row],[Januari]:[December]])</f>
        <v>1</v>
      </c>
      <c r="T397" s="9">
        <v>45575</v>
      </c>
      <c r="U397" s="8" t="s">
        <v>846</v>
      </c>
      <c r="V397" s="8"/>
      <c r="W397" s="8">
        <v>1</v>
      </c>
      <c r="X397" t="s">
        <v>4</v>
      </c>
      <c r="Y397" t="s">
        <v>30</v>
      </c>
      <c r="Z397"/>
      <c r="AA397" t="s">
        <v>3612</v>
      </c>
      <c r="AB397">
        <f>COUNTIF(B:B,bron[[#This Row],[volledige naam]])</f>
        <v>3</v>
      </c>
    </row>
    <row r="398" spans="1:28" x14ac:dyDescent="0.25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370</v>
      </c>
      <c r="D398" t="s">
        <v>370</v>
      </c>
      <c r="E398" t="s">
        <v>62</v>
      </c>
      <c r="F398" s="10"/>
      <c r="G398" s="7"/>
      <c r="H398" s="7"/>
      <c r="I398" s="7"/>
      <c r="J398" s="5"/>
      <c r="K398" s="5"/>
      <c r="L398" s="5"/>
      <c r="M398" s="5"/>
      <c r="N398" s="5"/>
      <c r="O398" s="5"/>
      <c r="P398" s="5">
        <v>1</v>
      </c>
      <c r="Q398" s="5"/>
      <c r="R398" s="5"/>
      <c r="S398" s="5">
        <f>SUM(bron[[#This Row],[Januari]:[December]])</f>
        <v>1</v>
      </c>
      <c r="T398" s="9">
        <v>45576</v>
      </c>
      <c r="U398" s="8" t="s">
        <v>847</v>
      </c>
      <c r="V398" s="8">
        <v>1</v>
      </c>
      <c r="W398" s="8"/>
      <c r="X398" t="s">
        <v>3</v>
      </c>
      <c r="Y398" t="s">
        <v>10</v>
      </c>
      <c r="Z398"/>
      <c r="AA398" t="s">
        <v>3612</v>
      </c>
      <c r="AB398">
        <f>COUNTIF(B:B,bron[[#This Row],[volledige naam]])</f>
        <v>58</v>
      </c>
    </row>
    <row r="399" spans="1:28" x14ac:dyDescent="0.25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J399" s="5"/>
      <c r="K399" s="5"/>
      <c r="L399" s="5"/>
      <c r="M399" s="5"/>
      <c r="N399" s="5"/>
      <c r="O399" s="5"/>
      <c r="P399" s="5">
        <v>1</v>
      </c>
      <c r="Q399" s="5"/>
      <c r="R399" s="5"/>
      <c r="S399" s="5">
        <f>SUM(bron[[#This Row],[Januari]:[December]])</f>
        <v>1</v>
      </c>
      <c r="T399" s="9">
        <v>45577</v>
      </c>
      <c r="U399" s="8" t="s">
        <v>848</v>
      </c>
      <c r="V399" s="8">
        <v>1</v>
      </c>
      <c r="W399" s="8"/>
      <c r="X399" t="s">
        <v>3</v>
      </c>
      <c r="Y399" t="s">
        <v>184</v>
      </c>
      <c r="Z399"/>
      <c r="AA399" t="s">
        <v>3612</v>
      </c>
      <c r="AB399">
        <f>COUNTIF(B:B,bron[[#This Row],[volledige naam]])</f>
        <v>1</v>
      </c>
    </row>
    <row r="400" spans="1:28" x14ac:dyDescent="0.25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J400" s="5"/>
      <c r="K400" s="5"/>
      <c r="L400" s="5"/>
      <c r="M400" s="5"/>
      <c r="N400" s="5"/>
      <c r="O400" s="5"/>
      <c r="P400" s="5">
        <v>1</v>
      </c>
      <c r="Q400" s="5"/>
      <c r="R400" s="5"/>
      <c r="S400" s="5">
        <f>SUM(bron[[#This Row],[Januari]:[December]])</f>
        <v>1</v>
      </c>
      <c r="T400" s="9">
        <v>45578</v>
      </c>
      <c r="U400" s="8" t="s">
        <v>849</v>
      </c>
      <c r="V400" s="8">
        <v>1</v>
      </c>
      <c r="W400" s="8"/>
      <c r="X400" t="s">
        <v>3</v>
      </c>
      <c r="Y400" t="s">
        <v>8</v>
      </c>
      <c r="Z400"/>
      <c r="AA400" t="s">
        <v>3612</v>
      </c>
      <c r="AB400">
        <f>COUNTIF(B:B,bron[[#This Row],[volledige naam]])</f>
        <v>6</v>
      </c>
    </row>
    <row r="401" spans="1:28" x14ac:dyDescent="0.25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J401" s="5"/>
      <c r="K401" s="5"/>
      <c r="L401" s="5"/>
      <c r="M401" s="5"/>
      <c r="N401" s="5"/>
      <c r="O401" s="5"/>
      <c r="P401" s="5">
        <v>1</v>
      </c>
      <c r="Q401" s="5"/>
      <c r="R401" s="5"/>
      <c r="S401" s="5">
        <f>SUM(bron[[#This Row],[Januari]:[December]])</f>
        <v>1</v>
      </c>
      <c r="T401" s="9">
        <v>45579</v>
      </c>
      <c r="U401" s="8" t="s">
        <v>850</v>
      </c>
      <c r="V401" s="8">
        <v>1</v>
      </c>
      <c r="W401" s="8"/>
      <c r="X401" t="s">
        <v>3</v>
      </c>
      <c r="Y401" t="s">
        <v>6</v>
      </c>
      <c r="Z401"/>
      <c r="AA401" t="s">
        <v>3612</v>
      </c>
      <c r="AB401">
        <f>COUNTIF(B:B,bron[[#This Row],[volledige naam]])</f>
        <v>2</v>
      </c>
    </row>
    <row r="402" spans="1:28" x14ac:dyDescent="0.25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J402" s="5"/>
      <c r="K402" s="5"/>
      <c r="L402" s="5"/>
      <c r="M402" s="5"/>
      <c r="N402" s="5"/>
      <c r="O402" s="5"/>
      <c r="P402" s="5">
        <v>1</v>
      </c>
      <c r="Q402" s="5"/>
      <c r="R402" s="5"/>
      <c r="S402" s="5">
        <f>SUM(bron[[#This Row],[Januari]:[December]])</f>
        <v>1</v>
      </c>
      <c r="T402" s="9">
        <v>45579</v>
      </c>
      <c r="U402" s="8" t="s">
        <v>851</v>
      </c>
      <c r="V402" s="8">
        <v>1</v>
      </c>
      <c r="W402" s="8"/>
      <c r="X402" t="s">
        <v>3</v>
      </c>
      <c r="Y402" t="s">
        <v>166</v>
      </c>
      <c r="Z402"/>
      <c r="AA402" t="s">
        <v>3612</v>
      </c>
      <c r="AB402">
        <f>COUNTIF(B:B,bron[[#This Row],[volledige naam]])</f>
        <v>1</v>
      </c>
    </row>
    <row r="403" spans="1:28" x14ac:dyDescent="0.25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J403" s="5"/>
      <c r="K403" s="5"/>
      <c r="L403" s="5"/>
      <c r="M403" s="5"/>
      <c r="N403" s="5"/>
      <c r="O403" s="5"/>
      <c r="P403" s="5">
        <v>1</v>
      </c>
      <c r="Q403" s="5"/>
      <c r="R403" s="5"/>
      <c r="S403" s="5">
        <f>SUM(bron[[#This Row],[Januari]:[December]])</f>
        <v>1</v>
      </c>
      <c r="T403" s="9">
        <v>45579</v>
      </c>
      <c r="U403" s="8" t="s">
        <v>852</v>
      </c>
      <c r="V403" s="8"/>
      <c r="W403" s="8">
        <v>1</v>
      </c>
      <c r="X403" t="s">
        <v>4</v>
      </c>
      <c r="Y403" t="s">
        <v>468</v>
      </c>
      <c r="Z403"/>
      <c r="AA403" t="s">
        <v>3612</v>
      </c>
      <c r="AB403">
        <f>COUNTIF(B:B,bron[[#This Row],[volledige naam]])</f>
        <v>3</v>
      </c>
    </row>
    <row r="404" spans="1:28" x14ac:dyDescent="0.25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J404" s="5"/>
      <c r="K404" s="5"/>
      <c r="L404" s="5"/>
      <c r="M404" s="5"/>
      <c r="N404" s="5"/>
      <c r="O404" s="5"/>
      <c r="P404" s="5">
        <v>1</v>
      </c>
      <c r="Q404" s="5"/>
      <c r="R404" s="5"/>
      <c r="S404" s="5">
        <f>SUM(bron[[#This Row],[Januari]:[December]])</f>
        <v>1</v>
      </c>
      <c r="T404" s="9">
        <v>45579</v>
      </c>
      <c r="U404" s="8" t="s">
        <v>853</v>
      </c>
      <c r="V404" s="8"/>
      <c r="W404" s="8">
        <v>1</v>
      </c>
      <c r="X404" t="s">
        <v>4</v>
      </c>
      <c r="Y404" t="s">
        <v>2</v>
      </c>
      <c r="Z404"/>
      <c r="AA404" t="s">
        <v>3612</v>
      </c>
      <c r="AB404">
        <f>COUNTIF(B:B,bron[[#This Row],[volledige naam]])</f>
        <v>10</v>
      </c>
    </row>
    <row r="405" spans="1:28" x14ac:dyDescent="0.25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J405" s="5"/>
      <c r="K405" s="5"/>
      <c r="L405" s="5"/>
      <c r="M405" s="5"/>
      <c r="N405" s="5"/>
      <c r="O405" s="5"/>
      <c r="P405" s="5">
        <v>1</v>
      </c>
      <c r="Q405" s="5"/>
      <c r="R405" s="5"/>
      <c r="S405" s="5">
        <f>SUM(bron[[#This Row],[Januari]:[December]])</f>
        <v>1</v>
      </c>
      <c r="T405" s="9">
        <v>45579</v>
      </c>
      <c r="U405" s="8" t="s">
        <v>854</v>
      </c>
      <c r="V405" s="8">
        <v>1</v>
      </c>
      <c r="W405" s="8"/>
      <c r="X405" t="s">
        <v>3</v>
      </c>
      <c r="Y405" t="s">
        <v>12</v>
      </c>
      <c r="Z405"/>
      <c r="AA405" t="s">
        <v>3612</v>
      </c>
      <c r="AB405">
        <f>COUNTIF(B:B,bron[[#This Row],[volledige naam]])</f>
        <v>7</v>
      </c>
    </row>
    <row r="406" spans="1:28" x14ac:dyDescent="0.25">
      <c r="A406">
        <v>36569</v>
      </c>
      <c r="B406" t="e">
        <f>_xlfn.CONCAT(bron[[#This Row],[personeelsnr]]," ",bron[[#This Row],[achternaam]]," ",bron[[#This Row],[voornaam]])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  <c r="F406" s="10"/>
      <c r="G406" s="7"/>
      <c r="H406" s="7"/>
      <c r="I406" s="7"/>
      <c r="J406" s="5"/>
      <c r="K406" s="5"/>
      <c r="L406" s="5"/>
      <c r="M406" s="5"/>
      <c r="N406" s="5"/>
      <c r="O406" s="5"/>
      <c r="P406" s="5">
        <v>1</v>
      </c>
      <c r="Q406" s="5"/>
      <c r="R406" s="5"/>
      <c r="S406" s="5">
        <f>SUM(bron[[#This Row],[Januari]:[December]])</f>
        <v>1</v>
      </c>
      <c r="T406" s="9">
        <v>45580</v>
      </c>
      <c r="U406" s="8" t="s">
        <v>855</v>
      </c>
      <c r="V406" s="8">
        <v>1</v>
      </c>
      <c r="W406" s="8"/>
      <c r="X406" t="s">
        <v>3</v>
      </c>
      <c r="Y406" t="s">
        <v>6</v>
      </c>
      <c r="Z406"/>
      <c r="AA406" t="s">
        <v>3612</v>
      </c>
      <c r="AB406">
        <f>COUNTIF(B:B,bron[[#This Row],[volledige naam]])</f>
        <v>24</v>
      </c>
    </row>
    <row r="407" spans="1:28" x14ac:dyDescent="0.25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370</v>
      </c>
      <c r="D407" t="s">
        <v>370</v>
      </c>
      <c r="E407" t="s">
        <v>62</v>
      </c>
      <c r="F407" s="10"/>
      <c r="G407" s="7"/>
      <c r="H407" s="7"/>
      <c r="I407" s="7"/>
      <c r="J407" s="5"/>
      <c r="K407" s="5"/>
      <c r="L407" s="5"/>
      <c r="M407" s="5"/>
      <c r="N407" s="5"/>
      <c r="O407" s="5"/>
      <c r="P407" s="5">
        <v>1</v>
      </c>
      <c r="Q407" s="5"/>
      <c r="R407" s="5"/>
      <c r="S407" s="5">
        <f>SUM(bron[[#This Row],[Januari]:[December]])</f>
        <v>1</v>
      </c>
      <c r="T407" s="9">
        <v>45582</v>
      </c>
      <c r="U407" s="8" t="s">
        <v>856</v>
      </c>
      <c r="V407" s="8">
        <v>1</v>
      </c>
      <c r="W407" s="8"/>
      <c r="X407" t="s">
        <v>3</v>
      </c>
      <c r="Y407" t="s">
        <v>37</v>
      </c>
      <c r="Z407"/>
      <c r="AA407" t="s">
        <v>3612</v>
      </c>
      <c r="AB407">
        <f>COUNTIF(B:B,bron[[#This Row],[volledige naam]])</f>
        <v>58</v>
      </c>
    </row>
    <row r="408" spans="1:28" x14ac:dyDescent="0.25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J408" s="5"/>
      <c r="K408" s="5"/>
      <c r="L408" s="5"/>
      <c r="M408" s="5"/>
      <c r="N408" s="5"/>
      <c r="O408" s="5"/>
      <c r="P408" s="5">
        <v>1</v>
      </c>
      <c r="Q408" s="5"/>
      <c r="R408" s="5"/>
      <c r="S408" s="5">
        <f>SUM(bron[[#This Row],[Januari]:[December]])</f>
        <v>1</v>
      </c>
      <c r="T408" s="9">
        <v>45583</v>
      </c>
      <c r="U408" s="8" t="s">
        <v>857</v>
      </c>
      <c r="V408" s="8">
        <v>1</v>
      </c>
      <c r="W408" s="8"/>
      <c r="X408" t="s">
        <v>3</v>
      </c>
      <c r="Y408" t="s">
        <v>100</v>
      </c>
      <c r="Z408"/>
      <c r="AA408" t="s">
        <v>3612</v>
      </c>
      <c r="AB408">
        <f>COUNTIF(B:B,bron[[#This Row],[volledige naam]])</f>
        <v>3</v>
      </c>
    </row>
    <row r="409" spans="1:28" x14ac:dyDescent="0.25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J409" s="5"/>
      <c r="K409" s="5"/>
      <c r="L409" s="5"/>
      <c r="M409" s="5"/>
      <c r="N409" s="5"/>
      <c r="O409" s="5"/>
      <c r="P409" s="5">
        <v>1</v>
      </c>
      <c r="Q409" s="5"/>
      <c r="R409" s="5"/>
      <c r="S409" s="5">
        <f>SUM(bron[[#This Row],[Januari]:[December]])</f>
        <v>1</v>
      </c>
      <c r="T409" s="9">
        <v>45584</v>
      </c>
      <c r="U409" s="8" t="s">
        <v>858</v>
      </c>
      <c r="V409" s="8">
        <v>1</v>
      </c>
      <c r="W409" s="8"/>
      <c r="X409" t="s">
        <v>3</v>
      </c>
      <c r="Y409" t="s">
        <v>100</v>
      </c>
      <c r="Z409"/>
      <c r="AA409" t="s">
        <v>3612</v>
      </c>
      <c r="AB409">
        <f>COUNTIF(B:B,bron[[#This Row],[volledige naam]])</f>
        <v>8</v>
      </c>
    </row>
    <row r="410" spans="1:28" x14ac:dyDescent="0.25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J410" s="5"/>
      <c r="K410" s="5"/>
      <c r="L410" s="5"/>
      <c r="M410" s="5"/>
      <c r="N410" s="5"/>
      <c r="O410" s="5"/>
      <c r="P410" s="5">
        <v>1</v>
      </c>
      <c r="Q410" s="5"/>
      <c r="R410" s="5"/>
      <c r="S410" s="5">
        <f>SUM(bron[[#This Row],[Januari]:[December]])</f>
        <v>1</v>
      </c>
      <c r="T410" s="9">
        <v>45584</v>
      </c>
      <c r="U410" s="8" t="s">
        <v>859</v>
      </c>
      <c r="V410" s="8">
        <v>1</v>
      </c>
      <c r="W410" s="8"/>
      <c r="X410" t="s">
        <v>3</v>
      </c>
      <c r="Y410" t="s">
        <v>16</v>
      </c>
      <c r="Z410"/>
      <c r="AA410" t="s">
        <v>3612</v>
      </c>
      <c r="AB410">
        <f>COUNTIF(B:B,bron[[#This Row],[volledige naam]])</f>
        <v>7</v>
      </c>
    </row>
    <row r="411" spans="1:28" x14ac:dyDescent="0.25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J411" s="5"/>
      <c r="K411" s="5"/>
      <c r="L411" s="5"/>
      <c r="M411" s="5"/>
      <c r="N411" s="5"/>
      <c r="O411" s="5"/>
      <c r="P411" s="5">
        <v>1</v>
      </c>
      <c r="Q411" s="5"/>
      <c r="R411" s="5"/>
      <c r="S411" s="5">
        <f>SUM(bron[[#This Row],[Januari]:[December]])</f>
        <v>1</v>
      </c>
      <c r="T411" s="9">
        <v>45586</v>
      </c>
      <c r="U411" s="8" t="s">
        <v>860</v>
      </c>
      <c r="V411" s="8"/>
      <c r="W411" s="8">
        <v>1</v>
      </c>
      <c r="X411" t="s">
        <v>4</v>
      </c>
      <c r="Y411" t="s">
        <v>6</v>
      </c>
      <c r="Z411"/>
      <c r="AA411" t="s">
        <v>3612</v>
      </c>
      <c r="AB411">
        <f>COUNTIF(B:B,bron[[#This Row],[volledige naam]])</f>
        <v>4</v>
      </c>
    </row>
    <row r="412" spans="1:28" x14ac:dyDescent="0.25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J412" s="5"/>
      <c r="K412" s="5"/>
      <c r="L412" s="5"/>
      <c r="M412" s="5"/>
      <c r="N412" s="5"/>
      <c r="O412" s="5"/>
      <c r="P412" s="5">
        <v>1</v>
      </c>
      <c r="Q412" s="5"/>
      <c r="R412" s="5"/>
      <c r="S412" s="5">
        <f>SUM(bron[[#This Row],[Januari]:[December]])</f>
        <v>1</v>
      </c>
      <c r="T412" s="9">
        <v>45586</v>
      </c>
      <c r="U412" s="8" t="s">
        <v>861</v>
      </c>
      <c r="V412" s="8"/>
      <c r="W412" s="8">
        <v>1</v>
      </c>
      <c r="X412" t="s">
        <v>4</v>
      </c>
      <c r="Y412" t="s">
        <v>52</v>
      </c>
      <c r="Z412"/>
      <c r="AA412" t="s">
        <v>3612</v>
      </c>
      <c r="AB412">
        <f>COUNTIF(B:B,bron[[#This Row],[volledige naam]])</f>
        <v>3</v>
      </c>
    </row>
    <row r="413" spans="1:28" x14ac:dyDescent="0.25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J413" s="5"/>
      <c r="K413" s="5"/>
      <c r="L413" s="5"/>
      <c r="M413" s="5"/>
      <c r="N413" s="5"/>
      <c r="O413" s="5"/>
      <c r="P413" s="5">
        <v>1</v>
      </c>
      <c r="Q413" s="5"/>
      <c r="R413" s="5"/>
      <c r="S413" s="5">
        <f>SUM(bron[[#This Row],[Januari]:[December]])</f>
        <v>1</v>
      </c>
      <c r="T413" s="9">
        <v>45587</v>
      </c>
      <c r="U413" s="8" t="s">
        <v>862</v>
      </c>
      <c r="V413" s="8">
        <v>1</v>
      </c>
      <c r="W413" s="8"/>
      <c r="X413" t="s">
        <v>3</v>
      </c>
      <c r="Y413" t="s">
        <v>16</v>
      </c>
      <c r="Z413"/>
      <c r="AA413" t="s">
        <v>3612</v>
      </c>
      <c r="AB413">
        <f>COUNTIF(B:B,bron[[#This Row],[volledige naam]])</f>
        <v>9</v>
      </c>
    </row>
    <row r="414" spans="1:28" x14ac:dyDescent="0.25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J414" s="5"/>
      <c r="K414" s="5"/>
      <c r="L414" s="5"/>
      <c r="M414" s="5"/>
      <c r="N414" s="5"/>
      <c r="O414" s="5"/>
      <c r="P414" s="5">
        <v>1</v>
      </c>
      <c r="Q414" s="5"/>
      <c r="R414" s="5"/>
      <c r="S414" s="5">
        <f>SUM(bron[[#This Row],[Januari]:[December]])</f>
        <v>1</v>
      </c>
      <c r="T414" s="9">
        <v>45587</v>
      </c>
      <c r="U414" s="8" t="s">
        <v>863</v>
      </c>
      <c r="V414" s="8"/>
      <c r="W414" s="8">
        <v>1</v>
      </c>
      <c r="X414" t="s">
        <v>4</v>
      </c>
      <c r="Y414" t="s">
        <v>864</v>
      </c>
      <c r="Z414"/>
      <c r="AA414" t="s">
        <v>3612</v>
      </c>
      <c r="AB414">
        <f>COUNTIF(B:B,bron[[#This Row],[volledige naam]])</f>
        <v>4</v>
      </c>
    </row>
    <row r="415" spans="1:28" x14ac:dyDescent="0.25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J415" s="5"/>
      <c r="K415" s="5"/>
      <c r="L415" s="5"/>
      <c r="M415" s="5"/>
      <c r="N415" s="5"/>
      <c r="O415" s="5"/>
      <c r="P415" s="5">
        <v>1</v>
      </c>
      <c r="Q415" s="5"/>
      <c r="R415" s="5"/>
      <c r="S415" s="5">
        <f>SUM(bron[[#This Row],[Januari]:[December]])</f>
        <v>1</v>
      </c>
      <c r="T415" s="9">
        <v>45588</v>
      </c>
      <c r="U415" s="8" t="s">
        <v>865</v>
      </c>
      <c r="V415" s="8">
        <v>1</v>
      </c>
      <c r="W415" s="8"/>
      <c r="X415" t="s">
        <v>3</v>
      </c>
      <c r="Y415" t="s">
        <v>100</v>
      </c>
      <c r="Z415"/>
      <c r="AA415" t="s">
        <v>3612</v>
      </c>
      <c r="AB415">
        <f>COUNTIF(B:B,bron[[#This Row],[volledige naam]])</f>
        <v>2</v>
      </c>
    </row>
    <row r="416" spans="1:28" x14ac:dyDescent="0.25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J416" s="5"/>
      <c r="K416" s="5"/>
      <c r="L416" s="5"/>
      <c r="M416" s="5"/>
      <c r="N416" s="5"/>
      <c r="O416" s="5"/>
      <c r="P416" s="5">
        <v>1</v>
      </c>
      <c r="Q416" s="5"/>
      <c r="R416" s="5"/>
      <c r="S416" s="5">
        <f>SUM(bron[[#This Row],[Januari]:[December]])</f>
        <v>1</v>
      </c>
      <c r="T416" s="9">
        <v>45588</v>
      </c>
      <c r="U416" s="8" t="s">
        <v>866</v>
      </c>
      <c r="V416" s="8"/>
      <c r="W416" s="8">
        <v>1</v>
      </c>
      <c r="X416" t="s">
        <v>4</v>
      </c>
      <c r="Y416" t="s">
        <v>6</v>
      </c>
      <c r="Z416"/>
      <c r="AA416" t="s">
        <v>3612</v>
      </c>
      <c r="AB416">
        <f>COUNTIF(B:B,bron[[#This Row],[volledige naam]])</f>
        <v>1</v>
      </c>
    </row>
    <row r="417" spans="1:28" x14ac:dyDescent="0.25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J417" s="5"/>
      <c r="K417" s="5"/>
      <c r="L417" s="5"/>
      <c r="M417" s="5"/>
      <c r="N417" s="5"/>
      <c r="O417" s="5"/>
      <c r="P417" s="5">
        <v>1</v>
      </c>
      <c r="Q417" s="5"/>
      <c r="R417" s="5"/>
      <c r="S417" s="5">
        <f>SUM(bron[[#This Row],[Januari]:[December]])</f>
        <v>1</v>
      </c>
      <c r="T417" s="9">
        <v>45589</v>
      </c>
      <c r="U417" s="8" t="s">
        <v>867</v>
      </c>
      <c r="V417" s="8">
        <v>1</v>
      </c>
      <c r="W417" s="8"/>
      <c r="X417" t="s">
        <v>3</v>
      </c>
      <c r="Y417" t="s">
        <v>406</v>
      </c>
      <c r="Z417"/>
      <c r="AA417" t="s">
        <v>3612</v>
      </c>
      <c r="AB417">
        <f>COUNTIF(B:B,bron[[#This Row],[volledige naam]])</f>
        <v>2</v>
      </c>
    </row>
    <row r="418" spans="1:28" x14ac:dyDescent="0.25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J418" s="5"/>
      <c r="K418" s="5"/>
      <c r="L418" s="5"/>
      <c r="M418" s="5"/>
      <c r="N418" s="5"/>
      <c r="O418" s="5"/>
      <c r="P418" s="5">
        <v>1</v>
      </c>
      <c r="Q418" s="5"/>
      <c r="R418" s="5"/>
      <c r="S418" s="5">
        <f>SUM(bron[[#This Row],[Januari]:[December]])</f>
        <v>1</v>
      </c>
      <c r="T418" s="9">
        <v>45589</v>
      </c>
      <c r="U418" s="8" t="s">
        <v>868</v>
      </c>
      <c r="V418" s="8">
        <v>1</v>
      </c>
      <c r="W418" s="8"/>
      <c r="X418" t="s">
        <v>3</v>
      </c>
      <c r="Y418" t="s">
        <v>406</v>
      </c>
      <c r="Z418"/>
      <c r="AA418" t="s">
        <v>3612</v>
      </c>
      <c r="AB418">
        <f>COUNTIF(B:B,bron[[#This Row],[volledige naam]])</f>
        <v>4</v>
      </c>
    </row>
    <row r="419" spans="1:28" x14ac:dyDescent="0.25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J419" s="5"/>
      <c r="K419" s="5"/>
      <c r="L419" s="5"/>
      <c r="M419" s="5"/>
      <c r="N419" s="5"/>
      <c r="O419" s="5"/>
      <c r="P419" s="5">
        <v>1</v>
      </c>
      <c r="Q419" s="5"/>
      <c r="R419" s="5"/>
      <c r="S419" s="5">
        <f>SUM(bron[[#This Row],[Januari]:[December]])</f>
        <v>1</v>
      </c>
      <c r="T419" s="9">
        <v>45589</v>
      </c>
      <c r="U419" s="8" t="s">
        <v>869</v>
      </c>
      <c r="V419" s="8">
        <v>1</v>
      </c>
      <c r="W419" s="8"/>
      <c r="X419" t="s">
        <v>3</v>
      </c>
      <c r="Y419" t="s">
        <v>6</v>
      </c>
      <c r="Z419"/>
      <c r="AA419" t="s">
        <v>3612</v>
      </c>
      <c r="AB419">
        <f>COUNTIF(B:B,bron[[#This Row],[volledige naam]])</f>
        <v>7</v>
      </c>
    </row>
    <row r="420" spans="1:28" x14ac:dyDescent="0.25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J420" s="5"/>
      <c r="K420" s="5"/>
      <c r="L420" s="5"/>
      <c r="M420" s="5"/>
      <c r="N420" s="5"/>
      <c r="O420" s="5"/>
      <c r="P420" s="5">
        <v>1</v>
      </c>
      <c r="Q420" s="5"/>
      <c r="R420" s="5"/>
      <c r="S420" s="5">
        <f>SUM(bron[[#This Row],[Januari]:[December]])</f>
        <v>1</v>
      </c>
      <c r="T420" s="9">
        <v>45589</v>
      </c>
      <c r="U420" s="8" t="s">
        <v>870</v>
      </c>
      <c r="V420" s="8">
        <v>1</v>
      </c>
      <c r="W420" s="8"/>
      <c r="X420" t="s">
        <v>3</v>
      </c>
      <c r="Y420" t="s">
        <v>158</v>
      </c>
      <c r="Z420"/>
      <c r="AA420" t="s">
        <v>3612</v>
      </c>
      <c r="AB420">
        <f>COUNTIF(B:B,bron[[#This Row],[volledige naam]])</f>
        <v>3</v>
      </c>
    </row>
    <row r="421" spans="1:28" x14ac:dyDescent="0.25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J421" s="5"/>
      <c r="K421" s="5"/>
      <c r="L421" s="5"/>
      <c r="M421" s="5"/>
      <c r="N421" s="5"/>
      <c r="O421" s="5"/>
      <c r="P421" s="5">
        <v>1</v>
      </c>
      <c r="Q421" s="5"/>
      <c r="R421" s="5"/>
      <c r="S421" s="5">
        <f>SUM(bron[[#This Row],[Januari]:[December]])</f>
        <v>1</v>
      </c>
      <c r="T421" s="9">
        <v>45590</v>
      </c>
      <c r="U421" s="8" t="s">
        <v>871</v>
      </c>
      <c r="V421" s="8">
        <v>1</v>
      </c>
      <c r="W421" s="8"/>
      <c r="X421" t="s">
        <v>3</v>
      </c>
      <c r="Y421" t="s">
        <v>138</v>
      </c>
      <c r="Z421"/>
      <c r="AA421" t="s">
        <v>3612</v>
      </c>
      <c r="AB421">
        <f>COUNTIF(B:B,bron[[#This Row],[volledige naam]])</f>
        <v>2</v>
      </c>
    </row>
    <row r="422" spans="1:28" x14ac:dyDescent="0.25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J422" s="5"/>
      <c r="K422" s="5"/>
      <c r="L422" s="5"/>
      <c r="M422" s="5"/>
      <c r="N422" s="5"/>
      <c r="O422" s="5"/>
      <c r="P422" s="5">
        <v>1</v>
      </c>
      <c r="Q422" s="5"/>
      <c r="R422" s="5"/>
      <c r="S422" s="5">
        <f>SUM(bron[[#This Row],[Januari]:[December]])</f>
        <v>1</v>
      </c>
      <c r="T422" s="9">
        <v>45590</v>
      </c>
      <c r="U422" s="8" t="s">
        <v>872</v>
      </c>
      <c r="V422" s="8">
        <v>1</v>
      </c>
      <c r="W422" s="8"/>
      <c r="X422" t="s">
        <v>3</v>
      </c>
      <c r="Y422" t="s">
        <v>55</v>
      </c>
      <c r="Z422"/>
      <c r="AA422" t="s">
        <v>3612</v>
      </c>
      <c r="AB422">
        <f>COUNTIF(B:B,bron[[#This Row],[volledige naam]])</f>
        <v>3</v>
      </c>
    </row>
    <row r="423" spans="1:28" x14ac:dyDescent="0.25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J423" s="5"/>
      <c r="K423" s="5"/>
      <c r="L423" s="5"/>
      <c r="M423" s="5"/>
      <c r="N423" s="5"/>
      <c r="O423" s="5"/>
      <c r="P423" s="5">
        <v>1</v>
      </c>
      <c r="Q423" s="5"/>
      <c r="R423" s="5"/>
      <c r="S423" s="5">
        <f>SUM(bron[[#This Row],[Januari]:[December]])</f>
        <v>1</v>
      </c>
      <c r="T423" s="9">
        <v>45591</v>
      </c>
      <c r="U423" s="8" t="s">
        <v>873</v>
      </c>
      <c r="V423" s="8">
        <v>1</v>
      </c>
      <c r="W423" s="8"/>
      <c r="X423" t="s">
        <v>3</v>
      </c>
      <c r="Y423" t="s">
        <v>498</v>
      </c>
      <c r="Z423"/>
      <c r="AA423" t="s">
        <v>3612</v>
      </c>
      <c r="AB423">
        <f>COUNTIF(B:B,bron[[#This Row],[volledige naam]])</f>
        <v>4</v>
      </c>
    </row>
    <row r="424" spans="1:28" x14ac:dyDescent="0.25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J424" s="5"/>
      <c r="K424" s="5"/>
      <c r="L424" s="5"/>
      <c r="M424" s="5"/>
      <c r="N424" s="5"/>
      <c r="O424" s="5"/>
      <c r="P424" s="5">
        <v>1</v>
      </c>
      <c r="Q424" s="5"/>
      <c r="R424" s="5"/>
      <c r="S424" s="5">
        <f>SUM(bron[[#This Row],[Januari]:[December]])</f>
        <v>1</v>
      </c>
      <c r="T424" s="9">
        <v>45591</v>
      </c>
      <c r="U424" s="8" t="s">
        <v>874</v>
      </c>
      <c r="V424" s="8"/>
      <c r="W424" s="8">
        <v>1</v>
      </c>
      <c r="X424" t="s">
        <v>4</v>
      </c>
      <c r="Y424" t="s">
        <v>718</v>
      </c>
      <c r="Z424"/>
      <c r="AA424" t="s">
        <v>3612</v>
      </c>
      <c r="AB424">
        <f>COUNTIF(B:B,bron[[#This Row],[volledige naam]])</f>
        <v>2</v>
      </c>
    </row>
    <row r="425" spans="1:28" x14ac:dyDescent="0.25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J425" s="5"/>
      <c r="K425" s="5"/>
      <c r="L425" s="5"/>
      <c r="M425" s="5"/>
      <c r="N425" s="5"/>
      <c r="O425" s="5"/>
      <c r="P425" s="5">
        <v>1</v>
      </c>
      <c r="Q425" s="5"/>
      <c r="R425" s="5"/>
      <c r="S425" s="5">
        <f>SUM(bron[[#This Row],[Januari]:[December]])</f>
        <v>1</v>
      </c>
      <c r="T425" s="9">
        <v>45593</v>
      </c>
      <c r="U425" s="8" t="s">
        <v>875</v>
      </c>
      <c r="V425" s="8">
        <v>1</v>
      </c>
      <c r="W425" s="8"/>
      <c r="X425" t="s">
        <v>3</v>
      </c>
      <c r="Y425" t="s">
        <v>160</v>
      </c>
      <c r="Z425"/>
      <c r="AA425" t="s">
        <v>3612</v>
      </c>
      <c r="AB425">
        <f>COUNTIF(B:B,bron[[#This Row],[volledige naam]])</f>
        <v>1</v>
      </c>
    </row>
    <row r="426" spans="1:28" x14ac:dyDescent="0.25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J426" s="5"/>
      <c r="K426" s="5"/>
      <c r="L426" s="5"/>
      <c r="M426" s="5"/>
      <c r="N426" s="5"/>
      <c r="O426" s="5"/>
      <c r="P426" s="5">
        <v>1</v>
      </c>
      <c r="Q426" s="5"/>
      <c r="R426" s="5"/>
      <c r="S426" s="5">
        <f>SUM(bron[[#This Row],[Januari]:[December]])</f>
        <v>1</v>
      </c>
      <c r="T426" s="9">
        <v>45593</v>
      </c>
      <c r="U426" s="8" t="s">
        <v>876</v>
      </c>
      <c r="V426" s="8"/>
      <c r="W426" s="8">
        <v>1</v>
      </c>
      <c r="X426" t="s">
        <v>4</v>
      </c>
      <c r="Y426" t="s">
        <v>85</v>
      </c>
      <c r="Z426"/>
      <c r="AA426" t="s">
        <v>3612</v>
      </c>
      <c r="AB426">
        <f>COUNTIF(B:B,bron[[#This Row],[volledige naam]])</f>
        <v>5</v>
      </c>
    </row>
    <row r="427" spans="1:28" x14ac:dyDescent="0.25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J427" s="5"/>
      <c r="K427" s="5"/>
      <c r="L427" s="5"/>
      <c r="M427" s="5"/>
      <c r="N427" s="5"/>
      <c r="O427" s="5"/>
      <c r="P427" s="5">
        <v>1</v>
      </c>
      <c r="Q427" s="5"/>
      <c r="R427" s="5"/>
      <c r="S427" s="5">
        <f>SUM(bron[[#This Row],[Januari]:[December]])</f>
        <v>1</v>
      </c>
      <c r="T427" s="9">
        <v>45595</v>
      </c>
      <c r="U427" s="8" t="s">
        <v>877</v>
      </c>
      <c r="V427" s="8">
        <v>1</v>
      </c>
      <c r="W427" s="8"/>
      <c r="X427" t="s">
        <v>3</v>
      </c>
      <c r="Y427" t="s">
        <v>14</v>
      </c>
      <c r="Z427"/>
      <c r="AA427" t="s">
        <v>3612</v>
      </c>
      <c r="AB427">
        <f>COUNTIF(B:B,bron[[#This Row],[volledige naam]])</f>
        <v>4</v>
      </c>
    </row>
    <row r="428" spans="1:28" x14ac:dyDescent="0.25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J428" s="5"/>
      <c r="K428" s="5"/>
      <c r="L428" s="5"/>
      <c r="M428" s="5"/>
      <c r="N428" s="5"/>
      <c r="O428" s="5"/>
      <c r="P428" s="5">
        <v>1</v>
      </c>
      <c r="Q428" s="5"/>
      <c r="R428" s="5"/>
      <c r="S428" s="5">
        <f>SUM(bron[[#This Row],[Januari]:[December]])</f>
        <v>1</v>
      </c>
      <c r="T428" s="9">
        <v>45595</v>
      </c>
      <c r="U428" s="8" t="s">
        <v>878</v>
      </c>
      <c r="V428" s="8">
        <v>1</v>
      </c>
      <c r="W428" s="8"/>
      <c r="X428" t="s">
        <v>3</v>
      </c>
      <c r="Y428" t="s">
        <v>22</v>
      </c>
      <c r="Z428"/>
      <c r="AA428" t="s">
        <v>3612</v>
      </c>
      <c r="AB428">
        <f>COUNTIF(B:B,bron[[#This Row],[volledige naam]])</f>
        <v>1</v>
      </c>
    </row>
    <row r="429" spans="1:28" x14ac:dyDescent="0.25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J429" s="5"/>
      <c r="K429" s="5"/>
      <c r="L429" s="5"/>
      <c r="M429" s="5"/>
      <c r="N429" s="5"/>
      <c r="O429" s="5"/>
      <c r="P429" s="5"/>
      <c r="Q429" s="5">
        <v>1</v>
      </c>
      <c r="R429" s="5"/>
      <c r="S429" s="5">
        <f>SUM(bron[[#This Row],[Januari]:[December]])</f>
        <v>1</v>
      </c>
      <c r="T429" s="9">
        <v>45598</v>
      </c>
      <c r="U429" s="8" t="s">
        <v>879</v>
      </c>
      <c r="V429" s="8">
        <v>1</v>
      </c>
      <c r="W429" s="8"/>
      <c r="X429" t="s">
        <v>3</v>
      </c>
      <c r="Y429" t="s">
        <v>184</v>
      </c>
      <c r="Z429"/>
      <c r="AA429" t="s">
        <v>3612</v>
      </c>
      <c r="AB429">
        <f>COUNTIF(B:B,bron[[#This Row],[volledige naam]])</f>
        <v>2</v>
      </c>
    </row>
    <row r="430" spans="1:28" x14ac:dyDescent="0.25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370</v>
      </c>
      <c r="D430" t="s">
        <v>370</v>
      </c>
      <c r="E430" t="s">
        <v>62</v>
      </c>
      <c r="F430" s="10"/>
      <c r="G430" s="7"/>
      <c r="H430" s="7"/>
      <c r="I430" s="7"/>
      <c r="J430" s="5"/>
      <c r="K430" s="5"/>
      <c r="L430" s="5"/>
      <c r="M430" s="5"/>
      <c r="N430" s="5"/>
      <c r="O430" s="5"/>
      <c r="P430" s="5"/>
      <c r="Q430" s="5">
        <v>1</v>
      </c>
      <c r="R430" s="5"/>
      <c r="S430" s="5">
        <f>SUM(bron[[#This Row],[Januari]:[December]])</f>
        <v>1</v>
      </c>
      <c r="T430" s="9">
        <v>45598</v>
      </c>
      <c r="U430" s="8" t="s">
        <v>880</v>
      </c>
      <c r="V430" s="8">
        <v>1</v>
      </c>
      <c r="W430" s="8"/>
      <c r="X430" t="s">
        <v>3</v>
      </c>
      <c r="Y430" t="s">
        <v>81</v>
      </c>
      <c r="Z430"/>
      <c r="AA430" t="s">
        <v>3612</v>
      </c>
      <c r="AB430">
        <f>COUNTIF(B:B,bron[[#This Row],[volledige naam]])</f>
        <v>58</v>
      </c>
    </row>
    <row r="431" spans="1:28" x14ac:dyDescent="0.25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J431" s="5"/>
      <c r="K431" s="5"/>
      <c r="L431" s="5"/>
      <c r="M431" s="5"/>
      <c r="N431" s="5"/>
      <c r="O431" s="5"/>
      <c r="P431" s="5"/>
      <c r="Q431" s="5">
        <v>1</v>
      </c>
      <c r="R431" s="5"/>
      <c r="S431" s="5">
        <f>SUM(bron[[#This Row],[Januari]:[December]])</f>
        <v>1</v>
      </c>
      <c r="T431" s="9">
        <v>45600</v>
      </c>
      <c r="U431" s="8" t="s">
        <v>881</v>
      </c>
      <c r="V431" s="8">
        <v>1</v>
      </c>
      <c r="W431" s="8"/>
      <c r="X431" t="s">
        <v>3</v>
      </c>
      <c r="Y431" t="s">
        <v>6</v>
      </c>
      <c r="Z431"/>
      <c r="AA431" t="s">
        <v>3612</v>
      </c>
      <c r="AB431">
        <f>COUNTIF(B:B,bron[[#This Row],[volledige naam]])</f>
        <v>5</v>
      </c>
    </row>
    <row r="432" spans="1:28" x14ac:dyDescent="0.25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J432" s="5"/>
      <c r="K432" s="5"/>
      <c r="L432" s="5"/>
      <c r="M432" s="5"/>
      <c r="N432" s="5"/>
      <c r="O432" s="5"/>
      <c r="P432" s="5"/>
      <c r="Q432" s="5">
        <v>1</v>
      </c>
      <c r="R432" s="5"/>
      <c r="S432" s="5">
        <f>SUM(bron[[#This Row],[Januari]:[December]])</f>
        <v>1</v>
      </c>
      <c r="T432" s="9">
        <v>45600</v>
      </c>
      <c r="U432" s="8" t="s">
        <v>882</v>
      </c>
      <c r="V432" s="8">
        <v>1</v>
      </c>
      <c r="W432" s="8"/>
      <c r="X432" t="s">
        <v>3</v>
      </c>
      <c r="Y432" t="s">
        <v>6</v>
      </c>
      <c r="Z432"/>
      <c r="AA432" t="s">
        <v>3612</v>
      </c>
      <c r="AB432">
        <f>COUNTIF(B:B,bron[[#This Row],[volledige naam]])</f>
        <v>2</v>
      </c>
    </row>
    <row r="433" spans="1:28" x14ac:dyDescent="0.25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J433" s="5"/>
      <c r="K433" s="5"/>
      <c r="L433" s="5"/>
      <c r="M433" s="5"/>
      <c r="N433" s="5"/>
      <c r="O433" s="5"/>
      <c r="P433" s="5"/>
      <c r="Q433" s="5">
        <v>1</v>
      </c>
      <c r="R433" s="5"/>
      <c r="S433" s="5">
        <f>SUM(bron[[#This Row],[Januari]:[December]])</f>
        <v>1</v>
      </c>
      <c r="T433" s="9">
        <v>45600</v>
      </c>
      <c r="U433" s="8" t="s">
        <v>883</v>
      </c>
      <c r="V433" s="8">
        <v>1</v>
      </c>
      <c r="W433" s="8"/>
      <c r="X433" t="s">
        <v>3</v>
      </c>
      <c r="Y433" t="s">
        <v>6</v>
      </c>
      <c r="Z433"/>
      <c r="AA433" t="s">
        <v>3612</v>
      </c>
      <c r="AB433">
        <f>COUNTIF(B:B,bron[[#This Row],[volledige naam]])</f>
        <v>1</v>
      </c>
    </row>
    <row r="434" spans="1:28" x14ac:dyDescent="0.25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J434" s="5"/>
      <c r="K434" s="5"/>
      <c r="L434" s="5"/>
      <c r="M434" s="5"/>
      <c r="N434" s="5"/>
      <c r="O434" s="5"/>
      <c r="P434" s="5"/>
      <c r="Q434" s="5">
        <v>1</v>
      </c>
      <c r="R434" s="5"/>
      <c r="S434" s="5">
        <f>SUM(bron[[#This Row],[Januari]:[December]])</f>
        <v>1</v>
      </c>
      <c r="T434" s="9">
        <v>45601</v>
      </c>
      <c r="U434" s="8" t="s">
        <v>884</v>
      </c>
      <c r="V434" s="8">
        <v>1</v>
      </c>
      <c r="W434" s="8"/>
      <c r="X434" t="s">
        <v>3</v>
      </c>
      <c r="Y434" t="s">
        <v>6</v>
      </c>
      <c r="Z434"/>
      <c r="AA434" t="s">
        <v>3612</v>
      </c>
      <c r="AB434">
        <f>COUNTIF(B:B,bron[[#This Row],[volledige naam]])</f>
        <v>4</v>
      </c>
    </row>
    <row r="435" spans="1:28" x14ac:dyDescent="0.25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J435" s="5"/>
      <c r="K435" s="5"/>
      <c r="L435" s="5"/>
      <c r="M435" s="5"/>
      <c r="N435" s="5"/>
      <c r="O435" s="5"/>
      <c r="P435" s="5"/>
      <c r="Q435" s="5">
        <v>1</v>
      </c>
      <c r="R435" s="5"/>
      <c r="S435" s="5">
        <f>SUM(bron[[#This Row],[Januari]:[December]])</f>
        <v>1</v>
      </c>
      <c r="T435" s="9">
        <v>45602</v>
      </c>
      <c r="U435" s="8" t="s">
        <v>885</v>
      </c>
      <c r="V435" s="8">
        <v>1</v>
      </c>
      <c r="W435" s="8"/>
      <c r="X435" t="s">
        <v>3</v>
      </c>
      <c r="Y435" t="s">
        <v>886</v>
      </c>
      <c r="Z435"/>
      <c r="AA435" t="s">
        <v>3612</v>
      </c>
      <c r="AB435">
        <f>COUNTIF(B:B,bron[[#This Row],[volledige naam]])</f>
        <v>6</v>
      </c>
    </row>
    <row r="436" spans="1:28" x14ac:dyDescent="0.25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J436" s="5"/>
      <c r="K436" s="5"/>
      <c r="L436" s="5"/>
      <c r="M436" s="5"/>
      <c r="N436" s="5"/>
      <c r="O436" s="5"/>
      <c r="P436" s="5"/>
      <c r="Q436" s="5">
        <v>1</v>
      </c>
      <c r="R436" s="5"/>
      <c r="S436" s="5">
        <f>SUM(bron[[#This Row],[Januari]:[December]])</f>
        <v>1</v>
      </c>
      <c r="T436" s="9">
        <v>45602</v>
      </c>
      <c r="U436" s="8" t="s">
        <v>887</v>
      </c>
      <c r="V436" s="8">
        <v>1</v>
      </c>
      <c r="W436" s="8"/>
      <c r="X436" t="s">
        <v>3</v>
      </c>
      <c r="Y436" t="s">
        <v>12</v>
      </c>
      <c r="Z436"/>
      <c r="AA436" t="s">
        <v>3612</v>
      </c>
      <c r="AB436">
        <f>COUNTIF(B:B,bron[[#This Row],[volledige naam]])</f>
        <v>3</v>
      </c>
    </row>
    <row r="437" spans="1:28" x14ac:dyDescent="0.25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J437" s="5"/>
      <c r="K437" s="5"/>
      <c r="L437" s="5"/>
      <c r="M437" s="5"/>
      <c r="N437" s="5"/>
      <c r="O437" s="5"/>
      <c r="P437" s="5"/>
      <c r="Q437" s="5">
        <v>1</v>
      </c>
      <c r="R437" s="5"/>
      <c r="S437" s="5">
        <f>SUM(bron[[#This Row],[Januari]:[December]])</f>
        <v>1</v>
      </c>
      <c r="T437" s="9">
        <v>45603</v>
      </c>
      <c r="U437" s="8" t="s">
        <v>888</v>
      </c>
      <c r="V437" s="8"/>
      <c r="W437" s="8">
        <v>1</v>
      </c>
      <c r="X437" t="s">
        <v>4</v>
      </c>
      <c r="Y437" t="s">
        <v>889</v>
      </c>
      <c r="Z437"/>
      <c r="AA437" t="s">
        <v>3612</v>
      </c>
      <c r="AB437">
        <f>COUNTIF(B:B,bron[[#This Row],[volledige naam]])</f>
        <v>10</v>
      </c>
    </row>
    <row r="438" spans="1:28" x14ac:dyDescent="0.25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J438" s="5"/>
      <c r="K438" s="5"/>
      <c r="L438" s="5"/>
      <c r="M438" s="5"/>
      <c r="N438" s="5"/>
      <c r="O438" s="5"/>
      <c r="P438" s="5"/>
      <c r="Q438" s="5">
        <v>1</v>
      </c>
      <c r="R438" s="5"/>
      <c r="S438" s="5">
        <f>SUM(bron[[#This Row],[Januari]:[December]])</f>
        <v>1</v>
      </c>
      <c r="T438" s="9">
        <v>45603</v>
      </c>
      <c r="U438" s="8" t="s">
        <v>890</v>
      </c>
      <c r="V438" s="8">
        <v>1</v>
      </c>
      <c r="W438" s="8"/>
      <c r="X438" t="s">
        <v>3</v>
      </c>
      <c r="Y438" t="s">
        <v>650</v>
      </c>
      <c r="Z438"/>
      <c r="AA438" t="s">
        <v>3612</v>
      </c>
      <c r="AB438">
        <f>COUNTIF(B:B,bron[[#This Row],[volledige naam]])</f>
        <v>8</v>
      </c>
    </row>
    <row r="439" spans="1:28" x14ac:dyDescent="0.25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J439" s="5"/>
      <c r="K439" s="5"/>
      <c r="L439" s="5"/>
      <c r="M439" s="5"/>
      <c r="N439" s="5"/>
      <c r="O439" s="5"/>
      <c r="P439" s="5"/>
      <c r="Q439" s="5">
        <v>1</v>
      </c>
      <c r="R439" s="5"/>
      <c r="S439" s="5">
        <f>SUM(bron[[#This Row],[Januari]:[December]])</f>
        <v>1</v>
      </c>
      <c r="T439" s="9">
        <v>45604</v>
      </c>
      <c r="U439" s="8" t="s">
        <v>891</v>
      </c>
      <c r="V439" s="8"/>
      <c r="W439" s="8">
        <v>1</v>
      </c>
      <c r="X439" t="s">
        <v>4</v>
      </c>
      <c r="Y439" t="s">
        <v>6</v>
      </c>
      <c r="Z439"/>
      <c r="AA439" t="s">
        <v>3612</v>
      </c>
      <c r="AB439">
        <f>COUNTIF(B:B,bron[[#This Row],[volledige naam]])</f>
        <v>1</v>
      </c>
    </row>
    <row r="440" spans="1:28" x14ac:dyDescent="0.25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J440" s="5"/>
      <c r="K440" s="5"/>
      <c r="L440" s="5"/>
      <c r="M440" s="5"/>
      <c r="N440" s="5"/>
      <c r="O440" s="5"/>
      <c r="P440" s="5"/>
      <c r="Q440" s="5">
        <v>1</v>
      </c>
      <c r="R440" s="5"/>
      <c r="S440" s="5">
        <f>SUM(bron[[#This Row],[Januari]:[December]])</f>
        <v>1</v>
      </c>
      <c r="T440" s="9">
        <v>45604</v>
      </c>
      <c r="U440" s="8" t="s">
        <v>892</v>
      </c>
      <c r="V440" s="8"/>
      <c r="W440" s="8">
        <v>1</v>
      </c>
      <c r="X440" t="s">
        <v>4</v>
      </c>
      <c r="Y440" t="s">
        <v>20</v>
      </c>
      <c r="Z440"/>
      <c r="AA440" t="s">
        <v>3612</v>
      </c>
      <c r="AB440">
        <f>COUNTIF(B:B,bron[[#This Row],[volledige naam]])</f>
        <v>2</v>
      </c>
    </row>
    <row r="441" spans="1:28" x14ac:dyDescent="0.25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J441" s="5"/>
      <c r="K441" s="5"/>
      <c r="L441" s="5"/>
      <c r="M441" s="5"/>
      <c r="N441" s="5"/>
      <c r="O441" s="5"/>
      <c r="P441" s="5"/>
      <c r="Q441" s="5">
        <v>1</v>
      </c>
      <c r="R441" s="5"/>
      <c r="S441" s="5">
        <f>SUM(bron[[#This Row],[Januari]:[December]])</f>
        <v>1</v>
      </c>
      <c r="T441" s="9">
        <v>45605</v>
      </c>
      <c r="U441" s="8" t="s">
        <v>893</v>
      </c>
      <c r="V441" s="8">
        <v>1</v>
      </c>
      <c r="W441" s="8"/>
      <c r="X441" t="s">
        <v>3</v>
      </c>
      <c r="Y441" t="s">
        <v>6</v>
      </c>
      <c r="Z441"/>
      <c r="AA441" t="s">
        <v>3612</v>
      </c>
      <c r="AB441">
        <f>COUNTIF(B:B,bron[[#This Row],[volledige naam]])</f>
        <v>4</v>
      </c>
    </row>
    <row r="442" spans="1:28" x14ac:dyDescent="0.25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J442" s="5"/>
      <c r="K442" s="5"/>
      <c r="L442" s="5"/>
      <c r="M442" s="5"/>
      <c r="N442" s="5"/>
      <c r="O442" s="5"/>
      <c r="P442" s="5"/>
      <c r="Q442" s="5">
        <v>1</v>
      </c>
      <c r="R442" s="5"/>
      <c r="S442" s="5">
        <f>SUM(bron[[#This Row],[Januari]:[December]])</f>
        <v>1</v>
      </c>
      <c r="T442" s="9">
        <v>45605</v>
      </c>
      <c r="U442" s="8" t="s">
        <v>894</v>
      </c>
      <c r="V442" s="8">
        <v>1</v>
      </c>
      <c r="W442" s="8"/>
      <c r="X442" t="s">
        <v>3</v>
      </c>
      <c r="Y442" t="s">
        <v>32</v>
      </c>
      <c r="Z442"/>
      <c r="AA442" t="s">
        <v>3612</v>
      </c>
      <c r="AB442">
        <f>COUNTIF(B:B,bron[[#This Row],[volledige naam]])</f>
        <v>2</v>
      </c>
    </row>
    <row r="443" spans="1:28" x14ac:dyDescent="0.25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J443" s="5"/>
      <c r="K443" s="5"/>
      <c r="L443" s="5"/>
      <c r="M443" s="5"/>
      <c r="N443" s="5"/>
      <c r="O443" s="5"/>
      <c r="P443" s="5"/>
      <c r="Q443" s="5">
        <v>1</v>
      </c>
      <c r="R443" s="5"/>
      <c r="S443" s="5">
        <f>SUM(bron[[#This Row],[Januari]:[December]])</f>
        <v>1</v>
      </c>
      <c r="T443" s="9">
        <v>45607</v>
      </c>
      <c r="U443" s="8" t="s">
        <v>895</v>
      </c>
      <c r="V443" s="8"/>
      <c r="W443" s="8">
        <v>1</v>
      </c>
      <c r="X443" t="s">
        <v>4</v>
      </c>
      <c r="Y443" t="s">
        <v>258</v>
      </c>
      <c r="Z443"/>
      <c r="AA443" t="s">
        <v>3612</v>
      </c>
      <c r="AB443">
        <f>COUNTIF(B:B,bron[[#This Row],[volledige naam]])</f>
        <v>2</v>
      </c>
    </row>
    <row r="444" spans="1:28" x14ac:dyDescent="0.25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J444" s="5"/>
      <c r="K444" s="5"/>
      <c r="L444" s="5"/>
      <c r="M444" s="5"/>
      <c r="N444" s="5"/>
      <c r="O444" s="5"/>
      <c r="P444" s="5"/>
      <c r="Q444" s="5">
        <v>1</v>
      </c>
      <c r="R444" s="5"/>
      <c r="S444" s="5">
        <f>SUM(bron[[#This Row],[Januari]:[December]])</f>
        <v>1</v>
      </c>
      <c r="T444" s="9">
        <v>45608</v>
      </c>
      <c r="U444" s="8" t="s">
        <v>896</v>
      </c>
      <c r="V444" s="8">
        <v>1</v>
      </c>
      <c r="W444" s="8"/>
      <c r="X444" t="s">
        <v>3</v>
      </c>
      <c r="Y444" t="s">
        <v>49</v>
      </c>
      <c r="Z444"/>
      <c r="AA444" t="s">
        <v>3612</v>
      </c>
      <c r="AB444">
        <f>COUNTIF(B:B,bron[[#This Row],[volledige naam]])</f>
        <v>10</v>
      </c>
    </row>
    <row r="445" spans="1:28" x14ac:dyDescent="0.25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J445" s="5"/>
      <c r="K445" s="5"/>
      <c r="L445" s="5"/>
      <c r="M445" s="5"/>
      <c r="N445" s="5"/>
      <c r="O445" s="5"/>
      <c r="P445" s="5"/>
      <c r="Q445" s="5">
        <v>1</v>
      </c>
      <c r="R445" s="5"/>
      <c r="S445" s="5">
        <f>SUM(bron[[#This Row],[Januari]:[December]])</f>
        <v>1</v>
      </c>
      <c r="T445" s="9">
        <v>45608</v>
      </c>
      <c r="U445" s="8" t="s">
        <v>897</v>
      </c>
      <c r="V445" s="8">
        <v>1</v>
      </c>
      <c r="W445" s="8"/>
      <c r="X445" t="s">
        <v>3</v>
      </c>
      <c r="Y445" t="s">
        <v>6</v>
      </c>
      <c r="Z445"/>
      <c r="AA445" t="s">
        <v>3612</v>
      </c>
      <c r="AB445">
        <f>COUNTIF(B:B,bron[[#This Row],[volledige naam]])</f>
        <v>4</v>
      </c>
    </row>
    <row r="446" spans="1:28" x14ac:dyDescent="0.25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J446" s="5"/>
      <c r="K446" s="5"/>
      <c r="L446" s="5"/>
      <c r="M446" s="5"/>
      <c r="N446" s="5"/>
      <c r="O446" s="5"/>
      <c r="P446" s="5"/>
      <c r="Q446" s="5">
        <v>1</v>
      </c>
      <c r="R446" s="5"/>
      <c r="S446" s="5">
        <f>SUM(bron[[#This Row],[Januari]:[December]])</f>
        <v>1</v>
      </c>
      <c r="T446" s="9">
        <v>45609</v>
      </c>
      <c r="U446" s="8" t="s">
        <v>898</v>
      </c>
      <c r="V446" s="8">
        <v>1</v>
      </c>
      <c r="W446" s="8"/>
      <c r="X446" t="s">
        <v>3</v>
      </c>
      <c r="Y446" t="s">
        <v>20</v>
      </c>
      <c r="Z446"/>
      <c r="AA446" t="s">
        <v>3612</v>
      </c>
      <c r="AB446">
        <f>COUNTIF(B:B,bron[[#This Row],[volledige naam]])</f>
        <v>4</v>
      </c>
    </row>
    <row r="447" spans="1:28" x14ac:dyDescent="0.25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J447" s="5"/>
      <c r="K447" s="5"/>
      <c r="L447" s="5"/>
      <c r="M447" s="5"/>
      <c r="N447" s="5"/>
      <c r="O447" s="5"/>
      <c r="P447" s="5"/>
      <c r="Q447" s="5">
        <v>1</v>
      </c>
      <c r="R447" s="5"/>
      <c r="S447" s="5">
        <f>SUM(bron[[#This Row],[Januari]:[December]])</f>
        <v>1</v>
      </c>
      <c r="T447" s="9">
        <v>45609</v>
      </c>
      <c r="U447" s="8" t="s">
        <v>899</v>
      </c>
      <c r="V447" s="8"/>
      <c r="W447" s="8">
        <v>1</v>
      </c>
      <c r="X447" t="s">
        <v>4</v>
      </c>
      <c r="Y447" t="s">
        <v>521</v>
      </c>
      <c r="Z447"/>
      <c r="AA447" t="s">
        <v>3612</v>
      </c>
      <c r="AB447">
        <f>COUNTIF(B:B,bron[[#This Row],[volledige naam]])</f>
        <v>1</v>
      </c>
    </row>
    <row r="448" spans="1:28" x14ac:dyDescent="0.25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370</v>
      </c>
      <c r="D448" t="s">
        <v>370</v>
      </c>
      <c r="E448" t="s">
        <v>62</v>
      </c>
      <c r="F448" s="10"/>
      <c r="G448" s="7"/>
      <c r="H448" s="7"/>
      <c r="I448" s="7"/>
      <c r="J448" s="5"/>
      <c r="K448" s="5"/>
      <c r="L448" s="5"/>
      <c r="M448" s="5"/>
      <c r="N448" s="5"/>
      <c r="O448" s="5"/>
      <c r="P448" s="5"/>
      <c r="Q448" s="5">
        <v>1</v>
      </c>
      <c r="R448" s="5"/>
      <c r="S448" s="5">
        <f>SUM(bron[[#This Row],[Januari]:[December]])</f>
        <v>1</v>
      </c>
      <c r="T448" s="9">
        <v>45610</v>
      </c>
      <c r="U448" s="8" t="s">
        <v>900</v>
      </c>
      <c r="V448" s="8">
        <v>1</v>
      </c>
      <c r="W448" s="8"/>
      <c r="X448" t="s">
        <v>3</v>
      </c>
      <c r="Y448" t="s">
        <v>98</v>
      </c>
      <c r="Z448"/>
      <c r="AA448" t="s">
        <v>3612</v>
      </c>
      <c r="AB448">
        <f>COUNTIF(B:B,bron[[#This Row],[volledige naam]])</f>
        <v>58</v>
      </c>
    </row>
    <row r="449" spans="1:28" x14ac:dyDescent="0.25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J449" s="5"/>
      <c r="K449" s="5"/>
      <c r="L449" s="5"/>
      <c r="M449" s="5"/>
      <c r="N449" s="5"/>
      <c r="O449" s="5"/>
      <c r="P449" s="5"/>
      <c r="Q449" s="5">
        <v>1</v>
      </c>
      <c r="R449" s="5"/>
      <c r="S449" s="5">
        <f>SUM(bron[[#This Row],[Januari]:[December]])</f>
        <v>1</v>
      </c>
      <c r="T449" s="9">
        <v>45610</v>
      </c>
      <c r="U449" s="8" t="s">
        <v>901</v>
      </c>
      <c r="V449" s="8">
        <v>1</v>
      </c>
      <c r="W449" s="8"/>
      <c r="X449" t="s">
        <v>3</v>
      </c>
      <c r="Y449" t="s">
        <v>16</v>
      </c>
      <c r="Z449"/>
      <c r="AA449" t="s">
        <v>3612</v>
      </c>
      <c r="AB449">
        <f>COUNTIF(B:B,bron[[#This Row],[volledige naam]])</f>
        <v>2</v>
      </c>
    </row>
    <row r="450" spans="1:28" x14ac:dyDescent="0.25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J450" s="5"/>
      <c r="K450" s="5"/>
      <c r="L450" s="5"/>
      <c r="M450" s="5"/>
      <c r="N450" s="5"/>
      <c r="O450" s="5"/>
      <c r="P450" s="5"/>
      <c r="Q450" s="5">
        <v>1</v>
      </c>
      <c r="R450" s="5"/>
      <c r="S450" s="5">
        <f>SUM(bron[[#This Row],[Januari]:[December]])</f>
        <v>1</v>
      </c>
      <c r="T450" s="9">
        <v>45610</v>
      </c>
      <c r="U450" s="8" t="s">
        <v>902</v>
      </c>
      <c r="V450" s="8"/>
      <c r="W450" s="8">
        <v>1</v>
      </c>
      <c r="X450" t="s">
        <v>4</v>
      </c>
      <c r="Y450" t="s">
        <v>128</v>
      </c>
      <c r="Z450"/>
      <c r="AA450" t="s">
        <v>3612</v>
      </c>
      <c r="AB450">
        <f>COUNTIF(B:B,bron[[#This Row],[volledige naam]])</f>
        <v>6</v>
      </c>
    </row>
    <row r="451" spans="1:28" x14ac:dyDescent="0.25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J451" s="5"/>
      <c r="K451" s="5"/>
      <c r="L451" s="5"/>
      <c r="M451" s="5"/>
      <c r="N451" s="5"/>
      <c r="O451" s="5"/>
      <c r="P451" s="5"/>
      <c r="Q451" s="5">
        <v>1</v>
      </c>
      <c r="R451" s="5"/>
      <c r="S451" s="5">
        <f>SUM(bron[[#This Row],[Januari]:[December]])</f>
        <v>1</v>
      </c>
      <c r="T451" s="9">
        <v>45611</v>
      </c>
      <c r="U451" s="8" t="s">
        <v>903</v>
      </c>
      <c r="V451" s="8">
        <v>1</v>
      </c>
      <c r="W451" s="8"/>
      <c r="X451" t="s">
        <v>3</v>
      </c>
      <c r="Y451" t="s">
        <v>6</v>
      </c>
      <c r="Z451"/>
      <c r="AA451" t="s">
        <v>3612</v>
      </c>
      <c r="AB451">
        <f>COUNTIF(B:B,bron[[#This Row],[volledige naam]])</f>
        <v>2</v>
      </c>
    </row>
    <row r="452" spans="1:28" x14ac:dyDescent="0.25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J452" s="5"/>
      <c r="K452" s="5"/>
      <c r="L452" s="5"/>
      <c r="M452" s="5"/>
      <c r="N452" s="5"/>
      <c r="O452" s="5"/>
      <c r="P452" s="5"/>
      <c r="Q452" s="5">
        <v>1</v>
      </c>
      <c r="R452" s="5"/>
      <c r="S452" s="5">
        <f>SUM(bron[[#This Row],[Januari]:[December]])</f>
        <v>1</v>
      </c>
      <c r="T452" s="9">
        <v>45613</v>
      </c>
      <c r="U452" s="8" t="s">
        <v>904</v>
      </c>
      <c r="V452" s="8">
        <v>1</v>
      </c>
      <c r="W452" s="8"/>
      <c r="X452" t="s">
        <v>3</v>
      </c>
      <c r="Y452" t="s">
        <v>100</v>
      </c>
      <c r="Z452"/>
      <c r="AA452" t="s">
        <v>3612</v>
      </c>
      <c r="AB452">
        <f>COUNTIF(B:B,bron[[#This Row],[volledige naam]])</f>
        <v>2</v>
      </c>
    </row>
    <row r="453" spans="1:28" x14ac:dyDescent="0.25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J453" s="5"/>
      <c r="K453" s="5"/>
      <c r="L453" s="5"/>
      <c r="M453" s="5"/>
      <c r="N453" s="5"/>
      <c r="O453" s="5"/>
      <c r="P453" s="5"/>
      <c r="Q453" s="5">
        <v>1</v>
      </c>
      <c r="R453" s="5"/>
      <c r="S453" s="5">
        <f>SUM(bron[[#This Row],[Januari]:[December]])</f>
        <v>1</v>
      </c>
      <c r="T453" s="9">
        <v>45614</v>
      </c>
      <c r="U453" s="8" t="s">
        <v>905</v>
      </c>
      <c r="V453" s="8"/>
      <c r="W453" s="8">
        <v>1</v>
      </c>
      <c r="X453" t="s">
        <v>4</v>
      </c>
      <c r="Y453" t="s">
        <v>6</v>
      </c>
      <c r="Z453"/>
      <c r="AA453" t="s">
        <v>3612</v>
      </c>
      <c r="AB453">
        <f>COUNTIF(B:B,bron[[#This Row],[volledige naam]])</f>
        <v>1</v>
      </c>
    </row>
    <row r="454" spans="1:28" x14ac:dyDescent="0.25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J454" s="5"/>
      <c r="K454" s="5"/>
      <c r="L454" s="5"/>
      <c r="M454" s="5"/>
      <c r="N454" s="5"/>
      <c r="O454" s="5"/>
      <c r="P454" s="5"/>
      <c r="Q454" s="5">
        <v>1</v>
      </c>
      <c r="R454" s="5"/>
      <c r="S454" s="5">
        <f>SUM(bron[[#This Row],[Januari]:[December]])</f>
        <v>1</v>
      </c>
      <c r="T454" s="9">
        <v>45615</v>
      </c>
      <c r="U454" s="8" t="s">
        <v>906</v>
      </c>
      <c r="V454" s="8">
        <v>1</v>
      </c>
      <c r="W454" s="8"/>
      <c r="X454" t="s">
        <v>3</v>
      </c>
      <c r="Y454" t="s">
        <v>907</v>
      </c>
      <c r="Z454"/>
      <c r="AA454" t="s">
        <v>3612</v>
      </c>
      <c r="AB454">
        <f>COUNTIF(B:B,bron[[#This Row],[volledige naam]])</f>
        <v>2</v>
      </c>
    </row>
    <row r="455" spans="1:28" x14ac:dyDescent="0.25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J455" s="5"/>
      <c r="K455" s="5"/>
      <c r="L455" s="5"/>
      <c r="M455" s="5"/>
      <c r="N455" s="5"/>
      <c r="O455" s="5"/>
      <c r="P455" s="5"/>
      <c r="Q455" s="5">
        <v>1</v>
      </c>
      <c r="R455" s="5"/>
      <c r="S455" s="5">
        <f>SUM(bron[[#This Row],[Januari]:[December]])</f>
        <v>1</v>
      </c>
      <c r="T455" s="9">
        <v>45615</v>
      </c>
      <c r="U455" s="8" t="s">
        <v>908</v>
      </c>
      <c r="V455" s="8"/>
      <c r="W455" s="8">
        <v>1</v>
      </c>
      <c r="X455" t="s">
        <v>4</v>
      </c>
      <c r="Y455" t="s">
        <v>909</v>
      </c>
      <c r="Z455"/>
      <c r="AA455" t="s">
        <v>3612</v>
      </c>
      <c r="AB455">
        <f>COUNTIF(B:B,bron[[#This Row],[volledige naam]])</f>
        <v>4</v>
      </c>
    </row>
    <row r="456" spans="1:28" x14ac:dyDescent="0.25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J456" s="5"/>
      <c r="K456" s="5"/>
      <c r="L456" s="5"/>
      <c r="M456" s="5"/>
      <c r="N456" s="5"/>
      <c r="O456" s="5"/>
      <c r="P456" s="5"/>
      <c r="Q456" s="5">
        <v>1</v>
      </c>
      <c r="R456" s="5"/>
      <c r="S456" s="5">
        <f>SUM(bron[[#This Row],[Januari]:[December]])</f>
        <v>1</v>
      </c>
      <c r="T456" s="9">
        <v>45615</v>
      </c>
      <c r="U456" s="8" t="s">
        <v>910</v>
      </c>
      <c r="V456" s="8"/>
      <c r="W456" s="8">
        <v>1</v>
      </c>
      <c r="X456" t="s">
        <v>4</v>
      </c>
      <c r="Y456" t="s">
        <v>512</v>
      </c>
      <c r="Z456"/>
      <c r="AA456" t="s">
        <v>3612</v>
      </c>
      <c r="AB456">
        <f>COUNTIF(B:B,bron[[#This Row],[volledige naam]])</f>
        <v>1</v>
      </c>
    </row>
    <row r="457" spans="1:28" x14ac:dyDescent="0.25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J457" s="5"/>
      <c r="K457" s="5"/>
      <c r="L457" s="5"/>
      <c r="M457" s="5"/>
      <c r="N457" s="5"/>
      <c r="O457" s="5"/>
      <c r="P457" s="5"/>
      <c r="Q457" s="5">
        <v>1</v>
      </c>
      <c r="R457" s="5"/>
      <c r="S457" s="5">
        <f>SUM(bron[[#This Row],[Januari]:[December]])</f>
        <v>1</v>
      </c>
      <c r="T457" s="9">
        <v>45615</v>
      </c>
      <c r="U457" s="8" t="s">
        <v>911</v>
      </c>
      <c r="V457" s="8">
        <v>1</v>
      </c>
      <c r="W457" s="8"/>
      <c r="X457" t="s">
        <v>3</v>
      </c>
      <c r="Y457" t="s">
        <v>12</v>
      </c>
      <c r="Z457"/>
      <c r="AA457" t="s">
        <v>3612</v>
      </c>
      <c r="AB457">
        <f>COUNTIF(B:B,bron[[#This Row],[volledige naam]])</f>
        <v>3</v>
      </c>
    </row>
    <row r="458" spans="1:28" x14ac:dyDescent="0.25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J458" s="5"/>
      <c r="K458" s="5"/>
      <c r="L458" s="5"/>
      <c r="M458" s="5"/>
      <c r="N458" s="5"/>
      <c r="O458" s="5"/>
      <c r="P458" s="5"/>
      <c r="Q458" s="5">
        <v>1</v>
      </c>
      <c r="R458" s="5"/>
      <c r="S458" s="5">
        <f>SUM(bron[[#This Row],[Januari]:[December]])</f>
        <v>1</v>
      </c>
      <c r="T458" s="9">
        <v>45616</v>
      </c>
      <c r="U458" s="8" t="s">
        <v>912</v>
      </c>
      <c r="V458" s="8">
        <v>1</v>
      </c>
      <c r="W458" s="8"/>
      <c r="X458" t="s">
        <v>3</v>
      </c>
      <c r="Y458" t="s">
        <v>138</v>
      </c>
      <c r="Z458"/>
      <c r="AA458" t="s">
        <v>3612</v>
      </c>
      <c r="AB458">
        <f>COUNTIF(B:B,bron[[#This Row],[volledige naam]])</f>
        <v>2</v>
      </c>
    </row>
    <row r="459" spans="1:28" x14ac:dyDescent="0.25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J459" s="5"/>
      <c r="K459" s="5"/>
      <c r="L459" s="5"/>
      <c r="M459" s="5"/>
      <c r="N459" s="5"/>
      <c r="O459" s="5"/>
      <c r="P459" s="5"/>
      <c r="Q459" s="5">
        <v>1</v>
      </c>
      <c r="R459" s="5"/>
      <c r="S459" s="5">
        <f>SUM(bron[[#This Row],[Januari]:[December]])</f>
        <v>1</v>
      </c>
      <c r="T459" s="9">
        <v>45617</v>
      </c>
      <c r="U459" s="8" t="s">
        <v>913</v>
      </c>
      <c r="V459" s="8"/>
      <c r="W459" s="8">
        <v>1</v>
      </c>
      <c r="X459" t="s">
        <v>4</v>
      </c>
      <c r="Y459" t="s">
        <v>834</v>
      </c>
      <c r="Z459"/>
      <c r="AA459" t="s">
        <v>3612</v>
      </c>
      <c r="AB459">
        <f>COUNTIF(B:B,bron[[#This Row],[volledige naam]])</f>
        <v>5</v>
      </c>
    </row>
    <row r="460" spans="1:28" x14ac:dyDescent="0.25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J460" s="5"/>
      <c r="K460" s="5"/>
      <c r="L460" s="5"/>
      <c r="M460" s="5"/>
      <c r="N460" s="5"/>
      <c r="O460" s="5"/>
      <c r="P460" s="5"/>
      <c r="Q460" s="5">
        <v>1</v>
      </c>
      <c r="R460" s="5"/>
      <c r="S460" s="5">
        <f>SUM(bron[[#This Row],[Januari]:[December]])</f>
        <v>1</v>
      </c>
      <c r="T460" s="9">
        <v>45618</v>
      </c>
      <c r="U460" s="8" t="s">
        <v>914</v>
      </c>
      <c r="V460" s="8">
        <v>1</v>
      </c>
      <c r="W460" s="8"/>
      <c r="X460" t="s">
        <v>3</v>
      </c>
      <c r="Y460" t="s">
        <v>270</v>
      </c>
      <c r="Z460"/>
      <c r="AA460" t="s">
        <v>3612</v>
      </c>
      <c r="AB460">
        <f>COUNTIF(B:B,bron[[#This Row],[volledige naam]])</f>
        <v>6</v>
      </c>
    </row>
    <row r="461" spans="1:28" x14ac:dyDescent="0.25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J461" s="5"/>
      <c r="K461" s="5"/>
      <c r="L461" s="5"/>
      <c r="M461" s="5"/>
      <c r="N461" s="5"/>
      <c r="O461" s="5"/>
      <c r="P461" s="5"/>
      <c r="Q461" s="5">
        <v>1</v>
      </c>
      <c r="R461" s="5"/>
      <c r="S461" s="5">
        <f>SUM(bron[[#This Row],[Januari]:[December]])</f>
        <v>1</v>
      </c>
      <c r="T461" s="9">
        <v>45618</v>
      </c>
      <c r="U461" s="8" t="s">
        <v>915</v>
      </c>
      <c r="V461" s="8"/>
      <c r="W461" s="8">
        <v>1</v>
      </c>
      <c r="X461" t="s">
        <v>4</v>
      </c>
      <c r="Y461" t="s">
        <v>474</v>
      </c>
      <c r="Z461"/>
      <c r="AA461" t="s">
        <v>3612</v>
      </c>
      <c r="AB461">
        <f>COUNTIF(B:B,bron[[#This Row],[volledige naam]])</f>
        <v>5</v>
      </c>
    </row>
    <row r="462" spans="1:28" x14ac:dyDescent="0.25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J462" s="5"/>
      <c r="K462" s="5"/>
      <c r="L462" s="5"/>
      <c r="M462" s="5"/>
      <c r="N462" s="5"/>
      <c r="O462" s="5"/>
      <c r="P462" s="5"/>
      <c r="Q462" s="5">
        <v>1</v>
      </c>
      <c r="R462" s="5"/>
      <c r="S462" s="5">
        <f>SUM(bron[[#This Row],[Januari]:[December]])</f>
        <v>1</v>
      </c>
      <c r="T462" s="9">
        <v>45619</v>
      </c>
      <c r="U462" s="8" t="s">
        <v>916</v>
      </c>
      <c r="V462" s="8">
        <v>1</v>
      </c>
      <c r="W462" s="8"/>
      <c r="X462" t="s">
        <v>3</v>
      </c>
      <c r="Y462" t="s">
        <v>2</v>
      </c>
      <c r="Z462"/>
      <c r="AA462" t="s">
        <v>3612</v>
      </c>
      <c r="AB462">
        <f>COUNTIF(B:B,bron[[#This Row],[volledige naam]])</f>
        <v>10</v>
      </c>
    </row>
    <row r="463" spans="1:28" x14ac:dyDescent="0.25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370</v>
      </c>
      <c r="D463" t="s">
        <v>370</v>
      </c>
      <c r="E463" t="s">
        <v>62</v>
      </c>
      <c r="F463" s="10"/>
      <c r="G463" s="7"/>
      <c r="H463" s="7"/>
      <c r="I463" s="7"/>
      <c r="J463" s="5"/>
      <c r="K463" s="5"/>
      <c r="L463" s="5"/>
      <c r="M463" s="5"/>
      <c r="N463" s="5"/>
      <c r="O463" s="5"/>
      <c r="P463" s="5"/>
      <c r="Q463" s="5">
        <v>1</v>
      </c>
      <c r="R463" s="5"/>
      <c r="S463" s="5">
        <f>SUM(bron[[#This Row],[Januari]:[December]])</f>
        <v>1</v>
      </c>
      <c r="T463" s="9">
        <v>45619</v>
      </c>
      <c r="U463" s="8" t="s">
        <v>917</v>
      </c>
      <c r="V463" s="8">
        <v>1</v>
      </c>
      <c r="W463" s="8"/>
      <c r="X463" t="s">
        <v>3</v>
      </c>
      <c r="Y463" t="s">
        <v>918</v>
      </c>
      <c r="Z463"/>
      <c r="AA463" t="s">
        <v>3612</v>
      </c>
      <c r="AB463">
        <f>COUNTIF(B:B,bron[[#This Row],[volledige naam]])</f>
        <v>58</v>
      </c>
    </row>
    <row r="464" spans="1:28" x14ac:dyDescent="0.25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J464" s="5"/>
      <c r="K464" s="5"/>
      <c r="L464" s="5"/>
      <c r="M464" s="5"/>
      <c r="N464" s="5"/>
      <c r="O464" s="5"/>
      <c r="P464" s="5"/>
      <c r="Q464" s="5">
        <v>1</v>
      </c>
      <c r="R464" s="5"/>
      <c r="S464" s="5">
        <f>SUM(bron[[#This Row],[Januari]:[December]])</f>
        <v>1</v>
      </c>
      <c r="T464" s="9">
        <v>45622</v>
      </c>
      <c r="U464" s="8" t="s">
        <v>919</v>
      </c>
      <c r="V464" s="8">
        <v>1</v>
      </c>
      <c r="W464" s="8"/>
      <c r="X464" t="s">
        <v>3</v>
      </c>
      <c r="Y464" t="s">
        <v>178</v>
      </c>
      <c r="Z464"/>
      <c r="AA464" t="s">
        <v>3612</v>
      </c>
      <c r="AB464">
        <f>COUNTIF(B:B,bron[[#This Row],[volledige naam]])</f>
        <v>2</v>
      </c>
    </row>
    <row r="465" spans="1:28" x14ac:dyDescent="0.25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J465" s="5"/>
      <c r="K465" s="5"/>
      <c r="L465" s="5"/>
      <c r="M465" s="5"/>
      <c r="N465" s="5"/>
      <c r="O465" s="5"/>
      <c r="P465" s="5"/>
      <c r="Q465" s="5">
        <v>1</v>
      </c>
      <c r="R465" s="5"/>
      <c r="S465" s="5">
        <f>SUM(bron[[#This Row],[Januari]:[December]])</f>
        <v>1</v>
      </c>
      <c r="T465" s="9">
        <v>45624</v>
      </c>
      <c r="U465" s="8" t="s">
        <v>920</v>
      </c>
      <c r="V465" s="8">
        <v>1</v>
      </c>
      <c r="W465" s="8"/>
      <c r="X465" t="s">
        <v>3</v>
      </c>
      <c r="Y465" t="s">
        <v>12</v>
      </c>
      <c r="Z465"/>
      <c r="AA465" t="s">
        <v>3612</v>
      </c>
      <c r="AB465">
        <f>COUNTIF(B:B,bron[[#This Row],[volledige naam]])</f>
        <v>4</v>
      </c>
    </row>
    <row r="466" spans="1:28" x14ac:dyDescent="0.25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J466" s="5"/>
      <c r="K466" s="5"/>
      <c r="L466" s="5"/>
      <c r="M466" s="5"/>
      <c r="N466" s="5"/>
      <c r="O466" s="5"/>
      <c r="P466" s="5"/>
      <c r="Q466" s="5">
        <v>1</v>
      </c>
      <c r="R466" s="5"/>
      <c r="S466" s="5">
        <f>SUM(bron[[#This Row],[Januari]:[December]])</f>
        <v>1</v>
      </c>
      <c r="T466" s="9">
        <v>45624</v>
      </c>
      <c r="U466" s="8" t="s">
        <v>921</v>
      </c>
      <c r="V466" s="8">
        <v>1</v>
      </c>
      <c r="W466" s="8"/>
      <c r="X466" t="s">
        <v>3</v>
      </c>
      <c r="Y466" t="s">
        <v>18</v>
      </c>
      <c r="Z466"/>
      <c r="AA466" t="s">
        <v>3612</v>
      </c>
      <c r="AB466">
        <f>COUNTIF(B:B,bron[[#This Row],[volledige naam]])</f>
        <v>4</v>
      </c>
    </row>
    <row r="467" spans="1:28" x14ac:dyDescent="0.25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370</v>
      </c>
      <c r="D467" t="s">
        <v>370</v>
      </c>
      <c r="E467" t="s">
        <v>62</v>
      </c>
      <c r="F467" s="10"/>
      <c r="G467" s="7"/>
      <c r="H467" s="7"/>
      <c r="I467" s="7"/>
      <c r="J467" s="5"/>
      <c r="K467" s="5"/>
      <c r="L467" s="5"/>
      <c r="M467" s="5"/>
      <c r="N467" s="5"/>
      <c r="O467" s="5"/>
      <c r="P467" s="5"/>
      <c r="Q467" s="5">
        <v>1</v>
      </c>
      <c r="R467" s="5"/>
      <c r="S467" s="5">
        <f>SUM(bron[[#This Row],[Januari]:[December]])</f>
        <v>1</v>
      </c>
      <c r="T467" s="9">
        <v>45625</v>
      </c>
      <c r="U467" s="8" t="s">
        <v>922</v>
      </c>
      <c r="V467" s="8">
        <v>1</v>
      </c>
      <c r="W467" s="8"/>
      <c r="X467" t="s">
        <v>3</v>
      </c>
      <c r="Y467" t="s">
        <v>8</v>
      </c>
      <c r="Z467"/>
      <c r="AA467" t="s">
        <v>3612</v>
      </c>
      <c r="AB467">
        <f>COUNTIF(B:B,bron[[#This Row],[volledige naam]])</f>
        <v>58</v>
      </c>
    </row>
    <row r="468" spans="1:28" x14ac:dyDescent="0.25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J468" s="5"/>
      <c r="K468" s="5"/>
      <c r="L468" s="5"/>
      <c r="M468" s="5"/>
      <c r="N468" s="5"/>
      <c r="O468" s="5"/>
      <c r="P468" s="5"/>
      <c r="Q468" s="5">
        <v>1</v>
      </c>
      <c r="R468" s="5"/>
      <c r="S468" s="5">
        <f>SUM(bron[[#This Row],[Januari]:[December]])</f>
        <v>1</v>
      </c>
      <c r="T468" s="9">
        <v>45625</v>
      </c>
      <c r="U468" s="8" t="s">
        <v>923</v>
      </c>
      <c r="V468" s="8">
        <v>1</v>
      </c>
      <c r="W468" s="8"/>
      <c r="X468" t="s">
        <v>3</v>
      </c>
      <c r="Y468" t="s">
        <v>498</v>
      </c>
      <c r="Z468"/>
      <c r="AA468" t="s">
        <v>3612</v>
      </c>
      <c r="AB468">
        <f>COUNTIF(B:B,bron[[#This Row],[volledige naam]])</f>
        <v>8</v>
      </c>
    </row>
    <row r="469" spans="1:28" x14ac:dyDescent="0.25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J469" s="5"/>
      <c r="K469" s="5"/>
      <c r="L469" s="5"/>
      <c r="M469" s="5"/>
      <c r="N469" s="5"/>
      <c r="O469" s="5"/>
      <c r="P469" s="5"/>
      <c r="Q469" s="5">
        <v>1</v>
      </c>
      <c r="R469" s="5"/>
      <c r="S469" s="5">
        <f>SUM(bron[[#This Row],[Januari]:[December]])</f>
        <v>1</v>
      </c>
      <c r="T469" s="9">
        <v>45626</v>
      </c>
      <c r="U469" s="8" t="s">
        <v>924</v>
      </c>
      <c r="V469" s="8">
        <v>1</v>
      </c>
      <c r="W469" s="8"/>
      <c r="X469" t="s">
        <v>3</v>
      </c>
      <c r="Y469" t="s">
        <v>22</v>
      </c>
      <c r="Z469"/>
      <c r="AA469" t="s">
        <v>3612</v>
      </c>
      <c r="AB469">
        <f>COUNTIF(B:B,bron[[#This Row],[volledige naam]])</f>
        <v>4</v>
      </c>
    </row>
    <row r="470" spans="1:28" x14ac:dyDescent="0.25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J470" s="5"/>
      <c r="K470" s="5"/>
      <c r="L470" s="5"/>
      <c r="M470" s="5"/>
      <c r="N470" s="5"/>
      <c r="O470" s="5"/>
      <c r="P470" s="5"/>
      <c r="Q470" s="5">
        <v>1</v>
      </c>
      <c r="R470" s="5"/>
      <c r="S470" s="5">
        <f>SUM(bron[[#This Row],[Januari]:[December]])</f>
        <v>1</v>
      </c>
      <c r="T470" s="9">
        <v>45626</v>
      </c>
      <c r="U470" s="8" t="s">
        <v>925</v>
      </c>
      <c r="V470" s="8">
        <v>1</v>
      </c>
      <c r="W470" s="8"/>
      <c r="X470" t="s">
        <v>3</v>
      </c>
      <c r="Y470" t="s">
        <v>142</v>
      </c>
      <c r="Z470"/>
      <c r="AA470" t="s">
        <v>3612</v>
      </c>
      <c r="AB470">
        <f>COUNTIF(B:B,bron[[#This Row],[volledige naam]])</f>
        <v>3</v>
      </c>
    </row>
    <row r="471" spans="1:28" x14ac:dyDescent="0.25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J471" s="5"/>
      <c r="K471" s="5"/>
      <c r="L471" s="5"/>
      <c r="M471" s="5"/>
      <c r="N471" s="5"/>
      <c r="O471" s="5"/>
      <c r="P471" s="5"/>
      <c r="Q471" s="5">
        <v>1</v>
      </c>
      <c r="R471" s="5"/>
      <c r="S471" s="5">
        <f>SUM(bron[[#This Row],[Januari]:[December]])</f>
        <v>1</v>
      </c>
      <c r="T471" s="9">
        <v>45626</v>
      </c>
      <c r="U471" s="8" t="s">
        <v>926</v>
      </c>
      <c r="V471" s="8"/>
      <c r="W471" s="8">
        <v>1</v>
      </c>
      <c r="X471" t="s">
        <v>4</v>
      </c>
      <c r="Y471" t="s">
        <v>110</v>
      </c>
      <c r="Z471"/>
      <c r="AA471" t="s">
        <v>3612</v>
      </c>
      <c r="AB471">
        <f>COUNTIF(B:B,bron[[#This Row],[volledige naam]])</f>
        <v>10</v>
      </c>
    </row>
    <row r="472" spans="1:28" x14ac:dyDescent="0.25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J472" s="5"/>
      <c r="K472" s="5"/>
      <c r="L472" s="5"/>
      <c r="M472" s="5"/>
      <c r="N472" s="5"/>
      <c r="O472" s="5"/>
      <c r="P472" s="5"/>
      <c r="Q472" s="5">
        <v>1</v>
      </c>
      <c r="R472" s="5"/>
      <c r="S472" s="5">
        <f>SUM(bron[[#This Row],[Januari]:[December]])</f>
        <v>1</v>
      </c>
      <c r="T472" s="9">
        <v>45626</v>
      </c>
      <c r="U472" s="8" t="s">
        <v>927</v>
      </c>
      <c r="V472" s="8"/>
      <c r="W472" s="8">
        <v>1</v>
      </c>
      <c r="X472" t="s">
        <v>4</v>
      </c>
      <c r="Y472" t="s">
        <v>128</v>
      </c>
      <c r="Z472"/>
      <c r="AA472" t="s">
        <v>3612</v>
      </c>
      <c r="AB472">
        <f>COUNTIF(B:B,bron[[#This Row],[volledige naam]])</f>
        <v>2</v>
      </c>
    </row>
    <row r="473" spans="1:28" x14ac:dyDescent="0.25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J473" s="5"/>
      <c r="K473" s="5"/>
      <c r="L473" s="5"/>
      <c r="M473" s="5"/>
      <c r="N473" s="5"/>
      <c r="O473" s="5"/>
      <c r="P473" s="5"/>
      <c r="Q473" s="5"/>
      <c r="R473" s="5">
        <v>1</v>
      </c>
      <c r="S473" s="5">
        <f>SUM(bron[[#This Row],[Januari]:[December]])</f>
        <v>1</v>
      </c>
      <c r="T473" s="9">
        <v>45627</v>
      </c>
      <c r="U473" s="8" t="s">
        <v>928</v>
      </c>
      <c r="V473" s="8"/>
      <c r="W473" s="8">
        <v>1</v>
      </c>
      <c r="X473" t="s">
        <v>4</v>
      </c>
      <c r="Y473" t="s">
        <v>468</v>
      </c>
      <c r="Z473"/>
      <c r="AA473" t="s">
        <v>3612</v>
      </c>
      <c r="AB473">
        <f>COUNTIF(B:B,bron[[#This Row],[volledige naam]])</f>
        <v>3</v>
      </c>
    </row>
    <row r="474" spans="1:28" x14ac:dyDescent="0.25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J474" s="5"/>
      <c r="K474" s="5"/>
      <c r="L474" s="5"/>
      <c r="M474" s="5"/>
      <c r="N474" s="5"/>
      <c r="O474" s="5"/>
      <c r="P474" s="5"/>
      <c r="Q474" s="5"/>
      <c r="R474" s="5">
        <v>1</v>
      </c>
      <c r="S474" s="5">
        <f>SUM(bron[[#This Row],[Januari]:[December]])</f>
        <v>1</v>
      </c>
      <c r="T474" s="9">
        <v>45628</v>
      </c>
      <c r="U474" s="8" t="s">
        <v>929</v>
      </c>
      <c r="V474" s="8">
        <v>1</v>
      </c>
      <c r="W474" s="8"/>
      <c r="X474" t="s">
        <v>3</v>
      </c>
      <c r="Y474" t="s">
        <v>930</v>
      </c>
      <c r="Z474"/>
      <c r="AA474" t="s">
        <v>3612</v>
      </c>
      <c r="AB474">
        <f>COUNTIF(B:B,bron[[#This Row],[volledige naam]])</f>
        <v>10</v>
      </c>
    </row>
    <row r="475" spans="1:28" x14ac:dyDescent="0.25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J475" s="5"/>
      <c r="K475" s="5"/>
      <c r="L475" s="5"/>
      <c r="M475" s="5"/>
      <c r="N475" s="5"/>
      <c r="O475" s="5"/>
      <c r="P475" s="5"/>
      <c r="Q475" s="5"/>
      <c r="R475" s="5">
        <v>1</v>
      </c>
      <c r="S475" s="5">
        <f>SUM(bron[[#This Row],[Januari]:[December]])</f>
        <v>1</v>
      </c>
      <c r="T475" s="9">
        <v>45628</v>
      </c>
      <c r="U475" s="8" t="s">
        <v>931</v>
      </c>
      <c r="V475" s="8"/>
      <c r="W475" s="8">
        <v>1</v>
      </c>
      <c r="X475" t="s">
        <v>4</v>
      </c>
      <c r="Y475" t="s">
        <v>246</v>
      </c>
      <c r="Z475"/>
      <c r="AA475" t="s">
        <v>3612</v>
      </c>
      <c r="AB475">
        <f>COUNTIF(B:B,bron[[#This Row],[volledige naam]])</f>
        <v>2</v>
      </c>
    </row>
    <row r="476" spans="1:28" x14ac:dyDescent="0.25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J476" s="5"/>
      <c r="K476" s="5"/>
      <c r="L476" s="5"/>
      <c r="M476" s="5"/>
      <c r="N476" s="5"/>
      <c r="O476" s="5"/>
      <c r="P476" s="5"/>
      <c r="Q476" s="5"/>
      <c r="R476" s="5">
        <v>1</v>
      </c>
      <c r="S476" s="5">
        <f>SUM(bron[[#This Row],[Januari]:[December]])</f>
        <v>1</v>
      </c>
      <c r="T476" s="9">
        <v>45629</v>
      </c>
      <c r="U476" s="8" t="s">
        <v>932</v>
      </c>
      <c r="V476" s="8">
        <v>1</v>
      </c>
      <c r="W476" s="8"/>
      <c r="X476" t="s">
        <v>3</v>
      </c>
      <c r="Y476" t="s">
        <v>650</v>
      </c>
      <c r="Z476"/>
      <c r="AA476" t="s">
        <v>3612</v>
      </c>
      <c r="AB476">
        <f>COUNTIF(B:B,bron[[#This Row],[volledige naam]])</f>
        <v>4</v>
      </c>
    </row>
    <row r="477" spans="1:28" x14ac:dyDescent="0.25">
      <c r="A477">
        <v>18987</v>
      </c>
      <c r="B477" t="e">
        <f>_xlfn.CONCAT(bron[[#This Row],[personeelsnr]]," ",bron[[#This Row],[achternaam]]," ",bron[[#This Row],[voornaam]])</f>
        <v>#N/A</v>
      </c>
      <c r="C477" t="e">
        <f>VLOOKUP(bron[[#This Row],[personeelsnr]],'data hastus'!$A:$C,2,0)</f>
        <v>#N/A</v>
      </c>
      <c r="D477" t="e">
        <f>VLOOKUP(bron[[#This Row],[personeelsnr]],'data hastus'!$A:$C,3,0)</f>
        <v>#N/A</v>
      </c>
      <c r="E477" t="e">
        <f>VLOOKUP(bron[[#This Row],[personeelsnr]],'data hastus'!A:K,11,FALSE)</f>
        <v>#N/A</v>
      </c>
      <c r="F477" s="10"/>
      <c r="G477" s="7"/>
      <c r="H477" s="7"/>
      <c r="I477" s="7"/>
      <c r="J477" s="5"/>
      <c r="K477" s="5"/>
      <c r="L477" s="5"/>
      <c r="M477" s="5"/>
      <c r="N477" s="5"/>
      <c r="O477" s="5"/>
      <c r="P477" s="5"/>
      <c r="Q477" s="5"/>
      <c r="R477" s="5">
        <v>1</v>
      </c>
      <c r="S477" s="5">
        <f>SUM(bron[[#This Row],[Januari]:[December]])</f>
        <v>1</v>
      </c>
      <c r="T477" s="9">
        <v>45629</v>
      </c>
      <c r="U477" s="8" t="s">
        <v>933</v>
      </c>
      <c r="V477" s="8">
        <v>1</v>
      </c>
      <c r="W477" s="8"/>
      <c r="X477" t="s">
        <v>3</v>
      </c>
      <c r="Y477" t="s">
        <v>98</v>
      </c>
      <c r="Z477"/>
      <c r="AA477" t="s">
        <v>3612</v>
      </c>
      <c r="AB477">
        <f>COUNTIF(B:B,bron[[#This Row],[volledige naam]])</f>
        <v>24</v>
      </c>
    </row>
    <row r="478" spans="1:28" x14ac:dyDescent="0.25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J478" s="5"/>
      <c r="K478" s="5"/>
      <c r="L478" s="5"/>
      <c r="M478" s="5"/>
      <c r="N478" s="5"/>
      <c r="O478" s="5"/>
      <c r="P478" s="5"/>
      <c r="Q478" s="5"/>
      <c r="R478" s="5">
        <v>1</v>
      </c>
      <c r="S478" s="5">
        <f>SUM(bron[[#This Row],[Januari]:[December]])</f>
        <v>1</v>
      </c>
      <c r="T478" s="9">
        <v>45630</v>
      </c>
      <c r="U478" s="8" t="s">
        <v>934</v>
      </c>
      <c r="V478" s="8">
        <v>1</v>
      </c>
      <c r="W478" s="8"/>
      <c r="X478" t="s">
        <v>3</v>
      </c>
      <c r="Y478" t="s">
        <v>6</v>
      </c>
      <c r="Z478"/>
      <c r="AA478" t="s">
        <v>3612</v>
      </c>
      <c r="AB478">
        <f>COUNTIF(B:B,bron[[#This Row],[volledige naam]])</f>
        <v>4</v>
      </c>
    </row>
    <row r="479" spans="1:28" x14ac:dyDescent="0.25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J479" s="5"/>
      <c r="K479" s="5"/>
      <c r="L479" s="5"/>
      <c r="M479" s="5"/>
      <c r="N479" s="5"/>
      <c r="O479" s="5"/>
      <c r="P479" s="5"/>
      <c r="Q479" s="5"/>
      <c r="R479" s="5">
        <v>1</v>
      </c>
      <c r="S479" s="5">
        <f>SUM(bron[[#This Row],[Januari]:[December]])</f>
        <v>1</v>
      </c>
      <c r="T479" s="9">
        <v>45630</v>
      </c>
      <c r="U479" s="8" t="s">
        <v>935</v>
      </c>
      <c r="V479" s="8">
        <v>1</v>
      </c>
      <c r="W479" s="8"/>
      <c r="X479" t="s">
        <v>3</v>
      </c>
      <c r="Y479" t="s">
        <v>936</v>
      </c>
      <c r="Z479"/>
      <c r="AA479" t="s">
        <v>3612</v>
      </c>
      <c r="AB479">
        <f>COUNTIF(B:B,bron[[#This Row],[volledige naam]])</f>
        <v>6</v>
      </c>
    </row>
    <row r="480" spans="1:28" x14ac:dyDescent="0.25">
      <c r="A480">
        <v>40744</v>
      </c>
      <c r="B480" t="str">
        <f>_xlfn.CONCAT(bron[[#This Row],[personeelsnr]]," ",bron[[#This Row],[achternaam]]," ",bron[[#This Row],[voornaam]])</f>
        <v>40744 Gözüküçük Ugur</v>
      </c>
      <c r="C480" t="str">
        <f>VLOOKUP(bron[[#This Row],[personeelsnr]],'data hastus'!$A:$C,2,0)</f>
        <v>Gözüküçük</v>
      </c>
      <c r="D480" t="str">
        <f>VLOOKUP(bron[[#This Row],[personeelsnr]],'data hastus'!$A:$C,3,0)</f>
        <v>Ugur</v>
      </c>
      <c r="E480" t="str">
        <f>VLOOKUP(bron[[#This Row],[personeelsnr]],'data hastus'!A:K,11,FALSE)</f>
        <v>Bart Van Der Beken</v>
      </c>
      <c r="F480" s="10"/>
      <c r="G480" s="6"/>
      <c r="H480" s="6"/>
      <c r="I480" s="6"/>
      <c r="J480"/>
      <c r="K480"/>
      <c r="L480"/>
      <c r="M480"/>
      <c r="N480"/>
      <c r="O480"/>
      <c r="P480"/>
      <c r="Q480"/>
      <c r="R480"/>
      <c r="S480">
        <f>SUM(bron[[#This Row],[Januari]:[December]])</f>
        <v>0</v>
      </c>
      <c r="T480" s="3">
        <v>45630</v>
      </c>
      <c r="U480" s="8" t="s">
        <v>935</v>
      </c>
      <c r="V480" s="8">
        <v>1</v>
      </c>
      <c r="W480" s="8"/>
      <c r="X480" t="s">
        <v>3</v>
      </c>
      <c r="Y480" t="s">
        <v>1270</v>
      </c>
      <c r="Z480" t="s">
        <v>370</v>
      </c>
      <c r="AA480" t="s">
        <v>3612</v>
      </c>
      <c r="AB480">
        <f>COUNTIF(B:B,bron[[#This Row],[volledige naam]])</f>
        <v>6</v>
      </c>
    </row>
    <row r="481" spans="1:28" x14ac:dyDescent="0.25">
      <c r="A481">
        <v>35379</v>
      </c>
      <c r="B481" t="str">
        <f>_xlfn.CONCAT(bron[[#This Row],[personeelsnr]]," ",bron[[#This Row],[achternaam]]," ",bron[[#This Row],[voornaam]])</f>
        <v>35379 Engels Sam</v>
      </c>
      <c r="C481" t="str">
        <f>VLOOKUP(bron[[#This Row],[personeelsnr]],'data hastus'!$A:$C,2,0)</f>
        <v>Engels</v>
      </c>
      <c r="D481" t="str">
        <f>VLOOKUP(bron[[#This Row],[personeelsnr]],'data hastus'!$A:$C,3,0)</f>
        <v>Sam</v>
      </c>
      <c r="E481" t="str">
        <f>VLOOKUP(bron[[#This Row],[personeelsnr]],'data hastus'!A:K,11,FALSE)</f>
        <v>Els Vanhoe</v>
      </c>
      <c r="F481" s="10"/>
      <c r="G481" s="7"/>
      <c r="H481" s="7"/>
      <c r="I481" s="7"/>
      <c r="J481" s="5"/>
      <c r="K481" s="5"/>
      <c r="L481" s="5"/>
      <c r="M481" s="5"/>
      <c r="N481" s="5"/>
      <c r="O481" s="5"/>
      <c r="P481" s="5"/>
      <c r="Q481" s="5"/>
      <c r="R481" s="5">
        <v>1</v>
      </c>
      <c r="S481" s="5">
        <f>SUM(bron[[#This Row],[Januari]:[December]])</f>
        <v>1</v>
      </c>
      <c r="T481" s="3">
        <v>45632</v>
      </c>
      <c r="U481" s="8" t="s">
        <v>937</v>
      </c>
      <c r="V481" s="8"/>
      <c r="W481" s="8">
        <v>1</v>
      </c>
      <c r="X481" t="s">
        <v>4</v>
      </c>
      <c r="Y481" t="s">
        <v>681</v>
      </c>
      <c r="Z481"/>
      <c r="AA481" t="s">
        <v>3612</v>
      </c>
      <c r="AB481">
        <f>COUNTIF(B:B,bron[[#This Row],[volledige naam]])</f>
        <v>2</v>
      </c>
    </row>
    <row r="482" spans="1:28" x14ac:dyDescent="0.25">
      <c r="A482">
        <v>37794</v>
      </c>
      <c r="B482" t="str">
        <f>_xlfn.CONCAT(bron[[#This Row],[personeelsnr]]," ",bron[[#This Row],[achternaam]]," ",bron[[#This Row],[voornaam]])</f>
        <v>37794 Demirkaya Kâzim</v>
      </c>
      <c r="C482" t="str">
        <f>VLOOKUP(bron[[#This Row],[personeelsnr]],'data hastus'!$A:$C,2,0)</f>
        <v>Demirkaya</v>
      </c>
      <c r="D482" t="str">
        <f>VLOOKUP(bron[[#This Row],[personeelsnr]],'data hastus'!$A:$C,3,0)</f>
        <v>Kâzim</v>
      </c>
      <c r="E482" t="str">
        <f>VLOOKUP(bron[[#This Row],[personeelsnr]],'data hastus'!A:K,11,FALSE)</f>
        <v>Steven Storm</v>
      </c>
      <c r="F482" s="10"/>
      <c r="G482" s="7"/>
      <c r="H482" s="7"/>
      <c r="I482" s="7"/>
      <c r="J482" s="5"/>
      <c r="K482" s="5"/>
      <c r="L482" s="5"/>
      <c r="M482" s="5"/>
      <c r="N482" s="5"/>
      <c r="O482" s="5"/>
      <c r="P482" s="5"/>
      <c r="Q482" s="5"/>
      <c r="R482" s="5">
        <v>1</v>
      </c>
      <c r="S482" s="5">
        <f>SUM(bron[[#This Row],[Januari]:[December]])</f>
        <v>1</v>
      </c>
      <c r="T482" s="9">
        <v>45632</v>
      </c>
      <c r="U482" s="8" t="s">
        <v>938</v>
      </c>
      <c r="V482" s="8"/>
      <c r="W482" s="8">
        <v>1</v>
      </c>
      <c r="X482" t="s">
        <v>4</v>
      </c>
      <c r="Y482" t="s">
        <v>939</v>
      </c>
      <c r="Z482"/>
      <c r="AA482" t="s">
        <v>3612</v>
      </c>
      <c r="AB482">
        <f>COUNTIF(B:B,bron[[#This Row],[volledige naam]])</f>
        <v>1</v>
      </c>
    </row>
    <row r="483" spans="1:28" x14ac:dyDescent="0.25">
      <c r="A483">
        <v>40294</v>
      </c>
      <c r="B483" t="str">
        <f>_xlfn.CONCAT(bron[[#This Row],[personeelsnr]]," ",bron[[#This Row],[achternaam]]," ",bron[[#This Row],[voornaam]])</f>
        <v>40294 Khder Aram</v>
      </c>
      <c r="C483" t="str">
        <f>VLOOKUP(bron[[#This Row],[personeelsnr]],'data hastus'!$A:$C,2,0)</f>
        <v>Khder</v>
      </c>
      <c r="D483" t="str">
        <f>VLOOKUP(bron[[#This Row],[personeelsnr]],'data hastus'!$A:$C,3,0)</f>
        <v>Aram</v>
      </c>
      <c r="E483" t="str">
        <f>VLOOKUP(bron[[#This Row],[personeelsnr]],'data hastus'!A:K,11,FALSE)</f>
        <v>Christoff Rotty</v>
      </c>
      <c r="F483" s="10"/>
      <c r="G483" s="7"/>
      <c r="H483" s="7"/>
      <c r="I483" s="7"/>
      <c r="J483" s="5"/>
      <c r="K483" s="5"/>
      <c r="L483" s="5"/>
      <c r="M483" s="5"/>
      <c r="N483" s="5"/>
      <c r="O483" s="5"/>
      <c r="P483" s="5"/>
      <c r="Q483" s="5"/>
      <c r="R483" s="5">
        <v>1</v>
      </c>
      <c r="S483" s="5">
        <f>SUM(bron[[#This Row],[Januari]:[December]])</f>
        <v>1</v>
      </c>
      <c r="T483" s="9">
        <v>45633</v>
      </c>
      <c r="U483" s="8" t="s">
        <v>940</v>
      </c>
      <c r="V483" s="8">
        <v>1</v>
      </c>
      <c r="W483" s="8"/>
      <c r="X483" t="s">
        <v>3</v>
      </c>
      <c r="Y483" t="s">
        <v>941</v>
      </c>
      <c r="Z483"/>
      <c r="AA483" t="s">
        <v>3612</v>
      </c>
      <c r="AB483">
        <f>COUNTIF(B:B,bron[[#This Row],[volledige naam]])</f>
        <v>1</v>
      </c>
    </row>
    <row r="484" spans="1:28" x14ac:dyDescent="0.25">
      <c r="A484">
        <v>37662</v>
      </c>
      <c r="B484" t="str">
        <f>_xlfn.CONCAT(bron[[#This Row],[personeelsnr]]," ",bron[[#This Row],[achternaam]]," ",bron[[#This Row],[voornaam]])</f>
        <v>37662 Van den Meerssche Steven</v>
      </c>
      <c r="C484" t="str">
        <f>VLOOKUP(bron[[#This Row],[personeelsnr]],'data hastus'!$A:$C,2,0)</f>
        <v>Van den Meerssche</v>
      </c>
      <c r="D484" t="str">
        <f>VLOOKUP(bron[[#This Row],[personeelsnr]],'data hastus'!$A:$C,3,0)</f>
        <v>Steven</v>
      </c>
      <c r="E484" t="str">
        <f>VLOOKUP(bron[[#This Row],[personeelsnr]],'data hastus'!A:K,11,FALSE)</f>
        <v>Bart Van Der Beken</v>
      </c>
      <c r="F484" s="10"/>
      <c r="G484" s="7"/>
      <c r="H484" s="7"/>
      <c r="I484" s="7"/>
      <c r="J484" s="5"/>
      <c r="K484" s="5"/>
      <c r="L484" s="5"/>
      <c r="M484" s="5"/>
      <c r="N484" s="5"/>
      <c r="O484" s="5"/>
      <c r="P484" s="5"/>
      <c r="Q484" s="5"/>
      <c r="R484" s="5">
        <v>1</v>
      </c>
      <c r="S484" s="5">
        <f>SUM(bron[[#This Row],[Januari]:[December]])</f>
        <v>1</v>
      </c>
      <c r="T484" s="9">
        <v>45635</v>
      </c>
      <c r="U484" s="8" t="s">
        <v>942</v>
      </c>
      <c r="V484" s="8">
        <v>1</v>
      </c>
      <c r="W484" s="8"/>
      <c r="X484" t="s">
        <v>3</v>
      </c>
      <c r="Y484" t="s">
        <v>378</v>
      </c>
      <c r="Z484"/>
      <c r="AA484" t="s">
        <v>3612</v>
      </c>
      <c r="AB484">
        <f>COUNTIF(B:B,bron[[#This Row],[volledige naam]])</f>
        <v>8</v>
      </c>
    </row>
    <row r="485" spans="1:28" x14ac:dyDescent="0.25">
      <c r="A485">
        <v>32542</v>
      </c>
      <c r="B485" t="str">
        <f>_xlfn.CONCAT(bron[[#This Row],[personeelsnr]]," ",bron[[#This Row],[achternaam]]," ",bron[[#This Row],[voornaam]])</f>
        <v>32542 Vanderstock Kenny</v>
      </c>
      <c r="C485" t="str">
        <f>VLOOKUP(bron[[#This Row],[personeelsnr]],'data hastus'!$A:$C,2,0)</f>
        <v>Vanderstock</v>
      </c>
      <c r="D485" t="str">
        <f>VLOOKUP(bron[[#This Row],[personeelsnr]],'data hastus'!$A:$C,3,0)</f>
        <v>Kenny</v>
      </c>
      <c r="E485" t="str">
        <f>VLOOKUP(bron[[#This Row],[personeelsnr]],'data hastus'!A:K,11,FALSE)</f>
        <v>Dominique De Clercq</v>
      </c>
      <c r="F485" s="10"/>
      <c r="G485" s="7"/>
      <c r="H485" s="7"/>
      <c r="I485" s="7"/>
      <c r="J485" s="5"/>
      <c r="K485" s="5"/>
      <c r="L485" s="5"/>
      <c r="M485" s="5"/>
      <c r="N485" s="5"/>
      <c r="O485" s="5"/>
      <c r="P485" s="5"/>
      <c r="Q485" s="5"/>
      <c r="R485" s="5">
        <v>1</v>
      </c>
      <c r="S485" s="5">
        <f>SUM(bron[[#This Row],[Januari]:[December]])</f>
        <v>1</v>
      </c>
      <c r="T485" s="9">
        <v>45635</v>
      </c>
      <c r="U485" s="8" t="s">
        <v>943</v>
      </c>
      <c r="V485" s="8"/>
      <c r="W485" s="8">
        <v>1</v>
      </c>
      <c r="X485" t="s">
        <v>4</v>
      </c>
      <c r="Y485" t="s">
        <v>944</v>
      </c>
      <c r="Z485"/>
      <c r="AA485" t="s">
        <v>3612</v>
      </c>
      <c r="AB485">
        <f>COUNTIF(B:B,bron[[#This Row],[volledige naam]])</f>
        <v>2</v>
      </c>
    </row>
    <row r="486" spans="1:28" x14ac:dyDescent="0.25">
      <c r="A486">
        <v>33450</v>
      </c>
      <c r="B486" t="str">
        <f>_xlfn.CONCAT(bron[[#This Row],[personeelsnr]]," ",bron[[#This Row],[achternaam]]," ",bron[[#This Row],[voornaam]])</f>
        <v>33450 Verroeye Chris</v>
      </c>
      <c r="C486" t="str">
        <f>VLOOKUP(bron[[#This Row],[personeelsnr]],'data hastus'!$A:$C,2,0)</f>
        <v>Verroeye</v>
      </c>
      <c r="D486" t="str">
        <f>VLOOKUP(bron[[#This Row],[personeelsnr]],'data hastus'!$A:$C,3,0)</f>
        <v>Chris</v>
      </c>
      <c r="E486" t="str">
        <f>VLOOKUP(bron[[#This Row],[personeelsnr]],'data hastus'!A:K,11,FALSE)</f>
        <v>Kenneth De Rick</v>
      </c>
      <c r="F486" s="10"/>
      <c r="G486" s="7"/>
      <c r="H486" s="7"/>
      <c r="I486" s="7"/>
      <c r="J486" s="5"/>
      <c r="K486" s="5"/>
      <c r="L486" s="5"/>
      <c r="M486" s="5"/>
      <c r="N486" s="5"/>
      <c r="O486" s="5"/>
      <c r="P486" s="5"/>
      <c r="Q486" s="5"/>
      <c r="R486" s="5">
        <v>1</v>
      </c>
      <c r="S486" s="5">
        <f>SUM(bron[[#This Row],[Januari]:[December]])</f>
        <v>1</v>
      </c>
      <c r="T486" s="9">
        <v>45635</v>
      </c>
      <c r="U486" s="8" t="s">
        <v>945</v>
      </c>
      <c r="V486" s="8"/>
      <c r="W486" s="8">
        <v>1</v>
      </c>
      <c r="X486" t="s">
        <v>4</v>
      </c>
      <c r="Y486" t="s">
        <v>946</v>
      </c>
      <c r="Z486"/>
      <c r="AA486" t="s">
        <v>3612</v>
      </c>
      <c r="AB486">
        <f>COUNTIF(B:B,bron[[#This Row],[volledige naam]])</f>
        <v>2</v>
      </c>
    </row>
    <row r="487" spans="1:28" x14ac:dyDescent="0.25">
      <c r="A487">
        <v>17555</v>
      </c>
      <c r="B487" t="str">
        <f>_xlfn.CONCAT(bron[[#This Row],[personeelsnr]]," ",bron[[#This Row],[achternaam]]," ",bron[[#This Row],[voornaam]])</f>
        <v>17555 DeBisschop Wendy</v>
      </c>
      <c r="C487" t="str">
        <f>VLOOKUP(bron[[#This Row],[personeelsnr]],'data hastus'!$A:$C,2,0)</f>
        <v>DeBisschop</v>
      </c>
      <c r="D487" t="str">
        <f>VLOOKUP(bron[[#This Row],[personeelsnr]],'data hastus'!$A:$C,3,0)</f>
        <v>Wendy</v>
      </c>
      <c r="E487" t="str">
        <f>VLOOKUP(bron[[#This Row],[personeelsnr]],'data hastus'!A:K,11,FALSE)</f>
        <v>Bart Van Der Beken</v>
      </c>
      <c r="F487" s="10"/>
      <c r="G487" s="7"/>
      <c r="H487" s="7"/>
      <c r="I487" s="7"/>
      <c r="J487" s="5"/>
      <c r="K487" s="5"/>
      <c r="L487" s="5"/>
      <c r="M487" s="5"/>
      <c r="N487" s="5"/>
      <c r="O487" s="5"/>
      <c r="P487" s="5"/>
      <c r="Q487" s="5"/>
      <c r="R487" s="5">
        <v>1</v>
      </c>
      <c r="S487" s="5">
        <f>SUM(bron[[#This Row],[Januari]:[December]])</f>
        <v>1</v>
      </c>
      <c r="T487" s="9">
        <v>45636</v>
      </c>
      <c r="U487" s="8" t="s">
        <v>947</v>
      </c>
      <c r="V487" s="8">
        <v>1</v>
      </c>
      <c r="W487" s="8"/>
      <c r="X487" t="s">
        <v>3</v>
      </c>
      <c r="Y487" t="s">
        <v>55</v>
      </c>
      <c r="Z487"/>
      <c r="AA487" t="s">
        <v>3612</v>
      </c>
      <c r="AB487">
        <f>COUNTIF(B:B,bron[[#This Row],[volledige naam]])</f>
        <v>1</v>
      </c>
    </row>
    <row r="488" spans="1:28" x14ac:dyDescent="0.25">
      <c r="A488">
        <v>39529</v>
      </c>
      <c r="B488" t="str">
        <f>_xlfn.CONCAT(bron[[#This Row],[personeelsnr]]," ",bron[[#This Row],[achternaam]]," ",bron[[#This Row],[voornaam]])</f>
        <v>39529 Desmet Patricia</v>
      </c>
      <c r="C488" t="str">
        <f>VLOOKUP(bron[[#This Row],[personeelsnr]],'data hastus'!$A:$C,2,0)</f>
        <v>Desmet</v>
      </c>
      <c r="D488" t="str">
        <f>VLOOKUP(bron[[#This Row],[personeelsnr]],'data hastus'!$A:$C,3,0)</f>
        <v>Patricia</v>
      </c>
      <c r="E488" t="str">
        <f>VLOOKUP(bron[[#This Row],[personeelsnr]],'data hastus'!A:K,11,FALSE)</f>
        <v>Christoff Rotty</v>
      </c>
      <c r="F488" s="10"/>
      <c r="G488" s="7"/>
      <c r="H488" s="7"/>
      <c r="I488" s="7"/>
      <c r="J488" s="5"/>
      <c r="K488" s="5"/>
      <c r="L488" s="5"/>
      <c r="M488" s="5"/>
      <c r="N488" s="5"/>
      <c r="O488" s="5"/>
      <c r="P488" s="5"/>
      <c r="Q488" s="5"/>
      <c r="R488" s="5">
        <v>1</v>
      </c>
      <c r="S488" s="5">
        <f>SUM(bron[[#This Row],[Januari]:[December]])</f>
        <v>1</v>
      </c>
      <c r="T488" s="9">
        <v>45638</v>
      </c>
      <c r="U488" s="8" t="s">
        <v>948</v>
      </c>
      <c r="V488" s="8">
        <v>1</v>
      </c>
      <c r="W488" s="8"/>
      <c r="X488" t="s">
        <v>3</v>
      </c>
      <c r="Y488" t="s">
        <v>55</v>
      </c>
      <c r="Z488"/>
      <c r="AA488" t="s">
        <v>3612</v>
      </c>
      <c r="AB488">
        <f>COUNTIF(B:B,bron[[#This Row],[volledige naam]])</f>
        <v>4</v>
      </c>
    </row>
    <row r="489" spans="1:28" x14ac:dyDescent="0.25">
      <c r="A489">
        <v>15628</v>
      </c>
      <c r="B489" t="str">
        <f>_xlfn.CONCAT(bron[[#This Row],[personeelsnr]]," ",bron[[#This Row],[achternaam]]," ",bron[[#This Row],[voornaam]])</f>
        <v>15628 Wulfranck Dominique</v>
      </c>
      <c r="C489" t="str">
        <f>VLOOKUP(bron[[#This Row],[personeelsnr]],'data hastus'!$A:$C,2,0)</f>
        <v>Wulfranck</v>
      </c>
      <c r="D489" t="str">
        <f>VLOOKUP(bron[[#This Row],[personeelsnr]],'data hastus'!$A:$C,3,0)</f>
        <v>Dominique</v>
      </c>
      <c r="E489" t="str">
        <f>VLOOKUP(bron[[#This Row],[personeelsnr]],'data hastus'!A:K,11,FALSE)</f>
        <v>Kenneth De Rick</v>
      </c>
      <c r="F489" s="10"/>
      <c r="G489" s="7"/>
      <c r="H489" s="7"/>
      <c r="I489" s="7"/>
      <c r="J489" s="5"/>
      <c r="K489" s="5"/>
      <c r="L489" s="5"/>
      <c r="M489" s="5"/>
      <c r="N489" s="5"/>
      <c r="O489" s="5"/>
      <c r="P489" s="5"/>
      <c r="Q489" s="5"/>
      <c r="R489" s="5">
        <v>1</v>
      </c>
      <c r="S489" s="5">
        <f>SUM(bron[[#This Row],[Januari]:[December]])</f>
        <v>1</v>
      </c>
      <c r="T489" s="9">
        <v>45638</v>
      </c>
      <c r="U489" s="8" t="s">
        <v>949</v>
      </c>
      <c r="V489" s="8">
        <v>1</v>
      </c>
      <c r="W489" s="8"/>
      <c r="X489" t="s">
        <v>3</v>
      </c>
      <c r="Y489" t="s">
        <v>87</v>
      </c>
      <c r="Z489"/>
      <c r="AA489" t="s">
        <v>3612</v>
      </c>
      <c r="AB489">
        <f>COUNTIF(B:B,bron[[#This Row],[volledige naam]])</f>
        <v>3</v>
      </c>
    </row>
    <row r="490" spans="1:28" x14ac:dyDescent="0.25">
      <c r="A490">
        <v>40652</v>
      </c>
      <c r="B490" t="str">
        <f>_xlfn.CONCAT(bron[[#This Row],[personeelsnr]]," ",bron[[#This Row],[achternaam]]," ",bron[[#This Row],[voornaam]])</f>
        <v>40652 Van Damme Gilyann</v>
      </c>
      <c r="C490" t="str">
        <f>VLOOKUP(bron[[#This Row],[personeelsnr]],'data hastus'!$A:$C,2,0)</f>
        <v>Van Damme</v>
      </c>
      <c r="D490" t="str">
        <f>VLOOKUP(bron[[#This Row],[personeelsnr]],'data hastus'!$A:$C,3,0)</f>
        <v>Gilyann</v>
      </c>
      <c r="E490" t="str">
        <f>VLOOKUP(bron[[#This Row],[personeelsnr]],'data hastus'!A:K,11,FALSE)</f>
        <v>Els Vanhoe</v>
      </c>
      <c r="F490" s="10"/>
      <c r="G490" s="7"/>
      <c r="H490" s="7"/>
      <c r="I490" s="7"/>
      <c r="J490" s="5"/>
      <c r="K490" s="5"/>
      <c r="L490" s="5"/>
      <c r="M490" s="5"/>
      <c r="N490" s="5"/>
      <c r="O490" s="5"/>
      <c r="P490" s="5"/>
      <c r="Q490" s="5"/>
      <c r="R490" s="5">
        <v>1</v>
      </c>
      <c r="S490" s="5">
        <f>SUM(bron[[#This Row],[Januari]:[December]])</f>
        <v>1</v>
      </c>
      <c r="T490" s="9">
        <v>45638</v>
      </c>
      <c r="U490" s="8" t="s">
        <v>950</v>
      </c>
      <c r="V490" s="8">
        <v>1</v>
      </c>
      <c r="W490" s="8"/>
      <c r="X490" t="s">
        <v>3</v>
      </c>
      <c r="Y490" t="s">
        <v>819</v>
      </c>
      <c r="Z490"/>
      <c r="AA490" t="s">
        <v>3612</v>
      </c>
      <c r="AB490">
        <f>COUNTIF(B:B,bron[[#This Row],[volledige naam]])</f>
        <v>7</v>
      </c>
    </row>
    <row r="491" spans="1:28" x14ac:dyDescent="0.25">
      <c r="A491">
        <v>22767</v>
      </c>
      <c r="B491" t="str">
        <f>_xlfn.CONCAT(bron[[#This Row],[personeelsnr]]," ",bron[[#This Row],[achternaam]]," ",bron[[#This Row],[voornaam]])</f>
        <v>22767 Osseel Johan</v>
      </c>
      <c r="C491" t="str">
        <f>VLOOKUP(bron[[#This Row],[personeelsnr]],'data hastus'!$A:$C,2,0)</f>
        <v>Osseel</v>
      </c>
      <c r="D491" t="str">
        <f>VLOOKUP(bron[[#This Row],[personeelsnr]],'data hastus'!$A:$C,3,0)</f>
        <v>Johan</v>
      </c>
      <c r="E491" t="str">
        <f>VLOOKUP(bron[[#This Row],[personeelsnr]],'data hastus'!A:K,11,FALSE)</f>
        <v>Dominique De Clercq</v>
      </c>
      <c r="F491" s="10"/>
      <c r="G491" s="7"/>
      <c r="H491" s="7"/>
      <c r="I491" s="7"/>
      <c r="J491" s="5"/>
      <c r="K491" s="5"/>
      <c r="L491" s="5"/>
      <c r="M491" s="5"/>
      <c r="N491" s="5"/>
      <c r="O491" s="5"/>
      <c r="P491" s="5"/>
      <c r="Q491" s="5"/>
      <c r="R491" s="5">
        <v>1</v>
      </c>
      <c r="S491" s="5">
        <f>SUM(bron[[#This Row],[Januari]:[December]])</f>
        <v>1</v>
      </c>
      <c r="T491" s="9">
        <v>45638</v>
      </c>
      <c r="U491" s="8" t="s">
        <v>951</v>
      </c>
      <c r="V491" s="8"/>
      <c r="W491" s="8">
        <v>1</v>
      </c>
      <c r="X491" t="s">
        <v>4</v>
      </c>
      <c r="Y491" t="s">
        <v>128</v>
      </c>
      <c r="Z491"/>
      <c r="AA491" t="s">
        <v>3612</v>
      </c>
      <c r="AB491">
        <f>COUNTIF(B:B,bron[[#This Row],[volledige naam]])</f>
        <v>1</v>
      </c>
    </row>
    <row r="492" spans="1:28" x14ac:dyDescent="0.25">
      <c r="A492">
        <v>29477</v>
      </c>
      <c r="B492" t="str">
        <f>_xlfn.CONCAT(bron[[#This Row],[personeelsnr]]," ",bron[[#This Row],[achternaam]]," ",bron[[#This Row],[voornaam]])</f>
        <v>29477 De Vuyst Boyke</v>
      </c>
      <c r="C492" t="str">
        <f>VLOOKUP(bron[[#This Row],[personeelsnr]],'data hastus'!$A:$C,2,0)</f>
        <v>De Vuyst</v>
      </c>
      <c r="D492" t="str">
        <f>VLOOKUP(bron[[#This Row],[personeelsnr]],'data hastus'!$A:$C,3,0)</f>
        <v>Boyke</v>
      </c>
      <c r="E492" t="str">
        <f>VLOOKUP(bron[[#This Row],[personeelsnr]],'data hastus'!A:K,11,FALSE)</f>
        <v>Lucie Vande Velde</v>
      </c>
      <c r="F492" s="10"/>
      <c r="G492" s="7"/>
      <c r="H492" s="7"/>
      <c r="I492" s="7"/>
      <c r="J492" s="5"/>
      <c r="K492" s="5"/>
      <c r="L492" s="5"/>
      <c r="M492" s="5"/>
      <c r="N492" s="5"/>
      <c r="O492" s="5"/>
      <c r="P492" s="5"/>
      <c r="Q492" s="5"/>
      <c r="R492" s="5">
        <v>1</v>
      </c>
      <c r="S492" s="5">
        <f>SUM(bron[[#This Row],[Januari]:[December]])</f>
        <v>1</v>
      </c>
      <c r="T492" s="9">
        <v>45640</v>
      </c>
      <c r="U492" s="8" t="s">
        <v>952</v>
      </c>
      <c r="V492" s="8">
        <v>1</v>
      </c>
      <c r="W492" s="8"/>
      <c r="X492" t="s">
        <v>3</v>
      </c>
      <c r="Y492" t="s">
        <v>14</v>
      </c>
      <c r="Z492"/>
      <c r="AA492" t="s">
        <v>3612</v>
      </c>
      <c r="AB492">
        <f>COUNTIF(B:B,bron[[#This Row],[volledige naam]])</f>
        <v>1</v>
      </c>
    </row>
    <row r="493" spans="1:28" x14ac:dyDescent="0.25">
      <c r="A493">
        <v>16897</v>
      </c>
      <c r="B493" t="str">
        <f>_xlfn.CONCAT(bron[[#This Row],[personeelsnr]]," ",bron[[#This Row],[achternaam]]," ",bron[[#This Row],[voornaam]])</f>
        <v>16897 VandenDaele Andy</v>
      </c>
      <c r="C493" t="str">
        <f>VLOOKUP(bron[[#This Row],[personeelsnr]],'data hastus'!$A:$C,2,0)</f>
        <v>VandenDaele</v>
      </c>
      <c r="D493" t="str">
        <f>VLOOKUP(bron[[#This Row],[personeelsnr]],'data hastus'!$A:$C,3,0)</f>
        <v>Andy</v>
      </c>
      <c r="E493" t="str">
        <f>VLOOKUP(bron[[#This Row],[personeelsnr]],'data hastus'!A:K,11,FALSE)</f>
        <v>Steven Storm</v>
      </c>
      <c r="F493" s="10"/>
      <c r="G493" s="7"/>
      <c r="H493" s="7"/>
      <c r="I493" s="7"/>
      <c r="J493" s="5"/>
      <c r="K493" s="5"/>
      <c r="L493" s="5"/>
      <c r="M493" s="5"/>
      <c r="N493" s="5"/>
      <c r="O493" s="5"/>
      <c r="P493" s="5"/>
      <c r="Q493" s="5"/>
      <c r="R493" s="5">
        <v>1</v>
      </c>
      <c r="S493" s="5">
        <f>SUM(bron[[#This Row],[Januari]:[December]])</f>
        <v>1</v>
      </c>
      <c r="T493" s="9">
        <v>45641</v>
      </c>
      <c r="U493" s="8" t="s">
        <v>953</v>
      </c>
      <c r="V493" s="8"/>
      <c r="W493" s="8">
        <v>1</v>
      </c>
      <c r="X493" t="s">
        <v>4</v>
      </c>
      <c r="Y493" t="s">
        <v>653</v>
      </c>
      <c r="Z493"/>
      <c r="AA493" t="s">
        <v>3612</v>
      </c>
      <c r="AB493">
        <f>COUNTIF(B:B,bron[[#This Row],[volledige naam]])</f>
        <v>2</v>
      </c>
    </row>
    <row r="494" spans="1:28" x14ac:dyDescent="0.25">
      <c r="A494">
        <v>18173</v>
      </c>
      <c r="B494" t="str">
        <f>_xlfn.CONCAT(bron[[#This Row],[personeelsnr]]," ",bron[[#This Row],[achternaam]]," ",bron[[#This Row],[voornaam]])</f>
        <v>18173 De Vos Günter</v>
      </c>
      <c r="C494" t="str">
        <f>VLOOKUP(bron[[#This Row],[personeelsnr]],'data hastus'!$A:$C,2,0)</f>
        <v>De Vos</v>
      </c>
      <c r="D494" t="str">
        <f>VLOOKUP(bron[[#This Row],[personeelsnr]],'data hastus'!$A:$C,3,0)</f>
        <v>Günter</v>
      </c>
      <c r="E494" t="str">
        <f>VLOOKUP(bron[[#This Row],[personeelsnr]],'data hastus'!A:K,11,FALSE)</f>
        <v>Kenneth De Rick</v>
      </c>
      <c r="F494" s="10"/>
      <c r="G494" s="7"/>
      <c r="H494" s="7"/>
      <c r="I494" s="7"/>
      <c r="J494" s="5"/>
      <c r="K494" s="5"/>
      <c r="L494" s="5"/>
      <c r="M494" s="5"/>
      <c r="N494" s="5"/>
      <c r="O494" s="5"/>
      <c r="P494" s="5"/>
      <c r="Q494" s="5"/>
      <c r="R494" s="5">
        <v>1</v>
      </c>
      <c r="S494" s="5">
        <f>SUM(bron[[#This Row],[Januari]:[December]])</f>
        <v>1</v>
      </c>
      <c r="T494" s="9">
        <v>45642</v>
      </c>
      <c r="U494" s="8" t="s">
        <v>954</v>
      </c>
      <c r="V494" s="8">
        <v>1</v>
      </c>
      <c r="W494" s="8"/>
      <c r="X494" t="s">
        <v>3</v>
      </c>
      <c r="Y494" t="s">
        <v>462</v>
      </c>
      <c r="Z494"/>
      <c r="AA494" t="s">
        <v>3612</v>
      </c>
      <c r="AB494">
        <f>COUNTIF(B:B,bron[[#This Row],[volledige naam]])</f>
        <v>1</v>
      </c>
    </row>
    <row r="495" spans="1:28" x14ac:dyDescent="0.25">
      <c r="A495">
        <v>41296</v>
      </c>
      <c r="B495" t="str">
        <f>_xlfn.CONCAT(bron[[#This Row],[personeelsnr]]," ",bron[[#This Row],[achternaam]]," ",bron[[#This Row],[voornaam]])</f>
        <v>41296 Abulehia Oday</v>
      </c>
      <c r="C495" t="str">
        <f>VLOOKUP(bron[[#This Row],[personeelsnr]],'data hastus'!$A:$C,2,0)</f>
        <v>Abulehia</v>
      </c>
      <c r="D495" t="str">
        <f>VLOOKUP(bron[[#This Row],[personeelsnr]],'data hastus'!$A:$C,3,0)</f>
        <v>Oday</v>
      </c>
      <c r="E495" t="str">
        <f>VLOOKUP(bron[[#This Row],[personeelsnr]],'data hastus'!A:K,11,FALSE)</f>
        <v>Christoff Rotty</v>
      </c>
      <c r="F495" s="10"/>
      <c r="G495" s="7"/>
      <c r="H495" s="7"/>
      <c r="I495" s="7"/>
      <c r="J495" s="5"/>
      <c r="K495" s="5"/>
      <c r="L495" s="5"/>
      <c r="M495" s="5"/>
      <c r="N495" s="5"/>
      <c r="O495" s="5"/>
      <c r="P495" s="5"/>
      <c r="Q495" s="5"/>
      <c r="R495" s="5">
        <v>1</v>
      </c>
      <c r="S495" s="5">
        <f>SUM(bron[[#This Row],[Januari]:[December]])</f>
        <v>1</v>
      </c>
      <c r="T495" s="9">
        <v>45642</v>
      </c>
      <c r="U495" s="8" t="s">
        <v>955</v>
      </c>
      <c r="V495" s="8">
        <v>1</v>
      </c>
      <c r="W495" s="8"/>
      <c r="X495" t="s">
        <v>3</v>
      </c>
      <c r="Y495" t="s">
        <v>6</v>
      </c>
      <c r="Z495"/>
      <c r="AA495" t="s">
        <v>3612</v>
      </c>
      <c r="AB495">
        <f>COUNTIF(B:B,bron[[#This Row],[volledige naam]])</f>
        <v>2</v>
      </c>
    </row>
    <row r="496" spans="1:28" x14ac:dyDescent="0.25">
      <c r="A496">
        <v>36513</v>
      </c>
      <c r="B496" t="str">
        <f>_xlfn.CONCAT(bron[[#This Row],[personeelsnr]]," ",bron[[#This Row],[achternaam]]," ",bron[[#This Row],[voornaam]])</f>
        <v>36513 Sogut Rauf</v>
      </c>
      <c r="C496" t="str">
        <f>VLOOKUP(bron[[#This Row],[personeelsnr]],'data hastus'!$A:$C,2,0)</f>
        <v>Sogut</v>
      </c>
      <c r="D496" t="str">
        <f>VLOOKUP(bron[[#This Row],[personeelsnr]],'data hastus'!$A:$C,3,0)</f>
        <v>Rauf</v>
      </c>
      <c r="E496" t="str">
        <f>VLOOKUP(bron[[#This Row],[personeelsnr]],'data hastus'!A:K,11,FALSE)</f>
        <v>Kenneth De Rick</v>
      </c>
      <c r="F496" s="10"/>
      <c r="G496" s="7"/>
      <c r="H496" s="7"/>
      <c r="I496" s="7"/>
      <c r="J496" s="5"/>
      <c r="K496" s="5"/>
      <c r="L496" s="5"/>
      <c r="M496" s="5"/>
      <c r="N496" s="5"/>
      <c r="O496" s="5"/>
      <c r="P496" s="5"/>
      <c r="Q496" s="5"/>
      <c r="R496" s="5">
        <v>1</v>
      </c>
      <c r="S496" s="5">
        <f>SUM(bron[[#This Row],[Januari]:[December]])</f>
        <v>1</v>
      </c>
      <c r="T496" s="9">
        <v>45643</v>
      </c>
      <c r="U496" s="8" t="s">
        <v>956</v>
      </c>
      <c r="V496" s="8">
        <v>1</v>
      </c>
      <c r="W496" s="8"/>
      <c r="X496" t="s">
        <v>3</v>
      </c>
      <c r="Y496" t="s">
        <v>142</v>
      </c>
      <c r="Z496"/>
      <c r="AA496" t="s">
        <v>3612</v>
      </c>
      <c r="AB496">
        <f>COUNTIF(B:B,bron[[#This Row],[volledige naam]])</f>
        <v>1</v>
      </c>
    </row>
    <row r="497" spans="1:28" x14ac:dyDescent="0.25">
      <c r="A497">
        <v>33400</v>
      </c>
      <c r="B497" t="str">
        <f>_xlfn.CONCAT(bron[[#This Row],[personeelsnr]]," ",bron[[#This Row],[achternaam]]," ",bron[[#This Row],[voornaam]])</f>
        <v>33400 Petit Cynthia</v>
      </c>
      <c r="C497" t="str">
        <f>VLOOKUP(bron[[#This Row],[personeelsnr]],'data hastus'!$A:$C,2,0)</f>
        <v>Petit</v>
      </c>
      <c r="D497" t="str">
        <f>VLOOKUP(bron[[#This Row],[personeelsnr]],'data hastus'!$A:$C,3,0)</f>
        <v>Cynthia</v>
      </c>
      <c r="E497" t="str">
        <f>VLOOKUP(bron[[#This Row],[personeelsnr]],'data hastus'!A:K,11,FALSE)</f>
        <v>Christoff Rotty</v>
      </c>
      <c r="F497" s="10"/>
      <c r="G497" s="7"/>
      <c r="H497" s="7"/>
      <c r="I497" s="7"/>
      <c r="J497" s="5"/>
      <c r="K497" s="5"/>
      <c r="L497" s="5"/>
      <c r="M497" s="5"/>
      <c r="N497" s="5"/>
      <c r="O497" s="5"/>
      <c r="P497" s="5"/>
      <c r="Q497" s="5"/>
      <c r="R497" s="5">
        <v>1</v>
      </c>
      <c r="S497" s="5">
        <f>SUM(bron[[#This Row],[Januari]:[December]])</f>
        <v>1</v>
      </c>
      <c r="T497" s="9">
        <v>45644</v>
      </c>
      <c r="U497" s="8" t="s">
        <v>957</v>
      </c>
      <c r="V497" s="8">
        <v>1</v>
      </c>
      <c r="W497" s="8"/>
      <c r="X497" t="s">
        <v>3</v>
      </c>
      <c r="Y497" t="s">
        <v>6</v>
      </c>
      <c r="Z497"/>
      <c r="AA497" t="s">
        <v>3612</v>
      </c>
      <c r="AB497">
        <f>COUNTIF(B:B,bron[[#This Row],[volledige naam]])</f>
        <v>3</v>
      </c>
    </row>
    <row r="498" spans="1:28" x14ac:dyDescent="0.25">
      <c r="A498">
        <v>24367</v>
      </c>
      <c r="B498" t="str">
        <f>_xlfn.CONCAT(bron[[#This Row],[personeelsnr]]," ",bron[[#This Row],[achternaam]]," ",bron[[#This Row],[voornaam]])</f>
        <v>24367 Tayefeh Arbab Ali</v>
      </c>
      <c r="C498" t="str">
        <f>VLOOKUP(bron[[#This Row],[personeelsnr]],'data hastus'!$A:$C,2,0)</f>
        <v>Tayefeh Arbab</v>
      </c>
      <c r="D498" t="str">
        <f>VLOOKUP(bron[[#This Row],[personeelsnr]],'data hastus'!$A:$C,3,0)</f>
        <v>Ali</v>
      </c>
      <c r="E498" t="str">
        <f>VLOOKUP(bron[[#This Row],[personeelsnr]],'data hastus'!A:K,11,FALSE)</f>
        <v>Bart Van Der Beken</v>
      </c>
      <c r="F498" s="10"/>
      <c r="G498" s="7"/>
      <c r="H498" s="7"/>
      <c r="I498" s="7"/>
      <c r="J498" s="5"/>
      <c r="K498" s="5"/>
      <c r="L498" s="5"/>
      <c r="M498" s="5"/>
      <c r="N498" s="5"/>
      <c r="O498" s="5"/>
      <c r="P498" s="5"/>
      <c r="Q498" s="5"/>
      <c r="R498" s="5">
        <v>1</v>
      </c>
      <c r="S498" s="5">
        <f>SUM(bron[[#This Row],[Januari]:[December]])</f>
        <v>1</v>
      </c>
      <c r="T498" s="9">
        <v>45644</v>
      </c>
      <c r="U498" s="8" t="s">
        <v>958</v>
      </c>
      <c r="V498" s="8">
        <v>1</v>
      </c>
      <c r="W498" s="8"/>
      <c r="X498" t="s">
        <v>3</v>
      </c>
      <c r="Y498" t="s">
        <v>24</v>
      </c>
      <c r="Z498"/>
      <c r="AA498" t="s">
        <v>3612</v>
      </c>
      <c r="AB498">
        <f>COUNTIF(B:B,bron[[#This Row],[volledige naam]])</f>
        <v>3</v>
      </c>
    </row>
    <row r="499" spans="1:28" x14ac:dyDescent="0.25">
      <c r="A499">
        <v>40005</v>
      </c>
      <c r="B499" t="str">
        <f>_xlfn.CONCAT(bron[[#This Row],[personeelsnr]]," ",bron[[#This Row],[achternaam]]," ",bron[[#This Row],[voornaam]])</f>
        <v>40005 Bernaerts Philip</v>
      </c>
      <c r="C499" t="str">
        <f>VLOOKUP(bron[[#This Row],[personeelsnr]],'data hastus'!$A:$C,2,0)</f>
        <v>Bernaerts</v>
      </c>
      <c r="D499" t="str">
        <f>VLOOKUP(bron[[#This Row],[personeelsnr]],'data hastus'!$A:$C,3,0)</f>
        <v>Philip</v>
      </c>
      <c r="E499" t="str">
        <f>VLOOKUP(bron[[#This Row],[personeelsnr]],'data hastus'!A:K,11,FALSE)</f>
        <v>Christoff Rotty</v>
      </c>
      <c r="F499" s="10"/>
      <c r="G499" s="7"/>
      <c r="H499" s="7"/>
      <c r="I499" s="7"/>
      <c r="J499" s="5"/>
      <c r="K499" s="5"/>
      <c r="L499" s="5"/>
      <c r="M499" s="5"/>
      <c r="N499" s="5"/>
      <c r="O499" s="5"/>
      <c r="P499" s="5"/>
      <c r="Q499" s="5"/>
      <c r="R499" s="5">
        <v>1</v>
      </c>
      <c r="S499" s="5">
        <f>SUM(bron[[#This Row],[Januari]:[December]])</f>
        <v>1</v>
      </c>
      <c r="T499" s="9">
        <v>45645</v>
      </c>
      <c r="U499" s="8" t="s">
        <v>959</v>
      </c>
      <c r="V499" s="8">
        <v>1</v>
      </c>
      <c r="W499" s="8"/>
      <c r="X499" t="s">
        <v>3</v>
      </c>
      <c r="Y499" t="s">
        <v>30</v>
      </c>
      <c r="Z499"/>
      <c r="AA499" t="s">
        <v>3612</v>
      </c>
      <c r="AB499">
        <f>COUNTIF(B:B,bron[[#This Row],[volledige naam]])</f>
        <v>2</v>
      </c>
    </row>
    <row r="500" spans="1:28" x14ac:dyDescent="0.25">
      <c r="A500">
        <v>40652</v>
      </c>
      <c r="B500" t="str">
        <f>_xlfn.CONCAT(bron[[#This Row],[personeelsnr]]," ",bron[[#This Row],[achternaam]]," ",bron[[#This Row],[voornaam]])</f>
        <v>40652 Van Damme Gilyann</v>
      </c>
      <c r="C500" t="str">
        <f>VLOOKUP(bron[[#This Row],[personeelsnr]],'data hastus'!$A:$C,2,0)</f>
        <v>Van Damme</v>
      </c>
      <c r="D500" t="str">
        <f>VLOOKUP(bron[[#This Row],[personeelsnr]],'data hastus'!$A:$C,3,0)</f>
        <v>Gilyann</v>
      </c>
      <c r="E500" t="str">
        <f>VLOOKUP(bron[[#This Row],[personeelsnr]],'data hastus'!A:K,11,FALSE)</f>
        <v>Els Vanhoe</v>
      </c>
      <c r="F500" s="10"/>
      <c r="G500" s="7"/>
      <c r="H500" s="7"/>
      <c r="I500" s="7"/>
      <c r="J500" s="5"/>
      <c r="K500" s="5"/>
      <c r="L500" s="5"/>
      <c r="M500" s="5"/>
      <c r="N500" s="5"/>
      <c r="O500" s="5"/>
      <c r="P500" s="5"/>
      <c r="Q500" s="5"/>
      <c r="R500" s="5">
        <v>1</v>
      </c>
      <c r="S500" s="5">
        <f>SUM(bron[[#This Row],[Januari]:[December]])</f>
        <v>1</v>
      </c>
      <c r="T500" s="9">
        <v>45646</v>
      </c>
      <c r="U500" s="8" t="s">
        <v>960</v>
      </c>
      <c r="V500" s="8">
        <v>1</v>
      </c>
      <c r="W500" s="8"/>
      <c r="X500" t="s">
        <v>3</v>
      </c>
      <c r="Y500" t="s">
        <v>406</v>
      </c>
      <c r="Z500"/>
      <c r="AA500" t="s">
        <v>3612</v>
      </c>
      <c r="AB500">
        <f>COUNTIF(B:B,bron[[#This Row],[volledige naam]])</f>
        <v>7</v>
      </c>
    </row>
    <row r="501" spans="1:28" x14ac:dyDescent="0.25">
      <c r="A501">
        <v>26847</v>
      </c>
      <c r="B501" t="str">
        <f>_xlfn.CONCAT(bron[[#This Row],[personeelsnr]]," ",bron[[#This Row],[achternaam]]," ",bron[[#This Row],[voornaam]])</f>
        <v>26847 De Meester David</v>
      </c>
      <c r="C501" t="str">
        <f>VLOOKUP(bron[[#This Row],[personeelsnr]],'data hastus'!$A:$C,2,0)</f>
        <v>De Meester</v>
      </c>
      <c r="D501" t="str">
        <f>VLOOKUP(bron[[#This Row],[personeelsnr]],'data hastus'!$A:$C,3,0)</f>
        <v>David</v>
      </c>
      <c r="E501" t="str">
        <f>VLOOKUP(bron[[#This Row],[personeelsnr]],'data hastus'!A:K,11,FALSE)</f>
        <v>Bart Van Der Beken</v>
      </c>
      <c r="F501" s="10"/>
      <c r="G501" s="7"/>
      <c r="H501" s="7"/>
      <c r="I501" s="7"/>
      <c r="J501" s="5"/>
      <c r="K501" s="5"/>
      <c r="L501" s="5"/>
      <c r="M501" s="5"/>
      <c r="N501" s="5"/>
      <c r="O501" s="5"/>
      <c r="P501" s="5"/>
      <c r="Q501" s="5"/>
      <c r="R501" s="5">
        <v>1</v>
      </c>
      <c r="S501" s="5">
        <f>SUM(bron[[#This Row],[Januari]:[December]])</f>
        <v>1</v>
      </c>
      <c r="T501" s="9">
        <v>45646</v>
      </c>
      <c r="U501" s="8" t="s">
        <v>961</v>
      </c>
      <c r="V501" s="8"/>
      <c r="W501" s="8">
        <v>1</v>
      </c>
      <c r="X501" t="s">
        <v>4</v>
      </c>
      <c r="Y501" t="s">
        <v>20</v>
      </c>
      <c r="Z501"/>
      <c r="AA501" t="s">
        <v>3612</v>
      </c>
      <c r="AB501">
        <f>COUNTIF(B:B,bron[[#This Row],[volledige naam]])</f>
        <v>2</v>
      </c>
    </row>
    <row r="502" spans="1:28" x14ac:dyDescent="0.25">
      <c r="A502">
        <v>38938</v>
      </c>
      <c r="B502" t="str">
        <f>_xlfn.CONCAT(bron[[#This Row],[personeelsnr]]," ",bron[[#This Row],[achternaam]]," ",bron[[#This Row],[voornaam]])</f>
        <v>38938 Sedighi Hamid</v>
      </c>
      <c r="C502" t="str">
        <f>VLOOKUP(bron[[#This Row],[personeelsnr]],'data hastus'!$A:$C,2,0)</f>
        <v>Sedighi</v>
      </c>
      <c r="D502" t="str">
        <f>VLOOKUP(bron[[#This Row],[personeelsnr]],'data hastus'!$A:$C,3,0)</f>
        <v>Hamid</v>
      </c>
      <c r="E502" t="str">
        <f>VLOOKUP(bron[[#This Row],[personeelsnr]],'data hastus'!A:K,11,FALSE)</f>
        <v>Lucie Vande Velde</v>
      </c>
      <c r="F502" s="10"/>
      <c r="G502" s="7"/>
      <c r="H502" s="7"/>
      <c r="I502" s="7"/>
      <c r="J502" s="5"/>
      <c r="K502" s="5"/>
      <c r="L502" s="5"/>
      <c r="M502" s="5"/>
      <c r="N502" s="5"/>
      <c r="O502" s="5"/>
      <c r="P502" s="5"/>
      <c r="Q502" s="5"/>
      <c r="R502" s="5">
        <v>1</v>
      </c>
      <c r="S502" s="5">
        <f>SUM(bron[[#This Row],[Januari]:[December]])</f>
        <v>1</v>
      </c>
      <c r="T502" s="9">
        <v>45646</v>
      </c>
      <c r="U502" s="8" t="s">
        <v>962</v>
      </c>
      <c r="V502" s="8"/>
      <c r="W502" s="8">
        <v>1</v>
      </c>
      <c r="X502" t="s">
        <v>4</v>
      </c>
      <c r="Y502" t="s">
        <v>166</v>
      </c>
      <c r="Z502"/>
      <c r="AA502" t="s">
        <v>3612</v>
      </c>
      <c r="AB502">
        <f>COUNTIF(B:B,bron[[#This Row],[volledige naam]])</f>
        <v>7</v>
      </c>
    </row>
    <row r="503" spans="1:28" x14ac:dyDescent="0.25">
      <c r="A503">
        <v>40414</v>
      </c>
      <c r="B503" t="str">
        <f>_xlfn.CONCAT(bron[[#This Row],[personeelsnr]]," ",bron[[#This Row],[achternaam]]," ",bron[[#This Row],[voornaam]])</f>
        <v>40414 Ennakaba Khaoula</v>
      </c>
      <c r="C503" t="str">
        <f>VLOOKUP(bron[[#This Row],[personeelsnr]],'data hastus'!$A:$C,2,0)</f>
        <v>Ennakaba</v>
      </c>
      <c r="D503" t="str">
        <f>VLOOKUP(bron[[#This Row],[personeelsnr]],'data hastus'!$A:$C,3,0)</f>
        <v>Khaoula</v>
      </c>
      <c r="E503" t="str">
        <f>VLOOKUP(bron[[#This Row],[personeelsnr]],'data hastus'!A:K,11,FALSE)</f>
        <v>Steven Storm</v>
      </c>
      <c r="F503" s="10"/>
      <c r="G503" s="7"/>
      <c r="H503" s="7"/>
      <c r="I503" s="7"/>
      <c r="J503" s="5"/>
      <c r="K503" s="5"/>
      <c r="L503" s="5"/>
      <c r="M503" s="5"/>
      <c r="N503" s="5"/>
      <c r="O503" s="5"/>
      <c r="P503" s="5"/>
      <c r="Q503" s="5"/>
      <c r="R503" s="5">
        <v>1</v>
      </c>
      <c r="S503" s="5">
        <f>SUM(bron[[#This Row],[Januari]:[December]])</f>
        <v>1</v>
      </c>
      <c r="T503" s="9">
        <v>45647</v>
      </c>
      <c r="U503" s="8" t="s">
        <v>963</v>
      </c>
      <c r="V503" s="8">
        <v>1</v>
      </c>
      <c r="W503" s="8"/>
      <c r="X503" t="s">
        <v>3</v>
      </c>
      <c r="Y503" t="s">
        <v>184</v>
      </c>
      <c r="Z503"/>
      <c r="AA503" t="s">
        <v>3612</v>
      </c>
      <c r="AB503">
        <f>COUNTIF(B:B,bron[[#This Row],[volledige naam]])</f>
        <v>1</v>
      </c>
    </row>
    <row r="504" spans="1:28" x14ac:dyDescent="0.25">
      <c r="A504">
        <v>21812</v>
      </c>
      <c r="B504" t="str">
        <f>_xlfn.CONCAT(bron[[#This Row],[personeelsnr]]," ",bron[[#This Row],[achternaam]]," ",bron[[#This Row],[voornaam]])</f>
        <v>21812 Ettaibi Moulay Abdenâzih</v>
      </c>
      <c r="C504" t="str">
        <f>VLOOKUP(bron[[#This Row],[personeelsnr]],'data hastus'!$A:$C,2,0)</f>
        <v>Ettaibi</v>
      </c>
      <c r="D504" t="str">
        <f>VLOOKUP(bron[[#This Row],[personeelsnr]],'data hastus'!$A:$C,3,0)</f>
        <v>Moulay Abdenâzih</v>
      </c>
      <c r="E504" t="str">
        <f>VLOOKUP(bron[[#This Row],[personeelsnr]],'data hastus'!A:K,11,FALSE)</f>
        <v>Dominique De Clercq</v>
      </c>
      <c r="F504" s="10"/>
      <c r="G504" s="7"/>
      <c r="H504" s="7"/>
      <c r="I504" s="7"/>
      <c r="J504" s="5"/>
      <c r="K504" s="5"/>
      <c r="L504" s="5"/>
      <c r="M504" s="5"/>
      <c r="N504" s="5"/>
      <c r="O504" s="5"/>
      <c r="P504" s="5"/>
      <c r="Q504" s="5"/>
      <c r="R504" s="5">
        <v>1</v>
      </c>
      <c r="S504" s="5">
        <f>SUM(bron[[#This Row],[Januari]:[December]])</f>
        <v>1</v>
      </c>
      <c r="T504" s="9">
        <v>45647</v>
      </c>
      <c r="U504" s="8" t="s">
        <v>964</v>
      </c>
      <c r="V504" s="8"/>
      <c r="W504" s="8">
        <v>1</v>
      </c>
      <c r="X504" t="s">
        <v>4</v>
      </c>
      <c r="Y504" t="s">
        <v>6</v>
      </c>
      <c r="Z504"/>
      <c r="AA504" t="s">
        <v>3612</v>
      </c>
      <c r="AB504">
        <f>COUNTIF(B:B,bron[[#This Row],[volledige naam]])</f>
        <v>1</v>
      </c>
    </row>
    <row r="505" spans="1:28" x14ac:dyDescent="0.25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J505" s="5"/>
      <c r="K505" s="5"/>
      <c r="L505" s="5"/>
      <c r="M505" s="5"/>
      <c r="N505" s="5"/>
      <c r="O505" s="5"/>
      <c r="P505" s="5"/>
      <c r="Q505" s="5"/>
      <c r="R505" s="5">
        <v>1</v>
      </c>
      <c r="S505" s="5">
        <f>SUM(bron[[#This Row],[Januari]:[December]])</f>
        <v>1</v>
      </c>
      <c r="T505" s="9">
        <v>45647</v>
      </c>
      <c r="U505" s="8" t="s">
        <v>965</v>
      </c>
      <c r="V505" s="8"/>
      <c r="W505" s="8">
        <v>1</v>
      </c>
      <c r="X505" t="s">
        <v>4</v>
      </c>
      <c r="Y505" t="s">
        <v>2</v>
      </c>
      <c r="Z505"/>
      <c r="AA505" t="s">
        <v>3612</v>
      </c>
      <c r="AB505">
        <f>COUNTIF(B:B,bron[[#This Row],[volledige naam]])</f>
        <v>7</v>
      </c>
    </row>
    <row r="506" spans="1:28" x14ac:dyDescent="0.25">
      <c r="A506">
        <v>38938</v>
      </c>
      <c r="B506" t="str">
        <f>_xlfn.CONCAT(bron[[#This Row],[personeelsnr]]," ",bron[[#This Row],[achternaam]]," ",bron[[#This Row],[voornaam]])</f>
        <v>38938 Sedighi Hamid</v>
      </c>
      <c r="C506" t="str">
        <f>VLOOKUP(bron[[#This Row],[personeelsnr]],'data hastus'!$A:$C,2,0)</f>
        <v>Sedighi</v>
      </c>
      <c r="D506" t="str">
        <f>VLOOKUP(bron[[#This Row],[personeelsnr]],'data hastus'!$A:$C,3,0)</f>
        <v>Hamid</v>
      </c>
      <c r="E506" t="str">
        <f>VLOOKUP(bron[[#This Row],[personeelsnr]],'data hastus'!A:K,11,FALSE)</f>
        <v>Lucie Vande Velde</v>
      </c>
      <c r="F506" s="10"/>
      <c r="G506" s="7"/>
      <c r="H506" s="7"/>
      <c r="I506" s="7"/>
      <c r="J506" s="5"/>
      <c r="K506" s="5"/>
      <c r="L506" s="5"/>
      <c r="M506" s="5"/>
      <c r="N506" s="5"/>
      <c r="O506" s="5"/>
      <c r="P506" s="5"/>
      <c r="Q506" s="5"/>
      <c r="R506" s="5">
        <v>1</v>
      </c>
      <c r="S506" s="5">
        <f>SUM(bron[[#This Row],[Januari]:[December]])</f>
        <v>1</v>
      </c>
      <c r="T506" s="9">
        <v>45647</v>
      </c>
      <c r="U506" s="8" t="s">
        <v>966</v>
      </c>
      <c r="V506" s="8"/>
      <c r="W506" s="8">
        <v>1</v>
      </c>
      <c r="X506" t="s">
        <v>4</v>
      </c>
      <c r="Y506" t="s">
        <v>52</v>
      </c>
      <c r="Z506"/>
      <c r="AA506" t="s">
        <v>3612</v>
      </c>
      <c r="AB506">
        <f>COUNTIF(B:B,bron[[#This Row],[volledige naam]])</f>
        <v>7</v>
      </c>
    </row>
    <row r="507" spans="1:28" x14ac:dyDescent="0.25">
      <c r="A507">
        <v>36358</v>
      </c>
      <c r="B507" t="str">
        <f>_xlfn.CONCAT(bron[[#This Row],[personeelsnr]]," ",bron[[#This Row],[achternaam]]," ",bron[[#This Row],[voornaam]])</f>
        <v>36358 De Nys Elise</v>
      </c>
      <c r="C507" t="str">
        <f>VLOOKUP(bron[[#This Row],[personeelsnr]],'data hastus'!$A:$C,2,0)</f>
        <v>De Nys</v>
      </c>
      <c r="D507" t="str">
        <f>VLOOKUP(bron[[#This Row],[personeelsnr]],'data hastus'!$A:$C,3,0)</f>
        <v>Elise</v>
      </c>
      <c r="E507" t="str">
        <f>VLOOKUP(bron[[#This Row],[personeelsnr]],'data hastus'!A:K,11,FALSE)</f>
        <v>Els Dewulf</v>
      </c>
      <c r="F507" s="10"/>
      <c r="G507" s="7"/>
      <c r="H507" s="7"/>
      <c r="I507" s="7"/>
      <c r="J507" s="5"/>
      <c r="K507" s="5"/>
      <c r="L507" s="5"/>
      <c r="M507" s="5"/>
      <c r="N507" s="5"/>
      <c r="O507" s="5"/>
      <c r="P507" s="5"/>
      <c r="Q507" s="5"/>
      <c r="R507" s="5">
        <v>1</v>
      </c>
      <c r="S507" s="5">
        <f>SUM(bron[[#This Row],[Januari]:[December]])</f>
        <v>1</v>
      </c>
      <c r="T507" s="9">
        <v>45649</v>
      </c>
      <c r="U507" s="8" t="s">
        <v>967</v>
      </c>
      <c r="V507" s="8">
        <v>1</v>
      </c>
      <c r="W507" s="8"/>
      <c r="X507" t="s">
        <v>3</v>
      </c>
      <c r="Y507" t="s">
        <v>94</v>
      </c>
      <c r="Z507"/>
      <c r="AA507" t="s">
        <v>3612</v>
      </c>
      <c r="AB507">
        <f>COUNTIF(B:B,bron[[#This Row],[volledige naam]])</f>
        <v>2</v>
      </c>
    </row>
    <row r="508" spans="1:28" x14ac:dyDescent="0.25">
      <c r="A508">
        <v>4419</v>
      </c>
      <c r="B508" t="str">
        <f>_xlfn.CONCAT(bron[[#This Row],[personeelsnr]]," ",bron[[#This Row],[achternaam]]," ",bron[[#This Row],[voornaam]])</f>
        <v>4419 Maelbrancke Eddy</v>
      </c>
      <c r="C508" t="str">
        <f>VLOOKUP(bron[[#This Row],[personeelsnr]],'data hastus'!$A:$C,2,0)</f>
        <v>Maelbrancke</v>
      </c>
      <c r="D508" t="str">
        <f>VLOOKUP(bron[[#This Row],[personeelsnr]],'data hastus'!$A:$C,3,0)</f>
        <v>Eddy</v>
      </c>
      <c r="E508" t="str">
        <f>VLOOKUP(bron[[#This Row],[personeelsnr]],'data hastus'!A:K,11,FALSE)</f>
        <v>Lucie Vande Velde</v>
      </c>
      <c r="F508" s="10"/>
      <c r="G508" s="7"/>
      <c r="H508" s="7"/>
      <c r="I508" s="7"/>
      <c r="J508" s="5"/>
      <c r="K508" s="5"/>
      <c r="L508" s="5"/>
      <c r="M508" s="5"/>
      <c r="N508" s="5"/>
      <c r="O508" s="5"/>
      <c r="P508" s="5"/>
      <c r="Q508" s="5"/>
      <c r="R508" s="5">
        <v>1</v>
      </c>
      <c r="S508" s="5">
        <f>SUM(bron[[#This Row],[Januari]:[December]])</f>
        <v>1</v>
      </c>
      <c r="T508" s="9">
        <v>45652</v>
      </c>
      <c r="U508" s="8" t="s">
        <v>968</v>
      </c>
      <c r="V508" s="8">
        <v>1</v>
      </c>
      <c r="W508" s="8"/>
      <c r="X508" t="s">
        <v>3</v>
      </c>
      <c r="Y508" t="s">
        <v>12</v>
      </c>
      <c r="Z508"/>
      <c r="AA508" t="s">
        <v>3612</v>
      </c>
      <c r="AB508">
        <f>COUNTIF(B:B,bron[[#This Row],[volledige naam]])</f>
        <v>4</v>
      </c>
    </row>
    <row r="509" spans="1:28" x14ac:dyDescent="0.25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370</v>
      </c>
      <c r="D509" t="s">
        <v>370</v>
      </c>
      <c r="E509" t="s">
        <v>62</v>
      </c>
      <c r="F509" s="10"/>
      <c r="G509" s="7"/>
      <c r="H509" s="7"/>
      <c r="I509" s="7"/>
      <c r="J509" s="5"/>
      <c r="K509" s="5"/>
      <c r="L509" s="5"/>
      <c r="M509" s="5"/>
      <c r="N509" s="5"/>
      <c r="O509" s="5"/>
      <c r="P509" s="5"/>
      <c r="Q509" s="5"/>
      <c r="R509" s="5">
        <v>1</v>
      </c>
      <c r="S509" s="5">
        <f>SUM(bron[[#This Row],[Januari]:[December]])</f>
        <v>1</v>
      </c>
      <c r="T509" s="9">
        <v>45652</v>
      </c>
      <c r="U509" s="8" t="s">
        <v>969</v>
      </c>
      <c r="V509" s="8">
        <v>1</v>
      </c>
      <c r="W509" s="8"/>
      <c r="X509" t="s">
        <v>3</v>
      </c>
      <c r="Y509" t="s">
        <v>6</v>
      </c>
      <c r="Z509"/>
      <c r="AA509" t="s">
        <v>3612</v>
      </c>
      <c r="AB509">
        <f>COUNTIF(B:B,bron[[#This Row],[volledige naam]])</f>
        <v>58</v>
      </c>
    </row>
    <row r="510" spans="1:28" x14ac:dyDescent="0.25">
      <c r="A510">
        <v>9999</v>
      </c>
      <c r="B510" t="str">
        <f>_xlfn.CONCAT(bron[[#This Row],[personeelsnr]]," ",bron[[#This Row],[achternaam]]," ",bron[[#This Row],[voornaam]])</f>
        <v>9999 - -</v>
      </c>
      <c r="C510" t="s">
        <v>370</v>
      </c>
      <c r="D510" t="s">
        <v>370</v>
      </c>
      <c r="E510" t="s">
        <v>62</v>
      </c>
      <c r="F510" s="10"/>
      <c r="G510" s="7"/>
      <c r="H510" s="7"/>
      <c r="I510" s="7"/>
      <c r="J510" s="5"/>
      <c r="K510" s="5"/>
      <c r="L510" s="5"/>
      <c r="M510" s="5"/>
      <c r="N510" s="5"/>
      <c r="O510" s="5"/>
      <c r="P510" s="5"/>
      <c r="Q510" s="5"/>
      <c r="R510" s="5">
        <v>1</v>
      </c>
      <c r="S510" s="5">
        <f>SUM(bron[[#This Row],[Januari]:[December]])</f>
        <v>1</v>
      </c>
      <c r="T510" s="9">
        <v>45653</v>
      </c>
      <c r="U510" s="8" t="s">
        <v>970</v>
      </c>
      <c r="V510" s="8"/>
      <c r="W510" s="8">
        <v>1</v>
      </c>
      <c r="X510" t="s">
        <v>4</v>
      </c>
      <c r="Y510" t="s">
        <v>421</v>
      </c>
      <c r="Z510"/>
      <c r="AA510" t="s">
        <v>3612</v>
      </c>
      <c r="AB510">
        <f>COUNTIF(B:B,bron[[#This Row],[volledige naam]])</f>
        <v>58</v>
      </c>
    </row>
    <row r="511" spans="1:28" x14ac:dyDescent="0.25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J511" s="5"/>
      <c r="K511" s="5"/>
      <c r="L511" s="5"/>
      <c r="M511" s="5"/>
      <c r="N511" s="5"/>
      <c r="O511" s="5"/>
      <c r="P511" s="5"/>
      <c r="Q511" s="5"/>
      <c r="R511" s="5">
        <v>1</v>
      </c>
      <c r="S511" s="5">
        <f>SUM(bron[[#This Row],[Januari]:[December]])</f>
        <v>1</v>
      </c>
      <c r="T511" s="9">
        <v>45654</v>
      </c>
      <c r="U511" s="8" t="s">
        <v>971</v>
      </c>
      <c r="V511" s="8">
        <v>1</v>
      </c>
      <c r="W511" s="8"/>
      <c r="X511" t="s">
        <v>3</v>
      </c>
      <c r="Y511" t="s">
        <v>142</v>
      </c>
      <c r="Z511"/>
      <c r="AA511" t="s">
        <v>3612</v>
      </c>
      <c r="AB511">
        <f>COUNTIF(B:B,bron[[#This Row],[volledige naam]])</f>
        <v>2</v>
      </c>
    </row>
    <row r="512" spans="1:28" x14ac:dyDescent="0.25">
      <c r="A512">
        <v>16546</v>
      </c>
      <c r="B512" t="str">
        <f>_xlfn.CONCAT(bron[[#This Row],[personeelsnr]]," ",bron[[#This Row],[achternaam]]," ",bron[[#This Row],[voornaam]])</f>
        <v>16546 Baert Rosita</v>
      </c>
      <c r="C512" t="str">
        <f>VLOOKUP(bron[[#This Row],[personeelsnr]],'data hastus'!$A:$C,2,0)</f>
        <v>Baert</v>
      </c>
      <c r="D512" t="str">
        <f>VLOOKUP(bron[[#This Row],[personeelsnr]],'data hastus'!$A:$C,3,0)</f>
        <v>Rosita</v>
      </c>
      <c r="E512" t="str">
        <f>VLOOKUP(bron[[#This Row],[personeelsnr]],'data hastus'!A:K,11,FALSE)</f>
        <v>Christoff Rotty</v>
      </c>
      <c r="F512" s="10"/>
      <c r="G512" s="7"/>
      <c r="H512" s="7"/>
      <c r="I512" s="7"/>
      <c r="J512" s="5"/>
      <c r="K512" s="5"/>
      <c r="L512" s="5"/>
      <c r="M512" s="5"/>
      <c r="N512" s="5"/>
      <c r="O512" s="5"/>
      <c r="P512" s="5"/>
      <c r="Q512" s="5"/>
      <c r="R512" s="5">
        <v>1</v>
      </c>
      <c r="S512" s="5">
        <f>SUM(bron[[#This Row],[Januari]:[December]])</f>
        <v>1</v>
      </c>
      <c r="T512" s="9">
        <v>45654</v>
      </c>
      <c r="U512" s="8" t="s">
        <v>972</v>
      </c>
      <c r="V512" s="8">
        <v>1</v>
      </c>
      <c r="W512" s="8"/>
      <c r="X512" t="s">
        <v>3</v>
      </c>
      <c r="Y512" t="s">
        <v>2</v>
      </c>
      <c r="Z512"/>
      <c r="AA512" t="s">
        <v>3612</v>
      </c>
      <c r="AB512">
        <f>COUNTIF(B:B,bron[[#This Row],[volledige naam]])</f>
        <v>2</v>
      </c>
    </row>
    <row r="513" spans="1:28" x14ac:dyDescent="0.25">
      <c r="A513">
        <v>39859</v>
      </c>
      <c r="B513" t="str">
        <f>_xlfn.CONCAT(bron[[#This Row],[personeelsnr]]," ",bron[[#This Row],[achternaam]]," ",bron[[#This Row],[voornaam]])</f>
        <v>39859 Costers Kelly</v>
      </c>
      <c r="C513" t="str">
        <f>VLOOKUP(bron[[#This Row],[personeelsnr]],'data hastus'!$A:$C,2,0)</f>
        <v>Costers</v>
      </c>
      <c r="D513" t="str">
        <f>VLOOKUP(bron[[#This Row],[personeelsnr]],'data hastus'!$A:$C,3,0)</f>
        <v>Kelly</v>
      </c>
      <c r="E513" t="str">
        <f>VLOOKUP(bron[[#This Row],[personeelsnr]],'data hastus'!A:K,11,FALSE)</f>
        <v>Bart Van Der Beken</v>
      </c>
      <c r="F513" s="10"/>
      <c r="G513" s="7"/>
      <c r="H513" s="7"/>
      <c r="I513" s="7"/>
      <c r="J513" s="5"/>
      <c r="K513" s="5"/>
      <c r="L513" s="5"/>
      <c r="M513" s="5"/>
      <c r="N513" s="5"/>
      <c r="O513" s="5"/>
      <c r="P513" s="5"/>
      <c r="Q513" s="5"/>
      <c r="R513" s="5">
        <v>1</v>
      </c>
      <c r="S513" s="5">
        <f>SUM(bron[[#This Row],[Januari]:[December]])</f>
        <v>1</v>
      </c>
      <c r="T513" s="9">
        <v>45656</v>
      </c>
      <c r="U513" s="8" t="s">
        <v>973</v>
      </c>
      <c r="V513" s="8">
        <v>1</v>
      </c>
      <c r="W513" s="8"/>
      <c r="X513" t="s">
        <v>3</v>
      </c>
      <c r="Y513" t="s">
        <v>64</v>
      </c>
      <c r="Z513"/>
      <c r="AA513" t="s">
        <v>3612</v>
      </c>
      <c r="AB513">
        <f>COUNTIF(B:B,bron[[#This Row],[volledige naam]])</f>
        <v>4</v>
      </c>
    </row>
    <row r="514" spans="1:28" x14ac:dyDescent="0.25">
      <c r="A514">
        <v>29179</v>
      </c>
      <c r="B514" t="str">
        <f>_xlfn.CONCAT(bron[[#This Row],[personeelsnr]]," ",bron[[#This Row],[achternaam]]," ",bron[[#This Row],[voornaam]])</f>
        <v>29179 Verwee Dries</v>
      </c>
      <c r="C514" t="str">
        <f>VLOOKUP(bron[[#This Row],[personeelsnr]],'data hastus'!$A:$C,2,0)</f>
        <v>Verwee</v>
      </c>
      <c r="D514" t="str">
        <f>VLOOKUP(bron[[#This Row],[personeelsnr]],'data hastus'!$A:$C,3,0)</f>
        <v>Dries</v>
      </c>
      <c r="E514" t="str">
        <f>VLOOKUP(bron[[#This Row],[personeelsnr]],'data hastus'!A:K,11,FALSE)</f>
        <v>Els Dewulf</v>
      </c>
      <c r="F514" s="10"/>
      <c r="G514" s="7"/>
      <c r="H514" s="7"/>
      <c r="I514" s="7"/>
      <c r="J514" s="5"/>
      <c r="K514" s="5"/>
      <c r="L514" s="5"/>
      <c r="M514" s="5"/>
      <c r="N514" s="5"/>
      <c r="O514" s="5"/>
      <c r="P514" s="5"/>
      <c r="Q514" s="5"/>
      <c r="R514" s="5">
        <v>1</v>
      </c>
      <c r="S514" s="5">
        <f>SUM(bron[[#This Row],[Januari]:[December]])</f>
        <v>1</v>
      </c>
      <c r="T514" s="9">
        <v>45657</v>
      </c>
      <c r="U514" s="8" t="s">
        <v>974</v>
      </c>
      <c r="V514" s="8"/>
      <c r="W514" s="8">
        <v>1</v>
      </c>
      <c r="X514" t="s">
        <v>4</v>
      </c>
      <c r="Y514" t="s">
        <v>2</v>
      </c>
      <c r="Z514"/>
      <c r="AA514" t="s">
        <v>3612</v>
      </c>
      <c r="AB514">
        <f>COUNTIF(B:B,bron[[#This Row],[volledige naam]])</f>
        <v>6</v>
      </c>
    </row>
    <row r="515" spans="1:28" x14ac:dyDescent="0.25">
      <c r="A515">
        <v>31231</v>
      </c>
      <c r="B515" t="str">
        <f>_xlfn.CONCAT(bron[[#This Row],[personeelsnr]]," ",bron[[#This Row],[achternaam]]," ",bron[[#This Row],[voornaam]])</f>
        <v>31231 Colaes Dylan</v>
      </c>
      <c r="C515" t="str">
        <f>VLOOKUP(bron[[#This Row],[personeelsnr]],'data hastus'!$A:$C,2,0)</f>
        <v>Colaes</v>
      </c>
      <c r="D515" t="str">
        <f>VLOOKUP(bron[[#This Row],[personeelsnr]],'data hastus'!$A:$C,3,0)</f>
        <v>Dylan</v>
      </c>
      <c r="E515" t="str">
        <f>VLOOKUP(bron[[#This Row],[personeelsnr]],'data hastus'!A:K,11,FALSE)</f>
        <v>Els Vanhoe</v>
      </c>
      <c r="F515" s="10"/>
      <c r="G515" s="6">
        <v>1</v>
      </c>
      <c r="H515" s="6"/>
      <c r="I515" s="6"/>
      <c r="J515"/>
      <c r="K515"/>
      <c r="L515"/>
      <c r="M515"/>
      <c r="N515"/>
      <c r="O515"/>
      <c r="P515"/>
      <c r="Q515"/>
      <c r="R515"/>
      <c r="S515">
        <f>SUM(bron[[#This Row],[Januari]:[December]])</f>
        <v>1</v>
      </c>
      <c r="T515" s="3">
        <v>45660</v>
      </c>
      <c r="U515" s="8" t="s">
        <v>977</v>
      </c>
      <c r="V515" s="8"/>
      <c r="W515" s="8">
        <v>1</v>
      </c>
      <c r="X515" t="s">
        <v>3528</v>
      </c>
      <c r="Y515" t="s">
        <v>150</v>
      </c>
      <c r="Z515">
        <v>6312</v>
      </c>
      <c r="AA515" s="24" t="s">
        <v>3539</v>
      </c>
      <c r="AB515">
        <f>COUNTIF(B:B,bron[[#This Row],[volledige naam]])</f>
        <v>3</v>
      </c>
    </row>
    <row r="516" spans="1:28" x14ac:dyDescent="0.25">
      <c r="A516">
        <v>31490</v>
      </c>
      <c r="B516" t="str">
        <f>_xlfn.CONCAT(bron[[#This Row],[personeelsnr]]," ",bron[[#This Row],[achternaam]]," ",bron[[#This Row],[voornaam]])</f>
        <v>31490 De Weirdt Steph</v>
      </c>
      <c r="C516" t="s">
        <v>979</v>
      </c>
      <c r="D516" t="s">
        <v>980</v>
      </c>
      <c r="E516" t="s">
        <v>59</v>
      </c>
      <c r="F516" s="10"/>
      <c r="G516" s="6">
        <v>1</v>
      </c>
      <c r="H516" s="6"/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45660</v>
      </c>
      <c r="U516" s="8" t="s">
        <v>981</v>
      </c>
      <c r="V516" s="8">
        <v>1</v>
      </c>
      <c r="W516" s="8"/>
      <c r="X516" t="s">
        <v>3493</v>
      </c>
      <c r="Y516" t="s">
        <v>10</v>
      </c>
      <c r="Z516">
        <v>5934</v>
      </c>
      <c r="AA516" s="24" t="s">
        <v>3539</v>
      </c>
      <c r="AB516">
        <f>COUNTIF(B:B,bron[[#This Row],[volledige naam]])</f>
        <v>1</v>
      </c>
    </row>
    <row r="517" spans="1:28" x14ac:dyDescent="0.25">
      <c r="A517">
        <v>36289</v>
      </c>
      <c r="B517" t="str">
        <f>_xlfn.CONCAT(bron[[#This Row],[personeelsnr]]," ",bron[[#This Row],[achternaam]]," ",bron[[#This Row],[voornaam]])</f>
        <v>36289 Van Rentergem Steve</v>
      </c>
      <c r="C517" t="str">
        <f>VLOOKUP(bron[[#This Row],[personeelsnr]],'data hastus'!$A:$C,2,0)</f>
        <v>Van Rentergem</v>
      </c>
      <c r="D517" t="str">
        <f>VLOOKUP(bron[[#This Row],[personeelsnr]],'data hastus'!$A:$C,3,0)</f>
        <v>Steve</v>
      </c>
      <c r="E517" t="str">
        <f>VLOOKUP(bron[[#This Row],[personeelsnr]],'data hastus'!A:K,11,FALSE)</f>
        <v>Els Vanhoe</v>
      </c>
      <c r="F517" s="10"/>
      <c r="G517" s="6">
        <v>1</v>
      </c>
      <c r="H517" s="6"/>
      <c r="I517" s="6"/>
      <c r="J517"/>
      <c r="K517"/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45660</v>
      </c>
      <c r="U517" s="8" t="s">
        <v>978</v>
      </c>
      <c r="V517" s="8">
        <v>1</v>
      </c>
      <c r="W517" s="8"/>
      <c r="X517" t="s">
        <v>3492</v>
      </c>
      <c r="Y517" t="s">
        <v>12</v>
      </c>
      <c r="Z517">
        <v>5048</v>
      </c>
      <c r="AA517" s="24" t="s">
        <v>3539</v>
      </c>
      <c r="AB517">
        <f>COUNTIF(B:B,bron[[#This Row],[volledige naam]])</f>
        <v>3</v>
      </c>
    </row>
    <row r="518" spans="1:28" x14ac:dyDescent="0.25">
      <c r="A518">
        <v>36426</v>
      </c>
      <c r="B518" t="str">
        <f>_xlfn.CONCAT(bron[[#This Row],[personeelsnr]]," ",bron[[#This Row],[achternaam]]," ",bron[[#This Row],[voornaam]])</f>
        <v>36426 Mohamed Yassin Abdulhamid</v>
      </c>
      <c r="C518" t="str">
        <f>VLOOKUP(bron[[#This Row],[personeelsnr]],'data hastus'!$A:$C,2,0)</f>
        <v>Mohamed Yassin</v>
      </c>
      <c r="D518" t="str">
        <f>VLOOKUP(bron[[#This Row],[personeelsnr]],'data hastus'!$A:$C,3,0)</f>
        <v>Abdulhamid</v>
      </c>
      <c r="E518" t="str">
        <f>VLOOKUP(bron[[#This Row],[personeelsnr]],'data hastus'!A:K,11,FALSE)</f>
        <v>Bart Van Der Beken</v>
      </c>
      <c r="F518" s="10"/>
      <c r="G518" s="6">
        <v>1</v>
      </c>
      <c r="H518" s="6"/>
      <c r="I518" s="6"/>
      <c r="J518"/>
      <c r="K518"/>
      <c r="L518"/>
      <c r="M518"/>
      <c r="N518"/>
      <c r="O518"/>
      <c r="P518"/>
      <c r="Q518"/>
      <c r="R518"/>
      <c r="S518">
        <f>SUM(bron[[#This Row],[Januari]:[December]])</f>
        <v>1</v>
      </c>
      <c r="T518" s="3">
        <v>45660</v>
      </c>
      <c r="U518" s="8" t="s">
        <v>1269</v>
      </c>
      <c r="V518" s="8"/>
      <c r="W518" s="8">
        <v>1</v>
      </c>
      <c r="X518" t="s">
        <v>3528</v>
      </c>
      <c r="Y518" t="s">
        <v>215</v>
      </c>
      <c r="Z518">
        <v>6311</v>
      </c>
      <c r="AA518" s="24" t="s">
        <v>3540</v>
      </c>
      <c r="AB518">
        <f>COUNTIF(B:B,bron[[#This Row],[volledige naam]])</f>
        <v>3</v>
      </c>
    </row>
    <row r="519" spans="1:28" x14ac:dyDescent="0.25">
      <c r="A519">
        <v>39014</v>
      </c>
      <c r="B519" t="str">
        <f>_xlfn.CONCAT(bron[[#This Row],[personeelsnr]]," ",bron[[#This Row],[achternaam]]," ",bron[[#This Row],[voornaam]])</f>
        <v>39014 Genbrugge Kyllian</v>
      </c>
      <c r="C519" t="str">
        <f>VLOOKUP(bron[[#This Row],[personeelsnr]],'data hastus'!$A:$C,2,0)</f>
        <v>Genbrugge</v>
      </c>
      <c r="D519" t="str">
        <f>VLOOKUP(bron[[#This Row],[personeelsnr]],'data hastus'!$A:$C,3,0)</f>
        <v>Kyllian</v>
      </c>
      <c r="E519" t="str">
        <f>VLOOKUP(bron[[#This Row],[personeelsnr]],'data hastus'!A:K,11,FALSE)</f>
        <v>Bart Van Der Beken</v>
      </c>
      <c r="F519" s="10"/>
      <c r="G519" s="6">
        <v>1</v>
      </c>
      <c r="H519" s="6"/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45660</v>
      </c>
      <c r="U519" s="8" t="s">
        <v>975</v>
      </c>
      <c r="V519" s="8">
        <v>1</v>
      </c>
      <c r="W519" s="8"/>
      <c r="X519" t="s">
        <v>3494</v>
      </c>
      <c r="Y519" t="s">
        <v>242</v>
      </c>
      <c r="Z519">
        <v>5048</v>
      </c>
      <c r="AA519" s="24" t="s">
        <v>3539</v>
      </c>
      <c r="AB519">
        <f>COUNTIF(B:B,bron[[#This Row],[volledige naam]])</f>
        <v>3</v>
      </c>
    </row>
    <row r="520" spans="1:28" x14ac:dyDescent="0.25">
      <c r="A520">
        <v>39358</v>
      </c>
      <c r="B520" t="str">
        <f>_xlfn.CONCAT(bron[[#This Row],[personeelsnr]]," ",bron[[#This Row],[achternaam]]," ",bron[[#This Row],[voornaam]])</f>
        <v>39358 Weeks Aracena Jimmy Alexander</v>
      </c>
      <c r="C520" t="str">
        <f>VLOOKUP(bron[[#This Row],[personeelsnr]],'data hastus'!$A:$C,2,0)</f>
        <v>Weeks Aracena</v>
      </c>
      <c r="D520" t="str">
        <f>VLOOKUP(bron[[#This Row],[personeelsnr]],'data hastus'!$A:$C,3,0)</f>
        <v>Jimmy Alexander</v>
      </c>
      <c r="E520" t="str">
        <f>VLOOKUP(bron[[#This Row],[personeelsnr]],'data hastus'!A:K,11,FALSE)</f>
        <v>Christoff Rotty</v>
      </c>
      <c r="F520" s="10"/>
      <c r="G520" s="6">
        <v>1</v>
      </c>
      <c r="H520" s="6"/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45660</v>
      </c>
      <c r="U520" s="8" t="s">
        <v>976</v>
      </c>
      <c r="V520" s="8">
        <v>1</v>
      </c>
      <c r="W520" s="8"/>
      <c r="X520" t="s">
        <v>3494</v>
      </c>
      <c r="Y520" t="s">
        <v>8</v>
      </c>
      <c r="Z520">
        <v>5229</v>
      </c>
      <c r="AA520" s="24" t="s">
        <v>3539</v>
      </c>
      <c r="AB520">
        <f>COUNTIF(B:B,bron[[#This Row],[volledige naam]])</f>
        <v>5</v>
      </c>
    </row>
    <row r="521" spans="1:28" x14ac:dyDescent="0.25">
      <c r="A521">
        <v>40058</v>
      </c>
      <c r="B521" t="str">
        <f>_xlfn.CONCAT(bron[[#This Row],[personeelsnr]]," ",bron[[#This Row],[achternaam]]," ",bron[[#This Row],[voornaam]])</f>
        <v>40058 Sögüt Can</v>
      </c>
      <c r="C521" t="str">
        <f>VLOOKUP(bron[[#This Row],[personeelsnr]],'data hastus'!$A:$C,2,0)</f>
        <v>Sögüt</v>
      </c>
      <c r="D521" t="str">
        <f>VLOOKUP(bron[[#This Row],[personeelsnr]],'data hastus'!$A:$C,3,0)</f>
        <v>Can</v>
      </c>
      <c r="E521" t="str">
        <f>VLOOKUP(bron[[#This Row],[personeelsnr]],'data hastus'!A:K,11,FALSE)</f>
        <v>Christoff Rotty</v>
      </c>
      <c r="F521" s="10"/>
      <c r="G521" s="6"/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0</v>
      </c>
      <c r="T521" s="3">
        <v>45660</v>
      </c>
      <c r="U521" s="8" t="s">
        <v>1278</v>
      </c>
      <c r="V521" s="8">
        <v>1</v>
      </c>
      <c r="W521" s="8"/>
      <c r="X521" t="s">
        <v>3492</v>
      </c>
      <c r="Y521" t="s">
        <v>100</v>
      </c>
      <c r="Z521">
        <v>5047</v>
      </c>
      <c r="AA521" s="24" t="s">
        <v>3540</v>
      </c>
      <c r="AB521">
        <f>COUNTIF(B:B,bron[[#This Row],[volledige naam]])</f>
        <v>3</v>
      </c>
    </row>
    <row r="522" spans="1:28" x14ac:dyDescent="0.25">
      <c r="A522">
        <v>36663</v>
      </c>
      <c r="B522" t="str">
        <f>_xlfn.CONCAT(bron[[#This Row],[personeelsnr]]," ",bron[[#This Row],[achternaam]]," ",bron[[#This Row],[voornaam]])</f>
        <v>36663 Cesmeli Achraf</v>
      </c>
      <c r="C522" t="str">
        <f>VLOOKUP(bron[[#This Row],[personeelsnr]],'data hastus'!$A:$C,2,0)</f>
        <v>Cesmeli</v>
      </c>
      <c r="D522" t="str">
        <f>VLOOKUP(bron[[#This Row],[personeelsnr]],'data hastus'!$A:$C,3,0)</f>
        <v>Achraf</v>
      </c>
      <c r="E522" t="str">
        <f>VLOOKUP(bron[[#This Row],[personeelsnr]],'data hastus'!A:K,11,FALSE)</f>
        <v>Dominique De Clercq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45661</v>
      </c>
      <c r="U522" t="s">
        <v>983</v>
      </c>
      <c r="V522" s="8">
        <v>1</v>
      </c>
      <c r="W522"/>
      <c r="X522" t="s">
        <v>3493</v>
      </c>
      <c r="Z522">
        <v>0</v>
      </c>
      <c r="AA522" s="24" t="s">
        <v>3539</v>
      </c>
      <c r="AB522">
        <f>COUNTIF(B:B,bron[[#This Row],[volledige naam]])</f>
        <v>3</v>
      </c>
    </row>
    <row r="523" spans="1:28" x14ac:dyDescent="0.25">
      <c r="A523">
        <v>40138</v>
      </c>
      <c r="B523" t="str">
        <f>_xlfn.CONCAT(bron[[#This Row],[personeelsnr]]," ",bron[[#This Row],[achternaam]]," ",bron[[#This Row],[voornaam]])</f>
        <v>40138 Moerman Tjimmy</v>
      </c>
      <c r="C523" t="str">
        <f>VLOOKUP(bron[[#This Row],[personeelsnr]],'data hastus'!$A:$C,2,0)</f>
        <v>Moerman</v>
      </c>
      <c r="D523" t="str">
        <f>VLOOKUP(bron[[#This Row],[personeelsnr]],'data hastus'!$A:$C,3,0)</f>
        <v>Tjimmy</v>
      </c>
      <c r="E523" t="str">
        <f>VLOOKUP(bron[[#This Row],[personeelsnr]],'data hastus'!A:K,11,FALSE)</f>
        <v>Christoff Rotty</v>
      </c>
      <c r="F523" s="10"/>
      <c r="G523" s="6">
        <v>1</v>
      </c>
      <c r="H523" s="6"/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45661</v>
      </c>
      <c r="U523" s="8" t="s">
        <v>982</v>
      </c>
      <c r="V523" s="8">
        <v>1</v>
      </c>
      <c r="W523" s="8"/>
      <c r="X523" t="s">
        <v>3494</v>
      </c>
      <c r="Y523" t="s">
        <v>236</v>
      </c>
      <c r="Z523">
        <v>5051</v>
      </c>
      <c r="AA523" s="24" t="s">
        <v>3539</v>
      </c>
      <c r="AB523">
        <f>COUNTIF(B:B,bron[[#This Row],[volledige naam]])</f>
        <v>10</v>
      </c>
    </row>
    <row r="524" spans="1:28" x14ac:dyDescent="0.25">
      <c r="A524">
        <v>37950</v>
      </c>
      <c r="B524" t="str">
        <f>_xlfn.CONCAT(bron[[#This Row],[personeelsnr]]," ",bron[[#This Row],[achternaam]]," ",bron[[#This Row],[voornaam]])</f>
        <v>37950 De Naegel Bruno</v>
      </c>
      <c r="C524" t="str">
        <f>VLOOKUP(bron[[#This Row],[personeelsnr]],'data hastus'!$A:$C,2,0)</f>
        <v>De Naegel</v>
      </c>
      <c r="D524" t="str">
        <f>VLOOKUP(bron[[#This Row],[personeelsnr]],'data hastus'!$A:$C,3,0)</f>
        <v>Bruno</v>
      </c>
      <c r="E524" t="str">
        <f>VLOOKUP(bron[[#This Row],[personeelsnr]],'data hastus'!A:K,11,FALSE)</f>
        <v>Dominique De Clercq</v>
      </c>
      <c r="F524" s="10"/>
      <c r="G524" s="6">
        <v>1</v>
      </c>
      <c r="H524" s="6"/>
      <c r="I524" s="6"/>
      <c r="J524"/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45665</v>
      </c>
      <c r="U524" s="8" t="s">
        <v>984</v>
      </c>
      <c r="V524" s="8">
        <v>1</v>
      </c>
      <c r="W524" s="8"/>
      <c r="X524" t="s">
        <v>3493</v>
      </c>
      <c r="Y524" t="s">
        <v>98</v>
      </c>
      <c r="Z524">
        <v>5931</v>
      </c>
      <c r="AA524" s="24" t="s">
        <v>3539</v>
      </c>
      <c r="AB524">
        <f>COUNTIF(B:B,bron[[#This Row],[volledige naam]])</f>
        <v>3</v>
      </c>
    </row>
    <row r="525" spans="1:28" x14ac:dyDescent="0.25">
      <c r="A525">
        <v>41032</v>
      </c>
      <c r="B525" t="str">
        <f>_xlfn.CONCAT(bron[[#This Row],[personeelsnr]]," ",bron[[#This Row],[achternaam]]," ",bron[[#This Row],[voornaam]])</f>
        <v>41032 Rocabado Hinojosa Lukas</v>
      </c>
      <c r="C525" t="str">
        <f>VLOOKUP(bron[[#This Row],[personeelsnr]],'data hastus'!$A:$C,2,0)</f>
        <v>Rocabado Hinojosa</v>
      </c>
      <c r="D525" t="str">
        <f>VLOOKUP(bron[[#This Row],[personeelsnr]],'data hastus'!$A:$C,3,0)</f>
        <v>Lukas</v>
      </c>
      <c r="E525" t="str">
        <f>VLOOKUP(bron[[#This Row],[personeelsnr]],'data hastus'!A:K,11,FALSE)</f>
        <v>Els Vanhoe</v>
      </c>
      <c r="F525" s="10"/>
      <c r="G525" s="7">
        <v>1</v>
      </c>
      <c r="H525" s="7"/>
      <c r="I525" s="7"/>
      <c r="J525" s="5"/>
      <c r="K525" s="5"/>
      <c r="L525" s="5"/>
      <c r="M525" s="5"/>
      <c r="N525" s="5"/>
      <c r="O525" s="5"/>
      <c r="P525" s="5"/>
      <c r="Q525" s="5"/>
      <c r="R525" s="5"/>
      <c r="S525" s="5">
        <f>SUM(bron[[#This Row],[Januari]:[December]])</f>
        <v>1</v>
      </c>
      <c r="T525" s="9">
        <v>45666</v>
      </c>
      <c r="U525" s="8" t="s">
        <v>985</v>
      </c>
      <c r="V525" s="22">
        <v>1</v>
      </c>
      <c r="W525" s="22"/>
      <c r="X525" t="s">
        <v>3493</v>
      </c>
      <c r="Y525" t="s">
        <v>20</v>
      </c>
      <c r="Z525">
        <v>5926</v>
      </c>
      <c r="AA525" s="24" t="s">
        <v>3539</v>
      </c>
      <c r="AB525">
        <f>COUNTIF(B:B,bron[[#This Row],[volledige naam]])</f>
        <v>4</v>
      </c>
    </row>
    <row r="526" spans="1:28" x14ac:dyDescent="0.25">
      <c r="A526">
        <v>19917</v>
      </c>
      <c r="B526" t="str">
        <f>_xlfn.CONCAT(bron[[#This Row],[personeelsnr]]," ",bron[[#This Row],[achternaam]]," ",bron[[#This Row],[voornaam]])</f>
        <v>19917 Vandevyvere Frank</v>
      </c>
      <c r="C526" t="str">
        <f>VLOOKUP(bron[[#This Row],[personeelsnr]],'data hastus'!$A:$C,2,0)</f>
        <v>Vandevyvere</v>
      </c>
      <c r="D526" t="str">
        <f>VLOOKUP(bron[[#This Row],[personeelsnr]],'data hastus'!$A:$C,3,0)</f>
        <v>Frank</v>
      </c>
      <c r="E526" t="str">
        <f>VLOOKUP(bron[[#This Row],[personeelsnr]],'data hastus'!A:K,11,FALSE)</f>
        <v>Bart Van Der Beken</v>
      </c>
      <c r="F526" s="3"/>
      <c r="G526" s="6">
        <v>1</v>
      </c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45667</v>
      </c>
      <c r="U526" s="8" t="s">
        <v>986</v>
      </c>
      <c r="V526" s="8">
        <v>1</v>
      </c>
      <c r="W526" s="8"/>
      <c r="X526" t="s">
        <v>3493</v>
      </c>
      <c r="Y526" t="s">
        <v>18</v>
      </c>
      <c r="Z526">
        <v>5767</v>
      </c>
      <c r="AA526" s="24" t="s">
        <v>3539</v>
      </c>
      <c r="AB526">
        <f>COUNTIF(B:B,bron[[#This Row],[volledige naam]])</f>
        <v>10</v>
      </c>
    </row>
    <row r="527" spans="1:28" x14ac:dyDescent="0.25">
      <c r="A527">
        <v>36559</v>
      </c>
      <c r="B527" t="str">
        <f>_xlfn.CONCAT(bron[[#This Row],[personeelsnr]]," ",bron[[#This Row],[achternaam]]," ",bron[[#This Row],[voornaam]])</f>
        <v>36559 De Staercke Sandra</v>
      </c>
      <c r="C527" t="str">
        <f>VLOOKUP(bron[[#This Row],[personeelsnr]],'data hastus'!$A:$C,2,0)</f>
        <v>De Staercke</v>
      </c>
      <c r="D527" t="str">
        <f>VLOOKUP(bron[[#This Row],[personeelsnr]],'data hastus'!$A:$C,3,0)</f>
        <v>Sandra</v>
      </c>
      <c r="E527" t="str">
        <f>VLOOKUP(bron[[#This Row],[personeelsnr]],'data hastus'!A:K,11,FALSE)</f>
        <v>Kenneth De Rick</v>
      </c>
      <c r="F527" s="10"/>
      <c r="G527" s="6">
        <v>1</v>
      </c>
      <c r="H527" s="6"/>
      <c r="I527" s="6"/>
      <c r="J527"/>
      <c r="K527"/>
      <c r="L527"/>
      <c r="M527"/>
      <c r="N527"/>
      <c r="O527"/>
      <c r="P527"/>
      <c r="Q527"/>
      <c r="R527"/>
      <c r="S527">
        <f>SUM(bron[[#This Row],[Januari]:[December]])</f>
        <v>1</v>
      </c>
      <c r="T527" s="3">
        <v>45667</v>
      </c>
      <c r="U527" s="8" t="s">
        <v>988</v>
      </c>
      <c r="V527" s="8"/>
      <c r="W527" s="8">
        <v>1</v>
      </c>
      <c r="X527" t="s">
        <v>3529</v>
      </c>
      <c r="Y527" t="s">
        <v>276</v>
      </c>
      <c r="Z527">
        <v>6366</v>
      </c>
      <c r="AA527" s="24" t="s">
        <v>3539</v>
      </c>
      <c r="AB527">
        <f>COUNTIF(B:B,bron[[#This Row],[volledige naam]])</f>
        <v>2</v>
      </c>
    </row>
    <row r="528" spans="1:28" x14ac:dyDescent="0.25">
      <c r="A528">
        <v>40266</v>
      </c>
      <c r="B528" t="str">
        <f>_xlfn.CONCAT(bron[[#This Row],[personeelsnr]]," ",bron[[#This Row],[achternaam]]," ",bron[[#This Row],[voornaam]])</f>
        <v>40266 Taibi Yassine</v>
      </c>
      <c r="C528" t="str">
        <f>VLOOKUP(bron[[#This Row],[personeelsnr]],'data hastus'!$A:$C,2,0)</f>
        <v>Taibi</v>
      </c>
      <c r="D528" t="str">
        <f>VLOOKUP(bron[[#This Row],[personeelsnr]],'data hastus'!$A:$C,3,0)</f>
        <v>Yassine</v>
      </c>
      <c r="E528" t="str">
        <f>VLOOKUP(bron[[#This Row],[personeelsnr]],'data hastus'!A:K,11,FALSE)</f>
        <v>Christoff Rotty</v>
      </c>
      <c r="F528" s="10"/>
      <c r="G528" s="6">
        <v>1</v>
      </c>
      <c r="H528" s="6"/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45667</v>
      </c>
      <c r="U528" s="8" t="s">
        <v>987</v>
      </c>
      <c r="V528" s="8">
        <v>1</v>
      </c>
      <c r="W528" s="8"/>
      <c r="X528" t="s">
        <v>3493</v>
      </c>
      <c r="Y528" t="s">
        <v>83</v>
      </c>
      <c r="Z528">
        <v>5912</v>
      </c>
      <c r="AA528" s="24" t="s">
        <v>3539</v>
      </c>
      <c r="AB528">
        <f>COUNTIF(B:B,bron[[#This Row],[volledige naam]])</f>
        <v>3</v>
      </c>
    </row>
    <row r="529" spans="1:28" x14ac:dyDescent="0.25">
      <c r="A529">
        <v>33986</v>
      </c>
      <c r="B529" t="str">
        <f>_xlfn.CONCAT(bron[[#This Row],[personeelsnr]]," ",bron[[#This Row],[achternaam]]," ",bron[[#This Row],[voornaam]])</f>
        <v>33986 Göktas Muharrem</v>
      </c>
      <c r="C529" t="str">
        <f>VLOOKUP(bron[[#This Row],[personeelsnr]],'data hastus'!$A:$C,2,0)</f>
        <v>Göktas</v>
      </c>
      <c r="D529" t="str">
        <f>VLOOKUP(bron[[#This Row],[personeelsnr]],'data hastus'!$A:$C,3,0)</f>
        <v>Muharrem</v>
      </c>
      <c r="E529" t="str">
        <f>VLOOKUP(bron[[#This Row],[personeelsnr]],'data hastus'!A:K,11,FALSE)</f>
        <v>Kenneth De Rick</v>
      </c>
      <c r="F529" s="10"/>
      <c r="G529" s="6"/>
      <c r="H529" s="6"/>
      <c r="I529" s="6"/>
      <c r="J529"/>
      <c r="K529"/>
      <c r="L529"/>
      <c r="M529"/>
      <c r="N529"/>
      <c r="O529"/>
      <c r="P529"/>
      <c r="Q529"/>
      <c r="R529"/>
      <c r="S529">
        <f>SUM(bron[[#This Row],[Januari]:[December]])</f>
        <v>0</v>
      </c>
      <c r="T529" s="3">
        <v>45669</v>
      </c>
      <c r="U529" s="8" t="s">
        <v>989</v>
      </c>
      <c r="V529" s="8">
        <v>1</v>
      </c>
      <c r="W529" s="8"/>
      <c r="X529" t="s">
        <v>3494</v>
      </c>
      <c r="Y529" t="s">
        <v>229</v>
      </c>
      <c r="Z529">
        <v>5267</v>
      </c>
      <c r="AA529" s="24" t="s">
        <v>3539</v>
      </c>
      <c r="AB529">
        <f>COUNTIF(B:B,bron[[#This Row],[volledige naam]])</f>
        <v>4</v>
      </c>
    </row>
    <row r="530" spans="1:28" x14ac:dyDescent="0.25">
      <c r="A530">
        <v>36428</v>
      </c>
      <c r="B530" t="str">
        <f>_xlfn.CONCAT(bron[[#This Row],[personeelsnr]]," ",bron[[#This Row],[achternaam]]," ",bron[[#This Row],[voornaam]])</f>
        <v>36428 Abdi Shaiye Rashid</v>
      </c>
      <c r="C530" t="str">
        <f>VLOOKUP(bron[[#This Row],[personeelsnr]],'data hastus'!$A:$C,2,0)</f>
        <v>Abdi Shaiye</v>
      </c>
      <c r="D530" t="str">
        <f>VLOOKUP(bron[[#This Row],[personeelsnr]],'data hastus'!$A:$C,3,0)</f>
        <v>Rashid</v>
      </c>
      <c r="E530" t="str">
        <f>VLOOKUP(bron[[#This Row],[personeelsnr]],'data hastus'!A:K,11,FALSE)</f>
        <v>Lucie Vande Velde</v>
      </c>
      <c r="F530" s="10"/>
      <c r="G530" s="6">
        <v>1</v>
      </c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45669</v>
      </c>
      <c r="U530" s="8" t="s">
        <v>990</v>
      </c>
      <c r="V530" s="8">
        <v>1</v>
      </c>
      <c r="W530" s="8"/>
      <c r="X530" t="s">
        <v>3492</v>
      </c>
      <c r="Y530" t="s">
        <v>8</v>
      </c>
      <c r="Z530">
        <v>5328</v>
      </c>
      <c r="AA530" s="24" t="s">
        <v>3539</v>
      </c>
      <c r="AB530">
        <f>COUNTIF(B:B,bron[[#This Row],[volledige naam]])</f>
        <v>5</v>
      </c>
    </row>
    <row r="531" spans="1:28" x14ac:dyDescent="0.25">
      <c r="A531">
        <v>22052</v>
      </c>
      <c r="B531" t="str">
        <f>_xlfn.CONCAT(bron[[#This Row],[personeelsnr]]," ",bron[[#This Row],[achternaam]]," ",bron[[#This Row],[voornaam]])</f>
        <v>22052 Meyvaert Peter</v>
      </c>
      <c r="C531" t="str">
        <f>VLOOKUP(bron[[#This Row],[personeelsnr]],'data hastus'!$A:$C,2,0)</f>
        <v>Meyvaert</v>
      </c>
      <c r="D531" t="str">
        <f>VLOOKUP(bron[[#This Row],[personeelsnr]],'data hastus'!$A:$C,3,0)</f>
        <v>Peter</v>
      </c>
      <c r="E531" t="str">
        <f>VLOOKUP(bron[[#This Row],[personeelsnr]],'data hastus'!A:K,11,FALSE)</f>
        <v>Els Dewulf</v>
      </c>
      <c r="F531" s="10"/>
      <c r="G531" s="6">
        <v>1</v>
      </c>
      <c r="H531" s="6"/>
      <c r="I531" s="6"/>
      <c r="J531"/>
      <c r="K531"/>
      <c r="L531"/>
      <c r="M531"/>
      <c r="N531"/>
      <c r="O531"/>
      <c r="P531"/>
      <c r="Q531"/>
      <c r="R531"/>
      <c r="S531">
        <f>SUM(bron[[#This Row],[Januari]:[December]])</f>
        <v>1</v>
      </c>
      <c r="T531" s="3">
        <v>45670</v>
      </c>
      <c r="U531" s="8" t="s">
        <v>1291</v>
      </c>
      <c r="V531" s="8">
        <v>1</v>
      </c>
      <c r="W531" s="8"/>
      <c r="X531" t="s">
        <v>3492</v>
      </c>
      <c r="Y531" t="s">
        <v>94</v>
      </c>
      <c r="Z531">
        <v>5263</v>
      </c>
      <c r="AA531" s="24" t="s">
        <v>3540</v>
      </c>
      <c r="AB531">
        <f>COUNTIF(B:B,bron[[#This Row],[volledige naam]])</f>
        <v>1</v>
      </c>
    </row>
    <row r="532" spans="1:28" x14ac:dyDescent="0.25">
      <c r="A532">
        <v>40444</v>
      </c>
      <c r="B532" t="str">
        <f>_xlfn.CONCAT(bron[[#This Row],[personeelsnr]]," ",bron[[#This Row],[achternaam]]," ",bron[[#This Row],[voornaam]])</f>
        <v>40444 Van Damme Glenn</v>
      </c>
      <c r="C532" t="str">
        <f>VLOOKUP(bron[[#This Row],[personeelsnr]],'data hastus'!$A:$C,2,0)</f>
        <v>Van Damme</v>
      </c>
      <c r="D532" t="str">
        <f>VLOOKUP(bron[[#This Row],[personeelsnr]],'data hastus'!$A:$C,3,0)</f>
        <v>Glenn</v>
      </c>
      <c r="E532" t="str">
        <f>VLOOKUP(bron[[#This Row],[personeelsnr]],'data hastus'!A:K,11,FALSE)</f>
        <v>Els Dewulf</v>
      </c>
      <c r="F532" s="10"/>
      <c r="G532" s="6">
        <v>1</v>
      </c>
      <c r="H532" s="6"/>
      <c r="I532" s="6"/>
      <c r="J532"/>
      <c r="K532"/>
      <c r="L532"/>
      <c r="M532"/>
      <c r="N532"/>
      <c r="O532"/>
      <c r="P532"/>
      <c r="Q532"/>
      <c r="R532"/>
      <c r="S532">
        <f>SUM(bron[[#This Row],[Januari]:[December]])</f>
        <v>1</v>
      </c>
      <c r="T532" s="3">
        <v>45670</v>
      </c>
      <c r="U532" s="8" t="s">
        <v>991</v>
      </c>
      <c r="V532" s="8">
        <v>1</v>
      </c>
      <c r="W532" s="8"/>
      <c r="X532" t="s">
        <v>3494</v>
      </c>
      <c r="Y532" t="s">
        <v>81</v>
      </c>
      <c r="Z532">
        <v>5260</v>
      </c>
      <c r="AA532" s="24" t="s">
        <v>3539</v>
      </c>
      <c r="AB532">
        <f>COUNTIF(B:B,bron[[#This Row],[volledige naam]])</f>
        <v>1</v>
      </c>
    </row>
    <row r="533" spans="1:28" x14ac:dyDescent="0.25">
      <c r="A533">
        <v>25487</v>
      </c>
      <c r="B533" t="str">
        <f>_xlfn.CONCAT(bron[[#This Row],[personeelsnr]]," ",bron[[#This Row],[achternaam]]," ",bron[[#This Row],[voornaam]])</f>
        <v>25487 Devos Stefaan</v>
      </c>
      <c r="C533" t="str">
        <f>VLOOKUP(bron[[#This Row],[personeelsnr]],'data hastus'!$A:$C,2,0)</f>
        <v>Devos</v>
      </c>
      <c r="D533" t="str">
        <f>VLOOKUP(bron[[#This Row],[personeelsnr]],'data hastus'!$A:$C,3,0)</f>
        <v>Stefaan</v>
      </c>
      <c r="E533" t="str">
        <f>VLOOKUP(bron[[#This Row],[personeelsnr]],'data hastus'!A:K,11,FALSE)</f>
        <v>Steven Storm</v>
      </c>
      <c r="F533" s="10"/>
      <c r="G533" s="6">
        <v>1</v>
      </c>
      <c r="H533" s="6"/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45671</v>
      </c>
      <c r="U533" s="8" t="s">
        <v>993</v>
      </c>
      <c r="V533" s="8">
        <v>1</v>
      </c>
      <c r="W533" s="8"/>
      <c r="X533" t="s">
        <v>3493</v>
      </c>
      <c r="Y533" t="s">
        <v>73</v>
      </c>
      <c r="Z533">
        <v>5912</v>
      </c>
      <c r="AA533" s="24" t="s">
        <v>3539</v>
      </c>
      <c r="AB533">
        <f>COUNTIF(B:B,bron[[#This Row],[volledige naam]])</f>
        <v>4</v>
      </c>
    </row>
    <row r="534" spans="1:28" x14ac:dyDescent="0.25">
      <c r="A534">
        <v>36626</v>
      </c>
      <c r="B534" t="str">
        <f>_xlfn.CONCAT(bron[[#This Row],[personeelsnr]]," ",bron[[#This Row],[achternaam]]," ",bron[[#This Row],[voornaam]])</f>
        <v>36626 Kartal Kadir</v>
      </c>
      <c r="C534" t="str">
        <f>VLOOKUP(bron[[#This Row],[personeelsnr]],'data hastus'!$A:$C,2,0)</f>
        <v>Kartal</v>
      </c>
      <c r="D534" t="str">
        <f>VLOOKUP(bron[[#This Row],[personeelsnr]],'data hastus'!$A:$C,3,0)</f>
        <v>Kadir</v>
      </c>
      <c r="E534" t="str">
        <f>VLOOKUP(bron[[#This Row],[personeelsnr]],'data hastus'!A:K,11,FALSE)</f>
        <v>Els Dewulf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45671</v>
      </c>
      <c r="U534" s="8" t="s">
        <v>992</v>
      </c>
      <c r="V534" s="8">
        <v>1</v>
      </c>
      <c r="W534" s="8"/>
      <c r="X534" t="s">
        <v>3493</v>
      </c>
      <c r="Y534" t="s">
        <v>14</v>
      </c>
      <c r="Z534">
        <v>5927</v>
      </c>
      <c r="AA534" s="24" t="s">
        <v>3539</v>
      </c>
      <c r="AB534">
        <f>COUNTIF(B:B,bron[[#This Row],[volledige naam]])</f>
        <v>10</v>
      </c>
    </row>
    <row r="535" spans="1:28" x14ac:dyDescent="0.25">
      <c r="A535">
        <v>41090</v>
      </c>
      <c r="B535" t="e">
        <f>_xlfn.CONCAT(bron[[#This Row],[personeelsnr]]," ",bron[[#This Row],[achternaam]]," ",bron[[#This Row],[voornaam]])</f>
        <v>#N/A</v>
      </c>
      <c r="C535" t="e">
        <f>VLOOKUP(bron[[#This Row],[personeelsnr]],'data hastus'!$A:$C,2,0)</f>
        <v>#N/A</v>
      </c>
      <c r="D535" t="e">
        <f>VLOOKUP(bron[[#This Row],[personeelsnr]],'data hastus'!$A:$C,3,0)</f>
        <v>#N/A</v>
      </c>
      <c r="E535" t="s">
        <v>62</v>
      </c>
      <c r="F535" s="10"/>
      <c r="G535" s="6">
        <v>1</v>
      </c>
      <c r="H535" s="6"/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45671</v>
      </c>
      <c r="U535" s="8" t="s">
        <v>994</v>
      </c>
      <c r="V535" s="8">
        <v>1</v>
      </c>
      <c r="W535" s="8"/>
      <c r="X535" t="s">
        <v>3493</v>
      </c>
      <c r="Y535" t="s">
        <v>10</v>
      </c>
      <c r="Z535">
        <v>5929</v>
      </c>
      <c r="AA535" s="24" t="s">
        <v>3539</v>
      </c>
      <c r="AB535">
        <f>COUNTIF(B:B,bron[[#This Row],[volledige naam]])</f>
        <v>24</v>
      </c>
    </row>
    <row r="536" spans="1:28" x14ac:dyDescent="0.25">
      <c r="A536">
        <v>30967</v>
      </c>
      <c r="B536" t="str">
        <f>_xlfn.CONCAT(bron[[#This Row],[personeelsnr]]," ",bron[[#This Row],[achternaam]]," ",bron[[#This Row],[voornaam]])</f>
        <v>30967 Taser Fatih</v>
      </c>
      <c r="C536" t="str">
        <f>VLOOKUP(bron[[#This Row],[personeelsnr]],'data hastus'!$A:$C,2,0)</f>
        <v>Taser</v>
      </c>
      <c r="D536" t="str">
        <f>VLOOKUP(bron[[#This Row],[personeelsnr]],'data hastus'!$A:$C,3,0)</f>
        <v>Fatih</v>
      </c>
      <c r="E536" t="str">
        <f>VLOOKUP(bron[[#This Row],[personeelsnr]],'data hastus'!A:K,11,FALSE)</f>
        <v>Dominique De Clercq</v>
      </c>
      <c r="F536" s="10"/>
      <c r="G536" s="6">
        <v>1</v>
      </c>
      <c r="H536" s="6"/>
      <c r="I536" s="6"/>
      <c r="J536"/>
      <c r="K536"/>
      <c r="L536"/>
      <c r="M536"/>
      <c r="N536"/>
      <c r="O536"/>
      <c r="P536"/>
      <c r="Q536"/>
      <c r="R536"/>
      <c r="S536">
        <f>SUM(bron[[#This Row],[Januari]:[December]])</f>
        <v>1</v>
      </c>
      <c r="T536" s="3">
        <v>45672</v>
      </c>
      <c r="U536" s="8" t="s">
        <v>996</v>
      </c>
      <c r="V536" s="8"/>
      <c r="W536" s="8">
        <v>1</v>
      </c>
      <c r="X536" t="s">
        <v>3528</v>
      </c>
      <c r="Y536" t="s">
        <v>46</v>
      </c>
      <c r="Z536">
        <v>6334</v>
      </c>
      <c r="AA536" s="24" t="s">
        <v>3539</v>
      </c>
      <c r="AB536">
        <f>COUNTIF(B:B,bron[[#This Row],[volledige naam]])</f>
        <v>3</v>
      </c>
    </row>
    <row r="537" spans="1:28" x14ac:dyDescent="0.25">
      <c r="A537">
        <v>40005</v>
      </c>
      <c r="B537" t="str">
        <f>_xlfn.CONCAT(bron[[#This Row],[personeelsnr]]," ",bron[[#This Row],[achternaam]]," ",bron[[#This Row],[voornaam]])</f>
        <v>40005 Bernaerts Philip</v>
      </c>
      <c r="C537" t="str">
        <f>VLOOKUP(bron[[#This Row],[personeelsnr]],'data hastus'!$A:$C,2,0)</f>
        <v>Bernaerts</v>
      </c>
      <c r="D537" t="str">
        <f>VLOOKUP(bron[[#This Row],[personeelsnr]],'data hastus'!$A:$C,3,0)</f>
        <v>Philip</v>
      </c>
      <c r="E537" t="str">
        <f>VLOOKUP(bron[[#This Row],[personeelsnr]],'data hastus'!A:K,11,FALSE)</f>
        <v>Christoff Rotty</v>
      </c>
      <c r="F537" s="10"/>
      <c r="G537" s="6">
        <v>1</v>
      </c>
      <c r="H537" s="6"/>
      <c r="I537" s="6"/>
      <c r="J537"/>
      <c r="K537"/>
      <c r="L537"/>
      <c r="M537"/>
      <c r="N537"/>
      <c r="O537"/>
      <c r="P537"/>
      <c r="Q537"/>
      <c r="R537"/>
      <c r="S537">
        <f>SUM(bron[[#This Row],[Januari]:[December]])</f>
        <v>1</v>
      </c>
      <c r="T537" s="3">
        <v>45672</v>
      </c>
      <c r="U537" s="8" t="s">
        <v>995</v>
      </c>
      <c r="V537" s="8">
        <v>1</v>
      </c>
      <c r="W537" s="8"/>
      <c r="X537" t="s">
        <v>3493</v>
      </c>
      <c r="Y537" t="s">
        <v>166</v>
      </c>
      <c r="Z537">
        <v>5920</v>
      </c>
      <c r="AA537" s="24" t="s">
        <v>3539</v>
      </c>
      <c r="AB537">
        <f>COUNTIF(B:B,bron[[#This Row],[volledige naam]])</f>
        <v>2</v>
      </c>
    </row>
    <row r="538" spans="1:28" x14ac:dyDescent="0.25">
      <c r="A538">
        <v>36626</v>
      </c>
      <c r="B538" t="str">
        <f>_xlfn.CONCAT(bron[[#This Row],[personeelsnr]]," ",bron[[#This Row],[achternaam]]," ",bron[[#This Row],[voornaam]])</f>
        <v>36626 Kartal Kadir</v>
      </c>
      <c r="C538" t="str">
        <f>VLOOKUP(bron[[#This Row],[personeelsnr]],'data hastus'!$A:$C,2,0)</f>
        <v>Kartal</v>
      </c>
      <c r="D538" t="str">
        <f>VLOOKUP(bron[[#This Row],[personeelsnr]],'data hastus'!$A:$C,3,0)</f>
        <v>Kadir</v>
      </c>
      <c r="E538" t="str">
        <f>VLOOKUP(bron[[#This Row],[personeelsnr]],'data hastus'!A:K,11,FALSE)</f>
        <v>Els Dewulf</v>
      </c>
      <c r="F538" s="10"/>
      <c r="G538" s="6">
        <v>1</v>
      </c>
      <c r="H538" s="6"/>
      <c r="I538" s="6"/>
      <c r="J538"/>
      <c r="K538"/>
      <c r="L538"/>
      <c r="M538"/>
      <c r="N538"/>
      <c r="O538"/>
      <c r="P538"/>
      <c r="Q538"/>
      <c r="R538"/>
      <c r="S538">
        <f>SUM(bron[[#This Row],[Januari]:[December]])</f>
        <v>1</v>
      </c>
      <c r="T538" s="3">
        <v>45673</v>
      </c>
      <c r="U538" s="8" t="s">
        <v>997</v>
      </c>
      <c r="V538" s="8"/>
      <c r="W538" s="8">
        <v>1</v>
      </c>
      <c r="X538" t="s">
        <v>3529</v>
      </c>
      <c r="Y538" t="s">
        <v>2</v>
      </c>
      <c r="Z538">
        <v>6357</v>
      </c>
      <c r="AA538" s="24" t="s">
        <v>3539</v>
      </c>
      <c r="AB538">
        <f>COUNTIF(B:B,bron[[#This Row],[volledige naam]])</f>
        <v>10</v>
      </c>
    </row>
    <row r="539" spans="1:28" x14ac:dyDescent="0.25">
      <c r="A539">
        <v>40969</v>
      </c>
      <c r="B539" t="str">
        <f>_xlfn.CONCAT(bron[[#This Row],[personeelsnr]]," ",bron[[#This Row],[achternaam]]," ",bron[[#This Row],[voornaam]])</f>
        <v>40969 Kerman Melisa</v>
      </c>
      <c r="C539" t="str">
        <f>VLOOKUP(bron[[#This Row],[personeelsnr]],'data hastus'!$A:$C,2,0)</f>
        <v>Kerman</v>
      </c>
      <c r="D539" t="str">
        <f>VLOOKUP(bron[[#This Row],[personeelsnr]],'data hastus'!$A:$C,3,0)</f>
        <v>Melisa</v>
      </c>
      <c r="E539" t="str">
        <f>VLOOKUP(bron[[#This Row],[personeelsnr]],'data hastus'!A:K,11,FALSE)</f>
        <v>Steven Storm</v>
      </c>
      <c r="F539" s="3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45673</v>
      </c>
      <c r="U539" s="8" t="s">
        <v>998</v>
      </c>
      <c r="V539" s="8">
        <v>1</v>
      </c>
      <c r="W539" s="8"/>
      <c r="X539" t="s">
        <v>3493</v>
      </c>
      <c r="Y539" t="s">
        <v>18</v>
      </c>
      <c r="Z539">
        <v>5771</v>
      </c>
      <c r="AA539" s="24" t="s">
        <v>3539</v>
      </c>
      <c r="AB539">
        <f>COUNTIF(B:B,bron[[#This Row],[volledige naam]])</f>
        <v>1</v>
      </c>
    </row>
    <row r="540" spans="1:28" x14ac:dyDescent="0.25">
      <c r="A540">
        <v>19249</v>
      </c>
      <c r="B540" t="str">
        <f>_xlfn.CONCAT(bron[[#This Row],[personeelsnr]]," ",bron[[#This Row],[achternaam]]," ",bron[[#This Row],[voornaam]])</f>
        <v>19249 Odaci Kadir</v>
      </c>
      <c r="C540" t="str">
        <f>VLOOKUP(bron[[#This Row],[personeelsnr]],'data hastus'!$A:$C,2,0)</f>
        <v>Odaci</v>
      </c>
      <c r="D540" t="str">
        <f>VLOOKUP(bron[[#This Row],[personeelsnr]],'data hastus'!$A:$C,3,0)</f>
        <v>Kadir</v>
      </c>
      <c r="E540" t="str">
        <f>VLOOKUP(bron[[#This Row],[personeelsnr]],'data hastus'!A:K,11,FALSE)</f>
        <v>Lucie Vande Velde</v>
      </c>
      <c r="F540" s="10"/>
      <c r="G540" s="6">
        <v>1</v>
      </c>
      <c r="H540" s="6"/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45674</v>
      </c>
      <c r="U540" s="8" t="s">
        <v>1307</v>
      </c>
      <c r="V540" s="8"/>
      <c r="W540" s="8">
        <v>1</v>
      </c>
      <c r="X540" t="s">
        <v>3528</v>
      </c>
      <c r="Y540" t="s">
        <v>559</v>
      </c>
      <c r="Z540">
        <v>6337</v>
      </c>
      <c r="AA540" s="24" t="s">
        <v>3540</v>
      </c>
      <c r="AB540">
        <f>COUNTIF(B:B,bron[[#This Row],[volledige naam]])</f>
        <v>4</v>
      </c>
    </row>
    <row r="541" spans="1:28" x14ac:dyDescent="0.25">
      <c r="A541">
        <v>22240</v>
      </c>
      <c r="B541" t="str">
        <f>_xlfn.CONCAT(bron[[#This Row],[personeelsnr]]," ",bron[[#This Row],[achternaam]]," ",bron[[#This Row],[voornaam]])</f>
        <v>22240 Delahaye Karina</v>
      </c>
      <c r="C541" t="str">
        <f>VLOOKUP(bron[[#This Row],[personeelsnr]],'data hastus'!$A:$C,2,0)</f>
        <v>Delahaye</v>
      </c>
      <c r="D541" t="str">
        <f>VLOOKUP(bron[[#This Row],[personeelsnr]],'data hastus'!$A:$C,3,0)</f>
        <v>Karina</v>
      </c>
      <c r="E541" t="str">
        <f>VLOOKUP(bron[[#This Row],[personeelsnr]],'data hastus'!A:K,11,FALSE)</f>
        <v>Els Dewulf</v>
      </c>
      <c r="F541" s="10"/>
      <c r="G541" s="6">
        <v>1</v>
      </c>
      <c r="H541" s="6"/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45674</v>
      </c>
      <c r="U541" s="8" t="s">
        <v>999</v>
      </c>
      <c r="V541" s="8"/>
      <c r="W541" s="8">
        <v>1</v>
      </c>
      <c r="X541" t="s">
        <v>3529</v>
      </c>
      <c r="Y541" t="s">
        <v>168</v>
      </c>
      <c r="Z541">
        <v>6355</v>
      </c>
      <c r="AA541" s="24" t="s">
        <v>3539</v>
      </c>
      <c r="AB541">
        <f>COUNTIF(B:B,bron[[#This Row],[volledige naam]])</f>
        <v>2</v>
      </c>
    </row>
    <row r="542" spans="1:28" x14ac:dyDescent="0.25">
      <c r="A542">
        <v>35588</v>
      </c>
      <c r="B542" t="str">
        <f>_xlfn.CONCAT(bron[[#This Row],[personeelsnr]]," ",bron[[#This Row],[achternaam]]," ",bron[[#This Row],[voornaam]])</f>
        <v>35588 Smesman Glenn</v>
      </c>
      <c r="C542" t="str">
        <f>VLOOKUP(bron[[#This Row],[personeelsnr]],'data hastus'!$A:$C,2,0)</f>
        <v>Smesman</v>
      </c>
      <c r="D542" t="str">
        <f>VLOOKUP(bron[[#This Row],[personeelsnr]],'data hastus'!$A:$C,3,0)</f>
        <v>Glenn</v>
      </c>
      <c r="E542" t="str">
        <f>VLOOKUP(bron[[#This Row],[personeelsnr]],'data hastus'!A:K,11,FALSE)</f>
        <v>Lucie Vande Velde</v>
      </c>
      <c r="F542" s="10"/>
      <c r="G542" s="6">
        <v>1</v>
      </c>
      <c r="H542" s="6"/>
      <c r="I542" s="6"/>
      <c r="J542"/>
      <c r="K542"/>
      <c r="L542"/>
      <c r="M542"/>
      <c r="N542"/>
      <c r="O542"/>
      <c r="P542"/>
      <c r="Q542"/>
      <c r="R542"/>
      <c r="S542">
        <f>SUM(bron[[#This Row],[Januari]:[December]])</f>
        <v>1</v>
      </c>
      <c r="T542" s="3">
        <v>45675</v>
      </c>
      <c r="U542" s="8" t="s">
        <v>1308</v>
      </c>
      <c r="V542" s="8"/>
      <c r="W542" s="8">
        <v>1</v>
      </c>
      <c r="X542" t="s">
        <v>3529</v>
      </c>
      <c r="Y542" t="s">
        <v>55</v>
      </c>
      <c r="Z542">
        <v>6356</v>
      </c>
      <c r="AA542" s="24" t="s">
        <v>3540</v>
      </c>
      <c r="AB542">
        <f>COUNTIF(B:B,bron[[#This Row],[volledige naam]])</f>
        <v>3</v>
      </c>
    </row>
    <row r="543" spans="1:28" x14ac:dyDescent="0.25">
      <c r="A543">
        <v>8394</v>
      </c>
      <c r="B543" t="str">
        <f>_xlfn.CONCAT(bron[[#This Row],[personeelsnr]]," ",bron[[#This Row],[achternaam]]," ",bron[[#This Row],[voornaam]])</f>
        <v>8394 Smet Antoon</v>
      </c>
      <c r="C543" t="str">
        <f>VLOOKUP(bron[[#This Row],[personeelsnr]],'data hastus'!$A:$C,2,0)</f>
        <v>Smet</v>
      </c>
      <c r="D543" t="str">
        <f>VLOOKUP(bron[[#This Row],[personeelsnr]],'data hastus'!$A:$C,3,0)</f>
        <v>Antoon</v>
      </c>
      <c r="E543" t="str">
        <f>VLOOKUP(bron[[#This Row],[personeelsnr]],'data hastus'!A:K,11,FALSE)</f>
        <v>Lucie Vande Velde</v>
      </c>
      <c r="F543" s="10"/>
      <c r="G543" s="6">
        <v>1</v>
      </c>
      <c r="H543" s="6"/>
      <c r="I543" s="6"/>
      <c r="J543"/>
      <c r="K543"/>
      <c r="L543"/>
      <c r="M543"/>
      <c r="N543"/>
      <c r="O543"/>
      <c r="P543"/>
      <c r="Q543"/>
      <c r="R543"/>
      <c r="S543">
        <f>SUM(bron[[#This Row],[Januari]:[December]])</f>
        <v>1</v>
      </c>
      <c r="T543" s="3">
        <v>45677</v>
      </c>
      <c r="U543" s="8" t="s">
        <v>1001</v>
      </c>
      <c r="V543" s="8">
        <v>1</v>
      </c>
      <c r="W543" s="8"/>
      <c r="X543" t="s">
        <v>3492</v>
      </c>
      <c r="Y543" t="s">
        <v>264</v>
      </c>
      <c r="Z543">
        <v>5039</v>
      </c>
      <c r="AA543" s="24" t="s">
        <v>3539</v>
      </c>
      <c r="AB543">
        <f>COUNTIF(B:B,bron[[#This Row],[volledige naam]])</f>
        <v>4</v>
      </c>
    </row>
    <row r="544" spans="1:28" x14ac:dyDescent="0.25">
      <c r="A544">
        <v>33965</v>
      </c>
      <c r="B544" t="str">
        <f>_xlfn.CONCAT(bron[[#This Row],[personeelsnr]]," ",bron[[#This Row],[achternaam]]," ",bron[[#This Row],[voornaam]])</f>
        <v>33965 Van de Gehuchte Gilles</v>
      </c>
      <c r="C544" t="str">
        <f>VLOOKUP(bron[[#This Row],[personeelsnr]],'data hastus'!$A:$C,2,0)</f>
        <v>Van de Gehuchte</v>
      </c>
      <c r="D544" t="str">
        <f>VLOOKUP(bron[[#This Row],[personeelsnr]],'data hastus'!$A:$C,3,0)</f>
        <v>Gilles</v>
      </c>
      <c r="E544" t="str">
        <f>VLOOKUP(bron[[#This Row],[personeelsnr]],'data hastus'!A:K,11,FALSE)</f>
        <v>Kenneth De Rick</v>
      </c>
      <c r="F544" s="10"/>
      <c r="G544" s="6">
        <v>1</v>
      </c>
      <c r="H544" s="6"/>
      <c r="I544" s="6"/>
      <c r="J544"/>
      <c r="K544"/>
      <c r="L544"/>
      <c r="M544"/>
      <c r="N544"/>
      <c r="O544"/>
      <c r="P544"/>
      <c r="Q544"/>
      <c r="R544"/>
      <c r="S544">
        <f>SUM(bron[[#This Row],[Januari]:[December]])</f>
        <v>1</v>
      </c>
      <c r="T544" s="3">
        <v>45677</v>
      </c>
      <c r="U544" s="8" t="s">
        <v>1000</v>
      </c>
      <c r="V544" s="8"/>
      <c r="W544" s="8">
        <v>1</v>
      </c>
      <c r="X544" t="s">
        <v>3528</v>
      </c>
      <c r="Y544" t="s">
        <v>20</v>
      </c>
      <c r="Z544">
        <v>6327</v>
      </c>
      <c r="AA544" s="24" t="s">
        <v>3539</v>
      </c>
      <c r="AB544">
        <f>COUNTIF(B:B,bron[[#This Row],[volledige naam]])</f>
        <v>10</v>
      </c>
    </row>
    <row r="545" spans="1:28" x14ac:dyDescent="0.25">
      <c r="A545">
        <v>21581</v>
      </c>
      <c r="B545" t="str">
        <f>_xlfn.CONCAT(bron[[#This Row],[personeelsnr]]," ",bron[[#This Row],[achternaam]]," ",bron[[#This Row],[voornaam]])</f>
        <v>21581 Vanderstraeten Franky</v>
      </c>
      <c r="C545" t="str">
        <f>VLOOKUP(bron[[#This Row],[personeelsnr]],'data hastus'!$A:$C,2,0)</f>
        <v>Vanderstraeten</v>
      </c>
      <c r="D545" t="str">
        <f>VLOOKUP(bron[[#This Row],[personeelsnr]],'data hastus'!$A:$C,3,0)</f>
        <v>Franky</v>
      </c>
      <c r="E545" t="str">
        <f>VLOOKUP(bron[[#This Row],[personeelsnr]],'data hastus'!A:K,11,FALSE)</f>
        <v>Lucie Vande Velde</v>
      </c>
      <c r="F545" s="10"/>
      <c r="G545" s="6">
        <v>1</v>
      </c>
      <c r="H545" s="6"/>
      <c r="I545" s="6"/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45678</v>
      </c>
      <c r="U545" s="8" t="s">
        <v>1303</v>
      </c>
      <c r="V545" s="8">
        <v>1</v>
      </c>
      <c r="W545" s="8"/>
      <c r="X545" t="s">
        <v>3492</v>
      </c>
      <c r="Y545" t="s">
        <v>1304</v>
      </c>
      <c r="Z545">
        <v>5040</v>
      </c>
      <c r="AA545" s="24" t="s">
        <v>3540</v>
      </c>
      <c r="AB545">
        <f>COUNTIF(B:B,bron[[#This Row],[volledige naam]])</f>
        <v>2</v>
      </c>
    </row>
    <row r="546" spans="1:28" x14ac:dyDescent="0.25">
      <c r="A546">
        <v>39673</v>
      </c>
      <c r="B546" t="str">
        <f>_xlfn.CONCAT(bron[[#This Row],[personeelsnr]]," ",bron[[#This Row],[achternaam]]," ",bron[[#This Row],[voornaam]])</f>
        <v>39673 Steurbaut Henri</v>
      </c>
      <c r="C546" t="str">
        <f>VLOOKUP(bron[[#This Row],[personeelsnr]],'data hastus'!$A:$C,2,0)</f>
        <v>Steurbaut</v>
      </c>
      <c r="D546" t="str">
        <f>VLOOKUP(bron[[#This Row],[personeelsnr]],'data hastus'!$A:$C,3,0)</f>
        <v>Henri</v>
      </c>
      <c r="E546" t="str">
        <f>VLOOKUP(bron[[#This Row],[personeelsnr]],'data hastus'!A:K,11,FALSE)</f>
        <v>Els Vanhoe</v>
      </c>
      <c r="F546" s="10"/>
      <c r="G546" s="6">
        <v>1</v>
      </c>
      <c r="H546" s="6"/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45678</v>
      </c>
      <c r="U546" s="8" t="s">
        <v>1002</v>
      </c>
      <c r="V546" s="8">
        <v>1</v>
      </c>
      <c r="W546" s="8"/>
      <c r="X546" t="s">
        <v>3493</v>
      </c>
      <c r="Y546" t="s">
        <v>73</v>
      </c>
      <c r="Z546">
        <v>5922</v>
      </c>
      <c r="AA546" s="24" t="s">
        <v>3539</v>
      </c>
      <c r="AB546">
        <f>COUNTIF(B:B,bron[[#This Row],[volledige naam]])</f>
        <v>5</v>
      </c>
    </row>
    <row r="547" spans="1:28" x14ac:dyDescent="0.25">
      <c r="A547">
        <v>34351</v>
      </c>
      <c r="B547" t="str">
        <f>_xlfn.CONCAT(bron[[#This Row],[personeelsnr]]," ",bron[[#This Row],[achternaam]]," ",bron[[#This Row],[voornaam]])</f>
        <v>34351 Callant Dieter</v>
      </c>
      <c r="C547" t="str">
        <f>VLOOKUP(bron[[#This Row],[personeelsnr]],'data hastus'!$A:$C,2,0)</f>
        <v>Callant</v>
      </c>
      <c r="D547" t="str">
        <f>VLOOKUP(bron[[#This Row],[personeelsnr]],'data hastus'!$A:$C,3,0)</f>
        <v>Dieter</v>
      </c>
      <c r="E547" t="str">
        <f>VLOOKUP(bron[[#This Row],[personeelsnr]],'data hastus'!A:K,11,FALSE)</f>
        <v>Els Vanhoe</v>
      </c>
      <c r="F547" s="10"/>
      <c r="G547" s="6">
        <v>1</v>
      </c>
      <c r="H547" s="6"/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45679</v>
      </c>
      <c r="U547" s="8" t="s">
        <v>1005</v>
      </c>
      <c r="V547" s="8"/>
      <c r="W547" s="8">
        <v>1</v>
      </c>
      <c r="X547" t="s">
        <v>3528</v>
      </c>
      <c r="Y547" t="s">
        <v>140</v>
      </c>
      <c r="Z547">
        <v>6324</v>
      </c>
      <c r="AA547" s="24" t="s">
        <v>3539</v>
      </c>
      <c r="AB547">
        <f>COUNTIF(B:B,bron[[#This Row],[volledige naam]])</f>
        <v>3</v>
      </c>
    </row>
    <row r="548" spans="1:28" x14ac:dyDescent="0.25">
      <c r="A548">
        <v>39660</v>
      </c>
      <c r="B548" t="str">
        <f>_xlfn.CONCAT(bron[[#This Row],[personeelsnr]]," ",bron[[#This Row],[achternaam]]," ",bron[[#This Row],[voornaam]])</f>
        <v>39660 Lloyd Glenn</v>
      </c>
      <c r="C548" t="str">
        <f>VLOOKUP(bron[[#This Row],[personeelsnr]],'data hastus'!$A:$C,2,0)</f>
        <v>Lloyd</v>
      </c>
      <c r="D548" t="str">
        <f>VLOOKUP(bron[[#This Row],[personeelsnr]],'data hastus'!$A:$C,3,0)</f>
        <v>Glenn</v>
      </c>
      <c r="E548" t="str">
        <f>VLOOKUP(bron[[#This Row],[personeelsnr]],'data hastus'!A:K,11,FALSE)</f>
        <v>Bart Van Der Beken</v>
      </c>
      <c r="F548" s="10"/>
      <c r="G548" s="6">
        <v>1</v>
      </c>
      <c r="H548" s="6"/>
      <c r="I548" s="6"/>
      <c r="J548"/>
      <c r="K548"/>
      <c r="L548"/>
      <c r="M548"/>
      <c r="N548"/>
      <c r="O548"/>
      <c r="P548"/>
      <c r="Q548"/>
      <c r="R548"/>
      <c r="S548">
        <f>SUM(bron[[#This Row],[Januari]:[December]])</f>
        <v>1</v>
      </c>
      <c r="T548" s="3">
        <v>45679</v>
      </c>
      <c r="U548" s="8" t="s">
        <v>1003</v>
      </c>
      <c r="V548" s="8">
        <v>1</v>
      </c>
      <c r="W548" s="8"/>
      <c r="X548" t="s">
        <v>3494</v>
      </c>
      <c r="Y548" t="s">
        <v>32</v>
      </c>
      <c r="Z548">
        <v>5264</v>
      </c>
      <c r="AA548" s="24" t="s">
        <v>3539</v>
      </c>
      <c r="AB548">
        <f>COUNTIF(B:B,bron[[#This Row],[volledige naam]])</f>
        <v>6</v>
      </c>
    </row>
    <row r="549" spans="1:28" x14ac:dyDescent="0.25">
      <c r="A549">
        <v>41162</v>
      </c>
      <c r="B549" t="str">
        <f>_xlfn.CONCAT(bron[[#This Row],[personeelsnr]]," ",bron[[#This Row],[achternaam]]," ",bron[[#This Row],[voornaam]])</f>
        <v>41162 Hoeckman Jeroen</v>
      </c>
      <c r="C549" t="str">
        <f>VLOOKUP(bron[[#This Row],[personeelsnr]],'data hastus'!$A:$C,2,0)</f>
        <v>Hoeckman</v>
      </c>
      <c r="D549" t="str">
        <f>VLOOKUP(bron[[#This Row],[personeelsnr]],'data hastus'!$A:$C,3,0)</f>
        <v>Jeroen</v>
      </c>
      <c r="E549" t="str">
        <f>VLOOKUP(bron[[#This Row],[personeelsnr]],'data hastus'!A:K,11,FALSE)</f>
        <v>Dominique De Clercq</v>
      </c>
      <c r="F549" s="10"/>
      <c r="G549" s="6">
        <v>1</v>
      </c>
      <c r="H549" s="6"/>
      <c r="I549" s="6"/>
      <c r="J549"/>
      <c r="K549"/>
      <c r="L549"/>
      <c r="M549"/>
      <c r="N549"/>
      <c r="O549"/>
      <c r="P549"/>
      <c r="Q549"/>
      <c r="R549"/>
      <c r="S549">
        <f>SUM(bron[[#This Row],[Januari]:[December]])</f>
        <v>1</v>
      </c>
      <c r="T549" s="3">
        <v>45679</v>
      </c>
      <c r="U549" s="8" t="s">
        <v>1004</v>
      </c>
      <c r="V549" s="8">
        <v>1</v>
      </c>
      <c r="W549" s="8"/>
      <c r="X549" t="s">
        <v>3493</v>
      </c>
      <c r="Y549" t="s">
        <v>108</v>
      </c>
      <c r="Z549">
        <v>5929</v>
      </c>
      <c r="AA549" s="24" t="s">
        <v>3539</v>
      </c>
      <c r="AB549">
        <f>COUNTIF(B:B,bron[[#This Row],[volledige naam]])</f>
        <v>5</v>
      </c>
    </row>
    <row r="550" spans="1:28" x14ac:dyDescent="0.25">
      <c r="A550">
        <v>31360</v>
      </c>
      <c r="B550" t="str">
        <f>_xlfn.CONCAT(bron[[#This Row],[personeelsnr]]," ",bron[[#This Row],[achternaam]]," ",bron[[#This Row],[voornaam]])</f>
        <v>31360 Simsek Fatih</v>
      </c>
      <c r="C550" t="str">
        <f>VLOOKUP(bron[[#This Row],[personeelsnr]],'data hastus'!$A:$C,2,0)</f>
        <v>Simsek</v>
      </c>
      <c r="D550" t="str">
        <f>VLOOKUP(bron[[#This Row],[personeelsnr]],'data hastus'!$A:$C,3,0)</f>
        <v>Fatih</v>
      </c>
      <c r="E550" t="str">
        <f>VLOOKUP(bron[[#This Row],[personeelsnr]],'data hastus'!A:K,11,FALSE)</f>
        <v>Dominique De Clercq</v>
      </c>
      <c r="F550" s="10"/>
      <c r="G550" s="6">
        <v>1</v>
      </c>
      <c r="H550" s="6"/>
      <c r="I550" s="6"/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45680</v>
      </c>
      <c r="U550" s="8" t="s">
        <v>1006</v>
      </c>
      <c r="V550" s="8"/>
      <c r="W550" s="8">
        <v>1</v>
      </c>
      <c r="X550" t="s">
        <v>3528</v>
      </c>
      <c r="Y550" t="s">
        <v>58</v>
      </c>
      <c r="Z550">
        <v>6325</v>
      </c>
      <c r="AA550" s="24" t="s">
        <v>3539</v>
      </c>
      <c r="AB550">
        <f>COUNTIF(B:B,bron[[#This Row],[volledige naam]])</f>
        <v>3</v>
      </c>
    </row>
    <row r="551" spans="1:28" x14ac:dyDescent="0.25">
      <c r="A551">
        <v>35395</v>
      </c>
      <c r="B551" t="str">
        <f>_xlfn.CONCAT(bron[[#This Row],[personeelsnr]]," ",bron[[#This Row],[achternaam]]," ",bron[[#This Row],[voornaam]])</f>
        <v>35395 Limbourg Heidi</v>
      </c>
      <c r="C551" t="str">
        <f>VLOOKUP(bron[[#This Row],[personeelsnr]],'data hastus'!$A:$C,2,0)</f>
        <v>Limbourg</v>
      </c>
      <c r="D551" t="str">
        <f>VLOOKUP(bron[[#This Row],[personeelsnr]],'data hastus'!$A:$C,3,0)</f>
        <v>Heidi</v>
      </c>
      <c r="E551" t="str">
        <f>VLOOKUP(bron[[#This Row],[personeelsnr]],'data hastus'!A:K,11,FALSE)</f>
        <v>Steven Storm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45680</v>
      </c>
      <c r="U551" s="8" t="s">
        <v>1007</v>
      </c>
      <c r="V551" s="8"/>
      <c r="W551" s="8">
        <v>1</v>
      </c>
      <c r="X551" t="s">
        <v>3528</v>
      </c>
      <c r="Y551" t="s">
        <v>152</v>
      </c>
      <c r="Z551">
        <v>6320</v>
      </c>
      <c r="AA551" s="24" t="s">
        <v>3539</v>
      </c>
      <c r="AB551">
        <f>COUNTIF(B:B,bron[[#This Row],[volledige naam]])</f>
        <v>2</v>
      </c>
    </row>
    <row r="552" spans="1:28" x14ac:dyDescent="0.25">
      <c r="A552">
        <v>13398</v>
      </c>
      <c r="B552" t="str">
        <f>_xlfn.CONCAT(bron[[#This Row],[personeelsnr]]," ",bron[[#This Row],[achternaam]]," ",bron[[#This Row],[voornaam]])</f>
        <v>13398 Kirdas Ramazan</v>
      </c>
      <c r="C552" t="str">
        <f>VLOOKUP(bron[[#This Row],[personeelsnr]],'data hastus'!$A:$C,2,0)</f>
        <v>Kirdas</v>
      </c>
      <c r="D552" t="str">
        <f>VLOOKUP(bron[[#This Row],[personeelsnr]],'data hastus'!$A:$C,3,0)</f>
        <v>Ramazan</v>
      </c>
      <c r="E552" t="str">
        <f>VLOOKUP(bron[[#This Row],[personeelsnr]],'data hastus'!A:K,11,FALSE)</f>
        <v>Dominique De Clercq</v>
      </c>
      <c r="F552" s="10"/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45681</v>
      </c>
      <c r="U552" s="8" t="s">
        <v>1008</v>
      </c>
      <c r="V552" s="8"/>
      <c r="W552" s="8">
        <v>1</v>
      </c>
      <c r="X552" t="s">
        <v>3528</v>
      </c>
      <c r="Y552" t="s">
        <v>110</v>
      </c>
      <c r="Z552">
        <v>6333</v>
      </c>
      <c r="AA552" s="24" t="s">
        <v>3539</v>
      </c>
      <c r="AB552">
        <f>COUNTIF(B:B,bron[[#This Row],[volledige naam]])</f>
        <v>1</v>
      </c>
    </row>
    <row r="553" spans="1:28" x14ac:dyDescent="0.25">
      <c r="A553">
        <v>21509</v>
      </c>
      <c r="B553" t="str">
        <f>_xlfn.CONCAT(bron[[#This Row],[personeelsnr]]," ",bron[[#This Row],[achternaam]]," ",bron[[#This Row],[voornaam]])</f>
        <v>21509 De Craemer Kris</v>
      </c>
      <c r="C553" t="str">
        <f>VLOOKUP(bron[[#This Row],[personeelsnr]],'data hastus'!$A:$C,2,0)</f>
        <v>De Craemer</v>
      </c>
      <c r="D553" t="str">
        <f>VLOOKUP(bron[[#This Row],[personeelsnr]],'data hastus'!$A:$C,3,0)</f>
        <v>Kris</v>
      </c>
      <c r="E553" t="str">
        <f>VLOOKUP(bron[[#This Row],[personeelsnr]],'data hastus'!A:K,11,FALSE)</f>
        <v>Dominique De Clercq</v>
      </c>
      <c r="F553" s="10"/>
      <c r="G553" s="6"/>
      <c r="H553" s="6"/>
      <c r="I553" s="6"/>
      <c r="J553"/>
      <c r="K553"/>
      <c r="L553"/>
      <c r="M553"/>
      <c r="N553"/>
      <c r="O553"/>
      <c r="P553"/>
      <c r="Q553"/>
      <c r="R553"/>
      <c r="S553">
        <f>SUM(bron[[#This Row],[Januari]:[December]])</f>
        <v>0</v>
      </c>
      <c r="T553" s="3">
        <v>45684</v>
      </c>
      <c r="U553" s="8" t="s">
        <v>1284</v>
      </c>
      <c r="V553" s="8"/>
      <c r="W553" s="8">
        <v>1</v>
      </c>
      <c r="X553" t="s">
        <v>3528</v>
      </c>
      <c r="Y553" t="s">
        <v>64</v>
      </c>
      <c r="Z553">
        <v>6303</v>
      </c>
      <c r="AA553" s="24" t="s">
        <v>3540</v>
      </c>
      <c r="AB553">
        <f>COUNTIF(B:B,bron[[#This Row],[volledige naam]])</f>
        <v>6</v>
      </c>
    </row>
    <row r="554" spans="1:28" x14ac:dyDescent="0.25">
      <c r="A554">
        <v>36663</v>
      </c>
      <c r="B554" t="str">
        <f>_xlfn.CONCAT(bron[[#This Row],[personeelsnr]]," ",bron[[#This Row],[achternaam]]," ",bron[[#This Row],[voornaam]])</f>
        <v>36663 Cesmeli Achraf</v>
      </c>
      <c r="C554" t="str">
        <f>VLOOKUP(bron[[#This Row],[personeelsnr]],'data hastus'!$A:$C,2,0)</f>
        <v>Cesmeli</v>
      </c>
      <c r="D554" t="str">
        <f>VLOOKUP(bron[[#This Row],[personeelsnr]],'data hastus'!$A:$C,3,0)</f>
        <v>Achraf</v>
      </c>
      <c r="E554" t="str">
        <f>VLOOKUP(bron[[#This Row],[personeelsnr]],'data hastus'!A:K,11,FALSE)</f>
        <v>Dominique De Clercq</v>
      </c>
      <c r="F554" s="10"/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45684</v>
      </c>
      <c r="U554" s="8" t="s">
        <v>1009</v>
      </c>
      <c r="V554" s="8">
        <v>1</v>
      </c>
      <c r="W554" s="8"/>
      <c r="X554" t="s">
        <v>3494</v>
      </c>
      <c r="Y554" t="s">
        <v>64</v>
      </c>
      <c r="Z554">
        <v>5267</v>
      </c>
      <c r="AA554" s="24" t="s">
        <v>3539</v>
      </c>
      <c r="AB554">
        <f>COUNTIF(B:B,bron[[#This Row],[volledige naam]])</f>
        <v>3</v>
      </c>
    </row>
    <row r="555" spans="1:28" x14ac:dyDescent="0.25">
      <c r="A555">
        <v>35491</v>
      </c>
      <c r="B555" t="str">
        <f>_xlfn.CONCAT(bron[[#This Row],[personeelsnr]]," ",bron[[#This Row],[achternaam]]," ",bron[[#This Row],[voornaam]])</f>
        <v>35491 Toubadie Zakaria</v>
      </c>
      <c r="C555" t="str">
        <f>VLOOKUP(bron[[#This Row],[personeelsnr]],'data hastus'!$A:$C,2,0)</f>
        <v>Toubadie</v>
      </c>
      <c r="D555" t="str">
        <f>VLOOKUP(bron[[#This Row],[personeelsnr]],'data hastus'!$A:$C,3,0)</f>
        <v>Zakaria</v>
      </c>
      <c r="E555" t="str">
        <f>VLOOKUP(bron[[#This Row],[personeelsnr]],'data hastus'!A:K,11,FALSE)</f>
        <v>Els Vanhoe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45685</v>
      </c>
      <c r="U555" s="8" t="s">
        <v>1011</v>
      </c>
      <c r="V555" s="8">
        <v>1</v>
      </c>
      <c r="W555" s="8"/>
      <c r="X555" t="s">
        <v>3492</v>
      </c>
      <c r="Y555" t="s">
        <v>14</v>
      </c>
      <c r="Z555">
        <v>5235</v>
      </c>
      <c r="AA555" s="24" t="s">
        <v>3539</v>
      </c>
      <c r="AB555">
        <f>COUNTIF(B:B,bron[[#This Row],[volledige naam]])</f>
        <v>2</v>
      </c>
    </row>
    <row r="556" spans="1:28" x14ac:dyDescent="0.25">
      <c r="A556">
        <v>40138</v>
      </c>
      <c r="B556" t="str">
        <f>_xlfn.CONCAT(bron[[#This Row],[personeelsnr]]," ",bron[[#This Row],[achternaam]]," ",bron[[#This Row],[voornaam]])</f>
        <v>40138 Moerman Tjimmy</v>
      </c>
      <c r="C556" t="str">
        <f>VLOOKUP(bron[[#This Row],[personeelsnr]],'data hastus'!$A:$C,2,0)</f>
        <v>Moerman</v>
      </c>
      <c r="D556" t="str">
        <f>VLOOKUP(bron[[#This Row],[personeelsnr]],'data hastus'!$A:$C,3,0)</f>
        <v>Tjimmy</v>
      </c>
      <c r="E556" t="str">
        <f>VLOOKUP(bron[[#This Row],[personeelsnr]],'data hastus'!A:K,11,FALSE)</f>
        <v>Christoff Rotty</v>
      </c>
      <c r="F556" s="10"/>
      <c r="G556" s="6">
        <v>1</v>
      </c>
      <c r="H556" s="6"/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45685</v>
      </c>
      <c r="U556" s="8" t="s">
        <v>1010</v>
      </c>
      <c r="V556" s="8">
        <v>1</v>
      </c>
      <c r="W556" s="8"/>
      <c r="X556" t="s">
        <v>3493</v>
      </c>
      <c r="Y556" t="s">
        <v>37</v>
      </c>
      <c r="Z556">
        <v>5923</v>
      </c>
      <c r="AA556" s="24" t="s">
        <v>3539</v>
      </c>
      <c r="AB556">
        <f>COUNTIF(B:B,bron[[#This Row],[volledige naam]])</f>
        <v>10</v>
      </c>
    </row>
    <row r="557" spans="1:28" x14ac:dyDescent="0.25">
      <c r="A557">
        <v>19249</v>
      </c>
      <c r="B557" t="str">
        <f>_xlfn.CONCAT(bron[[#This Row],[personeelsnr]]," ",bron[[#This Row],[achternaam]]," ",bron[[#This Row],[voornaam]])</f>
        <v>19249 Odaci Kadir</v>
      </c>
      <c r="C557" t="str">
        <f>VLOOKUP(bron[[#This Row],[personeelsnr]],'data hastus'!$A:$C,2,0)</f>
        <v>Odaci</v>
      </c>
      <c r="D557" t="str">
        <f>VLOOKUP(bron[[#This Row],[personeelsnr]],'data hastus'!$A:$C,3,0)</f>
        <v>Kadir</v>
      </c>
      <c r="E557" t="str">
        <f>VLOOKUP(bron[[#This Row],[personeelsnr]],'data hastus'!A:K,11,FALSE)</f>
        <v>Lucie Vande Velde</v>
      </c>
      <c r="F557" s="10"/>
      <c r="G557" s="6">
        <v>1</v>
      </c>
      <c r="H557" s="6"/>
      <c r="I557" s="6"/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45686</v>
      </c>
      <c r="U557" s="8" t="s">
        <v>1013</v>
      </c>
      <c r="V557" s="8"/>
      <c r="W557" s="8">
        <v>1</v>
      </c>
      <c r="X557" t="s">
        <v>3528</v>
      </c>
      <c r="Y557" t="s">
        <v>58</v>
      </c>
      <c r="Z557">
        <v>6337</v>
      </c>
      <c r="AA557" s="24" t="s">
        <v>3539</v>
      </c>
      <c r="AB557">
        <f>COUNTIF(B:B,bron[[#This Row],[volledige naam]])</f>
        <v>4</v>
      </c>
    </row>
    <row r="558" spans="1:28" x14ac:dyDescent="0.25">
      <c r="A558">
        <v>21424</v>
      </c>
      <c r="B558" t="str">
        <f>_xlfn.CONCAT(bron[[#This Row],[personeelsnr]]," ",bron[[#This Row],[achternaam]]," ",bron[[#This Row],[voornaam]])</f>
        <v>21424 Verstichel Jethro</v>
      </c>
      <c r="C558" t="str">
        <f>VLOOKUP(bron[[#This Row],[personeelsnr]],'data hastus'!$A:$C,2,0)</f>
        <v>Verstichel</v>
      </c>
      <c r="D558" t="str">
        <f>VLOOKUP(bron[[#This Row],[personeelsnr]],'data hastus'!$A:$C,3,0)</f>
        <v>Jethro</v>
      </c>
      <c r="E558" t="str">
        <f>VLOOKUP(bron[[#This Row],[personeelsnr]],'data hastus'!A:K,11,FALSE)</f>
        <v>Els Dewulf</v>
      </c>
      <c r="F558" s="10"/>
      <c r="G558" s="6">
        <v>1</v>
      </c>
      <c r="H558" s="6"/>
      <c r="I558" s="6"/>
      <c r="J558"/>
      <c r="K558"/>
      <c r="L558"/>
      <c r="M558"/>
      <c r="N558"/>
      <c r="O558"/>
      <c r="P558"/>
      <c r="Q558"/>
      <c r="R558"/>
      <c r="S558">
        <f>SUM(bron[[#This Row],[Januari]:[December]])</f>
        <v>1</v>
      </c>
      <c r="T558" s="3">
        <v>45686</v>
      </c>
      <c r="U558" s="8" t="s">
        <v>1012</v>
      </c>
      <c r="V558" s="8"/>
      <c r="W558" s="8">
        <v>1</v>
      </c>
      <c r="X558" t="s">
        <v>3529</v>
      </c>
      <c r="Y558" t="s">
        <v>20</v>
      </c>
      <c r="Z558">
        <v>6368</v>
      </c>
      <c r="AA558" s="24" t="s">
        <v>3539</v>
      </c>
      <c r="AB558">
        <f>COUNTIF(B:B,bron[[#This Row],[volledige naam]])</f>
        <v>2</v>
      </c>
    </row>
    <row r="559" spans="1:28" x14ac:dyDescent="0.25">
      <c r="A559">
        <v>33640</v>
      </c>
      <c r="B559" t="str">
        <f>_xlfn.CONCAT(bron[[#This Row],[personeelsnr]]," ",bron[[#This Row],[achternaam]]," ",bron[[#This Row],[voornaam]])</f>
        <v>33640 Verschraegen Patrick</v>
      </c>
      <c r="C559" t="str">
        <f>VLOOKUP(bron[[#This Row],[personeelsnr]],'data hastus'!$A:$C,2,0)</f>
        <v>Verschraegen</v>
      </c>
      <c r="D559" t="str">
        <f>VLOOKUP(bron[[#This Row],[personeelsnr]],'data hastus'!$A:$C,3,0)</f>
        <v>Patrick</v>
      </c>
      <c r="E559" t="str">
        <f>VLOOKUP(bron[[#This Row],[personeelsnr]],'data hastus'!A:K,11,FALSE)</f>
        <v>Steven Storm</v>
      </c>
      <c r="F559" s="10"/>
      <c r="G559" s="6">
        <v>1</v>
      </c>
      <c r="H559" s="6"/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45686</v>
      </c>
      <c r="U559" s="8" t="s">
        <v>1014</v>
      </c>
      <c r="V559" s="8">
        <v>1</v>
      </c>
      <c r="W559" s="8"/>
      <c r="X559" t="s">
        <v>3493</v>
      </c>
      <c r="Y559" t="s">
        <v>195</v>
      </c>
      <c r="Z559">
        <v>5763</v>
      </c>
      <c r="AA559" s="24" t="s">
        <v>3539</v>
      </c>
      <c r="AB559">
        <f>COUNTIF(B:B,bron[[#This Row],[volledige naam]])</f>
        <v>1</v>
      </c>
    </row>
    <row r="560" spans="1:28" x14ac:dyDescent="0.25">
      <c r="A560">
        <v>40652</v>
      </c>
      <c r="B560" t="str">
        <f>_xlfn.CONCAT(bron[[#This Row],[personeelsnr]]," ",bron[[#This Row],[achternaam]]," ",bron[[#This Row],[voornaam]])</f>
        <v>40652 Van Damme Gilyann</v>
      </c>
      <c r="C560" t="str">
        <f>VLOOKUP(bron[[#This Row],[personeelsnr]],'data hastus'!$A:$C,2,0)</f>
        <v>Van Damme</v>
      </c>
      <c r="D560" t="str">
        <f>VLOOKUP(bron[[#This Row],[personeelsnr]],'data hastus'!$A:$C,3,0)</f>
        <v>Gilyann</v>
      </c>
      <c r="E560" t="str">
        <f>VLOOKUP(bron[[#This Row],[personeelsnr]],'data hastus'!A:K,11,FALSE)</f>
        <v>Els Vanhoe</v>
      </c>
      <c r="F560" s="10"/>
      <c r="G560" s="6">
        <v>1</v>
      </c>
      <c r="H560" s="6"/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45687</v>
      </c>
      <c r="U560" s="8" t="s">
        <v>1015</v>
      </c>
      <c r="V560" s="8">
        <v>1</v>
      </c>
      <c r="W560" s="8"/>
      <c r="X560" t="s">
        <v>3494</v>
      </c>
      <c r="Y560" t="s">
        <v>221</v>
      </c>
      <c r="Z560">
        <v>2204</v>
      </c>
      <c r="AA560" s="24" t="s">
        <v>3539</v>
      </c>
      <c r="AB560">
        <f>COUNTIF(B:B,bron[[#This Row],[volledige naam]])</f>
        <v>7</v>
      </c>
    </row>
    <row r="561" spans="1:28" x14ac:dyDescent="0.25">
      <c r="A561">
        <v>36663</v>
      </c>
      <c r="B561" t="str">
        <f>_xlfn.CONCAT(bron[[#This Row],[personeelsnr]]," ",bron[[#This Row],[achternaam]]," ",bron[[#This Row],[voornaam]])</f>
        <v>36663 Cesmeli Achraf</v>
      </c>
      <c r="C561" t="str">
        <f>VLOOKUP(bron[[#This Row],[personeelsnr]],'data hastus'!$A:$C,2,0)</f>
        <v>Cesmeli</v>
      </c>
      <c r="D561" t="str">
        <f>VLOOKUP(bron[[#This Row],[personeelsnr]],'data hastus'!$A:$C,3,0)</f>
        <v>Achraf</v>
      </c>
      <c r="E561" t="str">
        <f>VLOOKUP(bron[[#This Row],[personeelsnr]],'data hastus'!A:K,11,FALSE)</f>
        <v>Dominique De Clercq</v>
      </c>
      <c r="F561" s="10"/>
      <c r="G561" s="6">
        <v>1</v>
      </c>
      <c r="H561" s="6"/>
      <c r="I561" s="6"/>
      <c r="J561"/>
      <c r="K561"/>
      <c r="L561"/>
      <c r="M561"/>
      <c r="N561"/>
      <c r="O561"/>
      <c r="P561"/>
      <c r="Q561"/>
      <c r="R561"/>
      <c r="S561">
        <f>SUM(bron[[#This Row],[Januari]:[December]])</f>
        <v>1</v>
      </c>
      <c r="T561" s="3">
        <v>45688</v>
      </c>
      <c r="U561" s="8" t="s">
        <v>1016</v>
      </c>
      <c r="V561" s="8">
        <v>1</v>
      </c>
      <c r="W561" s="8"/>
      <c r="X561" t="s">
        <v>3493</v>
      </c>
      <c r="Y561" t="s">
        <v>8</v>
      </c>
      <c r="Z561">
        <v>5053</v>
      </c>
      <c r="AA561" s="24" t="s">
        <v>3539</v>
      </c>
      <c r="AB561">
        <f>COUNTIF(B:B,bron[[#This Row],[volledige naam]])</f>
        <v>3</v>
      </c>
    </row>
    <row r="562" spans="1:28" x14ac:dyDescent="0.25">
      <c r="A562">
        <v>39532</v>
      </c>
      <c r="B562" t="str">
        <f>_xlfn.CONCAT(bron[[#This Row],[personeelsnr]]," ",bron[[#This Row],[achternaam]]," ",bron[[#This Row],[voornaam]])</f>
        <v>39532 Sahin Orhan</v>
      </c>
      <c r="C562" t="str">
        <f>VLOOKUP(bron[[#This Row],[personeelsnr]],'data hastus'!$A:$C,2,0)</f>
        <v>Sahin</v>
      </c>
      <c r="D562" t="str">
        <f>VLOOKUP(bron[[#This Row],[personeelsnr]],'data hastus'!$A:$C,3,0)</f>
        <v>Orhan</v>
      </c>
      <c r="E562" t="str">
        <f>VLOOKUP(bron[[#This Row],[personeelsnr]],'data hastus'!A:K,11,FALSE)</f>
        <v>Christoff Rotty</v>
      </c>
      <c r="F562" s="3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45689</v>
      </c>
      <c r="U562" s="8" t="s">
        <v>1017</v>
      </c>
      <c r="V562" s="8">
        <v>1</v>
      </c>
      <c r="W562" s="8"/>
      <c r="X562" t="s">
        <v>3494</v>
      </c>
      <c r="Y562" t="s">
        <v>8</v>
      </c>
      <c r="Z562">
        <v>5048</v>
      </c>
      <c r="AA562" s="24" t="s">
        <v>3539</v>
      </c>
      <c r="AB562">
        <f>COUNTIF(B:B,bron[[#This Row],[volledige naam]])</f>
        <v>6</v>
      </c>
    </row>
    <row r="563" spans="1:28" x14ac:dyDescent="0.25">
      <c r="A563">
        <v>37496</v>
      </c>
      <c r="B563" t="str">
        <f>_xlfn.CONCAT(bron[[#This Row],[personeelsnr]]," ",bron[[#This Row],[achternaam]]," ",bron[[#This Row],[voornaam]])</f>
        <v>37496 Oosterlinck Willy</v>
      </c>
      <c r="C563" t="str">
        <f>VLOOKUP(bron[[#This Row],[personeelsnr]],'data hastus'!$A:$C,2,0)</f>
        <v>Oosterlinck</v>
      </c>
      <c r="D563" t="str">
        <f>VLOOKUP(bron[[#This Row],[personeelsnr]],'data hastus'!$A:$C,3,0)</f>
        <v>Willy</v>
      </c>
      <c r="E563" t="str">
        <f>VLOOKUP(bron[[#This Row],[personeelsnr]],'data hastus'!A:K,11,FALSE)</f>
        <v>Dominique De Clercq</v>
      </c>
      <c r="F563" s="10"/>
      <c r="G563" s="6"/>
      <c r="H563" s="6">
        <v>1</v>
      </c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45690</v>
      </c>
      <c r="U563" s="8" t="s">
        <v>1018</v>
      </c>
      <c r="V563" s="8"/>
      <c r="W563" s="8">
        <v>1</v>
      </c>
      <c r="X563" t="s">
        <v>3528</v>
      </c>
      <c r="Y563" t="s">
        <v>2</v>
      </c>
      <c r="Z563">
        <v>6327</v>
      </c>
      <c r="AA563" s="24" t="s">
        <v>3539</v>
      </c>
      <c r="AB563">
        <f>COUNTIF(B:B,bron[[#This Row],[volledige naam]])</f>
        <v>4</v>
      </c>
    </row>
    <row r="564" spans="1:28" x14ac:dyDescent="0.25">
      <c r="A564">
        <v>12514</v>
      </c>
      <c r="B564" t="str">
        <f>_xlfn.CONCAT(bron[[#This Row],[personeelsnr]]," ",bron[[#This Row],[achternaam]]," ",bron[[#This Row],[voornaam]])</f>
        <v>12514 De Smet Kenneth</v>
      </c>
      <c r="C564" t="str">
        <f>VLOOKUP(bron[[#This Row],[personeelsnr]],'data hastus'!$A:$C,2,0)</f>
        <v>De Smet</v>
      </c>
      <c r="D564" t="str">
        <f>VLOOKUP(bron[[#This Row],[personeelsnr]],'data hastus'!$A:$C,3,0)</f>
        <v>Kenneth</v>
      </c>
      <c r="E564" t="str">
        <f>VLOOKUP(bron[[#This Row],[personeelsnr]],'data hastus'!A:K,11,FALSE)</f>
        <v>Lucie Vande Velde</v>
      </c>
      <c r="F564" s="10"/>
      <c r="G564" s="6"/>
      <c r="H564" s="6">
        <v>1</v>
      </c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45691</v>
      </c>
      <c r="U564" s="8" t="s">
        <v>1021</v>
      </c>
      <c r="V564" s="8"/>
      <c r="W564" s="8">
        <v>1</v>
      </c>
      <c r="X564" t="s">
        <v>3528</v>
      </c>
      <c r="Y564" t="s">
        <v>128</v>
      </c>
      <c r="Z564">
        <v>6314</v>
      </c>
      <c r="AA564" s="24" t="s">
        <v>3539</v>
      </c>
      <c r="AB564">
        <f>COUNTIF(B:B,bron[[#This Row],[volledige naam]])</f>
        <v>1</v>
      </c>
    </row>
    <row r="565" spans="1:28" x14ac:dyDescent="0.25">
      <c r="A565">
        <v>13568</v>
      </c>
      <c r="B565" t="e">
        <f>_xlfn.CONCAT(bron[[#This Row],[personeelsnr]]," ",bron[[#This Row],[achternaam]]," ",bron[[#This Row],[voornaam]])</f>
        <v>#N/A</v>
      </c>
      <c r="C565" t="e">
        <f>VLOOKUP(bron[[#This Row],[personeelsnr]],'data hastus'!$A:$C,2,0)</f>
        <v>#N/A</v>
      </c>
      <c r="D565" t="e">
        <f>VLOOKUP(bron[[#This Row],[personeelsnr]],'data hastus'!$A:$C,3,0)</f>
        <v>#N/A</v>
      </c>
      <c r="E565" t="s">
        <v>62</v>
      </c>
      <c r="F565" s="10"/>
      <c r="G565" s="6"/>
      <c r="H565" s="6">
        <v>1</v>
      </c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>
        <v>45691</v>
      </c>
      <c r="U565" s="8" t="s">
        <v>1022</v>
      </c>
      <c r="V565" s="8">
        <v>1</v>
      </c>
      <c r="W565" s="8"/>
      <c r="X565" t="s">
        <v>3493</v>
      </c>
      <c r="Y565" t="s">
        <v>130</v>
      </c>
      <c r="Z565">
        <v>5916</v>
      </c>
      <c r="AA565" s="24" t="s">
        <v>3539</v>
      </c>
      <c r="AB565">
        <f>COUNTIF(B:B,bron[[#This Row],[volledige naam]])</f>
        <v>24</v>
      </c>
    </row>
    <row r="566" spans="1:28" x14ac:dyDescent="0.25">
      <c r="A566">
        <v>16545</v>
      </c>
      <c r="B566" t="str">
        <f>_xlfn.CONCAT(bron[[#This Row],[personeelsnr]]," ",bron[[#This Row],[achternaam]]," ",bron[[#This Row],[voornaam]])</f>
        <v>16545 Toch Erwin</v>
      </c>
      <c r="C566" t="str">
        <f>VLOOKUP(bron[[#This Row],[personeelsnr]],'data hastus'!$A:$C,2,0)</f>
        <v>Toch</v>
      </c>
      <c r="D566" t="str">
        <f>VLOOKUP(bron[[#This Row],[personeelsnr]],'data hastus'!$A:$C,3,0)</f>
        <v>Erwin</v>
      </c>
      <c r="E566" t="str">
        <f>VLOOKUP(bron[[#This Row],[personeelsnr]],'data hastus'!A:K,11,FALSE)</f>
        <v>Bart Van Der Beken</v>
      </c>
      <c r="F566" s="10"/>
      <c r="G566" s="6"/>
      <c r="H566" s="6">
        <v>1</v>
      </c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45691</v>
      </c>
      <c r="U566" s="8" t="s">
        <v>1019</v>
      </c>
      <c r="V566" s="8">
        <v>1</v>
      </c>
      <c r="W566" s="8"/>
      <c r="X566" t="s">
        <v>3492</v>
      </c>
      <c r="Y566" t="s">
        <v>12</v>
      </c>
      <c r="Z566">
        <v>5327</v>
      </c>
      <c r="AA566" s="24" t="s">
        <v>3539</v>
      </c>
      <c r="AB566">
        <f>COUNTIF(B:B,bron[[#This Row],[volledige naam]])</f>
        <v>2</v>
      </c>
    </row>
    <row r="567" spans="1:28" x14ac:dyDescent="0.25">
      <c r="A567">
        <v>21424</v>
      </c>
      <c r="B567" t="str">
        <f>_xlfn.CONCAT(bron[[#This Row],[personeelsnr]]," ",bron[[#This Row],[achternaam]]," ",bron[[#This Row],[voornaam]])</f>
        <v>21424 Verstichel Jethro</v>
      </c>
      <c r="C567" t="str">
        <f>VLOOKUP(bron[[#This Row],[personeelsnr]],'data hastus'!$A:$C,2,0)</f>
        <v>Verstichel</v>
      </c>
      <c r="D567" t="str">
        <f>VLOOKUP(bron[[#This Row],[personeelsnr]],'data hastus'!$A:$C,3,0)</f>
        <v>Jethro</v>
      </c>
      <c r="E567" t="str">
        <f>VLOOKUP(bron[[#This Row],[personeelsnr]],'data hastus'!A:K,11,FALSE)</f>
        <v>Els Dewulf</v>
      </c>
      <c r="F567" s="10"/>
      <c r="G567" s="6"/>
      <c r="H567" s="6">
        <v>1</v>
      </c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45691</v>
      </c>
      <c r="U567" s="8" t="s">
        <v>1020</v>
      </c>
      <c r="V567" s="8">
        <v>1</v>
      </c>
      <c r="W567" s="8"/>
      <c r="X567" t="s">
        <v>3493</v>
      </c>
      <c r="Y567" t="s">
        <v>61</v>
      </c>
      <c r="Z567">
        <v>5911</v>
      </c>
      <c r="AA567" s="24" t="s">
        <v>3539</v>
      </c>
      <c r="AB567">
        <f>COUNTIF(B:B,bron[[#This Row],[volledige naam]])</f>
        <v>2</v>
      </c>
    </row>
    <row r="568" spans="1:28" x14ac:dyDescent="0.25">
      <c r="A568">
        <v>40266</v>
      </c>
      <c r="B568" t="str">
        <f>_xlfn.CONCAT(bron[[#This Row],[personeelsnr]]," ",bron[[#This Row],[achternaam]]," ",bron[[#This Row],[voornaam]])</f>
        <v>40266 Taibi Yassine</v>
      </c>
      <c r="C568" t="str">
        <f>VLOOKUP(bron[[#This Row],[personeelsnr]],'data hastus'!$A:$C,2,0)</f>
        <v>Taibi</v>
      </c>
      <c r="D568" t="str">
        <f>VLOOKUP(bron[[#This Row],[personeelsnr]],'data hastus'!$A:$C,3,0)</f>
        <v>Yassine</v>
      </c>
      <c r="E568" t="str">
        <f>VLOOKUP(bron[[#This Row],[personeelsnr]],'data hastus'!A:K,11,FALSE)</f>
        <v>Christoff Rotty</v>
      </c>
      <c r="F568" s="10"/>
      <c r="G568" s="6"/>
      <c r="H568" s="6">
        <v>1</v>
      </c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45693</v>
      </c>
      <c r="U568" s="8" t="s">
        <v>1023</v>
      </c>
      <c r="V568" s="8">
        <v>1</v>
      </c>
      <c r="W568" s="8"/>
      <c r="X568" t="s">
        <v>3494</v>
      </c>
      <c r="Y568" t="s">
        <v>28</v>
      </c>
      <c r="Z568">
        <v>2199</v>
      </c>
      <c r="AA568" s="24" t="s">
        <v>3539</v>
      </c>
      <c r="AB568">
        <f>COUNTIF(B:B,bron[[#This Row],[volledige naam]])</f>
        <v>3</v>
      </c>
    </row>
    <row r="569" spans="1:28" x14ac:dyDescent="0.25">
      <c r="A569">
        <v>40859</v>
      </c>
      <c r="B569" t="str">
        <f>_xlfn.CONCAT(bron[[#This Row],[personeelsnr]]," ",bron[[#This Row],[achternaam]]," ",bron[[#This Row],[voornaam]])</f>
        <v>40859 Yagoub Abdelali</v>
      </c>
      <c r="C569" t="str">
        <f>VLOOKUP(bron[[#This Row],[personeelsnr]],'data hastus'!$A:$C,2,0)</f>
        <v>Yagoub</v>
      </c>
      <c r="D569" t="str">
        <f>VLOOKUP(bron[[#This Row],[personeelsnr]],'data hastus'!$A:$C,3,0)</f>
        <v>Abdelali</v>
      </c>
      <c r="E569" t="str">
        <f>VLOOKUP(bron[[#This Row],[personeelsnr]],'data hastus'!A:K,11,FALSE)</f>
        <v>Els Vanhoe</v>
      </c>
      <c r="F569" s="10"/>
      <c r="G569" s="6"/>
      <c r="H569" s="6">
        <v>1</v>
      </c>
      <c r="I569" s="6"/>
      <c r="J569"/>
      <c r="K569"/>
      <c r="L569"/>
      <c r="M569"/>
      <c r="N569"/>
      <c r="O569"/>
      <c r="P569"/>
      <c r="Q569"/>
      <c r="R569"/>
      <c r="S569">
        <f>SUM(bron[[#This Row],[Januari]:[December]])</f>
        <v>1</v>
      </c>
      <c r="T569" s="3">
        <v>45693</v>
      </c>
      <c r="U569" s="8" t="s">
        <v>1026</v>
      </c>
      <c r="V569" s="8">
        <v>1</v>
      </c>
      <c r="W569" s="8"/>
      <c r="X569" t="s">
        <v>3492</v>
      </c>
      <c r="Y569" t="s">
        <v>252</v>
      </c>
      <c r="Z569">
        <v>5325</v>
      </c>
      <c r="AA569" s="24" t="s">
        <v>3539</v>
      </c>
      <c r="AB569">
        <f>COUNTIF(B:B,bron[[#This Row],[volledige naam]])</f>
        <v>4</v>
      </c>
    </row>
    <row r="570" spans="1:28" x14ac:dyDescent="0.25">
      <c r="A570">
        <v>41092</v>
      </c>
      <c r="B570" t="str">
        <f>_xlfn.CONCAT(bron[[#This Row],[personeelsnr]]," ",bron[[#This Row],[achternaam]]," ",bron[[#This Row],[voornaam]])</f>
        <v>41092 De Keyser Dorien</v>
      </c>
      <c r="C570" t="str">
        <f>VLOOKUP(bron[[#This Row],[personeelsnr]],'data hastus'!$A:$C,2,0)</f>
        <v>De Keyser</v>
      </c>
      <c r="D570" t="str">
        <f>VLOOKUP(bron[[#This Row],[personeelsnr]],'data hastus'!$A:$C,3,0)</f>
        <v>Dorien</v>
      </c>
      <c r="E570" t="str">
        <f>VLOOKUP(bron[[#This Row],[personeelsnr]],'data hastus'!A:K,11,FALSE)</f>
        <v>Dominique De Clercq</v>
      </c>
      <c r="F570" s="10"/>
      <c r="G570" s="6"/>
      <c r="H570" s="6">
        <v>1</v>
      </c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45693</v>
      </c>
      <c r="U570" s="8" t="s">
        <v>1025</v>
      </c>
      <c r="V570" s="8">
        <v>1</v>
      </c>
      <c r="W570" s="8"/>
      <c r="X570" t="s">
        <v>3493</v>
      </c>
      <c r="Y570" t="s">
        <v>40</v>
      </c>
      <c r="Z570">
        <v>5935</v>
      </c>
      <c r="AA570" s="24" t="s">
        <v>3539</v>
      </c>
      <c r="AB570">
        <f>COUNTIF(B:B,bron[[#This Row],[volledige naam]])</f>
        <v>8</v>
      </c>
    </row>
    <row r="571" spans="1:28" x14ac:dyDescent="0.25">
      <c r="A571">
        <v>41162</v>
      </c>
      <c r="B571" t="str">
        <f>_xlfn.CONCAT(bron[[#This Row],[personeelsnr]]," ",bron[[#This Row],[achternaam]]," ",bron[[#This Row],[voornaam]])</f>
        <v>41162 Hoeckman Jeroen</v>
      </c>
      <c r="C571" t="str">
        <f>VLOOKUP(bron[[#This Row],[personeelsnr]],'data hastus'!$A:$C,2,0)</f>
        <v>Hoeckman</v>
      </c>
      <c r="D571" t="str">
        <f>VLOOKUP(bron[[#This Row],[personeelsnr]],'data hastus'!$A:$C,3,0)</f>
        <v>Jeroen</v>
      </c>
      <c r="E571" t="str">
        <f>VLOOKUP(bron[[#This Row],[personeelsnr]],'data hastus'!A:K,11,FALSE)</f>
        <v>Dominique De Clercq</v>
      </c>
      <c r="F571" s="10"/>
      <c r="G571" s="6"/>
      <c r="H571" s="6">
        <v>1</v>
      </c>
      <c r="I571" s="6"/>
      <c r="J571"/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>
        <v>45693</v>
      </c>
      <c r="U571" s="8" t="s">
        <v>1024</v>
      </c>
      <c r="V571" s="8">
        <v>1</v>
      </c>
      <c r="W571" s="8"/>
      <c r="X571" t="s">
        <v>3493</v>
      </c>
      <c r="Y571" t="s">
        <v>240</v>
      </c>
      <c r="Z571">
        <v>5769</v>
      </c>
      <c r="AA571" s="24" t="s">
        <v>3539</v>
      </c>
      <c r="AB571">
        <f>COUNTIF(B:B,bron[[#This Row],[volledige naam]])</f>
        <v>5</v>
      </c>
    </row>
    <row r="572" spans="1:28" x14ac:dyDescent="0.25">
      <c r="A572">
        <v>17951</v>
      </c>
      <c r="B572" t="str">
        <f>_xlfn.CONCAT(bron[[#This Row],[personeelsnr]]," ",bron[[#This Row],[achternaam]]," ",bron[[#This Row],[voornaam]])</f>
        <v>17951 Lega Claude</v>
      </c>
      <c r="C572" t="str">
        <f>VLOOKUP(bron[[#This Row],[personeelsnr]],'data hastus'!$A:$C,2,0)</f>
        <v>Lega</v>
      </c>
      <c r="D572" t="str">
        <f>VLOOKUP(bron[[#This Row],[personeelsnr]],'data hastus'!$A:$C,3,0)</f>
        <v>Claude</v>
      </c>
      <c r="E572" t="str">
        <f>VLOOKUP(bron[[#This Row],[personeelsnr]],'data hastus'!A:K,11,FALSE)</f>
        <v>Bart Van Der Beken</v>
      </c>
      <c r="F572" s="10"/>
      <c r="G572" s="6"/>
      <c r="H572" s="6">
        <v>1</v>
      </c>
      <c r="I572" s="6"/>
      <c r="J572"/>
      <c r="K572"/>
      <c r="L572"/>
      <c r="M572"/>
      <c r="N572"/>
      <c r="O572"/>
      <c r="P572"/>
      <c r="Q572"/>
      <c r="R572"/>
      <c r="S572">
        <f>SUM(bron[[#This Row],[Januari]:[December]])</f>
        <v>1</v>
      </c>
      <c r="T572" s="3">
        <v>45694</v>
      </c>
      <c r="U572" s="8" t="s">
        <v>1027</v>
      </c>
      <c r="V572" s="8"/>
      <c r="W572" s="8">
        <v>1</v>
      </c>
      <c r="X572" t="s">
        <v>3528</v>
      </c>
      <c r="Y572" t="s">
        <v>102</v>
      </c>
      <c r="Z572">
        <v>6317</v>
      </c>
      <c r="AA572" s="24" t="s">
        <v>3539</v>
      </c>
      <c r="AB572">
        <f>COUNTIF(B:B,bron[[#This Row],[volledige naam]])</f>
        <v>1</v>
      </c>
    </row>
    <row r="573" spans="1:28" x14ac:dyDescent="0.25">
      <c r="A573">
        <v>40856</v>
      </c>
      <c r="B573" t="str">
        <f>_xlfn.CONCAT(bron[[#This Row],[personeelsnr]]," ",bron[[#This Row],[achternaam]]," ",bron[[#This Row],[voornaam]])</f>
        <v>40856 Neissi Sadegh</v>
      </c>
      <c r="C573" t="str">
        <f>VLOOKUP(bron[[#This Row],[personeelsnr]],'data hastus'!$A:$C,2,0)</f>
        <v>Neissi</v>
      </c>
      <c r="D573" t="str">
        <f>VLOOKUP(bron[[#This Row],[personeelsnr]],'data hastus'!$A:$C,3,0)</f>
        <v>Sadegh</v>
      </c>
      <c r="E573" t="str">
        <f>VLOOKUP(bron[[#This Row],[personeelsnr]],'data hastus'!A:K,11,FALSE)</f>
        <v>Kenneth De Rick</v>
      </c>
      <c r="F573" s="10"/>
      <c r="G573" s="6"/>
      <c r="H573" s="6">
        <v>1</v>
      </c>
      <c r="I573" s="6"/>
      <c r="J573"/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45694</v>
      </c>
      <c r="U573" s="8" t="s">
        <v>1028</v>
      </c>
      <c r="V573" s="8">
        <v>1</v>
      </c>
      <c r="W573" s="8"/>
      <c r="X573" t="s">
        <v>3492</v>
      </c>
      <c r="Y573" t="s">
        <v>192</v>
      </c>
      <c r="Z573">
        <v>2208</v>
      </c>
      <c r="AA573" s="24" t="s">
        <v>3539</v>
      </c>
      <c r="AB573">
        <f>COUNTIF(B:B,bron[[#This Row],[volledige naam]])</f>
        <v>5</v>
      </c>
    </row>
    <row r="574" spans="1:28" x14ac:dyDescent="0.25">
      <c r="A574">
        <v>4419</v>
      </c>
      <c r="B574" t="str">
        <f>_xlfn.CONCAT(bron[[#This Row],[personeelsnr]]," ",bron[[#This Row],[achternaam]]," ",bron[[#This Row],[voornaam]])</f>
        <v>4419 Maelbrancke Eddy</v>
      </c>
      <c r="C574" t="str">
        <f>VLOOKUP(bron[[#This Row],[personeelsnr]],'data hastus'!$A:$C,2,0)</f>
        <v>Maelbrancke</v>
      </c>
      <c r="D574" t="str">
        <f>VLOOKUP(bron[[#This Row],[personeelsnr]],'data hastus'!$A:$C,3,0)</f>
        <v>Eddy</v>
      </c>
      <c r="E574" t="str">
        <f>VLOOKUP(bron[[#This Row],[personeelsnr]],'data hastus'!A:K,11,FALSE)</f>
        <v>Lucie Vande Velde</v>
      </c>
      <c r="F574" s="10"/>
      <c r="G574" s="6"/>
      <c r="H574" s="6">
        <v>1</v>
      </c>
      <c r="I574" s="6"/>
      <c r="J574"/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45695</v>
      </c>
      <c r="U574" s="8" t="s">
        <v>1030</v>
      </c>
      <c r="V574" s="8">
        <v>1</v>
      </c>
      <c r="W574" s="8"/>
      <c r="X574" t="s">
        <v>3492</v>
      </c>
      <c r="Y574" t="s">
        <v>6</v>
      </c>
      <c r="Z574">
        <v>2195</v>
      </c>
      <c r="AA574" s="24" t="s">
        <v>3539</v>
      </c>
      <c r="AB574">
        <f>COUNTIF(B:B,bron[[#This Row],[volledige naam]])</f>
        <v>4</v>
      </c>
    </row>
    <row r="575" spans="1:28" x14ac:dyDescent="0.25">
      <c r="A575">
        <v>40055</v>
      </c>
      <c r="B575" t="str">
        <f>_xlfn.CONCAT(bron[[#This Row],[personeelsnr]]," ",bron[[#This Row],[achternaam]]," ",bron[[#This Row],[voornaam]])</f>
        <v>40055 Afara Ammar</v>
      </c>
      <c r="C575" t="str">
        <f>VLOOKUP(bron[[#This Row],[personeelsnr]],'data hastus'!$A:$C,2,0)</f>
        <v>Afara</v>
      </c>
      <c r="D575" t="str">
        <f>VLOOKUP(bron[[#This Row],[personeelsnr]],'data hastus'!$A:$C,3,0)</f>
        <v>Ammar</v>
      </c>
      <c r="E575" t="str">
        <f>VLOOKUP(bron[[#This Row],[personeelsnr]],'data hastus'!A:K,11,FALSE)</f>
        <v>Els Vanhoe</v>
      </c>
      <c r="F575" s="10"/>
      <c r="G575" s="6"/>
      <c r="H575" s="6">
        <v>1</v>
      </c>
      <c r="I575" s="6"/>
      <c r="J575"/>
      <c r="K575"/>
      <c r="L575"/>
      <c r="M575"/>
      <c r="N575"/>
      <c r="O575"/>
      <c r="P575"/>
      <c r="Q575"/>
      <c r="R575"/>
      <c r="S575">
        <f>SUM(bron[[#This Row],[Januari]:[December]])</f>
        <v>1</v>
      </c>
      <c r="T575" s="3">
        <v>45695</v>
      </c>
      <c r="U575" s="8" t="s">
        <v>1029</v>
      </c>
      <c r="V575" s="8">
        <v>1</v>
      </c>
      <c r="W575" s="8"/>
      <c r="X575" t="s">
        <v>3492</v>
      </c>
      <c r="Y575" t="s">
        <v>12</v>
      </c>
      <c r="Z575">
        <v>5261</v>
      </c>
      <c r="AA575" s="24" t="s">
        <v>3539</v>
      </c>
      <c r="AB575">
        <f>COUNTIF(B:B,bron[[#This Row],[volledige naam]])</f>
        <v>2</v>
      </c>
    </row>
    <row r="576" spans="1:28" x14ac:dyDescent="0.25">
      <c r="A576">
        <v>28737</v>
      </c>
      <c r="B576" t="str">
        <f>_xlfn.CONCAT(bron[[#This Row],[personeelsnr]]," ",bron[[#This Row],[achternaam]]," ",bron[[#This Row],[voornaam]])</f>
        <v>28737 El-Mohamed Mohamed</v>
      </c>
      <c r="C576" t="str">
        <f>VLOOKUP(bron[[#This Row],[personeelsnr]],'data hastus'!$A:$C,2,0)</f>
        <v>El-Mohamed</v>
      </c>
      <c r="D576" t="str">
        <f>VLOOKUP(bron[[#This Row],[personeelsnr]],'data hastus'!$A:$C,3,0)</f>
        <v>Mohamed</v>
      </c>
      <c r="E576" t="str">
        <f>VLOOKUP(bron[[#This Row],[personeelsnr]],'data hastus'!A:K,11,FALSE)</f>
        <v>Lucie Vande Velde</v>
      </c>
      <c r="F576" s="10"/>
      <c r="G576" s="6"/>
      <c r="H576" s="6">
        <v>1</v>
      </c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45698</v>
      </c>
      <c r="U576" s="8" t="s">
        <v>1031</v>
      </c>
      <c r="V576" s="8"/>
      <c r="W576" s="8">
        <v>1</v>
      </c>
      <c r="X576" t="s">
        <v>3529</v>
      </c>
      <c r="Y576" t="s">
        <v>201</v>
      </c>
      <c r="Z576">
        <v>6369</v>
      </c>
      <c r="AA576" s="24" t="s">
        <v>3539</v>
      </c>
      <c r="AB576">
        <f>COUNTIF(B:B,bron[[#This Row],[volledige naam]])</f>
        <v>3</v>
      </c>
    </row>
    <row r="577" spans="1:28" x14ac:dyDescent="0.25">
      <c r="A577">
        <v>25679</v>
      </c>
      <c r="B577" t="str">
        <f>_xlfn.CONCAT(bron[[#This Row],[personeelsnr]]," ",bron[[#This Row],[achternaam]]," ",bron[[#This Row],[voornaam]])</f>
        <v>25679 Vanrenterghem Serge</v>
      </c>
      <c r="C577" t="str">
        <f>VLOOKUP(bron[[#This Row],[personeelsnr]],'data hastus'!$A:$C,2,0)</f>
        <v>Vanrenterghem</v>
      </c>
      <c r="D577" t="str">
        <f>VLOOKUP(bron[[#This Row],[personeelsnr]],'data hastus'!$A:$C,3,0)</f>
        <v>Serge</v>
      </c>
      <c r="E577" t="str">
        <f>VLOOKUP(bron[[#This Row],[personeelsnr]],'data hastus'!A:K,11,FALSE)</f>
        <v>Christoff Rotty</v>
      </c>
      <c r="F577" s="10"/>
      <c r="G577" s="6"/>
      <c r="H577" s="6">
        <v>1</v>
      </c>
      <c r="I577" s="6"/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45699</v>
      </c>
      <c r="U577" s="8" t="s">
        <v>1032</v>
      </c>
      <c r="V577" s="8">
        <v>1</v>
      </c>
      <c r="W577" s="8"/>
      <c r="X577" t="s">
        <v>3493</v>
      </c>
      <c r="Y577" t="s">
        <v>6</v>
      </c>
      <c r="Z577">
        <v>4676</v>
      </c>
      <c r="AA577" s="24" t="s">
        <v>3539</v>
      </c>
      <c r="AB577">
        <f>COUNTIF(B:B,bron[[#This Row],[volledige naam]])</f>
        <v>2</v>
      </c>
    </row>
    <row r="578" spans="1:28" x14ac:dyDescent="0.25">
      <c r="A578">
        <v>40223</v>
      </c>
      <c r="B578" t="str">
        <f>_xlfn.CONCAT(bron[[#This Row],[personeelsnr]]," ",bron[[#This Row],[achternaam]]," ",bron[[#This Row],[voornaam]])</f>
        <v>40223 Teetaert Billy</v>
      </c>
      <c r="C578" t="str">
        <f>VLOOKUP(bron[[#This Row],[personeelsnr]],'data hastus'!$A:$C,2,0)</f>
        <v>Teetaert</v>
      </c>
      <c r="D578" t="str">
        <f>VLOOKUP(bron[[#This Row],[personeelsnr]],'data hastus'!$A:$C,3,0)</f>
        <v>Billy</v>
      </c>
      <c r="E578" t="str">
        <f>VLOOKUP(bron[[#This Row],[personeelsnr]],'data hastus'!A:K,11,FALSE)</f>
        <v>Dominique De Clercq</v>
      </c>
      <c r="F578" s="10"/>
      <c r="G578" s="6"/>
      <c r="H578" s="6">
        <v>1</v>
      </c>
      <c r="I578" s="6"/>
      <c r="J578"/>
      <c r="K578"/>
      <c r="L578"/>
      <c r="M578"/>
      <c r="N578"/>
      <c r="O578"/>
      <c r="P578"/>
      <c r="Q578"/>
      <c r="R578"/>
      <c r="S578">
        <f>SUM(bron[[#This Row],[Januari]:[December]])</f>
        <v>1</v>
      </c>
      <c r="T578" s="3">
        <v>45699</v>
      </c>
      <c r="U578" s="8" t="s">
        <v>1033</v>
      </c>
      <c r="V578" s="8">
        <v>1</v>
      </c>
      <c r="W578" s="8"/>
      <c r="X578" t="s">
        <v>3494</v>
      </c>
      <c r="Y578" t="s">
        <v>278</v>
      </c>
      <c r="Z578">
        <v>5052</v>
      </c>
      <c r="AA578" s="24" t="s">
        <v>3539</v>
      </c>
      <c r="AB578">
        <f>COUNTIF(B:B,bron[[#This Row],[volledige naam]])</f>
        <v>8</v>
      </c>
    </row>
    <row r="579" spans="1:28" x14ac:dyDescent="0.25">
      <c r="A579">
        <v>39267</v>
      </c>
      <c r="B579" t="str">
        <f>_xlfn.CONCAT(bron[[#This Row],[personeelsnr]]," ",bron[[#This Row],[achternaam]]," ",bron[[#This Row],[voornaam]])</f>
        <v>39267 Van Holsbeeck Jens</v>
      </c>
      <c r="C579" t="str">
        <f>VLOOKUP(bron[[#This Row],[personeelsnr]],'data hastus'!$A:$C,2,0)</f>
        <v>Van Holsbeeck</v>
      </c>
      <c r="D579" t="str">
        <f>VLOOKUP(bron[[#This Row],[personeelsnr]],'data hastus'!$A:$C,3,0)</f>
        <v>Jens</v>
      </c>
      <c r="E579" t="str">
        <f>VLOOKUP(bron[[#This Row],[personeelsnr]],'data hastus'!A:K,11,FALSE)</f>
        <v>Christoff Rotty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45700</v>
      </c>
      <c r="U579" s="8" t="s">
        <v>1034</v>
      </c>
      <c r="V579" s="8"/>
      <c r="W579" s="8">
        <v>1</v>
      </c>
      <c r="X579" t="s">
        <v>3528</v>
      </c>
      <c r="Y579" t="s">
        <v>64</v>
      </c>
      <c r="Z579">
        <v>6317</v>
      </c>
      <c r="AA579" s="24" t="s">
        <v>3539</v>
      </c>
      <c r="AB579">
        <f>COUNTIF(B:B,bron[[#This Row],[volledige naam]])</f>
        <v>1</v>
      </c>
    </row>
    <row r="580" spans="1:28" x14ac:dyDescent="0.25">
      <c r="A580">
        <v>6229</v>
      </c>
      <c r="B580" t="str">
        <f>_xlfn.CONCAT(bron[[#This Row],[personeelsnr]]," ",bron[[#This Row],[achternaam]]," ",bron[[#This Row],[voornaam]])</f>
        <v>6229 De Meyer Antoon</v>
      </c>
      <c r="C580" t="str">
        <f>VLOOKUP(bron[[#This Row],[personeelsnr]],'data hastus'!$A:$C,2,0)</f>
        <v>De Meyer</v>
      </c>
      <c r="D580" t="str">
        <f>VLOOKUP(bron[[#This Row],[personeelsnr]],'data hastus'!$A:$C,3,0)</f>
        <v>Antoon</v>
      </c>
      <c r="E580" t="str">
        <f>VLOOKUP(bron[[#This Row],[personeelsnr]],'data hastus'!A:K,11,FALSE)</f>
        <v>Els Vanhoe</v>
      </c>
      <c r="F580" s="10"/>
      <c r="G580" s="6"/>
      <c r="H580" s="6">
        <v>1</v>
      </c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45701</v>
      </c>
      <c r="U580" s="8" t="s">
        <v>1035</v>
      </c>
      <c r="V580" s="8">
        <v>1</v>
      </c>
      <c r="W580" s="8"/>
      <c r="X580" t="s">
        <v>3492</v>
      </c>
      <c r="Y580" t="s">
        <v>174</v>
      </c>
      <c r="Z580">
        <v>5240</v>
      </c>
      <c r="AA580" s="24" t="s">
        <v>3539</v>
      </c>
      <c r="AB580">
        <f>COUNTIF(B:B,bron[[#This Row],[volledige naam]])</f>
        <v>1</v>
      </c>
    </row>
    <row r="581" spans="1:28" x14ac:dyDescent="0.25">
      <c r="A581">
        <v>11236</v>
      </c>
      <c r="B581" t="str">
        <f>_xlfn.CONCAT(bron[[#This Row],[personeelsnr]]," ",bron[[#This Row],[achternaam]]," ",bron[[#This Row],[voornaam]])</f>
        <v>11236 Baert Freddy</v>
      </c>
      <c r="C581" t="str">
        <f>VLOOKUP(bron[[#This Row],[personeelsnr]],'data hastus'!$A:$C,2,0)</f>
        <v>Baert</v>
      </c>
      <c r="D581" t="str">
        <f>VLOOKUP(bron[[#This Row],[personeelsnr]],'data hastus'!$A:$C,3,0)</f>
        <v>Freddy</v>
      </c>
      <c r="E581" t="str">
        <f>VLOOKUP(bron[[#This Row],[personeelsnr]],'data hastus'!A:K,11,FALSE)</f>
        <v>Bart Van Der Beken</v>
      </c>
      <c r="F581" s="10"/>
      <c r="G581" s="6"/>
      <c r="H581" s="6">
        <v>1</v>
      </c>
      <c r="I581" s="6"/>
      <c r="J581"/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45702</v>
      </c>
      <c r="U581" s="8" t="s">
        <v>1037</v>
      </c>
      <c r="V581" s="8">
        <v>1</v>
      </c>
      <c r="W581" s="8"/>
      <c r="X581" t="s">
        <v>3492</v>
      </c>
      <c r="Y581" t="s">
        <v>49</v>
      </c>
      <c r="Z581">
        <v>5241</v>
      </c>
      <c r="AA581" s="24" t="s">
        <v>3539</v>
      </c>
      <c r="AB581">
        <f>COUNTIF(B:B,bron[[#This Row],[volledige naam]])</f>
        <v>4</v>
      </c>
    </row>
    <row r="582" spans="1:28" x14ac:dyDescent="0.25">
      <c r="A582">
        <v>37496</v>
      </c>
      <c r="B582" t="str">
        <f>_xlfn.CONCAT(bron[[#This Row],[personeelsnr]]," ",bron[[#This Row],[achternaam]]," ",bron[[#This Row],[voornaam]])</f>
        <v>37496 Oosterlinck Willy</v>
      </c>
      <c r="C582" t="str">
        <f>VLOOKUP(bron[[#This Row],[personeelsnr]],'data hastus'!$A:$C,2,0)</f>
        <v>Oosterlinck</v>
      </c>
      <c r="D582" t="str">
        <f>VLOOKUP(bron[[#This Row],[personeelsnr]],'data hastus'!$A:$C,3,0)</f>
        <v>Willy</v>
      </c>
      <c r="E582" t="str">
        <f>VLOOKUP(bron[[#This Row],[personeelsnr]],'data hastus'!A:K,11,FALSE)</f>
        <v>Dominique De Clercq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45702</v>
      </c>
      <c r="U582" s="8" t="s">
        <v>1038</v>
      </c>
      <c r="V582" s="8"/>
      <c r="W582" s="8">
        <v>1</v>
      </c>
      <c r="X582" t="s">
        <v>3528</v>
      </c>
      <c r="Y582" t="s">
        <v>71</v>
      </c>
      <c r="Z582">
        <v>6322</v>
      </c>
      <c r="AA582" s="24" t="s">
        <v>3539</v>
      </c>
      <c r="AB582">
        <f>COUNTIF(B:B,bron[[#This Row],[volledige naam]])</f>
        <v>4</v>
      </c>
    </row>
    <row r="583" spans="1:28" x14ac:dyDescent="0.25">
      <c r="A583">
        <v>37662</v>
      </c>
      <c r="B583" t="str">
        <f>_xlfn.CONCAT(bron[[#This Row],[personeelsnr]]," ",bron[[#This Row],[achternaam]]," ",bron[[#This Row],[voornaam]])</f>
        <v>37662 Van den Meerssche Steven</v>
      </c>
      <c r="C583" t="str">
        <f>VLOOKUP(bron[[#This Row],[personeelsnr]],'data hastus'!$A:$C,2,0)</f>
        <v>Van den Meerssche</v>
      </c>
      <c r="D583" t="str">
        <f>VLOOKUP(bron[[#This Row],[personeelsnr]],'data hastus'!$A:$C,3,0)</f>
        <v>Steven</v>
      </c>
      <c r="E583" t="str">
        <f>VLOOKUP(bron[[#This Row],[personeelsnr]],'data hastus'!A:K,11,FALSE)</f>
        <v>Bart Van Der Beken</v>
      </c>
      <c r="F583" s="10"/>
      <c r="G583" s="6"/>
      <c r="H583" s="6">
        <v>1</v>
      </c>
      <c r="I583" s="6"/>
      <c r="J583"/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45702</v>
      </c>
      <c r="U583" s="8" t="s">
        <v>1036</v>
      </c>
      <c r="V583" s="8">
        <v>1</v>
      </c>
      <c r="W583" s="8"/>
      <c r="X583" t="s">
        <v>3492</v>
      </c>
      <c r="Y583" t="s">
        <v>197</v>
      </c>
      <c r="Z583">
        <v>5052</v>
      </c>
      <c r="AA583" s="24" t="s">
        <v>3539</v>
      </c>
      <c r="AB583">
        <f>COUNTIF(B:B,bron[[#This Row],[volledige naam]])</f>
        <v>8</v>
      </c>
    </row>
    <row r="584" spans="1:28" x14ac:dyDescent="0.25">
      <c r="A584">
        <v>41383</v>
      </c>
      <c r="B584" t="str">
        <f>_xlfn.CONCAT(bron[[#This Row],[personeelsnr]]," ",bron[[#This Row],[achternaam]]," ",bron[[#This Row],[voornaam]])</f>
        <v>41383 De Pauw Tony</v>
      </c>
      <c r="C584" t="str">
        <f>VLOOKUP(bron[[#This Row],[personeelsnr]],'data hastus'!$A:$C,2,0)</f>
        <v>De Pauw</v>
      </c>
      <c r="D584" t="str">
        <f>VLOOKUP(bron[[#This Row],[personeelsnr]],'data hastus'!$A:$C,3,0)</f>
        <v>Tony</v>
      </c>
      <c r="E584" t="str">
        <f>VLOOKUP(bron[[#This Row],[personeelsnr]],'data hastus'!A:K,11,FALSE)</f>
        <v>Els Vanhoe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45702</v>
      </c>
      <c r="U584" s="8" t="s">
        <v>1039</v>
      </c>
      <c r="V584" s="8">
        <v>1</v>
      </c>
      <c r="W584" s="8"/>
      <c r="X584" t="s">
        <v>3493</v>
      </c>
      <c r="Y584" t="s">
        <v>43</v>
      </c>
      <c r="Z584">
        <v>5909</v>
      </c>
      <c r="AA584" s="24" t="s">
        <v>3539</v>
      </c>
      <c r="AB584">
        <f>COUNTIF(B:B,bron[[#This Row],[volledige naam]])</f>
        <v>1</v>
      </c>
    </row>
    <row r="585" spans="1:28" x14ac:dyDescent="0.25">
      <c r="A585">
        <v>26199</v>
      </c>
      <c r="B585" t="str">
        <f>_xlfn.CONCAT(bron[[#This Row],[personeelsnr]]," ",bron[[#This Row],[achternaam]]," ",bron[[#This Row],[voornaam]])</f>
        <v>26199 Wauters Franky</v>
      </c>
      <c r="C585" t="str">
        <f>VLOOKUP(bron[[#This Row],[personeelsnr]],'data hastus'!$A:$C,2,0)</f>
        <v>Wauters</v>
      </c>
      <c r="D585" t="str">
        <f>VLOOKUP(bron[[#This Row],[personeelsnr]],'data hastus'!$A:$C,3,0)</f>
        <v>Franky</v>
      </c>
      <c r="E585" t="str">
        <f>VLOOKUP(bron[[#This Row],[personeelsnr]],'data hastus'!A:K,11,FALSE)</f>
        <v>Els Vanhoe</v>
      </c>
      <c r="F585" s="10"/>
      <c r="G585" s="6"/>
      <c r="H585" s="6">
        <v>1</v>
      </c>
      <c r="I585" s="6"/>
      <c r="J585"/>
      <c r="K585"/>
      <c r="L585"/>
      <c r="M585"/>
      <c r="N585"/>
      <c r="O585"/>
      <c r="P585"/>
      <c r="Q585"/>
      <c r="R585"/>
      <c r="S585">
        <f>SUM(bron[[#This Row],[Januari]:[December]])</f>
        <v>1</v>
      </c>
      <c r="T585" s="3">
        <v>45703</v>
      </c>
      <c r="U585" s="8" t="s">
        <v>1041</v>
      </c>
      <c r="V585" s="8"/>
      <c r="W585" s="8">
        <v>1</v>
      </c>
      <c r="X585" t="s">
        <v>3529</v>
      </c>
      <c r="Y585" t="s">
        <v>144</v>
      </c>
      <c r="Z585">
        <v>6364</v>
      </c>
      <c r="AA585" s="24" t="s">
        <v>3539</v>
      </c>
      <c r="AB585">
        <f>COUNTIF(B:B,bron[[#This Row],[volledige naam]])</f>
        <v>1</v>
      </c>
    </row>
    <row r="586" spans="1:28" x14ac:dyDescent="0.25">
      <c r="A586">
        <v>37543</v>
      </c>
      <c r="B586" t="str">
        <f>_xlfn.CONCAT(bron[[#This Row],[personeelsnr]]," ",bron[[#This Row],[achternaam]]," ",bron[[#This Row],[voornaam]])</f>
        <v>37543 Öztürk Bilgehan</v>
      </c>
      <c r="C586" t="str">
        <f>VLOOKUP(bron[[#This Row],[personeelsnr]],'data hastus'!$A:$C,2,0)</f>
        <v>Öztürk</v>
      </c>
      <c r="D586" t="str">
        <f>VLOOKUP(bron[[#This Row],[personeelsnr]],'data hastus'!$A:$C,3,0)</f>
        <v>Bilgehan</v>
      </c>
      <c r="E586" t="str">
        <f>VLOOKUP(bron[[#This Row],[personeelsnr]],'data hastus'!A:K,11,FALSE)</f>
        <v>Kenneth De Rick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45703</v>
      </c>
      <c r="U586" s="8" t="s">
        <v>1297</v>
      </c>
      <c r="V586" s="8">
        <v>1</v>
      </c>
      <c r="W586" s="8"/>
      <c r="X586" t="s">
        <v>3494</v>
      </c>
      <c r="Y586" t="s">
        <v>87</v>
      </c>
      <c r="Z586">
        <v>2208</v>
      </c>
      <c r="AA586" s="24" t="s">
        <v>3540</v>
      </c>
      <c r="AB586">
        <f>COUNTIF(B:B,bron[[#This Row],[volledige naam]])</f>
        <v>6</v>
      </c>
    </row>
    <row r="587" spans="1:28" x14ac:dyDescent="0.25">
      <c r="A587">
        <v>41091</v>
      </c>
      <c r="B587" t="str">
        <f>_xlfn.CONCAT(bron[[#This Row],[personeelsnr]]," ",bron[[#This Row],[achternaam]]," ",bron[[#This Row],[voornaam]])</f>
        <v>41091 Yavas Talha</v>
      </c>
      <c r="C587" t="str">
        <f>VLOOKUP(bron[[#This Row],[personeelsnr]],'data hastus'!$A:$C,2,0)</f>
        <v>Yavas</v>
      </c>
      <c r="D587" t="str">
        <f>VLOOKUP(bron[[#This Row],[personeelsnr]],'data hastus'!$A:$C,3,0)</f>
        <v>Talha</v>
      </c>
      <c r="E587" t="str">
        <f>VLOOKUP(bron[[#This Row],[personeelsnr]],'data hastus'!A:K,11,FALSE)</f>
        <v>Dominique De Clercq</v>
      </c>
      <c r="F587" s="3"/>
      <c r="G587" s="6"/>
      <c r="H587" s="6">
        <v>1</v>
      </c>
      <c r="I587" s="6"/>
      <c r="J587"/>
      <c r="K587"/>
      <c r="L587"/>
      <c r="M587"/>
      <c r="N587"/>
      <c r="O587"/>
      <c r="P587"/>
      <c r="Q587"/>
      <c r="R587"/>
      <c r="S587">
        <f>SUM(bron[[#This Row],[Januari]:[December]])</f>
        <v>1</v>
      </c>
      <c r="T587" s="3">
        <v>45703</v>
      </c>
      <c r="U587" s="8" t="s">
        <v>1040</v>
      </c>
      <c r="V587" s="8">
        <v>1</v>
      </c>
      <c r="W587" s="8"/>
      <c r="X587" t="s">
        <v>3493</v>
      </c>
      <c r="Y587" t="s">
        <v>92</v>
      </c>
      <c r="Z587">
        <v>5928</v>
      </c>
      <c r="AA587" s="24" t="s">
        <v>3539</v>
      </c>
      <c r="AB587">
        <f>COUNTIF(B:B,bron[[#This Row],[volledige naam]])</f>
        <v>2</v>
      </c>
    </row>
    <row r="588" spans="1:28" x14ac:dyDescent="0.25">
      <c r="A588">
        <v>35490</v>
      </c>
      <c r="B588" t="str">
        <f>_xlfn.CONCAT(bron[[#This Row],[personeelsnr]]," ",bron[[#This Row],[achternaam]]," ",bron[[#This Row],[voornaam]])</f>
        <v>35490 Nguetto Brisco Romeo</v>
      </c>
      <c r="C588" t="str">
        <f>VLOOKUP(bron[[#This Row],[personeelsnr]],'data hastus'!$A:$C,2,0)</f>
        <v>Nguetto</v>
      </c>
      <c r="D588" t="str">
        <f>VLOOKUP(bron[[#This Row],[personeelsnr]],'data hastus'!$A:$C,3,0)</f>
        <v>Brisco Romeo</v>
      </c>
      <c r="E588" t="str">
        <f>VLOOKUP(bron[[#This Row],[personeelsnr]],'data hastus'!A:K,11,FALSE)</f>
        <v>Steven Storm</v>
      </c>
      <c r="F588" s="10"/>
      <c r="G588" s="6"/>
      <c r="H588" s="6">
        <v>1</v>
      </c>
      <c r="I588" s="6"/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45706</v>
      </c>
      <c r="U588" s="8" t="s">
        <v>1315</v>
      </c>
      <c r="V588" s="8">
        <v>1</v>
      </c>
      <c r="W588" s="8"/>
      <c r="X588" t="s">
        <v>3493</v>
      </c>
      <c r="Y588" t="s">
        <v>199</v>
      </c>
      <c r="Z588">
        <v>5912</v>
      </c>
      <c r="AA588" s="24" t="s">
        <v>3540</v>
      </c>
      <c r="AB588">
        <f>COUNTIF(B:B,bron[[#This Row],[volledige naam]])</f>
        <v>1</v>
      </c>
    </row>
    <row r="589" spans="1:28" x14ac:dyDescent="0.25">
      <c r="A589">
        <v>37509</v>
      </c>
      <c r="B589" t="str">
        <f>_xlfn.CONCAT(bron[[#This Row],[personeelsnr]]," ",bron[[#This Row],[achternaam]]," ",bron[[#This Row],[voornaam]])</f>
        <v>37509 Abdulkader Sabah</v>
      </c>
      <c r="C589" t="str">
        <f>VLOOKUP(bron[[#This Row],[personeelsnr]],'data hastus'!$A:$C,2,0)</f>
        <v>Abdulkader</v>
      </c>
      <c r="D589" t="str">
        <f>VLOOKUP(bron[[#This Row],[personeelsnr]],'data hastus'!$A:$C,3,0)</f>
        <v>Sabah</v>
      </c>
      <c r="E589" t="str">
        <f>VLOOKUP(bron[[#This Row],[personeelsnr]],'data hastus'!A:K,11,FALSE)</f>
        <v>Bart Van Der Beken</v>
      </c>
      <c r="F589" s="10"/>
      <c r="G589" s="6"/>
      <c r="H589" s="6">
        <v>1</v>
      </c>
      <c r="I589" s="6"/>
      <c r="J589"/>
      <c r="K589"/>
      <c r="L589"/>
      <c r="M589"/>
      <c r="N589"/>
      <c r="O589"/>
      <c r="P589"/>
      <c r="Q589"/>
      <c r="R589"/>
      <c r="S589">
        <f>SUM(bron[[#This Row],[Januari]:[December]])</f>
        <v>1</v>
      </c>
      <c r="T589" s="3">
        <v>45706</v>
      </c>
      <c r="U589" s="8" t="s">
        <v>1271</v>
      </c>
      <c r="V589" s="8">
        <v>1</v>
      </c>
      <c r="W589" s="8"/>
      <c r="X589" t="s">
        <v>3494</v>
      </c>
      <c r="Y589" t="s">
        <v>1272</v>
      </c>
      <c r="Z589">
        <v>2200</v>
      </c>
      <c r="AA589" s="24" t="s">
        <v>3540</v>
      </c>
      <c r="AB589">
        <f>COUNTIF(B:B,bron[[#This Row],[volledige naam]])</f>
        <v>3</v>
      </c>
    </row>
    <row r="590" spans="1:28" x14ac:dyDescent="0.25">
      <c r="A590">
        <v>41012</v>
      </c>
      <c r="B590" t="str">
        <f>_xlfn.CONCAT(bron[[#This Row],[personeelsnr]]," ",bron[[#This Row],[achternaam]]," ",bron[[#This Row],[voornaam]])</f>
        <v>41012 Natad Younes</v>
      </c>
      <c r="C590" t="str">
        <f>VLOOKUP(bron[[#This Row],[personeelsnr]],'data hastus'!$A:$C,2,0)</f>
        <v>Natad</v>
      </c>
      <c r="D590" t="str">
        <f>VLOOKUP(bron[[#This Row],[personeelsnr]],'data hastus'!$A:$C,3,0)</f>
        <v>Younes</v>
      </c>
      <c r="E590" t="str">
        <f>VLOOKUP(bron[[#This Row],[personeelsnr]],'data hastus'!A:K,11,FALSE)</f>
        <v>Els Vanhoe</v>
      </c>
      <c r="F590" s="3"/>
      <c r="G590" s="6"/>
      <c r="H590" s="6">
        <v>1</v>
      </c>
      <c r="I590" s="6"/>
      <c r="J590"/>
      <c r="K590"/>
      <c r="L590"/>
      <c r="M590"/>
      <c r="N590"/>
      <c r="O590"/>
      <c r="P590"/>
      <c r="Q590"/>
      <c r="R590"/>
      <c r="S590">
        <f>SUM(bron[[#This Row],[Januari]:[December]])</f>
        <v>1</v>
      </c>
      <c r="T590" s="3">
        <v>45706</v>
      </c>
      <c r="U590" s="8" t="s">
        <v>1043</v>
      </c>
      <c r="V590" s="8">
        <v>1</v>
      </c>
      <c r="W590" s="8"/>
      <c r="X590" t="s">
        <v>3493</v>
      </c>
      <c r="Y590" t="s">
        <v>493</v>
      </c>
      <c r="Z590">
        <v>5923</v>
      </c>
      <c r="AA590" s="24" t="s">
        <v>3539</v>
      </c>
      <c r="AB590">
        <f>COUNTIF(B:B,bron[[#This Row],[volledige naam]])</f>
        <v>2</v>
      </c>
    </row>
    <row r="591" spans="1:28" x14ac:dyDescent="0.25">
      <c r="A591">
        <v>41032</v>
      </c>
      <c r="B591" t="str">
        <f>_xlfn.CONCAT(bron[[#This Row],[personeelsnr]]," ",bron[[#This Row],[achternaam]]," ",bron[[#This Row],[voornaam]])</f>
        <v>41032 Rocabado Hinojosa Lukas</v>
      </c>
      <c r="C591" t="str">
        <f>VLOOKUP(bron[[#This Row],[personeelsnr]],'data hastus'!$A:$C,2,0)</f>
        <v>Rocabado Hinojosa</v>
      </c>
      <c r="D591" t="str">
        <f>VLOOKUP(bron[[#This Row],[personeelsnr]],'data hastus'!$A:$C,3,0)</f>
        <v>Lukas</v>
      </c>
      <c r="E591" t="str">
        <f>VLOOKUP(bron[[#This Row],[personeelsnr]],'data hastus'!A:K,11,FALSE)</f>
        <v>Els Vanhoe</v>
      </c>
      <c r="F591" s="10"/>
      <c r="G591" s="6"/>
      <c r="H591" s="6">
        <v>1</v>
      </c>
      <c r="I591" s="6"/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45706</v>
      </c>
      <c r="U591" s="8" t="s">
        <v>1044</v>
      </c>
      <c r="V591" s="8">
        <v>1</v>
      </c>
      <c r="W591" s="8"/>
      <c r="X591" t="s">
        <v>3493</v>
      </c>
      <c r="Y591" t="s">
        <v>199</v>
      </c>
      <c r="Z591">
        <v>5925</v>
      </c>
      <c r="AA591" s="24" t="s">
        <v>3539</v>
      </c>
      <c r="AB591">
        <f>COUNTIF(B:B,bron[[#This Row],[volledige naam]])</f>
        <v>4</v>
      </c>
    </row>
    <row r="592" spans="1:28" x14ac:dyDescent="0.25">
      <c r="A592">
        <v>41162</v>
      </c>
      <c r="B592" t="str">
        <f>_xlfn.CONCAT(bron[[#This Row],[personeelsnr]]," ",bron[[#This Row],[achternaam]]," ",bron[[#This Row],[voornaam]])</f>
        <v>41162 Hoeckman Jeroen</v>
      </c>
      <c r="C592" t="str">
        <f>VLOOKUP(bron[[#This Row],[personeelsnr]],'data hastus'!$A:$C,2,0)</f>
        <v>Hoeckman</v>
      </c>
      <c r="D592" t="str">
        <f>VLOOKUP(bron[[#This Row],[personeelsnr]],'data hastus'!$A:$C,3,0)</f>
        <v>Jeroen</v>
      </c>
      <c r="E592" t="str">
        <f>VLOOKUP(bron[[#This Row],[personeelsnr]],'data hastus'!A:K,11,FALSE)</f>
        <v>Dominique De Clercq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45706</v>
      </c>
      <c r="U592" s="8" t="s">
        <v>1042</v>
      </c>
      <c r="V592" s="8">
        <v>1</v>
      </c>
      <c r="W592" s="8"/>
      <c r="X592" t="s">
        <v>3493</v>
      </c>
      <c r="Y592" t="s">
        <v>193</v>
      </c>
      <c r="Z592">
        <v>5927</v>
      </c>
      <c r="AA592" s="24" t="s">
        <v>3539</v>
      </c>
      <c r="AB592">
        <f>COUNTIF(B:B,bron[[#This Row],[volledige naam]])</f>
        <v>5</v>
      </c>
    </row>
    <row r="593" spans="1:28" x14ac:dyDescent="0.25">
      <c r="A593">
        <v>39660</v>
      </c>
      <c r="B593" t="str">
        <f>_xlfn.CONCAT(bron[[#This Row],[personeelsnr]]," ",bron[[#This Row],[achternaam]]," ",bron[[#This Row],[voornaam]])</f>
        <v>39660 Lloyd Glenn</v>
      </c>
      <c r="C593" t="str">
        <f>VLOOKUP(bron[[#This Row],[personeelsnr]],'data hastus'!$A:$C,2,0)</f>
        <v>Lloyd</v>
      </c>
      <c r="D593" t="str">
        <f>VLOOKUP(bron[[#This Row],[personeelsnr]],'data hastus'!$A:$C,3,0)</f>
        <v>Glenn</v>
      </c>
      <c r="E593" t="str">
        <f>VLOOKUP(bron[[#This Row],[personeelsnr]],'data hastus'!A:K,11,FALSE)</f>
        <v>Bart Van Der Beken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45707</v>
      </c>
      <c r="U593" s="8" t="s">
        <v>1045</v>
      </c>
      <c r="V593" s="8">
        <v>1</v>
      </c>
      <c r="W593" s="8"/>
      <c r="X593" t="s">
        <v>3494</v>
      </c>
      <c r="Y593" t="s">
        <v>28</v>
      </c>
      <c r="Z593">
        <v>2195</v>
      </c>
      <c r="AA593" s="24" t="s">
        <v>3539</v>
      </c>
      <c r="AB593">
        <f>COUNTIF(B:B,bron[[#This Row],[volledige naam]])</f>
        <v>6</v>
      </c>
    </row>
    <row r="594" spans="1:28" x14ac:dyDescent="0.25">
      <c r="A594">
        <v>36569</v>
      </c>
      <c r="B594" t="e">
        <f>_xlfn.CONCAT(bron[[#This Row],[personeelsnr]]," ",bron[[#This Row],[achternaam]]," ",bron[[#This Row],[voornaam]])</f>
        <v>#N/A</v>
      </c>
      <c r="C594" t="e">
        <f>VLOOKUP(bron[[#This Row],[personeelsnr]],'data hastus'!$A:$C,2,0)</f>
        <v>#N/A</v>
      </c>
      <c r="D594" t="e">
        <f>VLOOKUP(bron[[#This Row],[personeelsnr]],'data hastus'!$A:$C,3,0)</f>
        <v>#N/A</v>
      </c>
      <c r="E594" t="s">
        <v>62</v>
      </c>
      <c r="F594" s="10"/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>
        <v>45708</v>
      </c>
      <c r="U594" s="8" t="s">
        <v>1047</v>
      </c>
      <c r="V594" s="8"/>
      <c r="W594" s="8">
        <v>1</v>
      </c>
      <c r="X594" t="s">
        <v>3528</v>
      </c>
      <c r="Y594" t="s">
        <v>2</v>
      </c>
      <c r="Z594">
        <v>6333</v>
      </c>
      <c r="AA594" s="24" t="s">
        <v>3539</v>
      </c>
      <c r="AB594">
        <f>COUNTIF(B:B,bron[[#This Row],[volledige naam]])</f>
        <v>24</v>
      </c>
    </row>
    <row r="595" spans="1:28" x14ac:dyDescent="0.25">
      <c r="A595">
        <v>41246</v>
      </c>
      <c r="B595" t="str">
        <f>_xlfn.CONCAT(bron[[#This Row],[personeelsnr]]," ",bron[[#This Row],[achternaam]]," ",bron[[#This Row],[voornaam]])</f>
        <v>41246 Van Holsbeeck Yana</v>
      </c>
      <c r="C595" t="str">
        <f>VLOOKUP(bron[[#This Row],[personeelsnr]],'data hastus'!$A:$C,2,0)</f>
        <v>Van Holsbeeck</v>
      </c>
      <c r="D595" t="str">
        <f>VLOOKUP(bron[[#This Row],[personeelsnr]],'data hastus'!$A:$C,3,0)</f>
        <v>Yana</v>
      </c>
      <c r="E595" t="str">
        <f>VLOOKUP(bron[[#This Row],[personeelsnr]],'data hastus'!A:K,11,FALSE)</f>
        <v>Dominique De Clercq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45708</v>
      </c>
      <c r="U595" s="8" t="s">
        <v>1046</v>
      </c>
      <c r="V595" s="8">
        <v>1</v>
      </c>
      <c r="W595" s="8"/>
      <c r="X595" t="s">
        <v>3493</v>
      </c>
      <c r="Y595" t="s">
        <v>112</v>
      </c>
      <c r="Z595">
        <v>5916</v>
      </c>
      <c r="AA595" s="24" t="s">
        <v>3539</v>
      </c>
      <c r="AB595">
        <f>COUNTIF(B:B,bron[[#This Row],[volledige naam]])</f>
        <v>3</v>
      </c>
    </row>
    <row r="596" spans="1:28" x14ac:dyDescent="0.25">
      <c r="A596">
        <v>39712</v>
      </c>
      <c r="B596" t="str">
        <f>_xlfn.CONCAT(bron[[#This Row],[personeelsnr]]," ",bron[[#This Row],[achternaam]]," ",bron[[#This Row],[voornaam]])</f>
        <v>39712 Repaj Ramazan</v>
      </c>
      <c r="C596" t="str">
        <f>VLOOKUP(bron[[#This Row],[personeelsnr]],'data hastus'!$A:$C,2,0)</f>
        <v>Repaj</v>
      </c>
      <c r="D596" t="str">
        <f>VLOOKUP(bron[[#This Row],[personeelsnr]],'data hastus'!$A:$C,3,0)</f>
        <v>Ramazan</v>
      </c>
      <c r="E596" t="str">
        <f>VLOOKUP(bron[[#This Row],[personeelsnr]],'data hastus'!A:K,11,FALSE)</f>
        <v>Bart Van Der Beken</v>
      </c>
      <c r="F596" s="10"/>
      <c r="G596" s="6"/>
      <c r="H596" s="6">
        <v>1</v>
      </c>
      <c r="I596" s="6"/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45709</v>
      </c>
      <c r="U596"/>
      <c r="V596" s="8">
        <v>1</v>
      </c>
      <c r="W596"/>
      <c r="X596" t="s">
        <v>3494</v>
      </c>
      <c r="Z596">
        <v>0</v>
      </c>
      <c r="AA596" s="24" t="s">
        <v>3539</v>
      </c>
      <c r="AB596">
        <f>COUNTIF(B:B,bron[[#This Row],[volledige naam]])</f>
        <v>4</v>
      </c>
    </row>
    <row r="597" spans="1:28" x14ac:dyDescent="0.25">
      <c r="A597">
        <v>39972</v>
      </c>
      <c r="B597" t="str">
        <f>_xlfn.CONCAT(bron[[#This Row],[personeelsnr]]," ",bron[[#This Row],[achternaam]]," ",bron[[#This Row],[voornaam]])</f>
        <v>39972 Repaj Ramazav</v>
      </c>
      <c r="C597" t="s">
        <v>1048</v>
      </c>
      <c r="D597" t="s">
        <v>1049</v>
      </c>
      <c r="E597" t="s">
        <v>38</v>
      </c>
      <c r="F597" s="10"/>
      <c r="G597" s="6"/>
      <c r="H597" s="6">
        <v>1</v>
      </c>
      <c r="I597" s="6"/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45709</v>
      </c>
      <c r="U597" s="8" t="s">
        <v>1050</v>
      </c>
      <c r="V597" s="8">
        <v>1</v>
      </c>
      <c r="W597" s="8"/>
      <c r="X597" t="s">
        <v>3492</v>
      </c>
      <c r="Y597" t="s">
        <v>16</v>
      </c>
      <c r="Z597">
        <v>5229</v>
      </c>
      <c r="AA597" s="24" t="s">
        <v>3539</v>
      </c>
      <c r="AB597">
        <f>COUNTIF(B:B,bron[[#This Row],[volledige naam]])</f>
        <v>1</v>
      </c>
    </row>
    <row r="598" spans="1:28" x14ac:dyDescent="0.25">
      <c r="A598">
        <v>40744</v>
      </c>
      <c r="B598" t="str">
        <f>_xlfn.CONCAT(bron[[#This Row],[personeelsnr]]," ",bron[[#This Row],[achternaam]]," ",bron[[#This Row],[voornaam]])</f>
        <v>40744 Gözüküçük Ugur</v>
      </c>
      <c r="C598" t="str">
        <f>VLOOKUP(bron[[#This Row],[personeelsnr]],'data hastus'!$A:$C,2,0)</f>
        <v>Gözüküçük</v>
      </c>
      <c r="D598" t="str">
        <f>VLOOKUP(bron[[#This Row],[personeelsnr]],'data hastus'!$A:$C,3,0)</f>
        <v>Ugur</v>
      </c>
      <c r="E598" t="str">
        <f>VLOOKUP(bron[[#This Row],[personeelsnr]],'data hastus'!A:K,11,FALSE)</f>
        <v>Bart Van Der Beken</v>
      </c>
      <c r="F598" s="10"/>
      <c r="G598" s="6"/>
      <c r="H598" s="6">
        <v>1</v>
      </c>
      <c r="I598" s="6"/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45709</v>
      </c>
      <c r="U598" s="8" t="s">
        <v>1051</v>
      </c>
      <c r="V598" s="8">
        <v>1</v>
      </c>
      <c r="W598" s="8"/>
      <c r="X598" t="s">
        <v>3493</v>
      </c>
      <c r="Y598" t="s">
        <v>10</v>
      </c>
      <c r="Z598">
        <v>5929</v>
      </c>
      <c r="AA598" s="24" t="s">
        <v>3539</v>
      </c>
      <c r="AB598">
        <f>COUNTIF(B:B,bron[[#This Row],[volledige naam]])</f>
        <v>6</v>
      </c>
    </row>
    <row r="599" spans="1:28" x14ac:dyDescent="0.25">
      <c r="A599">
        <v>37509</v>
      </c>
      <c r="B599" t="str">
        <f>_xlfn.CONCAT(bron[[#This Row],[personeelsnr]]," ",bron[[#This Row],[achternaam]]," ",bron[[#This Row],[voornaam]])</f>
        <v>37509 Abdulkader Sabah</v>
      </c>
      <c r="C599" t="str">
        <f>VLOOKUP(bron[[#This Row],[personeelsnr]],'data hastus'!$A:$C,2,0)</f>
        <v>Abdulkader</v>
      </c>
      <c r="D599" t="str">
        <f>VLOOKUP(bron[[#This Row],[personeelsnr]],'data hastus'!$A:$C,3,0)</f>
        <v>Sabah</v>
      </c>
      <c r="E599" t="str">
        <f>VLOOKUP(bron[[#This Row],[personeelsnr]],'data hastus'!A:K,11,FALSE)</f>
        <v>Bart Van Der Beken</v>
      </c>
      <c r="F599" s="10"/>
      <c r="G599" s="6"/>
      <c r="H599" s="6">
        <v>1</v>
      </c>
      <c r="I599" s="6"/>
      <c r="J599"/>
      <c r="K599"/>
      <c r="L599"/>
      <c r="M599"/>
      <c r="N599"/>
      <c r="O599"/>
      <c r="P599"/>
      <c r="Q599"/>
      <c r="R599"/>
      <c r="S599">
        <f>SUM(bron[[#This Row],[Januari]:[December]])</f>
        <v>1</v>
      </c>
      <c r="T599" s="3">
        <v>45710</v>
      </c>
      <c r="U599" s="8" t="s">
        <v>1052</v>
      </c>
      <c r="V599" s="8">
        <v>1</v>
      </c>
      <c r="W599" s="8"/>
      <c r="X599" t="s">
        <v>3494</v>
      </c>
      <c r="Y599" t="s">
        <v>493</v>
      </c>
      <c r="Z599">
        <v>5043</v>
      </c>
      <c r="AA599" s="24" t="s">
        <v>3539</v>
      </c>
      <c r="AB599">
        <f>COUNTIF(B:B,bron[[#This Row],[volledige naam]])</f>
        <v>3</v>
      </c>
    </row>
    <row r="600" spans="1:28" x14ac:dyDescent="0.25">
      <c r="A600">
        <v>39818</v>
      </c>
      <c r="B600" t="e">
        <f>_xlfn.CONCAT(bron[[#This Row],[personeelsnr]]," ",bron[[#This Row],[achternaam]]," ",bron[[#This Row],[voornaam]])</f>
        <v>#N/A</v>
      </c>
      <c r="C600" t="e">
        <f>VLOOKUP(bron[[#This Row],[personeelsnr]],'data hastus'!$A:$C,2,0)</f>
        <v>#N/A</v>
      </c>
      <c r="D600" t="e">
        <f>VLOOKUP(bron[[#This Row],[personeelsnr]],'data hastus'!$A:$C,3,0)</f>
        <v>#N/A</v>
      </c>
      <c r="E600" t="s">
        <v>62</v>
      </c>
      <c r="F600" s="3"/>
      <c r="G600" s="7"/>
      <c r="H600" s="7">
        <v>1</v>
      </c>
      <c r="I600" s="7"/>
      <c r="J600" s="5"/>
      <c r="K600" s="5"/>
      <c r="L600" s="5"/>
      <c r="M600" s="5"/>
      <c r="N600" s="5"/>
      <c r="O600" s="5"/>
      <c r="P600" s="5"/>
      <c r="Q600" s="5"/>
      <c r="R600" s="5"/>
      <c r="S600" s="5">
        <f>SUM(bron[[#This Row],[Januari]:[December]])</f>
        <v>1</v>
      </c>
      <c r="T600" s="9">
        <v>45710</v>
      </c>
      <c r="U600" s="8" t="s">
        <v>1053</v>
      </c>
      <c r="V600" s="8">
        <v>1</v>
      </c>
      <c r="W600" s="8"/>
      <c r="X600" t="s">
        <v>3493</v>
      </c>
      <c r="Y600" t="s">
        <v>1054</v>
      </c>
      <c r="Z600">
        <v>5929</v>
      </c>
      <c r="AA600" s="24" t="s">
        <v>3539</v>
      </c>
      <c r="AB600">
        <f>COUNTIF(B:B,bron[[#This Row],[volledige naam]])</f>
        <v>24</v>
      </c>
    </row>
    <row r="601" spans="1:28" x14ac:dyDescent="0.25">
      <c r="A601">
        <v>39831</v>
      </c>
      <c r="B601" t="str">
        <f>_xlfn.CONCAT(bron[[#This Row],[personeelsnr]]," ",bron[[#This Row],[achternaam]]," ",bron[[#This Row],[voornaam]])</f>
        <v>39831 Dolgiev Mukhamed</v>
      </c>
      <c r="C601" t="str">
        <f>VLOOKUP(bron[[#This Row],[personeelsnr]],'data hastus'!$A:$C,2,0)</f>
        <v>Dolgiev</v>
      </c>
      <c r="D601" t="str">
        <f>VLOOKUP(bron[[#This Row],[personeelsnr]],'data hastus'!$A:$C,3,0)</f>
        <v>Mukhamed</v>
      </c>
      <c r="E601" t="str">
        <f>VLOOKUP(bron[[#This Row],[personeelsnr]],'data hastus'!A:K,11,FALSE)</f>
        <v>Els Dewulf</v>
      </c>
      <c r="F601" s="10"/>
      <c r="G601" s="6"/>
      <c r="H601" s="6">
        <v>1</v>
      </c>
      <c r="I601" s="6"/>
      <c r="J601"/>
      <c r="K601"/>
      <c r="L601"/>
      <c r="M601"/>
      <c r="N601"/>
      <c r="O601"/>
      <c r="P601"/>
      <c r="Q601"/>
      <c r="R601"/>
      <c r="S601">
        <f>SUM(bron[[#This Row],[Januari]:[December]])</f>
        <v>1</v>
      </c>
      <c r="T601" s="3">
        <v>45710</v>
      </c>
      <c r="U601" s="8" t="s">
        <v>1290</v>
      </c>
      <c r="V601" s="8">
        <v>1</v>
      </c>
      <c r="W601" s="8"/>
      <c r="X601" t="s">
        <v>3494</v>
      </c>
      <c r="Y601" t="s">
        <v>94</v>
      </c>
      <c r="Z601">
        <v>5043</v>
      </c>
      <c r="AA601" s="24" t="s">
        <v>3540</v>
      </c>
      <c r="AB601">
        <f>COUNTIF(B:B,bron[[#This Row],[volledige naam]])</f>
        <v>1</v>
      </c>
    </row>
    <row r="602" spans="1:28" x14ac:dyDescent="0.25">
      <c r="A602">
        <v>9824</v>
      </c>
      <c r="B602" t="str">
        <f>_xlfn.CONCAT(bron[[#This Row],[personeelsnr]]," ",bron[[#This Row],[achternaam]]," ",bron[[#This Row],[voornaam]])</f>
        <v>9824 De Meulenaere Eric</v>
      </c>
      <c r="C602" t="str">
        <f>VLOOKUP(bron[[#This Row],[personeelsnr]],'data hastus'!$A:$C,2,0)</f>
        <v>De Meulenaere</v>
      </c>
      <c r="D602" t="str">
        <f>VLOOKUP(bron[[#This Row],[personeelsnr]],'data hastus'!$A:$C,3,0)</f>
        <v>Eric</v>
      </c>
      <c r="E602" t="str">
        <f>VLOOKUP(bron[[#This Row],[personeelsnr]],'data hastus'!A:K,11,FALSE)</f>
        <v>Steven Storm</v>
      </c>
      <c r="F602" s="10"/>
      <c r="G602" s="6"/>
      <c r="H602" s="6">
        <v>1</v>
      </c>
      <c r="I602" s="6"/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45711</v>
      </c>
      <c r="U602" s="8" t="s">
        <v>1057</v>
      </c>
      <c r="V602" s="8"/>
      <c r="W602" s="8">
        <v>1</v>
      </c>
      <c r="X602" t="s">
        <v>3528</v>
      </c>
      <c r="Y602" t="s">
        <v>2</v>
      </c>
      <c r="Z602">
        <v>6364</v>
      </c>
      <c r="AA602" s="24" t="s">
        <v>3539</v>
      </c>
      <c r="AB602">
        <f>COUNTIF(B:B,bron[[#This Row],[volledige naam]])</f>
        <v>1</v>
      </c>
    </row>
    <row r="603" spans="1:28" x14ac:dyDescent="0.25">
      <c r="A603">
        <v>32387</v>
      </c>
      <c r="B603" t="str">
        <f>_xlfn.CONCAT(bron[[#This Row],[personeelsnr]]," ",bron[[#This Row],[achternaam]]," ",bron[[#This Row],[voornaam]])</f>
        <v>32387 Meersman Herman</v>
      </c>
      <c r="C603" t="str">
        <f>VLOOKUP(bron[[#This Row],[personeelsnr]],'data hastus'!$A:$C,2,0)</f>
        <v>Meersman</v>
      </c>
      <c r="D603" t="str">
        <f>VLOOKUP(bron[[#This Row],[personeelsnr]],'data hastus'!$A:$C,3,0)</f>
        <v>Herman</v>
      </c>
      <c r="E603" t="str">
        <f>VLOOKUP(bron[[#This Row],[personeelsnr]],'data hastus'!A:K,11,FALSE)</f>
        <v>Steven Storm</v>
      </c>
      <c r="F603" s="10"/>
      <c r="G603" s="6"/>
      <c r="H603" s="6">
        <v>1</v>
      </c>
      <c r="I603" s="6"/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45711</v>
      </c>
      <c r="U603" s="8" t="s">
        <v>1056</v>
      </c>
      <c r="V603" s="8">
        <v>1</v>
      </c>
      <c r="W603" s="8"/>
      <c r="X603" t="s">
        <v>3493</v>
      </c>
      <c r="Y603" t="s">
        <v>18</v>
      </c>
      <c r="Z603">
        <v>5771</v>
      </c>
      <c r="AA603" s="24" t="s">
        <v>3539</v>
      </c>
      <c r="AB603">
        <f>COUNTIF(B:B,bron[[#This Row],[volledige naam]])</f>
        <v>4</v>
      </c>
    </row>
    <row r="604" spans="1:28" x14ac:dyDescent="0.25">
      <c r="A604">
        <v>40223</v>
      </c>
      <c r="B604" t="str">
        <f>_xlfn.CONCAT(bron[[#This Row],[personeelsnr]]," ",bron[[#This Row],[achternaam]]," ",bron[[#This Row],[voornaam]])</f>
        <v>40223 Teetaert Billy</v>
      </c>
      <c r="C604" t="str">
        <f>VLOOKUP(bron[[#This Row],[personeelsnr]],'data hastus'!$A:$C,2,0)</f>
        <v>Teetaert</v>
      </c>
      <c r="D604" t="str">
        <f>VLOOKUP(bron[[#This Row],[personeelsnr]],'data hastus'!$A:$C,3,0)</f>
        <v>Billy</v>
      </c>
      <c r="E604" t="str">
        <f>VLOOKUP(bron[[#This Row],[personeelsnr]],'data hastus'!A:K,11,FALSE)</f>
        <v>Dominique De Clercq</v>
      </c>
      <c r="F604" s="10"/>
      <c r="G604" s="6"/>
      <c r="H604" s="6">
        <v>1</v>
      </c>
      <c r="I604" s="6"/>
      <c r="J604"/>
      <c r="K604"/>
      <c r="L604"/>
      <c r="M604"/>
      <c r="N604"/>
      <c r="O604"/>
      <c r="P604"/>
      <c r="Q604"/>
      <c r="R604"/>
      <c r="S604">
        <f>SUM(bron[[#This Row],[Januari]:[December]])</f>
        <v>1</v>
      </c>
      <c r="T604" s="3">
        <v>45711</v>
      </c>
      <c r="U604" s="8" t="s">
        <v>1055</v>
      </c>
      <c r="V604" s="8">
        <v>1</v>
      </c>
      <c r="W604" s="8"/>
      <c r="X604" t="s">
        <v>3494</v>
      </c>
      <c r="Y604" t="s">
        <v>16</v>
      </c>
      <c r="Z604">
        <v>5049</v>
      </c>
      <c r="AA604" s="24" t="s">
        <v>3539</v>
      </c>
      <c r="AB604">
        <f>COUNTIF(B:B,bron[[#This Row],[volledige naam]])</f>
        <v>8</v>
      </c>
    </row>
    <row r="605" spans="1:28" x14ac:dyDescent="0.25">
      <c r="A605">
        <v>30121</v>
      </c>
      <c r="B605" t="str">
        <f>_xlfn.CONCAT(bron[[#This Row],[personeelsnr]]," ",bron[[#This Row],[achternaam]]," ",bron[[#This Row],[voornaam]])</f>
        <v>30121 Simons Andreas</v>
      </c>
      <c r="C605" t="str">
        <f>VLOOKUP(bron[[#This Row],[personeelsnr]],'data hastus'!$A:$C,2,0)</f>
        <v>Simons</v>
      </c>
      <c r="D605" t="str">
        <f>VLOOKUP(bron[[#This Row],[personeelsnr]],'data hastus'!$A:$C,3,0)</f>
        <v>Andreas</v>
      </c>
      <c r="E605" t="str">
        <f>VLOOKUP(bron[[#This Row],[personeelsnr]],'data hastus'!A:K,11,FALSE)</f>
        <v>Christoff Rotty</v>
      </c>
      <c r="F605" s="10"/>
      <c r="G605" s="6"/>
      <c r="H605" s="6">
        <v>1</v>
      </c>
      <c r="I605" s="6"/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45712</v>
      </c>
      <c r="U605" s="8" t="s">
        <v>1058</v>
      </c>
      <c r="V605" s="8">
        <v>1</v>
      </c>
      <c r="W605" s="8"/>
      <c r="X605" t="s">
        <v>3492</v>
      </c>
      <c r="Y605" t="s">
        <v>170</v>
      </c>
      <c r="Z605">
        <v>2206</v>
      </c>
      <c r="AA605" s="24" t="s">
        <v>3539</v>
      </c>
      <c r="AB605">
        <f>COUNTIF(B:B,bron[[#This Row],[volledige naam]])</f>
        <v>3</v>
      </c>
    </row>
    <row r="606" spans="1:28" x14ac:dyDescent="0.25">
      <c r="A606">
        <v>35397</v>
      </c>
      <c r="B606" t="str">
        <f>_xlfn.CONCAT(bron[[#This Row],[personeelsnr]]," ",bron[[#This Row],[achternaam]]," ",bron[[#This Row],[voornaam]])</f>
        <v>35397 Minbari Ako</v>
      </c>
      <c r="C606" t="str">
        <f>VLOOKUP(bron[[#This Row],[personeelsnr]],'data hastus'!$A:$C,2,0)</f>
        <v>Minbari</v>
      </c>
      <c r="D606" t="str">
        <f>VLOOKUP(bron[[#This Row],[personeelsnr]],'data hastus'!$A:$C,3,0)</f>
        <v>Ako</v>
      </c>
      <c r="E606" t="str">
        <f>VLOOKUP(bron[[#This Row],[personeelsnr]],'data hastus'!A:K,11,FALSE)</f>
        <v>Lucie Vande Velde</v>
      </c>
      <c r="F606" s="10"/>
      <c r="G606" s="6"/>
      <c r="H606" s="6">
        <v>1</v>
      </c>
      <c r="I606" s="6"/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45713</v>
      </c>
      <c r="U606" s="8" t="s">
        <v>1059</v>
      </c>
      <c r="V606" s="8">
        <v>1</v>
      </c>
      <c r="W606" s="8"/>
      <c r="X606" t="s">
        <v>3492</v>
      </c>
      <c r="Y606" t="s">
        <v>89</v>
      </c>
      <c r="Z606">
        <v>5914</v>
      </c>
      <c r="AA606" s="24" t="s">
        <v>3539</v>
      </c>
      <c r="AB606">
        <f>COUNTIF(B:B,bron[[#This Row],[volledige naam]])</f>
        <v>2</v>
      </c>
    </row>
    <row r="607" spans="1:28" x14ac:dyDescent="0.25">
      <c r="A607">
        <v>28737</v>
      </c>
      <c r="B607" t="str">
        <f>_xlfn.CONCAT(bron[[#This Row],[personeelsnr]]," ",bron[[#This Row],[achternaam]]," ",bron[[#This Row],[voornaam]])</f>
        <v>28737 El-Mohamed Mohamed</v>
      </c>
      <c r="C607" t="str">
        <f>VLOOKUP(bron[[#This Row],[personeelsnr]],'data hastus'!$A:$C,2,0)</f>
        <v>El-Mohamed</v>
      </c>
      <c r="D607" t="str">
        <f>VLOOKUP(bron[[#This Row],[personeelsnr]],'data hastus'!$A:$C,3,0)</f>
        <v>Mohamed</v>
      </c>
      <c r="E607" t="str">
        <f>VLOOKUP(bron[[#This Row],[personeelsnr]],'data hastus'!A:K,11,FALSE)</f>
        <v>Lucie Vande Velde</v>
      </c>
      <c r="F607" s="10"/>
      <c r="G607" s="6"/>
      <c r="H607" s="6">
        <v>1</v>
      </c>
      <c r="I607" s="6"/>
      <c r="J607"/>
      <c r="K607"/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45715</v>
      </c>
      <c r="U607" s="8" t="s">
        <v>1306</v>
      </c>
      <c r="V607" s="8"/>
      <c r="W607" s="8">
        <v>1</v>
      </c>
      <c r="X607" t="s">
        <v>3528</v>
      </c>
      <c r="Y607" t="s">
        <v>647</v>
      </c>
      <c r="Z607">
        <v>6320</v>
      </c>
      <c r="AA607" s="24" t="s">
        <v>3540</v>
      </c>
      <c r="AB607">
        <f>COUNTIF(B:B,bron[[#This Row],[volledige naam]])</f>
        <v>3</v>
      </c>
    </row>
    <row r="608" spans="1:28" x14ac:dyDescent="0.25">
      <c r="A608">
        <v>39779</v>
      </c>
      <c r="B608" t="str">
        <f>_xlfn.CONCAT(bron[[#This Row],[personeelsnr]]," ",bron[[#This Row],[achternaam]]," ",bron[[#This Row],[voornaam]])</f>
        <v>39779 Avci Muhammet Abdullah</v>
      </c>
      <c r="C608" t="str">
        <f>VLOOKUP(bron[[#This Row],[personeelsnr]],'data hastus'!$A:$C,2,0)</f>
        <v>Avci</v>
      </c>
      <c r="D608" t="str">
        <f>VLOOKUP(bron[[#This Row],[personeelsnr]],'data hastus'!$A:$C,3,0)</f>
        <v>Muhammet Abdullah</v>
      </c>
      <c r="E608" t="str">
        <f>VLOOKUP(bron[[#This Row],[personeelsnr]],'data hastus'!A:K,11,FALSE)</f>
        <v>Bart Van Der Beken</v>
      </c>
      <c r="F608" s="10"/>
      <c r="G608" s="6"/>
      <c r="H608" s="6">
        <v>1</v>
      </c>
      <c r="I608" s="6"/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45715</v>
      </c>
      <c r="U608" s="8" t="s">
        <v>1061</v>
      </c>
      <c r="V608" s="8">
        <v>1</v>
      </c>
      <c r="W608" s="8"/>
      <c r="X608" t="s">
        <v>3493</v>
      </c>
      <c r="Y608" t="s">
        <v>256</v>
      </c>
      <c r="Z608">
        <v>5923</v>
      </c>
      <c r="AA608" s="24" t="s">
        <v>3539</v>
      </c>
      <c r="AB608">
        <f>COUNTIF(B:B,bron[[#This Row],[volledige naam]])</f>
        <v>7</v>
      </c>
    </row>
    <row r="609" spans="1:28" x14ac:dyDescent="0.25">
      <c r="A609">
        <v>39829</v>
      </c>
      <c r="B609" t="str">
        <f>_xlfn.CONCAT(bron[[#This Row],[personeelsnr]]," ",bron[[#This Row],[achternaam]]," ",bron[[#This Row],[voornaam]])</f>
        <v>39829 Demirkaya Serkan</v>
      </c>
      <c r="C609" t="str">
        <f>VLOOKUP(bron[[#This Row],[personeelsnr]],'data hastus'!$A:$C,2,0)</f>
        <v>Demirkaya</v>
      </c>
      <c r="D609" t="str">
        <f>VLOOKUP(bron[[#This Row],[personeelsnr]],'data hastus'!$A:$C,3,0)</f>
        <v>Serkan</v>
      </c>
      <c r="E609" t="str">
        <f>VLOOKUP(bron[[#This Row],[personeelsnr]],'data hastus'!A:K,11,FALSE)</f>
        <v>Lucie Vande Velde</v>
      </c>
      <c r="F609" s="10"/>
      <c r="G609" s="6"/>
      <c r="H609" s="6">
        <v>1</v>
      </c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45715</v>
      </c>
      <c r="U609" s="8" t="s">
        <v>1062</v>
      </c>
      <c r="V609" s="8">
        <v>1</v>
      </c>
      <c r="W609" s="8"/>
      <c r="X609" t="s">
        <v>3492</v>
      </c>
      <c r="Y609" t="s">
        <v>2</v>
      </c>
      <c r="Z609">
        <v>5046</v>
      </c>
      <c r="AA609" s="24" t="s">
        <v>3539</v>
      </c>
      <c r="AB609">
        <f>COUNTIF(B:B,bron[[#This Row],[volledige naam]])</f>
        <v>2</v>
      </c>
    </row>
    <row r="610" spans="1:28" x14ac:dyDescent="0.25">
      <c r="A610">
        <v>40744</v>
      </c>
      <c r="B610" t="str">
        <f>_xlfn.CONCAT(bron[[#This Row],[personeelsnr]]," ",bron[[#This Row],[achternaam]]," ",bron[[#This Row],[voornaam]])</f>
        <v>40744 Gözüküçük Ugur</v>
      </c>
      <c r="C610" t="str">
        <f>VLOOKUP(bron[[#This Row],[personeelsnr]],'data hastus'!$A:$C,2,0)</f>
        <v>Gözüküçük</v>
      </c>
      <c r="D610" t="str">
        <f>VLOOKUP(bron[[#This Row],[personeelsnr]],'data hastus'!$A:$C,3,0)</f>
        <v>Ugur</v>
      </c>
      <c r="E610" t="str">
        <f>VLOOKUP(bron[[#This Row],[personeelsnr]],'data hastus'!A:K,11,FALSE)</f>
        <v>Bart Van Der Beken</v>
      </c>
      <c r="F610" s="10"/>
      <c r="G610" s="6"/>
      <c r="H610" s="6">
        <v>1</v>
      </c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45715</v>
      </c>
      <c r="U610" s="8" t="s">
        <v>1060</v>
      </c>
      <c r="V610" s="8">
        <v>1</v>
      </c>
      <c r="W610" s="8"/>
      <c r="X610" t="s">
        <v>3493</v>
      </c>
      <c r="Y610" t="s">
        <v>188</v>
      </c>
      <c r="Z610">
        <v>2546</v>
      </c>
      <c r="AA610" s="24" t="s">
        <v>3539</v>
      </c>
      <c r="AB610">
        <f>COUNTIF(B:B,bron[[#This Row],[volledige naam]])</f>
        <v>6</v>
      </c>
    </row>
    <row r="611" spans="1:28" x14ac:dyDescent="0.25">
      <c r="A611">
        <v>41092</v>
      </c>
      <c r="B611" t="str">
        <f>_xlfn.CONCAT(bron[[#This Row],[personeelsnr]]," ",bron[[#This Row],[achternaam]]," ",bron[[#This Row],[voornaam]])</f>
        <v>41092 De Keyser Dorien</v>
      </c>
      <c r="C611" t="str">
        <f>VLOOKUP(bron[[#This Row],[personeelsnr]],'data hastus'!$A:$C,2,0)</f>
        <v>De Keyser</v>
      </c>
      <c r="D611" t="str">
        <f>VLOOKUP(bron[[#This Row],[personeelsnr]],'data hastus'!$A:$C,3,0)</f>
        <v>Dorien</v>
      </c>
      <c r="E611" t="str">
        <f>VLOOKUP(bron[[#This Row],[personeelsnr]],'data hastus'!A:K,11,FALSE)</f>
        <v>Dominique De Clercq</v>
      </c>
      <c r="F611" s="10"/>
      <c r="G611" s="6"/>
      <c r="H611" s="6">
        <v>1</v>
      </c>
      <c r="I611" s="6"/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45716</v>
      </c>
      <c r="U611" s="8" t="s">
        <v>1063</v>
      </c>
      <c r="V611" s="8">
        <v>1</v>
      </c>
      <c r="W611" s="8"/>
      <c r="X611" t="s">
        <v>3493</v>
      </c>
      <c r="Y611" t="s">
        <v>22</v>
      </c>
      <c r="Z611">
        <v>2548</v>
      </c>
      <c r="AA611" s="24" t="s">
        <v>3539</v>
      </c>
      <c r="AB611">
        <f>COUNTIF(B:B,bron[[#This Row],[volledige naam]])</f>
        <v>8</v>
      </c>
    </row>
    <row r="612" spans="1:28" x14ac:dyDescent="0.25">
      <c r="A612" s="13">
        <v>40138</v>
      </c>
      <c r="B612" t="str">
        <f>_xlfn.CONCAT(bron[[#This Row],[personeelsnr]]," ",bron[[#This Row],[achternaam]]," ",bron[[#This Row],[voornaam]])</f>
        <v>40138 Moerman Tjimmy</v>
      </c>
      <c r="C612" s="13" t="str">
        <f>VLOOKUP(bron[[#This Row],[personeelsnr]],'data hastus'!$A:$C,2,0)</f>
        <v>Moerman</v>
      </c>
      <c r="D612" s="13" t="str">
        <f>VLOOKUP(bron[[#This Row],[personeelsnr]],'data hastus'!$A:$C,3,0)</f>
        <v>Tjimmy</v>
      </c>
      <c r="E612" s="13" t="str">
        <f>VLOOKUP(bron[[#This Row],[personeelsnr]],'data hastus'!A:K,11,FALSE)</f>
        <v>Christoff Rotty</v>
      </c>
      <c r="F612" s="14"/>
      <c r="G612" s="19"/>
      <c r="H612" s="19"/>
      <c r="I612" s="19">
        <v>1</v>
      </c>
      <c r="J612" s="13"/>
      <c r="K612" s="13"/>
      <c r="L612" s="13"/>
      <c r="M612" s="13"/>
      <c r="N612" s="13"/>
      <c r="O612" s="13"/>
      <c r="P612" s="13"/>
      <c r="Q612" s="13"/>
      <c r="R612" s="13"/>
      <c r="S612" s="13">
        <f>SUM(bron[[#This Row],[Januari]:[December]])</f>
        <v>1</v>
      </c>
      <c r="T612" s="20">
        <v>45717</v>
      </c>
      <c r="U612" s="18" t="s">
        <v>1064</v>
      </c>
      <c r="V612" s="8">
        <v>1</v>
      </c>
      <c r="W612" s="18"/>
      <c r="X612" t="s">
        <v>3493</v>
      </c>
      <c r="Y612" s="13" t="s">
        <v>266</v>
      </c>
      <c r="Z612">
        <v>5047</v>
      </c>
      <c r="AA612" s="24" t="s">
        <v>3539</v>
      </c>
      <c r="AB612">
        <f>COUNTIF(B:B,bron[[#This Row],[volledige naam]])</f>
        <v>10</v>
      </c>
    </row>
    <row r="613" spans="1:28" x14ac:dyDescent="0.25">
      <c r="A613">
        <v>38807</v>
      </c>
      <c r="B613" t="str">
        <f>_xlfn.CONCAT(bron[[#This Row],[personeelsnr]]," ",bron[[#This Row],[achternaam]]," ",bron[[#This Row],[voornaam]])</f>
        <v>38807 Dossche Caroline</v>
      </c>
      <c r="C613" t="str">
        <f>VLOOKUP(bron[[#This Row],[personeelsnr]],'data hastus'!$A:$C,2,0)</f>
        <v>Dossche</v>
      </c>
      <c r="D613" t="str">
        <f>VLOOKUP(bron[[#This Row],[personeelsnr]],'data hastus'!$A:$C,3,0)</f>
        <v>Caroline</v>
      </c>
      <c r="E613" t="str">
        <f>VLOOKUP(bron[[#This Row],[personeelsnr]],'data hastus'!A:K,11,FALSE)</f>
        <v>Christoff Rotty</v>
      </c>
      <c r="F613" s="10"/>
      <c r="G613" s="6"/>
      <c r="H613" s="6"/>
      <c r="I613" s="6">
        <v>1</v>
      </c>
      <c r="J613"/>
      <c r="K613"/>
      <c r="L613"/>
      <c r="M613"/>
      <c r="N613"/>
      <c r="O613"/>
      <c r="P613"/>
      <c r="Q613"/>
      <c r="R613"/>
      <c r="S613">
        <f>SUM(bron[[#This Row],[Januari]:[December]])</f>
        <v>1</v>
      </c>
      <c r="T613" s="3">
        <v>45718</v>
      </c>
      <c r="U613" s="8" t="s">
        <v>1065</v>
      </c>
      <c r="V613" s="8">
        <v>1</v>
      </c>
      <c r="W613" s="8"/>
      <c r="X613" t="s">
        <v>3493</v>
      </c>
      <c r="Y613" t="s">
        <v>61</v>
      </c>
      <c r="Z613">
        <v>5929</v>
      </c>
      <c r="AA613" s="24" t="s">
        <v>3539</v>
      </c>
      <c r="AB613">
        <f>COUNTIF(B:B,bron[[#This Row],[volledige naam]])</f>
        <v>4</v>
      </c>
    </row>
    <row r="614" spans="1:28" x14ac:dyDescent="0.25">
      <c r="A614">
        <v>26137</v>
      </c>
      <c r="B614" t="str">
        <f>_xlfn.CONCAT(bron[[#This Row],[personeelsnr]]," ",bron[[#This Row],[achternaam]]," ",bron[[#This Row],[voornaam]])</f>
        <v>26137 Hublau Roland</v>
      </c>
      <c r="C614" t="str">
        <f>VLOOKUP(bron[[#This Row],[personeelsnr]],'data hastus'!$A:$C,2,0)</f>
        <v>Hublau</v>
      </c>
      <c r="D614" t="str">
        <f>VLOOKUP(bron[[#This Row],[personeelsnr]],'data hastus'!$A:$C,3,0)</f>
        <v>Roland</v>
      </c>
      <c r="E614" t="str">
        <f>VLOOKUP(bron[[#This Row],[personeelsnr]],'data hastus'!A:K,11,FALSE)</f>
        <v>Steven Storm</v>
      </c>
      <c r="F614" s="10"/>
      <c r="G614" s="7"/>
      <c r="H614" s="7"/>
      <c r="I614" s="7">
        <v>1</v>
      </c>
      <c r="J614" s="5"/>
      <c r="K614" s="5"/>
      <c r="L614" s="5"/>
      <c r="M614" s="5"/>
      <c r="N614" s="5"/>
      <c r="O614" s="5"/>
      <c r="P614" s="5"/>
      <c r="Q614" s="5"/>
      <c r="R614" s="5"/>
      <c r="S614" s="5">
        <f>SUM(bron[[#This Row],[Januari]:[December]])</f>
        <v>1</v>
      </c>
      <c r="T614" s="9">
        <v>45719</v>
      </c>
      <c r="U614" s="8" t="s">
        <v>1066</v>
      </c>
      <c r="V614" s="8"/>
      <c r="W614" s="8">
        <v>1</v>
      </c>
      <c r="X614" t="s">
        <v>3529</v>
      </c>
      <c r="Y614" t="s">
        <v>6</v>
      </c>
      <c r="Z614">
        <v>6375</v>
      </c>
      <c r="AA614" s="24" t="s">
        <v>3539</v>
      </c>
      <c r="AB614">
        <f>COUNTIF(B:B,bron[[#This Row],[volledige naam]])</f>
        <v>4</v>
      </c>
    </row>
    <row r="615" spans="1:28" x14ac:dyDescent="0.25">
      <c r="A615">
        <v>19520</v>
      </c>
      <c r="B615" t="str">
        <f>_xlfn.CONCAT(bron[[#This Row],[personeelsnr]]," ",bron[[#This Row],[achternaam]]," ",bron[[#This Row],[voornaam]])</f>
        <v>19520 Van Steenbergen Kris</v>
      </c>
      <c r="C615" t="str">
        <f>VLOOKUP(bron[[#This Row],[personeelsnr]],'data hastus'!$A:$C,2,0)</f>
        <v>Van Steenbergen</v>
      </c>
      <c r="D615" t="str">
        <f>VLOOKUP(bron[[#This Row],[personeelsnr]],'data hastus'!$A:$C,3,0)</f>
        <v>Kris</v>
      </c>
      <c r="E615" t="str">
        <f>VLOOKUP(bron[[#This Row],[personeelsnr]],'data hastus'!A:K,11,FALSE)</f>
        <v>Els Dewulf</v>
      </c>
      <c r="F615" s="10"/>
      <c r="G615" s="6"/>
      <c r="H615" s="6"/>
      <c r="I615" s="6">
        <v>1</v>
      </c>
      <c r="J615"/>
      <c r="K615"/>
      <c r="L615"/>
      <c r="M615"/>
      <c r="N615"/>
      <c r="O615"/>
      <c r="P615"/>
      <c r="Q615"/>
      <c r="R615"/>
      <c r="S615">
        <f>SUM(bron[[#This Row],[Januari]:[December]])</f>
        <v>1</v>
      </c>
      <c r="T615" s="3">
        <v>45720</v>
      </c>
      <c r="U615" s="8" t="s">
        <v>1067</v>
      </c>
      <c r="V615" s="8">
        <v>1</v>
      </c>
      <c r="W615" s="8"/>
      <c r="X615" t="s">
        <v>3492</v>
      </c>
      <c r="Y615" t="s">
        <v>26</v>
      </c>
      <c r="Z615">
        <v>2196</v>
      </c>
      <c r="AA615" s="24" t="s">
        <v>3539</v>
      </c>
      <c r="AB615">
        <f>COUNTIF(B:B,bron[[#This Row],[volledige naam]])</f>
        <v>1</v>
      </c>
    </row>
    <row r="616" spans="1:28" x14ac:dyDescent="0.25">
      <c r="A616">
        <v>34019</v>
      </c>
      <c r="B616" t="str">
        <f>_xlfn.CONCAT(bron[[#This Row],[personeelsnr]]," ",bron[[#This Row],[achternaam]]," ",bron[[#This Row],[voornaam]])</f>
        <v>34019 Hoste Tom</v>
      </c>
      <c r="C616" t="str">
        <f>VLOOKUP(bron[[#This Row],[personeelsnr]],'data hastus'!$A:$C,2,0)</f>
        <v>Hoste</v>
      </c>
      <c r="D616" t="str">
        <f>VLOOKUP(bron[[#This Row],[personeelsnr]],'data hastus'!$A:$C,3,0)</f>
        <v>Tom</v>
      </c>
      <c r="E616" t="str">
        <f>VLOOKUP(bron[[#This Row],[personeelsnr]],'data hastus'!A:K,11,FALSE)</f>
        <v>Christoff Rotty</v>
      </c>
      <c r="F616" s="10"/>
      <c r="G616" s="6"/>
      <c r="H616" s="6"/>
      <c r="I616" s="6">
        <v>1</v>
      </c>
      <c r="J616"/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>
        <v>45721</v>
      </c>
      <c r="U616" s="8" t="s">
        <v>1068</v>
      </c>
      <c r="V616" s="8">
        <v>1</v>
      </c>
      <c r="W616" s="8"/>
      <c r="X616" t="s">
        <v>3493</v>
      </c>
      <c r="Y616" t="s">
        <v>108</v>
      </c>
      <c r="Z616">
        <v>5911</v>
      </c>
      <c r="AA616" s="24" t="s">
        <v>3539</v>
      </c>
      <c r="AB616">
        <f>COUNTIF(B:B,bron[[#This Row],[volledige naam]])</f>
        <v>1</v>
      </c>
    </row>
    <row r="617" spans="1:28" x14ac:dyDescent="0.25">
      <c r="A617">
        <v>40591</v>
      </c>
      <c r="B617" t="str">
        <f>_xlfn.CONCAT(bron[[#This Row],[personeelsnr]]," ",bron[[#This Row],[achternaam]]," ",bron[[#This Row],[voornaam]])</f>
        <v>40591 Hiloui Mahmoud</v>
      </c>
      <c r="C617" t="str">
        <f>VLOOKUP(bron[[#This Row],[personeelsnr]],'data hastus'!$A:$C,2,0)</f>
        <v>Hiloui</v>
      </c>
      <c r="D617" t="str">
        <f>VLOOKUP(bron[[#This Row],[personeelsnr]],'data hastus'!$A:$C,3,0)</f>
        <v>Mahmoud</v>
      </c>
      <c r="E617" t="str">
        <f>VLOOKUP(bron[[#This Row],[personeelsnr]],'data hastus'!A:K,11,FALSE)</f>
        <v>Dominique De Clercq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45721</v>
      </c>
      <c r="U617" s="8" t="s">
        <v>1069</v>
      </c>
      <c r="V617" s="8">
        <v>1</v>
      </c>
      <c r="W617" s="8"/>
      <c r="X617" t="s">
        <v>3494</v>
      </c>
      <c r="Y617" t="s">
        <v>14</v>
      </c>
      <c r="Z617">
        <v>5042</v>
      </c>
      <c r="AA617" s="24" t="s">
        <v>3539</v>
      </c>
      <c r="AB617">
        <f>COUNTIF(B:B,bron[[#This Row],[volledige naam]])</f>
        <v>2</v>
      </c>
    </row>
    <row r="618" spans="1:28" x14ac:dyDescent="0.25">
      <c r="A618">
        <v>16897</v>
      </c>
      <c r="B618" t="str">
        <f>_xlfn.CONCAT(bron[[#This Row],[personeelsnr]]," ",bron[[#This Row],[achternaam]]," ",bron[[#This Row],[voornaam]])</f>
        <v>16897 VandenDaele Andy</v>
      </c>
      <c r="C618" t="str">
        <f>VLOOKUP(bron[[#This Row],[personeelsnr]],'data hastus'!$A:$C,2,0)</f>
        <v>VandenDaele</v>
      </c>
      <c r="D618" t="str">
        <f>VLOOKUP(bron[[#This Row],[personeelsnr]],'data hastus'!$A:$C,3,0)</f>
        <v>Andy</v>
      </c>
      <c r="E618" t="str">
        <f>VLOOKUP(bron[[#This Row],[personeelsnr]],'data hastus'!A:K,11,FALSE)</f>
        <v>Steven Storm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45722</v>
      </c>
      <c r="U618" s="8" t="s">
        <v>1074</v>
      </c>
      <c r="V618" s="8"/>
      <c r="W618" s="8">
        <v>1</v>
      </c>
      <c r="X618" t="s">
        <v>3528</v>
      </c>
      <c r="Y618" t="s">
        <v>55</v>
      </c>
      <c r="Z618">
        <v>6314</v>
      </c>
      <c r="AA618" s="24" t="s">
        <v>3539</v>
      </c>
      <c r="AB618">
        <f>COUNTIF(B:B,bron[[#This Row],[volledige naam]])</f>
        <v>2</v>
      </c>
    </row>
    <row r="619" spans="1:28" x14ac:dyDescent="0.25">
      <c r="A619">
        <v>26960</v>
      </c>
      <c r="B619" t="str">
        <f>_xlfn.CONCAT(bron[[#This Row],[personeelsnr]]," ",bron[[#This Row],[achternaam]]," ",bron[[#This Row],[voornaam]])</f>
        <v>26960 Toubadie Mossa</v>
      </c>
      <c r="C619" t="str">
        <f>VLOOKUP(bron[[#This Row],[personeelsnr]],'data hastus'!$A:$C,2,0)</f>
        <v>Toubadie</v>
      </c>
      <c r="D619" t="str">
        <f>VLOOKUP(bron[[#This Row],[personeelsnr]],'data hastus'!$A:$C,3,0)</f>
        <v>Mossa</v>
      </c>
      <c r="E619" t="str">
        <f>VLOOKUP(bron[[#This Row],[personeelsnr]],'data hastus'!A:K,11,FALSE)</f>
        <v>Els Vanhoe</v>
      </c>
      <c r="F619" s="10"/>
      <c r="G619" s="6"/>
      <c r="H619" s="6"/>
      <c r="I619" s="6">
        <v>1</v>
      </c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45722</v>
      </c>
      <c r="U619" s="8" t="s">
        <v>1072</v>
      </c>
      <c r="V619" s="8">
        <v>1</v>
      </c>
      <c r="W619" s="8"/>
      <c r="X619" t="s">
        <v>3493</v>
      </c>
      <c r="Y619" t="s">
        <v>46</v>
      </c>
      <c r="Z619">
        <v>5916</v>
      </c>
      <c r="AA619" s="24" t="s">
        <v>3539</v>
      </c>
      <c r="AB619">
        <f>COUNTIF(B:B,bron[[#This Row],[volledige naam]])</f>
        <v>3</v>
      </c>
    </row>
    <row r="620" spans="1:28" x14ac:dyDescent="0.25">
      <c r="A620">
        <v>29674</v>
      </c>
      <c r="B620" t="str">
        <f>_xlfn.CONCAT(bron[[#This Row],[personeelsnr]]," ",bron[[#This Row],[achternaam]]," ",bron[[#This Row],[voornaam]])</f>
        <v>29674 Martens Geoffrey</v>
      </c>
      <c r="C620" t="str">
        <f>VLOOKUP(bron[[#This Row],[personeelsnr]],'data hastus'!$A:$C,2,0)</f>
        <v>Martens</v>
      </c>
      <c r="D620" t="str">
        <f>VLOOKUP(bron[[#This Row],[personeelsnr]],'data hastus'!$A:$C,3,0)</f>
        <v>Geoffrey</v>
      </c>
      <c r="E620" t="str">
        <f>VLOOKUP(bron[[#This Row],[personeelsnr]],'data hastus'!A:K,11,FALSE)</f>
        <v>Dominique De Clercq</v>
      </c>
      <c r="F620" s="10"/>
      <c r="G620" s="6"/>
      <c r="H620" s="6"/>
      <c r="I620" s="6">
        <v>1</v>
      </c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45722</v>
      </c>
      <c r="U620" s="8" t="s">
        <v>1071</v>
      </c>
      <c r="V620" s="8"/>
      <c r="W620" s="8">
        <v>1</v>
      </c>
      <c r="X620" t="s">
        <v>3528</v>
      </c>
      <c r="Y620" t="s">
        <v>2</v>
      </c>
      <c r="Z620">
        <v>6313</v>
      </c>
      <c r="AA620" s="24" t="s">
        <v>3539</v>
      </c>
      <c r="AB620">
        <f>COUNTIF(B:B,bron[[#This Row],[volledige naam]])</f>
        <v>1</v>
      </c>
    </row>
    <row r="621" spans="1:28" x14ac:dyDescent="0.25">
      <c r="A621">
        <v>32091</v>
      </c>
      <c r="B621" t="str">
        <f>_xlfn.CONCAT(bron[[#This Row],[personeelsnr]]," ",bron[[#This Row],[achternaam]]," ",bron[[#This Row],[voornaam]])</f>
        <v>32091 Köroglu Ercan</v>
      </c>
      <c r="C621" t="str">
        <f>VLOOKUP(bron[[#This Row],[personeelsnr]],'data hastus'!$A:$C,2,0)</f>
        <v>Köroglu</v>
      </c>
      <c r="D621" t="str">
        <f>VLOOKUP(bron[[#This Row],[personeelsnr]],'data hastus'!$A:$C,3,0)</f>
        <v>Ercan</v>
      </c>
      <c r="E621" t="str">
        <f>VLOOKUP(bron[[#This Row],[personeelsnr]],'data hastus'!A:K,11,FALSE)</f>
        <v>Kenneth De Rick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45722</v>
      </c>
      <c r="U621" s="8" t="s">
        <v>1073</v>
      </c>
      <c r="V621" s="8">
        <v>1</v>
      </c>
      <c r="W621" s="8"/>
      <c r="X621" t="s">
        <v>3493</v>
      </c>
      <c r="Y621" t="s">
        <v>6</v>
      </c>
      <c r="Z621">
        <v>5911</v>
      </c>
      <c r="AA621" s="24" t="s">
        <v>3539</v>
      </c>
      <c r="AB621">
        <f>COUNTIF(B:B,bron[[#This Row],[volledige naam]])</f>
        <v>1</v>
      </c>
    </row>
    <row r="622" spans="1:28" x14ac:dyDescent="0.25">
      <c r="A622">
        <v>41092</v>
      </c>
      <c r="B622" t="str">
        <f>_xlfn.CONCAT(bron[[#This Row],[personeelsnr]]," ",bron[[#This Row],[achternaam]]," ",bron[[#This Row],[voornaam]])</f>
        <v>41092 De Keyser Dorien</v>
      </c>
      <c r="C622" t="str">
        <f>VLOOKUP(bron[[#This Row],[personeelsnr]],'data hastus'!$A:$C,2,0)</f>
        <v>De Keyser</v>
      </c>
      <c r="D622" t="str">
        <f>VLOOKUP(bron[[#This Row],[personeelsnr]],'data hastus'!$A:$C,3,0)</f>
        <v>Dorien</v>
      </c>
      <c r="E622" t="str">
        <f>VLOOKUP(bron[[#This Row],[personeelsnr]],'data hastus'!A:K,11,FALSE)</f>
        <v>Dominique De Clercq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45722</v>
      </c>
      <c r="U622" s="8" t="s">
        <v>1070</v>
      </c>
      <c r="V622" s="8">
        <v>1</v>
      </c>
      <c r="W622" s="8"/>
      <c r="X622" t="s">
        <v>3493</v>
      </c>
      <c r="Y622" t="s">
        <v>205</v>
      </c>
      <c r="Z622">
        <v>5909</v>
      </c>
      <c r="AA622" s="24" t="s">
        <v>3539</v>
      </c>
      <c r="AB622">
        <f>COUNTIF(B:B,bron[[#This Row],[volledige naam]])</f>
        <v>8</v>
      </c>
    </row>
    <row r="623" spans="1:28" x14ac:dyDescent="0.25">
      <c r="A623">
        <v>25487</v>
      </c>
      <c r="B623" t="str">
        <f>_xlfn.CONCAT(bron[[#This Row],[personeelsnr]]," ",bron[[#This Row],[achternaam]]," ",bron[[#This Row],[voornaam]])</f>
        <v>25487 Devos Stefaan</v>
      </c>
      <c r="C623" t="str">
        <f>VLOOKUP(bron[[#This Row],[personeelsnr]],'data hastus'!$A:$C,2,0)</f>
        <v>Devos</v>
      </c>
      <c r="D623" t="str">
        <f>VLOOKUP(bron[[#This Row],[personeelsnr]],'data hastus'!$A:$C,3,0)</f>
        <v>Stefaan</v>
      </c>
      <c r="E623" t="str">
        <f>VLOOKUP(bron[[#This Row],[personeelsnr]],'data hastus'!A:K,11,FALSE)</f>
        <v>Steven Storm</v>
      </c>
      <c r="F623" s="10"/>
      <c r="G623" s="6"/>
      <c r="H623" s="6"/>
      <c r="I623" s="6">
        <v>1</v>
      </c>
      <c r="J623"/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45725</v>
      </c>
      <c r="U623" s="8" t="s">
        <v>1077</v>
      </c>
      <c r="V623" s="8"/>
      <c r="W623" s="8">
        <v>1</v>
      </c>
      <c r="X623" t="s">
        <v>3528</v>
      </c>
      <c r="Y623" t="s">
        <v>118</v>
      </c>
      <c r="Z623">
        <v>6303</v>
      </c>
      <c r="AA623" s="24" t="s">
        <v>3539</v>
      </c>
      <c r="AB623">
        <f>COUNTIF(B:B,bron[[#This Row],[volledige naam]])</f>
        <v>4</v>
      </c>
    </row>
    <row r="624" spans="1:28" x14ac:dyDescent="0.25">
      <c r="A624">
        <v>28910</v>
      </c>
      <c r="B624" t="str">
        <f>_xlfn.CONCAT(bron[[#This Row],[personeelsnr]]," ",bron[[#This Row],[achternaam]]," ",bron[[#This Row],[voornaam]])</f>
        <v>28910 Gassa Osmane</v>
      </c>
      <c r="C624" t="str">
        <f>VLOOKUP(bron[[#This Row],[personeelsnr]],'data hastus'!$A:$C,2,0)</f>
        <v>Gassa</v>
      </c>
      <c r="D624" t="str">
        <f>VLOOKUP(bron[[#This Row],[personeelsnr]],'data hastus'!$A:$C,3,0)</f>
        <v>Osmane</v>
      </c>
      <c r="E624" t="str">
        <f>VLOOKUP(bron[[#This Row],[personeelsnr]],'data hastus'!A:K,11,FALSE)</f>
        <v>Bart Van Der Beken</v>
      </c>
      <c r="F624" s="10"/>
      <c r="G624" s="6"/>
      <c r="H624" s="6"/>
      <c r="I624" s="6">
        <v>1</v>
      </c>
      <c r="J624"/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45725</v>
      </c>
      <c r="U624" s="8" t="s">
        <v>1075</v>
      </c>
      <c r="V624" s="8">
        <v>1</v>
      </c>
      <c r="W624" s="8"/>
      <c r="X624" t="s">
        <v>3492</v>
      </c>
      <c r="Y624" t="s">
        <v>132</v>
      </c>
      <c r="Z624">
        <v>5040</v>
      </c>
      <c r="AA624" s="24" t="s">
        <v>3539</v>
      </c>
      <c r="AB624">
        <f>COUNTIF(B:B,bron[[#This Row],[volledige naam]])</f>
        <v>2</v>
      </c>
    </row>
    <row r="625" spans="1:28" x14ac:dyDescent="0.25">
      <c r="A625">
        <v>40939</v>
      </c>
      <c r="B625" t="str">
        <f>_xlfn.CONCAT(bron[[#This Row],[personeelsnr]]," ",bron[[#This Row],[achternaam]]," ",bron[[#This Row],[voornaam]])</f>
        <v>40939 Cisse Sayon</v>
      </c>
      <c r="C625" t="str">
        <f>VLOOKUP(bron[[#This Row],[personeelsnr]],'data hastus'!$A:$C,2,0)</f>
        <v>Cisse</v>
      </c>
      <c r="D625" t="str">
        <f>VLOOKUP(bron[[#This Row],[personeelsnr]],'data hastus'!$A:$C,3,0)</f>
        <v>Sayon</v>
      </c>
      <c r="E625" t="str">
        <f>VLOOKUP(bron[[#This Row],[personeelsnr]],'data hastus'!A:K,11,FALSE)</f>
        <v>Kenneth De Rick</v>
      </c>
      <c r="F625" s="10"/>
      <c r="G625" s="6"/>
      <c r="H625" s="6"/>
      <c r="I625" s="6">
        <v>1</v>
      </c>
      <c r="J625"/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45725</v>
      </c>
      <c r="U625" s="8" t="s">
        <v>1076</v>
      </c>
      <c r="V625" s="8">
        <v>1</v>
      </c>
      <c r="W625" s="8"/>
      <c r="X625" t="s">
        <v>3493</v>
      </c>
      <c r="Y625" t="s">
        <v>8</v>
      </c>
      <c r="Z625">
        <v>5932</v>
      </c>
      <c r="AA625" s="24" t="s">
        <v>3539</v>
      </c>
      <c r="AB625">
        <f>COUNTIF(B:B,bron[[#This Row],[volledige naam]])</f>
        <v>3</v>
      </c>
    </row>
    <row r="626" spans="1:28" x14ac:dyDescent="0.25">
      <c r="A626">
        <v>35645</v>
      </c>
      <c r="B626" t="str">
        <f>_xlfn.CONCAT(bron[[#This Row],[personeelsnr]]," ",bron[[#This Row],[achternaam]]," ",bron[[#This Row],[voornaam]])</f>
        <v>35645 Jalili Yaseeb</v>
      </c>
      <c r="C626" t="str">
        <f>VLOOKUP(bron[[#This Row],[personeelsnr]],'data hastus'!$A:$C,2,0)</f>
        <v>Jalili</v>
      </c>
      <c r="D626" t="str">
        <f>VLOOKUP(bron[[#This Row],[personeelsnr]],'data hastus'!$A:$C,3,0)</f>
        <v>Yaseeb</v>
      </c>
      <c r="E626" t="str">
        <f>VLOOKUP(bron[[#This Row],[personeelsnr]],'data hastus'!A:K,11,FALSE)</f>
        <v>Steven Storm</v>
      </c>
      <c r="F626" s="10"/>
      <c r="G626" s="6"/>
      <c r="H626" s="6"/>
      <c r="I626" s="6">
        <v>1</v>
      </c>
      <c r="J626"/>
      <c r="K626"/>
      <c r="L626"/>
      <c r="M626"/>
      <c r="N626"/>
      <c r="O626"/>
      <c r="P626"/>
      <c r="Q626"/>
      <c r="R626"/>
      <c r="S626">
        <f>SUM(bron[[#This Row],[Januari]:[December]])</f>
        <v>1</v>
      </c>
      <c r="T626" s="3">
        <v>45726</v>
      </c>
      <c r="U626" s="8" t="s">
        <v>1078</v>
      </c>
      <c r="V626" s="8">
        <v>1</v>
      </c>
      <c r="W626" s="8"/>
      <c r="X626" t="s">
        <v>3493</v>
      </c>
      <c r="Y626" t="s">
        <v>30</v>
      </c>
      <c r="Z626">
        <v>5938</v>
      </c>
      <c r="AA626" s="24" t="s">
        <v>3539</v>
      </c>
      <c r="AB626">
        <f>COUNTIF(B:B,bron[[#This Row],[volledige naam]])</f>
        <v>4</v>
      </c>
    </row>
    <row r="627" spans="1:28" x14ac:dyDescent="0.25">
      <c r="A627">
        <v>40138</v>
      </c>
      <c r="B627" t="str">
        <f>_xlfn.CONCAT(bron[[#This Row],[personeelsnr]]," ",bron[[#This Row],[achternaam]]," ",bron[[#This Row],[voornaam]])</f>
        <v>40138 Moerman Tjimmy</v>
      </c>
      <c r="C627" t="str">
        <f>VLOOKUP(bron[[#This Row],[personeelsnr]],'data hastus'!$A:$C,2,0)</f>
        <v>Moerman</v>
      </c>
      <c r="D627" t="str">
        <f>VLOOKUP(bron[[#This Row],[personeelsnr]],'data hastus'!$A:$C,3,0)</f>
        <v>Tjimmy</v>
      </c>
      <c r="E627" t="str">
        <f>VLOOKUP(bron[[#This Row],[personeelsnr]],'data hastus'!A:K,11,FALSE)</f>
        <v>Christoff Rotty</v>
      </c>
      <c r="F627" s="10"/>
      <c r="G627" s="6"/>
      <c r="H627" s="6"/>
      <c r="I627" s="6">
        <v>1</v>
      </c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45727</v>
      </c>
      <c r="U627" s="8" t="s">
        <v>1079</v>
      </c>
      <c r="V627" s="8">
        <v>1</v>
      </c>
      <c r="W627" s="8"/>
      <c r="X627" t="s">
        <v>3494</v>
      </c>
      <c r="Y627" t="s">
        <v>26</v>
      </c>
      <c r="Z627">
        <v>5325</v>
      </c>
      <c r="AA627" s="24" t="s">
        <v>3539</v>
      </c>
      <c r="AB627">
        <f>COUNTIF(B:B,bron[[#This Row],[volledige naam]])</f>
        <v>10</v>
      </c>
    </row>
    <row r="628" spans="1:28" x14ac:dyDescent="0.25">
      <c r="A628">
        <v>39532</v>
      </c>
      <c r="B628" t="str">
        <f>_xlfn.CONCAT(bron[[#This Row],[personeelsnr]]," ",bron[[#This Row],[achternaam]]," ",bron[[#This Row],[voornaam]])</f>
        <v>39532 Sahin Orhan</v>
      </c>
      <c r="C628" t="str">
        <f>VLOOKUP(bron[[#This Row],[personeelsnr]],'data hastus'!$A:$C,2,0)</f>
        <v>Sahin</v>
      </c>
      <c r="D628" t="str">
        <f>VLOOKUP(bron[[#This Row],[personeelsnr]],'data hastus'!$A:$C,3,0)</f>
        <v>Orhan</v>
      </c>
      <c r="E628" t="str">
        <f>VLOOKUP(bron[[#This Row],[personeelsnr]],'data hastus'!A:K,11,FALSE)</f>
        <v>Christoff Rotty</v>
      </c>
      <c r="F628" s="10"/>
      <c r="G628" s="7"/>
      <c r="H628" s="7"/>
      <c r="I628" s="7">
        <v>1</v>
      </c>
      <c r="J628" s="5"/>
      <c r="K628" s="5"/>
      <c r="L628" s="5"/>
      <c r="M628" s="5"/>
      <c r="N628" s="5"/>
      <c r="O628" s="5"/>
      <c r="P628" s="5"/>
      <c r="Q628" s="5"/>
      <c r="R628" s="5"/>
      <c r="S628" s="5">
        <f>SUM(bron[[#This Row],[Januari]:[December]])</f>
        <v>1</v>
      </c>
      <c r="T628" s="9">
        <v>45728</v>
      </c>
      <c r="U628" s="8" t="s">
        <v>1080</v>
      </c>
      <c r="V628" s="8">
        <v>1</v>
      </c>
      <c r="W628" s="8"/>
      <c r="X628" t="s">
        <v>3494</v>
      </c>
      <c r="Y628" t="s">
        <v>81</v>
      </c>
      <c r="Z628">
        <v>5237</v>
      </c>
      <c r="AA628" s="24" t="s">
        <v>3539</v>
      </c>
      <c r="AB628">
        <f>COUNTIF(B:B,bron[[#This Row],[volledige naam]])</f>
        <v>6</v>
      </c>
    </row>
    <row r="629" spans="1:28" x14ac:dyDescent="0.25">
      <c r="A629">
        <v>35379</v>
      </c>
      <c r="B629" t="str">
        <f>_xlfn.CONCAT(bron[[#This Row],[personeelsnr]]," ",bron[[#This Row],[achternaam]]," ",bron[[#This Row],[voornaam]])</f>
        <v>35379 Engels Sam</v>
      </c>
      <c r="C629" t="str">
        <f>VLOOKUP(bron[[#This Row],[personeelsnr]],'data hastus'!$A:$C,2,0)</f>
        <v>Engels</v>
      </c>
      <c r="D629" t="str">
        <f>VLOOKUP(bron[[#This Row],[personeelsnr]],'data hastus'!$A:$C,3,0)</f>
        <v>Sam</v>
      </c>
      <c r="E629" t="str">
        <f>VLOOKUP(bron[[#This Row],[personeelsnr]],'data hastus'!A:K,11,FALSE)</f>
        <v>Els Vanhoe</v>
      </c>
      <c r="F629" s="10"/>
      <c r="G629" s="6"/>
      <c r="H629" s="6"/>
      <c r="I629" s="6">
        <v>1</v>
      </c>
      <c r="J629"/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45729</v>
      </c>
      <c r="U629" s="8" t="s">
        <v>1082</v>
      </c>
      <c r="V629" s="8">
        <v>1</v>
      </c>
      <c r="W629" s="8"/>
      <c r="X629" t="s">
        <v>3494</v>
      </c>
      <c r="Y629" t="s">
        <v>96</v>
      </c>
      <c r="Z629">
        <v>5240</v>
      </c>
      <c r="AA629" s="24" t="s">
        <v>3539</v>
      </c>
      <c r="AB629">
        <f>COUNTIF(B:B,bron[[#This Row],[volledige naam]])</f>
        <v>2</v>
      </c>
    </row>
    <row r="630" spans="1:28" x14ac:dyDescent="0.25">
      <c r="A630">
        <v>37662</v>
      </c>
      <c r="B630" t="str">
        <f>_xlfn.CONCAT(bron[[#This Row],[personeelsnr]]," ",bron[[#This Row],[achternaam]]," ",bron[[#This Row],[voornaam]])</f>
        <v>37662 Van den Meerssche Steven</v>
      </c>
      <c r="C630" t="str">
        <f>VLOOKUP(bron[[#This Row],[personeelsnr]],'data hastus'!$A:$C,2,0)</f>
        <v>Van den Meerssche</v>
      </c>
      <c r="D630" t="str">
        <f>VLOOKUP(bron[[#This Row],[personeelsnr]],'data hastus'!$A:$C,3,0)</f>
        <v>Steven</v>
      </c>
      <c r="E630" t="str">
        <f>VLOOKUP(bron[[#This Row],[personeelsnr]],'data hastus'!A:K,11,FALSE)</f>
        <v>Bart Van Der Beken</v>
      </c>
      <c r="F630" s="10"/>
      <c r="G630" s="6"/>
      <c r="H630" s="6"/>
      <c r="I630" s="6">
        <v>1</v>
      </c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45729</v>
      </c>
      <c r="U630" s="8" t="s">
        <v>1081</v>
      </c>
      <c r="V630" s="8">
        <v>1</v>
      </c>
      <c r="W630" s="8"/>
      <c r="X630" t="s">
        <v>3493</v>
      </c>
      <c r="Y630" t="s">
        <v>104</v>
      </c>
      <c r="Z630">
        <v>5915</v>
      </c>
      <c r="AA630" s="24" t="s">
        <v>3539</v>
      </c>
      <c r="AB630">
        <f>COUNTIF(B:B,bron[[#This Row],[volledige naam]])</f>
        <v>8</v>
      </c>
    </row>
    <row r="631" spans="1:28" x14ac:dyDescent="0.25">
      <c r="A631">
        <v>35495</v>
      </c>
      <c r="B631" t="str">
        <f>_xlfn.CONCAT(bron[[#This Row],[personeelsnr]]," ",bron[[#This Row],[achternaam]]," ",bron[[#This Row],[voornaam]])</f>
        <v>35495 Razzaz Mahmoud</v>
      </c>
      <c r="C631" t="str">
        <f>VLOOKUP(bron[[#This Row],[personeelsnr]],'data hastus'!$A:$C,2,0)</f>
        <v>Razzaz</v>
      </c>
      <c r="D631" t="str">
        <f>VLOOKUP(bron[[#This Row],[personeelsnr]],'data hastus'!$A:$C,3,0)</f>
        <v>Mahmoud</v>
      </c>
      <c r="E631" t="str">
        <f>VLOOKUP(bron[[#This Row],[personeelsnr]],'data hastus'!A:K,11,FALSE)</f>
        <v>Kenneth De Rick</v>
      </c>
      <c r="F631" s="10"/>
      <c r="G631" s="6"/>
      <c r="H631" s="6"/>
      <c r="I631" s="6">
        <v>1</v>
      </c>
      <c r="J631"/>
      <c r="K631"/>
      <c r="L631"/>
      <c r="M631"/>
      <c r="N631"/>
      <c r="O631"/>
      <c r="P631"/>
      <c r="Q631"/>
      <c r="R631"/>
      <c r="S631">
        <f>SUM(bron[[#This Row],[Januari]:[December]])</f>
        <v>1</v>
      </c>
      <c r="T631" s="3">
        <v>45731</v>
      </c>
      <c r="U631" s="8" t="s">
        <v>1300</v>
      </c>
      <c r="V631" s="8"/>
      <c r="W631" s="8">
        <v>1</v>
      </c>
      <c r="X631" t="s">
        <v>3528</v>
      </c>
      <c r="Y631" t="s">
        <v>946</v>
      </c>
      <c r="Z631">
        <v>6326</v>
      </c>
      <c r="AA631" s="24" t="s">
        <v>3540</v>
      </c>
      <c r="AB631">
        <f>COUNTIF(B:B,bron[[#This Row],[volledige naam]])</f>
        <v>1</v>
      </c>
    </row>
    <row r="632" spans="1:28" x14ac:dyDescent="0.25">
      <c r="A632" s="13">
        <v>41246</v>
      </c>
      <c r="B632" t="str">
        <f>_xlfn.CONCAT(bron[[#This Row],[personeelsnr]]," ",bron[[#This Row],[achternaam]]," ",bron[[#This Row],[voornaam]])</f>
        <v>41246 Van Holsbeeck Yana</v>
      </c>
      <c r="C632" s="13" t="str">
        <f>VLOOKUP(bron[[#This Row],[personeelsnr]],'data hastus'!$A:$C,2,0)</f>
        <v>Van Holsbeeck</v>
      </c>
      <c r="D632" s="13" t="str">
        <f>VLOOKUP(bron[[#This Row],[personeelsnr]],'data hastus'!$A:$C,3,0)</f>
        <v>Yana</v>
      </c>
      <c r="E632" s="13" t="str">
        <f>VLOOKUP(bron[[#This Row],[personeelsnr]],'data hastus'!A:K,11,FALSE)</f>
        <v>Dominique De Clercq</v>
      </c>
      <c r="F632" s="14"/>
      <c r="G632" s="15"/>
      <c r="H632" s="15"/>
      <c r="I632" s="15">
        <v>1</v>
      </c>
      <c r="J632" s="16"/>
      <c r="K632" s="16"/>
      <c r="L632" s="16"/>
      <c r="M632" s="16"/>
      <c r="N632" s="16"/>
      <c r="O632" s="16"/>
      <c r="P632" s="16"/>
      <c r="Q632" s="16"/>
      <c r="R632" s="16"/>
      <c r="S632" s="16">
        <f>SUM(bron[[#This Row],[Januari]:[December]])</f>
        <v>1</v>
      </c>
      <c r="T632" s="17">
        <v>45732</v>
      </c>
      <c r="U632" s="18" t="s">
        <v>1083</v>
      </c>
      <c r="V632" s="8">
        <v>1</v>
      </c>
      <c r="W632" s="18"/>
      <c r="X632" t="s">
        <v>3493</v>
      </c>
      <c r="Y632" s="13" t="s">
        <v>102</v>
      </c>
      <c r="Z632">
        <v>5928</v>
      </c>
      <c r="AA632" s="24" t="s">
        <v>3539</v>
      </c>
      <c r="AB632">
        <f>COUNTIF(B:B,bron[[#This Row],[volledige naam]])</f>
        <v>3</v>
      </c>
    </row>
    <row r="633" spans="1:28" x14ac:dyDescent="0.25">
      <c r="A633">
        <v>36635</v>
      </c>
      <c r="B633" t="str">
        <f>_xlfn.CONCAT(bron[[#This Row],[personeelsnr]]," ",bron[[#This Row],[achternaam]]," ",bron[[#This Row],[voornaam]])</f>
        <v>36635 Fadel Husam</v>
      </c>
      <c r="C633" t="str">
        <f>VLOOKUP(bron[[#This Row],[personeelsnr]],'data hastus'!$A:$C,2,0)</f>
        <v>Fadel</v>
      </c>
      <c r="D633" t="str">
        <f>VLOOKUP(bron[[#This Row],[personeelsnr]],'data hastus'!$A:$C,3,0)</f>
        <v>Husam</v>
      </c>
      <c r="E633" t="str">
        <f>VLOOKUP(bron[[#This Row],[personeelsnr]],'data hastus'!A:K,11,FALSE)</f>
        <v>Kenneth De Rick</v>
      </c>
      <c r="F633" s="10"/>
      <c r="G633" s="6"/>
      <c r="H633" s="6"/>
      <c r="I633" s="6">
        <v>1</v>
      </c>
      <c r="J633"/>
      <c r="K633"/>
      <c r="L633"/>
      <c r="M633"/>
      <c r="N633"/>
      <c r="O633"/>
      <c r="P633"/>
      <c r="Q633"/>
      <c r="R633"/>
      <c r="S633">
        <f>SUM(bron[[#This Row],[Januari]:[December]])</f>
        <v>1</v>
      </c>
      <c r="T633" s="3">
        <v>45733</v>
      </c>
      <c r="U633" s="8" t="s">
        <v>1084</v>
      </c>
      <c r="V633" s="8"/>
      <c r="W633" s="8">
        <v>1</v>
      </c>
      <c r="X633" t="s">
        <v>3528</v>
      </c>
      <c r="Y633" t="s">
        <v>85</v>
      </c>
      <c r="Z633">
        <v>6331</v>
      </c>
      <c r="AA633" s="24" t="s">
        <v>3539</v>
      </c>
      <c r="AB633">
        <f>COUNTIF(B:B,bron[[#This Row],[volledige naam]])</f>
        <v>3</v>
      </c>
    </row>
    <row r="634" spans="1:28" x14ac:dyDescent="0.25">
      <c r="A634">
        <v>35246</v>
      </c>
      <c r="B634" t="str">
        <f>_xlfn.CONCAT(bron[[#This Row],[personeelsnr]]," ",bron[[#This Row],[achternaam]]," ",bron[[#This Row],[voornaam]])</f>
        <v>35246 De Meyer Karel</v>
      </c>
      <c r="C634" t="str">
        <f>VLOOKUP(bron[[#This Row],[personeelsnr]],'data hastus'!$A:$C,2,0)</f>
        <v>De Meyer</v>
      </c>
      <c r="D634" t="str">
        <f>VLOOKUP(bron[[#This Row],[personeelsnr]],'data hastus'!$A:$C,3,0)</f>
        <v>Karel</v>
      </c>
      <c r="E634" t="str">
        <f>VLOOKUP(bron[[#This Row],[personeelsnr]],'data hastus'!A:K,11,FALSE)</f>
        <v>Els Vanhoe</v>
      </c>
      <c r="F634" s="10"/>
      <c r="G634" s="6"/>
      <c r="H634" s="6"/>
      <c r="I634" s="6">
        <v>1</v>
      </c>
      <c r="J634"/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45734</v>
      </c>
      <c r="U634" s="8" t="s">
        <v>1088</v>
      </c>
      <c r="V634" s="8">
        <v>1</v>
      </c>
      <c r="W634" s="8"/>
      <c r="X634" t="s">
        <v>3493</v>
      </c>
      <c r="Y634" t="s">
        <v>61</v>
      </c>
      <c r="Z634">
        <v>5922</v>
      </c>
      <c r="AA634" s="24" t="s">
        <v>3539</v>
      </c>
      <c r="AB634">
        <f>COUNTIF(B:B,bron[[#This Row],[volledige naam]])</f>
        <v>2</v>
      </c>
    </row>
    <row r="635" spans="1:28" x14ac:dyDescent="0.25">
      <c r="A635">
        <v>41012</v>
      </c>
      <c r="B635" t="str">
        <f>_xlfn.CONCAT(bron[[#This Row],[personeelsnr]]," ",bron[[#This Row],[achternaam]]," ",bron[[#This Row],[voornaam]])</f>
        <v>41012 Natad Younes</v>
      </c>
      <c r="C635" t="str">
        <f>VLOOKUP(bron[[#This Row],[personeelsnr]],'data hastus'!$A:$C,2,0)</f>
        <v>Natad</v>
      </c>
      <c r="D635" t="str">
        <f>VLOOKUP(bron[[#This Row],[personeelsnr]],'data hastus'!$A:$C,3,0)</f>
        <v>Younes</v>
      </c>
      <c r="E635" t="str">
        <f>VLOOKUP(bron[[#This Row],[personeelsnr]],'data hastus'!A:K,11,FALSE)</f>
        <v>Els Vanhoe</v>
      </c>
      <c r="F635" s="10"/>
      <c r="G635" s="6"/>
      <c r="H635" s="6"/>
      <c r="I635" s="6">
        <v>1</v>
      </c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45734</v>
      </c>
      <c r="U635" s="8" t="s">
        <v>1087</v>
      </c>
      <c r="V635" s="8">
        <v>1</v>
      </c>
      <c r="W635" s="8"/>
      <c r="X635" t="s">
        <v>3492</v>
      </c>
      <c r="Y635" t="s">
        <v>16</v>
      </c>
      <c r="Z635">
        <v>5045</v>
      </c>
      <c r="AA635" s="24" t="s">
        <v>3539</v>
      </c>
      <c r="AB635">
        <f>COUNTIF(B:B,bron[[#This Row],[volledige naam]])</f>
        <v>2</v>
      </c>
    </row>
    <row r="636" spans="1:28" x14ac:dyDescent="0.25">
      <c r="A636">
        <v>41064</v>
      </c>
      <c r="B636" t="str">
        <f>_xlfn.CONCAT(bron[[#This Row],[personeelsnr]]," ",bron[[#This Row],[achternaam]]," ",bron[[#This Row],[voornaam]])</f>
        <v>41064 Ardic Atilla</v>
      </c>
      <c r="C636" t="str">
        <f>VLOOKUP(bron[[#This Row],[personeelsnr]],'data hastus'!$A:$C,2,0)</f>
        <v>Ardic</v>
      </c>
      <c r="D636" t="str">
        <f>VLOOKUP(bron[[#This Row],[personeelsnr]],'data hastus'!$A:$C,3,0)</f>
        <v>Atilla</v>
      </c>
      <c r="E636" t="str">
        <f>VLOOKUP(bron[[#This Row],[personeelsnr]],'data hastus'!A:K,11,FALSE)</f>
        <v>Dominique De Clercq</v>
      </c>
      <c r="F636" s="10"/>
      <c r="G636" s="6"/>
      <c r="H636" s="6"/>
      <c r="I636" s="6">
        <v>1</v>
      </c>
      <c r="J636"/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45734</v>
      </c>
      <c r="U636" s="8" t="s">
        <v>1085</v>
      </c>
      <c r="V636" s="8">
        <v>1</v>
      </c>
      <c r="W636" s="8"/>
      <c r="X636" t="s">
        <v>3493</v>
      </c>
      <c r="Y636" t="s">
        <v>6</v>
      </c>
      <c r="Z636">
        <v>2549</v>
      </c>
      <c r="AA636" s="24" t="s">
        <v>3539</v>
      </c>
      <c r="AB636">
        <f>COUNTIF(B:B,bron[[#This Row],[volledige naam]])</f>
        <v>2</v>
      </c>
    </row>
    <row r="637" spans="1:28" x14ac:dyDescent="0.25">
      <c r="A637">
        <v>41092</v>
      </c>
      <c r="B637" t="str">
        <f>_xlfn.CONCAT(bron[[#This Row],[personeelsnr]]," ",bron[[#This Row],[achternaam]]," ",bron[[#This Row],[voornaam]])</f>
        <v>41092 De Keyser Dorien</v>
      </c>
      <c r="C637" t="str">
        <f>VLOOKUP(bron[[#This Row],[personeelsnr]],'data hastus'!$A:$C,2,0)</f>
        <v>De Keyser</v>
      </c>
      <c r="D637" t="str">
        <f>VLOOKUP(bron[[#This Row],[personeelsnr]],'data hastus'!$A:$C,3,0)</f>
        <v>Dorien</v>
      </c>
      <c r="E637" t="str">
        <f>VLOOKUP(bron[[#This Row],[personeelsnr]],'data hastus'!A:K,11,FALSE)</f>
        <v>Dominique De Clercq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45734</v>
      </c>
      <c r="U637" s="8" t="s">
        <v>1086</v>
      </c>
      <c r="V637" s="8">
        <v>1</v>
      </c>
      <c r="W637" s="8"/>
      <c r="X637" t="s">
        <v>3493</v>
      </c>
      <c r="Y637" t="s">
        <v>83</v>
      </c>
      <c r="Z637">
        <v>5770</v>
      </c>
      <c r="AA637" s="24" t="s">
        <v>3539</v>
      </c>
      <c r="AB637">
        <f>COUNTIF(B:B,bron[[#This Row],[volledige naam]])</f>
        <v>8</v>
      </c>
    </row>
    <row r="638" spans="1:28" x14ac:dyDescent="0.25">
      <c r="A638">
        <v>11120</v>
      </c>
      <c r="B638" t="str">
        <f>_xlfn.CONCAT(bron[[#This Row],[personeelsnr]]," ",bron[[#This Row],[achternaam]]," ",bron[[#This Row],[voornaam]])</f>
        <v>11120 De Vrieze Ludo</v>
      </c>
      <c r="C638" t="str">
        <f>VLOOKUP(bron[[#This Row],[personeelsnr]],'data hastus'!$A:$C,2,0)</f>
        <v>De Vrieze</v>
      </c>
      <c r="D638" t="str">
        <f>VLOOKUP(bron[[#This Row],[personeelsnr]],'data hastus'!$A:$C,3,0)</f>
        <v>Ludo</v>
      </c>
      <c r="E638" t="str">
        <f>VLOOKUP(bron[[#This Row],[personeelsnr]],'data hastus'!A:K,11,FALSE)</f>
        <v>Lucie Vande Velde</v>
      </c>
      <c r="F638" s="10"/>
      <c r="G638" s="6"/>
      <c r="H638" s="6"/>
      <c r="I638" s="6"/>
      <c r="J638"/>
      <c r="K638"/>
      <c r="L638"/>
      <c r="M638"/>
      <c r="N638"/>
      <c r="O638"/>
      <c r="P638"/>
      <c r="Q638"/>
      <c r="R638"/>
      <c r="S638">
        <f>SUM(bron[[#This Row],[Januari]:[December]])</f>
        <v>0</v>
      </c>
      <c r="T638" s="3">
        <v>45735</v>
      </c>
      <c r="U638" s="8" t="s">
        <v>1310</v>
      </c>
      <c r="V638" s="8"/>
      <c r="W638" s="8">
        <v>1</v>
      </c>
      <c r="X638" t="s">
        <v>3528</v>
      </c>
      <c r="Y638" t="s">
        <v>1311</v>
      </c>
      <c r="Z638">
        <v>6322</v>
      </c>
      <c r="AA638" s="24" t="s">
        <v>3540</v>
      </c>
      <c r="AB638">
        <f>COUNTIF(B:B,bron[[#This Row],[volledige naam]])</f>
        <v>1</v>
      </c>
    </row>
    <row r="639" spans="1:28" x14ac:dyDescent="0.25">
      <c r="A639">
        <v>35216</v>
      </c>
      <c r="B639" t="str">
        <f>_xlfn.CONCAT(bron[[#This Row],[personeelsnr]]," ",bron[[#This Row],[achternaam]]," ",bron[[#This Row],[voornaam]])</f>
        <v>35216 Coban Mehmet</v>
      </c>
      <c r="C639" t="str">
        <f>VLOOKUP(bron[[#This Row],[personeelsnr]],'data hastus'!$A:$C,2,0)</f>
        <v>Coban</v>
      </c>
      <c r="D639" t="str">
        <f>VLOOKUP(bron[[#This Row],[personeelsnr]],'data hastus'!$A:$C,3,0)</f>
        <v>Mehmet</v>
      </c>
      <c r="E639" t="str">
        <f>VLOOKUP(bron[[#This Row],[personeelsnr]],'data hastus'!A:K,11,FALSE)</f>
        <v>Lucie Vande Velde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45735</v>
      </c>
      <c r="U639" s="8" t="s">
        <v>1090</v>
      </c>
      <c r="V639" s="8">
        <v>1</v>
      </c>
      <c r="W639" s="8"/>
      <c r="X639" t="s">
        <v>3493</v>
      </c>
      <c r="Y639" t="s">
        <v>134</v>
      </c>
      <c r="Z639">
        <v>5924</v>
      </c>
      <c r="AA639" s="24" t="s">
        <v>3539</v>
      </c>
      <c r="AB639">
        <f>COUNTIF(B:B,bron[[#This Row],[volledige naam]])</f>
        <v>1</v>
      </c>
    </row>
    <row r="640" spans="1:28" x14ac:dyDescent="0.25">
      <c r="A640">
        <v>35450</v>
      </c>
      <c r="B640" t="str">
        <f>_xlfn.CONCAT(bron[[#This Row],[personeelsnr]]," ",bron[[#This Row],[achternaam]]," ",bron[[#This Row],[voornaam]])</f>
        <v>35450 Roos Hugo</v>
      </c>
      <c r="C640" t="str">
        <f>VLOOKUP(bron[[#This Row],[personeelsnr]],'data hastus'!$A:$C,2,0)</f>
        <v>Roos</v>
      </c>
      <c r="D640" t="str">
        <f>VLOOKUP(bron[[#This Row],[personeelsnr]],'data hastus'!$A:$C,3,0)</f>
        <v>Hugo</v>
      </c>
      <c r="E640" t="str">
        <f>VLOOKUP(bron[[#This Row],[personeelsnr]],'data hastus'!A:K,11,FALSE)</f>
        <v>Els Dewulf</v>
      </c>
      <c r="F640" s="10"/>
      <c r="G640" s="6"/>
      <c r="H640" s="6"/>
      <c r="I640" s="6">
        <v>1</v>
      </c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45735</v>
      </c>
      <c r="U640" s="8" t="s">
        <v>1089</v>
      </c>
      <c r="V640" s="8">
        <v>1</v>
      </c>
      <c r="W640" s="8"/>
      <c r="X640" t="s">
        <v>3493</v>
      </c>
      <c r="Y640" t="s">
        <v>234</v>
      </c>
      <c r="Z640">
        <v>4665</v>
      </c>
      <c r="AA640" s="24" t="s">
        <v>3539</v>
      </c>
      <c r="AB640">
        <f>COUNTIF(B:B,bron[[#This Row],[volledige naam]])</f>
        <v>4</v>
      </c>
    </row>
    <row r="641" spans="1:28" x14ac:dyDescent="0.25">
      <c r="A641">
        <v>39779</v>
      </c>
      <c r="B641" t="str">
        <f>_xlfn.CONCAT(bron[[#This Row],[personeelsnr]]," ",bron[[#This Row],[achternaam]]," ",bron[[#This Row],[voornaam]])</f>
        <v>39779 Avci Muhammet Abdullah</v>
      </c>
      <c r="C641" t="str">
        <f>VLOOKUP(bron[[#This Row],[personeelsnr]],'data hastus'!$A:$C,2,0)</f>
        <v>Avci</v>
      </c>
      <c r="D641" t="str">
        <f>VLOOKUP(bron[[#This Row],[personeelsnr]],'data hastus'!$A:$C,3,0)</f>
        <v>Muhammet Abdullah</v>
      </c>
      <c r="E641" t="str">
        <f>VLOOKUP(bron[[#This Row],[personeelsnr]],'data hastus'!A:K,11,FALSE)</f>
        <v>Bart Van Der Beken</v>
      </c>
      <c r="F641" s="10"/>
      <c r="G641" s="6"/>
      <c r="H641" s="6"/>
      <c r="I641" s="6">
        <v>1</v>
      </c>
      <c r="J641"/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45735</v>
      </c>
      <c r="U641" s="8" t="s">
        <v>1275</v>
      </c>
      <c r="V641" s="8">
        <v>1</v>
      </c>
      <c r="W641" s="8"/>
      <c r="X641" t="s">
        <v>3494</v>
      </c>
      <c r="Y641" t="s">
        <v>55</v>
      </c>
      <c r="Z641">
        <v>5054</v>
      </c>
      <c r="AA641" s="24" t="s">
        <v>3540</v>
      </c>
      <c r="AB641">
        <f>COUNTIF(B:B,bron[[#This Row],[volledige naam]])</f>
        <v>7</v>
      </c>
    </row>
    <row r="642" spans="1:28" x14ac:dyDescent="0.25">
      <c r="A642">
        <v>41520</v>
      </c>
      <c r="B642" t="str">
        <f>_xlfn.CONCAT(bron[[#This Row],[personeelsnr]]," ",bron[[#This Row],[achternaam]]," ",bron[[#This Row],[voornaam]])</f>
        <v>41520 Smets Avery</v>
      </c>
      <c r="C642" t="str">
        <f>VLOOKUP(bron[[#This Row],[personeelsnr]],'data hastus'!$A:$C,2,0)</f>
        <v>Smets</v>
      </c>
      <c r="D642" t="str">
        <f>VLOOKUP(bron[[#This Row],[personeelsnr]],'data hastus'!$A:$C,3,0)</f>
        <v>Avery</v>
      </c>
      <c r="E642" t="str">
        <f>VLOOKUP(bron[[#This Row],[personeelsnr]],'data hastus'!A:K,11,FALSE)</f>
        <v>Christoff Rotty</v>
      </c>
      <c r="F642" s="10"/>
      <c r="G642" s="6"/>
      <c r="H642" s="6"/>
      <c r="I642" s="6">
        <v>1</v>
      </c>
      <c r="J642"/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45736</v>
      </c>
      <c r="U642" s="8" t="s">
        <v>1091</v>
      </c>
      <c r="V642" s="8">
        <v>1</v>
      </c>
      <c r="W642" s="8"/>
      <c r="X642" t="s">
        <v>3493</v>
      </c>
      <c r="Y642" t="s">
        <v>126</v>
      </c>
      <c r="Z642">
        <v>8138</v>
      </c>
      <c r="AA642" s="24" t="s">
        <v>3539</v>
      </c>
      <c r="AB642">
        <f>COUNTIF(B:B,bron[[#This Row],[volledige naam]])</f>
        <v>3</v>
      </c>
    </row>
    <row r="643" spans="1:28" x14ac:dyDescent="0.25">
      <c r="A643">
        <v>31600</v>
      </c>
      <c r="B643" t="str">
        <f>_xlfn.CONCAT(bron[[#This Row],[personeelsnr]]," ",bron[[#This Row],[achternaam]]," ",bron[[#This Row],[voornaam]])</f>
        <v>31600 Mertens Tom</v>
      </c>
      <c r="C643" t="str">
        <f>VLOOKUP(bron[[#This Row],[personeelsnr]],'data hastus'!$A:$C,2,0)</f>
        <v>Mertens</v>
      </c>
      <c r="D643" t="str">
        <f>VLOOKUP(bron[[#This Row],[personeelsnr]],'data hastus'!$A:$C,3,0)</f>
        <v>Tom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45737</v>
      </c>
      <c r="U643" s="8" t="s">
        <v>1292</v>
      </c>
      <c r="V643" s="8">
        <v>1</v>
      </c>
      <c r="W643" s="8"/>
      <c r="X643" t="s">
        <v>3492</v>
      </c>
      <c r="Y643" t="s">
        <v>1293</v>
      </c>
      <c r="Z643">
        <v>2197</v>
      </c>
      <c r="AA643" s="24" t="s">
        <v>3540</v>
      </c>
      <c r="AB643">
        <f>COUNTIF(B:B,bron[[#This Row],[volledige naam]])</f>
        <v>2</v>
      </c>
    </row>
    <row r="644" spans="1:28" x14ac:dyDescent="0.25">
      <c r="A644">
        <v>32611</v>
      </c>
      <c r="B644" t="str">
        <f>_xlfn.CONCAT(bron[[#This Row],[personeelsnr]]," ",bron[[#This Row],[achternaam]]," ",bron[[#This Row],[voornaam]])</f>
        <v>32611 Özer Özgur</v>
      </c>
      <c r="C644" t="str">
        <f>VLOOKUP(bron[[#This Row],[personeelsnr]],'data hastus'!$A:$C,2,0)</f>
        <v>Özer</v>
      </c>
      <c r="D644" t="str">
        <f>VLOOKUP(bron[[#This Row],[personeelsnr]],'data hastus'!$A:$C,3,0)</f>
        <v>Özgur</v>
      </c>
      <c r="E644" t="str">
        <f>VLOOKUP(bron[[#This Row],[personeelsnr]],'data hastus'!A:K,11,FALSE)</f>
        <v>Kenneth De Rick</v>
      </c>
      <c r="F644" s="10"/>
      <c r="G644" s="6"/>
      <c r="H644" s="6"/>
      <c r="I644" s="6">
        <v>1</v>
      </c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45737</v>
      </c>
      <c r="U644" s="8" t="s">
        <v>1092</v>
      </c>
      <c r="V644" s="8">
        <v>1</v>
      </c>
      <c r="W644" s="8"/>
      <c r="X644" t="s">
        <v>3493</v>
      </c>
      <c r="Y644" t="s">
        <v>43</v>
      </c>
      <c r="Z644">
        <v>5922</v>
      </c>
      <c r="AA644" s="24" t="s">
        <v>3539</v>
      </c>
      <c r="AB644">
        <f>COUNTIF(B:B,bron[[#This Row],[volledige naam]])</f>
        <v>2</v>
      </c>
    </row>
    <row r="645" spans="1:28" x14ac:dyDescent="0.25">
      <c r="A645">
        <v>37809</v>
      </c>
      <c r="B645" t="str">
        <f>_xlfn.CONCAT(bron[[#This Row],[personeelsnr]]," ",bron[[#This Row],[achternaam]]," ",bron[[#This Row],[voornaam]])</f>
        <v>37809 Sturtewagen Kenny</v>
      </c>
      <c r="C645" t="str">
        <f>VLOOKUP(bron[[#This Row],[personeelsnr]],'data hastus'!$A:$C,2,0)</f>
        <v>Sturtewagen</v>
      </c>
      <c r="D645" t="str">
        <f>VLOOKUP(bron[[#This Row],[personeelsnr]],'data hastus'!$A:$C,3,0)</f>
        <v>Kenny</v>
      </c>
      <c r="E645" t="str">
        <f>VLOOKUP(bron[[#This Row],[personeelsnr]],'data hastus'!A:K,11,FALSE)</f>
        <v>Steven Storm</v>
      </c>
      <c r="F645" s="10"/>
      <c r="G645" s="6"/>
      <c r="H645" s="6"/>
      <c r="I645" s="6">
        <v>1</v>
      </c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45740</v>
      </c>
      <c r="U645" s="8" t="s">
        <v>1093</v>
      </c>
      <c r="V645" s="8">
        <v>1</v>
      </c>
      <c r="W645" s="8"/>
      <c r="X645" t="s">
        <v>3492</v>
      </c>
      <c r="Y645" t="s">
        <v>14</v>
      </c>
      <c r="Z645">
        <v>5235</v>
      </c>
      <c r="AA645" s="24" t="s">
        <v>3539</v>
      </c>
      <c r="AB645">
        <f>COUNTIF(B:B,bron[[#This Row],[volledige naam]])</f>
        <v>3</v>
      </c>
    </row>
    <row r="646" spans="1:28" x14ac:dyDescent="0.25">
      <c r="A646">
        <v>37179</v>
      </c>
      <c r="B646" t="str">
        <f>_xlfn.CONCAT(bron[[#This Row],[personeelsnr]]," ",bron[[#This Row],[achternaam]]," ",bron[[#This Row],[voornaam]])</f>
        <v>37179 Bashir Muhammad Salman</v>
      </c>
      <c r="C646" t="str">
        <f>VLOOKUP(bron[[#This Row],[personeelsnr]],'data hastus'!$A:$C,2,0)</f>
        <v>Bashir</v>
      </c>
      <c r="D646" t="str">
        <f>VLOOKUP(bron[[#This Row],[personeelsnr]],'data hastus'!$A:$C,3,0)</f>
        <v>Muhammad Salman</v>
      </c>
      <c r="E646" t="str">
        <f>VLOOKUP(bron[[#This Row],[personeelsnr]],'data hastus'!A:K,11,FALSE)</f>
        <v>Bart Van Der Beken</v>
      </c>
      <c r="F646" s="10"/>
      <c r="G646" s="6"/>
      <c r="H646" s="6"/>
      <c r="I646" s="6">
        <v>1</v>
      </c>
      <c r="J646"/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45742</v>
      </c>
      <c r="U646" s="8" t="s">
        <v>1094</v>
      </c>
      <c r="V646" s="8">
        <v>1</v>
      </c>
      <c r="W646" s="8"/>
      <c r="X646" t="s">
        <v>3494</v>
      </c>
      <c r="Y646" t="s">
        <v>32</v>
      </c>
      <c r="Z646">
        <v>5266</v>
      </c>
      <c r="AA646" s="24" t="s">
        <v>3539</v>
      </c>
      <c r="AB646">
        <f>COUNTIF(B:B,bron[[#This Row],[volledige naam]])</f>
        <v>2</v>
      </c>
    </row>
    <row r="647" spans="1:28" x14ac:dyDescent="0.25">
      <c r="A647">
        <v>38580</v>
      </c>
      <c r="B647" t="str">
        <f>_xlfn.CONCAT(bron[[#This Row],[personeelsnr]]," ",bron[[#This Row],[achternaam]]," ",bron[[#This Row],[voornaam]])</f>
        <v>38580 Smajla Samet</v>
      </c>
      <c r="C647" t="str">
        <f>VLOOKUP(bron[[#This Row],[personeelsnr]],'data hastus'!$A:$C,2,0)</f>
        <v>Smajla</v>
      </c>
      <c r="D647" t="str">
        <f>VLOOKUP(bron[[#This Row],[personeelsnr]],'data hastus'!$A:$C,3,0)</f>
        <v>Samet</v>
      </c>
      <c r="E647" t="str">
        <f>VLOOKUP(bron[[#This Row],[personeelsnr]],'data hastus'!A:K,11,FALSE)</f>
        <v>Els Dewulf</v>
      </c>
      <c r="F647" s="10"/>
      <c r="G647" s="6"/>
      <c r="H647" s="6"/>
      <c r="I647" s="6">
        <v>1</v>
      </c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45742</v>
      </c>
      <c r="U647" s="8" t="s">
        <v>1095</v>
      </c>
      <c r="V647" s="8">
        <v>1</v>
      </c>
      <c r="W647" s="8"/>
      <c r="X647" t="s">
        <v>3492</v>
      </c>
      <c r="Y647" t="s">
        <v>87</v>
      </c>
      <c r="Z647">
        <v>5043</v>
      </c>
      <c r="AA647" s="24" t="s">
        <v>3539</v>
      </c>
      <c r="AB647">
        <f>COUNTIF(B:B,bron[[#This Row],[volledige naam]])</f>
        <v>1</v>
      </c>
    </row>
    <row r="648" spans="1:28" x14ac:dyDescent="0.25">
      <c r="A648">
        <v>31118</v>
      </c>
      <c r="B648" t="str">
        <f>_xlfn.CONCAT(bron[[#This Row],[personeelsnr]]," ",bron[[#This Row],[achternaam]]," ",bron[[#This Row],[voornaam]])</f>
        <v>31118 De Sutter Michiel</v>
      </c>
      <c r="C648" t="str">
        <f>VLOOKUP(bron[[#This Row],[personeelsnr]],'data hastus'!$A:$C,2,0)</f>
        <v>De Sutter</v>
      </c>
      <c r="D648" t="str">
        <f>VLOOKUP(bron[[#This Row],[personeelsnr]],'data hastus'!$A:$C,3,0)</f>
        <v>Michiel</v>
      </c>
      <c r="E648" t="str">
        <f>VLOOKUP(bron[[#This Row],[personeelsnr]],'data hastus'!A:K,11,FALSE)</f>
        <v>Els Dewulf</v>
      </c>
      <c r="F648" s="10"/>
      <c r="G648" s="6"/>
      <c r="H648" s="6"/>
      <c r="I648" s="6">
        <v>1</v>
      </c>
      <c r="J648"/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45743</v>
      </c>
      <c r="U648" s="8" t="s">
        <v>1096</v>
      </c>
      <c r="V648" s="8">
        <v>1</v>
      </c>
      <c r="W648" s="8"/>
      <c r="X648" t="s">
        <v>3493</v>
      </c>
      <c r="Y648" t="s">
        <v>493</v>
      </c>
      <c r="Z648">
        <v>5922</v>
      </c>
      <c r="AA648" s="24" t="s">
        <v>3539</v>
      </c>
      <c r="AB648">
        <f>COUNTIF(B:B,bron[[#This Row],[volledige naam]])</f>
        <v>2</v>
      </c>
    </row>
    <row r="649" spans="1:28" x14ac:dyDescent="0.25">
      <c r="A649">
        <v>36358</v>
      </c>
      <c r="B649" t="str">
        <f>_xlfn.CONCAT(bron[[#This Row],[personeelsnr]]," ",bron[[#This Row],[achternaam]]," ",bron[[#This Row],[voornaam]])</f>
        <v>36358 De Nys Elise</v>
      </c>
      <c r="C649" t="str">
        <f>VLOOKUP(bron[[#This Row],[personeelsnr]],'data hastus'!$A:$C,2,0)</f>
        <v>De Nys</v>
      </c>
      <c r="D649" t="str">
        <f>VLOOKUP(bron[[#This Row],[personeelsnr]],'data hastus'!$A:$C,3,0)</f>
        <v>Elise</v>
      </c>
      <c r="E649" t="str">
        <f>VLOOKUP(bron[[#This Row],[personeelsnr]],'data hastus'!A:K,11,FALSE)</f>
        <v>Els Dewulf</v>
      </c>
      <c r="F649" s="10"/>
      <c r="G649" s="6"/>
      <c r="H649" s="6"/>
      <c r="I649" s="6">
        <v>1</v>
      </c>
      <c r="J649"/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45744</v>
      </c>
      <c r="U649" s="8" t="s">
        <v>1098</v>
      </c>
      <c r="V649" s="8"/>
      <c r="W649" s="8">
        <v>1</v>
      </c>
      <c r="X649" t="s">
        <v>3529</v>
      </c>
      <c r="Y649" t="s">
        <v>46</v>
      </c>
      <c r="Z649">
        <v>6370</v>
      </c>
      <c r="AA649" s="24" t="s">
        <v>3539</v>
      </c>
      <c r="AB649">
        <f>COUNTIF(B:B,bron[[#This Row],[volledige naam]])</f>
        <v>2</v>
      </c>
    </row>
    <row r="650" spans="1:28" x14ac:dyDescent="0.25">
      <c r="A650">
        <v>36569</v>
      </c>
      <c r="B650" t="e">
        <f>_xlfn.CONCAT(bron[[#This Row],[personeelsnr]]," ",bron[[#This Row],[achternaam]]," ",bron[[#This Row],[voornaam]])</f>
        <v>#N/A</v>
      </c>
      <c r="C650" t="e">
        <f>VLOOKUP(bron[[#This Row],[personeelsnr]],'data hastus'!$A:$C,2,0)</f>
        <v>#N/A</v>
      </c>
      <c r="D650" t="e">
        <f>VLOOKUP(bron[[#This Row],[personeelsnr]],'data hastus'!$A:$C,3,0)</f>
        <v>#N/A</v>
      </c>
      <c r="E650" t="s">
        <v>62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45744</v>
      </c>
      <c r="U650" s="8" t="s">
        <v>1099</v>
      </c>
      <c r="V650" s="8"/>
      <c r="W650" s="8">
        <v>1</v>
      </c>
      <c r="X650" t="s">
        <v>3528</v>
      </c>
      <c r="Y650" t="s">
        <v>148</v>
      </c>
      <c r="Z650">
        <v>6325</v>
      </c>
      <c r="AA650" s="24" t="s">
        <v>3539</v>
      </c>
      <c r="AB650">
        <f>COUNTIF(B:B,bron[[#This Row],[volledige naam]])</f>
        <v>24</v>
      </c>
    </row>
    <row r="651" spans="1:28" x14ac:dyDescent="0.25">
      <c r="A651">
        <v>39581</v>
      </c>
      <c r="B651" t="str">
        <f>_xlfn.CONCAT(bron[[#This Row],[personeelsnr]]," ",bron[[#This Row],[achternaam]]," ",bron[[#This Row],[voornaam]])</f>
        <v>39581 Vandenhaute Linus</v>
      </c>
      <c r="C651" t="str">
        <f>VLOOKUP(bron[[#This Row],[personeelsnr]],'data hastus'!$A:$C,2,0)</f>
        <v>Vandenhaute</v>
      </c>
      <c r="D651" t="str">
        <f>VLOOKUP(bron[[#This Row],[personeelsnr]],'data hastus'!$A:$C,3,0)</f>
        <v>Linus</v>
      </c>
      <c r="E651" t="str">
        <f>VLOOKUP(bron[[#This Row],[personeelsnr]],'data hastus'!A:K,11,FALSE)</f>
        <v>Els Dewulf</v>
      </c>
      <c r="F651" s="10"/>
      <c r="G651" s="6"/>
      <c r="H651" s="6"/>
      <c r="I651" s="6">
        <v>1</v>
      </c>
      <c r="J651"/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45744</v>
      </c>
      <c r="U651" s="8" t="s">
        <v>1097</v>
      </c>
      <c r="V651" s="8">
        <v>1</v>
      </c>
      <c r="W651" s="8"/>
      <c r="X651" t="s">
        <v>3494</v>
      </c>
      <c r="Y651" t="s">
        <v>32</v>
      </c>
      <c r="Z651">
        <v>5261</v>
      </c>
      <c r="AA651" s="24" t="s">
        <v>3539</v>
      </c>
      <c r="AB651">
        <f>COUNTIF(B:B,bron[[#This Row],[volledige naam]])</f>
        <v>5</v>
      </c>
    </row>
    <row r="652" spans="1:28" x14ac:dyDescent="0.25">
      <c r="A652">
        <v>31668</v>
      </c>
      <c r="B652" t="str">
        <f>_xlfn.CONCAT(bron[[#This Row],[personeelsnr]]," ",bron[[#This Row],[achternaam]]," ",bron[[#This Row],[voornaam]])</f>
        <v>31668 Weemhof Maurice</v>
      </c>
      <c r="C652" t="str">
        <f>VLOOKUP(bron[[#This Row],[personeelsnr]],'data hastus'!$A:$C,2,0)</f>
        <v>Weemhof</v>
      </c>
      <c r="D652" t="str">
        <f>VLOOKUP(bron[[#This Row],[personeelsnr]],'data hastus'!$A:$C,3,0)</f>
        <v>Maurice</v>
      </c>
      <c r="E652" t="str">
        <f>VLOOKUP(bron[[#This Row],[personeelsnr]],'data hastus'!A:K,11,FALSE)</f>
        <v>Dominique De Clercq</v>
      </c>
      <c r="F652" s="10"/>
      <c r="G652" s="6"/>
      <c r="H652" s="6"/>
      <c r="I652" s="6">
        <v>1</v>
      </c>
      <c r="J652"/>
      <c r="K652"/>
      <c r="L652"/>
      <c r="M652"/>
      <c r="N652"/>
      <c r="O652"/>
      <c r="P652"/>
      <c r="Q652"/>
      <c r="R652"/>
      <c r="S652">
        <f>SUM(bron[[#This Row],[Januari]:[December]])</f>
        <v>1</v>
      </c>
      <c r="T652" s="3">
        <v>45745</v>
      </c>
      <c r="U652" s="8" t="s">
        <v>1100</v>
      </c>
      <c r="V652" s="8">
        <v>1</v>
      </c>
      <c r="W652" s="8"/>
      <c r="X652" t="s">
        <v>3493</v>
      </c>
      <c r="Y652" t="s">
        <v>6</v>
      </c>
      <c r="Z652">
        <v>5918</v>
      </c>
      <c r="AA652" s="24" t="s">
        <v>3539</v>
      </c>
      <c r="AB652">
        <f>COUNTIF(B:B,bron[[#This Row],[volledige naam]])</f>
        <v>5</v>
      </c>
    </row>
    <row r="653" spans="1:28" x14ac:dyDescent="0.25">
      <c r="A653">
        <v>17566</v>
      </c>
      <c r="B653" t="str">
        <f>_xlfn.CONCAT(bron[[#This Row],[personeelsnr]]," ",bron[[#This Row],[achternaam]]," ",bron[[#This Row],[voornaam]])</f>
        <v>17566 Praet Reginald</v>
      </c>
      <c r="C653" t="str">
        <f>VLOOKUP(bron[[#This Row],[personeelsnr]],'data hastus'!$A:$C,2,0)</f>
        <v>Praet</v>
      </c>
      <c r="D653" t="str">
        <f>VLOOKUP(bron[[#This Row],[personeelsnr]],'data hastus'!$A:$C,3,0)</f>
        <v>Reginald</v>
      </c>
      <c r="E653" t="str">
        <f>VLOOKUP(bron[[#This Row],[personeelsnr]],'data hastus'!A:K,11,FALSE)</f>
        <v>Bart Van Der Beken</v>
      </c>
      <c r="F653" s="10"/>
      <c r="G653" s="6"/>
      <c r="H653" s="6"/>
      <c r="I653" s="6"/>
      <c r="J653">
        <v>1</v>
      </c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45749</v>
      </c>
      <c r="U653" s="8" t="s">
        <v>3541</v>
      </c>
      <c r="V653" s="8"/>
      <c r="W653" s="8">
        <v>1</v>
      </c>
      <c r="X653" t="s">
        <v>3528</v>
      </c>
      <c r="Y653" t="s">
        <v>20</v>
      </c>
      <c r="Z653">
        <v>6324</v>
      </c>
      <c r="AA653" s="24" t="s">
        <v>3539</v>
      </c>
      <c r="AB653">
        <f>COUNTIF(B:B,bron[[#This Row],[volledige naam]])</f>
        <v>2</v>
      </c>
    </row>
    <row r="654" spans="1:28" x14ac:dyDescent="0.25">
      <c r="A654">
        <v>32620</v>
      </c>
      <c r="B654" t="str">
        <f>_xlfn.CONCAT(bron[[#This Row],[personeelsnr]]," ",bron[[#This Row],[achternaam]]," ",bron[[#This Row],[voornaam]])</f>
        <v>32620 Saey Elias</v>
      </c>
      <c r="C654" t="str">
        <f>VLOOKUP(bron[[#This Row],[personeelsnr]],'data hastus'!$A:$C,2,0)</f>
        <v>Saey</v>
      </c>
      <c r="D654" t="str">
        <f>VLOOKUP(bron[[#This Row],[personeelsnr]],'data hastus'!$A:$C,3,0)</f>
        <v>Elias</v>
      </c>
      <c r="E654" t="str">
        <f>VLOOKUP(bron[[#This Row],[personeelsnr]],'data hastus'!A:K,11,FALSE)</f>
        <v>Els Vanhoe</v>
      </c>
      <c r="F654" s="10"/>
      <c r="G654" s="6"/>
      <c r="H654" s="6"/>
      <c r="I654" s="6"/>
      <c r="J654">
        <v>1</v>
      </c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45749</v>
      </c>
      <c r="U654" s="8" t="s">
        <v>1101</v>
      </c>
      <c r="V654" s="8"/>
      <c r="W654" s="8">
        <v>1</v>
      </c>
      <c r="X654" t="s">
        <v>3528</v>
      </c>
      <c r="Y654" t="s">
        <v>30</v>
      </c>
      <c r="Z654">
        <v>6929</v>
      </c>
      <c r="AA654" s="24" t="s">
        <v>3539</v>
      </c>
      <c r="AB654">
        <f>COUNTIF(B:B,bron[[#This Row],[volledige naam]])</f>
        <v>3</v>
      </c>
    </row>
    <row r="655" spans="1:28" x14ac:dyDescent="0.25">
      <c r="A655">
        <v>38807</v>
      </c>
      <c r="B655" t="str">
        <f>_xlfn.CONCAT(bron[[#This Row],[personeelsnr]]," ",bron[[#This Row],[achternaam]]," ",bron[[#This Row],[voornaam]])</f>
        <v>38807 Dossche Caroline</v>
      </c>
      <c r="C655" t="str">
        <f>VLOOKUP(bron[[#This Row],[personeelsnr]],'data hastus'!$A:$C,2,0)</f>
        <v>Dossche</v>
      </c>
      <c r="D655" t="str">
        <f>VLOOKUP(bron[[#This Row],[personeelsnr]],'data hastus'!$A:$C,3,0)</f>
        <v>Caroline</v>
      </c>
      <c r="E655" t="str">
        <f>VLOOKUP(bron[[#This Row],[personeelsnr]],'data hastus'!A:K,11,FALSE)</f>
        <v>Christoff Rotty</v>
      </c>
      <c r="F655" s="10"/>
      <c r="G655" s="6"/>
      <c r="H655" s="6"/>
      <c r="I655" s="6"/>
      <c r="J655">
        <v>1</v>
      </c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45750</v>
      </c>
      <c r="U655" s="8" t="s">
        <v>1102</v>
      </c>
      <c r="V655" s="8">
        <v>1</v>
      </c>
      <c r="W655" s="8"/>
      <c r="X655" t="s">
        <v>3494</v>
      </c>
      <c r="Y655" t="s">
        <v>26</v>
      </c>
      <c r="Z655">
        <v>5046</v>
      </c>
      <c r="AA655" s="24" t="s">
        <v>3539</v>
      </c>
      <c r="AB655">
        <f>COUNTIF(B:B,bron[[#This Row],[volledige naam]])</f>
        <v>4</v>
      </c>
    </row>
    <row r="656" spans="1:28" x14ac:dyDescent="0.25">
      <c r="A656">
        <v>32951</v>
      </c>
      <c r="B656" t="str">
        <f>_xlfn.CONCAT(bron[[#This Row],[personeelsnr]]," ",bron[[#This Row],[achternaam]]," ",bron[[#This Row],[voornaam]])</f>
        <v>32951 De Bruyne Sonia</v>
      </c>
      <c r="C656" t="str">
        <f>VLOOKUP(bron[[#This Row],[personeelsnr]],'data hastus'!$A:$C,2,0)</f>
        <v>De Bruyne</v>
      </c>
      <c r="D656" t="str">
        <f>VLOOKUP(bron[[#This Row],[personeelsnr]],'data hastus'!$A:$C,3,0)</f>
        <v>Sonia</v>
      </c>
      <c r="E656" t="str">
        <f>VLOOKUP(bron[[#This Row],[personeelsnr]],'data hastus'!A:K,11,FALSE)</f>
        <v>Lucie Vande Velde</v>
      </c>
      <c r="F656" s="10"/>
      <c r="G656" s="6"/>
      <c r="H656" s="6"/>
      <c r="I656" s="6"/>
      <c r="J656">
        <v>1</v>
      </c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45751</v>
      </c>
      <c r="U656" s="8" t="s">
        <v>1104</v>
      </c>
      <c r="V656" s="8">
        <v>1</v>
      </c>
      <c r="W656" s="8"/>
      <c r="X656" t="s">
        <v>3494</v>
      </c>
      <c r="Y656" t="s">
        <v>28</v>
      </c>
      <c r="Z656">
        <v>2198</v>
      </c>
      <c r="AA656" s="24" t="s">
        <v>3539</v>
      </c>
      <c r="AB656">
        <f>COUNTIF(B:B,bron[[#This Row],[volledige naam]])</f>
        <v>6</v>
      </c>
    </row>
    <row r="657" spans="1:28" x14ac:dyDescent="0.25">
      <c r="A657">
        <v>40939</v>
      </c>
      <c r="B657" t="str">
        <f>_xlfn.CONCAT(bron[[#This Row],[personeelsnr]]," ",bron[[#This Row],[achternaam]]," ",bron[[#This Row],[voornaam]])</f>
        <v>40939 Cisse Sayon</v>
      </c>
      <c r="C657" t="str">
        <f>VLOOKUP(bron[[#This Row],[personeelsnr]],'data hastus'!$A:$C,2,0)</f>
        <v>Cisse</v>
      </c>
      <c r="D657" t="str">
        <f>VLOOKUP(bron[[#This Row],[personeelsnr]],'data hastus'!$A:$C,3,0)</f>
        <v>Sayon</v>
      </c>
      <c r="E657" t="str">
        <f>VLOOKUP(bron[[#This Row],[personeelsnr]],'data hastus'!A:K,11,FALSE)</f>
        <v>Kenneth De Rick</v>
      </c>
      <c r="F657" s="10"/>
      <c r="G657" s="6"/>
      <c r="H657" s="6"/>
      <c r="I657" s="6"/>
      <c r="J657">
        <v>1</v>
      </c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>
        <v>45751</v>
      </c>
      <c r="U657" s="8" t="s">
        <v>1103</v>
      </c>
      <c r="V657" s="8">
        <v>1</v>
      </c>
      <c r="W657" s="8"/>
      <c r="X657" t="s">
        <v>3492</v>
      </c>
      <c r="Y657" t="s">
        <v>28</v>
      </c>
      <c r="Z657">
        <v>2198</v>
      </c>
      <c r="AA657" s="24" t="s">
        <v>3539</v>
      </c>
      <c r="AB657">
        <f>COUNTIF(B:B,bron[[#This Row],[volledige naam]])</f>
        <v>3</v>
      </c>
    </row>
    <row r="658" spans="1:28" x14ac:dyDescent="0.25">
      <c r="A658">
        <v>39677</v>
      </c>
      <c r="B658" t="str">
        <f>_xlfn.CONCAT(bron[[#This Row],[personeelsnr]]," ",bron[[#This Row],[achternaam]]," ",bron[[#This Row],[voornaam]])</f>
        <v>39677 Tacq Joey</v>
      </c>
      <c r="C658" t="str">
        <f>VLOOKUP(bron[[#This Row],[personeelsnr]],'data hastus'!$A:$C,2,0)</f>
        <v>Tacq</v>
      </c>
      <c r="D658" t="str">
        <f>VLOOKUP(bron[[#This Row],[personeelsnr]],'data hastus'!$A:$C,3,0)</f>
        <v>Joey</v>
      </c>
      <c r="E658" t="str">
        <f>VLOOKUP(bron[[#This Row],[personeelsnr]],'data hastus'!A:K,11,FALSE)</f>
        <v>Kenneth De Rick</v>
      </c>
      <c r="F658" s="10"/>
      <c r="G658" s="6"/>
      <c r="H658" s="6"/>
      <c r="I658" s="6"/>
      <c r="J658">
        <v>1</v>
      </c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45754</v>
      </c>
      <c r="U658" s="8" t="s">
        <v>1298</v>
      </c>
      <c r="V658" s="8">
        <v>1</v>
      </c>
      <c r="W658" s="8"/>
      <c r="X658" t="s">
        <v>3494</v>
      </c>
      <c r="Y658" t="s">
        <v>1299</v>
      </c>
      <c r="Z658">
        <v>2197</v>
      </c>
      <c r="AA658" s="24" t="s">
        <v>3540</v>
      </c>
      <c r="AB658">
        <f>COUNTIF(B:B,bron[[#This Row],[volledige naam]])</f>
        <v>1</v>
      </c>
    </row>
    <row r="659" spans="1:28" x14ac:dyDescent="0.25">
      <c r="A659">
        <v>41092</v>
      </c>
      <c r="B659" t="str">
        <f>_xlfn.CONCAT(bron[[#This Row],[personeelsnr]]," ",bron[[#This Row],[achternaam]]," ",bron[[#This Row],[voornaam]])</f>
        <v>41092 De Keyser Dorien</v>
      </c>
      <c r="C659" t="str">
        <f>VLOOKUP(bron[[#This Row],[personeelsnr]],'data hastus'!$A:$C,2,0)</f>
        <v>De Keyser</v>
      </c>
      <c r="D659" t="str">
        <f>VLOOKUP(bron[[#This Row],[personeelsnr]],'data hastus'!$A:$C,3,0)</f>
        <v>Dorien</v>
      </c>
      <c r="E659" t="str">
        <f>VLOOKUP(bron[[#This Row],[personeelsnr]],'data hastus'!A:K,11,FALSE)</f>
        <v>Dominique De Clercq</v>
      </c>
      <c r="F659" s="10"/>
      <c r="G659" s="6"/>
      <c r="H659" s="6"/>
      <c r="I659" s="6"/>
      <c r="J659">
        <v>1</v>
      </c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45754</v>
      </c>
      <c r="U659" s="8" t="s">
        <v>1105</v>
      </c>
      <c r="V659" s="8">
        <v>1</v>
      </c>
      <c r="W659" s="8"/>
      <c r="X659" t="s">
        <v>3493</v>
      </c>
      <c r="Y659" t="s">
        <v>100</v>
      </c>
      <c r="Z659">
        <v>5766</v>
      </c>
      <c r="AA659" s="24" t="s">
        <v>3539</v>
      </c>
      <c r="AB659">
        <f>COUNTIF(B:B,bron[[#This Row],[volledige naam]])</f>
        <v>8</v>
      </c>
    </row>
    <row r="660" spans="1:28" x14ac:dyDescent="0.25">
      <c r="A660">
        <v>35619</v>
      </c>
      <c r="B660" t="str">
        <f>_xlfn.CONCAT(bron[[#This Row],[personeelsnr]]," ",bron[[#This Row],[achternaam]]," ",bron[[#This Row],[voornaam]])</f>
        <v>35619 El Mezroui Zouheir</v>
      </c>
      <c r="C660" t="str">
        <f>VLOOKUP(bron[[#This Row],[personeelsnr]],'data hastus'!$A:$C,2,0)</f>
        <v>El Mezroui</v>
      </c>
      <c r="D660" t="str">
        <f>VLOOKUP(bron[[#This Row],[personeelsnr]],'data hastus'!$A:$C,3,0)</f>
        <v>Zouheir</v>
      </c>
      <c r="E660" t="str">
        <f>VLOOKUP(bron[[#This Row],[personeelsnr]],'data hastus'!A:K,11,FALSE)</f>
        <v>Steven Storm</v>
      </c>
      <c r="F660" s="10"/>
      <c r="G660" s="6"/>
      <c r="H660" s="6"/>
      <c r="I660" s="6"/>
      <c r="J660">
        <v>1</v>
      </c>
      <c r="K660"/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45755</v>
      </c>
      <c r="U660" s="8" t="s">
        <v>1106</v>
      </c>
      <c r="V660" s="8"/>
      <c r="W660" s="8">
        <v>1</v>
      </c>
      <c r="X660" t="s">
        <v>3528</v>
      </c>
      <c r="Y660" t="s">
        <v>52</v>
      </c>
      <c r="Z660">
        <v>6306</v>
      </c>
      <c r="AA660" s="24" t="s">
        <v>3539</v>
      </c>
      <c r="AB660">
        <f>COUNTIF(B:B,bron[[#This Row],[volledige naam]])</f>
        <v>1</v>
      </c>
    </row>
    <row r="661" spans="1:28" x14ac:dyDescent="0.25">
      <c r="A661">
        <v>25679</v>
      </c>
      <c r="B661" t="str">
        <f>_xlfn.CONCAT(bron[[#This Row],[personeelsnr]]," ",bron[[#This Row],[achternaam]]," ",bron[[#This Row],[voornaam]])</f>
        <v>25679 Vanrenterghem Serge</v>
      </c>
      <c r="C661" t="str">
        <f>VLOOKUP(bron[[#This Row],[personeelsnr]],'data hastus'!$A:$C,2,0)</f>
        <v>Vanrenterghem</v>
      </c>
      <c r="D661" t="str">
        <f>VLOOKUP(bron[[#This Row],[personeelsnr]],'data hastus'!$A:$C,3,0)</f>
        <v>Serge</v>
      </c>
      <c r="E661" t="str">
        <f>VLOOKUP(bron[[#This Row],[personeelsnr]],'data hastus'!A:K,11,FALSE)</f>
        <v>Christoff Rotty</v>
      </c>
      <c r="F661" s="10"/>
      <c r="G661" s="6"/>
      <c r="H661" s="6"/>
      <c r="I661" s="6"/>
      <c r="J661">
        <v>1</v>
      </c>
      <c r="K661"/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45756</v>
      </c>
      <c r="U661" s="8" t="s">
        <v>1110</v>
      </c>
      <c r="V661" s="8"/>
      <c r="W661" s="8">
        <v>1</v>
      </c>
      <c r="X661" t="s">
        <v>3528</v>
      </c>
      <c r="Y661" t="s">
        <v>2</v>
      </c>
      <c r="Z661">
        <v>6308</v>
      </c>
      <c r="AA661" s="24" t="s">
        <v>3539</v>
      </c>
      <c r="AB661">
        <f>COUNTIF(B:B,bron[[#This Row],[volledige naam]])</f>
        <v>2</v>
      </c>
    </row>
    <row r="662" spans="1:28" x14ac:dyDescent="0.25">
      <c r="A662">
        <v>38035</v>
      </c>
      <c r="B662" t="str">
        <f>_xlfn.CONCAT(bron[[#This Row],[personeelsnr]]," ",bron[[#This Row],[achternaam]]," ",bron[[#This Row],[voornaam]])</f>
        <v>38035 Simsek Isa</v>
      </c>
      <c r="C662" t="str">
        <f>VLOOKUP(bron[[#This Row],[personeelsnr]],'data hastus'!$A:$C,2,0)</f>
        <v>Simsek</v>
      </c>
      <c r="D662" t="str">
        <f>VLOOKUP(bron[[#This Row],[personeelsnr]],'data hastus'!$A:$C,3,0)</f>
        <v>Isa</v>
      </c>
      <c r="E662" t="str">
        <f>VLOOKUP(bron[[#This Row],[personeelsnr]],'data hastus'!A:K,11,FALSE)</f>
        <v>Bart Van Der Beken</v>
      </c>
      <c r="F662" s="10"/>
      <c r="G662" s="6"/>
      <c r="H662" s="6"/>
      <c r="I662" s="6"/>
      <c r="J662">
        <v>1</v>
      </c>
      <c r="K662"/>
      <c r="L662"/>
      <c r="M662"/>
      <c r="N662"/>
      <c r="O662"/>
      <c r="P662"/>
      <c r="Q662"/>
      <c r="R662"/>
      <c r="S662">
        <f>SUM(bron[[#This Row],[Januari]:[December]])</f>
        <v>1</v>
      </c>
      <c r="T662" s="3">
        <v>45756</v>
      </c>
      <c r="U662" s="8" t="s">
        <v>1107</v>
      </c>
      <c r="V662" s="8">
        <v>1</v>
      </c>
      <c r="W662" s="8"/>
      <c r="X662" t="s">
        <v>3493</v>
      </c>
      <c r="Y662" t="s">
        <v>14</v>
      </c>
      <c r="Z662">
        <v>5765</v>
      </c>
      <c r="AA662" s="24" t="s">
        <v>3539</v>
      </c>
      <c r="AB662">
        <f>COUNTIF(B:B,bron[[#This Row],[volledige naam]])</f>
        <v>1</v>
      </c>
    </row>
    <row r="663" spans="1:28" x14ac:dyDescent="0.25">
      <c r="A663">
        <v>39358</v>
      </c>
      <c r="B663" t="str">
        <f>_xlfn.CONCAT(bron[[#This Row],[personeelsnr]]," ",bron[[#This Row],[achternaam]]," ",bron[[#This Row],[voornaam]])</f>
        <v>39358 Weeks Aracena Jimmy Alexander</v>
      </c>
      <c r="C663" t="str">
        <f>VLOOKUP(bron[[#This Row],[personeelsnr]],'data hastus'!$A:$C,2,0)</f>
        <v>Weeks Aracena</v>
      </c>
      <c r="D663" t="str">
        <f>VLOOKUP(bron[[#This Row],[personeelsnr]],'data hastus'!$A:$C,3,0)</f>
        <v>Jimmy Alexander</v>
      </c>
      <c r="E663" t="str">
        <f>VLOOKUP(bron[[#This Row],[personeelsnr]],'data hastus'!A:K,11,FALSE)</f>
        <v>Christoff Rotty</v>
      </c>
      <c r="F663" s="10"/>
      <c r="G663" s="6"/>
      <c r="H663" s="6"/>
      <c r="I663" s="6"/>
      <c r="J663">
        <v>1</v>
      </c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45756</v>
      </c>
      <c r="U663" s="8" t="s">
        <v>1109</v>
      </c>
      <c r="V663" s="8">
        <v>1</v>
      </c>
      <c r="W663" s="8"/>
      <c r="X663" t="s">
        <v>3494</v>
      </c>
      <c r="Y663" t="s">
        <v>16</v>
      </c>
      <c r="Z663">
        <v>5238</v>
      </c>
      <c r="AA663" s="24" t="s">
        <v>3539</v>
      </c>
      <c r="AB663">
        <f>COUNTIF(B:B,bron[[#This Row],[volledige naam]])</f>
        <v>5</v>
      </c>
    </row>
    <row r="664" spans="1:28" x14ac:dyDescent="0.25">
      <c r="A664">
        <v>39929</v>
      </c>
      <c r="B664" t="str">
        <f>_xlfn.CONCAT(bron[[#This Row],[personeelsnr]]," ",bron[[#This Row],[achternaam]]," ",bron[[#This Row],[voornaam]])</f>
        <v>39929 Staneva Mariyana</v>
      </c>
      <c r="C664" t="str">
        <f>VLOOKUP(bron[[#This Row],[personeelsnr]],'data hastus'!$A:$C,2,0)</f>
        <v>Staneva</v>
      </c>
      <c r="D664" t="str">
        <f>VLOOKUP(bron[[#This Row],[personeelsnr]],'data hastus'!$A:$C,3,0)</f>
        <v>Mariyana</v>
      </c>
      <c r="E664" t="str">
        <f>VLOOKUP(bron[[#This Row],[personeelsnr]],'data hastus'!A:K,11,FALSE)</f>
        <v>Christoff Rotty</v>
      </c>
      <c r="F664" s="10"/>
      <c r="G664" s="6"/>
      <c r="H664" s="6"/>
      <c r="I664" s="6"/>
      <c r="J664">
        <v>1</v>
      </c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45756</v>
      </c>
      <c r="U664" s="8" t="s">
        <v>1108</v>
      </c>
      <c r="V664" s="8">
        <v>1</v>
      </c>
      <c r="W664" s="8"/>
      <c r="X664" t="s">
        <v>3492</v>
      </c>
      <c r="Y664" t="s">
        <v>232</v>
      </c>
      <c r="Z664">
        <v>2197</v>
      </c>
      <c r="AA664" s="24" t="s">
        <v>3539</v>
      </c>
      <c r="AB664">
        <f>COUNTIF(B:B,bron[[#This Row],[volledige naam]])</f>
        <v>9</v>
      </c>
    </row>
    <row r="665" spans="1:28" x14ac:dyDescent="0.25">
      <c r="A665">
        <v>34325</v>
      </c>
      <c r="B665" t="str">
        <f>_xlfn.CONCAT(bron[[#This Row],[personeelsnr]]," ",bron[[#This Row],[achternaam]]," ",bron[[#This Row],[voornaam]])</f>
        <v>34325 Eid Mathyn</v>
      </c>
      <c r="C665" t="str">
        <f>VLOOKUP(bron[[#This Row],[personeelsnr]],'data hastus'!$A:$C,2,0)</f>
        <v>Eid</v>
      </c>
      <c r="D665" t="str">
        <f>VLOOKUP(bron[[#This Row],[personeelsnr]],'data hastus'!$A:$C,3,0)</f>
        <v>Mathyn</v>
      </c>
      <c r="E665" t="str">
        <f>VLOOKUP(bron[[#This Row],[personeelsnr]],'data hastus'!A:K,11,FALSE)</f>
        <v>Steven Storm</v>
      </c>
      <c r="F665" s="10"/>
      <c r="G665" s="6"/>
      <c r="H665" s="6"/>
      <c r="I665" s="6"/>
      <c r="J665">
        <v>1</v>
      </c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45757</v>
      </c>
      <c r="U665" s="8" t="s">
        <v>1111</v>
      </c>
      <c r="V665" s="8"/>
      <c r="W665" s="8">
        <v>1</v>
      </c>
      <c r="X665" t="s">
        <v>3529</v>
      </c>
      <c r="Y665" t="s">
        <v>254</v>
      </c>
      <c r="Z665">
        <v>6364</v>
      </c>
      <c r="AA665" s="24" t="s">
        <v>3539</v>
      </c>
      <c r="AB665">
        <f>COUNTIF(B:B,bron[[#This Row],[volledige naam]])</f>
        <v>5</v>
      </c>
    </row>
    <row r="666" spans="1:28" x14ac:dyDescent="0.25">
      <c r="A666">
        <v>9158</v>
      </c>
      <c r="B666" t="str">
        <f>_xlfn.CONCAT(bron[[#This Row],[personeelsnr]]," ",bron[[#This Row],[achternaam]]," ",bron[[#This Row],[voornaam]])</f>
        <v>9158 De Weirdt Ronny</v>
      </c>
      <c r="C666" t="str">
        <f>VLOOKUP(bron[[#This Row],[personeelsnr]],'data hastus'!$A:$C,2,0)</f>
        <v>De Weirdt</v>
      </c>
      <c r="D666" t="str">
        <f>VLOOKUP(bron[[#This Row],[personeelsnr]],'data hastus'!$A:$C,3,0)</f>
        <v>Ronny</v>
      </c>
      <c r="E666" t="str">
        <f>VLOOKUP(bron[[#This Row],[personeelsnr]],'data hastus'!A:K,11,FALSE)</f>
        <v>Steven Storm</v>
      </c>
      <c r="F666" s="10"/>
      <c r="G666" s="6"/>
      <c r="H666" s="6"/>
      <c r="I666" s="6"/>
      <c r="J666">
        <v>1</v>
      </c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45758</v>
      </c>
      <c r="U666" s="8" t="s">
        <v>1113</v>
      </c>
      <c r="V666" s="8"/>
      <c r="W666" s="8">
        <v>1</v>
      </c>
      <c r="X666" t="s">
        <v>3529</v>
      </c>
      <c r="Y666" t="s">
        <v>2</v>
      </c>
      <c r="Z666">
        <v>6373</v>
      </c>
      <c r="AA666" s="24" t="s">
        <v>3539</v>
      </c>
      <c r="AB666">
        <f>COUNTIF(B:B,bron[[#This Row],[volledige naam]])</f>
        <v>1</v>
      </c>
    </row>
    <row r="667" spans="1:28" x14ac:dyDescent="0.25">
      <c r="A667">
        <v>35645</v>
      </c>
      <c r="B667" t="str">
        <f>_xlfn.CONCAT(bron[[#This Row],[personeelsnr]]," ",bron[[#This Row],[achternaam]]," ",bron[[#This Row],[voornaam]])</f>
        <v>35645 Jalili Yaseeb</v>
      </c>
      <c r="C667" t="str">
        <f>VLOOKUP(bron[[#This Row],[personeelsnr]],'data hastus'!$A:$C,2,0)</f>
        <v>Jalili</v>
      </c>
      <c r="D667" t="str">
        <f>VLOOKUP(bron[[#This Row],[personeelsnr]],'data hastus'!$A:$C,3,0)</f>
        <v>Yaseeb</v>
      </c>
      <c r="E667" t="str">
        <f>VLOOKUP(bron[[#This Row],[personeelsnr]],'data hastus'!A:K,11,FALSE)</f>
        <v>Steven Storm</v>
      </c>
      <c r="F667" s="10"/>
      <c r="G667" s="6"/>
      <c r="H667" s="6"/>
      <c r="I667" s="6"/>
      <c r="J667">
        <v>1</v>
      </c>
      <c r="K667"/>
      <c r="L667"/>
      <c r="M667"/>
      <c r="N667"/>
      <c r="O667"/>
      <c r="P667"/>
      <c r="Q667"/>
      <c r="R667"/>
      <c r="S667">
        <f>SUM(bron[[#This Row],[Januari]:[December]])</f>
        <v>1</v>
      </c>
      <c r="T667" s="3">
        <v>45758</v>
      </c>
      <c r="U667" s="8" t="s">
        <v>1112</v>
      </c>
      <c r="V667" s="8">
        <v>1</v>
      </c>
      <c r="W667" s="8"/>
      <c r="X667" t="s">
        <v>3492</v>
      </c>
      <c r="Y667" t="s">
        <v>8</v>
      </c>
      <c r="Z667">
        <v>5238</v>
      </c>
      <c r="AA667" s="24" t="s">
        <v>3539</v>
      </c>
      <c r="AB667">
        <f>COUNTIF(B:B,bron[[#This Row],[volledige naam]])</f>
        <v>4</v>
      </c>
    </row>
    <row r="668" spans="1:28" x14ac:dyDescent="0.25">
      <c r="A668">
        <v>25733</v>
      </c>
      <c r="B668" t="str">
        <f>_xlfn.CONCAT(bron[[#This Row],[personeelsnr]]," ",bron[[#This Row],[achternaam]]," ",bron[[#This Row],[voornaam]])</f>
        <v>25733 Simsek Abdullah</v>
      </c>
      <c r="C668" t="str">
        <f>VLOOKUP(bron[[#This Row],[personeelsnr]],'data hastus'!$A:$C,2,0)</f>
        <v>Simsek</v>
      </c>
      <c r="D668" t="str">
        <f>VLOOKUP(bron[[#This Row],[personeelsnr]],'data hastus'!$A:$C,3,0)</f>
        <v>Abdullah</v>
      </c>
      <c r="E668" t="str">
        <f>VLOOKUP(bron[[#This Row],[personeelsnr]],'data hastus'!A:K,11,FALSE)</f>
        <v>Els Vanhoe</v>
      </c>
      <c r="F668" s="10"/>
      <c r="G668" s="6"/>
      <c r="H668" s="6"/>
      <c r="I668" s="6"/>
      <c r="J668">
        <v>1</v>
      </c>
      <c r="K668"/>
      <c r="L668"/>
      <c r="M668"/>
      <c r="N668"/>
      <c r="O668"/>
      <c r="P668"/>
      <c r="Q668"/>
      <c r="R668"/>
      <c r="S668">
        <f>SUM(bron[[#This Row],[Januari]:[December]])</f>
        <v>1</v>
      </c>
      <c r="T668" s="3">
        <v>45759</v>
      </c>
      <c r="U668" s="8" t="s">
        <v>1114</v>
      </c>
      <c r="V668" s="8"/>
      <c r="W668" s="8">
        <v>1</v>
      </c>
      <c r="X668" t="s">
        <v>3528</v>
      </c>
      <c r="Y668" t="s">
        <v>114</v>
      </c>
      <c r="Z668">
        <v>6329</v>
      </c>
      <c r="AA668" s="24" t="s">
        <v>3539</v>
      </c>
      <c r="AB668">
        <f>COUNTIF(B:B,bron[[#This Row],[volledige naam]])</f>
        <v>2</v>
      </c>
    </row>
    <row r="669" spans="1:28" x14ac:dyDescent="0.25">
      <c r="A669">
        <v>36820</v>
      </c>
      <c r="B669" t="str">
        <f>_xlfn.CONCAT(bron[[#This Row],[personeelsnr]]," ",bron[[#This Row],[achternaam]]," ",bron[[#This Row],[voornaam]])</f>
        <v>36820 Haché Philip</v>
      </c>
      <c r="C669" t="str">
        <f>VLOOKUP(bron[[#This Row],[personeelsnr]],'data hastus'!$A:$C,2,0)</f>
        <v>Haché</v>
      </c>
      <c r="D669" t="str">
        <f>VLOOKUP(bron[[#This Row],[personeelsnr]],'data hastus'!$A:$C,3,0)</f>
        <v>Philip</v>
      </c>
      <c r="E669" t="str">
        <f>VLOOKUP(bron[[#This Row],[personeelsnr]],'data hastus'!A:K,11,FALSE)</f>
        <v>Steven Storm</v>
      </c>
      <c r="F669" s="10"/>
      <c r="G669" s="6"/>
      <c r="H669" s="6"/>
      <c r="I669" s="6"/>
      <c r="J669">
        <v>1</v>
      </c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45759</v>
      </c>
      <c r="U669" s="8" t="s">
        <v>1115</v>
      </c>
      <c r="V669" s="8">
        <v>1</v>
      </c>
      <c r="W669" s="8"/>
      <c r="X669" t="s">
        <v>3494</v>
      </c>
      <c r="Y669" t="s">
        <v>493</v>
      </c>
      <c r="Z669">
        <v>5229</v>
      </c>
      <c r="AA669" s="24" t="s">
        <v>3539</v>
      </c>
      <c r="AB669">
        <f>COUNTIF(B:B,bron[[#This Row],[volledige naam]])</f>
        <v>1</v>
      </c>
    </row>
    <row r="670" spans="1:28" x14ac:dyDescent="0.25">
      <c r="A670">
        <v>40443</v>
      </c>
      <c r="B670" t="str">
        <f>_xlfn.CONCAT(bron[[#This Row],[personeelsnr]]," ",bron[[#This Row],[achternaam]]," ",bron[[#This Row],[voornaam]])</f>
        <v>40443 Fakash Mahmoud</v>
      </c>
      <c r="C670" t="str">
        <f>VLOOKUP(bron[[#This Row],[personeelsnr]],'data hastus'!$A:$C,2,0)</f>
        <v>Fakash</v>
      </c>
      <c r="D670" t="str">
        <f>VLOOKUP(bron[[#This Row],[personeelsnr]],'data hastus'!$A:$C,3,0)</f>
        <v>Mahmoud</v>
      </c>
      <c r="E670" t="str">
        <f>VLOOKUP(bron[[#This Row],[personeelsnr]],'data hastus'!A:K,11,FALSE)</f>
        <v>Bart Van Der Beken</v>
      </c>
      <c r="F670" s="10"/>
      <c r="G670" s="6"/>
      <c r="H670" s="6"/>
      <c r="I670" s="6"/>
      <c r="J670">
        <v>1</v>
      </c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45762</v>
      </c>
      <c r="U670" s="8" t="s">
        <v>1116</v>
      </c>
      <c r="V670" s="8">
        <v>1</v>
      </c>
      <c r="W670" s="8"/>
      <c r="X670" t="s">
        <v>3493</v>
      </c>
      <c r="Y670" t="s">
        <v>34</v>
      </c>
      <c r="Z670">
        <v>5767</v>
      </c>
      <c r="AA670" s="24" t="s">
        <v>3539</v>
      </c>
      <c r="AB670">
        <f>COUNTIF(B:B,bron[[#This Row],[volledige naam]])</f>
        <v>1</v>
      </c>
    </row>
    <row r="671" spans="1:28" x14ac:dyDescent="0.25">
      <c r="A671">
        <v>23700</v>
      </c>
      <c r="B671" t="str">
        <f>_xlfn.CONCAT(bron[[#This Row],[personeelsnr]]," ",bron[[#This Row],[achternaam]]," ",bron[[#This Row],[voornaam]])</f>
        <v>23700 Byosière Christof</v>
      </c>
      <c r="C671" t="str">
        <f>VLOOKUP(bron[[#This Row],[personeelsnr]],'data hastus'!$A:$C,2,0)</f>
        <v>Byosière</v>
      </c>
      <c r="D671" t="str">
        <f>VLOOKUP(bron[[#This Row],[personeelsnr]],'data hastus'!$A:$C,3,0)</f>
        <v>Christof</v>
      </c>
      <c r="E671" t="str">
        <f>VLOOKUP(bron[[#This Row],[personeelsnr]],'data hastus'!A:K,11,FALSE)</f>
        <v>Dominique De Clercq</v>
      </c>
      <c r="F671" s="10"/>
      <c r="G671" s="6"/>
      <c r="H671" s="6"/>
      <c r="I671" s="6"/>
      <c r="J671">
        <v>1</v>
      </c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45763</v>
      </c>
      <c r="U671" s="8" t="s">
        <v>1287</v>
      </c>
      <c r="V671" s="8">
        <v>1</v>
      </c>
      <c r="W671" s="8"/>
      <c r="X671" t="s">
        <v>3492</v>
      </c>
      <c r="Y671" t="s">
        <v>2</v>
      </c>
      <c r="Z671">
        <v>5235</v>
      </c>
      <c r="AA671" s="24" t="s">
        <v>3540</v>
      </c>
      <c r="AB671">
        <f>COUNTIF(B:B,bron[[#This Row],[volledige naam]])</f>
        <v>2</v>
      </c>
    </row>
    <row r="672" spans="1:28" x14ac:dyDescent="0.25">
      <c r="A672">
        <v>34445</v>
      </c>
      <c r="B672" t="str">
        <f>_xlfn.CONCAT(bron[[#This Row],[personeelsnr]]," ",bron[[#This Row],[achternaam]]," ",bron[[#This Row],[voornaam]])</f>
        <v>34445 Wulleput Illya</v>
      </c>
      <c r="C672" t="str">
        <f>VLOOKUP(bron[[#This Row],[personeelsnr]],'data hastus'!$A:$C,2,0)</f>
        <v>Wulleput</v>
      </c>
      <c r="D672" t="str">
        <f>VLOOKUP(bron[[#This Row],[personeelsnr]],'data hastus'!$A:$C,3,0)</f>
        <v>Illya</v>
      </c>
      <c r="E672" t="str">
        <f>VLOOKUP(bron[[#This Row],[personeelsnr]],'data hastus'!A:K,11,FALSE)</f>
        <v>Dominique De Clercq</v>
      </c>
      <c r="F672" s="10"/>
      <c r="G672" s="6"/>
      <c r="H672" s="6"/>
      <c r="I672" s="6"/>
      <c r="J672">
        <v>1</v>
      </c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45763</v>
      </c>
      <c r="U672" s="8" t="s">
        <v>1117</v>
      </c>
      <c r="V672" s="8"/>
      <c r="W672" s="8">
        <v>1</v>
      </c>
      <c r="X672" t="s">
        <v>3529</v>
      </c>
      <c r="Y672" t="s">
        <v>30</v>
      </c>
      <c r="Z672">
        <v>6357</v>
      </c>
      <c r="AA672" s="24" t="s">
        <v>3539</v>
      </c>
      <c r="AB672">
        <f>COUNTIF(B:B,bron[[#This Row],[volledige naam]])</f>
        <v>5</v>
      </c>
    </row>
    <row r="673" spans="1:28" x14ac:dyDescent="0.25">
      <c r="A673">
        <v>21582</v>
      </c>
      <c r="B673" t="e">
        <f>_xlfn.CONCAT(bron[[#This Row],[personeelsnr]]," ",bron[[#This Row],[achternaam]]," ",bron[[#This Row],[voornaam]])</f>
        <v>#N/A</v>
      </c>
      <c r="C673" t="e">
        <f>VLOOKUP(bron[[#This Row],[personeelsnr]],'data hastus'!$A:$C,2,0)</f>
        <v>#N/A</v>
      </c>
      <c r="D673" t="e">
        <f>VLOOKUP(bron[[#This Row],[personeelsnr]],'data hastus'!$A:$C,3,0)</f>
        <v>#N/A</v>
      </c>
      <c r="E673" t="s">
        <v>62</v>
      </c>
      <c r="F673" s="10"/>
      <c r="G673" s="6"/>
      <c r="H673" s="6"/>
      <c r="I673" s="6"/>
      <c r="J673">
        <v>1</v>
      </c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45765</v>
      </c>
      <c r="U673" s="8" t="s">
        <v>1121</v>
      </c>
      <c r="V673" s="8"/>
      <c r="W673" s="8">
        <v>1</v>
      </c>
      <c r="X673" t="s">
        <v>3528</v>
      </c>
      <c r="Y673" t="s">
        <v>6</v>
      </c>
      <c r="Z673">
        <v>6305</v>
      </c>
      <c r="AA673" s="24" t="s">
        <v>3539</v>
      </c>
      <c r="AB673">
        <f>COUNTIF(B:B,bron[[#This Row],[volledige naam]])</f>
        <v>24</v>
      </c>
    </row>
    <row r="674" spans="1:28" x14ac:dyDescent="0.25">
      <c r="A674">
        <v>37744</v>
      </c>
      <c r="B674" t="str">
        <f>_xlfn.CONCAT(bron[[#This Row],[personeelsnr]]," ",bron[[#This Row],[achternaam]]," ",bron[[#This Row],[voornaam]])</f>
        <v>37744 De Lange Frank</v>
      </c>
      <c r="C674" t="str">
        <f>VLOOKUP(bron[[#This Row],[personeelsnr]],'data hastus'!$A:$C,2,0)</f>
        <v>De Lange</v>
      </c>
      <c r="D674" t="str">
        <f>VLOOKUP(bron[[#This Row],[personeelsnr]],'data hastus'!$A:$C,3,0)</f>
        <v>Frank</v>
      </c>
      <c r="E674" t="str">
        <f>VLOOKUP(bron[[#This Row],[personeelsnr]],'data hastus'!A:K,11,FALSE)</f>
        <v>Dominique De Clercq</v>
      </c>
      <c r="F674" s="10"/>
      <c r="G674" s="6"/>
      <c r="H674" s="6"/>
      <c r="I674" s="6"/>
      <c r="J674">
        <v>1</v>
      </c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45765</v>
      </c>
      <c r="U674" s="8" t="s">
        <v>1118</v>
      </c>
      <c r="V674" s="8">
        <v>1</v>
      </c>
      <c r="W674" s="8"/>
      <c r="X674" t="s">
        <v>3492</v>
      </c>
      <c r="Y674" t="s">
        <v>69</v>
      </c>
      <c r="Z674">
        <v>5325</v>
      </c>
      <c r="AA674" s="24" t="s">
        <v>3539</v>
      </c>
      <c r="AB674">
        <f>COUNTIF(B:B,bron[[#This Row],[volledige naam]])</f>
        <v>1</v>
      </c>
    </row>
    <row r="675" spans="1:28" x14ac:dyDescent="0.25">
      <c r="A675">
        <v>38938</v>
      </c>
      <c r="B675" t="str">
        <f>_xlfn.CONCAT(bron[[#This Row],[personeelsnr]]," ",bron[[#This Row],[achternaam]]," ",bron[[#This Row],[voornaam]])</f>
        <v>38938 Sedighi Hamid</v>
      </c>
      <c r="C675" t="str">
        <f>VLOOKUP(bron[[#This Row],[personeelsnr]],'data hastus'!$A:$C,2,0)</f>
        <v>Sedighi</v>
      </c>
      <c r="D675" t="str">
        <f>VLOOKUP(bron[[#This Row],[personeelsnr]],'data hastus'!$A:$C,3,0)</f>
        <v>Hamid</v>
      </c>
      <c r="E675" t="str">
        <f>VLOOKUP(bron[[#This Row],[personeelsnr]],'data hastus'!A:K,11,FALSE)</f>
        <v>Lucie Vande Velde</v>
      </c>
      <c r="F675" s="10"/>
      <c r="G675" s="6"/>
      <c r="H675" s="6"/>
      <c r="I675" s="6"/>
      <c r="J675">
        <v>1</v>
      </c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45765</v>
      </c>
      <c r="U675" s="8" t="s">
        <v>1120</v>
      </c>
      <c r="V675" s="8"/>
      <c r="W675" s="8">
        <v>1</v>
      </c>
      <c r="X675" t="s">
        <v>3528</v>
      </c>
      <c r="Y675" t="s">
        <v>71</v>
      </c>
      <c r="Z675">
        <v>6339</v>
      </c>
      <c r="AA675" s="24" t="s">
        <v>3539</v>
      </c>
      <c r="AB675">
        <f>COUNTIF(B:B,bron[[#This Row],[volledige naam]])</f>
        <v>7</v>
      </c>
    </row>
    <row r="676" spans="1:28" x14ac:dyDescent="0.25">
      <c r="A676">
        <v>41230</v>
      </c>
      <c r="B676" t="str">
        <f>_xlfn.CONCAT(bron[[#This Row],[personeelsnr]]," ",bron[[#This Row],[achternaam]]," ",bron[[#This Row],[voornaam]])</f>
        <v>41230 De Witte Bart</v>
      </c>
      <c r="C676" t="str">
        <f>VLOOKUP(bron[[#This Row],[personeelsnr]],'data hastus'!$A:$C,2,0)</f>
        <v>De Witte</v>
      </c>
      <c r="D676" t="str">
        <f>VLOOKUP(bron[[#This Row],[personeelsnr]],'data hastus'!$A:$C,3,0)</f>
        <v>Bart</v>
      </c>
      <c r="E676" t="str">
        <f>VLOOKUP(bron[[#This Row],[personeelsnr]],'data hastus'!A:K,11,FALSE)</f>
        <v>Dominique De Clercq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45765</v>
      </c>
      <c r="U676" s="8" t="s">
        <v>1119</v>
      </c>
      <c r="V676" s="8">
        <v>1</v>
      </c>
      <c r="W676" s="8"/>
      <c r="X676" t="s">
        <v>3493</v>
      </c>
      <c r="Y676" t="s">
        <v>112</v>
      </c>
      <c r="Z676">
        <v>5910</v>
      </c>
      <c r="AA676" s="24" t="s">
        <v>3539</v>
      </c>
      <c r="AB676">
        <f>COUNTIF(B:B,bron[[#This Row],[volledige naam]])</f>
        <v>2</v>
      </c>
    </row>
    <row r="677" spans="1:28" x14ac:dyDescent="0.25">
      <c r="A677">
        <v>32245</v>
      </c>
      <c r="B677" t="str">
        <f>_xlfn.CONCAT(bron[[#This Row],[personeelsnr]]," ",bron[[#This Row],[achternaam]]," ",bron[[#This Row],[voornaam]])</f>
        <v>32245 Verlinden Bianca</v>
      </c>
      <c r="C677" t="str">
        <f>VLOOKUP(bron[[#This Row],[personeelsnr]],'data hastus'!$A:$C,2,0)</f>
        <v>Verlinden</v>
      </c>
      <c r="D677" t="str">
        <f>VLOOKUP(bron[[#This Row],[personeelsnr]],'data hastus'!$A:$C,3,0)</f>
        <v>Bianca</v>
      </c>
      <c r="E677" t="str">
        <f>VLOOKUP(bron[[#This Row],[personeelsnr]],'data hastus'!A:K,11,FALSE)</f>
        <v>Els Vanhoe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45766</v>
      </c>
      <c r="U677" s="8" t="s">
        <v>1124</v>
      </c>
      <c r="V677" s="8">
        <v>1</v>
      </c>
      <c r="W677" s="8"/>
      <c r="X677" t="s">
        <v>3493</v>
      </c>
      <c r="Y677" t="s">
        <v>8</v>
      </c>
      <c r="Z677">
        <v>5918</v>
      </c>
      <c r="AA677" s="24" t="s">
        <v>3539</v>
      </c>
      <c r="AB677">
        <f>COUNTIF(B:B,bron[[#This Row],[volledige naam]])</f>
        <v>1</v>
      </c>
    </row>
    <row r="678" spans="1:28" x14ac:dyDescent="0.25">
      <c r="A678">
        <v>40110</v>
      </c>
      <c r="B678" t="str">
        <f>_xlfn.CONCAT(bron[[#This Row],[personeelsnr]]," ",bron[[#This Row],[achternaam]]," ",bron[[#This Row],[voornaam]])</f>
        <v>40110 Vanlerberghe Sandra</v>
      </c>
      <c r="C678" t="str">
        <f>VLOOKUP(bron[[#This Row],[personeelsnr]],'data hastus'!$A:$C,2,0)</f>
        <v>Vanlerberghe</v>
      </c>
      <c r="D678" t="str">
        <f>VLOOKUP(bron[[#This Row],[personeelsnr]],'data hastus'!$A:$C,3,0)</f>
        <v>Sandra</v>
      </c>
      <c r="E678" t="str">
        <f>VLOOKUP(bron[[#This Row],[personeelsnr]],'data hastus'!A:K,11,FALSE)</f>
        <v>Christoff Rotty</v>
      </c>
      <c r="F678" s="10"/>
      <c r="G678" s="6"/>
      <c r="H678" s="6"/>
      <c r="I678" s="6"/>
      <c r="J678">
        <v>1</v>
      </c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45766</v>
      </c>
      <c r="U678" s="8" t="s">
        <v>1122</v>
      </c>
      <c r="V678" s="8">
        <v>1</v>
      </c>
      <c r="W678" s="8"/>
      <c r="X678" t="s">
        <v>3492</v>
      </c>
      <c r="Y678" t="s">
        <v>158</v>
      </c>
      <c r="Z678">
        <v>2197</v>
      </c>
      <c r="AA678" s="24" t="s">
        <v>3539</v>
      </c>
      <c r="AB678">
        <f>COUNTIF(B:B,bron[[#This Row],[volledige naam]])</f>
        <v>7</v>
      </c>
    </row>
    <row r="679" spans="1:28" x14ac:dyDescent="0.25">
      <c r="A679">
        <v>41520</v>
      </c>
      <c r="B679" t="str">
        <f>_xlfn.CONCAT(bron[[#This Row],[personeelsnr]]," ",bron[[#This Row],[achternaam]]," ",bron[[#This Row],[voornaam]])</f>
        <v>41520 Smets Avery</v>
      </c>
      <c r="C679" t="str">
        <f>VLOOKUP(bron[[#This Row],[personeelsnr]],'data hastus'!$A:$C,2,0)</f>
        <v>Smets</v>
      </c>
      <c r="D679" t="str">
        <f>VLOOKUP(bron[[#This Row],[personeelsnr]],'data hastus'!$A:$C,3,0)</f>
        <v>Avery</v>
      </c>
      <c r="E679" t="str">
        <f>VLOOKUP(bron[[#This Row],[personeelsnr]],'data hastus'!A:K,11,FALSE)</f>
        <v>Christoff Rotty</v>
      </c>
      <c r="F679" s="10"/>
      <c r="G679" s="6"/>
      <c r="H679" s="6"/>
      <c r="I679" s="6"/>
      <c r="J679">
        <v>1</v>
      </c>
      <c r="K679"/>
      <c r="L679"/>
      <c r="M679"/>
      <c r="N679"/>
      <c r="O679"/>
      <c r="P679"/>
      <c r="Q679"/>
      <c r="R679"/>
      <c r="S679">
        <f>SUM(bron[[#This Row],[Januari]:[December]])</f>
        <v>1</v>
      </c>
      <c r="T679" s="3">
        <v>45766</v>
      </c>
      <c r="U679" s="8" t="s">
        <v>1123</v>
      </c>
      <c r="V679" s="8">
        <v>1</v>
      </c>
      <c r="W679" s="8"/>
      <c r="X679" t="s">
        <v>3493</v>
      </c>
      <c r="Y679" t="s">
        <v>248</v>
      </c>
      <c r="Z679">
        <v>5919</v>
      </c>
      <c r="AA679" s="24" t="s">
        <v>3539</v>
      </c>
      <c r="AB679">
        <f>COUNTIF(B:B,bron[[#This Row],[volledige naam]])</f>
        <v>3</v>
      </c>
    </row>
    <row r="680" spans="1:28" x14ac:dyDescent="0.25">
      <c r="A680">
        <v>40478</v>
      </c>
      <c r="B680" t="str">
        <f>_xlfn.CONCAT(bron[[#This Row],[personeelsnr]]," ",bron[[#This Row],[achternaam]]," ",bron[[#This Row],[voornaam]])</f>
        <v>40478 Hashimi Ali Mir</v>
      </c>
      <c r="C680" t="str">
        <f>VLOOKUP(bron[[#This Row],[personeelsnr]],'data hastus'!$A:$C,2,0)</f>
        <v>Hashimi</v>
      </c>
      <c r="D680" t="str">
        <f>VLOOKUP(bron[[#This Row],[personeelsnr]],'data hastus'!$A:$C,3,0)</f>
        <v>Ali Mir</v>
      </c>
      <c r="E680" t="str">
        <f>VLOOKUP(bron[[#This Row],[personeelsnr]],'data hastus'!A:K,11,FALSE)</f>
        <v>Bart Van Der Beken</v>
      </c>
      <c r="F680" s="10"/>
      <c r="G680" s="6"/>
      <c r="H680" s="6"/>
      <c r="I680" s="6"/>
      <c r="J680">
        <v>1</v>
      </c>
      <c r="K680"/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45769</v>
      </c>
      <c r="U680" s="8" t="s">
        <v>1125</v>
      </c>
      <c r="V680" s="8">
        <v>1</v>
      </c>
      <c r="W680" s="8"/>
      <c r="X680" t="s">
        <v>3493</v>
      </c>
      <c r="Y680" t="s">
        <v>225</v>
      </c>
      <c r="Z680">
        <v>5772</v>
      </c>
      <c r="AA680" s="24" t="s">
        <v>3539</v>
      </c>
      <c r="AB680">
        <f>COUNTIF(B:B,bron[[#This Row],[volledige naam]])</f>
        <v>4</v>
      </c>
    </row>
    <row r="681" spans="1:28" x14ac:dyDescent="0.25">
      <c r="A681">
        <v>41588</v>
      </c>
      <c r="B681" t="str">
        <f>_xlfn.CONCAT(bron[[#This Row],[personeelsnr]]," ",bron[[#This Row],[achternaam]]," ",bron[[#This Row],[voornaam]])</f>
        <v>41588 Naessens Yves</v>
      </c>
      <c r="C681" t="str">
        <f>VLOOKUP(bron[[#This Row],[personeelsnr]],'data hastus'!$A:$C,2,0)</f>
        <v>Naessens</v>
      </c>
      <c r="D681" t="str">
        <f>VLOOKUP(bron[[#This Row],[personeelsnr]],'data hastus'!$A:$C,3,0)</f>
        <v>Yves</v>
      </c>
      <c r="E681" t="str">
        <f>VLOOKUP(bron[[#This Row],[personeelsnr]],'data hastus'!A:K,11,FALSE)</f>
        <v>Kenneth De Rick</v>
      </c>
      <c r="F681" s="10"/>
      <c r="G681" s="6"/>
      <c r="H681" s="6"/>
      <c r="I681" s="6"/>
      <c r="J681">
        <v>1</v>
      </c>
      <c r="K681"/>
      <c r="L681"/>
      <c r="M681"/>
      <c r="N681"/>
      <c r="O681"/>
      <c r="P681"/>
      <c r="Q681"/>
      <c r="R681"/>
      <c r="S681">
        <f>SUM(bron[[#This Row],[Januari]:[December]])</f>
        <v>1</v>
      </c>
      <c r="T681" s="3">
        <v>45769</v>
      </c>
      <c r="U681" s="8" t="s">
        <v>1126</v>
      </c>
      <c r="V681" s="8">
        <v>1</v>
      </c>
      <c r="W681" s="8"/>
      <c r="X681" t="s">
        <v>3493</v>
      </c>
      <c r="Y681" t="s">
        <v>164</v>
      </c>
      <c r="Z681">
        <v>7897</v>
      </c>
      <c r="AA681" s="24" t="s">
        <v>3539</v>
      </c>
      <c r="AB681">
        <f>COUNTIF(B:B,bron[[#This Row],[volledige naam]])</f>
        <v>2</v>
      </c>
    </row>
    <row r="682" spans="1:28" x14ac:dyDescent="0.25">
      <c r="A682">
        <v>36512</v>
      </c>
      <c r="B682" t="str">
        <f>_xlfn.CONCAT(bron[[#This Row],[personeelsnr]]," ",bron[[#This Row],[achternaam]]," ",bron[[#This Row],[voornaam]])</f>
        <v>36512 Van Herreweghe Branco</v>
      </c>
      <c r="C682" t="str">
        <f>VLOOKUP(bron[[#This Row],[personeelsnr]],'data hastus'!$A:$C,2,0)</f>
        <v>Van Herreweghe</v>
      </c>
      <c r="D682" t="str">
        <f>VLOOKUP(bron[[#This Row],[personeelsnr]],'data hastus'!$A:$C,3,0)</f>
        <v>Branco</v>
      </c>
      <c r="E682" t="str">
        <f>VLOOKUP(bron[[#This Row],[personeelsnr]],'data hastus'!A:K,11,FALSE)</f>
        <v>Steven Storm</v>
      </c>
      <c r="F682" s="10"/>
      <c r="G682" s="7"/>
      <c r="H682" s="7"/>
      <c r="I682" s="7"/>
      <c r="J682" s="5">
        <v>1</v>
      </c>
      <c r="K682" s="5"/>
      <c r="L682" s="5"/>
      <c r="M682" s="5"/>
      <c r="N682" s="5"/>
      <c r="O682" s="5"/>
      <c r="P682" s="5"/>
      <c r="Q682" s="5"/>
      <c r="R682" s="5"/>
      <c r="S682" s="5">
        <f>SUM(bron[[#This Row],[Januari]:[December]])</f>
        <v>1</v>
      </c>
      <c r="T682" s="9">
        <v>45770</v>
      </c>
      <c r="U682" s="8" t="s">
        <v>1128</v>
      </c>
      <c r="V682" s="22"/>
      <c r="W682" s="22">
        <v>1</v>
      </c>
      <c r="X682" t="s">
        <v>3528</v>
      </c>
      <c r="Y682" t="s">
        <v>20</v>
      </c>
      <c r="Z682">
        <v>6313</v>
      </c>
      <c r="AA682" s="24" t="s">
        <v>3539</v>
      </c>
      <c r="AB682">
        <f>COUNTIF(B:B,bron[[#This Row],[volledige naam]])</f>
        <v>3</v>
      </c>
    </row>
    <row r="683" spans="1:28" x14ac:dyDescent="0.25">
      <c r="A683">
        <v>37132</v>
      </c>
      <c r="B683" t="str">
        <f>_xlfn.CONCAT(bron[[#This Row],[personeelsnr]]," ",bron[[#This Row],[achternaam]]," ",bron[[#This Row],[voornaam]])</f>
        <v>37132 Dacic Esmir</v>
      </c>
      <c r="C683" t="str">
        <f>VLOOKUP(bron[[#This Row],[personeelsnr]],'data hastus'!$A:$C,2,0)</f>
        <v>Dacic</v>
      </c>
      <c r="D683" t="str">
        <f>VLOOKUP(bron[[#This Row],[personeelsnr]],'data hastus'!$A:$C,3,0)</f>
        <v>Esmir</v>
      </c>
      <c r="E683" t="str">
        <f>VLOOKUP(bron[[#This Row],[personeelsnr]],'data hastus'!A:K,11,FALSE)</f>
        <v>Dominique De Clercq</v>
      </c>
      <c r="F683" s="10"/>
      <c r="G683" s="6"/>
      <c r="H683" s="6"/>
      <c r="I683" s="6"/>
      <c r="J683">
        <v>1</v>
      </c>
      <c r="K683"/>
      <c r="L683"/>
      <c r="M683"/>
      <c r="N683"/>
      <c r="O683"/>
      <c r="P683"/>
      <c r="Q683"/>
      <c r="R683"/>
      <c r="S683">
        <f>SUM(bron[[#This Row],[Januari]:[December]])</f>
        <v>1</v>
      </c>
      <c r="T683" s="3">
        <v>45770</v>
      </c>
      <c r="U683" s="8" t="s">
        <v>1127</v>
      </c>
      <c r="V683" s="8"/>
      <c r="W683" s="8">
        <v>1</v>
      </c>
      <c r="X683" t="s">
        <v>3528</v>
      </c>
      <c r="Y683" t="s">
        <v>258</v>
      </c>
      <c r="Z683">
        <v>6320</v>
      </c>
      <c r="AA683" s="24" t="s">
        <v>3539</v>
      </c>
      <c r="AB683">
        <f>COUNTIF(B:B,bron[[#This Row],[volledige naam]])</f>
        <v>2</v>
      </c>
    </row>
    <row r="684" spans="1:28" x14ac:dyDescent="0.25">
      <c r="A684">
        <v>9999</v>
      </c>
      <c r="B684" t="e">
        <f>_xlfn.CONCAT(bron[[#This Row],[personeelsnr]]," ",bron[[#This Row],[achternaam]]," ",bron[[#This Row],[voornaam]])</f>
        <v>#N/A</v>
      </c>
      <c r="C684" t="e">
        <f>VLOOKUP(bron[[#This Row],[personeelsnr]],'data hastus'!$A:$C,2,0)</f>
        <v>#N/A</v>
      </c>
      <c r="D684" t="e">
        <f>VLOOKUP(bron[[#This Row],[personeelsnr]],'data hastus'!$A:$C,3,0)</f>
        <v>#N/A</v>
      </c>
      <c r="E684" t="s">
        <v>62</v>
      </c>
      <c r="F684" s="10"/>
      <c r="G684" s="6"/>
      <c r="H684" s="6"/>
      <c r="I684" s="6"/>
      <c r="J684">
        <v>1</v>
      </c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45771</v>
      </c>
      <c r="U684" s="8" t="s">
        <v>1131</v>
      </c>
      <c r="V684" s="8">
        <v>1</v>
      </c>
      <c r="W684" s="8"/>
      <c r="X684" t="s">
        <v>3493</v>
      </c>
      <c r="Y684" t="s">
        <v>2</v>
      </c>
      <c r="Z684">
        <v>8232</v>
      </c>
      <c r="AA684" s="24" t="s">
        <v>3539</v>
      </c>
      <c r="AB684">
        <f>COUNTIF(B:B,bron[[#This Row],[volledige naam]])</f>
        <v>24</v>
      </c>
    </row>
    <row r="685" spans="1:28" x14ac:dyDescent="0.25">
      <c r="A685">
        <v>33965</v>
      </c>
      <c r="B685" t="str">
        <f>_xlfn.CONCAT(bron[[#This Row],[personeelsnr]]," ",bron[[#This Row],[achternaam]]," ",bron[[#This Row],[voornaam]])</f>
        <v>33965 Van de Gehuchte Gilles</v>
      </c>
      <c r="C685" t="str">
        <f>VLOOKUP(bron[[#This Row],[personeelsnr]],'data hastus'!$A:$C,2,0)</f>
        <v>Van de Gehuchte</v>
      </c>
      <c r="D685" t="str">
        <f>VLOOKUP(bron[[#This Row],[personeelsnr]],'data hastus'!$A:$C,3,0)</f>
        <v>Gilles</v>
      </c>
      <c r="E685" t="str">
        <f>VLOOKUP(bron[[#This Row],[personeelsnr]],'data hastus'!A:K,11,FALSE)</f>
        <v>Kenneth De Rick</v>
      </c>
      <c r="F685" s="10"/>
      <c r="G685" s="6"/>
      <c r="H685" s="6"/>
      <c r="I685" s="6"/>
      <c r="J685">
        <v>1</v>
      </c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45771</v>
      </c>
      <c r="U685" s="8" t="s">
        <v>1130</v>
      </c>
      <c r="V685" s="8">
        <v>1</v>
      </c>
      <c r="W685" s="8"/>
      <c r="X685" t="s">
        <v>3493</v>
      </c>
      <c r="Y685" t="s">
        <v>49</v>
      </c>
      <c r="Z685">
        <v>5917</v>
      </c>
      <c r="AA685" s="24" t="s">
        <v>3539</v>
      </c>
      <c r="AB685">
        <f>COUNTIF(B:B,bron[[#This Row],[volledige naam]])</f>
        <v>10</v>
      </c>
    </row>
    <row r="686" spans="1:28" x14ac:dyDescent="0.25">
      <c r="A686">
        <v>38475</v>
      </c>
      <c r="B686" t="str">
        <f>_xlfn.CONCAT(bron[[#This Row],[personeelsnr]]," ",bron[[#This Row],[achternaam]]," ",bron[[#This Row],[voornaam]])</f>
        <v>38475 Verschraegen Katleen</v>
      </c>
      <c r="C686" t="str">
        <f>VLOOKUP(bron[[#This Row],[personeelsnr]],'data hastus'!$A:$C,2,0)</f>
        <v>Verschraegen</v>
      </c>
      <c r="D686" t="str">
        <f>VLOOKUP(bron[[#This Row],[personeelsnr]],'data hastus'!$A:$C,3,0)</f>
        <v>Katleen</v>
      </c>
      <c r="E686" t="str">
        <f>VLOOKUP(bron[[#This Row],[personeelsnr]],'data hastus'!A:K,11,FALSE)</f>
        <v>Els Dewulf</v>
      </c>
      <c r="F686" s="10"/>
      <c r="G686" s="6"/>
      <c r="H686" s="6"/>
      <c r="I686" s="6"/>
      <c r="J686">
        <v>1</v>
      </c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45771</v>
      </c>
      <c r="U686" s="8" t="s">
        <v>1129</v>
      </c>
      <c r="V686" s="8">
        <v>1</v>
      </c>
      <c r="W686" s="8"/>
      <c r="X686" t="s">
        <v>3493</v>
      </c>
      <c r="Y686" t="s">
        <v>178</v>
      </c>
      <c r="Z686">
        <v>5933</v>
      </c>
      <c r="AA686" s="24" t="s">
        <v>3539</v>
      </c>
      <c r="AB686">
        <f>COUNTIF(B:B,bron[[#This Row],[volledige naam]])</f>
        <v>4</v>
      </c>
    </row>
    <row r="687" spans="1:28" x14ac:dyDescent="0.25">
      <c r="A687">
        <v>32002</v>
      </c>
      <c r="B687" t="str">
        <f>_xlfn.CONCAT(bron[[#This Row],[personeelsnr]]," ",bron[[#This Row],[achternaam]]," ",bron[[#This Row],[voornaam]])</f>
        <v>32002 Hasni Helmi</v>
      </c>
      <c r="C687" t="str">
        <f>VLOOKUP(bron[[#This Row],[personeelsnr]],'data hastus'!$A:$C,2,0)</f>
        <v>Hasni</v>
      </c>
      <c r="D687" t="str">
        <f>VLOOKUP(bron[[#This Row],[personeelsnr]],'data hastus'!$A:$C,3,0)</f>
        <v>Helmi</v>
      </c>
      <c r="E687" t="str">
        <f>VLOOKUP(bron[[#This Row],[personeelsnr]],'data hastus'!A:K,11,FALSE)</f>
        <v>Steven Storm</v>
      </c>
      <c r="F687" s="10"/>
      <c r="G687" s="6"/>
      <c r="H687" s="6"/>
      <c r="I687" s="6"/>
      <c r="J687">
        <v>1</v>
      </c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45773</v>
      </c>
      <c r="U687" s="8" t="s">
        <v>1316</v>
      </c>
      <c r="V687" s="8"/>
      <c r="W687" s="8">
        <v>1</v>
      </c>
      <c r="X687" t="s">
        <v>3529</v>
      </c>
      <c r="Y687" t="s">
        <v>2</v>
      </c>
      <c r="Z687">
        <v>6372</v>
      </c>
      <c r="AA687" s="24" t="s">
        <v>3540</v>
      </c>
      <c r="AB687">
        <f>COUNTIF(B:B,bron[[#This Row],[volledige naam]])</f>
        <v>2</v>
      </c>
    </row>
    <row r="688" spans="1:28" x14ac:dyDescent="0.25">
      <c r="A688">
        <v>33085</v>
      </c>
      <c r="B688" t="str">
        <f>_xlfn.CONCAT(bron[[#This Row],[personeelsnr]]," ",bron[[#This Row],[achternaam]]," ",bron[[#This Row],[voornaam]])</f>
        <v>33085 Van Hoe Ivo</v>
      </c>
      <c r="C688" t="str">
        <f>VLOOKUP(bron[[#This Row],[personeelsnr]],'data hastus'!$A:$C,2,0)</f>
        <v>Van Hoe</v>
      </c>
      <c r="D688" t="str">
        <f>VLOOKUP(bron[[#This Row],[personeelsnr]],'data hastus'!$A:$C,3,0)</f>
        <v>Ivo</v>
      </c>
      <c r="E688" t="str">
        <f>VLOOKUP(bron[[#This Row],[personeelsnr]],'data hastus'!A:K,11,FALSE)</f>
        <v>Kenneth De Rick</v>
      </c>
      <c r="F688" s="10"/>
      <c r="G688" s="6"/>
      <c r="H688" s="6"/>
      <c r="I688" s="6"/>
      <c r="J688">
        <v>1</v>
      </c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45773</v>
      </c>
      <c r="U688" s="8" t="s">
        <v>1132</v>
      </c>
      <c r="V688" s="8">
        <v>1</v>
      </c>
      <c r="W688" s="8"/>
      <c r="X688" t="s">
        <v>3494</v>
      </c>
      <c r="Y688" t="s">
        <v>120</v>
      </c>
      <c r="Z688">
        <v>2198</v>
      </c>
      <c r="AA688" s="24" t="s">
        <v>3539</v>
      </c>
      <c r="AB688">
        <f>COUNTIF(B:B,bron[[#This Row],[volledige naam]])</f>
        <v>2</v>
      </c>
    </row>
    <row r="689" spans="1:28" x14ac:dyDescent="0.25">
      <c r="A689">
        <v>38475</v>
      </c>
      <c r="B689" t="str">
        <f>_xlfn.CONCAT(bron[[#This Row],[personeelsnr]]," ",bron[[#This Row],[achternaam]]," ",bron[[#This Row],[voornaam]])</f>
        <v>38475 Verschraegen Katleen</v>
      </c>
      <c r="C689" t="str">
        <f>VLOOKUP(bron[[#This Row],[personeelsnr]],'data hastus'!$A:$C,2,0)</f>
        <v>Verschraegen</v>
      </c>
      <c r="D689" t="str">
        <f>VLOOKUP(bron[[#This Row],[personeelsnr]],'data hastus'!$A:$C,3,0)</f>
        <v>Katleen</v>
      </c>
      <c r="E689" t="str">
        <f>VLOOKUP(bron[[#This Row],[personeelsnr]],'data hastus'!A:K,11,FALSE)</f>
        <v>Els Dewulf</v>
      </c>
      <c r="F689" s="10"/>
      <c r="G689" s="6"/>
      <c r="H689" s="6"/>
      <c r="I689" s="6"/>
      <c r="J689">
        <v>1</v>
      </c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>
        <v>45775</v>
      </c>
      <c r="U689" s="8" t="s">
        <v>1135</v>
      </c>
      <c r="V689" s="8">
        <v>1</v>
      </c>
      <c r="W689" s="8"/>
      <c r="X689" t="s">
        <v>3493</v>
      </c>
      <c r="Y689" t="s">
        <v>67</v>
      </c>
      <c r="Z689">
        <v>5930</v>
      </c>
      <c r="AA689" s="24" t="s">
        <v>3539</v>
      </c>
      <c r="AB689">
        <f>COUNTIF(B:B,bron[[#This Row],[volledige naam]])</f>
        <v>4</v>
      </c>
    </row>
    <row r="690" spans="1:28" x14ac:dyDescent="0.25">
      <c r="A690">
        <v>40134</v>
      </c>
      <c r="B690" t="str">
        <f>_xlfn.CONCAT(bron[[#This Row],[personeelsnr]]," ",bron[[#This Row],[achternaam]]," ",bron[[#This Row],[voornaam]])</f>
        <v>40134 Cardon Sharon</v>
      </c>
      <c r="C690" t="str">
        <f>VLOOKUP(bron[[#This Row],[personeelsnr]],'data hastus'!$A:$C,2,0)</f>
        <v>Cardon</v>
      </c>
      <c r="D690" t="str">
        <f>VLOOKUP(bron[[#This Row],[personeelsnr]],'data hastus'!$A:$C,3,0)</f>
        <v>Sharon</v>
      </c>
      <c r="E690" t="str">
        <f>VLOOKUP(bron[[#This Row],[personeelsnr]],'data hastus'!A:K,11,FALSE)</f>
        <v>Dominique De Clercq</v>
      </c>
      <c r="F690" s="10"/>
      <c r="G690" s="6"/>
      <c r="H690" s="6"/>
      <c r="I690" s="6"/>
      <c r="J690">
        <v>1</v>
      </c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45775</v>
      </c>
      <c r="U690" s="8" t="s">
        <v>1134</v>
      </c>
      <c r="V690" s="8">
        <v>1</v>
      </c>
      <c r="W690" s="8"/>
      <c r="X690" t="s">
        <v>3493</v>
      </c>
      <c r="Y690" t="s">
        <v>160</v>
      </c>
      <c r="Z690">
        <v>5770</v>
      </c>
      <c r="AA690" s="24" t="s">
        <v>3539</v>
      </c>
      <c r="AB690">
        <f>COUNTIF(B:B,bron[[#This Row],[volledige naam]])</f>
        <v>4</v>
      </c>
    </row>
    <row r="691" spans="1:28" x14ac:dyDescent="0.25">
      <c r="A691">
        <v>40591</v>
      </c>
      <c r="B691" t="str">
        <f>_xlfn.CONCAT(bron[[#This Row],[personeelsnr]]," ",bron[[#This Row],[achternaam]]," ",bron[[#This Row],[voornaam]])</f>
        <v>40591 Hiloui Mahmoud</v>
      </c>
      <c r="C691" t="str">
        <f>VLOOKUP(bron[[#This Row],[personeelsnr]],'data hastus'!$A:$C,2,0)</f>
        <v>Hiloui</v>
      </c>
      <c r="D691" t="str">
        <f>VLOOKUP(bron[[#This Row],[personeelsnr]],'data hastus'!$A:$C,3,0)</f>
        <v>Mahmoud</v>
      </c>
      <c r="E691" t="str">
        <f>VLOOKUP(bron[[#This Row],[personeelsnr]],'data hastus'!A:K,11,FALSE)</f>
        <v>Dominique De Clercq</v>
      </c>
      <c r="F691" s="10"/>
      <c r="G691" s="6"/>
      <c r="H691" s="6"/>
      <c r="I691" s="6"/>
      <c r="J691">
        <v>1</v>
      </c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45775</v>
      </c>
      <c r="U691" s="8" t="s">
        <v>1133</v>
      </c>
      <c r="V691" s="8">
        <v>1</v>
      </c>
      <c r="W691" s="8"/>
      <c r="X691" t="s">
        <v>3494</v>
      </c>
      <c r="Y691" t="s">
        <v>138</v>
      </c>
      <c r="Z691">
        <v>2208</v>
      </c>
      <c r="AA691" s="24" t="s">
        <v>3539</v>
      </c>
      <c r="AB691">
        <f>COUNTIF(B:B,bron[[#This Row],[volledige naam]])</f>
        <v>2</v>
      </c>
    </row>
    <row r="692" spans="1:28" x14ac:dyDescent="0.25">
      <c r="A692">
        <v>24155</v>
      </c>
      <c r="B692" t="str">
        <f>_xlfn.CONCAT(bron[[#This Row],[personeelsnr]]," ",bron[[#This Row],[achternaam]]," ",bron[[#This Row],[voornaam]])</f>
        <v>24155 Luttens Koen</v>
      </c>
      <c r="C692" t="str">
        <f>VLOOKUP(bron[[#This Row],[personeelsnr]],'data hastus'!$A:$C,2,0)</f>
        <v>Luttens</v>
      </c>
      <c r="D692" t="str">
        <f>VLOOKUP(bron[[#This Row],[personeelsnr]],'data hastus'!$A:$C,3,0)</f>
        <v>Koen</v>
      </c>
      <c r="E692" t="str">
        <f>VLOOKUP(bron[[#This Row],[personeelsnr]],'data hastus'!A:K,11,FALSE)</f>
        <v>Els Vanhoe</v>
      </c>
      <c r="F692" s="10"/>
      <c r="G692" s="6"/>
      <c r="H692" s="6"/>
      <c r="I692" s="6"/>
      <c r="J692">
        <v>1</v>
      </c>
      <c r="K692"/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45776</v>
      </c>
      <c r="U692" s="8" t="s">
        <v>1136</v>
      </c>
      <c r="V692" s="8"/>
      <c r="W692" s="8">
        <v>1</v>
      </c>
      <c r="X692" t="s">
        <v>3529</v>
      </c>
      <c r="Y692" t="s">
        <v>203</v>
      </c>
      <c r="Z692">
        <v>6368</v>
      </c>
      <c r="AA692" s="24" t="s">
        <v>3539</v>
      </c>
      <c r="AB692">
        <f>COUNTIF(B:B,bron[[#This Row],[volledige naam]])</f>
        <v>1</v>
      </c>
    </row>
    <row r="693" spans="1:28" x14ac:dyDescent="0.25">
      <c r="A693">
        <v>37908</v>
      </c>
      <c r="B693" t="str">
        <f>_xlfn.CONCAT(bron[[#This Row],[personeelsnr]]," ",bron[[#This Row],[achternaam]]," ",bron[[#This Row],[voornaam]])</f>
        <v>37908 Vandenberghe Michael</v>
      </c>
      <c r="C693" t="str">
        <f>VLOOKUP(bron[[#This Row],[personeelsnr]],'data hastus'!$A:$C,2,0)</f>
        <v>Vandenberghe</v>
      </c>
      <c r="D693" t="str">
        <f>VLOOKUP(bron[[#This Row],[personeelsnr]],'data hastus'!$A:$C,3,0)</f>
        <v>Michael</v>
      </c>
      <c r="E693" t="str">
        <f>VLOOKUP(bron[[#This Row],[personeelsnr]],'data hastus'!A:K,11,FALSE)</f>
        <v>Steven Storm</v>
      </c>
      <c r="F693" s="10"/>
      <c r="G693" s="6"/>
      <c r="H693" s="6"/>
      <c r="I693" s="6"/>
      <c r="J693" s="11">
        <v>1</v>
      </c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45777</v>
      </c>
      <c r="U693" s="8" t="s">
        <v>1138</v>
      </c>
      <c r="V693" s="8">
        <v>1</v>
      </c>
      <c r="W693" s="8"/>
      <c r="X693" t="s">
        <v>3492</v>
      </c>
      <c r="Y693" t="s">
        <v>16</v>
      </c>
      <c r="Z693">
        <v>5054</v>
      </c>
      <c r="AA693" s="24" t="s">
        <v>3539</v>
      </c>
      <c r="AB693">
        <f>COUNTIF(B:B,bron[[#This Row],[volledige naam]])</f>
        <v>1</v>
      </c>
    </row>
    <row r="694" spans="1:28" x14ac:dyDescent="0.25">
      <c r="A694">
        <v>38740</v>
      </c>
      <c r="B694" t="str">
        <f>_xlfn.CONCAT(bron[[#This Row],[personeelsnr]]," ",bron[[#This Row],[achternaam]]," ",bron[[#This Row],[voornaam]])</f>
        <v>38740 Meskens Anthony</v>
      </c>
      <c r="C694" t="str">
        <f>VLOOKUP(bron[[#This Row],[personeelsnr]],'data hastus'!$A:$C,2,0)</f>
        <v>Meskens</v>
      </c>
      <c r="D694" t="str">
        <f>VLOOKUP(bron[[#This Row],[personeelsnr]],'data hastus'!$A:$C,3,0)</f>
        <v>Anthony</v>
      </c>
      <c r="E694" t="str">
        <f>VLOOKUP(bron[[#This Row],[personeelsnr]],'data hastus'!A:K,11,FALSE)</f>
        <v>Christoff Rotty</v>
      </c>
      <c r="F694" s="10"/>
      <c r="G694" s="6"/>
      <c r="H694" s="6"/>
      <c r="I694" s="6"/>
      <c r="J694">
        <v>1</v>
      </c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45777</v>
      </c>
      <c r="U694" s="8" t="s">
        <v>1279</v>
      </c>
      <c r="V694" s="8"/>
      <c r="W694" s="8">
        <v>1</v>
      </c>
      <c r="X694" t="s">
        <v>3528</v>
      </c>
      <c r="Y694" t="s">
        <v>838</v>
      </c>
      <c r="Z694">
        <v>6322</v>
      </c>
      <c r="AA694" s="24" t="s">
        <v>3540</v>
      </c>
      <c r="AB694">
        <f>COUNTIF(B:B,bron[[#This Row],[volledige naam]])</f>
        <v>2</v>
      </c>
    </row>
    <row r="695" spans="1:28" x14ac:dyDescent="0.25">
      <c r="A695">
        <v>41092</v>
      </c>
      <c r="B695" t="str">
        <f>_xlfn.CONCAT(bron[[#This Row],[personeelsnr]]," ",bron[[#This Row],[achternaam]]," ",bron[[#This Row],[voornaam]])</f>
        <v>41092 De Keyser Dorien</v>
      </c>
      <c r="C695" t="str">
        <f>VLOOKUP(bron[[#This Row],[personeelsnr]],'data hastus'!$A:$C,2,0)</f>
        <v>De Keyser</v>
      </c>
      <c r="D695" t="str">
        <f>VLOOKUP(bron[[#This Row],[personeelsnr]],'data hastus'!$A:$C,3,0)</f>
        <v>Dorien</v>
      </c>
      <c r="E695" t="str">
        <f>VLOOKUP(bron[[#This Row],[personeelsnr]],'data hastus'!A:K,11,FALSE)</f>
        <v>Dominique De Clercq</v>
      </c>
      <c r="F695" s="10"/>
      <c r="G695" s="6"/>
      <c r="H695" s="6"/>
      <c r="I695" s="6"/>
      <c r="J695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45777</v>
      </c>
      <c r="U695" s="8" t="s">
        <v>1137</v>
      </c>
      <c r="V695" s="8">
        <v>1</v>
      </c>
      <c r="W695" s="8"/>
      <c r="X695" t="s">
        <v>3493</v>
      </c>
      <c r="Y695" t="s">
        <v>114</v>
      </c>
      <c r="Z695">
        <v>5912</v>
      </c>
      <c r="AA695" s="24" t="s">
        <v>3539</v>
      </c>
      <c r="AB695">
        <f>COUNTIF(B:B,bron[[#This Row],[volledige naam]])</f>
        <v>8</v>
      </c>
    </row>
    <row r="696" spans="1:28" x14ac:dyDescent="0.25">
      <c r="A696">
        <v>30967</v>
      </c>
      <c r="B696" t="str">
        <f>_xlfn.CONCAT(bron[[#This Row],[personeelsnr]]," ",bron[[#This Row],[achternaam]]," ",bron[[#This Row],[voornaam]])</f>
        <v>30967 Taser Fatih</v>
      </c>
      <c r="C696" t="str">
        <f>VLOOKUP(bron[[#This Row],[personeelsnr]],'data hastus'!$A:$C,2,0)</f>
        <v>Taser</v>
      </c>
      <c r="D696" t="str">
        <f>VLOOKUP(bron[[#This Row],[personeelsnr]],'data hastus'!$A:$C,3,0)</f>
        <v>Fatih</v>
      </c>
      <c r="E696" t="str">
        <f>VLOOKUP(bron[[#This Row],[personeelsnr]],'data hastus'!A:K,11,FALSE)</f>
        <v>Dominique De Clercq</v>
      </c>
      <c r="F696" s="10"/>
      <c r="G696" s="7"/>
      <c r="H696" s="7"/>
      <c r="I696" s="7"/>
      <c r="J696" s="5"/>
      <c r="K696" s="12">
        <v>1</v>
      </c>
      <c r="L696" s="5"/>
      <c r="M696" s="5"/>
      <c r="N696" s="5"/>
      <c r="O696" s="5"/>
      <c r="P696" s="5"/>
      <c r="Q696" s="5"/>
      <c r="R696" s="5"/>
      <c r="S696" s="5">
        <f>SUM(bron[[#This Row],[Januari]:[December]])</f>
        <v>1</v>
      </c>
      <c r="T696" s="9">
        <v>45778</v>
      </c>
      <c r="U696" s="8" t="s">
        <v>1139</v>
      </c>
      <c r="V696" s="8">
        <v>1</v>
      </c>
      <c r="W696" s="8"/>
      <c r="X696" t="s">
        <v>3492</v>
      </c>
      <c r="Y696" t="s">
        <v>12</v>
      </c>
      <c r="Z696">
        <v>2205</v>
      </c>
      <c r="AA696" s="24" t="s">
        <v>3539</v>
      </c>
      <c r="AB696">
        <f>COUNTIF(B:B,bron[[#This Row],[volledige naam]])</f>
        <v>3</v>
      </c>
    </row>
    <row r="697" spans="1:28" x14ac:dyDescent="0.25">
      <c r="A697">
        <v>40652</v>
      </c>
      <c r="B697" t="str">
        <f>_xlfn.CONCAT(bron[[#This Row],[personeelsnr]]," ",bron[[#This Row],[achternaam]]," ",bron[[#This Row],[voornaam]])</f>
        <v>40652 Van Damme Gilyann</v>
      </c>
      <c r="C697" t="str">
        <f>VLOOKUP(bron[[#This Row],[personeelsnr]],'data hastus'!$A:$C,2,0)</f>
        <v>Van Damme</v>
      </c>
      <c r="D697" t="str">
        <f>VLOOKUP(bron[[#This Row],[personeelsnr]],'data hastus'!$A:$C,3,0)</f>
        <v>Gilyann</v>
      </c>
      <c r="E697" t="str">
        <f>VLOOKUP(bron[[#This Row],[personeelsnr]],'data hastus'!A:K,11,FALSE)</f>
        <v>Els Vanhoe</v>
      </c>
      <c r="F697" s="10"/>
      <c r="G697" s="6"/>
      <c r="H697" s="6"/>
      <c r="I697" s="6"/>
      <c r="J697"/>
      <c r="K697">
        <v>1</v>
      </c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45779</v>
      </c>
      <c r="U697" s="8" t="s">
        <v>1001</v>
      </c>
      <c r="V697" s="8">
        <v>1</v>
      </c>
      <c r="W697" s="8"/>
      <c r="X697" t="s">
        <v>3494</v>
      </c>
      <c r="Y697" t="s">
        <v>26</v>
      </c>
      <c r="Z697">
        <v>5039</v>
      </c>
      <c r="AA697" s="24" t="s">
        <v>3539</v>
      </c>
      <c r="AB697">
        <f>COUNTIF(B:B,bron[[#This Row],[volledige naam]])</f>
        <v>7</v>
      </c>
    </row>
    <row r="698" spans="1:28" x14ac:dyDescent="0.25">
      <c r="A698">
        <v>40652</v>
      </c>
      <c r="B698" t="str">
        <f>_xlfn.CONCAT(bron[[#This Row],[personeelsnr]]," ",bron[[#This Row],[achternaam]]," ",bron[[#This Row],[voornaam]])</f>
        <v>40652 Van Damme Gilyann</v>
      </c>
      <c r="C698" t="str">
        <f>VLOOKUP(bron[[#This Row],[personeelsnr]],'data hastus'!$A:$C,2,0)</f>
        <v>Van Damme</v>
      </c>
      <c r="D698" t="str">
        <f>VLOOKUP(bron[[#This Row],[personeelsnr]],'data hastus'!$A:$C,3,0)</f>
        <v>Gilyann</v>
      </c>
      <c r="E698" t="str">
        <f>VLOOKUP(bron[[#This Row],[personeelsnr]],'data hastus'!A:K,11,FALSE)</f>
        <v>Els Vanhoe</v>
      </c>
      <c r="F698" s="10"/>
      <c r="G698" s="7"/>
      <c r="H698" s="7"/>
      <c r="I698" s="7"/>
      <c r="J698" s="5"/>
      <c r="K698" s="5">
        <v>1</v>
      </c>
      <c r="L698" s="5"/>
      <c r="M698" s="5"/>
      <c r="N698" s="5"/>
      <c r="O698" s="5"/>
      <c r="P698" s="5"/>
      <c r="Q698" s="5"/>
      <c r="R698" s="5"/>
      <c r="S698" s="5">
        <f>SUM(bron[[#This Row],[Januari]:[December]])</f>
        <v>1</v>
      </c>
      <c r="T698" s="9">
        <v>45779</v>
      </c>
      <c r="U698" s="8" t="s">
        <v>1140</v>
      </c>
      <c r="V698" s="22">
        <v>1</v>
      </c>
      <c r="W698" s="22"/>
      <c r="X698" t="s">
        <v>3494</v>
      </c>
      <c r="Y698" t="s">
        <v>26</v>
      </c>
      <c r="Z698">
        <v>2198</v>
      </c>
      <c r="AA698" s="24" t="s">
        <v>3539</v>
      </c>
      <c r="AB698">
        <f>COUNTIF(B:B,bron[[#This Row],[volledige naam]])</f>
        <v>7</v>
      </c>
    </row>
    <row r="699" spans="1:28" x14ac:dyDescent="0.25">
      <c r="A699">
        <v>4608</v>
      </c>
      <c r="B699" t="str">
        <f>_xlfn.CONCAT(bron[[#This Row],[personeelsnr]]," ",bron[[#This Row],[achternaam]]," ",bron[[#This Row],[voornaam]])</f>
        <v>4608 Steenbrugge Johan</v>
      </c>
      <c r="C699" t="str">
        <f>VLOOKUP(bron[[#This Row],[personeelsnr]],'data hastus'!$A:$C,2,0)</f>
        <v>Steenbrugge</v>
      </c>
      <c r="D699" t="str">
        <f>VLOOKUP(bron[[#This Row],[personeelsnr]],'data hastus'!$A:$C,3,0)</f>
        <v>Johan</v>
      </c>
      <c r="E699" t="str">
        <f>VLOOKUP(bron[[#This Row],[personeelsnr]],'data hastus'!A:K,11,FALSE)</f>
        <v>Lucie Vande Velde</v>
      </c>
      <c r="F699" s="10"/>
      <c r="G699" s="6"/>
      <c r="H699" s="6"/>
      <c r="I699" s="6"/>
      <c r="J699"/>
      <c r="K699">
        <v>1</v>
      </c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45780</v>
      </c>
      <c r="U699" s="8" t="s">
        <v>1141</v>
      </c>
      <c r="V699" s="8">
        <v>1</v>
      </c>
      <c r="W699" s="8"/>
      <c r="X699" t="s">
        <v>3492</v>
      </c>
      <c r="Y699" t="s">
        <v>22</v>
      </c>
      <c r="Z699">
        <v>2208</v>
      </c>
      <c r="AA699" s="24" t="s">
        <v>3539</v>
      </c>
      <c r="AB699">
        <f>COUNTIF(B:B,bron[[#This Row],[volledige naam]])</f>
        <v>1</v>
      </c>
    </row>
    <row r="700" spans="1:28" x14ac:dyDescent="0.25">
      <c r="A700">
        <v>33965</v>
      </c>
      <c r="B700" t="str">
        <f>_xlfn.CONCAT(bron[[#This Row],[personeelsnr]]," ",bron[[#This Row],[achternaam]]," ",bron[[#This Row],[voornaam]])</f>
        <v>33965 Van de Gehuchte Gilles</v>
      </c>
      <c r="C700" t="str">
        <f>VLOOKUP(bron[[#This Row],[personeelsnr]],'data hastus'!$A:$C,2,0)</f>
        <v>Van de Gehuchte</v>
      </c>
      <c r="D700" t="str">
        <f>VLOOKUP(bron[[#This Row],[personeelsnr]],'data hastus'!$A:$C,3,0)</f>
        <v>Gilles</v>
      </c>
      <c r="E700" t="str">
        <f>VLOOKUP(bron[[#This Row],[personeelsnr]],'data hastus'!A:K,11,FALSE)</f>
        <v>Kenneth De Rick</v>
      </c>
      <c r="F700" s="10"/>
      <c r="G700" s="7"/>
      <c r="H700" s="7"/>
      <c r="I700" s="7"/>
      <c r="J700" s="5"/>
      <c r="K700" s="12">
        <v>1</v>
      </c>
      <c r="L700" s="5"/>
      <c r="M700" s="5"/>
      <c r="N700" s="5"/>
      <c r="O700" s="5"/>
      <c r="P700" s="5"/>
      <c r="Q700" s="5"/>
      <c r="R700" s="5"/>
      <c r="S700" s="5">
        <f>SUM(bron[[#This Row],[Januari]:[December]])</f>
        <v>1</v>
      </c>
      <c r="T700" s="9">
        <v>45781</v>
      </c>
      <c r="U700" s="8" t="s">
        <v>1142</v>
      </c>
      <c r="V700" s="8"/>
      <c r="W700" s="8">
        <v>1</v>
      </c>
      <c r="X700" t="s">
        <v>3528</v>
      </c>
      <c r="Y700" t="s">
        <v>2</v>
      </c>
      <c r="Z700">
        <v>6325</v>
      </c>
      <c r="AA700" s="24" t="s">
        <v>3539</v>
      </c>
      <c r="AB700">
        <f>COUNTIF(B:B,bron[[#This Row],[volledige naam]])</f>
        <v>10</v>
      </c>
    </row>
    <row r="701" spans="1:28" x14ac:dyDescent="0.25">
      <c r="A701">
        <v>38731</v>
      </c>
      <c r="B701" t="str">
        <f>_xlfn.CONCAT(bron[[#This Row],[personeelsnr]]," ",bron[[#This Row],[achternaam]]," ",bron[[#This Row],[voornaam]])</f>
        <v>38731 Ben Sidhom Samir</v>
      </c>
      <c r="C701" t="str">
        <f>VLOOKUP(bron[[#This Row],[personeelsnr]],'data hastus'!$A:$C,2,0)</f>
        <v>Ben Sidhom</v>
      </c>
      <c r="D701" t="str">
        <f>VLOOKUP(bron[[#This Row],[personeelsnr]],'data hastus'!$A:$C,3,0)</f>
        <v>Samir</v>
      </c>
      <c r="E701" t="str">
        <f>VLOOKUP(bron[[#This Row],[personeelsnr]],'data hastus'!A:K,11,FALSE)</f>
        <v>Christoff Rotty</v>
      </c>
      <c r="F701" s="10"/>
      <c r="G701" s="6"/>
      <c r="H701" s="6"/>
      <c r="I701" s="6"/>
      <c r="J701"/>
      <c r="K701">
        <v>1</v>
      </c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45782</v>
      </c>
      <c r="U701" s="8" t="s">
        <v>1143</v>
      </c>
      <c r="V701" s="8">
        <v>1</v>
      </c>
      <c r="W701" s="8"/>
      <c r="X701" t="s">
        <v>3494</v>
      </c>
      <c r="Y701" t="s">
        <v>8</v>
      </c>
      <c r="Z701">
        <v>5053</v>
      </c>
      <c r="AA701" s="24" t="s">
        <v>3539</v>
      </c>
      <c r="AB701">
        <f>COUNTIF(B:B,bron[[#This Row],[volledige naam]])</f>
        <v>1</v>
      </c>
    </row>
    <row r="702" spans="1:28" x14ac:dyDescent="0.25">
      <c r="A702">
        <v>39633</v>
      </c>
      <c r="B702" t="str">
        <f>_xlfn.CONCAT(bron[[#This Row],[personeelsnr]]," ",bron[[#This Row],[achternaam]]," ",bron[[#This Row],[voornaam]])</f>
        <v>39633 Duyck Kimberly</v>
      </c>
      <c r="C702" t="str">
        <f>VLOOKUP(bron[[#This Row],[personeelsnr]],'data hastus'!$A:$C,2,0)</f>
        <v>Duyck</v>
      </c>
      <c r="D702" t="str">
        <f>VLOOKUP(bron[[#This Row],[personeelsnr]],'data hastus'!$A:$C,3,0)</f>
        <v>Kimberly</v>
      </c>
      <c r="E702" t="str">
        <f>VLOOKUP(bron[[#This Row],[personeelsnr]],'data hastus'!A:K,11,FALSE)</f>
        <v>Lucie Vande Velde</v>
      </c>
      <c r="F702" s="10"/>
      <c r="G702" s="6"/>
      <c r="H702" s="6"/>
      <c r="I702" s="6"/>
      <c r="J702"/>
      <c r="K702">
        <v>1</v>
      </c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45782</v>
      </c>
      <c r="U702" s="8" t="s">
        <v>1305</v>
      </c>
      <c r="V702" s="8">
        <v>1</v>
      </c>
      <c r="W702" s="8"/>
      <c r="X702" t="s">
        <v>3493</v>
      </c>
      <c r="Y702" t="s">
        <v>468</v>
      </c>
      <c r="Z702">
        <v>4667</v>
      </c>
      <c r="AA702" s="24" t="s">
        <v>3540</v>
      </c>
      <c r="AB702">
        <f>COUNTIF(B:B,bron[[#This Row],[volledige naam]])</f>
        <v>2</v>
      </c>
    </row>
    <row r="703" spans="1:28" x14ac:dyDescent="0.25">
      <c r="A703">
        <v>37662</v>
      </c>
      <c r="B703" t="str">
        <f>_xlfn.CONCAT(bron[[#This Row],[personeelsnr]]," ",bron[[#This Row],[achternaam]]," ",bron[[#This Row],[voornaam]])</f>
        <v>37662 Van den Meerssche Steven</v>
      </c>
      <c r="C703" t="str">
        <f>VLOOKUP(bron[[#This Row],[personeelsnr]],'data hastus'!$A:$C,2,0)</f>
        <v>Van den Meerssche</v>
      </c>
      <c r="D703" t="str">
        <f>VLOOKUP(bron[[#This Row],[personeelsnr]],'data hastus'!$A:$C,3,0)</f>
        <v>Steven</v>
      </c>
      <c r="E703" t="str">
        <f>VLOOKUP(bron[[#This Row],[personeelsnr]],'data hastus'!A:K,11,FALSE)</f>
        <v>Bart Van Der Beken</v>
      </c>
      <c r="F703" s="10"/>
      <c r="G703" s="6"/>
      <c r="H703" s="6"/>
      <c r="I703" s="6"/>
      <c r="J703"/>
      <c r="K703">
        <v>1</v>
      </c>
      <c r="L703"/>
      <c r="M703"/>
      <c r="N703"/>
      <c r="O703"/>
      <c r="P703"/>
      <c r="Q703"/>
      <c r="R703"/>
      <c r="S703">
        <f>SUM(bron[[#This Row],[Januari]:[December]])</f>
        <v>1</v>
      </c>
      <c r="T703" s="3">
        <v>45783</v>
      </c>
      <c r="U703" s="8" t="s">
        <v>1273</v>
      </c>
      <c r="V703" s="8">
        <v>1</v>
      </c>
      <c r="W703" s="8"/>
      <c r="X703" t="s">
        <v>3492</v>
      </c>
      <c r="Y703" t="s">
        <v>22</v>
      </c>
      <c r="Z703">
        <v>5044</v>
      </c>
      <c r="AA703" s="24" t="s">
        <v>3540</v>
      </c>
      <c r="AB703">
        <f>COUNTIF(B:B,bron[[#This Row],[volledige naam]])</f>
        <v>8</v>
      </c>
    </row>
    <row r="704" spans="1:28" x14ac:dyDescent="0.25">
      <c r="A704">
        <v>40938</v>
      </c>
      <c r="B704" t="str">
        <f>_xlfn.CONCAT(bron[[#This Row],[personeelsnr]]," ",bron[[#This Row],[achternaam]]," ",bron[[#This Row],[voornaam]])</f>
        <v>40938 Hasnaoui Nejmeddine</v>
      </c>
      <c r="C704" t="str">
        <f>VLOOKUP(bron[[#This Row],[personeelsnr]],'data hastus'!$A:$C,2,0)</f>
        <v>Hasnaoui</v>
      </c>
      <c r="D704" t="str">
        <f>VLOOKUP(bron[[#This Row],[personeelsnr]],'data hastus'!$A:$C,3,0)</f>
        <v>Nejmeddine</v>
      </c>
      <c r="E704" t="str">
        <f>VLOOKUP(bron[[#This Row],[personeelsnr]],'data hastus'!A:K,11,FALSE)</f>
        <v>Dominique De Clercq</v>
      </c>
      <c r="F704" s="10"/>
      <c r="G704" s="7"/>
      <c r="H704" s="7"/>
      <c r="I704" s="7"/>
      <c r="J704" s="5"/>
      <c r="K704" s="5">
        <v>1</v>
      </c>
      <c r="L704" s="5"/>
      <c r="M704" s="5"/>
      <c r="N704" s="5"/>
      <c r="O704" s="5"/>
      <c r="P704" s="5"/>
      <c r="Q704" s="5"/>
      <c r="R704" s="5"/>
      <c r="S704" s="5">
        <f>SUM(bron[[#This Row],[Januari]:[December]])</f>
        <v>1</v>
      </c>
      <c r="T704" s="9">
        <v>45783</v>
      </c>
      <c r="U704" s="8" t="s">
        <v>1144</v>
      </c>
      <c r="V704" s="8">
        <v>1</v>
      </c>
      <c r="W704" s="8"/>
      <c r="X704" t="s">
        <v>3492</v>
      </c>
      <c r="Y704" t="s">
        <v>28</v>
      </c>
      <c r="Z704">
        <v>2196</v>
      </c>
      <c r="AA704" s="24" t="s">
        <v>3539</v>
      </c>
      <c r="AB704">
        <f>COUNTIF(B:B,bron[[#This Row],[volledige naam]])</f>
        <v>4</v>
      </c>
    </row>
    <row r="705" spans="1:28" x14ac:dyDescent="0.25">
      <c r="A705">
        <v>40652</v>
      </c>
      <c r="B705" t="str">
        <f>_xlfn.CONCAT(bron[[#This Row],[personeelsnr]]," ",bron[[#This Row],[achternaam]]," ",bron[[#This Row],[voornaam]])</f>
        <v>40652 Van Damme Gilyann</v>
      </c>
      <c r="C705" t="str">
        <f>VLOOKUP(bron[[#This Row],[personeelsnr]],'data hastus'!$A:$C,2,0)</f>
        <v>Van Damme</v>
      </c>
      <c r="D705" t="str">
        <f>VLOOKUP(bron[[#This Row],[personeelsnr]],'data hastus'!$A:$C,3,0)</f>
        <v>Gilyann</v>
      </c>
      <c r="E705" t="str">
        <f>VLOOKUP(bron[[#This Row],[personeelsnr]],'data hastus'!A:K,11,FALSE)</f>
        <v>Els Vanhoe</v>
      </c>
      <c r="F705" s="10"/>
      <c r="G705" s="6"/>
      <c r="H705" s="6"/>
      <c r="I705" s="6"/>
      <c r="J705"/>
      <c r="K705">
        <v>1</v>
      </c>
      <c r="L705"/>
      <c r="M705"/>
      <c r="N705"/>
      <c r="O705"/>
      <c r="P705"/>
      <c r="Q705"/>
      <c r="R705"/>
      <c r="S705">
        <f>SUM(bron[[#This Row],[Januari]:[December]])</f>
        <v>1</v>
      </c>
      <c r="T705" s="3">
        <v>45784</v>
      </c>
      <c r="U705" s="8" t="s">
        <v>1145</v>
      </c>
      <c r="V705" s="8">
        <v>1</v>
      </c>
      <c r="W705" s="8"/>
      <c r="X705" t="s">
        <v>3494</v>
      </c>
      <c r="Y705" t="s">
        <v>274</v>
      </c>
      <c r="Z705">
        <v>2196</v>
      </c>
      <c r="AA705" s="24" t="s">
        <v>3539</v>
      </c>
      <c r="AB705">
        <f>COUNTIF(B:B,bron[[#This Row],[volledige naam]])</f>
        <v>7</v>
      </c>
    </row>
    <row r="706" spans="1:28" x14ac:dyDescent="0.25">
      <c r="A706">
        <v>38931</v>
      </c>
      <c r="B706" t="str">
        <f>_xlfn.CONCAT(bron[[#This Row],[personeelsnr]]," ",bron[[#This Row],[achternaam]]," ",bron[[#This Row],[voornaam]])</f>
        <v>38931 Sancak Eyuphan</v>
      </c>
      <c r="C706" t="str">
        <f>VLOOKUP(bron[[#This Row],[personeelsnr]],'data hastus'!$A:$C,2,0)</f>
        <v>Sancak</v>
      </c>
      <c r="D706" t="str">
        <f>VLOOKUP(bron[[#This Row],[personeelsnr]],'data hastus'!$A:$C,3,0)</f>
        <v>Eyuphan</v>
      </c>
      <c r="E706" t="str">
        <f>VLOOKUP(bron[[#This Row],[personeelsnr]],'data hastus'!A:K,11,FALSE)</f>
        <v>Bart Van Der Beken</v>
      </c>
      <c r="F706" s="3"/>
      <c r="G706" s="6"/>
      <c r="H706" s="6"/>
      <c r="I706" s="6"/>
      <c r="J706"/>
      <c r="K706">
        <v>1</v>
      </c>
      <c r="L706"/>
      <c r="M706"/>
      <c r="N706"/>
      <c r="O706"/>
      <c r="P706"/>
      <c r="Q706"/>
      <c r="R706"/>
      <c r="S706">
        <f>SUM(bron[[#This Row],[Januari]:[December]])</f>
        <v>1</v>
      </c>
      <c r="T706" s="3">
        <v>45786</v>
      </c>
      <c r="U706" s="8" t="s">
        <v>1146</v>
      </c>
      <c r="V706" s="8">
        <v>1</v>
      </c>
      <c r="W706" s="8"/>
      <c r="X706" t="s">
        <v>3493</v>
      </c>
      <c r="Y706" t="s">
        <v>146</v>
      </c>
      <c r="Z706">
        <v>4678</v>
      </c>
      <c r="AA706" s="24" t="s">
        <v>3539</v>
      </c>
      <c r="AB706">
        <f>COUNTIF(B:B,bron[[#This Row],[volledige naam]])</f>
        <v>4</v>
      </c>
    </row>
    <row r="707" spans="1:28" x14ac:dyDescent="0.25">
      <c r="A707">
        <v>27672</v>
      </c>
      <c r="B707" t="str">
        <f>_xlfn.CONCAT(bron[[#This Row],[personeelsnr]]," ",bron[[#This Row],[achternaam]]," ",bron[[#This Row],[voornaam]])</f>
        <v>27672 Criel Veronique</v>
      </c>
      <c r="C707" t="str">
        <f>VLOOKUP(bron[[#This Row],[personeelsnr]],'data hastus'!$A:$C,2,0)</f>
        <v>Criel</v>
      </c>
      <c r="D707" t="str">
        <f>VLOOKUP(bron[[#This Row],[personeelsnr]],'data hastus'!$A:$C,3,0)</f>
        <v>Veronique</v>
      </c>
      <c r="E707" t="str">
        <f>VLOOKUP(bron[[#This Row],[personeelsnr]],'data hastus'!A:K,11,FALSE)</f>
        <v>Steven Storm</v>
      </c>
      <c r="F707" s="10"/>
      <c r="G707" s="6"/>
      <c r="H707" s="6"/>
      <c r="I707" s="6"/>
      <c r="J707"/>
      <c r="K707">
        <v>1</v>
      </c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45787</v>
      </c>
      <c r="U707" s="8" t="s">
        <v>1148</v>
      </c>
      <c r="V707" s="8"/>
      <c r="W707" s="8">
        <v>1</v>
      </c>
      <c r="X707" t="s">
        <v>3528</v>
      </c>
      <c r="Y707" t="s">
        <v>55</v>
      </c>
      <c r="Z707">
        <v>6311</v>
      </c>
      <c r="AA707" s="24" t="s">
        <v>3539</v>
      </c>
      <c r="AB707">
        <f>COUNTIF(B:B,bron[[#This Row],[volledige naam]])</f>
        <v>1</v>
      </c>
    </row>
    <row r="708" spans="1:28" x14ac:dyDescent="0.25">
      <c r="A708">
        <v>31165</v>
      </c>
      <c r="B708" t="str">
        <f>_xlfn.CONCAT(bron[[#This Row],[personeelsnr]]," ",bron[[#This Row],[achternaam]]," ",bron[[#This Row],[voornaam]])</f>
        <v>31165 Govaerts Sandro</v>
      </c>
      <c r="C708" t="str">
        <f>VLOOKUP(bron[[#This Row],[personeelsnr]],'data hastus'!$A:$C,2,0)</f>
        <v>Govaerts</v>
      </c>
      <c r="D708" t="str">
        <f>VLOOKUP(bron[[#This Row],[personeelsnr]],'data hastus'!$A:$C,3,0)</f>
        <v>Sandro</v>
      </c>
      <c r="E708" t="str">
        <f>VLOOKUP(bron[[#This Row],[personeelsnr]],'data hastus'!A:K,11,FALSE)</f>
        <v>Lucie Vande Velde</v>
      </c>
      <c r="F708" s="10"/>
      <c r="G708" s="6"/>
      <c r="H708" s="6"/>
      <c r="I708" s="6"/>
      <c r="J708"/>
      <c r="K708">
        <v>1</v>
      </c>
      <c r="L708"/>
      <c r="M708"/>
      <c r="N708"/>
      <c r="O708"/>
      <c r="P708"/>
      <c r="Q708"/>
      <c r="R708"/>
      <c r="S708">
        <f>SUM(bron[[#This Row],[Januari]:[December]])</f>
        <v>1</v>
      </c>
      <c r="T708" s="3">
        <v>45787</v>
      </c>
      <c r="U708" s="8" t="s">
        <v>1147</v>
      </c>
      <c r="V708" s="8">
        <v>1</v>
      </c>
      <c r="W708" s="8"/>
      <c r="X708" t="s">
        <v>3492</v>
      </c>
      <c r="Y708" t="s">
        <v>116</v>
      </c>
      <c r="Z708">
        <v>5048</v>
      </c>
      <c r="AA708" s="24" t="s">
        <v>3539</v>
      </c>
      <c r="AB708">
        <f>COUNTIF(B:B,bron[[#This Row],[volledige naam]])</f>
        <v>2</v>
      </c>
    </row>
    <row r="709" spans="1:28" x14ac:dyDescent="0.25">
      <c r="A709">
        <v>40138</v>
      </c>
      <c r="B709" t="str">
        <f>_xlfn.CONCAT(bron[[#This Row],[personeelsnr]]," ",bron[[#This Row],[achternaam]]," ",bron[[#This Row],[voornaam]])</f>
        <v>40138 Moerman Tjimmy</v>
      </c>
      <c r="C709" t="str">
        <f>VLOOKUP(bron[[#This Row],[personeelsnr]],'data hastus'!$A:$C,2,0)</f>
        <v>Moerman</v>
      </c>
      <c r="D709" t="str">
        <f>VLOOKUP(bron[[#This Row],[personeelsnr]],'data hastus'!$A:$C,3,0)</f>
        <v>Tjimmy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/>
      <c r="K709">
        <v>1</v>
      </c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45788</v>
      </c>
      <c r="U709" s="8" t="s">
        <v>1149</v>
      </c>
      <c r="V709" s="8">
        <v>1</v>
      </c>
      <c r="W709" s="8"/>
      <c r="X709" t="s">
        <v>3494</v>
      </c>
      <c r="Y709" t="s">
        <v>16</v>
      </c>
      <c r="Z709">
        <v>5047</v>
      </c>
      <c r="AA709" s="24" t="s">
        <v>3539</v>
      </c>
      <c r="AB709">
        <f>COUNTIF(B:B,bron[[#This Row],[volledige naam]])</f>
        <v>10</v>
      </c>
    </row>
    <row r="710" spans="1:28" x14ac:dyDescent="0.25">
      <c r="A710">
        <v>39856</v>
      </c>
      <c r="B710" t="str">
        <f>_xlfn.CONCAT(bron[[#This Row],[personeelsnr]]," ",bron[[#This Row],[achternaam]]," ",bron[[#This Row],[voornaam]])</f>
        <v>39856 Curukcu Bayram</v>
      </c>
      <c r="C710" t="str">
        <f>VLOOKUP(bron[[#This Row],[personeelsnr]],'data hastus'!$A:$C,2,0)</f>
        <v>Curukcu</v>
      </c>
      <c r="D710" t="str">
        <f>VLOOKUP(bron[[#This Row],[personeelsnr]],'data hastus'!$A:$C,3,0)</f>
        <v>Bayram</v>
      </c>
      <c r="E710" t="str">
        <f>VLOOKUP(bron[[#This Row],[personeelsnr]],'data hastus'!A:K,11,FALSE)</f>
        <v>Kenneth De Rick</v>
      </c>
      <c r="F710" s="10"/>
      <c r="G710" s="6"/>
      <c r="H710" s="6"/>
      <c r="I710" s="6"/>
      <c r="J710"/>
      <c r="K710">
        <v>1</v>
      </c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45790</v>
      </c>
      <c r="U710" s="8" t="s">
        <v>1150</v>
      </c>
      <c r="V710" s="8">
        <v>1</v>
      </c>
      <c r="W710" s="8"/>
      <c r="X710" t="s">
        <v>3492</v>
      </c>
      <c r="Y710" t="s">
        <v>142</v>
      </c>
      <c r="Z710">
        <v>5265</v>
      </c>
      <c r="AA710" s="24" t="s">
        <v>3539</v>
      </c>
      <c r="AB710">
        <f>COUNTIF(B:B,bron[[#This Row],[volledige naam]])</f>
        <v>2</v>
      </c>
    </row>
    <row r="711" spans="1:28" x14ac:dyDescent="0.25">
      <c r="A711">
        <v>29746</v>
      </c>
      <c r="B711" t="str">
        <f>_xlfn.CONCAT(bron[[#This Row],[personeelsnr]]," ",bron[[#This Row],[achternaam]]," ",bron[[#This Row],[voornaam]])</f>
        <v>29746 Huyse Annicke</v>
      </c>
      <c r="C711" t="str">
        <f>VLOOKUP(bron[[#This Row],[personeelsnr]],'data hastus'!$A:$C,2,0)</f>
        <v>Huyse</v>
      </c>
      <c r="D711" t="str">
        <f>VLOOKUP(bron[[#This Row],[personeelsnr]],'data hastus'!$A:$C,3,0)</f>
        <v>Annicke</v>
      </c>
      <c r="E711" t="str">
        <f>VLOOKUP(bron[[#This Row],[personeelsnr]],'data hastus'!A:K,11,FALSE)</f>
        <v>Bart Van Der Beken</v>
      </c>
      <c r="F711" s="10"/>
      <c r="G711" s="7"/>
      <c r="H711" s="7"/>
      <c r="I711" s="7"/>
      <c r="J711" s="5"/>
      <c r="K711" s="5">
        <v>1</v>
      </c>
      <c r="L711" s="5"/>
      <c r="M711" s="5"/>
      <c r="N711" s="5"/>
      <c r="O711" s="5"/>
      <c r="P711" s="5"/>
      <c r="Q711" s="5"/>
      <c r="R711" s="5"/>
      <c r="S711" s="5">
        <f>SUM(bron[[#This Row],[Januari]:[December]])</f>
        <v>1</v>
      </c>
      <c r="T711" s="9">
        <v>45791</v>
      </c>
      <c r="U711" s="8" t="s">
        <v>1151</v>
      </c>
      <c r="V711" s="8">
        <v>1</v>
      </c>
      <c r="W711" s="8"/>
      <c r="X711" t="s">
        <v>3492</v>
      </c>
      <c r="Y711" t="s">
        <v>8</v>
      </c>
      <c r="Z711">
        <v>5231</v>
      </c>
      <c r="AA711" s="24" t="s">
        <v>3539</v>
      </c>
      <c r="AB711">
        <f>COUNTIF(B:B,bron[[#This Row],[volledige naam]])</f>
        <v>3</v>
      </c>
    </row>
    <row r="712" spans="1:28" x14ac:dyDescent="0.25">
      <c r="A712">
        <v>36428</v>
      </c>
      <c r="B712" t="str">
        <f>_xlfn.CONCAT(bron[[#This Row],[personeelsnr]]," ",bron[[#This Row],[achternaam]]," ",bron[[#This Row],[voornaam]])</f>
        <v>36428 Abdi Shaiye Rashid</v>
      </c>
      <c r="C712" t="str">
        <f>VLOOKUP(bron[[#This Row],[personeelsnr]],'data hastus'!$A:$C,2,0)</f>
        <v>Abdi Shaiye</v>
      </c>
      <c r="D712" t="str">
        <f>VLOOKUP(bron[[#This Row],[personeelsnr]],'data hastus'!$A:$C,3,0)</f>
        <v>Rashid</v>
      </c>
      <c r="E712" t="str">
        <f>VLOOKUP(bron[[#This Row],[personeelsnr]],'data hastus'!A:K,11,FALSE)</f>
        <v>Lucie Vande Velde</v>
      </c>
      <c r="F712" s="10"/>
      <c r="G712" s="7"/>
      <c r="H712" s="7"/>
      <c r="I712" s="7"/>
      <c r="J712" s="5"/>
      <c r="K712" s="5">
        <v>1</v>
      </c>
      <c r="L712" s="5"/>
      <c r="M712" s="5"/>
      <c r="N712" s="5"/>
      <c r="O712" s="5"/>
      <c r="P712" s="5"/>
      <c r="Q712" s="5"/>
      <c r="R712" s="5"/>
      <c r="S712" s="5">
        <f>SUM(bron[[#This Row],[Januari]:[December]])</f>
        <v>1</v>
      </c>
      <c r="T712" s="9">
        <v>45792</v>
      </c>
      <c r="U712" s="8" t="s">
        <v>1153</v>
      </c>
      <c r="V712" s="8"/>
      <c r="W712" s="8">
        <v>1</v>
      </c>
      <c r="X712" t="s">
        <v>3529</v>
      </c>
      <c r="Y712" t="s">
        <v>6</v>
      </c>
      <c r="Z712">
        <v>6367</v>
      </c>
      <c r="AA712" s="24" t="s">
        <v>3539</v>
      </c>
      <c r="AB712">
        <f>COUNTIF(B:B,bron[[#This Row],[volledige naam]])</f>
        <v>5</v>
      </c>
    </row>
    <row r="713" spans="1:28" x14ac:dyDescent="0.25">
      <c r="A713">
        <v>40393</v>
      </c>
      <c r="B713" t="str">
        <f>_xlfn.CONCAT(bron[[#This Row],[personeelsnr]]," ",bron[[#This Row],[achternaam]]," ",bron[[#This Row],[voornaam]])</f>
        <v>40393 Salimova Eydzhan</v>
      </c>
      <c r="C713" t="str">
        <f>VLOOKUP(bron[[#This Row],[personeelsnr]],'data hastus'!$A:$C,2,0)</f>
        <v>Salimova</v>
      </c>
      <c r="D713" t="str">
        <f>VLOOKUP(bron[[#This Row],[personeelsnr]],'data hastus'!$A:$C,3,0)</f>
        <v>Eydzhan</v>
      </c>
      <c r="E713" t="str">
        <f>VLOOKUP(bron[[#This Row],[personeelsnr]],'data hastus'!A:K,11,FALSE)</f>
        <v>Dominique De Clercq</v>
      </c>
      <c r="F713" s="10"/>
      <c r="G713" s="7"/>
      <c r="H713" s="7"/>
      <c r="I713" s="7"/>
      <c r="J713" s="5"/>
      <c r="K713" s="5"/>
      <c r="L713" s="5"/>
      <c r="M713" s="5"/>
      <c r="N713" s="5"/>
      <c r="O713" s="5">
        <v>1</v>
      </c>
      <c r="P713" s="5"/>
      <c r="Q713" s="5"/>
      <c r="R713" s="5"/>
      <c r="S713" s="5">
        <f>SUM(bron[[#This Row],[Januari]:[December]])</f>
        <v>1</v>
      </c>
      <c r="T713" s="9">
        <v>45792</v>
      </c>
      <c r="U713" s="8" t="s">
        <v>1152</v>
      </c>
      <c r="V713" s="8">
        <v>1</v>
      </c>
      <c r="W713" s="8"/>
      <c r="X713" t="s">
        <v>3493</v>
      </c>
      <c r="Y713" t="s">
        <v>156</v>
      </c>
      <c r="Z713">
        <v>7897</v>
      </c>
      <c r="AA713" s="24" t="s">
        <v>3539</v>
      </c>
      <c r="AB713">
        <f>COUNTIF(B:B,bron[[#This Row],[volledige naam]])</f>
        <v>1</v>
      </c>
    </row>
    <row r="714" spans="1:28" x14ac:dyDescent="0.25">
      <c r="A714">
        <v>41230</v>
      </c>
      <c r="B714" t="str">
        <f>_xlfn.CONCAT(bron[[#This Row],[personeelsnr]]," ",bron[[#This Row],[achternaam]]," ",bron[[#This Row],[voornaam]])</f>
        <v>41230 De Witte Bart</v>
      </c>
      <c r="C714" t="str">
        <f>VLOOKUP(bron[[#This Row],[personeelsnr]],'data hastus'!$A:$C,2,0)</f>
        <v>De Witte</v>
      </c>
      <c r="D714" t="str">
        <f>VLOOKUP(bron[[#This Row],[personeelsnr]],'data hastus'!$A:$C,3,0)</f>
        <v>Bart</v>
      </c>
      <c r="E714" t="str">
        <f>VLOOKUP(bron[[#This Row],[personeelsnr]],'data hastus'!A:K,11,FALSE)</f>
        <v>Dominique De Clercq</v>
      </c>
      <c r="F714" s="10"/>
      <c r="G714" s="7"/>
      <c r="H714" s="7"/>
      <c r="I714" s="7"/>
      <c r="J714" s="5"/>
      <c r="K714" s="5">
        <v>1</v>
      </c>
      <c r="L714" s="5"/>
      <c r="M714" s="5"/>
      <c r="N714" s="5"/>
      <c r="O714" s="5"/>
      <c r="P714" s="5"/>
      <c r="Q714" s="5"/>
      <c r="R714" s="5"/>
      <c r="S714" s="5">
        <f>SUM(bron[[#This Row],[Januari]:[December]])</f>
        <v>1</v>
      </c>
      <c r="T714" s="9">
        <v>45794</v>
      </c>
      <c r="U714" s="8" t="s">
        <v>1154</v>
      </c>
      <c r="V714" s="8">
        <v>1</v>
      </c>
      <c r="W714" s="8"/>
      <c r="X714" t="s">
        <v>3493</v>
      </c>
      <c r="Y714" t="s">
        <v>260</v>
      </c>
      <c r="Z714">
        <v>5924</v>
      </c>
      <c r="AA714" s="24" t="s">
        <v>3539</v>
      </c>
      <c r="AB714">
        <f>COUNTIF(B:B,bron[[#This Row],[volledige naam]])</f>
        <v>2</v>
      </c>
    </row>
    <row r="715" spans="1:28" x14ac:dyDescent="0.25">
      <c r="A715">
        <v>26960</v>
      </c>
      <c r="B715" t="str">
        <f>_xlfn.CONCAT(bron[[#This Row],[personeelsnr]]," ",bron[[#This Row],[achternaam]]," ",bron[[#This Row],[voornaam]])</f>
        <v>26960 Toubadie Mossa</v>
      </c>
      <c r="C715" t="str">
        <f>VLOOKUP(bron[[#This Row],[personeelsnr]],'data hastus'!$A:$C,2,0)</f>
        <v>Toubadie</v>
      </c>
      <c r="D715" t="str">
        <f>VLOOKUP(bron[[#This Row],[personeelsnr]],'data hastus'!$A:$C,3,0)</f>
        <v>Mossa</v>
      </c>
      <c r="E715" t="str">
        <f>VLOOKUP(bron[[#This Row],[personeelsnr]],'data hastus'!A:K,11,FALSE)</f>
        <v>Els Vanhoe</v>
      </c>
      <c r="F715" s="10"/>
      <c r="G715" s="7"/>
      <c r="H715" s="7"/>
      <c r="I715" s="7"/>
      <c r="J715" s="5"/>
      <c r="K715" s="5">
        <v>1</v>
      </c>
      <c r="L715" s="5"/>
      <c r="M715" s="5"/>
      <c r="N715" s="5"/>
      <c r="O715" s="5"/>
      <c r="P715" s="5"/>
      <c r="Q715" s="5"/>
      <c r="R715" s="5"/>
      <c r="S715" s="5">
        <f>SUM(bron[[#This Row],[Januari]:[December]])</f>
        <v>1</v>
      </c>
      <c r="T715" s="21">
        <v>45798</v>
      </c>
      <c r="U715" s="8" t="s">
        <v>1295</v>
      </c>
      <c r="V715" s="8">
        <v>1</v>
      </c>
      <c r="W715" s="8"/>
      <c r="X715" t="s">
        <v>3493</v>
      </c>
      <c r="Y715" t="s">
        <v>112</v>
      </c>
      <c r="Z715">
        <v>5935</v>
      </c>
      <c r="AA715" s="24" t="s">
        <v>3540</v>
      </c>
      <c r="AB715">
        <f>COUNTIF(B:B,bron[[#This Row],[volledige naam]])</f>
        <v>3</v>
      </c>
    </row>
    <row r="716" spans="1:28" x14ac:dyDescent="0.25">
      <c r="A716">
        <v>38648</v>
      </c>
      <c r="B716" t="str">
        <f>_xlfn.CONCAT(bron[[#This Row],[personeelsnr]]," ",bron[[#This Row],[achternaam]]," ",bron[[#This Row],[voornaam]])</f>
        <v>38648 Uckuyulu Muhammet Emin</v>
      </c>
      <c r="C716" t="str">
        <f>VLOOKUP(bron[[#This Row],[personeelsnr]],'data hastus'!$A:$C,2,0)</f>
        <v>Uckuyulu</v>
      </c>
      <c r="D716" t="str">
        <f>VLOOKUP(bron[[#This Row],[personeelsnr]],'data hastus'!$A:$C,3,0)</f>
        <v>Muhammet Emin</v>
      </c>
      <c r="E716" t="str">
        <f>VLOOKUP(bron[[#This Row],[personeelsnr]],'data hastus'!A:K,11,FALSE)</f>
        <v>Lucie Vande Velde</v>
      </c>
      <c r="F716" s="10"/>
      <c r="G716" s="7"/>
      <c r="H716" s="7"/>
      <c r="I716" s="7"/>
      <c r="J716" s="5"/>
      <c r="K716" s="5">
        <v>1</v>
      </c>
      <c r="L716" s="5"/>
      <c r="M716" s="5"/>
      <c r="N716" s="5"/>
      <c r="O716" s="5"/>
      <c r="P716" s="5"/>
      <c r="Q716" s="5"/>
      <c r="R716" s="5"/>
      <c r="S716" s="5">
        <f>SUM(bron[[#This Row],[Januari]:[December]])</f>
        <v>1</v>
      </c>
      <c r="T716" s="9">
        <v>45798</v>
      </c>
      <c r="U716" s="8" t="s">
        <v>1156</v>
      </c>
      <c r="V716" s="8"/>
      <c r="W716" s="8">
        <v>1</v>
      </c>
      <c r="X716" t="s">
        <v>3528</v>
      </c>
      <c r="Y716" t="s">
        <v>154</v>
      </c>
      <c r="Z716">
        <v>6333</v>
      </c>
      <c r="AA716" s="24" t="s">
        <v>3539</v>
      </c>
      <c r="AB716">
        <f>COUNTIF(B:B,bron[[#This Row],[volledige naam]])</f>
        <v>4</v>
      </c>
    </row>
    <row r="717" spans="1:28" x14ac:dyDescent="0.25">
      <c r="A717">
        <v>41710</v>
      </c>
      <c r="B717" t="str">
        <f>_xlfn.CONCAT(bron[[#This Row],[personeelsnr]]," ",bron[[#This Row],[achternaam]]," ",bron[[#This Row],[voornaam]])</f>
        <v>41710 Ghani Fazal</v>
      </c>
      <c r="C717" t="str">
        <f>VLOOKUP(bron[[#This Row],[personeelsnr]],'data hastus'!$A:$C,2,0)</f>
        <v>Ghani</v>
      </c>
      <c r="D717" t="str">
        <f>VLOOKUP(bron[[#This Row],[personeelsnr]],'data hastus'!$A:$C,3,0)</f>
        <v>Fazal</v>
      </c>
      <c r="E717" t="str">
        <f>VLOOKUP(bron[[#This Row],[personeelsnr]],'data hastus'!A:K,11,FALSE)</f>
        <v>Els Vanhoe</v>
      </c>
      <c r="F717" s="10"/>
      <c r="G717" s="7"/>
      <c r="H717" s="7"/>
      <c r="I717" s="7"/>
      <c r="J717" s="5"/>
      <c r="K717" s="5">
        <v>1</v>
      </c>
      <c r="L717" s="5"/>
      <c r="M717" s="5"/>
      <c r="N717" s="5"/>
      <c r="O717" s="5"/>
      <c r="P717" s="5"/>
      <c r="Q717" s="5"/>
      <c r="R717" s="5"/>
      <c r="S717" s="5">
        <f>SUM(bron[[#This Row],[Januari]:[December]])</f>
        <v>1</v>
      </c>
      <c r="T717" s="9">
        <v>45798</v>
      </c>
      <c r="U717" s="8" t="s">
        <v>1155</v>
      </c>
      <c r="V717" s="8">
        <v>1</v>
      </c>
      <c r="W717" s="8"/>
      <c r="X717" t="s">
        <v>3493</v>
      </c>
      <c r="Y717" t="s">
        <v>89</v>
      </c>
      <c r="Z717">
        <v>2546</v>
      </c>
      <c r="AA717" s="24" t="s">
        <v>3539</v>
      </c>
      <c r="AB717">
        <f>COUNTIF(B:B,bron[[#This Row],[volledige naam]])</f>
        <v>1</v>
      </c>
    </row>
    <row r="718" spans="1:28" x14ac:dyDescent="0.25">
      <c r="A718">
        <v>41671</v>
      </c>
      <c r="B718" t="str">
        <f>_xlfn.CONCAT(bron[[#This Row],[personeelsnr]]," ",bron[[#This Row],[achternaam]]," ",bron[[#This Row],[voornaam]])</f>
        <v>41671 Hasan Salem</v>
      </c>
      <c r="C718" t="str">
        <f>VLOOKUP(bron[[#This Row],[personeelsnr]],'data hastus'!$A:$C,2,0)</f>
        <v>Hasan</v>
      </c>
      <c r="D718" t="str">
        <f>VLOOKUP(bron[[#This Row],[personeelsnr]],'data hastus'!$A:$C,3,0)</f>
        <v>Salem</v>
      </c>
      <c r="E718" t="str">
        <f>VLOOKUP(bron[[#This Row],[personeelsnr]],'data hastus'!A:K,11,FALSE)</f>
        <v>Bart Van Der Beken</v>
      </c>
      <c r="F718" s="10"/>
      <c r="G718" s="7"/>
      <c r="H718" s="7"/>
      <c r="I718" s="7"/>
      <c r="J718" s="5"/>
      <c r="K718" s="5">
        <v>1</v>
      </c>
      <c r="L718" s="5"/>
      <c r="M718" s="5"/>
      <c r="N718" s="5"/>
      <c r="O718" s="5"/>
      <c r="P718" s="5"/>
      <c r="Q718" s="5"/>
      <c r="R718" s="5"/>
      <c r="S718" s="5">
        <f>SUM(bron[[#This Row],[Januari]:[December]])</f>
        <v>1</v>
      </c>
      <c r="T718" s="9">
        <v>45799</v>
      </c>
      <c r="U718" s="8" t="s">
        <v>1157</v>
      </c>
      <c r="V718" s="8">
        <v>1</v>
      </c>
      <c r="W718" s="8"/>
      <c r="X718" t="s">
        <v>3493</v>
      </c>
      <c r="Y718" t="s">
        <v>30</v>
      </c>
      <c r="Z718">
        <v>8232</v>
      </c>
      <c r="AA718" s="24" t="s">
        <v>3539</v>
      </c>
      <c r="AB718">
        <f>COUNTIF(B:B,bron[[#This Row],[volledige naam]])</f>
        <v>1</v>
      </c>
    </row>
    <row r="719" spans="1:28" x14ac:dyDescent="0.25">
      <c r="A719">
        <v>39651</v>
      </c>
      <c r="B719" t="str">
        <f>_xlfn.CONCAT(bron[[#This Row],[personeelsnr]]," ",bron[[#This Row],[achternaam]]," ",bron[[#This Row],[voornaam]])</f>
        <v>39651 Kallenbach Sunny</v>
      </c>
      <c r="C719" t="str">
        <f>VLOOKUP(bron[[#This Row],[personeelsnr]],'data hastus'!$A:$C,2,0)</f>
        <v>Kallenbach</v>
      </c>
      <c r="D719" t="str">
        <f>VLOOKUP(bron[[#This Row],[personeelsnr]],'data hastus'!$A:$C,3,0)</f>
        <v>Sunny</v>
      </c>
      <c r="E719" t="str">
        <f>VLOOKUP(bron[[#This Row],[personeelsnr]],'data hastus'!A:K,11,FALSE)</f>
        <v>Kenneth De Rick</v>
      </c>
      <c r="F719" s="10"/>
      <c r="G719" s="7"/>
      <c r="H719" s="7"/>
      <c r="I719" s="7"/>
      <c r="J719" s="5"/>
      <c r="K719" s="5">
        <v>1</v>
      </c>
      <c r="L719" s="5"/>
      <c r="M719" s="5"/>
      <c r="N719" s="5"/>
      <c r="O719" s="5"/>
      <c r="P719" s="5"/>
      <c r="Q719" s="5"/>
      <c r="R719" s="5"/>
      <c r="S719" s="5">
        <f>SUM(bron[[#This Row],[Januari]:[December]])</f>
        <v>1</v>
      </c>
      <c r="T719" s="9">
        <v>45800</v>
      </c>
      <c r="U719" s="8" t="s">
        <v>1160</v>
      </c>
      <c r="V719" s="22">
        <v>1</v>
      </c>
      <c r="W719" s="22"/>
      <c r="X719" t="s">
        <v>3493</v>
      </c>
      <c r="Y719" t="s">
        <v>6</v>
      </c>
      <c r="Z719">
        <v>5238</v>
      </c>
      <c r="AA719" s="24" t="s">
        <v>3540</v>
      </c>
      <c r="AB719">
        <f>COUNTIF(B:B,bron[[#This Row],[volledige naam]])</f>
        <v>4</v>
      </c>
    </row>
    <row r="720" spans="1:28" x14ac:dyDescent="0.25">
      <c r="A720">
        <v>40278</v>
      </c>
      <c r="B720" t="str">
        <f>_xlfn.CONCAT(bron[[#This Row],[personeelsnr]]," ",bron[[#This Row],[achternaam]]," ",bron[[#This Row],[voornaam]])</f>
        <v>40278 Ates Firat</v>
      </c>
      <c r="C720" t="str">
        <f>VLOOKUP(bron[[#This Row],[personeelsnr]],'data hastus'!$A:$C,2,0)</f>
        <v>Ates</v>
      </c>
      <c r="D720" t="str">
        <f>VLOOKUP(bron[[#This Row],[personeelsnr]],'data hastus'!$A:$C,3,0)</f>
        <v>Firat</v>
      </c>
      <c r="E720" t="str">
        <f>VLOOKUP(bron[[#This Row],[personeelsnr]],'data hastus'!A:K,11,FALSE)</f>
        <v>Christoff Rotty</v>
      </c>
      <c r="F720" s="10"/>
      <c r="G720" s="7"/>
      <c r="H720" s="7"/>
      <c r="I720" s="7"/>
      <c r="J720" s="5"/>
      <c r="K720" s="5">
        <v>1</v>
      </c>
      <c r="L720" s="5"/>
      <c r="M720" s="5"/>
      <c r="N720" s="5"/>
      <c r="O720" s="5"/>
      <c r="P720" s="5"/>
      <c r="Q720" s="5"/>
      <c r="R720" s="5"/>
      <c r="S720" s="5">
        <f>SUM(bron[[#This Row],[Januari]:[December]])</f>
        <v>1</v>
      </c>
      <c r="T720" s="9">
        <v>45800</v>
      </c>
      <c r="U720" s="5" t="s">
        <v>1159</v>
      </c>
      <c r="V720" s="8">
        <v>1</v>
      </c>
      <c r="W720" s="5"/>
      <c r="X720" t="s">
        <v>3494</v>
      </c>
      <c r="Y720" t="s">
        <v>24</v>
      </c>
      <c r="Z720">
        <v>0</v>
      </c>
      <c r="AA720" s="24" t="s">
        <v>3539</v>
      </c>
      <c r="AB720">
        <f>COUNTIF(B:B,bron[[#This Row],[volledige naam]])</f>
        <v>4</v>
      </c>
    </row>
    <row r="721" spans="1:28" x14ac:dyDescent="0.25">
      <c r="A721">
        <v>41482</v>
      </c>
      <c r="B721" t="str">
        <f>_xlfn.CONCAT(bron[[#This Row],[personeelsnr]]," ",bron[[#This Row],[achternaam]]," ",bron[[#This Row],[voornaam]])</f>
        <v>41482 Özdemir Osman</v>
      </c>
      <c r="C721" t="str">
        <f>VLOOKUP(bron[[#This Row],[personeelsnr]],'data hastus'!$A:$C,2,0)</f>
        <v>Özdemir</v>
      </c>
      <c r="D721" t="str">
        <f>VLOOKUP(bron[[#This Row],[personeelsnr]],'data hastus'!$A:$C,3,0)</f>
        <v>Osman</v>
      </c>
      <c r="E721" t="str">
        <f>VLOOKUP(bron[[#This Row],[personeelsnr]],'data hastus'!A:K,11,FALSE)</f>
        <v>Bart Van Der Beken</v>
      </c>
      <c r="F721" s="10"/>
      <c r="G721" s="7"/>
      <c r="H721" s="7"/>
      <c r="I721" s="7"/>
      <c r="J721" s="5"/>
      <c r="K721" s="5">
        <v>1</v>
      </c>
      <c r="L721" s="5"/>
      <c r="M721" s="5"/>
      <c r="N721" s="5"/>
      <c r="O721" s="5"/>
      <c r="P721" s="5"/>
      <c r="Q721" s="5"/>
      <c r="R721" s="5"/>
      <c r="S721" s="5">
        <f>SUM(bron[[#This Row],[Januari]:[December]])</f>
        <v>1</v>
      </c>
      <c r="T721" s="9">
        <v>45800</v>
      </c>
      <c r="U721" s="8" t="s">
        <v>1158</v>
      </c>
      <c r="V721" s="8">
        <v>1</v>
      </c>
      <c r="W721" s="8"/>
      <c r="X721" t="s">
        <v>3493</v>
      </c>
      <c r="Y721" t="s">
        <v>22</v>
      </c>
      <c r="Z721">
        <v>5928</v>
      </c>
      <c r="AA721" s="24" t="s">
        <v>3539</v>
      </c>
      <c r="AB721">
        <f>COUNTIF(B:B,bron[[#This Row],[volledige naam]])</f>
        <v>3</v>
      </c>
    </row>
    <row r="722" spans="1:28" x14ac:dyDescent="0.25">
      <c r="A722">
        <v>15282</v>
      </c>
      <c r="B722" t="str">
        <f>_xlfn.CONCAT(bron[[#This Row],[personeelsnr]]," ",bron[[#This Row],[achternaam]]," ",bron[[#This Row],[voornaam]])</f>
        <v>15282 Marinx Kristoff</v>
      </c>
      <c r="C722" t="str">
        <f>VLOOKUP(bron[[#This Row],[personeelsnr]],'data hastus'!$A:$C,2,0)</f>
        <v>Marinx</v>
      </c>
      <c r="D722" t="str">
        <f>VLOOKUP(bron[[#This Row],[personeelsnr]],'data hastus'!$A:$C,3,0)</f>
        <v>Kristoff</v>
      </c>
      <c r="E722" t="str">
        <f>VLOOKUP(bron[[#This Row],[personeelsnr]],'data hastus'!A:K,11,FALSE)</f>
        <v>Kenneth De Rick</v>
      </c>
      <c r="F722" s="10"/>
      <c r="G722" s="7"/>
      <c r="H722" s="7"/>
      <c r="I722" s="7"/>
      <c r="J722" s="5"/>
      <c r="K722" s="5">
        <v>1</v>
      </c>
      <c r="L722" s="5"/>
      <c r="M722" s="5"/>
      <c r="N722" s="5"/>
      <c r="O722" s="5"/>
      <c r="P722" s="5"/>
      <c r="Q722" s="5"/>
      <c r="R722" s="5"/>
      <c r="S722" s="5">
        <f>SUM(bron[[#This Row],[Januari]:[December]])</f>
        <v>1</v>
      </c>
      <c r="T722" s="9">
        <v>45803</v>
      </c>
      <c r="U722" s="8" t="s">
        <v>1163</v>
      </c>
      <c r="V722" s="8"/>
      <c r="W722" s="8">
        <v>1</v>
      </c>
      <c r="X722" t="s">
        <v>3528</v>
      </c>
      <c r="Y722" t="s">
        <v>110</v>
      </c>
      <c r="Z722">
        <v>6322</v>
      </c>
      <c r="AA722" s="24" t="s">
        <v>3539</v>
      </c>
      <c r="AB722">
        <f>COUNTIF(B:B,bron[[#This Row],[volledige naam]])</f>
        <v>2</v>
      </c>
    </row>
    <row r="723" spans="1:28" x14ac:dyDescent="0.25">
      <c r="A723">
        <v>15412</v>
      </c>
      <c r="B723" t="str">
        <f>_xlfn.CONCAT(bron[[#This Row],[personeelsnr]]," ",bron[[#This Row],[achternaam]]," ",bron[[#This Row],[voornaam]])</f>
        <v>15412 Dhondt Frank</v>
      </c>
      <c r="C723" t="str">
        <f>VLOOKUP(bron[[#This Row],[personeelsnr]],'data hastus'!$A:$C,2,0)</f>
        <v>Dhondt</v>
      </c>
      <c r="D723" t="str">
        <f>VLOOKUP(bron[[#This Row],[personeelsnr]],'data hastus'!$A:$C,3,0)</f>
        <v>Frank</v>
      </c>
      <c r="E723" t="str">
        <f>VLOOKUP(bron[[#This Row],[personeelsnr]],'data hastus'!A:K,11,FALSE)</f>
        <v>Bart Van Der Beken</v>
      </c>
      <c r="F723" s="10"/>
      <c r="G723" s="7"/>
      <c r="H723" s="7"/>
      <c r="I723" s="7"/>
      <c r="J723" s="5"/>
      <c r="K723" s="5"/>
      <c r="L723" s="5">
        <v>1</v>
      </c>
      <c r="M723" s="5"/>
      <c r="N723" s="5"/>
      <c r="O723" s="5"/>
      <c r="P723" s="5"/>
      <c r="Q723" s="5"/>
      <c r="R723" s="5"/>
      <c r="S723" s="5">
        <f>SUM(bron[[#This Row],[Januari]:[December]])</f>
        <v>1</v>
      </c>
      <c r="T723" s="9">
        <v>45803</v>
      </c>
      <c r="U723" s="8" t="s">
        <v>1161</v>
      </c>
      <c r="V723" s="8">
        <v>1</v>
      </c>
      <c r="W723" s="8"/>
      <c r="X723" t="s">
        <v>3494</v>
      </c>
      <c r="Y723" t="s">
        <v>96</v>
      </c>
      <c r="Z723">
        <v>5266</v>
      </c>
      <c r="AA723" s="24" t="s">
        <v>3539</v>
      </c>
      <c r="AB723">
        <f>COUNTIF(B:B,bron[[#This Row],[volledige naam]])</f>
        <v>2</v>
      </c>
    </row>
    <row r="724" spans="1:28" x14ac:dyDescent="0.25">
      <c r="A724">
        <v>36438</v>
      </c>
      <c r="B724" t="str">
        <f>_xlfn.CONCAT(bron[[#This Row],[personeelsnr]]," ",bron[[#This Row],[achternaam]]," ",bron[[#This Row],[voornaam]])</f>
        <v>36438 Agil Birol</v>
      </c>
      <c r="C724" t="str">
        <f>VLOOKUP(bron[[#This Row],[personeelsnr]],'data hastus'!$A:$C,2,0)</f>
        <v>Agil</v>
      </c>
      <c r="D724" t="str">
        <f>VLOOKUP(bron[[#This Row],[personeelsnr]],'data hastus'!$A:$C,3,0)</f>
        <v>Birol</v>
      </c>
      <c r="E724" t="str">
        <f>VLOOKUP(bron[[#This Row],[personeelsnr]],'data hastus'!A:K,11,FALSE)</f>
        <v>Bart Van Der Beken</v>
      </c>
      <c r="F724" s="10"/>
      <c r="G724" s="6"/>
      <c r="H724" s="6"/>
      <c r="I724" s="6"/>
      <c r="J724"/>
      <c r="K724">
        <v>1</v>
      </c>
      <c r="L724"/>
      <c r="M724"/>
      <c r="N724"/>
      <c r="O724"/>
      <c r="P724"/>
      <c r="Q724"/>
      <c r="R724"/>
      <c r="S724">
        <f>SUM(bron[[#This Row],[Januari]:[December]])</f>
        <v>1</v>
      </c>
      <c r="T724" s="3">
        <v>45803</v>
      </c>
      <c r="U724" s="8" t="s">
        <v>1162</v>
      </c>
      <c r="V724" s="8"/>
      <c r="W724" s="8">
        <v>1</v>
      </c>
      <c r="X724" t="s">
        <v>3528</v>
      </c>
      <c r="Y724" t="s">
        <v>58</v>
      </c>
      <c r="Z724">
        <v>6314</v>
      </c>
      <c r="AA724" s="24" t="s">
        <v>3539</v>
      </c>
      <c r="AB724">
        <f>COUNTIF(B:B,bron[[#This Row],[volledige naam]])</f>
        <v>3</v>
      </c>
    </row>
    <row r="725" spans="1:28" x14ac:dyDescent="0.25">
      <c r="A725">
        <v>40856</v>
      </c>
      <c r="B725" t="str">
        <f>_xlfn.CONCAT(bron[[#This Row],[personeelsnr]]," ",bron[[#This Row],[achternaam]]," ",bron[[#This Row],[voornaam]])</f>
        <v>40856 Neissi Sadegh</v>
      </c>
      <c r="C725" t="str">
        <f>VLOOKUP(bron[[#This Row],[personeelsnr]],'data hastus'!$A:$C,2,0)</f>
        <v>Neissi</v>
      </c>
      <c r="D725" t="str">
        <f>VLOOKUP(bron[[#This Row],[personeelsnr]],'data hastus'!$A:$C,3,0)</f>
        <v>Sadegh</v>
      </c>
      <c r="E725" t="str">
        <f>VLOOKUP(bron[[#This Row],[personeelsnr]],'data hastus'!A:K,11,FALSE)</f>
        <v>Kenneth De Rick</v>
      </c>
      <c r="F725" s="10"/>
      <c r="G725" s="7"/>
      <c r="H725" s="7"/>
      <c r="I725" s="7"/>
      <c r="J725" s="5"/>
      <c r="K725" s="5">
        <v>1</v>
      </c>
      <c r="L725" s="5"/>
      <c r="M725" s="5"/>
      <c r="N725" s="5"/>
      <c r="O725" s="5"/>
      <c r="P725" s="5"/>
      <c r="Q725" s="5"/>
      <c r="R725" s="5"/>
      <c r="S725" s="5">
        <f>SUM(bron[[#This Row],[Januari]:[December]])</f>
        <v>1</v>
      </c>
      <c r="T725" s="9">
        <v>45806</v>
      </c>
      <c r="U725" s="8" t="s">
        <v>1164</v>
      </c>
      <c r="V725" s="8">
        <v>1</v>
      </c>
      <c r="W725" s="8"/>
      <c r="X725" t="s">
        <v>3492</v>
      </c>
      <c r="Y725" t="s">
        <v>106</v>
      </c>
      <c r="Z725">
        <v>5630</v>
      </c>
      <c r="AA725" s="24" t="s">
        <v>3539</v>
      </c>
      <c r="AB725">
        <f>COUNTIF(B:B,bron[[#This Row],[volledige naam]])</f>
        <v>5</v>
      </c>
    </row>
    <row r="726" spans="1:28" x14ac:dyDescent="0.25">
      <c r="A726">
        <v>41619</v>
      </c>
      <c r="B726" t="str">
        <f>_xlfn.CONCAT(bron[[#This Row],[personeelsnr]]," ",bron[[#This Row],[achternaam]]," ",bron[[#This Row],[voornaam]])</f>
        <v>41619 Bachiri Ousama</v>
      </c>
      <c r="C726" t="str">
        <f>VLOOKUP(bron[[#This Row],[personeelsnr]],'data hastus'!$A:$C,2,0)</f>
        <v>Bachiri</v>
      </c>
      <c r="D726" t="str">
        <f>VLOOKUP(bron[[#This Row],[personeelsnr]],'data hastus'!$A:$C,3,0)</f>
        <v>Ousama</v>
      </c>
      <c r="E726" t="str">
        <f>VLOOKUP(bron[[#This Row],[personeelsnr]],'data hastus'!A:K,11,FALSE)</f>
        <v>Bart Van Der Beken</v>
      </c>
      <c r="F726" s="10"/>
      <c r="G726" s="7"/>
      <c r="H726" s="7"/>
      <c r="I726" s="7"/>
      <c r="J726" s="5"/>
      <c r="K726" s="5">
        <v>1</v>
      </c>
      <c r="L726" s="5"/>
      <c r="M726" s="5"/>
      <c r="N726" s="5"/>
      <c r="O726" s="5"/>
      <c r="P726" s="5"/>
      <c r="Q726" s="5"/>
      <c r="R726" s="5"/>
      <c r="S726" s="5">
        <f>SUM(bron[[#This Row],[Januari]:[December]])</f>
        <v>1</v>
      </c>
      <c r="T726" s="9">
        <v>45807</v>
      </c>
      <c r="U726" s="8" t="s">
        <v>1165</v>
      </c>
      <c r="V726" s="8">
        <v>1</v>
      </c>
      <c r="W726" s="8"/>
      <c r="X726" t="s">
        <v>3493</v>
      </c>
      <c r="Y726" t="s">
        <v>40</v>
      </c>
      <c r="Z726">
        <v>5927</v>
      </c>
      <c r="AA726" s="24" t="s">
        <v>3539</v>
      </c>
      <c r="AB726">
        <f>COUNTIF(B:B,bron[[#This Row],[volledige naam]])</f>
        <v>3</v>
      </c>
    </row>
    <row r="727" spans="1:28" x14ac:dyDescent="0.25">
      <c r="A727">
        <v>39927</v>
      </c>
      <c r="B727" t="str">
        <f>_xlfn.CONCAT(bron[[#This Row],[personeelsnr]]," ",bron[[#This Row],[achternaam]]," ",bron[[#This Row],[voornaam]])</f>
        <v>39927 De Wilde Jordy</v>
      </c>
      <c r="C727" t="str">
        <f>VLOOKUP(bron[[#This Row],[personeelsnr]],'data hastus'!$A:$C,2,0)</f>
        <v>De Wilde</v>
      </c>
      <c r="D727" t="str">
        <f>VLOOKUP(bron[[#This Row],[personeelsnr]],'data hastus'!$A:$C,3,0)</f>
        <v>Jordy</v>
      </c>
      <c r="E727" t="str">
        <f>VLOOKUP(bron[[#This Row],[personeelsnr]],'data hastus'!A:K,11,FALSE)</f>
        <v>Christoff Rotty</v>
      </c>
      <c r="F727" s="10"/>
      <c r="G727" s="7"/>
      <c r="H727" s="7"/>
      <c r="I727" s="7"/>
      <c r="J727" s="5"/>
      <c r="K727" s="5">
        <v>1</v>
      </c>
      <c r="L727" s="5"/>
      <c r="M727" s="5"/>
      <c r="N727" s="5"/>
      <c r="O727" s="5"/>
      <c r="P727" s="5"/>
      <c r="Q727" s="5"/>
      <c r="R727" s="5"/>
      <c r="S727" s="5">
        <f>SUM(bron[[#This Row],[Januari]:[December]])</f>
        <v>1</v>
      </c>
      <c r="T727" s="9">
        <v>45808</v>
      </c>
      <c r="U727" s="8" t="s">
        <v>1166</v>
      </c>
      <c r="V727" s="8"/>
      <c r="W727" s="8">
        <v>1</v>
      </c>
      <c r="X727" t="s">
        <v>3529</v>
      </c>
      <c r="Y727" t="s">
        <v>2</v>
      </c>
      <c r="Z727">
        <v>6355</v>
      </c>
      <c r="AA727" s="24" t="s">
        <v>3539</v>
      </c>
      <c r="AB727">
        <f>COUNTIF(B:B,bron[[#This Row],[volledige naam]])</f>
        <v>2</v>
      </c>
    </row>
    <row r="728" spans="1:28" x14ac:dyDescent="0.25">
      <c r="A728">
        <v>40036</v>
      </c>
      <c r="B728" t="str">
        <f>_xlfn.CONCAT(bron[[#This Row],[personeelsnr]]," ",bron[[#This Row],[achternaam]]," ",bron[[#This Row],[voornaam]])</f>
        <v>40036 Karakaya Oguz</v>
      </c>
      <c r="C728" t="str">
        <f>VLOOKUP(bron[[#This Row],[personeelsnr]],'data hastus'!$A:$C,2,0)</f>
        <v>Karakaya</v>
      </c>
      <c r="D728" t="str">
        <f>VLOOKUP(bron[[#This Row],[personeelsnr]],'data hastus'!$A:$C,3,0)</f>
        <v>Oguz</v>
      </c>
      <c r="E728" t="str">
        <f>VLOOKUP(bron[[#This Row],[personeelsnr]],'data hastus'!A:K,11,FALSE)</f>
        <v>Dominique De Clercq</v>
      </c>
      <c r="F728" s="10"/>
      <c r="G728" s="7"/>
      <c r="H728" s="7"/>
      <c r="I728" s="7"/>
      <c r="J728" s="5"/>
      <c r="K728" s="5"/>
      <c r="L728" s="5">
        <v>1</v>
      </c>
      <c r="M728" s="5"/>
      <c r="N728" s="5"/>
      <c r="O728" s="5"/>
      <c r="P728" s="5"/>
      <c r="Q728" s="5"/>
      <c r="R728" s="5"/>
      <c r="S728" s="5">
        <f>SUM(bron[[#This Row],[Januari]:[December]])</f>
        <v>1</v>
      </c>
      <c r="T728" s="9">
        <v>45810</v>
      </c>
      <c r="U728" s="8" t="s">
        <v>1169</v>
      </c>
      <c r="V728" s="8">
        <v>1</v>
      </c>
      <c r="W728" s="8"/>
      <c r="X728" t="s">
        <v>3493</v>
      </c>
      <c r="Y728" t="s">
        <v>43</v>
      </c>
      <c r="Z728">
        <v>5931</v>
      </c>
      <c r="AA728" s="24" t="s">
        <v>3539</v>
      </c>
      <c r="AB728">
        <f>COUNTIF(B:B,bron[[#This Row],[volledige naam]])</f>
        <v>2</v>
      </c>
    </row>
    <row r="729" spans="1:28" x14ac:dyDescent="0.25">
      <c r="A729">
        <v>40278</v>
      </c>
      <c r="B729" t="str">
        <f>_xlfn.CONCAT(bron[[#This Row],[personeelsnr]]," ",bron[[#This Row],[achternaam]]," ",bron[[#This Row],[voornaam]])</f>
        <v>40278 Ates Firat</v>
      </c>
      <c r="C729" t="str">
        <f>VLOOKUP(bron[[#This Row],[personeelsnr]],'data hastus'!$A:$C,2,0)</f>
        <v>Ates</v>
      </c>
      <c r="D729" t="str">
        <f>VLOOKUP(bron[[#This Row],[personeelsnr]],'data hastus'!$A:$C,3,0)</f>
        <v>Firat</v>
      </c>
      <c r="E729" t="str">
        <f>VLOOKUP(bron[[#This Row],[personeelsnr]],'data hastus'!A:K,11,FALSE)</f>
        <v>Christoff Rotty</v>
      </c>
      <c r="F729" s="10"/>
      <c r="G729" s="7"/>
      <c r="H729" s="7"/>
      <c r="I729" s="7"/>
      <c r="J729" s="5"/>
      <c r="K729" s="5"/>
      <c r="L729" s="5">
        <v>1</v>
      </c>
      <c r="M729" s="5"/>
      <c r="N729" s="5"/>
      <c r="O729" s="5"/>
      <c r="P729" s="5"/>
      <c r="Q729" s="5"/>
      <c r="R729" s="5"/>
      <c r="S729" s="5">
        <f>SUM(bron[[#This Row],[Januari]:[December]])</f>
        <v>1</v>
      </c>
      <c r="T729" s="9">
        <v>45810</v>
      </c>
      <c r="U729" s="8" t="s">
        <v>1167</v>
      </c>
      <c r="V729" s="8">
        <v>1</v>
      </c>
      <c r="W729" s="8"/>
      <c r="X729" t="s">
        <v>3494</v>
      </c>
      <c r="Y729" t="s">
        <v>79</v>
      </c>
      <c r="Z729">
        <v>5236</v>
      </c>
      <c r="AA729" s="24" t="s">
        <v>3539</v>
      </c>
      <c r="AB729">
        <f>COUNTIF(B:B,bron[[#This Row],[volledige naam]])</f>
        <v>4</v>
      </c>
    </row>
    <row r="730" spans="1:28" x14ac:dyDescent="0.25">
      <c r="A730">
        <v>41384</v>
      </c>
      <c r="B730" t="str">
        <f>_xlfn.CONCAT(bron[[#This Row],[personeelsnr]]," ",bron[[#This Row],[achternaam]]," ",bron[[#This Row],[voornaam]])</f>
        <v>41384 Hillaert Thimo</v>
      </c>
      <c r="C730" t="str">
        <f>VLOOKUP(bron[[#This Row],[personeelsnr]],'data hastus'!$A:$C,2,0)</f>
        <v>Hillaert</v>
      </c>
      <c r="D730" t="str">
        <f>VLOOKUP(bron[[#This Row],[personeelsnr]],'data hastus'!$A:$C,3,0)</f>
        <v>Thimo</v>
      </c>
      <c r="E730" t="str">
        <f>VLOOKUP(bron[[#This Row],[personeelsnr]],'data hastus'!A:K,11,FALSE)</f>
        <v>Christoff Rotty</v>
      </c>
      <c r="F730" s="10"/>
      <c r="G730" s="7"/>
      <c r="H730" s="7"/>
      <c r="I730" s="7"/>
      <c r="J730" s="5"/>
      <c r="K730" s="5"/>
      <c r="L730" s="5">
        <v>1</v>
      </c>
      <c r="M730" s="5"/>
      <c r="N730" s="5"/>
      <c r="O730" s="5"/>
      <c r="P730" s="5"/>
      <c r="Q730" s="5"/>
      <c r="R730" s="5"/>
      <c r="S730" s="5">
        <f>SUM(bron[[#This Row],[Januari]:[December]])</f>
        <v>1</v>
      </c>
      <c r="T730" s="9">
        <v>45810</v>
      </c>
      <c r="U730" s="8" t="s">
        <v>1168</v>
      </c>
      <c r="V730" s="8">
        <v>1</v>
      </c>
      <c r="W730" s="8"/>
      <c r="X730" t="s">
        <v>3493</v>
      </c>
      <c r="Y730" t="s">
        <v>18</v>
      </c>
      <c r="Z730">
        <v>5489</v>
      </c>
      <c r="AA730" s="24" t="s">
        <v>3539</v>
      </c>
      <c r="AB730">
        <f>COUNTIF(B:B,bron[[#This Row],[volledige naam]])</f>
        <v>4</v>
      </c>
    </row>
    <row r="731" spans="1:28" x14ac:dyDescent="0.25">
      <c r="A731">
        <v>23918</v>
      </c>
      <c r="B731" t="str">
        <f>_xlfn.CONCAT(bron[[#This Row],[personeelsnr]]," ",bron[[#This Row],[achternaam]]," ",bron[[#This Row],[voornaam]])</f>
        <v>23918 D'Haeyere Bernard</v>
      </c>
      <c r="C731" t="str">
        <f>VLOOKUP(bron[[#This Row],[personeelsnr]],'data hastus'!$A:$C,2,0)</f>
        <v>D'Haeyere</v>
      </c>
      <c r="D731" t="str">
        <f>VLOOKUP(bron[[#This Row],[personeelsnr]],'data hastus'!$A:$C,3,0)</f>
        <v>Bernard</v>
      </c>
      <c r="E731" t="str">
        <f>VLOOKUP(bron[[#This Row],[personeelsnr]],'data hastus'!A:K,11,FALSE)</f>
        <v>Els Vanhoe</v>
      </c>
      <c r="F731" s="10"/>
      <c r="G731" s="7"/>
      <c r="H731" s="7"/>
      <c r="I731" s="7"/>
      <c r="J731" s="5"/>
      <c r="K731" s="5"/>
      <c r="L731" s="5">
        <v>1</v>
      </c>
      <c r="M731" s="5"/>
      <c r="N731" s="5"/>
      <c r="O731" s="5"/>
      <c r="P731" s="5"/>
      <c r="Q731" s="5"/>
      <c r="R731" s="5"/>
      <c r="S731" s="5">
        <f>SUM(bron[[#This Row],[Januari]:[December]])</f>
        <v>1</v>
      </c>
      <c r="T731" s="9">
        <v>45811</v>
      </c>
      <c r="U731" s="8" t="s">
        <v>1172</v>
      </c>
      <c r="V731" s="8">
        <v>1</v>
      </c>
      <c r="W731" s="8"/>
      <c r="X731" t="s">
        <v>3493</v>
      </c>
      <c r="Y731" t="s">
        <v>136</v>
      </c>
      <c r="Z731">
        <v>5931</v>
      </c>
      <c r="AA731" s="24" t="s">
        <v>3539</v>
      </c>
      <c r="AB731">
        <f>COUNTIF(B:B,bron[[#This Row],[volledige naam]])</f>
        <v>3</v>
      </c>
    </row>
    <row r="732" spans="1:28" x14ac:dyDescent="0.25">
      <c r="A732">
        <v>36154</v>
      </c>
      <c r="B732" t="str">
        <f>_xlfn.CONCAT(bron[[#This Row],[personeelsnr]]," ",bron[[#This Row],[achternaam]]," ",bron[[#This Row],[voornaam]])</f>
        <v>36154 De Clercq Sven</v>
      </c>
      <c r="C732" t="str">
        <f>VLOOKUP(bron[[#This Row],[personeelsnr]],'data hastus'!$A:$C,2,0)</f>
        <v>De Clercq</v>
      </c>
      <c r="D732" t="str">
        <f>VLOOKUP(bron[[#This Row],[personeelsnr]],'data hastus'!$A:$C,3,0)</f>
        <v>Sven</v>
      </c>
      <c r="E732" t="str">
        <f>VLOOKUP(bron[[#This Row],[personeelsnr]],'data hastus'!A:K,11,FALSE)</f>
        <v>Lucie Vande Velde</v>
      </c>
      <c r="F732" s="10"/>
      <c r="G732" s="7"/>
      <c r="H732" s="7"/>
      <c r="I732" s="7"/>
      <c r="J732" s="5"/>
      <c r="K732" s="5"/>
      <c r="L732" s="5">
        <v>1</v>
      </c>
      <c r="M732" s="5"/>
      <c r="N732" s="5"/>
      <c r="O732" s="5"/>
      <c r="P732" s="5"/>
      <c r="Q732" s="5"/>
      <c r="R732" s="5"/>
      <c r="S732" s="5">
        <f>SUM(bron[[#This Row],[Januari]:[December]])</f>
        <v>1</v>
      </c>
      <c r="T732" s="9">
        <v>45811</v>
      </c>
      <c r="U732" s="8" t="s">
        <v>1173</v>
      </c>
      <c r="V732" s="8"/>
      <c r="W732" s="8">
        <v>1</v>
      </c>
      <c r="X732" t="s">
        <v>3529</v>
      </c>
      <c r="Y732" t="s">
        <v>64</v>
      </c>
      <c r="Z732">
        <v>6356</v>
      </c>
      <c r="AA732" s="24" t="s">
        <v>3539</v>
      </c>
      <c r="AB732">
        <f>COUNTIF(B:B,bron[[#This Row],[volledige naam]])</f>
        <v>1</v>
      </c>
    </row>
    <row r="733" spans="1:28" x14ac:dyDescent="0.25">
      <c r="A733">
        <v>41064</v>
      </c>
      <c r="B733" t="str">
        <f>_xlfn.CONCAT(bron[[#This Row],[personeelsnr]]," ",bron[[#This Row],[achternaam]]," ",bron[[#This Row],[voornaam]])</f>
        <v>41064 Ardic Atilla</v>
      </c>
      <c r="C733" t="str">
        <f>VLOOKUP(bron[[#This Row],[personeelsnr]],'data hastus'!$A:$C,2,0)</f>
        <v>Ardic</v>
      </c>
      <c r="D733" t="str">
        <f>VLOOKUP(bron[[#This Row],[personeelsnr]],'data hastus'!$A:$C,3,0)</f>
        <v>Atilla</v>
      </c>
      <c r="E733" t="str">
        <f>VLOOKUP(bron[[#This Row],[personeelsnr]],'data hastus'!A:K,11,FALSE)</f>
        <v>Dominique De Clercq</v>
      </c>
      <c r="F733" s="10"/>
      <c r="G733" s="7"/>
      <c r="H733" s="7"/>
      <c r="I733" s="7"/>
      <c r="J733" s="5"/>
      <c r="K733" s="5"/>
      <c r="L733" s="5">
        <v>1</v>
      </c>
      <c r="M733" s="5"/>
      <c r="N733" s="5"/>
      <c r="O733" s="5"/>
      <c r="P733" s="5"/>
      <c r="Q733" s="5"/>
      <c r="R733" s="5"/>
      <c r="S733" s="5">
        <f>SUM(bron[[#This Row],[Januari]:[December]])</f>
        <v>1</v>
      </c>
      <c r="T733" s="9">
        <v>45811</v>
      </c>
      <c r="U733" s="8" t="s">
        <v>1170</v>
      </c>
      <c r="V733" s="22">
        <v>1</v>
      </c>
      <c r="W733" s="22"/>
      <c r="X733" t="s">
        <v>3493</v>
      </c>
      <c r="Y733" t="s">
        <v>2</v>
      </c>
      <c r="Z733">
        <v>5048</v>
      </c>
      <c r="AA733" s="24" t="s">
        <v>3539</v>
      </c>
      <c r="AB733">
        <f>COUNTIF(B:B,bron[[#This Row],[volledige naam]])</f>
        <v>2</v>
      </c>
    </row>
    <row r="734" spans="1:28" x14ac:dyDescent="0.25">
      <c r="A734">
        <v>41246</v>
      </c>
      <c r="B734" t="str">
        <f>_xlfn.CONCAT(bron[[#This Row],[personeelsnr]]," ",bron[[#This Row],[achternaam]]," ",bron[[#This Row],[voornaam]])</f>
        <v>41246 Van Holsbeeck Yana</v>
      </c>
      <c r="C734" t="str">
        <f>VLOOKUP(bron[[#This Row],[personeelsnr]],'data hastus'!$A:$C,2,0)</f>
        <v>Van Holsbeeck</v>
      </c>
      <c r="D734" t="str">
        <f>VLOOKUP(bron[[#This Row],[personeelsnr]],'data hastus'!$A:$C,3,0)</f>
        <v>Yana</v>
      </c>
      <c r="E734" t="str">
        <f>VLOOKUP(bron[[#This Row],[personeelsnr]],'data hastus'!A:K,11,FALSE)</f>
        <v>Dominique De Clercq</v>
      </c>
      <c r="F734" s="10"/>
      <c r="G734" s="7"/>
      <c r="H734" s="7"/>
      <c r="I734" s="7"/>
      <c r="J734" s="5"/>
      <c r="K734" s="5"/>
      <c r="L734" s="5">
        <v>1</v>
      </c>
      <c r="M734" s="5"/>
      <c r="N734" s="5"/>
      <c r="O734" s="5"/>
      <c r="P734" s="5"/>
      <c r="Q734" s="5"/>
      <c r="R734" s="5"/>
      <c r="S734" s="5">
        <f>SUM(bron[[#This Row],[Januari]:[December]])</f>
        <v>1</v>
      </c>
      <c r="T734" s="9">
        <v>45811</v>
      </c>
      <c r="U734" s="8" t="s">
        <v>1171</v>
      </c>
      <c r="V734" s="8">
        <v>1</v>
      </c>
      <c r="W734" s="8"/>
      <c r="X734" t="s">
        <v>3493</v>
      </c>
      <c r="Y734" t="s">
        <v>262</v>
      </c>
      <c r="Z734">
        <v>5920</v>
      </c>
      <c r="AA734" s="24" t="s">
        <v>3539</v>
      </c>
      <c r="AB734">
        <f>COUNTIF(B:B,bron[[#This Row],[volledige naam]])</f>
        <v>3</v>
      </c>
    </row>
    <row r="735" spans="1:28" x14ac:dyDescent="0.25">
      <c r="A735">
        <v>38481</v>
      </c>
      <c r="B735" t="str">
        <f>_xlfn.CONCAT(bron[[#This Row],[personeelsnr]]," ",bron[[#This Row],[achternaam]]," ",bron[[#This Row],[voornaam]])</f>
        <v>38481 Sari Devrim</v>
      </c>
      <c r="C735" t="str">
        <f>VLOOKUP(bron[[#This Row],[personeelsnr]],'data hastus'!$A:$C,2,0)</f>
        <v>Sari</v>
      </c>
      <c r="D735" t="str">
        <f>VLOOKUP(bron[[#This Row],[personeelsnr]],'data hastus'!$A:$C,3,0)</f>
        <v>Devrim</v>
      </c>
      <c r="E735" t="str">
        <f>VLOOKUP(bron[[#This Row],[personeelsnr]],'data hastus'!A:K,11,FALSE)</f>
        <v>Kenneth De Rick</v>
      </c>
      <c r="F735" s="10"/>
      <c r="G735" s="7"/>
      <c r="H735" s="7"/>
      <c r="I735" s="7"/>
      <c r="J735" s="5"/>
      <c r="K735" s="5"/>
      <c r="L735" s="5">
        <v>1</v>
      </c>
      <c r="M735" s="5"/>
      <c r="N735" s="5"/>
      <c r="O735" s="5"/>
      <c r="P735" s="5"/>
      <c r="Q735" s="5"/>
      <c r="R735" s="5"/>
      <c r="S735" s="5">
        <f>SUM(bron[[#This Row],[Januari]:[December]])</f>
        <v>1</v>
      </c>
      <c r="T735" s="9">
        <v>45812</v>
      </c>
      <c r="U735" s="8" t="s">
        <v>1174</v>
      </c>
      <c r="V735" s="22">
        <v>1</v>
      </c>
      <c r="W735" s="22"/>
      <c r="X735" t="s">
        <v>3493</v>
      </c>
      <c r="Y735" t="s">
        <v>227</v>
      </c>
      <c r="Z735">
        <v>0</v>
      </c>
      <c r="AA735" s="24" t="s">
        <v>3539</v>
      </c>
      <c r="AB735">
        <f>COUNTIF(B:B,bron[[#This Row],[volledige naam]])</f>
        <v>3</v>
      </c>
    </row>
    <row r="736" spans="1:28" x14ac:dyDescent="0.25">
      <c r="A736">
        <v>30119</v>
      </c>
      <c r="B736" t="str">
        <f>_xlfn.CONCAT(bron[[#This Row],[personeelsnr]]," ",bron[[#This Row],[achternaam]]," ",bron[[#This Row],[voornaam]])</f>
        <v>30119 Haerens Tom</v>
      </c>
      <c r="C736" t="str">
        <f>VLOOKUP(bron[[#This Row],[personeelsnr]],'data hastus'!$A:$C,2,0)</f>
        <v>Haerens</v>
      </c>
      <c r="D736" t="str">
        <f>VLOOKUP(bron[[#This Row],[personeelsnr]],'data hastus'!$A:$C,3,0)</f>
        <v>Tom</v>
      </c>
      <c r="E736" t="str">
        <f>VLOOKUP(bron[[#This Row],[personeelsnr]],'data hastus'!A:K,11,FALSE)</f>
        <v>Dominique De Clercq</v>
      </c>
      <c r="F736" s="10"/>
      <c r="G736" s="7"/>
      <c r="H736" s="7"/>
      <c r="I736" s="7"/>
      <c r="J736" s="5"/>
      <c r="K736" s="5"/>
      <c r="L736" s="5">
        <v>1</v>
      </c>
      <c r="M736" s="5"/>
      <c r="N736" s="5"/>
      <c r="O736" s="5"/>
      <c r="P736" s="5"/>
      <c r="Q736" s="5"/>
      <c r="R736" s="5"/>
      <c r="S736" s="5">
        <f>SUM(bron[[#This Row],[Januari]:[December]])</f>
        <v>1</v>
      </c>
      <c r="T736" s="9">
        <v>45813</v>
      </c>
      <c r="U736" s="8" t="s">
        <v>1288</v>
      </c>
      <c r="V736" s="22"/>
      <c r="W736" s="22">
        <v>1</v>
      </c>
      <c r="X736" t="s">
        <v>3528</v>
      </c>
      <c r="Y736" t="s">
        <v>20</v>
      </c>
      <c r="Z736">
        <v>6323</v>
      </c>
      <c r="AA736" s="24" t="s">
        <v>3540</v>
      </c>
      <c r="AB736">
        <f>COUNTIF(B:B,bron[[#This Row],[volledige naam]])</f>
        <v>2</v>
      </c>
    </row>
    <row r="737" spans="1:28" x14ac:dyDescent="0.25">
      <c r="A737">
        <v>41032</v>
      </c>
      <c r="B737" t="str">
        <f>_xlfn.CONCAT(bron[[#This Row],[personeelsnr]]," ",bron[[#This Row],[achternaam]]," ",bron[[#This Row],[voornaam]])</f>
        <v>41032 Rocabado Hinojosa Lukas</v>
      </c>
      <c r="C737" t="str">
        <f>VLOOKUP(bron[[#This Row],[personeelsnr]],'data hastus'!$A:$C,2,0)</f>
        <v>Rocabado Hinojosa</v>
      </c>
      <c r="D737" t="str">
        <f>VLOOKUP(bron[[#This Row],[personeelsnr]],'data hastus'!$A:$C,3,0)</f>
        <v>Lukas</v>
      </c>
      <c r="E737" t="str">
        <f>VLOOKUP(bron[[#This Row],[personeelsnr]],'data hastus'!A:K,11,FALSE)</f>
        <v>Els Vanhoe</v>
      </c>
      <c r="F737" s="10"/>
      <c r="G737" s="7"/>
      <c r="H737" s="7"/>
      <c r="I737" s="7"/>
      <c r="J737" s="5"/>
      <c r="K737" s="5"/>
      <c r="L737" s="5">
        <v>1</v>
      </c>
      <c r="M737" s="5"/>
      <c r="N737" s="5"/>
      <c r="O737" s="5"/>
      <c r="P737" s="5"/>
      <c r="Q737" s="5"/>
      <c r="R737" s="5"/>
      <c r="S737" s="5">
        <f>SUM(bron[[#This Row],[Januari]:[December]])</f>
        <v>1</v>
      </c>
      <c r="T737" s="9">
        <v>45813</v>
      </c>
      <c r="U737" s="8" t="s">
        <v>1175</v>
      </c>
      <c r="V737" s="8">
        <v>1</v>
      </c>
      <c r="W737" s="8"/>
      <c r="X737" t="s">
        <v>3494</v>
      </c>
      <c r="Y737" t="s">
        <v>98</v>
      </c>
      <c r="Z737">
        <v>5237</v>
      </c>
      <c r="AA737" s="24" t="s">
        <v>3539</v>
      </c>
      <c r="AB737">
        <f>COUNTIF(B:B,bron[[#This Row],[volledige naam]])</f>
        <v>4</v>
      </c>
    </row>
    <row r="738" spans="1:28" x14ac:dyDescent="0.25">
      <c r="A738">
        <v>41032</v>
      </c>
      <c r="B738" t="str">
        <f>_xlfn.CONCAT(bron[[#This Row],[personeelsnr]]," ",bron[[#This Row],[achternaam]]," ",bron[[#This Row],[voornaam]])</f>
        <v>41032 Rocabado Hinojosa Lukas</v>
      </c>
      <c r="C738" t="str">
        <f>VLOOKUP(bron[[#This Row],[personeelsnr]],'data hastus'!$A:$C,2,0)</f>
        <v>Rocabado Hinojosa</v>
      </c>
      <c r="D738" t="str">
        <f>VLOOKUP(bron[[#This Row],[personeelsnr]],'data hastus'!$A:$C,3,0)</f>
        <v>Lukas</v>
      </c>
      <c r="E738" t="str">
        <f>VLOOKUP(bron[[#This Row],[personeelsnr]],'data hastus'!A:K,11,FALSE)</f>
        <v>Els Vanhoe</v>
      </c>
      <c r="F738" s="10"/>
      <c r="G738" s="7"/>
      <c r="H738" s="7"/>
      <c r="I738" s="7"/>
      <c r="J738" s="5"/>
      <c r="K738" s="5"/>
      <c r="L738" s="5">
        <v>1</v>
      </c>
      <c r="M738" s="5"/>
      <c r="N738" s="5"/>
      <c r="O738" s="5"/>
      <c r="P738" s="5"/>
      <c r="Q738" s="5"/>
      <c r="R738" s="5"/>
      <c r="S738" s="5">
        <f>SUM(bron[[#This Row],[Januari]:[December]])</f>
        <v>1</v>
      </c>
      <c r="T738" s="9">
        <v>45813</v>
      </c>
      <c r="U738" s="8" t="s">
        <v>1176</v>
      </c>
      <c r="V738" s="8">
        <v>1</v>
      </c>
      <c r="W738" s="8"/>
      <c r="X738" t="s">
        <v>3494</v>
      </c>
      <c r="Y738" t="s">
        <v>22</v>
      </c>
      <c r="Z738">
        <v>5237</v>
      </c>
      <c r="AA738" s="24" t="s">
        <v>3539</v>
      </c>
      <c r="AB738">
        <f>COUNTIF(B:B,bron[[#This Row],[volledige naam]])</f>
        <v>4</v>
      </c>
    </row>
    <row r="739" spans="1:28" x14ac:dyDescent="0.25">
      <c r="A739">
        <v>36627</v>
      </c>
      <c r="B739" t="str">
        <f>_xlfn.CONCAT(bron[[#This Row],[personeelsnr]]," ",bron[[#This Row],[achternaam]]," ",bron[[#This Row],[voornaam]])</f>
        <v>36627 Dobbelaere David</v>
      </c>
      <c r="C739" t="str">
        <f>VLOOKUP(bron[[#This Row],[personeelsnr]],'data hastus'!$A:$C,2,0)</f>
        <v>Dobbelaere</v>
      </c>
      <c r="D739" t="str">
        <f>VLOOKUP(bron[[#This Row],[personeelsnr]],'data hastus'!$A:$C,3,0)</f>
        <v>David</v>
      </c>
      <c r="E739" t="str">
        <f>VLOOKUP(bron[[#This Row],[personeelsnr]],'data hastus'!A:K,11,FALSE)</f>
        <v>Els Dewulf</v>
      </c>
      <c r="F739" s="10"/>
      <c r="G739" s="7"/>
      <c r="H739" s="7"/>
      <c r="I739" s="7"/>
      <c r="J739" s="5"/>
      <c r="K739" s="5"/>
      <c r="L739" s="5">
        <v>1</v>
      </c>
      <c r="M739" s="5"/>
      <c r="N739" s="5"/>
      <c r="O739" s="5"/>
      <c r="P739" s="5"/>
      <c r="Q739" s="5"/>
      <c r="R739" s="5"/>
      <c r="S739" s="5">
        <f>SUM(bron[[#This Row],[Januari]:[December]])</f>
        <v>1</v>
      </c>
      <c r="T739" s="9">
        <v>45814</v>
      </c>
      <c r="U739" s="8" t="s">
        <v>1177</v>
      </c>
      <c r="V739" s="22"/>
      <c r="W739" s="22">
        <v>1</v>
      </c>
      <c r="X739" t="s">
        <v>3529</v>
      </c>
      <c r="Y739" t="s">
        <v>55</v>
      </c>
      <c r="Z739">
        <v>6374</v>
      </c>
      <c r="AA739" s="24" t="s">
        <v>3539</v>
      </c>
      <c r="AB739">
        <f>COUNTIF(B:B,bron[[#This Row],[volledige naam]])</f>
        <v>4</v>
      </c>
    </row>
    <row r="740" spans="1:28" x14ac:dyDescent="0.25">
      <c r="A740">
        <v>37208</v>
      </c>
      <c r="B740" t="str">
        <f>_xlfn.CONCAT(bron[[#This Row],[personeelsnr]]," ",bron[[#This Row],[achternaam]]," ",bron[[#This Row],[voornaam]])</f>
        <v>37208 Catar Gökhan</v>
      </c>
      <c r="C740" t="str">
        <f>VLOOKUP(bron[[#This Row],[personeelsnr]],'data hastus'!$A:$C,2,0)</f>
        <v>Catar</v>
      </c>
      <c r="D740" t="str">
        <f>VLOOKUP(bron[[#This Row],[personeelsnr]],'data hastus'!$A:$C,3,0)</f>
        <v>Gökhan</v>
      </c>
      <c r="E740" t="str">
        <f>VLOOKUP(bron[[#This Row],[personeelsnr]],'data hastus'!A:K,11,FALSE)</f>
        <v>Kenneth De Rick</v>
      </c>
      <c r="F740" s="10"/>
      <c r="G740" s="7"/>
      <c r="H740" s="7"/>
      <c r="I740" s="7"/>
      <c r="J740" s="5"/>
      <c r="K740" s="5"/>
      <c r="L740" s="5">
        <v>1</v>
      </c>
      <c r="M740" s="5"/>
      <c r="N740" s="5"/>
      <c r="O740" s="5"/>
      <c r="P740" s="5"/>
      <c r="Q740" s="5"/>
      <c r="R740" s="5"/>
      <c r="S740" s="5">
        <f>SUM(bron[[#This Row],[Januari]:[December]])</f>
        <v>1</v>
      </c>
      <c r="T740" s="9">
        <v>45815</v>
      </c>
      <c r="U740" s="8" t="s">
        <v>1178</v>
      </c>
      <c r="V740" s="22"/>
      <c r="W740" s="22">
        <v>1</v>
      </c>
      <c r="X740" t="s">
        <v>3528</v>
      </c>
      <c r="Y740" t="s">
        <v>6</v>
      </c>
      <c r="Z740">
        <v>6329</v>
      </c>
      <c r="AA740" s="24" t="s">
        <v>3539</v>
      </c>
      <c r="AB740">
        <f>COUNTIF(B:B,bron[[#This Row],[volledige naam]])</f>
        <v>1</v>
      </c>
    </row>
    <row r="741" spans="1:28" x14ac:dyDescent="0.25">
      <c r="A741">
        <v>40645</v>
      </c>
      <c r="B741" t="str">
        <f>_xlfn.CONCAT(bron[[#This Row],[personeelsnr]]," ",bron[[#This Row],[achternaam]]," ",bron[[#This Row],[voornaam]])</f>
        <v>40645 Bytebier Jason</v>
      </c>
      <c r="C741" t="str">
        <f>VLOOKUP(bron[[#This Row],[personeelsnr]],'data hastus'!$A:$C,2,0)</f>
        <v>Bytebier</v>
      </c>
      <c r="D741" t="str">
        <f>VLOOKUP(bron[[#This Row],[personeelsnr]],'data hastus'!$A:$C,3,0)</f>
        <v>Jason</v>
      </c>
      <c r="E741" t="str">
        <f>VLOOKUP(bron[[#This Row],[personeelsnr]],'data hastus'!A:K,11,FALSE)</f>
        <v>Els Dewulf</v>
      </c>
      <c r="F741" s="10"/>
      <c r="G741" s="7"/>
      <c r="H741" s="7"/>
      <c r="I741" s="7"/>
      <c r="J741" s="5"/>
      <c r="K741" s="5"/>
      <c r="L741" s="5">
        <v>1</v>
      </c>
      <c r="M741" s="5"/>
      <c r="N741" s="5"/>
      <c r="O741" s="5"/>
      <c r="P741" s="5"/>
      <c r="Q741" s="5"/>
      <c r="R741" s="5"/>
      <c r="S741" s="5">
        <f>SUM(bron[[#This Row],[Januari]:[December]])</f>
        <v>1</v>
      </c>
      <c r="T741" s="9">
        <v>45818</v>
      </c>
      <c r="U741" s="8" t="s">
        <v>1179</v>
      </c>
      <c r="V741" s="22">
        <v>1</v>
      </c>
      <c r="W741" s="22"/>
      <c r="X741" t="s">
        <v>3493</v>
      </c>
      <c r="Y741" t="s">
        <v>10</v>
      </c>
      <c r="Z741">
        <v>5909</v>
      </c>
      <c r="AA741" s="24" t="s">
        <v>3539</v>
      </c>
      <c r="AB741">
        <f>COUNTIF(B:B,bron[[#This Row],[volledige naam]])</f>
        <v>2</v>
      </c>
    </row>
    <row r="742" spans="1:28" x14ac:dyDescent="0.25">
      <c r="A742">
        <v>36512</v>
      </c>
      <c r="B742" t="str">
        <f>_xlfn.CONCAT(bron[[#This Row],[personeelsnr]]," ",bron[[#This Row],[achternaam]]," ",bron[[#This Row],[voornaam]])</f>
        <v>36512 Van Herreweghe Branco</v>
      </c>
      <c r="C742" t="str">
        <f>VLOOKUP(bron[[#This Row],[personeelsnr]],'data hastus'!$A:$C,2,0)</f>
        <v>Van Herreweghe</v>
      </c>
      <c r="D742" t="str">
        <f>VLOOKUP(bron[[#This Row],[personeelsnr]],'data hastus'!$A:$C,3,0)</f>
        <v>Branco</v>
      </c>
      <c r="E742" t="str">
        <f>VLOOKUP(bron[[#This Row],[personeelsnr]],'data hastus'!A:K,11,FALSE)</f>
        <v>Steven Storm</v>
      </c>
      <c r="F742" s="10"/>
      <c r="G742" s="7"/>
      <c r="H742" s="7"/>
      <c r="I742" s="7"/>
      <c r="J742" s="5"/>
      <c r="K742" s="5"/>
      <c r="L742" s="5">
        <v>1</v>
      </c>
      <c r="M742" s="5"/>
      <c r="N742" s="5"/>
      <c r="O742" s="5"/>
      <c r="P742" s="5"/>
      <c r="Q742" s="5"/>
      <c r="R742" s="5"/>
      <c r="S742" s="5">
        <f>SUM(bron[[#This Row],[Januari]:[December]])</f>
        <v>1</v>
      </c>
      <c r="T742" s="9">
        <v>45819</v>
      </c>
      <c r="U742" s="8" t="s">
        <v>1180</v>
      </c>
      <c r="V742" s="22">
        <v>1</v>
      </c>
      <c r="W742" s="22"/>
      <c r="X742" t="s">
        <v>3493</v>
      </c>
      <c r="Y742" t="s">
        <v>69</v>
      </c>
      <c r="Z742">
        <v>5934</v>
      </c>
      <c r="AA742" s="24" t="s">
        <v>3539</v>
      </c>
      <c r="AB742">
        <f>COUNTIF(B:B,bron[[#This Row],[volledige naam]])</f>
        <v>3</v>
      </c>
    </row>
    <row r="743" spans="1:28" x14ac:dyDescent="0.25">
      <c r="A743">
        <v>7746</v>
      </c>
      <c r="B743" t="str">
        <f>_xlfn.CONCAT(bron[[#This Row],[personeelsnr]]," ",bron[[#This Row],[achternaam]]," ",bron[[#This Row],[voornaam]])</f>
        <v>7746 Aelterman Didier</v>
      </c>
      <c r="C743" t="str">
        <f>VLOOKUP(bron[[#This Row],[personeelsnr]],'data hastus'!$A:$C,2,0)</f>
        <v>Aelterman</v>
      </c>
      <c r="D743" t="str">
        <f>VLOOKUP(bron[[#This Row],[personeelsnr]],'data hastus'!$A:$C,3,0)</f>
        <v>Didier</v>
      </c>
      <c r="E743" t="str">
        <f>VLOOKUP(bron[[#This Row],[personeelsnr]],'data hastus'!A:K,11,FALSE)</f>
        <v>Christoff Rotty</v>
      </c>
      <c r="F743" s="10"/>
      <c r="G743" s="7"/>
      <c r="H743" s="7"/>
      <c r="I743" s="7"/>
      <c r="J743" s="5"/>
      <c r="K743" s="5"/>
      <c r="L743" s="5">
        <v>1</v>
      </c>
      <c r="M743" s="5"/>
      <c r="N743" s="5"/>
      <c r="O743" s="5"/>
      <c r="P743" s="5"/>
      <c r="Q743" s="5"/>
      <c r="R743" s="5"/>
      <c r="S743" s="5">
        <f>SUM(bron[[#This Row],[Januari]:[December]])</f>
        <v>1</v>
      </c>
      <c r="T743" s="9">
        <v>45820</v>
      </c>
      <c r="U743" s="8" t="s">
        <v>1181</v>
      </c>
      <c r="V743" s="22">
        <v>1</v>
      </c>
      <c r="W743" s="22"/>
      <c r="X743" t="s">
        <v>3493</v>
      </c>
      <c r="Y743" t="s">
        <v>75</v>
      </c>
      <c r="Z743">
        <v>5488</v>
      </c>
      <c r="AA743" s="24" t="s">
        <v>3539</v>
      </c>
      <c r="AB743">
        <f>COUNTIF(B:B,bron[[#This Row],[volledige naam]])</f>
        <v>1</v>
      </c>
    </row>
    <row r="744" spans="1:28" x14ac:dyDescent="0.25">
      <c r="A744">
        <v>31150</v>
      </c>
      <c r="B744" t="str">
        <f>_xlfn.CONCAT(bron[[#This Row],[personeelsnr]]," ",bron[[#This Row],[achternaam]]," ",bron[[#This Row],[voornaam]])</f>
        <v>31150 Oueslati Mohamed Ali</v>
      </c>
      <c r="C744" t="str">
        <f>VLOOKUP(bron[[#This Row],[personeelsnr]],'data hastus'!$A:$C,2,0)</f>
        <v>Oueslati</v>
      </c>
      <c r="D744" t="str">
        <f>VLOOKUP(bron[[#This Row],[personeelsnr]],'data hastus'!$A:$C,3,0)</f>
        <v>Mohamed Ali</v>
      </c>
      <c r="E744" t="str">
        <f>VLOOKUP(bron[[#This Row],[personeelsnr]],'data hastus'!A:K,11,FALSE)</f>
        <v>Kenneth De Rick</v>
      </c>
      <c r="F744" s="10"/>
      <c r="G744" s="7"/>
      <c r="H744" s="7"/>
      <c r="I744" s="7"/>
      <c r="J744" s="5"/>
      <c r="K744" s="5"/>
      <c r="L744" s="5">
        <v>1</v>
      </c>
      <c r="M744" s="5"/>
      <c r="N744" s="5"/>
      <c r="O744" s="5"/>
      <c r="P744" s="5"/>
      <c r="Q744" s="5"/>
      <c r="R744" s="5"/>
      <c r="S744" s="5">
        <f>SUM(bron[[#This Row],[Januari]:[December]])</f>
        <v>1</v>
      </c>
      <c r="T744" s="9">
        <v>45820</v>
      </c>
      <c r="U744" s="8" t="s">
        <v>1182</v>
      </c>
      <c r="V744" s="22">
        <v>1</v>
      </c>
      <c r="W744" s="22"/>
      <c r="X744" t="s">
        <v>3492</v>
      </c>
      <c r="Y744" t="s">
        <v>12</v>
      </c>
      <c r="Z744">
        <v>5039</v>
      </c>
      <c r="AA744" s="24" t="s">
        <v>3539</v>
      </c>
      <c r="AB744">
        <f>COUNTIF(B:B,bron[[#This Row],[volledige naam]])</f>
        <v>1</v>
      </c>
    </row>
    <row r="745" spans="1:28" x14ac:dyDescent="0.25">
      <c r="A745">
        <v>26695</v>
      </c>
      <c r="B745" t="str">
        <f>_xlfn.CONCAT(bron[[#This Row],[personeelsnr]]," ",bron[[#This Row],[achternaam]]," ",bron[[#This Row],[voornaam]])</f>
        <v>26695 Lippens Miguel</v>
      </c>
      <c r="C745" t="str">
        <f>VLOOKUP(bron[[#This Row],[personeelsnr]],'data hastus'!$A:$C,2,0)</f>
        <v>Lippens</v>
      </c>
      <c r="D745" t="str">
        <f>VLOOKUP(bron[[#This Row],[personeelsnr]],'data hastus'!$A:$C,3,0)</f>
        <v>Miguel</v>
      </c>
      <c r="E745" t="str">
        <f>VLOOKUP(bron[[#This Row],[personeelsnr]],'data hastus'!A:K,11,FALSE)</f>
        <v>Christoff Rotty</v>
      </c>
      <c r="F745" s="10"/>
      <c r="G745" s="7"/>
      <c r="H745" s="7"/>
      <c r="I745" s="7"/>
      <c r="J745" s="5"/>
      <c r="K745" s="5"/>
      <c r="L745" s="5">
        <v>1</v>
      </c>
      <c r="M745" s="5"/>
      <c r="N745" s="5"/>
      <c r="O745" s="5"/>
      <c r="P745" s="5"/>
      <c r="Q745" s="5"/>
      <c r="R745" s="5"/>
      <c r="S745" s="5">
        <f>SUM(bron[[#This Row],[Januari]:[December]])</f>
        <v>1</v>
      </c>
      <c r="T745" s="9">
        <v>45821</v>
      </c>
      <c r="U745" s="8" t="s">
        <v>1183</v>
      </c>
      <c r="V745" s="22">
        <v>1</v>
      </c>
      <c r="W745" s="22"/>
      <c r="X745" t="s">
        <v>3493</v>
      </c>
      <c r="Y745" t="s">
        <v>75</v>
      </c>
      <c r="Z745">
        <v>5489</v>
      </c>
      <c r="AA745" s="24" t="s">
        <v>3540</v>
      </c>
      <c r="AB745">
        <f>COUNTIF(B:B,bron[[#This Row],[volledige naam]])</f>
        <v>1</v>
      </c>
    </row>
    <row r="746" spans="1:28" x14ac:dyDescent="0.25">
      <c r="A746">
        <v>14625</v>
      </c>
      <c r="B746" t="str">
        <f>_xlfn.CONCAT(bron[[#This Row],[personeelsnr]]," ",bron[[#This Row],[achternaam]]," ",bron[[#This Row],[voornaam]])</f>
        <v>14625 Rodrigue Vincent</v>
      </c>
      <c r="C746" t="str">
        <f>VLOOKUP(bron[[#This Row],[personeelsnr]],'data hastus'!$A:$C,2,0)</f>
        <v>Rodrigue</v>
      </c>
      <c r="D746" t="str">
        <f>VLOOKUP(bron[[#This Row],[personeelsnr]],'data hastus'!$A:$C,3,0)</f>
        <v>Vincent</v>
      </c>
      <c r="E746" t="str">
        <f>VLOOKUP(bron[[#This Row],[personeelsnr]],'data hastus'!A:K,11,FALSE)</f>
        <v>Lucie Vande Velde</v>
      </c>
      <c r="F746" s="10"/>
      <c r="G746" s="7"/>
      <c r="H746" s="7"/>
      <c r="I746" s="7"/>
      <c r="J746" s="5"/>
      <c r="K746" s="5"/>
      <c r="L746" s="5">
        <v>1</v>
      </c>
      <c r="M746" s="5"/>
      <c r="N746" s="5"/>
      <c r="O746" s="5"/>
      <c r="P746" s="5"/>
      <c r="Q746" s="5"/>
      <c r="R746" s="5"/>
      <c r="S746" s="5">
        <f>SUM(bron[[#This Row],[Januari]:[December]])</f>
        <v>1</v>
      </c>
      <c r="T746" s="9">
        <v>45828</v>
      </c>
      <c r="U746" s="8" t="s">
        <v>1309</v>
      </c>
      <c r="V746" s="22">
        <v>1</v>
      </c>
      <c r="W746" s="22"/>
      <c r="X746" t="s">
        <v>3492</v>
      </c>
      <c r="Y746" t="s">
        <v>406</v>
      </c>
      <c r="Z746">
        <v>2209</v>
      </c>
      <c r="AA746" s="24" t="s">
        <v>3540</v>
      </c>
      <c r="AB746">
        <f>COUNTIF(B:B,bron[[#This Row],[volledige naam]])</f>
        <v>1</v>
      </c>
    </row>
    <row r="747" spans="1:28" x14ac:dyDescent="0.25">
      <c r="A747">
        <v>26847</v>
      </c>
      <c r="B747" t="str">
        <f>_xlfn.CONCAT(bron[[#This Row],[personeelsnr]]," ",bron[[#This Row],[achternaam]]," ",bron[[#This Row],[voornaam]])</f>
        <v>26847 De Meester David</v>
      </c>
      <c r="C747" t="str">
        <f>VLOOKUP(bron[[#This Row],[personeelsnr]],'data hastus'!$A:$C,2,0)</f>
        <v>De Meester</v>
      </c>
      <c r="D747" t="str">
        <f>VLOOKUP(bron[[#This Row],[personeelsnr]],'data hastus'!$A:$C,3,0)</f>
        <v>David</v>
      </c>
      <c r="E747" t="str">
        <f>VLOOKUP(bron[[#This Row],[personeelsnr]],'data hastus'!A:K,11,FALSE)</f>
        <v>Bart Van Der Beken</v>
      </c>
      <c r="F747" s="10"/>
      <c r="G747" s="7"/>
      <c r="H747" s="7"/>
      <c r="I747" s="7"/>
      <c r="J747" s="5"/>
      <c r="K747" s="5"/>
      <c r="L747" s="5">
        <v>1</v>
      </c>
      <c r="M747" s="5"/>
      <c r="N747" s="5"/>
      <c r="O747" s="5"/>
      <c r="P747" s="5"/>
      <c r="Q747" s="5"/>
      <c r="R747" s="5"/>
      <c r="S747" s="5">
        <f>SUM(bron[[#This Row],[Januari]:[December]])</f>
        <v>1</v>
      </c>
      <c r="T747" s="9">
        <v>45828</v>
      </c>
      <c r="U747" s="8" t="s">
        <v>1185</v>
      </c>
      <c r="V747" s="22"/>
      <c r="W747" s="22">
        <v>1</v>
      </c>
      <c r="X747" t="s">
        <v>3528</v>
      </c>
      <c r="Y747" t="s">
        <v>6</v>
      </c>
      <c r="Z747">
        <v>6361</v>
      </c>
      <c r="AA747" s="24" t="s">
        <v>3539</v>
      </c>
      <c r="AB747">
        <f>COUNTIF(B:B,bron[[#This Row],[volledige naam]])</f>
        <v>2</v>
      </c>
    </row>
    <row r="748" spans="1:28" x14ac:dyDescent="0.25">
      <c r="A748">
        <v>36426</v>
      </c>
      <c r="B748" t="str">
        <f>_xlfn.CONCAT(bron[[#This Row],[personeelsnr]]," ",bron[[#This Row],[achternaam]]," ",bron[[#This Row],[voornaam]])</f>
        <v>36426 Mohamed Yassin Abdulhamid</v>
      </c>
      <c r="C748" t="str">
        <f>VLOOKUP(bron[[#This Row],[personeelsnr]],'data hastus'!$A:$C,2,0)</f>
        <v>Mohamed Yassin</v>
      </c>
      <c r="D748" t="str">
        <f>VLOOKUP(bron[[#This Row],[personeelsnr]],'data hastus'!$A:$C,3,0)</f>
        <v>Abdulhamid</v>
      </c>
      <c r="E748" t="str">
        <f>VLOOKUP(bron[[#This Row],[personeelsnr]],'data hastus'!A:K,11,FALSE)</f>
        <v>Bart Van Der Beken</v>
      </c>
      <c r="F748" s="10"/>
      <c r="G748" s="7"/>
      <c r="H748" s="7"/>
      <c r="I748" s="7"/>
      <c r="J748" s="5"/>
      <c r="K748" s="5"/>
      <c r="L748" s="5">
        <v>1</v>
      </c>
      <c r="M748" s="5"/>
      <c r="N748" s="5"/>
      <c r="O748" s="5"/>
      <c r="P748" s="5"/>
      <c r="Q748" s="5"/>
      <c r="R748" s="5"/>
      <c r="S748" s="5">
        <f>SUM(bron[[#This Row],[Januari]:[December]])</f>
        <v>1</v>
      </c>
      <c r="T748" s="9">
        <v>45828</v>
      </c>
      <c r="U748" s="8" t="s">
        <v>1184</v>
      </c>
      <c r="V748" s="22"/>
      <c r="W748" s="22">
        <v>1</v>
      </c>
      <c r="X748" t="s">
        <v>3529</v>
      </c>
      <c r="Y748" t="s">
        <v>280</v>
      </c>
      <c r="Z748">
        <v>6364</v>
      </c>
      <c r="AA748" s="24" t="s">
        <v>3539</v>
      </c>
      <c r="AB748">
        <f>COUNTIF(B:B,bron[[#This Row],[volledige naam]])</f>
        <v>3</v>
      </c>
    </row>
    <row r="749" spans="1:28" x14ac:dyDescent="0.25">
      <c r="A749">
        <v>36569</v>
      </c>
      <c r="B749" t="e">
        <f>_xlfn.CONCAT(bron[[#This Row],[personeelsnr]]," ",bron[[#This Row],[achternaam]]," ",bron[[#This Row],[voornaam]])</f>
        <v>#N/A</v>
      </c>
      <c r="C749" t="e">
        <f>VLOOKUP(bron[[#This Row],[personeelsnr]],'data hastus'!$A:$C,2,0)</f>
        <v>#N/A</v>
      </c>
      <c r="D749" t="e">
        <f>VLOOKUP(bron[[#This Row],[personeelsnr]],'data hastus'!$A:$C,3,0)</f>
        <v>#N/A</v>
      </c>
      <c r="E749" t="s">
        <v>62</v>
      </c>
      <c r="F749" s="10"/>
      <c r="G749" s="7"/>
      <c r="H749" s="7"/>
      <c r="I749" s="7"/>
      <c r="J749" s="5"/>
      <c r="K749" s="5"/>
      <c r="L749" s="5">
        <v>1</v>
      </c>
      <c r="M749" s="5"/>
      <c r="N749" s="5"/>
      <c r="O749" s="5"/>
      <c r="P749" s="5"/>
      <c r="Q749" s="5"/>
      <c r="R749" s="5"/>
      <c r="S749" s="5">
        <f>SUM(bron[[#This Row],[Januari]:[December]])</f>
        <v>1</v>
      </c>
      <c r="T749" s="9">
        <v>45828</v>
      </c>
      <c r="U749" s="8" t="s">
        <v>1186</v>
      </c>
      <c r="V749" s="22"/>
      <c r="W749" s="22">
        <v>1</v>
      </c>
      <c r="X749" t="s">
        <v>3528</v>
      </c>
      <c r="Y749" t="s">
        <v>20</v>
      </c>
      <c r="Z749">
        <v>6321</v>
      </c>
      <c r="AA749" s="24" t="s">
        <v>3539</v>
      </c>
      <c r="AB749">
        <f>COUNTIF(B:B,bron[[#This Row],[volledige naam]])</f>
        <v>24</v>
      </c>
    </row>
    <row r="750" spans="1:28" x14ac:dyDescent="0.25">
      <c r="A750">
        <v>41721</v>
      </c>
      <c r="B750" t="str">
        <f>_xlfn.CONCAT(bron[[#This Row],[personeelsnr]]," ",bron[[#This Row],[achternaam]]," ",bron[[#This Row],[voornaam]])</f>
        <v>41721 Nolf Philippe</v>
      </c>
      <c r="C750" t="str">
        <f>VLOOKUP(bron[[#This Row],[personeelsnr]],'data hastus'!$A:$C,2,0)</f>
        <v>Nolf</v>
      </c>
      <c r="D750" t="str">
        <f>VLOOKUP(bron[[#This Row],[personeelsnr]],'data hastus'!$A:$C,3,0)</f>
        <v>Philippe</v>
      </c>
      <c r="E750" t="str">
        <f>VLOOKUP(bron[[#This Row],[personeelsnr]],'data hastus'!A:K,11,FALSE)</f>
        <v>Kenneth De Rick</v>
      </c>
      <c r="F750" s="10"/>
      <c r="G750" s="7"/>
      <c r="H750" s="7"/>
      <c r="I750" s="7"/>
      <c r="J750" s="5"/>
      <c r="K750" s="5"/>
      <c r="L750" s="5">
        <v>1</v>
      </c>
      <c r="M750" s="5"/>
      <c r="N750" s="5"/>
      <c r="O750" s="5"/>
      <c r="P750" s="5"/>
      <c r="Q750" s="5"/>
      <c r="R750" s="5"/>
      <c r="S750" s="5">
        <f>SUM(bron[[#This Row],[Januari]:[December]])</f>
        <v>1</v>
      </c>
      <c r="T750" s="9">
        <v>45828</v>
      </c>
      <c r="U750" s="8" t="s">
        <v>1187</v>
      </c>
      <c r="V750" s="22">
        <v>1</v>
      </c>
      <c r="W750" s="22"/>
      <c r="X750" t="s">
        <v>3493</v>
      </c>
      <c r="Y750" t="s">
        <v>40</v>
      </c>
      <c r="Z750">
        <v>5938</v>
      </c>
      <c r="AA750" s="24" t="s">
        <v>3539</v>
      </c>
      <c r="AB750">
        <f>COUNTIF(B:B,bron[[#This Row],[volledige naam]])</f>
        <v>1</v>
      </c>
    </row>
    <row r="751" spans="1:28" x14ac:dyDescent="0.25">
      <c r="A751">
        <v>36624</v>
      </c>
      <c r="B751" t="str">
        <f>_xlfn.CONCAT(bron[[#This Row],[personeelsnr]]," ",bron[[#This Row],[achternaam]]," ",bron[[#This Row],[voornaam]])</f>
        <v>36624 De Meulenaere Kurt</v>
      </c>
      <c r="C751" t="str">
        <f>VLOOKUP(bron[[#This Row],[personeelsnr]],'data hastus'!$A:$C,2,0)</f>
        <v>De Meulenaere</v>
      </c>
      <c r="D751" t="str">
        <f>VLOOKUP(bron[[#This Row],[personeelsnr]],'data hastus'!$A:$C,3,0)</f>
        <v>Kurt</v>
      </c>
      <c r="E751" t="str">
        <f>VLOOKUP(bron[[#This Row],[personeelsnr]],'data hastus'!A:K,11,FALSE)</f>
        <v>Dominique De Clercq</v>
      </c>
      <c r="F751" s="10"/>
      <c r="G751" s="7"/>
      <c r="H751" s="7"/>
      <c r="I751" s="7"/>
      <c r="J751" s="5"/>
      <c r="K751" s="5"/>
      <c r="L751" s="5">
        <v>1</v>
      </c>
      <c r="M751" s="5"/>
      <c r="N751" s="5"/>
      <c r="O751" s="5"/>
      <c r="P751" s="5"/>
      <c r="Q751" s="5"/>
      <c r="R751" s="5"/>
      <c r="S751" s="5">
        <f>SUM(bron[[#This Row],[Januari]:[December]])</f>
        <v>1</v>
      </c>
      <c r="T751" s="9">
        <v>45829</v>
      </c>
      <c r="U751" s="8" t="s">
        <v>1188</v>
      </c>
      <c r="V751" s="22">
        <v>1</v>
      </c>
      <c r="W751" s="22"/>
      <c r="X751" t="s">
        <v>3493</v>
      </c>
      <c r="Y751" t="s">
        <v>238</v>
      </c>
      <c r="Z751">
        <v>5910</v>
      </c>
      <c r="AA751" s="24" t="s">
        <v>3539</v>
      </c>
      <c r="AB751">
        <f>COUNTIF(B:B,bron[[#This Row],[volledige naam]])</f>
        <v>3</v>
      </c>
    </row>
    <row r="752" spans="1:28" x14ac:dyDescent="0.25">
      <c r="A752">
        <v>41690</v>
      </c>
      <c r="B752" t="str">
        <f>_xlfn.CONCAT(bron[[#This Row],[personeelsnr]]," ",bron[[#This Row],[achternaam]]," ",bron[[#This Row],[voornaam]])</f>
        <v>41690 Van de Winckel Kelly</v>
      </c>
      <c r="C752" t="str">
        <f>VLOOKUP(bron[[#This Row],[personeelsnr]],'data hastus'!$A:$C,2,0)</f>
        <v>Van de Winckel</v>
      </c>
      <c r="D752" t="str">
        <f>VLOOKUP(bron[[#This Row],[personeelsnr]],'data hastus'!$A:$C,3,0)</f>
        <v>Kelly</v>
      </c>
      <c r="E752" t="str">
        <f>VLOOKUP(bron[[#This Row],[personeelsnr]],'data hastus'!A:K,11,FALSE)</f>
        <v>Els Dewulf</v>
      </c>
      <c r="F752" s="10"/>
      <c r="G752" s="7"/>
      <c r="H752" s="7"/>
      <c r="I752" s="7"/>
      <c r="J752" s="5"/>
      <c r="K752" s="5"/>
      <c r="L752" s="5">
        <v>1</v>
      </c>
      <c r="M752" s="5"/>
      <c r="N752" s="5"/>
      <c r="O752" s="5"/>
      <c r="P752" s="5"/>
      <c r="Q752" s="5"/>
      <c r="R752" s="5"/>
      <c r="S752" s="5">
        <f>SUM(bron[[#This Row],[Januari]:[December]])</f>
        <v>1</v>
      </c>
      <c r="T752" s="9">
        <v>45829</v>
      </c>
      <c r="U752" s="8" t="s">
        <v>1189</v>
      </c>
      <c r="V752" s="22">
        <v>1</v>
      </c>
      <c r="W752" s="22"/>
      <c r="X752" t="s">
        <v>3493</v>
      </c>
      <c r="Y752" t="s">
        <v>37</v>
      </c>
      <c r="Z752">
        <v>5771</v>
      </c>
      <c r="AA752" s="24" t="s">
        <v>3539</v>
      </c>
      <c r="AB752">
        <f>COUNTIF(B:B,bron[[#This Row],[volledige naam]])</f>
        <v>1</v>
      </c>
    </row>
    <row r="753" spans="1:28" x14ac:dyDescent="0.25">
      <c r="A753">
        <v>38808</v>
      </c>
      <c r="B753" t="str">
        <f>_xlfn.CONCAT(bron[[#This Row],[personeelsnr]]," ",bron[[#This Row],[achternaam]]," ",bron[[#This Row],[voornaam]])</f>
        <v>38808 Wasen Jens</v>
      </c>
      <c r="C753" t="str">
        <f>VLOOKUP(bron[[#This Row],[personeelsnr]],'data hastus'!$A:$C,2,0)</f>
        <v>Wasen</v>
      </c>
      <c r="D753" t="str">
        <f>VLOOKUP(bron[[#This Row],[personeelsnr]],'data hastus'!$A:$C,3,0)</f>
        <v>Jens</v>
      </c>
      <c r="E753" t="str">
        <f>VLOOKUP(bron[[#This Row],[personeelsnr]],'data hastus'!A:K,11,FALSE)</f>
        <v>Els Dewulf</v>
      </c>
      <c r="F753" s="10"/>
      <c r="G753" s="7"/>
      <c r="H753" s="7"/>
      <c r="I753" s="7"/>
      <c r="J753" s="5"/>
      <c r="K753" s="5"/>
      <c r="L753" s="5">
        <v>1</v>
      </c>
      <c r="M753" s="5"/>
      <c r="N753" s="5"/>
      <c r="O753" s="5"/>
      <c r="P753" s="5"/>
      <c r="Q753" s="5"/>
      <c r="R753" s="5"/>
      <c r="S753" s="5">
        <f>SUM(bron[[#This Row],[Januari]:[December]])</f>
        <v>1</v>
      </c>
      <c r="T753" s="9">
        <v>45830</v>
      </c>
      <c r="U753" s="8" t="s">
        <v>1190</v>
      </c>
      <c r="V753" s="22">
        <v>1</v>
      </c>
      <c r="W753" s="22"/>
      <c r="X753" t="s">
        <v>3493</v>
      </c>
      <c r="Y753" t="s">
        <v>10</v>
      </c>
      <c r="Z753">
        <v>5926</v>
      </c>
      <c r="AA753" s="24" t="s">
        <v>3539</v>
      </c>
      <c r="AB753">
        <f>COUNTIF(B:B,bron[[#This Row],[volledige naam]])</f>
        <v>5</v>
      </c>
    </row>
    <row r="754" spans="1:28" x14ac:dyDescent="0.25">
      <c r="A754">
        <v>19917</v>
      </c>
      <c r="B754" t="str">
        <f>_xlfn.CONCAT(bron[[#This Row],[personeelsnr]]," ",bron[[#This Row],[achternaam]]," ",bron[[#This Row],[voornaam]])</f>
        <v>19917 Vandevyvere Frank</v>
      </c>
      <c r="C754" t="str">
        <f>VLOOKUP(bron[[#This Row],[personeelsnr]],'data hastus'!$A:$C,2,0)</f>
        <v>Vandevyvere</v>
      </c>
      <c r="D754" t="str">
        <f>VLOOKUP(bron[[#This Row],[personeelsnr]],'data hastus'!$A:$C,3,0)</f>
        <v>Frank</v>
      </c>
      <c r="E754" t="str">
        <f>VLOOKUP(bron[[#This Row],[personeelsnr]],'data hastus'!A:K,11,FALSE)</f>
        <v>Bart Van Der Beken</v>
      </c>
      <c r="F754" s="10"/>
      <c r="G754" s="7"/>
      <c r="H754" s="7"/>
      <c r="I754" s="7"/>
      <c r="J754" s="5"/>
      <c r="K754" s="5"/>
      <c r="L754" s="5">
        <v>1</v>
      </c>
      <c r="M754" s="5"/>
      <c r="N754" s="5"/>
      <c r="O754" s="5"/>
      <c r="P754" s="5"/>
      <c r="Q754" s="5"/>
      <c r="R754" s="5"/>
      <c r="S754" s="5">
        <f>SUM(bron[[#This Row],[Januari]:[December]])</f>
        <v>1</v>
      </c>
      <c r="T754" s="9">
        <v>45831</v>
      </c>
      <c r="U754" s="8" t="s">
        <v>1191</v>
      </c>
      <c r="V754" s="22">
        <v>1</v>
      </c>
      <c r="W754" s="22"/>
      <c r="X754" t="s">
        <v>3492</v>
      </c>
      <c r="Y754" t="s">
        <v>32</v>
      </c>
      <c r="Z754">
        <v>5260</v>
      </c>
      <c r="AA754" s="24" t="s">
        <v>3539</v>
      </c>
      <c r="AB754">
        <f>COUNTIF(B:B,bron[[#This Row],[volledige naam]])</f>
        <v>10</v>
      </c>
    </row>
    <row r="755" spans="1:28" x14ac:dyDescent="0.25">
      <c r="A755">
        <v>29746</v>
      </c>
      <c r="B755" t="str">
        <f>_xlfn.CONCAT(bron[[#This Row],[personeelsnr]]," ",bron[[#This Row],[achternaam]]," ",bron[[#This Row],[voornaam]])</f>
        <v>29746 Huyse Annicke</v>
      </c>
      <c r="C755" t="str">
        <f>VLOOKUP(bron[[#This Row],[personeelsnr]],'data hastus'!$A:$C,2,0)</f>
        <v>Huyse</v>
      </c>
      <c r="D755" t="str">
        <f>VLOOKUP(bron[[#This Row],[personeelsnr]],'data hastus'!$A:$C,3,0)</f>
        <v>Annicke</v>
      </c>
      <c r="E755" t="str">
        <f>VLOOKUP(bron[[#This Row],[personeelsnr]],'data hastus'!A:K,11,FALSE)</f>
        <v>Bart Van Der Beken</v>
      </c>
      <c r="F755" s="10"/>
      <c r="G755" s="7"/>
      <c r="H755" s="7"/>
      <c r="I755" s="7"/>
      <c r="J755" s="5"/>
      <c r="K755" s="5"/>
      <c r="L755" s="5">
        <v>1</v>
      </c>
      <c r="M755" s="5"/>
      <c r="N755" s="5"/>
      <c r="O755" s="5"/>
      <c r="P755" s="5"/>
      <c r="Q755" s="5"/>
      <c r="R755" s="5"/>
      <c r="S755" s="5">
        <f>SUM(bron[[#This Row],[Januari]:[December]])</f>
        <v>1</v>
      </c>
      <c r="T755" s="9">
        <v>45831</v>
      </c>
      <c r="U755" s="8" t="s">
        <v>1274</v>
      </c>
      <c r="V755" s="22"/>
      <c r="W755" s="22">
        <v>1</v>
      </c>
      <c r="X755" t="s">
        <v>3529</v>
      </c>
      <c r="Y755" t="s">
        <v>718</v>
      </c>
      <c r="Z755">
        <v>6368</v>
      </c>
      <c r="AA755" s="24" t="s">
        <v>3540</v>
      </c>
      <c r="AB755">
        <f>COUNTIF(B:B,bron[[#This Row],[volledige naam]])</f>
        <v>3</v>
      </c>
    </row>
    <row r="756" spans="1:28" x14ac:dyDescent="0.25">
      <c r="A756">
        <v>38633</v>
      </c>
      <c r="B756" t="str">
        <f>_xlfn.CONCAT(bron[[#This Row],[personeelsnr]]," ",bron[[#This Row],[achternaam]]," ",bron[[#This Row],[voornaam]])</f>
        <v>38633 Stomphorst Mattanja</v>
      </c>
      <c r="C756" t="str">
        <f>VLOOKUP(bron[[#This Row],[personeelsnr]],'data hastus'!$A:$C,2,0)</f>
        <v>Stomphorst</v>
      </c>
      <c r="D756" t="str">
        <f>VLOOKUP(bron[[#This Row],[personeelsnr]],'data hastus'!$A:$C,3,0)</f>
        <v>Mattanja</v>
      </c>
      <c r="E756" t="str">
        <f>VLOOKUP(bron[[#This Row],[personeelsnr]],'data hastus'!A:K,11,FALSE)</f>
        <v>Els Dewulf</v>
      </c>
      <c r="F756" s="10"/>
      <c r="G756" s="7"/>
      <c r="H756" s="7"/>
      <c r="I756" s="7"/>
      <c r="J756" s="5"/>
      <c r="K756" s="5"/>
      <c r="L756" s="5">
        <v>1</v>
      </c>
      <c r="M756" s="5"/>
      <c r="N756" s="5"/>
      <c r="O756" s="5"/>
      <c r="P756" s="5"/>
      <c r="Q756" s="5"/>
      <c r="R756" s="5"/>
      <c r="S756" s="5">
        <f>SUM(bron[[#This Row],[Januari]:[December]])</f>
        <v>1</v>
      </c>
      <c r="T756" s="9">
        <v>45831</v>
      </c>
      <c r="U756" s="8" t="s">
        <v>1193</v>
      </c>
      <c r="V756" s="22">
        <v>1</v>
      </c>
      <c r="W756" s="22"/>
      <c r="X756" t="s">
        <v>3492</v>
      </c>
      <c r="Y756" t="s">
        <v>18</v>
      </c>
      <c r="Z756">
        <v>2269</v>
      </c>
      <c r="AA756" s="24" t="s">
        <v>3539</v>
      </c>
      <c r="AB756">
        <f>COUNTIF(B:B,bron[[#This Row],[volledige naam]])</f>
        <v>3</v>
      </c>
    </row>
    <row r="757" spans="1:28" x14ac:dyDescent="0.25">
      <c r="A757">
        <v>40478</v>
      </c>
      <c r="B757" t="str">
        <f>_xlfn.CONCAT(bron[[#This Row],[personeelsnr]]," ",bron[[#This Row],[achternaam]]," ",bron[[#This Row],[voornaam]])</f>
        <v>40478 Hashimi Ali Mir</v>
      </c>
      <c r="C757" t="str">
        <f>VLOOKUP(bron[[#This Row],[personeelsnr]],'data hastus'!$A:$C,2,0)</f>
        <v>Hashimi</v>
      </c>
      <c r="D757" t="str">
        <f>VLOOKUP(bron[[#This Row],[personeelsnr]],'data hastus'!$A:$C,3,0)</f>
        <v>Ali Mir</v>
      </c>
      <c r="E757" t="str">
        <f>VLOOKUP(bron[[#This Row],[personeelsnr]],'data hastus'!A:K,11,FALSE)</f>
        <v>Bart Van Der Beken</v>
      </c>
      <c r="F757" s="10"/>
      <c r="G757" s="7"/>
      <c r="H757" s="7"/>
      <c r="I757" s="7"/>
      <c r="J757" s="5"/>
      <c r="K757" s="5"/>
      <c r="L757" s="5">
        <v>1</v>
      </c>
      <c r="M757" s="5"/>
      <c r="N757" s="5"/>
      <c r="O757" s="5"/>
      <c r="P757" s="5"/>
      <c r="Q757" s="5"/>
      <c r="R757" s="5"/>
      <c r="S757" s="5">
        <f>SUM(bron[[#This Row],[Januari]:[December]])</f>
        <v>1</v>
      </c>
      <c r="T757" s="9">
        <v>45831</v>
      </c>
      <c r="U757" s="8" t="s">
        <v>1192</v>
      </c>
      <c r="V757" s="22">
        <v>1</v>
      </c>
      <c r="W757" s="22"/>
      <c r="X757" t="s">
        <v>3493</v>
      </c>
      <c r="Y757" t="s">
        <v>67</v>
      </c>
      <c r="Z757">
        <v>5911</v>
      </c>
      <c r="AA757" s="24" t="s">
        <v>3539</v>
      </c>
      <c r="AB757">
        <f>COUNTIF(B:B,bron[[#This Row],[volledige naam]])</f>
        <v>4</v>
      </c>
    </row>
    <row r="758" spans="1:28" x14ac:dyDescent="0.25">
      <c r="A758">
        <v>38634</v>
      </c>
      <c r="B758" t="str">
        <f>_xlfn.CONCAT(bron[[#This Row],[personeelsnr]]," ",bron[[#This Row],[achternaam]]," ",bron[[#This Row],[voornaam]])</f>
        <v>38634 Asskale Zouhir</v>
      </c>
      <c r="C758" t="str">
        <f>VLOOKUP(bron[[#This Row],[personeelsnr]],'data hastus'!$A:$C,2,0)</f>
        <v>Asskale</v>
      </c>
      <c r="D758" t="str">
        <f>VLOOKUP(bron[[#This Row],[personeelsnr]],'data hastus'!$A:$C,3,0)</f>
        <v>Zouhir</v>
      </c>
      <c r="E758" t="str">
        <f>VLOOKUP(bron[[#This Row],[personeelsnr]],'data hastus'!A:K,11,FALSE)</f>
        <v>Bart Van Der Beken</v>
      </c>
      <c r="F758" s="10"/>
      <c r="G758" s="7"/>
      <c r="H758" s="7"/>
      <c r="I758" s="7"/>
      <c r="J758" s="5"/>
      <c r="K758" s="5"/>
      <c r="L758" s="5">
        <v>1</v>
      </c>
      <c r="M758" s="5"/>
      <c r="N758" s="5"/>
      <c r="O758" s="5"/>
      <c r="P758" s="5"/>
      <c r="Q758" s="5"/>
      <c r="R758" s="5"/>
      <c r="S758" s="5">
        <f>SUM(bron[[#This Row],[Januari]:[December]])</f>
        <v>1</v>
      </c>
      <c r="T758" s="9">
        <v>45832</v>
      </c>
      <c r="U758" s="8" t="s">
        <v>1194</v>
      </c>
      <c r="V758" s="22"/>
      <c r="W758" s="22">
        <v>1</v>
      </c>
      <c r="X758" t="s">
        <v>3528</v>
      </c>
      <c r="Y758" t="s">
        <v>219</v>
      </c>
      <c r="Z758">
        <v>6339</v>
      </c>
      <c r="AA758" s="24" t="s">
        <v>3539</v>
      </c>
      <c r="AB758">
        <f>COUNTIF(B:B,bron[[#This Row],[volledige naam]])</f>
        <v>3</v>
      </c>
    </row>
    <row r="759" spans="1:28" x14ac:dyDescent="0.25">
      <c r="A759">
        <v>15412</v>
      </c>
      <c r="B759" t="str">
        <f>_xlfn.CONCAT(bron[[#This Row],[personeelsnr]]," ",bron[[#This Row],[achternaam]]," ",bron[[#This Row],[voornaam]])</f>
        <v>15412 Dhondt Frank</v>
      </c>
      <c r="C759" t="str">
        <f>VLOOKUP(bron[[#This Row],[personeelsnr]],'data hastus'!$A:$C,2,0)</f>
        <v>Dhondt</v>
      </c>
      <c r="D759" t="str">
        <f>VLOOKUP(bron[[#This Row],[personeelsnr]],'data hastus'!$A:$C,3,0)</f>
        <v>Frank</v>
      </c>
      <c r="E759" t="str">
        <f>VLOOKUP(bron[[#This Row],[personeelsnr]],'data hastus'!A:K,11,FALSE)</f>
        <v>Bart Van Der Beken</v>
      </c>
      <c r="F759" s="10"/>
      <c r="G759" s="7"/>
      <c r="H759" s="7"/>
      <c r="I759" s="7"/>
      <c r="J759" s="5"/>
      <c r="K759" s="5"/>
      <c r="L759" s="5"/>
      <c r="M759" s="5"/>
      <c r="N759" s="5"/>
      <c r="O759" s="5"/>
      <c r="P759" s="5"/>
      <c r="Q759" s="5"/>
      <c r="R759" s="5"/>
      <c r="S759" s="5">
        <f>SUM(bron[[#This Row],[Januari]:[December]])</f>
        <v>0</v>
      </c>
      <c r="T759" s="9">
        <v>45833</v>
      </c>
      <c r="U759" s="8" t="s">
        <v>1195</v>
      </c>
      <c r="V759" s="22">
        <v>1</v>
      </c>
      <c r="W759" s="22"/>
      <c r="X759" t="s">
        <v>3494</v>
      </c>
      <c r="Y759" t="s">
        <v>186</v>
      </c>
      <c r="Z759">
        <v>5261</v>
      </c>
      <c r="AA759" s="24" t="s">
        <v>3539</v>
      </c>
      <c r="AB759">
        <f>COUNTIF(B:B,bron[[#This Row],[volledige naam]])</f>
        <v>2</v>
      </c>
    </row>
    <row r="760" spans="1:28" x14ac:dyDescent="0.25">
      <c r="A760">
        <v>40362</v>
      </c>
      <c r="B760" t="str">
        <f>_xlfn.CONCAT(bron[[#This Row],[personeelsnr]]," ",bron[[#This Row],[achternaam]]," ",bron[[#This Row],[voornaam]])</f>
        <v>40362 Kuru Cetin</v>
      </c>
      <c r="C760" t="str">
        <f>VLOOKUP(bron[[#This Row],[personeelsnr]],'data hastus'!$A:$C,2,0)</f>
        <v>Kuru</v>
      </c>
      <c r="D760" t="str">
        <f>VLOOKUP(bron[[#This Row],[personeelsnr]],'data hastus'!$A:$C,3,0)</f>
        <v>Cetin</v>
      </c>
      <c r="E760" t="str">
        <f>VLOOKUP(bron[[#This Row],[personeelsnr]],'data hastus'!A:K,11,FALSE)</f>
        <v>Kenneth De Rick</v>
      </c>
      <c r="F760" s="10"/>
      <c r="G760" s="7"/>
      <c r="H760" s="7"/>
      <c r="I760" s="7"/>
      <c r="J760" s="5"/>
      <c r="K760" s="5"/>
      <c r="L760" s="5">
        <v>1</v>
      </c>
      <c r="M760" s="5"/>
      <c r="N760" s="5"/>
      <c r="O760" s="5"/>
      <c r="P760" s="5"/>
      <c r="Q760" s="5"/>
      <c r="R760" s="5"/>
      <c r="S760" s="5">
        <f>SUM(bron[[#This Row],[Januari]:[December]])</f>
        <v>1</v>
      </c>
      <c r="T760" s="9">
        <v>45833</v>
      </c>
      <c r="U760" s="8" t="s">
        <v>1196</v>
      </c>
      <c r="V760" s="22">
        <v>1</v>
      </c>
      <c r="W760" s="22"/>
      <c r="X760" t="s">
        <v>3494</v>
      </c>
      <c r="Y760" t="s">
        <v>34</v>
      </c>
      <c r="Z760">
        <v>5235</v>
      </c>
      <c r="AA760" s="24" t="s">
        <v>3539</v>
      </c>
      <c r="AB760">
        <f>COUNTIF(B:B,bron[[#This Row],[volledige naam]])</f>
        <v>3</v>
      </c>
    </row>
    <row r="761" spans="1:28" x14ac:dyDescent="0.25">
      <c r="A761">
        <v>29646</v>
      </c>
      <c r="B761" t="str">
        <f>_xlfn.CONCAT(bron[[#This Row],[personeelsnr]]," ",bron[[#This Row],[achternaam]]," ",bron[[#This Row],[voornaam]])</f>
        <v>29646 Özer Mesut</v>
      </c>
      <c r="C761" t="str">
        <f>VLOOKUP(bron[[#This Row],[personeelsnr]],'data hastus'!$A:$C,2,0)</f>
        <v>Özer</v>
      </c>
      <c r="D761" t="str">
        <f>VLOOKUP(bron[[#This Row],[personeelsnr]],'data hastus'!$A:$C,3,0)</f>
        <v>Mesut</v>
      </c>
      <c r="E761" t="str">
        <f>VLOOKUP(bron[[#This Row],[personeelsnr]],'data hastus'!A:K,11,FALSE)</f>
        <v>Dominique De Clercq</v>
      </c>
      <c r="F761" s="10"/>
      <c r="G761" s="7"/>
      <c r="H761" s="7"/>
      <c r="I761" s="7"/>
      <c r="J761" s="5"/>
      <c r="K761" s="5"/>
      <c r="L761" s="5">
        <v>1</v>
      </c>
      <c r="M761" s="5"/>
      <c r="N761" s="5"/>
      <c r="O761" s="5"/>
      <c r="P761" s="5"/>
      <c r="Q761" s="5"/>
      <c r="R761" s="5"/>
      <c r="S761" s="5">
        <f>SUM(bron[[#This Row],[Januari]:[December]])</f>
        <v>1</v>
      </c>
      <c r="T761" s="9">
        <v>45836</v>
      </c>
      <c r="U761" s="8" t="s">
        <v>1285</v>
      </c>
      <c r="V761" s="22">
        <v>1</v>
      </c>
      <c r="W761" s="22"/>
      <c r="X761" t="s">
        <v>3493</v>
      </c>
      <c r="Y761" t="s">
        <v>1286</v>
      </c>
      <c r="Z761">
        <v>5912</v>
      </c>
      <c r="AA761" s="24" t="s">
        <v>3540</v>
      </c>
      <c r="AB761">
        <f>COUNTIF(B:B,bron[[#This Row],[volledige naam]])</f>
        <v>1</v>
      </c>
    </row>
    <row r="762" spans="1:28" x14ac:dyDescent="0.25">
      <c r="A762">
        <v>15088</v>
      </c>
      <c r="B762" t="str">
        <f>_xlfn.CONCAT(bron[[#This Row],[personeelsnr]]," ",bron[[#This Row],[achternaam]]," ",bron[[#This Row],[voornaam]])</f>
        <v>15088 Laute Dirk</v>
      </c>
      <c r="C762" t="str">
        <f>VLOOKUP(bron[[#This Row],[personeelsnr]],'data hastus'!$A:$C,2,0)</f>
        <v>Laute</v>
      </c>
      <c r="D762" t="str">
        <f>VLOOKUP(bron[[#This Row],[personeelsnr]],'data hastus'!$A:$C,3,0)</f>
        <v>Dirk</v>
      </c>
      <c r="E762" t="str">
        <f>VLOOKUP(bron[[#This Row],[personeelsnr]],'data hastus'!A:K,11,FALSE)</f>
        <v>Els Vanhoe</v>
      </c>
      <c r="F762" s="10"/>
      <c r="G762" s="7"/>
      <c r="H762" s="7"/>
      <c r="I762" s="7"/>
      <c r="J762" s="5"/>
      <c r="K762" s="5"/>
      <c r="L762" s="5">
        <v>1</v>
      </c>
      <c r="M762" s="5"/>
      <c r="N762" s="5"/>
      <c r="O762" s="5"/>
      <c r="P762" s="5"/>
      <c r="Q762" s="5"/>
      <c r="R762" s="5"/>
      <c r="S762" s="5">
        <f>SUM(bron[[#This Row],[Januari]:[December]])</f>
        <v>1</v>
      </c>
      <c r="T762" s="9">
        <v>45837</v>
      </c>
      <c r="U762" s="8" t="s">
        <v>1294</v>
      </c>
      <c r="V762" s="22">
        <v>1</v>
      </c>
      <c r="W762" s="22"/>
      <c r="X762" t="s">
        <v>3492</v>
      </c>
      <c r="Y762" t="s">
        <v>32</v>
      </c>
      <c r="Z762">
        <v>5046</v>
      </c>
      <c r="AA762" s="24" t="s">
        <v>3540</v>
      </c>
      <c r="AB762">
        <f>COUNTIF(B:B,bron[[#This Row],[volledige naam]])</f>
        <v>2</v>
      </c>
    </row>
    <row r="763" spans="1:28" x14ac:dyDescent="0.25">
      <c r="A763">
        <v>39850</v>
      </c>
      <c r="B763" t="str">
        <f>_xlfn.CONCAT(bron[[#This Row],[personeelsnr]]," ",bron[[#This Row],[achternaam]]," ",bron[[#This Row],[voornaam]])</f>
        <v>39850 Helleputte William</v>
      </c>
      <c r="C763" t="str">
        <f>VLOOKUP(bron[[#This Row],[personeelsnr]],'data hastus'!$A:$C,2,0)</f>
        <v>Helleputte</v>
      </c>
      <c r="D763" t="str">
        <f>VLOOKUP(bron[[#This Row],[personeelsnr]],'data hastus'!$A:$C,3,0)</f>
        <v>William</v>
      </c>
      <c r="E763" t="str">
        <f>VLOOKUP(bron[[#This Row],[personeelsnr]],'data hastus'!A:K,11,FALSE)</f>
        <v>Dominique De Clercq</v>
      </c>
      <c r="F763" s="10"/>
      <c r="G763" s="7"/>
      <c r="H763" s="7"/>
      <c r="I763" s="7"/>
      <c r="J763" s="5"/>
      <c r="K763" s="5"/>
      <c r="L763" s="5">
        <v>1</v>
      </c>
      <c r="M763" s="5"/>
      <c r="N763" s="5"/>
      <c r="O763" s="5"/>
      <c r="P763" s="5"/>
      <c r="Q763" s="5"/>
      <c r="R763" s="5"/>
      <c r="S763" s="5">
        <f>SUM(bron[[#This Row],[Januari]:[December]])</f>
        <v>1</v>
      </c>
      <c r="T763" s="9">
        <v>45837</v>
      </c>
      <c r="U763" s="8" t="s">
        <v>1197</v>
      </c>
      <c r="V763" s="22">
        <v>1</v>
      </c>
      <c r="W763" s="22"/>
      <c r="X763" t="s">
        <v>3492</v>
      </c>
      <c r="Y763" t="s">
        <v>100</v>
      </c>
      <c r="Z763">
        <v>5042</v>
      </c>
      <c r="AA763" s="24" t="s">
        <v>3539</v>
      </c>
      <c r="AB763">
        <f>COUNTIF(B:B,bron[[#This Row],[volledige naam]])</f>
        <v>2</v>
      </c>
    </row>
    <row r="764" spans="1:28" x14ac:dyDescent="0.25">
      <c r="A764">
        <v>40223</v>
      </c>
      <c r="B764" t="str">
        <f>_xlfn.CONCAT(bron[[#This Row],[personeelsnr]]," ",bron[[#This Row],[achternaam]]," ",bron[[#This Row],[voornaam]])</f>
        <v>40223 Teetaert Billy</v>
      </c>
      <c r="C764" t="str">
        <f>VLOOKUP(bron[[#This Row],[personeelsnr]],'data hastus'!$A:$C,2,0)</f>
        <v>Teetaert</v>
      </c>
      <c r="D764" t="str">
        <f>VLOOKUP(bron[[#This Row],[personeelsnr]],'data hastus'!$A:$C,3,0)</f>
        <v>Billy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J764" s="5"/>
      <c r="K764" s="5"/>
      <c r="L764" s="5">
        <v>1</v>
      </c>
      <c r="M764" s="5"/>
      <c r="N764" s="5"/>
      <c r="O764" s="5"/>
      <c r="P764" s="5"/>
      <c r="Q764" s="5"/>
      <c r="R764" s="5"/>
      <c r="S764" s="5">
        <f>SUM(bron[[#This Row],[Januari]:[December]])</f>
        <v>1</v>
      </c>
      <c r="T764" s="9">
        <v>45837</v>
      </c>
      <c r="U764" s="8" t="s">
        <v>1198</v>
      </c>
      <c r="V764" s="22">
        <v>1</v>
      </c>
      <c r="W764" s="22"/>
      <c r="X764" t="s">
        <v>3494</v>
      </c>
      <c r="Y764" t="s">
        <v>250</v>
      </c>
      <c r="Z764">
        <v>5047</v>
      </c>
      <c r="AA764" s="24" t="s">
        <v>3539</v>
      </c>
      <c r="AB764">
        <f>COUNTIF(B:B,bron[[#This Row],[volledige naam]])</f>
        <v>8</v>
      </c>
    </row>
    <row r="765" spans="1:28" x14ac:dyDescent="0.25">
      <c r="A765">
        <v>4419</v>
      </c>
      <c r="B765" t="str">
        <f>_xlfn.CONCAT(bron[[#This Row],[personeelsnr]]," ",bron[[#This Row],[achternaam]]," ",bron[[#This Row],[voornaam]])</f>
        <v>4419 Maelbrancke Eddy</v>
      </c>
      <c r="C765" t="str">
        <f>VLOOKUP(bron[[#This Row],[personeelsnr]],'data hastus'!$A:$C,2,0)</f>
        <v>Maelbrancke</v>
      </c>
      <c r="D765" t="str">
        <f>VLOOKUP(bron[[#This Row],[personeelsnr]],'data hastus'!$A:$C,3,0)</f>
        <v>Eddy</v>
      </c>
      <c r="E765" t="str">
        <f>VLOOKUP(bron[[#This Row],[personeelsnr]],'data hastus'!A:K,11,FALSE)</f>
        <v>Lucie Vande Velde</v>
      </c>
      <c r="F765" s="10"/>
      <c r="G765" s="7"/>
      <c r="H765" s="7"/>
      <c r="I765" s="7"/>
      <c r="J765" s="5"/>
      <c r="K765" s="5"/>
      <c r="L765" s="5"/>
      <c r="M765" s="5">
        <v>1</v>
      </c>
      <c r="N765" s="5"/>
      <c r="O765" s="5"/>
      <c r="P765" s="5"/>
      <c r="Q765" s="5"/>
      <c r="R765" s="5"/>
      <c r="S765" s="5">
        <f>SUM(bron[[#This Row],[Januari]:[December]])</f>
        <v>1</v>
      </c>
      <c r="T765" s="9">
        <v>45839</v>
      </c>
      <c r="U765" s="8" t="s">
        <v>1200</v>
      </c>
      <c r="V765" s="22">
        <v>1</v>
      </c>
      <c r="W765" s="22"/>
      <c r="X765" t="s">
        <v>3492</v>
      </c>
      <c r="Y765" t="s">
        <v>207</v>
      </c>
      <c r="Z765">
        <v>2195</v>
      </c>
      <c r="AA765" s="24" t="s">
        <v>3539</v>
      </c>
      <c r="AB765">
        <f>COUNTIF(B:B,bron[[#This Row],[volledige naam]])</f>
        <v>4</v>
      </c>
    </row>
    <row r="766" spans="1:28" x14ac:dyDescent="0.25">
      <c r="A766">
        <v>21509</v>
      </c>
      <c r="B766" t="str">
        <f>_xlfn.CONCAT(bron[[#This Row],[personeelsnr]]," ",bron[[#This Row],[achternaam]]," ",bron[[#This Row],[voornaam]])</f>
        <v>21509 De Craemer Kris</v>
      </c>
      <c r="C766" t="str">
        <f>VLOOKUP(bron[[#This Row],[personeelsnr]],'data hastus'!$A:$C,2,0)</f>
        <v>De Craemer</v>
      </c>
      <c r="D766" t="str">
        <f>VLOOKUP(bron[[#This Row],[personeelsnr]],'data hastus'!$A:$C,3,0)</f>
        <v>Kris</v>
      </c>
      <c r="E766" t="str">
        <f>VLOOKUP(bron[[#This Row],[personeelsnr]],'data hastus'!A:K,11,FALSE)</f>
        <v>Dominique De Clercq</v>
      </c>
      <c r="F766" s="10"/>
      <c r="G766" s="7"/>
      <c r="H766" s="7"/>
      <c r="I766" s="7"/>
      <c r="J766" s="5"/>
      <c r="K766" s="5"/>
      <c r="L766" s="5"/>
      <c r="M766" s="5">
        <v>1</v>
      </c>
      <c r="N766" s="5"/>
      <c r="O766" s="5"/>
      <c r="P766" s="5"/>
      <c r="Q766" s="5"/>
      <c r="R766" s="5"/>
      <c r="S766" s="5">
        <f>SUM(bron[[#This Row],[Januari]:[December]])</f>
        <v>1</v>
      </c>
      <c r="T766" s="9">
        <v>45839</v>
      </c>
      <c r="U766" s="8" t="s">
        <v>1199</v>
      </c>
      <c r="V766" s="22"/>
      <c r="W766" s="22">
        <v>1</v>
      </c>
      <c r="X766" t="s">
        <v>3528</v>
      </c>
      <c r="Y766" t="s">
        <v>52</v>
      </c>
      <c r="Z766">
        <v>6319</v>
      </c>
      <c r="AA766" s="24" t="s">
        <v>3539</v>
      </c>
      <c r="AB766">
        <f>COUNTIF(B:B,bron[[#This Row],[volledige naam]])</f>
        <v>6</v>
      </c>
    </row>
    <row r="767" spans="1:28" x14ac:dyDescent="0.25">
      <c r="A767">
        <v>32528</v>
      </c>
      <c r="B767" t="str">
        <f>_xlfn.CONCAT(bron[[#This Row],[personeelsnr]]," ",bron[[#This Row],[achternaam]]," ",bron[[#This Row],[voornaam]])</f>
        <v>32528 Benjilali Abdelhak</v>
      </c>
      <c r="C767" t="str">
        <f>VLOOKUP(bron[[#This Row],[personeelsnr]],'data hastus'!$A:$C,2,0)</f>
        <v>Benjilali</v>
      </c>
      <c r="D767" t="str">
        <f>VLOOKUP(bron[[#This Row],[personeelsnr]],'data hastus'!$A:$C,3,0)</f>
        <v>Abdelhak</v>
      </c>
      <c r="E767" t="str">
        <f>VLOOKUP(bron[[#This Row],[personeelsnr]],'data hastus'!A:K,11,FALSE)</f>
        <v>Steven Storm</v>
      </c>
      <c r="F767" s="10"/>
      <c r="G767" s="7"/>
      <c r="H767" s="7"/>
      <c r="I767" s="7"/>
      <c r="J767" s="5"/>
      <c r="K767" s="5"/>
      <c r="L767" s="5"/>
      <c r="M767" s="5">
        <v>1</v>
      </c>
      <c r="N767" s="5"/>
      <c r="O767" s="5"/>
      <c r="P767" s="5"/>
      <c r="Q767" s="5"/>
      <c r="R767" s="5"/>
      <c r="S767" s="5">
        <f>SUM(bron[[#This Row],[Januari]:[December]])</f>
        <v>1</v>
      </c>
      <c r="T767" s="9">
        <v>45839</v>
      </c>
      <c r="U767" s="8" t="s">
        <v>1201</v>
      </c>
      <c r="V767" s="22">
        <v>1</v>
      </c>
      <c r="W767" s="22"/>
      <c r="X767" t="s">
        <v>3492</v>
      </c>
      <c r="Y767" t="s">
        <v>49</v>
      </c>
      <c r="Z767">
        <v>5264</v>
      </c>
      <c r="AA767" s="24" t="s">
        <v>3539</v>
      </c>
      <c r="AB767">
        <f>COUNTIF(B:B,bron[[#This Row],[volledige naam]])</f>
        <v>2</v>
      </c>
    </row>
    <row r="768" spans="1:28" x14ac:dyDescent="0.25">
      <c r="A768">
        <v>37542</v>
      </c>
      <c r="B768" t="str">
        <f>_xlfn.CONCAT(bron[[#This Row],[personeelsnr]]," ",bron[[#This Row],[achternaam]]," ",bron[[#This Row],[voornaam]])</f>
        <v>37542 De Tandt Hans</v>
      </c>
      <c r="C768" t="str">
        <f>VLOOKUP(bron[[#This Row],[personeelsnr]],'data hastus'!$A:$C,2,0)</f>
        <v>De Tandt</v>
      </c>
      <c r="D768" t="str">
        <f>VLOOKUP(bron[[#This Row],[personeelsnr]],'data hastus'!$A:$C,3,0)</f>
        <v>Hans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J768" s="5"/>
      <c r="K768" s="5"/>
      <c r="L768" s="5"/>
      <c r="M768" s="5">
        <v>1</v>
      </c>
      <c r="N768" s="5"/>
      <c r="O768" s="5"/>
      <c r="P768" s="5"/>
      <c r="Q768" s="5"/>
      <c r="R768" s="5"/>
      <c r="S768" s="5">
        <f>SUM(bron[[#This Row],[Januari]:[December]])</f>
        <v>1</v>
      </c>
      <c r="T768" s="9">
        <v>45840</v>
      </c>
      <c r="U768" s="8" t="s">
        <v>1202</v>
      </c>
      <c r="V768" s="22"/>
      <c r="W768" s="22">
        <v>1</v>
      </c>
      <c r="X768" t="s">
        <v>3529</v>
      </c>
      <c r="Y768" t="s">
        <v>30</v>
      </c>
      <c r="Z768">
        <v>6362</v>
      </c>
      <c r="AA768" s="24" t="s">
        <v>3539</v>
      </c>
      <c r="AB768">
        <f>COUNTIF(B:B,bron[[#This Row],[volledige naam]])</f>
        <v>5</v>
      </c>
    </row>
    <row r="769" spans="1:28" x14ac:dyDescent="0.25">
      <c r="A769">
        <v>38648</v>
      </c>
      <c r="B769" t="str">
        <f>_xlfn.CONCAT(bron[[#This Row],[personeelsnr]]," ",bron[[#This Row],[achternaam]]," ",bron[[#This Row],[voornaam]])</f>
        <v>38648 Uckuyulu Muhammet Emin</v>
      </c>
      <c r="C769" t="str">
        <f>VLOOKUP(bron[[#This Row],[personeelsnr]],'data hastus'!$A:$C,2,0)</f>
        <v>Uckuyulu</v>
      </c>
      <c r="D769" t="str">
        <f>VLOOKUP(bron[[#This Row],[personeelsnr]],'data hastus'!$A:$C,3,0)</f>
        <v>Muhammet Emin</v>
      </c>
      <c r="E769" t="str">
        <f>VLOOKUP(bron[[#This Row],[personeelsnr]],'data hastus'!A:K,11,FALSE)</f>
        <v>Lucie Vande Velde</v>
      </c>
      <c r="F769" s="10"/>
      <c r="G769" s="7"/>
      <c r="H769" s="7"/>
      <c r="I769" s="7"/>
      <c r="J769" s="5"/>
      <c r="K769" s="5"/>
      <c r="L769" s="5"/>
      <c r="M769" s="5">
        <v>1</v>
      </c>
      <c r="N769" s="5"/>
      <c r="O769" s="5"/>
      <c r="P769" s="5"/>
      <c r="Q769" s="5"/>
      <c r="R769" s="5"/>
      <c r="S769" s="5">
        <f>SUM(bron[[#This Row],[Januari]:[December]])</f>
        <v>1</v>
      </c>
      <c r="T769" s="9">
        <v>45840</v>
      </c>
      <c r="U769" s="8" t="s">
        <v>1203</v>
      </c>
      <c r="V769" s="22"/>
      <c r="W769" s="22">
        <v>1</v>
      </c>
      <c r="X769" t="s">
        <v>3529</v>
      </c>
      <c r="Y769" t="s">
        <v>2</v>
      </c>
      <c r="Z769">
        <v>6368</v>
      </c>
      <c r="AA769" s="24" t="s">
        <v>3539</v>
      </c>
      <c r="AB769">
        <f>COUNTIF(B:B,bron[[#This Row],[volledige naam]])</f>
        <v>4</v>
      </c>
    </row>
    <row r="770" spans="1:28" x14ac:dyDescent="0.25">
      <c r="A770">
        <v>4419</v>
      </c>
      <c r="B770" t="str">
        <f>_xlfn.CONCAT(bron[[#This Row],[personeelsnr]]," ",bron[[#This Row],[achternaam]]," ",bron[[#This Row],[voornaam]])</f>
        <v>4419 Maelbrancke Eddy</v>
      </c>
      <c r="C770" t="str">
        <f>VLOOKUP(bron[[#This Row],[personeelsnr]],'data hastus'!$A:$C,2,0)</f>
        <v>Maelbrancke</v>
      </c>
      <c r="D770" t="str">
        <f>VLOOKUP(bron[[#This Row],[personeelsnr]],'data hastus'!$A:$C,3,0)</f>
        <v>Eddy</v>
      </c>
      <c r="E770" t="str">
        <f>VLOOKUP(bron[[#This Row],[personeelsnr]],'data hastus'!A:K,11,FALSE)</f>
        <v>Lucie Vande Velde</v>
      </c>
      <c r="F770" s="10"/>
      <c r="G770" s="7"/>
      <c r="H770" s="7"/>
      <c r="I770" s="7"/>
      <c r="J770" s="5"/>
      <c r="K770" s="5"/>
      <c r="L770" s="5"/>
      <c r="M770" s="5">
        <v>1</v>
      </c>
      <c r="N770" s="5"/>
      <c r="O770" s="5"/>
      <c r="P770" s="5"/>
      <c r="Q770" s="5"/>
      <c r="R770" s="5"/>
      <c r="S770" s="5">
        <f>SUM(bron[[#This Row],[Januari]:[December]])</f>
        <v>1</v>
      </c>
      <c r="T770" s="9">
        <v>45841</v>
      </c>
      <c r="U770" s="8" t="s">
        <v>1312</v>
      </c>
      <c r="V770" s="22">
        <v>1</v>
      </c>
      <c r="W770" s="22"/>
      <c r="X770" t="s">
        <v>3492</v>
      </c>
      <c r="Y770" t="s">
        <v>1313</v>
      </c>
      <c r="Z770">
        <v>2193</v>
      </c>
      <c r="AA770" s="24" t="s">
        <v>3540</v>
      </c>
      <c r="AB770">
        <f>COUNTIF(B:B,bron[[#This Row],[volledige naam]])</f>
        <v>4</v>
      </c>
    </row>
    <row r="771" spans="1:28" x14ac:dyDescent="0.25">
      <c r="A771">
        <v>40745</v>
      </c>
      <c r="B771" t="str">
        <f>_xlfn.CONCAT(bron[[#This Row],[personeelsnr]]," ",bron[[#This Row],[achternaam]]," ",bron[[#This Row],[voornaam]])</f>
        <v>40745 Ivanov Ivan</v>
      </c>
      <c r="C771" t="str">
        <f>VLOOKUP(bron[[#This Row],[personeelsnr]],'data hastus'!$A:$C,2,0)</f>
        <v>Ivanov</v>
      </c>
      <c r="D771" t="str">
        <f>VLOOKUP(bron[[#This Row],[personeelsnr]],'data hastus'!$A:$C,3,0)</f>
        <v>Ivan</v>
      </c>
      <c r="E771" t="str">
        <f>VLOOKUP(bron[[#This Row],[personeelsnr]],'data hastus'!A:K,11,FALSE)</f>
        <v>Bart Van Der Beken</v>
      </c>
      <c r="F771" s="10"/>
      <c r="G771" s="7"/>
      <c r="H771" s="7"/>
      <c r="I771" s="7"/>
      <c r="J771" s="5"/>
      <c r="K771" s="5"/>
      <c r="L771" s="5"/>
      <c r="M771" s="5">
        <v>1</v>
      </c>
      <c r="N771" s="5"/>
      <c r="O771" s="5"/>
      <c r="P771" s="5"/>
      <c r="Q771" s="5"/>
      <c r="R771" s="5"/>
      <c r="S771" s="5">
        <f>SUM(bron[[#This Row],[Januari]:[December]])</f>
        <v>1</v>
      </c>
      <c r="T771" s="9">
        <v>45841</v>
      </c>
      <c r="U771" s="8" t="s">
        <v>1204</v>
      </c>
      <c r="V771" s="22">
        <v>1</v>
      </c>
      <c r="W771" s="22"/>
      <c r="X771" t="s">
        <v>3492</v>
      </c>
      <c r="Y771" t="s">
        <v>79</v>
      </c>
      <c r="Z771">
        <v>5259</v>
      </c>
      <c r="AA771" s="24" t="s">
        <v>3539</v>
      </c>
      <c r="AB771">
        <f>COUNTIF(B:B,bron[[#This Row],[volledige naam]])</f>
        <v>1</v>
      </c>
    </row>
    <row r="772" spans="1:28" x14ac:dyDescent="0.25">
      <c r="A772">
        <v>28737</v>
      </c>
      <c r="B772" t="str">
        <f>_xlfn.CONCAT(bron[[#This Row],[personeelsnr]]," ",bron[[#This Row],[achternaam]]," ",bron[[#This Row],[voornaam]])</f>
        <v>28737 El-Mohamed Mohamed</v>
      </c>
      <c r="C772" t="str">
        <f>VLOOKUP(bron[[#This Row],[personeelsnr]],'data hastus'!$A:$C,2,0)</f>
        <v>El-Mohamed</v>
      </c>
      <c r="D772" t="str">
        <f>VLOOKUP(bron[[#This Row],[personeelsnr]],'data hastus'!$A:$C,3,0)</f>
        <v>Mohamed</v>
      </c>
      <c r="E772" t="str">
        <f>VLOOKUP(bron[[#This Row],[personeelsnr]],'data hastus'!A:K,11,FALSE)</f>
        <v>Lucie Vande Velde</v>
      </c>
      <c r="F772" s="10"/>
      <c r="G772" s="7"/>
      <c r="H772" s="7"/>
      <c r="I772" s="7"/>
      <c r="J772" s="5"/>
      <c r="K772" s="5"/>
      <c r="L772" s="5"/>
      <c r="M772" s="5">
        <v>1</v>
      </c>
      <c r="N772" s="5"/>
      <c r="O772" s="5"/>
      <c r="P772" s="5"/>
      <c r="Q772" s="5"/>
      <c r="R772" s="5"/>
      <c r="S772" s="5">
        <f>SUM(bron[[#This Row],[Januari]:[December]])</f>
        <v>1</v>
      </c>
      <c r="T772" s="9">
        <v>45842</v>
      </c>
      <c r="U772" s="8" t="s">
        <v>1205</v>
      </c>
      <c r="V772" s="22">
        <v>1</v>
      </c>
      <c r="W772" s="22"/>
      <c r="X772" t="s">
        <v>3492</v>
      </c>
      <c r="Y772" t="s">
        <v>516</v>
      </c>
      <c r="Z772">
        <v>5046</v>
      </c>
      <c r="AA772" s="24" t="s">
        <v>3539</v>
      </c>
      <c r="AB772">
        <f>COUNTIF(B:B,bron[[#This Row],[volledige naam]])</f>
        <v>3</v>
      </c>
    </row>
    <row r="773" spans="1:28" x14ac:dyDescent="0.25">
      <c r="A773">
        <v>39660</v>
      </c>
      <c r="B773" t="str">
        <f>_xlfn.CONCAT(bron[[#This Row],[personeelsnr]]," ",bron[[#This Row],[achternaam]]," ",bron[[#This Row],[voornaam]])</f>
        <v>39660 Lloyd Glenn</v>
      </c>
      <c r="C773" t="str">
        <f>VLOOKUP(bron[[#This Row],[personeelsnr]],'data hastus'!$A:$C,2,0)</f>
        <v>Lloyd</v>
      </c>
      <c r="D773" t="str">
        <f>VLOOKUP(bron[[#This Row],[personeelsnr]],'data hastus'!$A:$C,3,0)</f>
        <v>Glenn</v>
      </c>
      <c r="E773" t="str">
        <f>VLOOKUP(bron[[#This Row],[personeelsnr]],'data hastus'!A:K,11,FALSE)</f>
        <v>Bart Van Der Beken</v>
      </c>
      <c r="F773" s="10"/>
      <c r="G773" s="7"/>
      <c r="H773" s="7"/>
      <c r="I773" s="7"/>
      <c r="J773" s="5"/>
      <c r="K773" s="5"/>
      <c r="L773" s="5"/>
      <c r="M773" s="5">
        <v>1</v>
      </c>
      <c r="N773" s="5"/>
      <c r="O773" s="5"/>
      <c r="P773" s="5"/>
      <c r="Q773" s="5"/>
      <c r="R773" s="5"/>
      <c r="S773" s="5">
        <f>SUM(bron[[#This Row],[Januari]:[December]])</f>
        <v>1</v>
      </c>
      <c r="T773" s="9">
        <v>45842</v>
      </c>
      <c r="U773" s="8" t="s">
        <v>1276</v>
      </c>
      <c r="V773" s="22">
        <v>1</v>
      </c>
      <c r="W773" s="22"/>
      <c r="X773" t="s">
        <v>3494</v>
      </c>
      <c r="Y773" t="s">
        <v>207</v>
      </c>
      <c r="Z773">
        <v>2190</v>
      </c>
      <c r="AA773" s="24" t="s">
        <v>3540</v>
      </c>
      <c r="AB773">
        <f>COUNTIF(B:B,bron[[#This Row],[volledige naam]])</f>
        <v>6</v>
      </c>
    </row>
    <row r="774" spans="1:28" x14ac:dyDescent="0.25">
      <c r="A774">
        <v>22416</v>
      </c>
      <c r="B774" t="str">
        <f>_xlfn.CONCAT(bron[[#This Row],[personeelsnr]]," ",bron[[#This Row],[achternaam]]," ",bron[[#This Row],[voornaam]])</f>
        <v>22416 Bicici Abdul Kadir</v>
      </c>
      <c r="C774" t="str">
        <f>VLOOKUP(bron[[#This Row],[personeelsnr]],'data hastus'!$A:$C,2,0)</f>
        <v>Bicici</v>
      </c>
      <c r="D774" t="str">
        <f>VLOOKUP(bron[[#This Row],[personeelsnr]],'data hastus'!$A:$C,3,0)</f>
        <v>Abdul Kadir</v>
      </c>
      <c r="E774" t="str">
        <f>VLOOKUP(bron[[#This Row],[personeelsnr]],'data hastus'!A:K,11,FALSE)</f>
        <v>Christoff Rotty</v>
      </c>
      <c r="F774" s="10"/>
      <c r="G774" s="7"/>
      <c r="H774" s="7"/>
      <c r="I774" s="7"/>
      <c r="J774" s="5"/>
      <c r="K774" s="5"/>
      <c r="L774" s="5"/>
      <c r="M774" s="5">
        <v>1</v>
      </c>
      <c r="N774" s="5"/>
      <c r="O774" s="5"/>
      <c r="P774" s="5"/>
      <c r="Q774" s="5"/>
      <c r="R774" s="5"/>
      <c r="S774" s="5">
        <f>SUM(bron[[#This Row],[Januari]:[December]])</f>
        <v>1</v>
      </c>
      <c r="T774" s="9">
        <v>45843</v>
      </c>
      <c r="U774" s="8" t="s">
        <v>1206</v>
      </c>
      <c r="V774" s="22"/>
      <c r="W774" s="22">
        <v>1</v>
      </c>
      <c r="X774" t="s">
        <v>3529</v>
      </c>
      <c r="Y774" t="s">
        <v>211</v>
      </c>
      <c r="Z774">
        <v>6355</v>
      </c>
      <c r="AA774" s="24" t="s">
        <v>3539</v>
      </c>
      <c r="AB774">
        <f>COUNTIF(B:B,bron[[#This Row],[volledige naam]])</f>
        <v>1</v>
      </c>
    </row>
    <row r="775" spans="1:28" x14ac:dyDescent="0.25">
      <c r="A775">
        <v>40939</v>
      </c>
      <c r="B775" t="str">
        <f>_xlfn.CONCAT(bron[[#This Row],[personeelsnr]]," ",bron[[#This Row],[achternaam]]," ",bron[[#This Row],[voornaam]])</f>
        <v>40939 Cisse Sayon</v>
      </c>
      <c r="C775" t="str">
        <f>VLOOKUP(bron[[#This Row],[personeelsnr]],'data hastus'!$A:$C,2,0)</f>
        <v>Cisse</v>
      </c>
      <c r="D775" t="str">
        <f>VLOOKUP(bron[[#This Row],[personeelsnr]],'data hastus'!$A:$C,3,0)</f>
        <v>Sayon</v>
      </c>
      <c r="E775" t="str">
        <f>VLOOKUP(bron[[#This Row],[personeelsnr]],'data hastus'!A:K,11,FALSE)</f>
        <v>Kenneth De Rick</v>
      </c>
      <c r="F775" s="10"/>
      <c r="G775" s="7"/>
      <c r="H775" s="7"/>
      <c r="I775" s="7"/>
      <c r="J775" s="5"/>
      <c r="K775" s="5"/>
      <c r="L775" s="5"/>
      <c r="M775" s="5">
        <v>1</v>
      </c>
      <c r="N775" s="5"/>
      <c r="O775" s="5"/>
      <c r="P775" s="5"/>
      <c r="Q775" s="5"/>
      <c r="R775" s="5"/>
      <c r="S775" s="5">
        <f>SUM(bron[[#This Row],[Januari]:[December]])</f>
        <v>1</v>
      </c>
      <c r="T775" s="9">
        <v>45843</v>
      </c>
      <c r="U775" s="8" t="s">
        <v>1207</v>
      </c>
      <c r="V775" s="22">
        <v>1</v>
      </c>
      <c r="W775" s="22"/>
      <c r="X775" t="s">
        <v>3492</v>
      </c>
      <c r="Y775" t="s">
        <v>14</v>
      </c>
      <c r="Z775">
        <v>5046</v>
      </c>
      <c r="AA775" s="24" t="s">
        <v>3539</v>
      </c>
      <c r="AB775">
        <f>COUNTIF(B:B,bron[[#This Row],[volledige naam]])</f>
        <v>3</v>
      </c>
    </row>
    <row r="776" spans="1:28" x14ac:dyDescent="0.25">
      <c r="A776">
        <v>31776</v>
      </c>
      <c r="B776" t="str">
        <f>_xlfn.CONCAT(bron[[#This Row],[personeelsnr]]," ",bron[[#This Row],[achternaam]]," ",bron[[#This Row],[voornaam]])</f>
        <v>31776 Famelaer Steve</v>
      </c>
      <c r="C776" t="str">
        <f>VLOOKUP(bron[[#This Row],[personeelsnr]],'data hastus'!$A:$C,2,0)</f>
        <v>Famelaer</v>
      </c>
      <c r="D776" t="str">
        <f>VLOOKUP(bron[[#This Row],[personeelsnr]],'data hastus'!$A:$C,3,0)</f>
        <v>Steve</v>
      </c>
      <c r="E776" t="str">
        <f>VLOOKUP(bron[[#This Row],[personeelsnr]],'data hastus'!A:K,11,FALSE)</f>
        <v>Dominique De Clercq</v>
      </c>
      <c r="F776" s="10"/>
      <c r="G776" s="7"/>
      <c r="H776" s="7"/>
      <c r="I776" s="7"/>
      <c r="J776" s="5"/>
      <c r="K776" s="5"/>
      <c r="L776" s="5"/>
      <c r="M776" s="5">
        <v>1</v>
      </c>
      <c r="N776" s="5"/>
      <c r="O776" s="5"/>
      <c r="P776" s="5"/>
      <c r="Q776" s="5"/>
      <c r="R776" s="5"/>
      <c r="S776" s="5">
        <f>SUM(bron[[#This Row],[Januari]:[December]])</f>
        <v>1</v>
      </c>
      <c r="T776" s="9">
        <v>45845</v>
      </c>
      <c r="U776" s="8" t="s">
        <v>1208</v>
      </c>
      <c r="V776" s="22">
        <v>1</v>
      </c>
      <c r="W776" s="22"/>
      <c r="X776" t="s">
        <v>3492</v>
      </c>
      <c r="Y776" t="s">
        <v>12</v>
      </c>
      <c r="Z776">
        <v>2198</v>
      </c>
      <c r="AA776" s="24" t="s">
        <v>3539</v>
      </c>
      <c r="AB776">
        <f>COUNTIF(B:B,bron[[#This Row],[volledige naam]])</f>
        <v>1</v>
      </c>
    </row>
    <row r="777" spans="1:28" x14ac:dyDescent="0.25">
      <c r="A777">
        <v>37439</v>
      </c>
      <c r="B777" t="str">
        <f>_xlfn.CONCAT(bron[[#This Row],[personeelsnr]]," ",bron[[#This Row],[achternaam]]," ",bron[[#This Row],[voornaam]])</f>
        <v>37439 Demirkazik Mustafa</v>
      </c>
      <c r="C777" t="str">
        <f>VLOOKUP(bron[[#This Row],[personeelsnr]],'data hastus'!$A:$C,2,0)</f>
        <v>Demirkazik</v>
      </c>
      <c r="D777" t="str">
        <f>VLOOKUP(bron[[#This Row],[personeelsnr]],'data hastus'!$A:$C,3,0)</f>
        <v>Mustafa</v>
      </c>
      <c r="E777" t="str">
        <f>VLOOKUP(bron[[#This Row],[personeelsnr]],'data hastus'!A:K,11,FALSE)</f>
        <v>Kenneth De Rick</v>
      </c>
      <c r="F777" s="10"/>
      <c r="G777" s="7"/>
      <c r="H777" s="7"/>
      <c r="I777" s="7"/>
      <c r="J777" s="5"/>
      <c r="K777" s="5"/>
      <c r="L777" s="5"/>
      <c r="M777" s="5">
        <v>1</v>
      </c>
      <c r="N777" s="5"/>
      <c r="O777" s="5"/>
      <c r="P777" s="5"/>
      <c r="Q777" s="5"/>
      <c r="R777" s="5"/>
      <c r="S777" s="5">
        <f>SUM(bron[[#This Row],[Januari]:[December]])</f>
        <v>1</v>
      </c>
      <c r="T777" s="9">
        <v>45845</v>
      </c>
      <c r="U777" s="8" t="s">
        <v>1212</v>
      </c>
      <c r="V777" s="22">
        <v>1</v>
      </c>
      <c r="W777" s="22"/>
      <c r="X777" t="s">
        <v>3493</v>
      </c>
      <c r="Y777" t="s">
        <v>87</v>
      </c>
      <c r="Z777">
        <v>5486</v>
      </c>
      <c r="AA777" s="24" t="s">
        <v>3539</v>
      </c>
      <c r="AB777">
        <f>COUNTIF(B:B,bron[[#This Row],[volledige naam]])</f>
        <v>4</v>
      </c>
    </row>
    <row r="778" spans="1:28" x14ac:dyDescent="0.25">
      <c r="A778">
        <v>41859</v>
      </c>
      <c r="B778" t="str">
        <f>_xlfn.CONCAT(bron[[#This Row],[personeelsnr]]," ",bron[[#This Row],[achternaam]]," ",bron[[#This Row],[voornaam]])</f>
        <v>41859 Palit Ramazan</v>
      </c>
      <c r="C778" t="s">
        <v>1209</v>
      </c>
      <c r="D778" t="s">
        <v>1210</v>
      </c>
      <c r="E778" t="s">
        <v>59</v>
      </c>
      <c r="F778" s="10"/>
      <c r="G778" s="7"/>
      <c r="H778" s="7"/>
      <c r="I778" s="7"/>
      <c r="J778" s="5"/>
      <c r="K778" s="5"/>
      <c r="L778" s="5"/>
      <c r="M778" s="5">
        <v>1</v>
      </c>
      <c r="N778" s="5"/>
      <c r="O778" s="5"/>
      <c r="P778" s="5"/>
      <c r="Q778" s="5"/>
      <c r="R778" s="5"/>
      <c r="S778" s="5">
        <f>SUM(bron[[#This Row],[Januari]:[December]])</f>
        <v>1</v>
      </c>
      <c r="T778" s="9">
        <v>45845</v>
      </c>
      <c r="U778" s="8" t="s">
        <v>1211</v>
      </c>
      <c r="V778" s="22">
        <v>1</v>
      </c>
      <c r="W778" s="22"/>
      <c r="X778" t="s">
        <v>3493</v>
      </c>
      <c r="Y778" t="s">
        <v>10</v>
      </c>
      <c r="Z778">
        <v>5921</v>
      </c>
      <c r="AA778" s="24" t="s">
        <v>3539</v>
      </c>
      <c r="AB778">
        <f>COUNTIF(B:B,bron[[#This Row],[volledige naam]])</f>
        <v>1</v>
      </c>
    </row>
    <row r="779" spans="1:28" x14ac:dyDescent="0.25">
      <c r="A779">
        <v>18987</v>
      </c>
      <c r="B779" t="e">
        <f>_xlfn.CONCAT(bron[[#This Row],[personeelsnr]]," ",bron[[#This Row],[achternaam]]," ",bron[[#This Row],[voornaam]])</f>
        <v>#N/A</v>
      </c>
      <c r="C779" t="e">
        <f>VLOOKUP(bron[[#This Row],[personeelsnr]],'data hastus'!$A:$C,2,0)</f>
        <v>#N/A</v>
      </c>
      <c r="D779" t="e">
        <f>VLOOKUP(bron[[#This Row],[personeelsnr]],'data hastus'!$A:$C,3,0)</f>
        <v>#N/A</v>
      </c>
      <c r="E779" t="s">
        <v>62</v>
      </c>
      <c r="F779" s="10"/>
      <c r="G779" s="7"/>
      <c r="H779" s="7"/>
      <c r="I779" s="7"/>
      <c r="J779" s="5"/>
      <c r="K779" s="5"/>
      <c r="L779" s="5"/>
      <c r="M779" s="5">
        <v>1</v>
      </c>
      <c r="N779" s="5"/>
      <c r="O779" s="5"/>
      <c r="P779" s="5"/>
      <c r="Q779" s="5"/>
      <c r="R779" s="5"/>
      <c r="S779" s="5">
        <f>SUM(bron[[#This Row],[Januari]:[December]])</f>
        <v>1</v>
      </c>
      <c r="T779" s="9">
        <v>45846</v>
      </c>
      <c r="U779" s="8" t="s">
        <v>1213</v>
      </c>
      <c r="V779" s="22"/>
      <c r="W779" s="22">
        <v>1</v>
      </c>
      <c r="X779" t="s">
        <v>3528</v>
      </c>
      <c r="Y779" t="s">
        <v>85</v>
      </c>
      <c r="Z779">
        <v>6313</v>
      </c>
      <c r="AA779" s="24" t="s">
        <v>3539</v>
      </c>
      <c r="AB779">
        <f>COUNTIF(B:B,bron[[#This Row],[volledige naam]])</f>
        <v>24</v>
      </c>
    </row>
    <row r="780" spans="1:28" x14ac:dyDescent="0.25">
      <c r="A780">
        <v>4720</v>
      </c>
      <c r="B780" t="str">
        <f>_xlfn.CONCAT(bron[[#This Row],[personeelsnr]]," ",bron[[#This Row],[achternaam]]," ",bron[[#This Row],[voornaam]])</f>
        <v>4720 De Roo Jo</v>
      </c>
      <c r="C780" t="str">
        <f>VLOOKUP(bron[[#This Row],[personeelsnr]],'data hastus'!$A:$C,2,0)</f>
        <v>De Roo</v>
      </c>
      <c r="D780" t="str">
        <f>VLOOKUP(bron[[#This Row],[personeelsnr]],'data hastus'!$A:$C,3,0)</f>
        <v>Jo</v>
      </c>
      <c r="E780" t="str">
        <f>VLOOKUP(bron[[#This Row],[personeelsnr]],'data hastus'!A:K,11,FALSE)</f>
        <v>Els Vanhoe</v>
      </c>
      <c r="F780" s="10"/>
      <c r="G780" s="7"/>
      <c r="H780" s="7"/>
      <c r="I780" s="7"/>
      <c r="J780" s="5"/>
      <c r="K780" s="5"/>
      <c r="L780" s="5"/>
      <c r="M780" s="5">
        <v>1</v>
      </c>
      <c r="N780" s="5"/>
      <c r="O780" s="5"/>
      <c r="P780" s="5"/>
      <c r="Q780" s="5"/>
      <c r="R780" s="5"/>
      <c r="S780" s="5">
        <f>SUM(bron[[#This Row],[Januari]:[December]])</f>
        <v>1</v>
      </c>
      <c r="T780" s="9">
        <v>45847</v>
      </c>
      <c r="U780" s="8" t="s">
        <v>1215</v>
      </c>
      <c r="V780" s="22">
        <v>1</v>
      </c>
      <c r="W780" s="22"/>
      <c r="X780" t="s">
        <v>3493</v>
      </c>
      <c r="Y780" t="s">
        <v>172</v>
      </c>
      <c r="Z780">
        <v>5772</v>
      </c>
      <c r="AA780" s="24" t="s">
        <v>3539</v>
      </c>
      <c r="AB780">
        <f>COUNTIF(B:B,bron[[#This Row],[volledige naam]])</f>
        <v>1</v>
      </c>
    </row>
    <row r="781" spans="1:28" x14ac:dyDescent="0.25">
      <c r="A781">
        <v>22877</v>
      </c>
      <c r="B781" t="str">
        <f>_xlfn.CONCAT(bron[[#This Row],[personeelsnr]]," ",bron[[#This Row],[achternaam]]," ",bron[[#This Row],[voornaam]])</f>
        <v>22877 Goossens Gunther</v>
      </c>
      <c r="C781" t="str">
        <f>VLOOKUP(bron[[#This Row],[personeelsnr]],'data hastus'!$A:$C,2,0)</f>
        <v>Goossens</v>
      </c>
      <c r="D781" t="str">
        <f>VLOOKUP(bron[[#This Row],[personeelsnr]],'data hastus'!$A:$C,3,0)</f>
        <v>Gunther</v>
      </c>
      <c r="E781" t="str">
        <f>VLOOKUP(bron[[#This Row],[personeelsnr]],'data hastus'!A:K,11,FALSE)</f>
        <v>Els Dewulf</v>
      </c>
      <c r="F781" s="10"/>
      <c r="G781" s="7"/>
      <c r="H781" s="7"/>
      <c r="I781" s="7"/>
      <c r="J781" s="5"/>
      <c r="K781" s="5"/>
      <c r="L781" s="5"/>
      <c r="M781" s="5">
        <v>1</v>
      </c>
      <c r="N781" s="5"/>
      <c r="O781" s="5"/>
      <c r="P781" s="5"/>
      <c r="Q781" s="5"/>
      <c r="R781" s="5"/>
      <c r="S781" s="5">
        <f>SUM(bron[[#This Row],[Januari]:[December]])</f>
        <v>1</v>
      </c>
      <c r="T781" s="9">
        <v>45847</v>
      </c>
      <c r="U781" s="8" t="s">
        <v>1214</v>
      </c>
      <c r="V781" s="22">
        <v>1</v>
      </c>
      <c r="W781" s="22"/>
      <c r="X781" t="s">
        <v>3492</v>
      </c>
      <c r="Y781" t="s">
        <v>106</v>
      </c>
      <c r="Z781">
        <v>2189</v>
      </c>
      <c r="AA781" s="24" t="s">
        <v>3539</v>
      </c>
      <c r="AB781">
        <f>COUNTIF(B:B,bron[[#This Row],[volledige naam]])</f>
        <v>1</v>
      </c>
    </row>
    <row r="782" spans="1:28" x14ac:dyDescent="0.25">
      <c r="A782">
        <v>12684</v>
      </c>
      <c r="B782" t="str">
        <f>_xlfn.CONCAT(bron[[#This Row],[personeelsnr]]," ",bron[[#This Row],[achternaam]]," ",bron[[#This Row],[voornaam]])</f>
        <v>12684 Van Den Bossche Martine</v>
      </c>
      <c r="C782" t="str">
        <f>VLOOKUP(bron[[#This Row],[personeelsnr]],'data hastus'!$A:$C,2,0)</f>
        <v>Van Den Bossche</v>
      </c>
      <c r="D782" t="str">
        <f>VLOOKUP(bron[[#This Row],[personeelsnr]],'data hastus'!$A:$C,3,0)</f>
        <v>Martine</v>
      </c>
      <c r="E782" t="str">
        <f>VLOOKUP(bron[[#This Row],[personeelsnr]],'data hastus'!A:K,11,FALSE)</f>
        <v>Els Vanhoe</v>
      </c>
      <c r="F782" s="10"/>
      <c r="G782" s="7"/>
      <c r="H782" s="7"/>
      <c r="I782" s="7"/>
      <c r="J782" s="5"/>
      <c r="K782" s="5"/>
      <c r="L782" s="5"/>
      <c r="M782" s="5">
        <v>1</v>
      </c>
      <c r="N782" s="5"/>
      <c r="O782" s="5"/>
      <c r="P782" s="5"/>
      <c r="Q782" s="5"/>
      <c r="R782" s="5"/>
      <c r="S782" s="5">
        <f>SUM(bron[[#This Row],[Januari]:[December]])</f>
        <v>1</v>
      </c>
      <c r="T782" s="9">
        <v>45848</v>
      </c>
      <c r="U782" s="8" t="s">
        <v>1217</v>
      </c>
      <c r="V782" s="22">
        <v>1</v>
      </c>
      <c r="W782" s="22"/>
      <c r="X782" t="s">
        <v>3492</v>
      </c>
      <c r="Y782" t="s">
        <v>24</v>
      </c>
      <c r="Z782">
        <v>5046</v>
      </c>
      <c r="AA782" s="24" t="s">
        <v>3539</v>
      </c>
      <c r="AB782">
        <f>COUNTIF(B:B,bron[[#This Row],[volledige naam]])</f>
        <v>3</v>
      </c>
    </row>
    <row r="783" spans="1:28" x14ac:dyDescent="0.25">
      <c r="A783">
        <v>31668</v>
      </c>
      <c r="B783" t="str">
        <f>_xlfn.CONCAT(bron[[#This Row],[personeelsnr]]," ",bron[[#This Row],[achternaam]]," ",bron[[#This Row],[voornaam]])</f>
        <v>31668 Weemhof Maurice</v>
      </c>
      <c r="C783" t="str">
        <f>VLOOKUP(bron[[#This Row],[personeelsnr]],'data hastus'!$A:$C,2,0)</f>
        <v>Weemhof</v>
      </c>
      <c r="D783" t="str">
        <f>VLOOKUP(bron[[#This Row],[personeelsnr]],'data hastus'!$A:$C,3,0)</f>
        <v>Maurice</v>
      </c>
      <c r="E783" t="str">
        <f>VLOOKUP(bron[[#This Row],[personeelsnr]],'data hastus'!A:K,11,FALSE)</f>
        <v>Dominique De Clercq</v>
      </c>
      <c r="F783" s="10"/>
      <c r="G783" s="7"/>
      <c r="H783" s="7"/>
      <c r="I783" s="7"/>
      <c r="J783" s="5"/>
      <c r="K783" s="5"/>
      <c r="L783" s="5"/>
      <c r="M783" s="5">
        <v>1</v>
      </c>
      <c r="N783" s="5"/>
      <c r="O783" s="5"/>
      <c r="P783" s="5"/>
      <c r="Q783" s="5"/>
      <c r="R783" s="5"/>
      <c r="S783" s="5">
        <f>SUM(bron[[#This Row],[Januari]:[December]])</f>
        <v>1</v>
      </c>
      <c r="T783" s="9">
        <v>45848</v>
      </c>
      <c r="U783" s="8" t="s">
        <v>1216</v>
      </c>
      <c r="V783" s="22">
        <v>1</v>
      </c>
      <c r="W783" s="22"/>
      <c r="X783" t="s">
        <v>3492</v>
      </c>
      <c r="Y783" t="s">
        <v>10</v>
      </c>
      <c r="Z783">
        <v>2196</v>
      </c>
      <c r="AA783" s="24" t="s">
        <v>3539</v>
      </c>
      <c r="AB783">
        <f>COUNTIF(B:B,bron[[#This Row],[volledige naam]])</f>
        <v>5</v>
      </c>
    </row>
    <row r="784" spans="1:28" x14ac:dyDescent="0.25">
      <c r="A784">
        <v>32002</v>
      </c>
      <c r="B784" t="str">
        <f>_xlfn.CONCAT(bron[[#This Row],[personeelsnr]]," ",bron[[#This Row],[achternaam]]," ",bron[[#This Row],[voornaam]])</f>
        <v>32002 Hasni Helmi</v>
      </c>
      <c r="C784" t="str">
        <f>VLOOKUP(bron[[#This Row],[personeelsnr]],'data hastus'!$A:$C,2,0)</f>
        <v>Hasni</v>
      </c>
      <c r="D784" t="str">
        <f>VLOOKUP(bron[[#This Row],[personeelsnr]],'data hastus'!$A:$C,3,0)</f>
        <v>Helmi</v>
      </c>
      <c r="E784" t="str">
        <f>VLOOKUP(bron[[#This Row],[personeelsnr]],'data hastus'!A:K,11,FALSE)</f>
        <v>Steven Storm</v>
      </c>
      <c r="F784" s="10"/>
      <c r="G784" s="7"/>
      <c r="H784" s="7"/>
      <c r="I784" s="7"/>
      <c r="J784" s="5"/>
      <c r="K784" s="5"/>
      <c r="L784" s="5"/>
      <c r="M784" s="5">
        <v>1</v>
      </c>
      <c r="N784" s="5"/>
      <c r="O784" s="5"/>
      <c r="P784" s="5"/>
      <c r="Q784" s="5"/>
      <c r="R784" s="5"/>
      <c r="S784" s="5">
        <f>SUM(bron[[#This Row],[Januari]:[December]])</f>
        <v>1</v>
      </c>
      <c r="T784" s="9">
        <v>45848</v>
      </c>
      <c r="U784" s="8" t="s">
        <v>1219</v>
      </c>
      <c r="V784" s="22"/>
      <c r="W784" s="22">
        <v>1</v>
      </c>
      <c r="X784" t="s">
        <v>3529</v>
      </c>
      <c r="Y784" t="s">
        <v>162</v>
      </c>
      <c r="Z784">
        <v>6355</v>
      </c>
      <c r="AA784" s="24" t="s">
        <v>3539</v>
      </c>
      <c r="AB784">
        <f>COUNTIF(B:B,bron[[#This Row],[volledige naam]])</f>
        <v>2</v>
      </c>
    </row>
    <row r="785" spans="1:28" x14ac:dyDescent="0.25">
      <c r="A785">
        <v>40362</v>
      </c>
      <c r="B785" t="str">
        <f>_xlfn.CONCAT(bron[[#This Row],[personeelsnr]]," ",bron[[#This Row],[achternaam]]," ",bron[[#This Row],[voornaam]])</f>
        <v>40362 Kuru Cetin</v>
      </c>
      <c r="C785" t="str">
        <f>VLOOKUP(bron[[#This Row],[personeelsnr]],'data hastus'!$A:$C,2,0)</f>
        <v>Kuru</v>
      </c>
      <c r="D785" t="str">
        <f>VLOOKUP(bron[[#This Row],[personeelsnr]],'data hastus'!$A:$C,3,0)</f>
        <v>Cetin</v>
      </c>
      <c r="E785" t="str">
        <f>VLOOKUP(bron[[#This Row],[personeelsnr]],'data hastus'!A:K,11,FALSE)</f>
        <v>Kenneth De Rick</v>
      </c>
      <c r="F785" s="10"/>
      <c r="G785" s="7"/>
      <c r="H785" s="7"/>
      <c r="I785" s="7"/>
      <c r="J785" s="5"/>
      <c r="K785" s="5"/>
      <c r="L785" s="5"/>
      <c r="M785" s="5">
        <v>1</v>
      </c>
      <c r="N785" s="5"/>
      <c r="O785" s="5"/>
      <c r="P785" s="5"/>
      <c r="Q785" s="5"/>
      <c r="R785" s="5"/>
      <c r="S785" s="5">
        <f>SUM(bron[[#This Row],[Januari]:[December]])</f>
        <v>1</v>
      </c>
      <c r="T785" s="9">
        <v>45848</v>
      </c>
      <c r="U785" s="8" t="s">
        <v>1218</v>
      </c>
      <c r="V785" s="22">
        <v>1</v>
      </c>
      <c r="W785" s="22"/>
      <c r="X785" t="s">
        <v>3493</v>
      </c>
      <c r="Y785" t="s">
        <v>498</v>
      </c>
      <c r="Z785">
        <v>5915</v>
      </c>
      <c r="AA785" s="24" t="s">
        <v>3539</v>
      </c>
      <c r="AB785">
        <f>COUNTIF(B:B,bron[[#This Row],[volledige naam]])</f>
        <v>3</v>
      </c>
    </row>
    <row r="786" spans="1:28" x14ac:dyDescent="0.25">
      <c r="A786">
        <v>41091</v>
      </c>
      <c r="B786" t="str">
        <f>_xlfn.CONCAT(bron[[#This Row],[personeelsnr]]," ",bron[[#This Row],[achternaam]]," ",bron[[#This Row],[voornaam]])</f>
        <v>41091 Yavas Talha</v>
      </c>
      <c r="C786" t="str">
        <f>VLOOKUP(bron[[#This Row],[personeelsnr]],'data hastus'!$A:$C,2,0)</f>
        <v>Yavas</v>
      </c>
      <c r="D786" t="str">
        <f>VLOOKUP(bron[[#This Row],[personeelsnr]],'data hastus'!$A:$C,3,0)</f>
        <v>Talha</v>
      </c>
      <c r="E786" t="str">
        <f>VLOOKUP(bron[[#This Row],[personeelsnr]],'data hastus'!A:K,11,FALSE)</f>
        <v>Dominique De Clercq</v>
      </c>
      <c r="F786" s="10"/>
      <c r="G786" s="7"/>
      <c r="H786" s="7"/>
      <c r="I786" s="7"/>
      <c r="J786" s="5"/>
      <c r="K786" s="5"/>
      <c r="L786" s="5"/>
      <c r="M786" s="5">
        <v>1</v>
      </c>
      <c r="N786" s="5"/>
      <c r="O786" s="5"/>
      <c r="P786" s="5"/>
      <c r="Q786" s="5"/>
      <c r="R786" s="5"/>
      <c r="S786" s="5">
        <f>SUM(bron[[#This Row],[Januari]:[December]])</f>
        <v>1</v>
      </c>
      <c r="T786" s="9">
        <v>45849</v>
      </c>
      <c r="U786" s="8" t="s">
        <v>1220</v>
      </c>
      <c r="V786" s="22">
        <v>1</v>
      </c>
      <c r="W786" s="22"/>
      <c r="X786" t="s">
        <v>3494</v>
      </c>
      <c r="Y786" t="s">
        <v>116</v>
      </c>
      <c r="Z786">
        <v>5324</v>
      </c>
      <c r="AA786" s="24" t="s">
        <v>3539</v>
      </c>
      <c r="AB786">
        <f>COUNTIF(B:B,bron[[#This Row],[volledige naam]])</f>
        <v>2</v>
      </c>
    </row>
    <row r="787" spans="1:28" x14ac:dyDescent="0.25">
      <c r="A787">
        <v>40856</v>
      </c>
      <c r="B787" t="str">
        <f>_xlfn.CONCAT(bron[[#This Row],[personeelsnr]]," ",bron[[#This Row],[achternaam]]," ",bron[[#This Row],[voornaam]])</f>
        <v>40856 Neissi Sadegh</v>
      </c>
      <c r="C787" t="str">
        <f>VLOOKUP(bron[[#This Row],[personeelsnr]],'data hastus'!$A:$C,2,0)</f>
        <v>Neissi</v>
      </c>
      <c r="D787" t="str">
        <f>VLOOKUP(bron[[#This Row],[personeelsnr]],'data hastus'!$A:$C,3,0)</f>
        <v>Sadegh</v>
      </c>
      <c r="E787" t="str">
        <f>VLOOKUP(bron[[#This Row],[personeelsnr]],'data hastus'!A:K,11,FALSE)</f>
        <v>Kenneth De Rick</v>
      </c>
      <c r="F787" s="10"/>
      <c r="G787" s="7"/>
      <c r="H787" s="7"/>
      <c r="I787" s="7"/>
      <c r="J787" s="5"/>
      <c r="K787" s="5"/>
      <c r="L787" s="5"/>
      <c r="M787" s="5">
        <v>1</v>
      </c>
      <c r="N787" s="5"/>
      <c r="O787" s="5"/>
      <c r="P787" s="5"/>
      <c r="Q787" s="5"/>
      <c r="R787" s="5"/>
      <c r="S787" s="5">
        <f>SUM(bron[[#This Row],[Januari]:[December]])</f>
        <v>1</v>
      </c>
      <c r="T787" s="9">
        <v>45850</v>
      </c>
      <c r="U787" s="8" t="s">
        <v>1221</v>
      </c>
      <c r="V787" s="22">
        <v>1</v>
      </c>
      <c r="W787" s="22"/>
      <c r="X787" t="s">
        <v>3492</v>
      </c>
      <c r="Y787" t="s">
        <v>12</v>
      </c>
      <c r="Z787">
        <v>5043</v>
      </c>
      <c r="AA787" s="24" t="s">
        <v>3539</v>
      </c>
      <c r="AB787">
        <f>COUNTIF(B:B,bron[[#This Row],[volledige naam]])</f>
        <v>5</v>
      </c>
    </row>
    <row r="788" spans="1:28" x14ac:dyDescent="0.25">
      <c r="A788">
        <v>36428</v>
      </c>
      <c r="B788" t="str">
        <f>_xlfn.CONCAT(bron[[#This Row],[personeelsnr]]," ",bron[[#This Row],[achternaam]]," ",bron[[#This Row],[voornaam]])</f>
        <v>36428 Abdi Shaiye Rashid</v>
      </c>
      <c r="C788" t="str">
        <f>VLOOKUP(bron[[#This Row],[personeelsnr]],'data hastus'!$A:$C,2,0)</f>
        <v>Abdi Shaiye</v>
      </c>
      <c r="D788" t="str">
        <f>VLOOKUP(bron[[#This Row],[personeelsnr]],'data hastus'!$A:$C,3,0)</f>
        <v>Rashid</v>
      </c>
      <c r="E788" t="str">
        <f>VLOOKUP(bron[[#This Row],[personeelsnr]],'data hastus'!A:K,11,FALSE)</f>
        <v>Lucie Vande Velde</v>
      </c>
      <c r="F788" s="10"/>
      <c r="G788" s="7"/>
      <c r="H788" s="7"/>
      <c r="I788" s="7"/>
      <c r="J788" s="5"/>
      <c r="K788" s="5"/>
      <c r="L788" s="5"/>
      <c r="M788" s="5">
        <v>1</v>
      </c>
      <c r="N788" s="5"/>
      <c r="O788" s="5"/>
      <c r="P788" s="5"/>
      <c r="Q788" s="5"/>
      <c r="R788" s="5"/>
      <c r="S788" s="5">
        <f>SUM(bron[[#This Row],[Januari]:[December]])</f>
        <v>1</v>
      </c>
      <c r="T788" s="9">
        <v>45851</v>
      </c>
      <c r="U788" s="8" t="s">
        <v>1222</v>
      </c>
      <c r="V788" s="22">
        <v>1</v>
      </c>
      <c r="W788" s="22"/>
      <c r="X788" t="s">
        <v>3493</v>
      </c>
      <c r="Y788" t="s">
        <v>182</v>
      </c>
      <c r="Z788">
        <v>5763</v>
      </c>
      <c r="AA788" s="24" t="s">
        <v>3539</v>
      </c>
      <c r="AB788">
        <f>COUNTIF(B:B,bron[[#This Row],[volledige naam]])</f>
        <v>5</v>
      </c>
    </row>
    <row r="789" spans="1:28" x14ac:dyDescent="0.25">
      <c r="A789">
        <v>37936</v>
      </c>
      <c r="B789" t="str">
        <f>_xlfn.CONCAT(bron[[#This Row],[personeelsnr]]," ",bron[[#This Row],[achternaam]]," ",bron[[#This Row],[voornaam]])</f>
        <v>37936 Detaeye Alexander</v>
      </c>
      <c r="C789" t="str">
        <f>VLOOKUP(bron[[#This Row],[personeelsnr]],'data hastus'!$A:$C,2,0)</f>
        <v>Detaeye</v>
      </c>
      <c r="D789" t="str">
        <f>VLOOKUP(bron[[#This Row],[personeelsnr]],'data hastus'!$A:$C,3,0)</f>
        <v>Alexander</v>
      </c>
      <c r="E789" t="str">
        <f>VLOOKUP(bron[[#This Row],[personeelsnr]],'data hastus'!A:K,11,FALSE)</f>
        <v>Steven Storm</v>
      </c>
      <c r="F789" s="10"/>
      <c r="G789" s="7"/>
      <c r="H789" s="7"/>
      <c r="I789" s="7"/>
      <c r="J789" s="5"/>
      <c r="K789" s="5"/>
      <c r="L789" s="5"/>
      <c r="M789" s="5">
        <v>1</v>
      </c>
      <c r="N789" s="5"/>
      <c r="O789" s="5"/>
      <c r="P789" s="5"/>
      <c r="Q789" s="5"/>
      <c r="R789" s="5"/>
      <c r="S789" s="5">
        <f>SUM(bron[[#This Row],[Januari]:[December]])</f>
        <v>1</v>
      </c>
      <c r="T789" s="9">
        <v>45851</v>
      </c>
      <c r="U789" s="8" t="s">
        <v>1223</v>
      </c>
      <c r="V789" s="22">
        <v>1</v>
      </c>
      <c r="W789" s="22"/>
      <c r="X789" t="s">
        <v>3493</v>
      </c>
      <c r="Y789" t="s">
        <v>209</v>
      </c>
      <c r="Z789">
        <v>5911</v>
      </c>
      <c r="AA789" s="24" t="s">
        <v>3539</v>
      </c>
      <c r="AB789">
        <f>COUNTIF(B:B,bron[[#This Row],[volledige naam]])</f>
        <v>2</v>
      </c>
    </row>
    <row r="790" spans="1:28" x14ac:dyDescent="0.25">
      <c r="A790">
        <v>36577</v>
      </c>
      <c r="B790" t="str">
        <f>_xlfn.CONCAT(bron[[#This Row],[personeelsnr]]," ",bron[[#This Row],[achternaam]]," ",bron[[#This Row],[voornaam]])</f>
        <v>36577 De Smet Martine</v>
      </c>
      <c r="C790" t="str">
        <f>VLOOKUP(bron[[#This Row],[personeelsnr]],'data hastus'!$A:$C,2,0)</f>
        <v>De Smet</v>
      </c>
      <c r="D790" t="str">
        <f>VLOOKUP(bron[[#This Row],[personeelsnr]],'data hastus'!$A:$C,3,0)</f>
        <v>Martine</v>
      </c>
      <c r="E790" t="str">
        <f>VLOOKUP(bron[[#This Row],[personeelsnr]],'data hastus'!A:K,11,FALSE)</f>
        <v>Els Dewulf</v>
      </c>
      <c r="F790" s="10"/>
      <c r="G790" s="7"/>
      <c r="H790" s="7"/>
      <c r="I790" s="7"/>
      <c r="J790" s="5"/>
      <c r="K790" s="5"/>
      <c r="L790" s="5"/>
      <c r="M790" s="5">
        <v>1</v>
      </c>
      <c r="N790" s="5"/>
      <c r="O790" s="5"/>
      <c r="P790" s="5"/>
      <c r="Q790" s="5"/>
      <c r="R790" s="5"/>
      <c r="S790" s="5">
        <f>SUM(bron[[#This Row],[Januari]:[December]])</f>
        <v>1</v>
      </c>
      <c r="T790" s="9">
        <v>45852</v>
      </c>
      <c r="U790" s="8" t="s">
        <v>1224</v>
      </c>
      <c r="V790" s="22"/>
      <c r="W790" s="22">
        <v>1</v>
      </c>
      <c r="X790" t="s">
        <v>3529</v>
      </c>
      <c r="Y790" t="s">
        <v>52</v>
      </c>
      <c r="Z790">
        <v>6353</v>
      </c>
      <c r="AA790" s="24" t="s">
        <v>3539</v>
      </c>
      <c r="AB790">
        <f>COUNTIF(B:B,bron[[#This Row],[volledige naam]])</f>
        <v>1</v>
      </c>
    </row>
    <row r="791" spans="1:28" x14ac:dyDescent="0.25">
      <c r="A791">
        <v>12684</v>
      </c>
      <c r="B791" t="str">
        <f>_xlfn.CONCAT(bron[[#This Row],[personeelsnr]]," ",bron[[#This Row],[achternaam]]," ",bron[[#This Row],[voornaam]])</f>
        <v>12684 Van Den Bossche Martine</v>
      </c>
      <c r="C791" t="str">
        <f>VLOOKUP(bron[[#This Row],[personeelsnr]],'data hastus'!$A:$C,2,0)</f>
        <v>Van Den Bossche</v>
      </c>
      <c r="D791" t="str">
        <f>VLOOKUP(bron[[#This Row],[personeelsnr]],'data hastus'!$A:$C,3,0)</f>
        <v>Martine</v>
      </c>
      <c r="E791" t="str">
        <f>VLOOKUP(bron[[#This Row],[personeelsnr]],'data hastus'!A:K,11,FALSE)</f>
        <v>Els Vanhoe</v>
      </c>
      <c r="F791" s="10"/>
      <c r="G791" s="7"/>
      <c r="H791" s="7"/>
      <c r="I791" s="7"/>
      <c r="J791" s="5"/>
      <c r="K791" s="5"/>
      <c r="L791" s="5"/>
      <c r="M791" s="5">
        <v>1</v>
      </c>
      <c r="N791" s="5"/>
      <c r="O791" s="5"/>
      <c r="P791" s="5"/>
      <c r="Q791" s="5"/>
      <c r="R791" s="5"/>
      <c r="S791" s="5">
        <f>SUM(bron[[#This Row],[Januari]:[December]])</f>
        <v>1</v>
      </c>
      <c r="T791" s="9">
        <v>45853</v>
      </c>
      <c r="U791" s="8" t="s">
        <v>1226</v>
      </c>
      <c r="V791" s="22">
        <v>1</v>
      </c>
      <c r="W791" s="22"/>
      <c r="X791" t="s">
        <v>3492</v>
      </c>
      <c r="Y791" t="s">
        <v>217</v>
      </c>
      <c r="Z791">
        <v>5044</v>
      </c>
      <c r="AA791" s="24" t="s">
        <v>3539</v>
      </c>
      <c r="AB791">
        <f>COUNTIF(B:B,bron[[#This Row],[volledige naam]])</f>
        <v>3</v>
      </c>
    </row>
    <row r="792" spans="1:28" x14ac:dyDescent="0.25">
      <c r="A792">
        <v>19917</v>
      </c>
      <c r="B792" t="str">
        <f>_xlfn.CONCAT(bron[[#This Row],[personeelsnr]]," ",bron[[#This Row],[achternaam]]," ",bron[[#This Row],[voornaam]])</f>
        <v>19917 Vandevyvere Frank</v>
      </c>
      <c r="C792" t="str">
        <f>VLOOKUP(bron[[#This Row],[personeelsnr]],'data hastus'!$A:$C,2,0)</f>
        <v>Vandevyvere</v>
      </c>
      <c r="D792" t="str">
        <f>VLOOKUP(bron[[#This Row],[personeelsnr]],'data hastus'!$A:$C,3,0)</f>
        <v>Frank</v>
      </c>
      <c r="E792" t="str">
        <f>VLOOKUP(bron[[#This Row],[personeelsnr]],'data hastus'!A:K,11,FALSE)</f>
        <v>Bart Van Der Beken</v>
      </c>
      <c r="F792" s="10"/>
      <c r="G792" s="7"/>
      <c r="H792" s="7"/>
      <c r="I792" s="7"/>
      <c r="J792" s="5"/>
      <c r="K792" s="5"/>
      <c r="L792" s="5"/>
      <c r="M792" s="5">
        <v>1</v>
      </c>
      <c r="N792" s="5"/>
      <c r="O792" s="5"/>
      <c r="P792" s="5"/>
      <c r="Q792" s="5"/>
      <c r="R792" s="5"/>
      <c r="S792" s="5">
        <f>SUM(bron[[#This Row],[Januari]:[December]])</f>
        <v>1</v>
      </c>
      <c r="T792" s="9">
        <v>45853</v>
      </c>
      <c r="U792" s="8" t="s">
        <v>1225</v>
      </c>
      <c r="V792" s="22">
        <v>1</v>
      </c>
      <c r="W792" s="22"/>
      <c r="X792" t="s">
        <v>3492</v>
      </c>
      <c r="Y792" t="s">
        <v>18</v>
      </c>
      <c r="Z792">
        <v>5231</v>
      </c>
      <c r="AA792" s="24" t="s">
        <v>3539</v>
      </c>
      <c r="AB792">
        <f>COUNTIF(B:B,bron[[#This Row],[volledige naam]])</f>
        <v>10</v>
      </c>
    </row>
    <row r="793" spans="1:28" x14ac:dyDescent="0.25">
      <c r="A793">
        <v>39529</v>
      </c>
      <c r="B793" t="str">
        <f>_xlfn.CONCAT(bron[[#This Row],[personeelsnr]]," ",bron[[#This Row],[achternaam]]," ",bron[[#This Row],[voornaam]])</f>
        <v>39529 Desmet Patricia</v>
      </c>
      <c r="C793" t="str">
        <f>VLOOKUP(bron[[#This Row],[personeelsnr]],'data hastus'!$A:$C,2,0)</f>
        <v>Desmet</v>
      </c>
      <c r="D793" t="str">
        <f>VLOOKUP(bron[[#This Row],[personeelsnr]],'data hastus'!$A:$C,3,0)</f>
        <v>Patricia</v>
      </c>
      <c r="E793" t="str">
        <f>VLOOKUP(bron[[#This Row],[personeelsnr]],'data hastus'!A:K,11,FALSE)</f>
        <v>Christoff Rotty</v>
      </c>
      <c r="F793" s="10"/>
      <c r="G793" s="7"/>
      <c r="H793" s="7"/>
      <c r="I793" s="7"/>
      <c r="J793" s="5"/>
      <c r="K793" s="5"/>
      <c r="L793" s="5"/>
      <c r="M793" s="5">
        <v>1</v>
      </c>
      <c r="N793" s="5"/>
      <c r="O793" s="5"/>
      <c r="P793" s="5"/>
      <c r="Q793" s="5"/>
      <c r="R793" s="5"/>
      <c r="S793" s="5">
        <f>SUM(bron[[#This Row],[Januari]:[December]])</f>
        <v>1</v>
      </c>
      <c r="T793" s="9">
        <v>45853</v>
      </c>
      <c r="U793" s="8" t="s">
        <v>1283</v>
      </c>
      <c r="V793" s="22"/>
      <c r="W793" s="22">
        <v>1</v>
      </c>
      <c r="X793" t="s">
        <v>3529</v>
      </c>
      <c r="Y793" t="s">
        <v>941</v>
      </c>
      <c r="Z793">
        <v>6375</v>
      </c>
      <c r="AA793" s="24" t="s">
        <v>3540</v>
      </c>
      <c r="AB793">
        <f>COUNTIF(B:B,bron[[#This Row],[volledige naam]])</f>
        <v>4</v>
      </c>
    </row>
    <row r="794" spans="1:28" x14ac:dyDescent="0.25">
      <c r="A794">
        <v>30271</v>
      </c>
      <c r="B794" t="str">
        <f>_xlfn.CONCAT(bron[[#This Row],[personeelsnr]]," ",bron[[#This Row],[achternaam]]," ",bron[[#This Row],[voornaam]])</f>
        <v>30271 Bracke Jeroen</v>
      </c>
      <c r="C794" t="str">
        <f>VLOOKUP(bron[[#This Row],[personeelsnr]],'data hastus'!$A:$C,2,0)</f>
        <v>Bracke</v>
      </c>
      <c r="D794" t="str">
        <f>VLOOKUP(bron[[#This Row],[personeelsnr]],'data hastus'!$A:$C,3,0)</f>
        <v>Jeroen</v>
      </c>
      <c r="E794" t="str">
        <f>VLOOKUP(bron[[#This Row],[personeelsnr]],'data hastus'!A:K,11,FALSE)</f>
        <v>Els Dewulf</v>
      </c>
      <c r="F794" s="10"/>
      <c r="G794" s="7"/>
      <c r="H794" s="7"/>
      <c r="I794" s="7"/>
      <c r="J794" s="5"/>
      <c r="K794" s="5"/>
      <c r="L794" s="5"/>
      <c r="M794" s="5">
        <v>1</v>
      </c>
      <c r="N794" s="5"/>
      <c r="O794" s="5"/>
      <c r="P794" s="5"/>
      <c r="Q794" s="5"/>
      <c r="R794" s="5"/>
      <c r="S794" s="5">
        <f>SUM(bron[[#This Row],[Januari]:[December]])</f>
        <v>1</v>
      </c>
      <c r="T794" s="9">
        <v>45854</v>
      </c>
      <c r="U794" s="8" t="s">
        <v>1227</v>
      </c>
      <c r="V794" s="22">
        <v>1</v>
      </c>
      <c r="W794" s="22"/>
      <c r="X794" t="s">
        <v>3492</v>
      </c>
      <c r="Y794" t="s">
        <v>6</v>
      </c>
      <c r="Z794">
        <v>2807</v>
      </c>
      <c r="AA794" s="24" t="s">
        <v>3539</v>
      </c>
      <c r="AB794">
        <f>COUNTIF(B:B,bron[[#This Row],[volledige naam]])</f>
        <v>1</v>
      </c>
    </row>
    <row r="795" spans="1:28" x14ac:dyDescent="0.25">
      <c r="A795">
        <v>26331</v>
      </c>
      <c r="B795" t="str">
        <f>_xlfn.CONCAT(bron[[#This Row],[personeelsnr]]," ",bron[[#This Row],[achternaam]]," ",bron[[#This Row],[voornaam]])</f>
        <v>26331 Van Semmertier Pascal</v>
      </c>
      <c r="C795" t="str">
        <f>VLOOKUP(bron[[#This Row],[personeelsnr]],'data hastus'!$A:$C,2,0)</f>
        <v>Van Semmertier</v>
      </c>
      <c r="D795" t="str">
        <f>VLOOKUP(bron[[#This Row],[personeelsnr]],'data hastus'!$A:$C,3,0)</f>
        <v>Pascal</v>
      </c>
      <c r="E795" t="str">
        <f>VLOOKUP(bron[[#This Row],[personeelsnr]],'data hastus'!A:K,11,FALSE)</f>
        <v>Bart Van Der Beken</v>
      </c>
      <c r="F795" s="10"/>
      <c r="G795" s="7"/>
      <c r="H795" s="7"/>
      <c r="I795" s="7"/>
      <c r="J795" s="5"/>
      <c r="K795" s="5"/>
      <c r="L795" s="5"/>
      <c r="M795" s="5">
        <v>1</v>
      </c>
      <c r="N795" s="5"/>
      <c r="O795" s="5"/>
      <c r="P795" s="5"/>
      <c r="Q795" s="5"/>
      <c r="R795" s="5"/>
      <c r="S795" s="5">
        <f>SUM(bron[[#This Row],[Januari]:[December]])</f>
        <v>1</v>
      </c>
      <c r="T795" s="9">
        <v>45857</v>
      </c>
      <c r="U795" s="8" t="s">
        <v>1228</v>
      </c>
      <c r="V795" s="22">
        <v>1</v>
      </c>
      <c r="W795" s="22"/>
      <c r="X795" t="s">
        <v>3494</v>
      </c>
      <c r="Y795" t="s">
        <v>231</v>
      </c>
      <c r="Z795">
        <v>5266</v>
      </c>
      <c r="AA795" s="24" t="s">
        <v>3539</v>
      </c>
      <c r="AB795">
        <f>COUNTIF(B:B,bron[[#This Row],[volledige naam]])</f>
        <v>3</v>
      </c>
    </row>
    <row r="796" spans="1:28" x14ac:dyDescent="0.25">
      <c r="A796">
        <v>41137</v>
      </c>
      <c r="B796" t="str">
        <f>_xlfn.CONCAT(bron[[#This Row],[personeelsnr]]," ",bron[[#This Row],[achternaam]]," ",bron[[#This Row],[voornaam]])</f>
        <v>41137 De smet Dirk</v>
      </c>
      <c r="C796" t="str">
        <f>VLOOKUP(bron[[#This Row],[personeelsnr]],'data hastus'!$A:$C,2,0)</f>
        <v>De smet</v>
      </c>
      <c r="D796" t="str">
        <f>VLOOKUP(bron[[#This Row],[personeelsnr]],'data hastus'!$A:$C,3,0)</f>
        <v>Dirk</v>
      </c>
      <c r="E796" t="str">
        <f>VLOOKUP(bron[[#This Row],[personeelsnr]],'data hastus'!A:K,11,FALSE)</f>
        <v>Dominique De Clercq</v>
      </c>
      <c r="F796" s="10"/>
      <c r="G796" s="7"/>
      <c r="H796" s="7"/>
      <c r="I796" s="7"/>
      <c r="J796" s="5"/>
      <c r="K796" s="5"/>
      <c r="L796" s="5"/>
      <c r="M796" s="5">
        <v>1</v>
      </c>
      <c r="N796" s="5"/>
      <c r="O796" s="5"/>
      <c r="P796" s="5"/>
      <c r="Q796" s="5"/>
      <c r="R796" s="5"/>
      <c r="S796" s="5">
        <f>SUM(bron[[#This Row],[Januari]:[December]])</f>
        <v>1</v>
      </c>
      <c r="T796" s="9">
        <v>45859</v>
      </c>
      <c r="U796" s="22" t="s">
        <v>1229</v>
      </c>
      <c r="V796" s="22">
        <v>1</v>
      </c>
      <c r="W796" s="22"/>
      <c r="X796" t="s">
        <v>3493</v>
      </c>
      <c r="Y796" t="s">
        <v>92</v>
      </c>
      <c r="Z796">
        <v>5767</v>
      </c>
      <c r="AA796" s="24" t="s">
        <v>3539</v>
      </c>
      <c r="AB796">
        <f>COUNTIF(B:B,bron[[#This Row],[volledige naam]])</f>
        <v>1</v>
      </c>
    </row>
    <row r="797" spans="1:28" x14ac:dyDescent="0.25">
      <c r="A797">
        <v>35397</v>
      </c>
      <c r="B797" t="str">
        <f>_xlfn.CONCAT(bron[[#This Row],[personeelsnr]]," ",bron[[#This Row],[achternaam]]," ",bron[[#This Row],[voornaam]])</f>
        <v>35397 Minbari Ako</v>
      </c>
      <c r="C797" t="str">
        <f>VLOOKUP(bron[[#This Row],[personeelsnr]],'data hastus'!$A:$C,2,0)</f>
        <v>Minbari</v>
      </c>
      <c r="D797" t="str">
        <f>VLOOKUP(bron[[#This Row],[personeelsnr]],'data hastus'!$A:$C,3,0)</f>
        <v>Ako</v>
      </c>
      <c r="E797" t="str">
        <f>VLOOKUP(bron[[#This Row],[personeelsnr]],'data hastus'!A:K,11,FALSE)</f>
        <v>Lucie Vande Velde</v>
      </c>
      <c r="F797" s="10"/>
      <c r="G797" s="7"/>
      <c r="H797" s="7"/>
      <c r="I797" s="7"/>
      <c r="J797" s="5"/>
      <c r="K797" s="5"/>
      <c r="L797" s="5"/>
      <c r="M797" s="5">
        <v>1</v>
      </c>
      <c r="N797" s="5"/>
      <c r="O797" s="5"/>
      <c r="P797" s="5"/>
      <c r="Q797" s="5"/>
      <c r="R797" s="5"/>
      <c r="S797" s="5">
        <f>SUM(bron[[#This Row],[Januari]:[December]])</f>
        <v>1</v>
      </c>
      <c r="T797" s="9">
        <v>45861</v>
      </c>
      <c r="U797" s="8" t="s">
        <v>1233</v>
      </c>
      <c r="V797" s="22"/>
      <c r="W797" s="22">
        <v>1</v>
      </c>
      <c r="X797" t="s">
        <v>3528</v>
      </c>
      <c r="Y797" t="s">
        <v>246</v>
      </c>
      <c r="Z797">
        <v>6323</v>
      </c>
      <c r="AA797" s="24" t="s">
        <v>3539</v>
      </c>
      <c r="AB797">
        <f>COUNTIF(B:B,bron[[#This Row],[volledige naam]])</f>
        <v>2</v>
      </c>
    </row>
    <row r="798" spans="1:28" x14ac:dyDescent="0.25">
      <c r="A798">
        <v>39581</v>
      </c>
      <c r="B798" t="str">
        <f>_xlfn.CONCAT(bron[[#This Row],[personeelsnr]]," ",bron[[#This Row],[achternaam]]," ",bron[[#This Row],[voornaam]])</f>
        <v>39581 Vandenhaute Linus</v>
      </c>
      <c r="C798" t="str">
        <f>VLOOKUP(bron[[#This Row],[personeelsnr]],'data hastus'!$A:$C,2,0)</f>
        <v>Vandenhaute</v>
      </c>
      <c r="D798" t="str">
        <f>VLOOKUP(bron[[#This Row],[personeelsnr]],'data hastus'!$A:$C,3,0)</f>
        <v>Linus</v>
      </c>
      <c r="E798" t="str">
        <f>VLOOKUP(bron[[#This Row],[personeelsnr]],'data hastus'!A:K,11,FALSE)</f>
        <v>Els Dewulf</v>
      </c>
      <c r="F798" s="10"/>
      <c r="G798" s="7"/>
      <c r="H798" s="7"/>
      <c r="I798" s="7"/>
      <c r="J798" s="5"/>
      <c r="K798" s="5"/>
      <c r="L798" s="5"/>
      <c r="M798" s="5">
        <v>1</v>
      </c>
      <c r="N798" s="5"/>
      <c r="O798" s="5"/>
      <c r="P798" s="5"/>
      <c r="Q798" s="5"/>
      <c r="R798" s="5"/>
      <c r="S798" s="5">
        <f>SUM(bron[[#This Row],[Januari]:[December]])</f>
        <v>1</v>
      </c>
      <c r="T798" s="9">
        <v>45861</v>
      </c>
      <c r="U798" s="8" t="s">
        <v>1232</v>
      </c>
      <c r="V798" s="22">
        <v>1</v>
      </c>
      <c r="W798" s="22"/>
      <c r="X798" t="s">
        <v>3494</v>
      </c>
      <c r="Y798" t="s">
        <v>94</v>
      </c>
      <c r="Z798">
        <v>5260</v>
      </c>
      <c r="AA798" s="24" t="s">
        <v>3539</v>
      </c>
      <c r="AB798">
        <f>COUNTIF(B:B,bron[[#This Row],[volledige naam]])</f>
        <v>5</v>
      </c>
    </row>
    <row r="799" spans="1:28" x14ac:dyDescent="0.25">
      <c r="A799">
        <v>41162</v>
      </c>
      <c r="B799" t="str">
        <f>_xlfn.CONCAT(bron[[#This Row],[personeelsnr]]," ",bron[[#This Row],[achternaam]]," ",bron[[#This Row],[voornaam]])</f>
        <v>41162 Hoeckman Jeroen</v>
      </c>
      <c r="C799" t="str">
        <f>VLOOKUP(bron[[#This Row],[personeelsnr]],'data hastus'!$A:$C,2,0)</f>
        <v>Hoeckman</v>
      </c>
      <c r="D799" t="str">
        <f>VLOOKUP(bron[[#This Row],[personeelsnr]],'data hastus'!$A:$C,3,0)</f>
        <v>Jeroen</v>
      </c>
      <c r="E799" t="str">
        <f>VLOOKUP(bron[[#This Row],[personeelsnr]],'data hastus'!A:K,11,FALSE)</f>
        <v>Dominique De Clercq</v>
      </c>
      <c r="F799" s="10"/>
      <c r="G799" s="7"/>
      <c r="H799" s="7"/>
      <c r="I799" s="7"/>
      <c r="J799" s="5"/>
      <c r="K799" s="5"/>
      <c r="L799" s="5"/>
      <c r="M799" s="5">
        <v>1</v>
      </c>
      <c r="N799" s="5"/>
      <c r="O799" s="5"/>
      <c r="P799" s="5"/>
      <c r="Q799" s="5"/>
      <c r="R799" s="5"/>
      <c r="S799" s="5">
        <f>SUM(bron[[#This Row],[Januari]:[December]])</f>
        <v>1</v>
      </c>
      <c r="T799" s="9">
        <v>45861</v>
      </c>
      <c r="U799" s="8" t="s">
        <v>1230</v>
      </c>
      <c r="V799" s="22">
        <v>1</v>
      </c>
      <c r="W799" s="22"/>
      <c r="X799" t="s">
        <v>3494</v>
      </c>
      <c r="Y799" t="s">
        <v>1231</v>
      </c>
      <c r="Z799">
        <v>5046</v>
      </c>
      <c r="AA799" s="24" t="s">
        <v>3539</v>
      </c>
      <c r="AB799">
        <f>COUNTIF(B:B,bron[[#This Row],[volledige naam]])</f>
        <v>5</v>
      </c>
    </row>
    <row r="800" spans="1:28" x14ac:dyDescent="0.25">
      <c r="A800">
        <v>11213</v>
      </c>
      <c r="B800" t="str">
        <f>_xlfn.CONCAT(bron[[#This Row],[personeelsnr]]," ",bron[[#This Row],[achternaam]]," ",bron[[#This Row],[voornaam]])</f>
        <v>11213 De Plus Gunter</v>
      </c>
      <c r="C800" t="str">
        <f>VLOOKUP(bron[[#This Row],[personeelsnr]],'data hastus'!$A:$C,2,0)</f>
        <v>De Plus</v>
      </c>
      <c r="D800" t="str">
        <f>VLOOKUP(bron[[#This Row],[personeelsnr]],'data hastus'!$A:$C,3,0)</f>
        <v>Gunter</v>
      </c>
      <c r="E800" t="str">
        <f>VLOOKUP(bron[[#This Row],[personeelsnr]],'data hastus'!A:K,11,FALSE)</f>
        <v>Bart Van Der Beken</v>
      </c>
      <c r="F800" s="10"/>
      <c r="G800" s="7"/>
      <c r="H800" s="7"/>
      <c r="I800" s="7"/>
      <c r="J800" s="5"/>
      <c r="K800" s="5"/>
      <c r="L800" s="5"/>
      <c r="M800" s="5">
        <v>1</v>
      </c>
      <c r="N800" s="5"/>
      <c r="O800" s="5"/>
      <c r="P800" s="5"/>
      <c r="Q800" s="5"/>
      <c r="R800" s="5"/>
      <c r="S800" s="5">
        <f>SUM(bron[[#This Row],[Januari]:[December]])</f>
        <v>1</v>
      </c>
      <c r="T800" s="9">
        <v>45862</v>
      </c>
      <c r="U800" s="8" t="s">
        <v>1234</v>
      </c>
      <c r="V800" s="22"/>
      <c r="W800" s="22">
        <v>1</v>
      </c>
      <c r="X800" t="s">
        <v>3528</v>
      </c>
      <c r="Y800" t="s">
        <v>213</v>
      </c>
      <c r="Z800">
        <v>6331</v>
      </c>
      <c r="AA800" s="24" t="s">
        <v>3539</v>
      </c>
      <c r="AB800">
        <f>COUNTIF(B:B,bron[[#This Row],[volledige naam]])</f>
        <v>1</v>
      </c>
    </row>
    <row r="801" spans="1:28" x14ac:dyDescent="0.25">
      <c r="A801">
        <v>23918</v>
      </c>
      <c r="B801" t="str">
        <f>_xlfn.CONCAT(bron[[#This Row],[personeelsnr]]," ",bron[[#This Row],[achternaam]]," ",bron[[#This Row],[voornaam]])</f>
        <v>23918 D'Haeyere Bernard</v>
      </c>
      <c r="C801" t="str">
        <f>VLOOKUP(bron[[#This Row],[personeelsnr]],'data hastus'!$A:$C,2,0)</f>
        <v>D'Haeyere</v>
      </c>
      <c r="D801" t="str">
        <f>VLOOKUP(bron[[#This Row],[personeelsnr]],'data hastus'!$A:$C,3,0)</f>
        <v>Bernard</v>
      </c>
      <c r="E801" t="str">
        <f>VLOOKUP(bron[[#This Row],[personeelsnr]],'data hastus'!A:K,11,FALSE)</f>
        <v>Els Vanhoe</v>
      </c>
      <c r="F801" s="10"/>
      <c r="G801" s="7"/>
      <c r="H801" s="7"/>
      <c r="I801" s="7"/>
      <c r="J801" s="5"/>
      <c r="K801" s="5"/>
      <c r="L801" s="5"/>
      <c r="M801" s="5">
        <v>1</v>
      </c>
      <c r="N801" s="5"/>
      <c r="O801" s="5"/>
      <c r="P801" s="5"/>
      <c r="Q801" s="5"/>
      <c r="R801" s="5"/>
      <c r="S801" s="5">
        <f>SUM(bron[[#This Row],[Januari]:[December]])</f>
        <v>1</v>
      </c>
      <c r="T801" s="9">
        <v>45862</v>
      </c>
      <c r="U801" s="8" t="s">
        <v>1235</v>
      </c>
      <c r="V801" s="22">
        <v>1</v>
      </c>
      <c r="W801" s="22"/>
      <c r="X801" t="s">
        <v>3493</v>
      </c>
      <c r="Y801" t="s">
        <v>10</v>
      </c>
      <c r="Z801">
        <v>5933</v>
      </c>
      <c r="AA801" s="24" t="s">
        <v>3539</v>
      </c>
      <c r="AB801">
        <f>COUNTIF(B:B,bron[[#This Row],[volledige naam]])</f>
        <v>3</v>
      </c>
    </row>
    <row r="802" spans="1:28" x14ac:dyDescent="0.25">
      <c r="A802">
        <v>42002</v>
      </c>
      <c r="B802" t="str">
        <f>_xlfn.CONCAT(bron[[#This Row],[personeelsnr]]," ",bron[[#This Row],[achternaam]]," ",bron[[#This Row],[voornaam]])</f>
        <v>42002 Bogaert Kevin</v>
      </c>
      <c r="C802" t="str">
        <f>VLOOKUP(bron[[#This Row],[personeelsnr]],'data hastus'!$A:$C,2,0)</f>
        <v>Bogaert</v>
      </c>
      <c r="D802" t="str">
        <f>VLOOKUP(bron[[#This Row],[personeelsnr]],'data hastus'!$A:$C,3,0)</f>
        <v>Kevin</v>
      </c>
      <c r="E802" t="str">
        <f>VLOOKUP(bron[[#This Row],[personeelsnr]],'data hastus'!A:K,11,FALSE)</f>
        <v>Els Vanhoe</v>
      </c>
      <c r="F802" s="10"/>
      <c r="G802" s="7"/>
      <c r="H802" s="7"/>
      <c r="I802" s="7"/>
      <c r="J802" s="5"/>
      <c r="K802" s="5"/>
      <c r="L802" s="5"/>
      <c r="M802" s="5">
        <v>1</v>
      </c>
      <c r="N802" s="5"/>
      <c r="O802" s="5"/>
      <c r="P802" s="5"/>
      <c r="Q802" s="5"/>
      <c r="R802" s="5"/>
      <c r="S802" s="5">
        <f>SUM(bron[[#This Row],[Januari]:[December]])</f>
        <v>1</v>
      </c>
      <c r="T802" s="9">
        <v>45862</v>
      </c>
      <c r="U802" s="8" t="s">
        <v>1296</v>
      </c>
      <c r="V802" s="22">
        <v>1</v>
      </c>
      <c r="W802" s="22"/>
      <c r="X802" t="s">
        <v>3493</v>
      </c>
      <c r="Y802" t="s">
        <v>10</v>
      </c>
      <c r="Z802">
        <v>5924</v>
      </c>
      <c r="AA802" s="24" t="s">
        <v>3540</v>
      </c>
      <c r="AB802">
        <f>COUNTIF(B:B,bron[[#This Row],[volledige naam]])</f>
        <v>2</v>
      </c>
    </row>
    <row r="803" spans="1:28" x14ac:dyDescent="0.25">
      <c r="A803">
        <v>12819</v>
      </c>
      <c r="B803" t="str">
        <f>_xlfn.CONCAT(bron[[#This Row],[personeelsnr]]," ",bron[[#This Row],[achternaam]]," ",bron[[#This Row],[voornaam]])</f>
        <v>12819 Van Eenaeme David</v>
      </c>
      <c r="C803" t="str">
        <f>VLOOKUP(bron[[#This Row],[personeelsnr]],'data hastus'!$A:$C,2,0)</f>
        <v>Van Eenaeme</v>
      </c>
      <c r="D803" t="str">
        <f>VLOOKUP(bron[[#This Row],[personeelsnr]],'data hastus'!$A:$C,3,0)</f>
        <v>David</v>
      </c>
      <c r="E803" t="str">
        <f>VLOOKUP(bron[[#This Row],[personeelsnr]],'data hastus'!A:K,11,FALSE)</f>
        <v>Bart Van Der Beken</v>
      </c>
      <c r="F803" s="10"/>
      <c r="G803" s="7"/>
      <c r="H803" s="7"/>
      <c r="I803" s="7"/>
      <c r="J803" s="5"/>
      <c r="K803" s="5"/>
      <c r="L803" s="5"/>
      <c r="M803" s="5">
        <v>1</v>
      </c>
      <c r="N803" s="5"/>
      <c r="O803" s="5"/>
      <c r="P803" s="5"/>
      <c r="Q803" s="5"/>
      <c r="R803" s="5"/>
      <c r="S803" s="5">
        <f>SUM(bron[[#This Row],[Januari]:[December]])</f>
        <v>1</v>
      </c>
      <c r="T803" s="9">
        <v>45863</v>
      </c>
      <c r="U803" s="8" t="s">
        <v>1236</v>
      </c>
      <c r="V803" s="22">
        <v>1</v>
      </c>
      <c r="W803" s="22"/>
      <c r="X803" t="s">
        <v>3492</v>
      </c>
      <c r="Y803" t="s">
        <v>184</v>
      </c>
      <c r="Z803">
        <v>5041</v>
      </c>
      <c r="AA803" s="24" t="s">
        <v>3539</v>
      </c>
      <c r="AB803">
        <f>COUNTIF(B:B,bron[[#This Row],[volledige naam]])</f>
        <v>1</v>
      </c>
    </row>
    <row r="804" spans="1:28" x14ac:dyDescent="0.25">
      <c r="A804">
        <v>18051</v>
      </c>
      <c r="B804" t="str">
        <f>_xlfn.CONCAT(bron[[#This Row],[personeelsnr]]," ",bron[[#This Row],[achternaam]]," ",bron[[#This Row],[voornaam]])</f>
        <v>18051 Van Wittenberge Filip</v>
      </c>
      <c r="C804" t="str">
        <f>VLOOKUP(bron[[#This Row],[personeelsnr]],'data hastus'!$A:$C,2,0)</f>
        <v>Van Wittenberge</v>
      </c>
      <c r="D804" t="str">
        <f>VLOOKUP(bron[[#This Row],[personeelsnr]],'data hastus'!$A:$C,3,0)</f>
        <v>Filip</v>
      </c>
      <c r="E804" t="str">
        <f>VLOOKUP(bron[[#This Row],[personeelsnr]],'data hastus'!A:K,11,FALSE)</f>
        <v>Christoff Rotty</v>
      </c>
      <c r="F804" s="10"/>
      <c r="G804" s="7"/>
      <c r="H804" s="7"/>
      <c r="I804" s="7"/>
      <c r="J804" s="5"/>
      <c r="K804" s="5"/>
      <c r="L804" s="5"/>
      <c r="M804" s="5">
        <v>1</v>
      </c>
      <c r="N804" s="5"/>
      <c r="O804" s="5"/>
      <c r="P804" s="5"/>
      <c r="Q804" s="5"/>
      <c r="R804" s="5"/>
      <c r="S804" s="5">
        <f>SUM(bron[[#This Row],[Januari]:[December]])</f>
        <v>1</v>
      </c>
      <c r="T804" s="9">
        <v>45863</v>
      </c>
      <c r="U804" s="8" t="s">
        <v>1282</v>
      </c>
      <c r="V804" s="22"/>
      <c r="W804" s="22">
        <v>1</v>
      </c>
      <c r="X804" t="s">
        <v>3529</v>
      </c>
      <c r="Y804" t="s">
        <v>647</v>
      </c>
      <c r="Z804">
        <v>6359</v>
      </c>
      <c r="AA804" s="24" t="s">
        <v>3540</v>
      </c>
      <c r="AB804">
        <f>COUNTIF(B:B,bron[[#This Row],[volledige naam]])</f>
        <v>3</v>
      </c>
    </row>
    <row r="805" spans="1:28" x14ac:dyDescent="0.25">
      <c r="A805">
        <v>41384</v>
      </c>
      <c r="B805" t="str">
        <f>_xlfn.CONCAT(bron[[#This Row],[personeelsnr]]," ",bron[[#This Row],[achternaam]]," ",bron[[#This Row],[voornaam]])</f>
        <v>41384 Hillaert Thimo</v>
      </c>
      <c r="C805" t="str">
        <f>VLOOKUP(bron[[#This Row],[personeelsnr]],'data hastus'!$A:$C,2,0)</f>
        <v>Hillaert</v>
      </c>
      <c r="D805" t="str">
        <f>VLOOKUP(bron[[#This Row],[personeelsnr]],'data hastus'!$A:$C,3,0)</f>
        <v>Thimo</v>
      </c>
      <c r="E805" t="str">
        <f>VLOOKUP(bron[[#This Row],[personeelsnr]],'data hastus'!A:K,11,FALSE)</f>
        <v>Christoff Rotty</v>
      </c>
      <c r="F805" s="10"/>
      <c r="G805" s="7"/>
      <c r="H805" s="7"/>
      <c r="I805" s="7"/>
      <c r="J805" s="5"/>
      <c r="K805" s="5"/>
      <c r="L805" s="5"/>
      <c r="M805" s="5">
        <v>1</v>
      </c>
      <c r="N805" s="5"/>
      <c r="O805" s="5"/>
      <c r="P805" s="5"/>
      <c r="Q805" s="5"/>
      <c r="R805" s="5"/>
      <c r="S805" s="5">
        <f>SUM(bron[[#This Row],[Januari]:[December]])</f>
        <v>1</v>
      </c>
      <c r="T805" s="9">
        <v>45864</v>
      </c>
      <c r="U805" s="8" t="s">
        <v>1281</v>
      </c>
      <c r="V805" s="22">
        <v>1</v>
      </c>
      <c r="W805" s="22"/>
      <c r="X805" t="s">
        <v>3493</v>
      </c>
      <c r="Y805" t="s">
        <v>89</v>
      </c>
      <c r="Z805">
        <v>5767</v>
      </c>
      <c r="AA805" s="24" t="s">
        <v>3540</v>
      </c>
      <c r="AB805">
        <f>COUNTIF(B:B,bron[[#This Row],[volledige naam]])</f>
        <v>4</v>
      </c>
    </row>
    <row r="806" spans="1:28" x14ac:dyDescent="0.25">
      <c r="A806">
        <v>37258</v>
      </c>
      <c r="B806" t="str">
        <f>_xlfn.CONCAT(bron[[#This Row],[personeelsnr]]," ",bron[[#This Row],[achternaam]]," ",bron[[#This Row],[voornaam]])</f>
        <v>37258 Ouchir Louay</v>
      </c>
      <c r="C806" t="str">
        <f>VLOOKUP(bron[[#This Row],[personeelsnr]],'data hastus'!$A:$C,2,0)</f>
        <v>Ouchir</v>
      </c>
      <c r="D806" t="str">
        <f>VLOOKUP(bron[[#This Row],[personeelsnr]],'data hastus'!$A:$C,3,0)</f>
        <v>Louay</v>
      </c>
      <c r="E806" t="str">
        <f>VLOOKUP(bron[[#This Row],[personeelsnr]],'data hastus'!A:K,11,FALSE)</f>
        <v>Els Vanhoe</v>
      </c>
      <c r="F806" s="10"/>
      <c r="G806" s="7"/>
      <c r="H806" s="7"/>
      <c r="I806" s="7"/>
      <c r="J806" s="5"/>
      <c r="K806" s="5"/>
      <c r="L806" s="5"/>
      <c r="M806" s="5">
        <v>1</v>
      </c>
      <c r="N806" s="5"/>
      <c r="O806" s="5"/>
      <c r="P806" s="5"/>
      <c r="Q806" s="5"/>
      <c r="R806" s="5"/>
      <c r="S806" s="5">
        <f>SUM(bron[[#This Row],[Januari]:[December]])</f>
        <v>1</v>
      </c>
      <c r="T806" s="9">
        <v>45866</v>
      </c>
      <c r="U806" s="8" t="s">
        <v>1238</v>
      </c>
      <c r="V806" s="22">
        <v>1</v>
      </c>
      <c r="W806" s="22"/>
      <c r="X806" t="s">
        <v>3494</v>
      </c>
      <c r="Y806" t="s">
        <v>12</v>
      </c>
      <c r="Z806">
        <v>2195</v>
      </c>
      <c r="AA806" s="24" t="s">
        <v>3539</v>
      </c>
      <c r="AB806">
        <f>COUNTIF(B:B,bron[[#This Row],[volledige naam]])</f>
        <v>1</v>
      </c>
    </row>
    <row r="807" spans="1:28" x14ac:dyDescent="0.25">
      <c r="A807">
        <v>39673</v>
      </c>
      <c r="B807" t="str">
        <f>_xlfn.CONCAT(bron[[#This Row],[personeelsnr]]," ",bron[[#This Row],[achternaam]]," ",bron[[#This Row],[voornaam]])</f>
        <v>39673 Steurbaut Henri</v>
      </c>
      <c r="C807" t="str">
        <f>VLOOKUP(bron[[#This Row],[personeelsnr]],'data hastus'!$A:$C,2,0)</f>
        <v>Steurbaut</v>
      </c>
      <c r="D807" t="str">
        <f>VLOOKUP(bron[[#This Row],[personeelsnr]],'data hastus'!$A:$C,3,0)</f>
        <v>Henri</v>
      </c>
      <c r="E807" t="str">
        <f>VLOOKUP(bron[[#This Row],[personeelsnr]],'data hastus'!A:K,11,FALSE)</f>
        <v>Els Vanhoe</v>
      </c>
      <c r="F807" s="10"/>
      <c r="G807" s="7"/>
      <c r="H807" s="7"/>
      <c r="I807" s="7"/>
      <c r="J807" s="5"/>
      <c r="K807" s="5"/>
      <c r="L807" s="5"/>
      <c r="M807" s="5">
        <v>1</v>
      </c>
      <c r="N807" s="5"/>
      <c r="O807" s="5"/>
      <c r="P807" s="5"/>
      <c r="Q807" s="5"/>
      <c r="R807" s="5"/>
      <c r="S807" s="5">
        <f>SUM(bron[[#This Row],[Januari]:[December]])</f>
        <v>1</v>
      </c>
      <c r="T807" s="9">
        <v>45866</v>
      </c>
      <c r="U807" s="8" t="s">
        <v>1237</v>
      </c>
      <c r="V807" s="22">
        <v>1</v>
      </c>
      <c r="W807" s="22"/>
      <c r="X807" t="s">
        <v>3494</v>
      </c>
      <c r="Y807" t="s">
        <v>244</v>
      </c>
      <c r="Z807">
        <v>2192</v>
      </c>
      <c r="AA807" s="24" t="s">
        <v>3539</v>
      </c>
      <c r="AB807">
        <f>COUNTIF(B:B,bron[[#This Row],[volledige naam]])</f>
        <v>5</v>
      </c>
    </row>
    <row r="808" spans="1:28" x14ac:dyDescent="0.25">
      <c r="A808">
        <v>20653</v>
      </c>
      <c r="B808" t="str">
        <f>_xlfn.CONCAT(bron[[#This Row],[personeelsnr]]," ",bron[[#This Row],[achternaam]]," ",bron[[#This Row],[voornaam]])</f>
        <v>20653 Mestdag Marius</v>
      </c>
      <c r="C808" t="str">
        <f>VLOOKUP(bron[[#This Row],[personeelsnr]],'data hastus'!$A:$C,2,0)</f>
        <v>Mestdag</v>
      </c>
      <c r="D808" t="str">
        <f>VLOOKUP(bron[[#This Row],[personeelsnr]],'data hastus'!$A:$C,3,0)</f>
        <v>Marius</v>
      </c>
      <c r="E808" t="str">
        <f>VLOOKUP(bron[[#This Row],[personeelsnr]],'data hastus'!A:K,11,FALSE)</f>
        <v>Bart Van Der Beken</v>
      </c>
      <c r="F808" s="10"/>
      <c r="G808" s="7"/>
      <c r="H808" s="7"/>
      <c r="I808" s="7"/>
      <c r="J808" s="5"/>
      <c r="K808" s="5"/>
      <c r="L808" s="5"/>
      <c r="M808" s="5">
        <v>1</v>
      </c>
      <c r="N808" s="5"/>
      <c r="O808" s="5"/>
      <c r="P808" s="5"/>
      <c r="Q808" s="5"/>
      <c r="R808" s="5"/>
      <c r="S808" s="5">
        <f>SUM(bron[[#This Row],[Januari]:[December]])</f>
        <v>1</v>
      </c>
      <c r="T808" s="9">
        <v>45867</v>
      </c>
      <c r="U808" s="8" t="s">
        <v>1277</v>
      </c>
      <c r="V808" s="22"/>
      <c r="W808" s="22">
        <v>1</v>
      </c>
      <c r="X808" t="s">
        <v>3528</v>
      </c>
      <c r="Y808" t="s">
        <v>114</v>
      </c>
      <c r="Z808">
        <v>6325</v>
      </c>
      <c r="AA808" s="24" t="s">
        <v>3540</v>
      </c>
      <c r="AB808">
        <f>COUNTIF(B:B,bron[[#This Row],[volledige naam]])</f>
        <v>3</v>
      </c>
    </row>
    <row r="809" spans="1:28" x14ac:dyDescent="0.25">
      <c r="A809">
        <v>41007</v>
      </c>
      <c r="B809" t="str">
        <f>_xlfn.CONCAT(bron[[#This Row],[personeelsnr]]," ",bron[[#This Row],[achternaam]]," ",bron[[#This Row],[voornaam]])</f>
        <v>41007 Sogut Cagri</v>
      </c>
      <c r="C809" t="s">
        <v>1240</v>
      </c>
      <c r="D809" t="s">
        <v>1241</v>
      </c>
      <c r="E809" t="s">
        <v>59</v>
      </c>
      <c r="F809" s="10"/>
      <c r="G809" s="7"/>
      <c r="H809" s="7"/>
      <c r="I809" s="7"/>
      <c r="J809" s="5"/>
      <c r="K809" s="5"/>
      <c r="L809" s="5"/>
      <c r="M809" s="5">
        <v>1</v>
      </c>
      <c r="N809" s="5"/>
      <c r="O809" s="5"/>
      <c r="P809" s="5"/>
      <c r="Q809" s="5"/>
      <c r="R809" s="5"/>
      <c r="S809" s="5">
        <f>SUM(bron[[#This Row],[Januari]:[December]])</f>
        <v>1</v>
      </c>
      <c r="T809" s="9">
        <v>45867</v>
      </c>
      <c r="U809" s="22" t="s">
        <v>1242</v>
      </c>
      <c r="V809" s="22">
        <v>1</v>
      </c>
      <c r="W809" s="22"/>
      <c r="X809" t="s">
        <v>3493</v>
      </c>
      <c r="Y809" t="s">
        <v>10</v>
      </c>
      <c r="Z809">
        <v>5923</v>
      </c>
      <c r="AA809" s="24" t="s">
        <v>3539</v>
      </c>
      <c r="AB809">
        <f>COUNTIF(B:B,bron[[#This Row],[volledige naam]])</f>
        <v>1</v>
      </c>
    </row>
    <row r="810" spans="1:28" x14ac:dyDescent="0.25">
      <c r="A810">
        <v>41296</v>
      </c>
      <c r="B810" t="str">
        <f>_xlfn.CONCAT(bron[[#This Row],[personeelsnr]]," ",bron[[#This Row],[achternaam]]," ",bron[[#This Row],[voornaam]])</f>
        <v>41296 Abulehia Oday</v>
      </c>
      <c r="C810" t="str">
        <f>VLOOKUP(bron[[#This Row],[personeelsnr]],'data hastus'!$A:$C,2,0)</f>
        <v>Abulehia</v>
      </c>
      <c r="D810" t="str">
        <f>VLOOKUP(bron[[#This Row],[personeelsnr]],'data hastus'!$A:$C,3,0)</f>
        <v>Oday</v>
      </c>
      <c r="E810" t="str">
        <f>VLOOKUP(bron[[#This Row],[personeelsnr]],'data hastus'!A:K,11,FALSE)</f>
        <v>Christoff Rotty</v>
      </c>
      <c r="F810" s="10"/>
      <c r="G810" s="7"/>
      <c r="H810" s="7"/>
      <c r="I810" s="7"/>
      <c r="J810" s="5"/>
      <c r="K810" s="5"/>
      <c r="L810" s="5"/>
      <c r="M810" s="5">
        <v>1</v>
      </c>
      <c r="N810" s="5"/>
      <c r="O810" s="5"/>
      <c r="P810" s="5"/>
      <c r="Q810" s="5"/>
      <c r="R810" s="5"/>
      <c r="S810" s="5">
        <f>SUM(bron[[#This Row],[Januari]:[December]])</f>
        <v>1</v>
      </c>
      <c r="T810" s="9">
        <v>45867</v>
      </c>
      <c r="U810" s="22" t="s">
        <v>1239</v>
      </c>
      <c r="V810" s="22">
        <v>1</v>
      </c>
      <c r="W810" s="22"/>
      <c r="X810" t="s">
        <v>3494</v>
      </c>
      <c r="Y810" t="s">
        <v>122</v>
      </c>
      <c r="Z810">
        <v>5271</v>
      </c>
      <c r="AA810" s="24" t="s">
        <v>3539</v>
      </c>
      <c r="AB810">
        <f>COUNTIF(B:B,bron[[#This Row],[volledige naam]])</f>
        <v>2</v>
      </c>
    </row>
    <row r="811" spans="1:28" x14ac:dyDescent="0.25">
      <c r="A811">
        <v>10782</v>
      </c>
      <c r="B811" t="str">
        <f>_xlfn.CONCAT(bron[[#This Row],[personeelsnr]]," ",bron[[#This Row],[achternaam]]," ",bron[[#This Row],[voornaam]])</f>
        <v>10782 De Kee Ina</v>
      </c>
      <c r="C811" t="str">
        <f>VLOOKUP(bron[[#This Row],[personeelsnr]],'data hastus'!$A:$C,2,0)</f>
        <v>De Kee</v>
      </c>
      <c r="D811" t="str">
        <f>VLOOKUP(bron[[#This Row],[personeelsnr]],'data hastus'!$A:$C,3,0)</f>
        <v>Ina</v>
      </c>
      <c r="E811" t="str">
        <f>VLOOKUP(bron[[#This Row],[personeelsnr]],'data hastus'!A:K,11,FALSE)</f>
        <v>Kenneth De Rick</v>
      </c>
      <c r="F811" s="10"/>
      <c r="G811" s="7"/>
      <c r="H811" s="7"/>
      <c r="I811" s="7"/>
      <c r="J811" s="5"/>
      <c r="K811" s="5"/>
      <c r="L811" s="5"/>
      <c r="M811" s="5"/>
      <c r="N811" s="5"/>
      <c r="O811" s="5"/>
      <c r="P811" s="5"/>
      <c r="Q811" s="5"/>
      <c r="R811" s="5"/>
      <c r="S811" s="5">
        <v>1</v>
      </c>
      <c r="T811" s="9">
        <v>45868</v>
      </c>
      <c r="U811" s="8" t="s">
        <v>1301</v>
      </c>
      <c r="V811" s="22"/>
      <c r="W811" s="22">
        <v>1</v>
      </c>
      <c r="X811" t="s">
        <v>3528</v>
      </c>
      <c r="Y811" t="s">
        <v>1302</v>
      </c>
      <c r="Z811">
        <v>6337</v>
      </c>
      <c r="AA811" s="24" t="s">
        <v>3540</v>
      </c>
      <c r="AB811">
        <f>COUNTIF(B:B,bron[[#This Row],[volledige naam]])</f>
        <v>1</v>
      </c>
    </row>
    <row r="812" spans="1:28" x14ac:dyDescent="0.25">
      <c r="A812">
        <v>34890</v>
      </c>
      <c r="B812" t="str">
        <f>_xlfn.CONCAT(bron[[#This Row],[personeelsnr]]," ",bron[[#This Row],[achternaam]]," ",bron[[#This Row],[voornaam]])</f>
        <v>34890 Sturtewagen Tom</v>
      </c>
      <c r="C812" t="str">
        <f>VLOOKUP(bron[[#This Row],[personeelsnr]],'data hastus'!$A:$C,2,0)</f>
        <v>Sturtewagen</v>
      </c>
      <c r="D812" t="str">
        <f>VLOOKUP(bron[[#This Row],[personeelsnr]],'data hastus'!$A:$C,3,0)</f>
        <v>Tom</v>
      </c>
      <c r="E812" t="str">
        <f>VLOOKUP(bron[[#This Row],[personeelsnr]],'data hastus'!A:K,11,FALSE)</f>
        <v>Bart Van Der Beken</v>
      </c>
      <c r="F812" s="10"/>
      <c r="G812" s="7"/>
      <c r="H812" s="7"/>
      <c r="I812" s="7"/>
      <c r="J812" s="5"/>
      <c r="K812" s="5"/>
      <c r="L812" s="5"/>
      <c r="M812" s="5"/>
      <c r="N812" s="5"/>
      <c r="O812" s="5"/>
      <c r="P812" s="5"/>
      <c r="Q812" s="5"/>
      <c r="R812" s="5"/>
      <c r="S812" s="5">
        <f>SUM(bron[[#This Row],[Januari]:[December]])</f>
        <v>0</v>
      </c>
      <c r="T812" s="9">
        <v>45869</v>
      </c>
      <c r="U812" s="5" t="s">
        <v>3601</v>
      </c>
      <c r="V812" s="22">
        <v>1</v>
      </c>
      <c r="W812" s="22"/>
      <c r="X812" t="s">
        <v>3494</v>
      </c>
      <c r="Y812" t="s">
        <v>493</v>
      </c>
      <c r="Z812">
        <v>5042</v>
      </c>
      <c r="AA812" s="24" t="s">
        <v>3539</v>
      </c>
      <c r="AB812">
        <f>COUNTIF(B:B,bron[[#This Row],[volledige naam]])</f>
        <v>1</v>
      </c>
    </row>
    <row r="813" spans="1:28" x14ac:dyDescent="0.25">
      <c r="A813">
        <v>40138</v>
      </c>
      <c r="B813" t="str">
        <f>_xlfn.CONCAT(bron[[#This Row],[personeelsnr]]," ",bron[[#This Row],[achternaam]]," ",bron[[#This Row],[voornaam]])</f>
        <v>40138 Moerman Tjimmy</v>
      </c>
      <c r="C813" t="str">
        <f>VLOOKUP(bron[[#This Row],[personeelsnr]],'data hastus'!$A:$C,2,0)</f>
        <v>Moerman</v>
      </c>
      <c r="D813" t="str">
        <f>VLOOKUP(bron[[#This Row],[personeelsnr]],'data hastus'!$A:$C,3,0)</f>
        <v>Tjimmy</v>
      </c>
      <c r="E813" t="str">
        <f>VLOOKUP(bron[[#This Row],[personeelsnr]],'data hastus'!A:K,11,FALSE)</f>
        <v>Christoff Rotty</v>
      </c>
      <c r="F813" s="10"/>
      <c r="G813" s="7"/>
      <c r="H813" s="7"/>
      <c r="I813" s="7"/>
      <c r="J813" s="5"/>
      <c r="K813" s="5"/>
      <c r="L813" s="5"/>
      <c r="M813" s="5"/>
      <c r="N813" s="5">
        <v>1</v>
      </c>
      <c r="O813" s="5"/>
      <c r="P813" s="5"/>
      <c r="Q813" s="5"/>
      <c r="R813" s="5"/>
      <c r="S813" s="5">
        <f>SUM(bron[[#This Row],[Januari]:[December]])</f>
        <v>1</v>
      </c>
      <c r="T813" s="9">
        <v>45871</v>
      </c>
      <c r="U813" s="8" t="s">
        <v>1243</v>
      </c>
      <c r="V813" s="22">
        <v>1</v>
      </c>
      <c r="W813" s="22"/>
      <c r="X813" t="s">
        <v>3493</v>
      </c>
      <c r="Y813" t="s">
        <v>16</v>
      </c>
      <c r="Z813">
        <v>5915</v>
      </c>
      <c r="AA813" s="24" t="s">
        <v>3539</v>
      </c>
      <c r="AB813">
        <f>COUNTIF(B:B,bron[[#This Row],[volledige naam]])</f>
        <v>10</v>
      </c>
    </row>
    <row r="814" spans="1:28" x14ac:dyDescent="0.25">
      <c r="A814">
        <v>40859</v>
      </c>
      <c r="B814" t="str">
        <f>_xlfn.CONCAT(bron[[#This Row],[personeelsnr]]," ",bron[[#This Row],[achternaam]]," ",bron[[#This Row],[voornaam]])</f>
        <v>40859 Yagoub Abdelali</v>
      </c>
      <c r="C814" t="str">
        <f>VLOOKUP(bron[[#This Row],[personeelsnr]],'data hastus'!$A:$C,2,0)</f>
        <v>Yagoub</v>
      </c>
      <c r="D814" t="str">
        <f>VLOOKUP(bron[[#This Row],[personeelsnr]],'data hastus'!$A:$C,3,0)</f>
        <v>Abdelali</v>
      </c>
      <c r="E814" t="str">
        <f>VLOOKUP(bron[[#This Row],[personeelsnr]],'data hastus'!A:K,11,FALSE)</f>
        <v>Els Vanhoe</v>
      </c>
      <c r="F814" s="10"/>
      <c r="G814" s="7"/>
      <c r="H814" s="7"/>
      <c r="I814" s="7"/>
      <c r="J814" s="5"/>
      <c r="K814" s="5"/>
      <c r="L814" s="5"/>
      <c r="M814" s="5"/>
      <c r="N814" s="5">
        <v>1</v>
      </c>
      <c r="O814" s="5"/>
      <c r="P814" s="5"/>
      <c r="Q814" s="5"/>
      <c r="R814" s="5"/>
      <c r="S814" s="5">
        <f>SUM(bron[[#This Row],[Januari]:[December]])</f>
        <v>1</v>
      </c>
      <c r="T814" s="9">
        <v>45872</v>
      </c>
      <c r="U814" s="8" t="s">
        <v>1244</v>
      </c>
      <c r="V814" s="22">
        <v>1</v>
      </c>
      <c r="W814" s="22"/>
      <c r="X814" t="s">
        <v>3492</v>
      </c>
      <c r="Y814" t="s">
        <v>190</v>
      </c>
      <c r="Z814">
        <v>2190</v>
      </c>
      <c r="AA814" s="24" t="s">
        <v>3539</v>
      </c>
      <c r="AB814">
        <f>COUNTIF(B:B,bron[[#This Row],[volledige naam]])</f>
        <v>4</v>
      </c>
    </row>
    <row r="815" spans="1:28" x14ac:dyDescent="0.25">
      <c r="A815">
        <v>36021</v>
      </c>
      <c r="B815" t="str">
        <f>_xlfn.CONCAT(bron[[#This Row],[personeelsnr]]," ",bron[[#This Row],[achternaam]]," ",bron[[#This Row],[voornaam]])</f>
        <v>36021 Boelaert Frederik</v>
      </c>
      <c r="C815" t="str">
        <f>VLOOKUP(bron[[#This Row],[personeelsnr]],'data hastus'!$A:$C,2,0)</f>
        <v>Boelaert</v>
      </c>
      <c r="D815" t="str">
        <f>VLOOKUP(bron[[#This Row],[personeelsnr]],'data hastus'!$A:$C,3,0)</f>
        <v>Frederik</v>
      </c>
      <c r="E815" t="str">
        <f>VLOOKUP(bron[[#This Row],[personeelsnr]],'data hastus'!A:K,11,FALSE)</f>
        <v>Lucie Vande Velde</v>
      </c>
      <c r="F815" s="10"/>
      <c r="G815" s="7"/>
      <c r="H815" s="7"/>
      <c r="I815" s="7"/>
      <c r="J815" s="5"/>
      <c r="K815" s="5"/>
      <c r="L815" s="5"/>
      <c r="M815" s="5"/>
      <c r="N815" s="5">
        <v>1</v>
      </c>
      <c r="O815" s="5"/>
      <c r="P815" s="5"/>
      <c r="Q815" s="5"/>
      <c r="R815" s="5"/>
      <c r="S815" s="5">
        <f>SUM(bron[[#This Row],[Januari]:[December]])</f>
        <v>1</v>
      </c>
      <c r="T815" s="9">
        <v>45874</v>
      </c>
      <c r="U815" s="22" t="s">
        <v>1314</v>
      </c>
      <c r="V815" s="22">
        <v>1</v>
      </c>
      <c r="W815" s="22"/>
      <c r="X815" t="s">
        <v>3492</v>
      </c>
      <c r="Y815" t="s">
        <v>34</v>
      </c>
      <c r="Z815">
        <v>5042</v>
      </c>
      <c r="AA815" s="24" t="s">
        <v>3540</v>
      </c>
      <c r="AB815">
        <f>COUNTIF(B:B,bron[[#This Row],[volledige naam]])</f>
        <v>2</v>
      </c>
    </row>
    <row r="816" spans="1:28" x14ac:dyDescent="0.25">
      <c r="A816">
        <v>37345</v>
      </c>
      <c r="B816" t="str">
        <f>_xlfn.CONCAT(bron[[#This Row],[personeelsnr]]," ",bron[[#This Row],[achternaam]]," ",bron[[#This Row],[voornaam]])</f>
        <v>37345 Walleyn Renaat</v>
      </c>
      <c r="C816" t="str">
        <f>VLOOKUP(bron[[#This Row],[personeelsnr]],'data hastus'!$A:$C,2,0)</f>
        <v>Walleyn</v>
      </c>
      <c r="D816" t="str">
        <f>VLOOKUP(bron[[#This Row],[personeelsnr]],'data hastus'!$A:$C,3,0)</f>
        <v>Renaat</v>
      </c>
      <c r="E816" t="str">
        <f>VLOOKUP(bron[[#This Row],[personeelsnr]],'data hastus'!A:K,11,FALSE)</f>
        <v>Lucie Vande Velde</v>
      </c>
      <c r="F816" s="10"/>
      <c r="G816" s="7"/>
      <c r="H816" s="7"/>
      <c r="I816" s="7"/>
      <c r="J816" s="5"/>
      <c r="K816" s="5"/>
      <c r="L816" s="5"/>
      <c r="M816" s="5"/>
      <c r="N816" s="5">
        <v>1</v>
      </c>
      <c r="O816" s="5"/>
      <c r="P816" s="5"/>
      <c r="Q816" s="5"/>
      <c r="R816" s="5"/>
      <c r="S816" s="5">
        <f>SUM(bron[[#This Row],[Januari]:[December]])</f>
        <v>1</v>
      </c>
      <c r="T816" s="9">
        <v>45874</v>
      </c>
      <c r="U816" s="22" t="s">
        <v>1246</v>
      </c>
      <c r="V816" s="22"/>
      <c r="W816" s="22">
        <v>1</v>
      </c>
      <c r="X816" t="s">
        <v>3529</v>
      </c>
      <c r="Y816" t="s">
        <v>6</v>
      </c>
      <c r="Z816">
        <v>6372</v>
      </c>
      <c r="AA816" s="24" t="s">
        <v>3539</v>
      </c>
      <c r="AB816">
        <f>COUNTIF(B:B,bron[[#This Row],[volledige naam]])</f>
        <v>3</v>
      </c>
    </row>
    <row r="817" spans="1:28" x14ac:dyDescent="0.25">
      <c r="A817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10"/>
      <c r="G817" s="7"/>
      <c r="H817" s="7"/>
      <c r="I817" s="7"/>
      <c r="J817" s="5"/>
      <c r="K817" s="5"/>
      <c r="L817" s="5"/>
      <c r="M817" s="5"/>
      <c r="N817" s="5">
        <v>1</v>
      </c>
      <c r="O817" s="5"/>
      <c r="P817" s="5"/>
      <c r="Q817" s="5"/>
      <c r="R817" s="5"/>
      <c r="S817" s="5">
        <f>SUM(bron[[#This Row],[Januari]:[December]])</f>
        <v>1</v>
      </c>
      <c r="T817" s="9">
        <v>45874</v>
      </c>
      <c r="U817" s="22" t="s">
        <v>1245</v>
      </c>
      <c r="V817" s="22">
        <v>1</v>
      </c>
      <c r="W817" s="22"/>
      <c r="X817" t="s">
        <v>3494</v>
      </c>
      <c r="Y817" t="s">
        <v>12</v>
      </c>
      <c r="Z817">
        <v>2200</v>
      </c>
      <c r="AA817" s="24" t="s">
        <v>3539</v>
      </c>
      <c r="AB817">
        <f>COUNTIF(B:B,bron[[#This Row],[volledige naam]])</f>
        <v>5</v>
      </c>
    </row>
    <row r="818" spans="1:28" x14ac:dyDescent="0.25">
      <c r="A818">
        <v>37254</v>
      </c>
      <c r="B818" t="str">
        <f>_xlfn.CONCAT(bron[[#This Row],[personeelsnr]]," ",bron[[#This Row],[achternaam]]," ",bron[[#This Row],[voornaam]])</f>
        <v>37254 Coulon Rayan</v>
      </c>
      <c r="C818" t="str">
        <f>VLOOKUP(bron[[#This Row],[personeelsnr]],'data hastus'!$A:$C,2,0)</f>
        <v>Coulon</v>
      </c>
      <c r="D818" t="str">
        <f>VLOOKUP(bron[[#This Row],[personeelsnr]],'data hastus'!$A:$C,3,0)</f>
        <v>Rayan</v>
      </c>
      <c r="E818" t="str">
        <f>VLOOKUP(bron[[#This Row],[personeelsnr]],'data hastus'!A:K,11,FALSE)</f>
        <v>Kenneth De Rick</v>
      </c>
      <c r="F818" s="10"/>
      <c r="G818" s="7"/>
      <c r="H818" s="7"/>
      <c r="I818" s="7"/>
      <c r="J818" s="5"/>
      <c r="K818" s="5"/>
      <c r="L818" s="5"/>
      <c r="M818" s="5"/>
      <c r="N818" s="5">
        <v>1</v>
      </c>
      <c r="O818" s="5"/>
      <c r="P818" s="5"/>
      <c r="Q818" s="5"/>
      <c r="R818" s="5"/>
      <c r="S818" s="5">
        <f>SUM(bron[[#This Row],[Januari]:[December]])</f>
        <v>1</v>
      </c>
      <c r="T818" s="9">
        <v>45876</v>
      </c>
      <c r="U818" s="22" t="s">
        <v>1248</v>
      </c>
      <c r="V818" s="22">
        <v>1</v>
      </c>
      <c r="W818" s="22"/>
      <c r="X818" t="s">
        <v>3494</v>
      </c>
      <c r="Y818" t="s">
        <v>22</v>
      </c>
      <c r="Z818">
        <v>5053</v>
      </c>
      <c r="AA818" s="24" t="s">
        <v>3539</v>
      </c>
      <c r="AB818">
        <f>COUNTIF(B:B,bron[[#This Row],[volledige naam]])</f>
        <v>2</v>
      </c>
    </row>
    <row r="819" spans="1:28" x14ac:dyDescent="0.25">
      <c r="A819">
        <v>41874</v>
      </c>
      <c r="B819" t="str">
        <f>_xlfn.CONCAT(bron[[#This Row],[personeelsnr]]," ",bron[[#This Row],[achternaam]]," ",bron[[#This Row],[voornaam]])</f>
        <v>41874 Dobbeleire Bruno</v>
      </c>
      <c r="C819" t="str">
        <f>VLOOKUP(bron[[#This Row],[personeelsnr]],'data hastus'!$A:$C,2,0)</f>
        <v>Dobbeleire</v>
      </c>
      <c r="D819" t="str">
        <f>VLOOKUP(bron[[#This Row],[personeelsnr]],'data hastus'!$A:$C,3,0)</f>
        <v>Bruno</v>
      </c>
      <c r="E819" t="str">
        <f>VLOOKUP(bron[[#This Row],[personeelsnr]],'data hastus'!A:K,11,FALSE)</f>
        <v>Dominique De Clercq</v>
      </c>
      <c r="F819" s="10"/>
      <c r="G819" s="7"/>
      <c r="H819" s="7"/>
      <c r="I819" s="7"/>
      <c r="J819" s="5"/>
      <c r="K819" s="5"/>
      <c r="L819" s="5"/>
      <c r="M819" s="5"/>
      <c r="N819" s="5">
        <v>1</v>
      </c>
      <c r="O819" s="5"/>
      <c r="P819" s="5"/>
      <c r="Q819" s="5"/>
      <c r="R819" s="5"/>
      <c r="S819" s="5">
        <f>SUM(bron[[#This Row],[Januari]:[December]])</f>
        <v>1</v>
      </c>
      <c r="T819" s="9">
        <v>45876</v>
      </c>
      <c r="U819" s="22" t="s">
        <v>1247</v>
      </c>
      <c r="V819" s="22">
        <v>1</v>
      </c>
      <c r="W819" s="22"/>
      <c r="X819" t="s">
        <v>3493</v>
      </c>
      <c r="Y819" t="s">
        <v>37</v>
      </c>
      <c r="Z819">
        <v>5923</v>
      </c>
      <c r="AA819" s="24" t="s">
        <v>3539</v>
      </c>
      <c r="AB819">
        <f>COUNTIF(B:B,bron[[#This Row],[volledige naam]])</f>
        <v>3</v>
      </c>
    </row>
    <row r="820" spans="1:28" x14ac:dyDescent="0.25">
      <c r="A820">
        <v>41092</v>
      </c>
      <c r="B820" t="str">
        <f>_xlfn.CONCAT(bron[[#This Row],[personeelsnr]]," ",bron[[#This Row],[achternaam]]," ",bron[[#This Row],[voornaam]])</f>
        <v>41092 De Keyser Dorien</v>
      </c>
      <c r="C820" t="str">
        <f>VLOOKUP(bron[[#This Row],[personeelsnr]],'data hastus'!$A:$C,2,0)</f>
        <v>De Keyser</v>
      </c>
      <c r="D820" t="str">
        <f>VLOOKUP(bron[[#This Row],[personeelsnr]],'data hastus'!$A:$C,3,0)</f>
        <v>Dorien</v>
      </c>
      <c r="E820" t="str">
        <f>VLOOKUP(bron[[#This Row],[personeelsnr]],'data hastus'!A:K,11,FALSE)</f>
        <v>Dominique De Clercq</v>
      </c>
      <c r="F820" s="10"/>
      <c r="G820" s="7"/>
      <c r="H820" s="7"/>
      <c r="I820" s="7"/>
      <c r="J820" s="5"/>
      <c r="K820" s="5"/>
      <c r="L820" s="5"/>
      <c r="M820" s="5"/>
      <c r="N820" s="5">
        <v>1</v>
      </c>
      <c r="O820" s="5"/>
      <c r="P820" s="5"/>
      <c r="Q820" s="5"/>
      <c r="R820" s="5"/>
      <c r="S820" s="5">
        <f>SUM(bron[[#This Row],[Januari]:[December]])</f>
        <v>1</v>
      </c>
      <c r="T820" s="9">
        <v>45878</v>
      </c>
      <c r="U820" s="8" t="s">
        <v>1249</v>
      </c>
      <c r="V820" s="22">
        <v>1</v>
      </c>
      <c r="W820" s="22"/>
      <c r="X820" t="s">
        <v>3494</v>
      </c>
      <c r="Y820" t="s">
        <v>268</v>
      </c>
      <c r="Z820">
        <v>2194</v>
      </c>
      <c r="AA820" s="24" t="s">
        <v>3539</v>
      </c>
      <c r="AB820">
        <f>COUNTIF(B:B,bron[[#This Row],[volledige naam]])</f>
        <v>8</v>
      </c>
    </row>
    <row r="821" spans="1:28" x14ac:dyDescent="0.25">
      <c r="A821">
        <v>38740</v>
      </c>
      <c r="B821" t="str">
        <f>_xlfn.CONCAT(bron[[#This Row],[personeelsnr]]," ",bron[[#This Row],[achternaam]]," ",bron[[#This Row],[voornaam]])</f>
        <v>38740 Meskens Anthony</v>
      </c>
      <c r="C821" t="str">
        <f>VLOOKUP(bron[[#This Row],[personeelsnr]],'data hastus'!$A:$C,2,0)</f>
        <v>Meskens</v>
      </c>
      <c r="D821" t="str">
        <f>VLOOKUP(bron[[#This Row],[personeelsnr]],'data hastus'!$A:$C,3,0)</f>
        <v>Anthony</v>
      </c>
      <c r="E821" t="str">
        <f>VLOOKUP(bron[[#This Row],[personeelsnr]],'data hastus'!A:K,11,FALSE)</f>
        <v>Christoff Rotty</v>
      </c>
      <c r="F821" s="10"/>
      <c r="G821" s="7"/>
      <c r="H821" s="7"/>
      <c r="I821" s="7"/>
      <c r="J821" s="5"/>
      <c r="K821" s="5"/>
      <c r="L821" s="5"/>
      <c r="M821" s="5"/>
      <c r="N821" s="5">
        <v>1</v>
      </c>
      <c r="O821" s="5"/>
      <c r="P821" s="5"/>
      <c r="Q821" s="5"/>
      <c r="R821" s="5"/>
      <c r="S821" s="5">
        <f>SUM(bron[[#This Row],[Januari]:[December]])</f>
        <v>1</v>
      </c>
      <c r="T821" s="9">
        <v>45879</v>
      </c>
      <c r="U821" s="22" t="s">
        <v>1250</v>
      </c>
      <c r="V821" s="22"/>
      <c r="W821" s="22">
        <v>1</v>
      </c>
      <c r="X821" t="s">
        <v>3528</v>
      </c>
      <c r="Y821" t="s">
        <v>2</v>
      </c>
      <c r="Z821">
        <v>6321</v>
      </c>
      <c r="AA821" s="24" t="s">
        <v>3539</v>
      </c>
      <c r="AB821">
        <f>COUNTIF(B:B,bron[[#This Row],[volledige naam]])</f>
        <v>2</v>
      </c>
    </row>
    <row r="822" spans="1:28" x14ac:dyDescent="0.25">
      <c r="A822">
        <v>22202</v>
      </c>
      <c r="B822" t="str">
        <f>_xlfn.CONCAT(bron[[#This Row],[personeelsnr]]," ",bron[[#This Row],[achternaam]]," ",bron[[#This Row],[voornaam]])</f>
        <v>22202 Pluym Pascal</v>
      </c>
      <c r="C822" t="str">
        <f>VLOOKUP(bron[[#This Row],[personeelsnr]],'data hastus'!$A:$C,2,0)</f>
        <v>Pluym</v>
      </c>
      <c r="D822" t="str">
        <f>VLOOKUP(bron[[#This Row],[personeelsnr]],'data hastus'!$A:$C,3,0)</f>
        <v>Pascal</v>
      </c>
      <c r="E822" t="str">
        <f>VLOOKUP(bron[[#This Row],[personeelsnr]],'data hastus'!A:K,11,FALSE)</f>
        <v>Steven Storm</v>
      </c>
      <c r="F822" s="10"/>
      <c r="G822" s="7"/>
      <c r="H822" s="7"/>
      <c r="I822" s="7"/>
      <c r="J822" s="5"/>
      <c r="K822" s="5"/>
      <c r="L822" s="5"/>
      <c r="M822" s="5"/>
      <c r="N822" s="5">
        <v>1</v>
      </c>
      <c r="O822" s="5"/>
      <c r="P822" s="5"/>
      <c r="Q822" s="5"/>
      <c r="R822" s="5"/>
      <c r="S822" s="5">
        <f>SUM(bron[[#This Row],[Januari]:[December]])</f>
        <v>1</v>
      </c>
      <c r="T822" s="9">
        <v>45883</v>
      </c>
      <c r="U822" s="5" t="s">
        <v>1251</v>
      </c>
      <c r="V822" s="22">
        <v>1</v>
      </c>
      <c r="W822" s="22"/>
      <c r="X822" t="s">
        <v>3492</v>
      </c>
      <c r="Y822" t="s">
        <v>12</v>
      </c>
      <c r="Z822">
        <v>5266</v>
      </c>
      <c r="AA822" s="24" t="s">
        <v>3539</v>
      </c>
      <c r="AB822">
        <f>COUNTIF(B:B,bron[[#This Row],[volledige naam]])</f>
        <v>1</v>
      </c>
    </row>
    <row r="823" spans="1:28" x14ac:dyDescent="0.25">
      <c r="A823">
        <v>41348</v>
      </c>
      <c r="B823" t="str">
        <f>_xlfn.CONCAT(bron[[#This Row],[personeelsnr]]," ",bron[[#This Row],[achternaam]]," ",bron[[#This Row],[voornaam]])</f>
        <v>41348 Van Huffel Tim</v>
      </c>
      <c r="C823" t="str">
        <f>VLOOKUP(bron[[#This Row],[personeelsnr]],'data hastus'!$A:$C,2,0)</f>
        <v>Van Huffel</v>
      </c>
      <c r="D823" t="str">
        <f>VLOOKUP(bron[[#This Row],[personeelsnr]],'data hastus'!$A:$C,3,0)</f>
        <v>Tim</v>
      </c>
      <c r="E823" t="str">
        <f>VLOOKUP(bron[[#This Row],[personeelsnr]],'data hastus'!A:K,11,FALSE)</f>
        <v>Christoff Rotty</v>
      </c>
      <c r="F823" s="10"/>
      <c r="G823" s="6"/>
      <c r="H823" s="6"/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0</v>
      </c>
      <c r="T823" s="3">
        <v>45883</v>
      </c>
      <c r="U823" s="22" t="s">
        <v>1280</v>
      </c>
      <c r="V823" s="8">
        <v>1</v>
      </c>
      <c r="W823" s="8"/>
      <c r="X823" t="s">
        <v>3493</v>
      </c>
      <c r="Y823" t="s">
        <v>6</v>
      </c>
      <c r="Z823">
        <v>5927</v>
      </c>
      <c r="AA823" s="24" t="s">
        <v>3540</v>
      </c>
      <c r="AB823">
        <f>COUNTIF(B:B,bron[[#This Row],[volledige naam]])</f>
        <v>1</v>
      </c>
    </row>
    <row r="824" spans="1:28" x14ac:dyDescent="0.25">
      <c r="A824">
        <v>41871</v>
      </c>
      <c r="B824" t="str">
        <f>_xlfn.CONCAT(bron[[#This Row],[personeelsnr]]," ",bron[[#This Row],[achternaam]]," ",bron[[#This Row],[voornaam]])</f>
        <v>41871 Karanfil Ibrahim</v>
      </c>
      <c r="C824" t="str">
        <f>VLOOKUP(bron[[#This Row],[personeelsnr]],'data hastus'!$A:$C,2,0)</f>
        <v>Karanfil</v>
      </c>
      <c r="D824" t="str">
        <f>VLOOKUP(bron[[#This Row],[personeelsnr]],'data hastus'!$A:$C,3,0)</f>
        <v>Ibrahim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J824" s="5"/>
      <c r="K824" s="5"/>
      <c r="L824" s="5"/>
      <c r="M824" s="5"/>
      <c r="N824" s="5">
        <v>1</v>
      </c>
      <c r="O824" s="5"/>
      <c r="P824" s="5"/>
      <c r="Q824" s="5"/>
      <c r="R824" s="5"/>
      <c r="S824" s="5">
        <f>SUM(bron[[#This Row],[Januari]:[December]])</f>
        <v>1</v>
      </c>
      <c r="T824" s="9">
        <v>45884</v>
      </c>
      <c r="U824" s="22" t="s">
        <v>1252</v>
      </c>
      <c r="V824" s="22">
        <v>1</v>
      </c>
      <c r="W824" s="22"/>
      <c r="X824" t="s">
        <v>3493</v>
      </c>
      <c r="Y824" t="s">
        <v>223</v>
      </c>
      <c r="Z824">
        <v>5912</v>
      </c>
      <c r="AA824" t="s">
        <v>3539</v>
      </c>
      <c r="AB824">
        <f>COUNTIF(B:B,bron[[#This Row],[volledige naam]])</f>
        <v>2</v>
      </c>
    </row>
    <row r="825" spans="1:28" x14ac:dyDescent="0.25">
      <c r="A825">
        <v>25487</v>
      </c>
      <c r="B825" t="str">
        <f>_xlfn.CONCAT(bron[[#This Row],[personeelsnr]]," ",bron[[#This Row],[achternaam]]," ",bron[[#This Row],[voornaam]])</f>
        <v>25487 Devos Stefaan</v>
      </c>
      <c r="C825" t="str">
        <f>VLOOKUP(bron[[#This Row],[personeelsnr]],'data hastus'!$A:$C,2,0)</f>
        <v>Devos</v>
      </c>
      <c r="D825" t="str">
        <f>VLOOKUP(bron[[#This Row],[personeelsnr]],'data hastus'!$A:$C,3,0)</f>
        <v>Stefaan</v>
      </c>
      <c r="E825" t="str">
        <f>VLOOKUP(bron[[#This Row],[personeelsnr]],'data hastus'!A:K,11,FALSE)</f>
        <v>Steven Storm</v>
      </c>
      <c r="F825" s="10"/>
      <c r="G825" s="7"/>
      <c r="H825" s="7"/>
      <c r="I825" s="7"/>
      <c r="J825" s="5"/>
      <c r="K825" s="5"/>
      <c r="L825" s="5"/>
      <c r="M825" s="5"/>
      <c r="N825" s="5">
        <v>1</v>
      </c>
      <c r="O825" s="5"/>
      <c r="P825" s="5"/>
      <c r="Q825" s="5"/>
      <c r="R825" s="5"/>
      <c r="S825" s="5">
        <f>SUM(bron[[#This Row],[Januari]:[December]])</f>
        <v>1</v>
      </c>
      <c r="T825" s="9">
        <v>45887</v>
      </c>
      <c r="U825" s="5" t="s">
        <v>1254</v>
      </c>
      <c r="V825" s="22"/>
      <c r="W825" s="22">
        <v>1</v>
      </c>
      <c r="X825" t="s">
        <v>3528</v>
      </c>
      <c r="Y825" t="s">
        <v>215</v>
      </c>
      <c r="Z825">
        <v>6315</v>
      </c>
      <c r="AA825" s="24" t="s">
        <v>3539</v>
      </c>
      <c r="AB825">
        <f>COUNTIF(B:B,bron[[#This Row],[volledige naam]])</f>
        <v>4</v>
      </c>
    </row>
    <row r="826" spans="1:28" x14ac:dyDescent="0.25">
      <c r="A826">
        <v>18051</v>
      </c>
      <c r="B826" t="str">
        <f>_xlfn.CONCAT(bron[[#This Row],[personeelsnr]]," ",bron[[#This Row],[achternaam]]," ",bron[[#This Row],[voornaam]])</f>
        <v>18051 Van Wittenberge Filip</v>
      </c>
      <c r="C826" t="str">
        <f>VLOOKUP(bron[[#This Row],[personeelsnr]],'data hastus'!$A:$C,2,0)</f>
        <v>Van Wittenberge</v>
      </c>
      <c r="D826" t="str">
        <f>VLOOKUP(bron[[#This Row],[personeelsnr]],'data hastus'!$A:$C,3,0)</f>
        <v>Filip</v>
      </c>
      <c r="E826" t="str">
        <f>VLOOKUP(bron[[#This Row],[personeelsnr]],'data hastus'!A:K,11,FALSE)</f>
        <v>Christoff Rotty</v>
      </c>
      <c r="F826" s="10"/>
      <c r="G826" s="7"/>
      <c r="H826" s="7"/>
      <c r="I826" s="7"/>
      <c r="J826" s="5"/>
      <c r="K826" s="5"/>
      <c r="L826" s="5"/>
      <c r="M826" s="5"/>
      <c r="N826" s="5">
        <v>1</v>
      </c>
      <c r="O826" s="5"/>
      <c r="P826" s="5"/>
      <c r="Q826" s="5"/>
      <c r="R826" s="5"/>
      <c r="S826" s="5">
        <f>SUM(bron[[#This Row],[Januari]:[December]])</f>
        <v>1</v>
      </c>
      <c r="T826" s="9">
        <v>45890</v>
      </c>
      <c r="U826" s="5" t="s">
        <v>1253</v>
      </c>
      <c r="V826" s="22">
        <v>1</v>
      </c>
      <c r="W826" s="22"/>
      <c r="X826" t="s">
        <v>3492</v>
      </c>
      <c r="Y826" t="s">
        <v>104</v>
      </c>
      <c r="Z826">
        <v>5233</v>
      </c>
      <c r="AA826" t="s">
        <v>3539</v>
      </c>
      <c r="AB826">
        <f>COUNTIF(B:B,bron[[#This Row],[volledige naam]])</f>
        <v>3</v>
      </c>
    </row>
    <row r="827" spans="1:28" x14ac:dyDescent="0.25">
      <c r="A827">
        <v>40403</v>
      </c>
      <c r="B827" t="str">
        <f>_xlfn.CONCAT(bron[[#This Row],[personeelsnr]]," ",bron[[#This Row],[achternaam]]," ",bron[[#This Row],[voornaam]])</f>
        <v>40403 Prové Michaël</v>
      </c>
      <c r="C827" t="str">
        <f>VLOOKUP(bron[[#This Row],[personeelsnr]],'data hastus'!$A:$C,2,0)</f>
        <v>Prové</v>
      </c>
      <c r="D827" t="str">
        <f>VLOOKUP(bron[[#This Row],[personeelsnr]],'data hastus'!$A:$C,3,0)</f>
        <v>Michaël</v>
      </c>
      <c r="E827" t="str">
        <f>VLOOKUP(bron[[#This Row],[personeelsnr]],'data hastus'!A:K,11,FALSE)</f>
        <v>Dominique De Clercq</v>
      </c>
      <c r="F827" s="10"/>
      <c r="G827" s="7"/>
      <c r="H827" s="7"/>
      <c r="I827" s="7"/>
      <c r="J827" s="5"/>
      <c r="K827" s="5"/>
      <c r="L827" s="5"/>
      <c r="M827" s="5"/>
      <c r="N827" s="5">
        <v>1</v>
      </c>
      <c r="O827" s="5"/>
      <c r="P827" s="5"/>
      <c r="Q827" s="5"/>
      <c r="R827" s="5"/>
      <c r="S827" s="5">
        <f>SUM(bron[[#This Row],[Januari]:[December]])</f>
        <v>1</v>
      </c>
      <c r="T827" s="9">
        <v>45890</v>
      </c>
      <c r="U827" s="5" t="s">
        <v>1289</v>
      </c>
      <c r="V827" s="22">
        <v>1</v>
      </c>
      <c r="W827" s="22"/>
      <c r="X827" t="s">
        <v>3494</v>
      </c>
      <c r="Y827" t="s">
        <v>516</v>
      </c>
      <c r="Z827">
        <v>5239</v>
      </c>
      <c r="AA827" s="24" t="s">
        <v>3540</v>
      </c>
      <c r="AB827">
        <f>COUNTIF(B:B,bron[[#This Row],[volledige naam]])</f>
        <v>3</v>
      </c>
    </row>
    <row r="828" spans="1:28" x14ac:dyDescent="0.25">
      <c r="A828">
        <v>25829</v>
      </c>
      <c r="B828" t="str">
        <f>_xlfn.CONCAT(bron[[#This Row],[personeelsnr]]," ",bron[[#This Row],[achternaam]]," ",bron[[#This Row],[voornaam]])</f>
        <v>25829 Kayim Akin</v>
      </c>
      <c r="C828" t="str">
        <f>VLOOKUP(bron[[#This Row],[personeelsnr]],'data hastus'!$A:$C,2,0)</f>
        <v>Kayim</v>
      </c>
      <c r="D828" t="str">
        <f>VLOOKUP(bron[[#This Row],[personeelsnr]],'data hastus'!$A:$C,3,0)</f>
        <v>Akin</v>
      </c>
      <c r="E828" t="str">
        <f>VLOOKUP(bron[[#This Row],[personeelsnr]],'data hastus'!A:K,11,FALSE)</f>
        <v>Steven Storm</v>
      </c>
      <c r="F828" s="10"/>
      <c r="G828" s="7"/>
      <c r="H828" s="7"/>
      <c r="I828" s="7"/>
      <c r="J828" s="5"/>
      <c r="K828" s="5"/>
      <c r="L828" s="5"/>
      <c r="M828" s="5"/>
      <c r="N828" s="5">
        <v>1</v>
      </c>
      <c r="O828" s="5"/>
      <c r="P828" s="5"/>
      <c r="Q828" s="5"/>
      <c r="R828" s="5"/>
      <c r="S828" s="5">
        <f>SUM(bron[[#This Row],[Januari]:[December]])</f>
        <v>1</v>
      </c>
      <c r="T828" s="9">
        <v>45891</v>
      </c>
      <c r="U828" s="5" t="s">
        <v>1317</v>
      </c>
      <c r="V828" s="22"/>
      <c r="W828" s="22">
        <v>1</v>
      </c>
      <c r="X828" t="s">
        <v>3528</v>
      </c>
      <c r="Y828" t="s">
        <v>946</v>
      </c>
      <c r="Z828">
        <v>6307</v>
      </c>
      <c r="AA828" s="24" t="s">
        <v>3540</v>
      </c>
      <c r="AB828">
        <f>COUNTIF(B:B,bron[[#This Row],[volledige naam]])</f>
        <v>1</v>
      </c>
    </row>
    <row r="829" spans="1:28" x14ac:dyDescent="0.25">
      <c r="A829">
        <v>39651</v>
      </c>
      <c r="B829" t="str">
        <f>_xlfn.CONCAT(bron[[#This Row],[personeelsnr]]," ",bron[[#This Row],[achternaam]]," ",bron[[#This Row],[voornaam]])</f>
        <v>39651 Kallenbach Sunny</v>
      </c>
      <c r="C829" t="str">
        <f>VLOOKUP(bron[[#This Row],[personeelsnr]],'data hastus'!$A:$C,2,0)</f>
        <v>Kallenbach</v>
      </c>
      <c r="D829" t="str">
        <f>VLOOKUP(bron[[#This Row],[personeelsnr]],'data hastus'!$A:$C,3,0)</f>
        <v>Sunny</v>
      </c>
      <c r="E829" t="str">
        <f>VLOOKUP(bron[[#This Row],[personeelsnr]],'data hastus'!A:K,11,FALSE)</f>
        <v>Kenneth De Rick</v>
      </c>
      <c r="F829" s="10"/>
      <c r="G829" s="7"/>
      <c r="H829" s="7"/>
      <c r="I829" s="7"/>
      <c r="J829" s="5"/>
      <c r="K829" s="5"/>
      <c r="L829" s="5"/>
      <c r="M829" s="5"/>
      <c r="N829" s="5">
        <v>1</v>
      </c>
      <c r="O829" s="5"/>
      <c r="P829" s="5"/>
      <c r="Q829" s="5"/>
      <c r="R829" s="5"/>
      <c r="S829" s="5">
        <f>SUM(bron[[#This Row],[Januari]:[December]])</f>
        <v>1</v>
      </c>
      <c r="T829" s="9">
        <v>45891</v>
      </c>
      <c r="U829" s="5" t="s">
        <v>1259</v>
      </c>
      <c r="V829" s="22">
        <v>1</v>
      </c>
      <c r="W829" s="22"/>
      <c r="X829" t="s">
        <v>3494</v>
      </c>
      <c r="Y829" t="s">
        <v>94</v>
      </c>
      <c r="Z829">
        <v>5052</v>
      </c>
      <c r="AA829" t="s">
        <v>3539</v>
      </c>
      <c r="AB829">
        <f>COUNTIF(B:B,bron[[#This Row],[volledige naam]])</f>
        <v>4</v>
      </c>
    </row>
    <row r="830" spans="1:28" x14ac:dyDescent="0.25">
      <c r="A830">
        <v>39654</v>
      </c>
      <c r="B830" t="str">
        <f>_xlfn.CONCAT(bron[[#This Row],[personeelsnr]]," ",bron[[#This Row],[achternaam]]," ",bron[[#This Row],[voornaam]])</f>
        <v>39654 Camacho Encarnacion Lisandro Javier</v>
      </c>
      <c r="C830" t="str">
        <f>VLOOKUP(bron[[#This Row],[personeelsnr]],'data hastus'!$A:$C,2,0)</f>
        <v>Camacho Encarnacion</v>
      </c>
      <c r="D830" t="str">
        <f>VLOOKUP(bron[[#This Row],[personeelsnr]],'data hastus'!$A:$C,3,0)</f>
        <v>Lisandro Javier</v>
      </c>
      <c r="E830" t="str">
        <f>VLOOKUP(bron[[#This Row],[personeelsnr]],'data hastus'!A:K,11,FALSE)</f>
        <v>Kenneth De Rick</v>
      </c>
      <c r="F830" s="10"/>
      <c r="G830" s="7"/>
      <c r="H830" s="7"/>
      <c r="I830" s="7"/>
      <c r="J830" s="5"/>
      <c r="K830" s="5"/>
      <c r="L830" s="5"/>
      <c r="M830" s="5">
        <v>1</v>
      </c>
      <c r="N830" s="5"/>
      <c r="O830" s="5"/>
      <c r="P830" s="5"/>
      <c r="Q830" s="5"/>
      <c r="R830" s="5"/>
      <c r="S830" s="5">
        <f>SUM(bron[[#This Row],[Januari]:[December]])</f>
        <v>1</v>
      </c>
      <c r="T830" s="9">
        <v>45891</v>
      </c>
      <c r="U830" s="8" t="s">
        <v>1258</v>
      </c>
      <c r="V830" s="22">
        <v>1</v>
      </c>
      <c r="W830" s="22"/>
      <c r="X830" t="s">
        <v>3494</v>
      </c>
      <c r="Y830" t="s">
        <v>14</v>
      </c>
      <c r="Z830">
        <v>5238</v>
      </c>
      <c r="AA830" t="s">
        <v>3539</v>
      </c>
      <c r="AB830">
        <f>COUNTIF(B:B,bron[[#This Row],[volledige naam]])</f>
        <v>2</v>
      </c>
    </row>
    <row r="831" spans="1:28" x14ac:dyDescent="0.25">
      <c r="A831">
        <v>41190</v>
      </c>
      <c r="B831" t="str">
        <f>_xlfn.CONCAT(bron[[#This Row],[personeelsnr]]," ",bron[[#This Row],[achternaam]]," ",bron[[#This Row],[voornaam]])</f>
        <v>41190 De Meyer Horst</v>
      </c>
      <c r="C831" t="s">
        <v>1255</v>
      </c>
      <c r="D831" t="s">
        <v>1256</v>
      </c>
      <c r="E831" t="s">
        <v>59</v>
      </c>
      <c r="F831" s="10"/>
      <c r="G831" s="7"/>
      <c r="H831" s="7"/>
      <c r="I831" s="7"/>
      <c r="J831" s="5"/>
      <c r="K831" s="5"/>
      <c r="L831" s="5"/>
      <c r="M831" s="5"/>
      <c r="N831" s="5">
        <v>1</v>
      </c>
      <c r="O831" s="5"/>
      <c r="P831" s="5"/>
      <c r="Q831" s="5"/>
      <c r="R831" s="5"/>
      <c r="S831" s="5">
        <f>SUM(bron[[#This Row],[Januari]:[December]])</f>
        <v>1</v>
      </c>
      <c r="T831" s="9">
        <v>45891</v>
      </c>
      <c r="U831" s="22" t="s">
        <v>1257</v>
      </c>
      <c r="V831" s="22">
        <v>1</v>
      </c>
      <c r="W831" s="22"/>
      <c r="X831" t="s">
        <v>3493</v>
      </c>
      <c r="Y831" t="s">
        <v>2</v>
      </c>
      <c r="Z831">
        <v>5765</v>
      </c>
      <c r="AA831" t="s">
        <v>3539</v>
      </c>
      <c r="AB831">
        <f>COUNTIF(B:B,bron[[#This Row],[volledige naam]])</f>
        <v>1</v>
      </c>
    </row>
    <row r="832" spans="1:28" x14ac:dyDescent="0.25">
      <c r="A832">
        <v>41619</v>
      </c>
      <c r="B832" t="str">
        <f>_xlfn.CONCAT(bron[[#This Row],[personeelsnr]]," ",bron[[#This Row],[achternaam]]," ",bron[[#This Row],[voornaam]])</f>
        <v>41619 Bachiri Ousama</v>
      </c>
      <c r="C832" t="str">
        <f>VLOOKUP(bron[[#This Row],[personeelsnr]],'data hastus'!$A:$C,2,0)</f>
        <v>Bachiri</v>
      </c>
      <c r="D832" t="str">
        <f>VLOOKUP(bron[[#This Row],[personeelsnr]],'data hastus'!$A:$C,3,0)</f>
        <v>Ousama</v>
      </c>
      <c r="E832" t="str">
        <f>VLOOKUP(bron[[#This Row],[personeelsnr]],'data hastus'!A:K,11,FALSE)</f>
        <v>Bart Van Der Beken</v>
      </c>
      <c r="F832" s="10"/>
      <c r="G832" s="7"/>
      <c r="H832" s="7"/>
      <c r="I832" s="7"/>
      <c r="J832" s="5"/>
      <c r="K832" s="5"/>
      <c r="L832" s="5"/>
      <c r="M832" s="5"/>
      <c r="N832" s="5">
        <v>1</v>
      </c>
      <c r="O832" s="5"/>
      <c r="P832" s="5"/>
      <c r="Q832" s="5"/>
      <c r="R832" s="5"/>
      <c r="S832" s="5">
        <f>SUM(bron[[#This Row],[Januari]:[December]])</f>
        <v>1</v>
      </c>
      <c r="T832" s="9">
        <v>45892</v>
      </c>
      <c r="U832" s="5" t="s">
        <v>1260</v>
      </c>
      <c r="V832" s="22">
        <v>1</v>
      </c>
      <c r="W832" s="22"/>
      <c r="X832" t="s">
        <v>3494</v>
      </c>
      <c r="Y832" t="s">
        <v>34</v>
      </c>
      <c r="Z832">
        <v>5048</v>
      </c>
      <c r="AA832" t="s">
        <v>3539</v>
      </c>
      <c r="AB832">
        <f>COUNTIF(B:B,bron[[#This Row],[volledige naam]])</f>
        <v>3</v>
      </c>
    </row>
    <row r="833" spans="1:28" x14ac:dyDescent="0.25">
      <c r="A833">
        <v>42145</v>
      </c>
      <c r="B833" t="str">
        <f>_xlfn.CONCAT(bron[[#This Row],[personeelsnr]]," ",bron[[#This Row],[achternaam]]," ",bron[[#This Row],[voornaam]])</f>
        <v>42145 Gys Shayya</v>
      </c>
      <c r="C833" t="str">
        <f>VLOOKUP(bron[[#This Row],[personeelsnr]],'data hastus'!$A:$C,2,0)</f>
        <v>Gys</v>
      </c>
      <c r="D833" t="str">
        <f>VLOOKUP(bron[[#This Row],[personeelsnr]],'data hastus'!$A:$C,3,0)</f>
        <v>Shayya</v>
      </c>
      <c r="E833" t="str">
        <f>VLOOKUP(bron[[#This Row],[personeelsnr]],'data hastus'!A:K,11,FALSE)</f>
        <v>Steven Storm</v>
      </c>
      <c r="F833" s="10"/>
      <c r="G833" s="7"/>
      <c r="H833" s="7"/>
      <c r="I833" s="7"/>
      <c r="J833" s="5"/>
      <c r="K833" s="5"/>
      <c r="L833" s="5"/>
      <c r="M833" s="5"/>
      <c r="N833" s="5">
        <v>1</v>
      </c>
      <c r="O833" s="5"/>
      <c r="P833" s="5"/>
      <c r="Q833" s="5"/>
      <c r="R833" s="5"/>
      <c r="S833" s="5">
        <f>SUM(bron[[#This Row],[Januari]:[December]])</f>
        <v>1</v>
      </c>
      <c r="T833" s="9">
        <v>45894</v>
      </c>
      <c r="U833" s="5" t="s">
        <v>1261</v>
      </c>
      <c r="V833" s="22">
        <v>1</v>
      </c>
      <c r="W833" s="22"/>
      <c r="X833" t="s">
        <v>3493</v>
      </c>
      <c r="Y833" t="s">
        <v>272</v>
      </c>
      <c r="Z833">
        <v>8137</v>
      </c>
      <c r="AA833" t="s">
        <v>3539</v>
      </c>
      <c r="AB833">
        <f>COUNTIF(B:B,bron[[#This Row],[volledige naam]])</f>
        <v>2</v>
      </c>
    </row>
    <row r="834" spans="1:28" x14ac:dyDescent="0.25">
      <c r="A834">
        <v>34198</v>
      </c>
      <c r="B834" t="str">
        <f>_xlfn.CONCAT(bron[[#This Row],[personeelsnr]]," ",bron[[#This Row],[achternaam]]," ",bron[[#This Row],[voornaam]])</f>
        <v>34198 Pelfrene Toby</v>
      </c>
      <c r="C834" t="str">
        <f>VLOOKUP(bron[[#This Row],[personeelsnr]],'data hastus'!$A:$C,2,0)</f>
        <v>Pelfrene</v>
      </c>
      <c r="D834" t="str">
        <f>VLOOKUP(bron[[#This Row],[personeelsnr]],'data hastus'!$A:$C,3,0)</f>
        <v>Toby</v>
      </c>
      <c r="E834" t="str">
        <f>VLOOKUP(bron[[#This Row],[personeelsnr]],'data hastus'!A:K,11,FALSE)</f>
        <v>Els Vanhoe</v>
      </c>
      <c r="F834" s="10"/>
      <c r="G834" s="7"/>
      <c r="H834" s="7"/>
      <c r="I834" s="7"/>
      <c r="J834" s="5"/>
      <c r="K834" s="5"/>
      <c r="L834" s="5"/>
      <c r="M834" s="5"/>
      <c r="N834" s="5">
        <v>1</v>
      </c>
      <c r="O834" s="5"/>
      <c r="P834" s="5"/>
      <c r="Q834" s="5"/>
      <c r="R834" s="5"/>
      <c r="S834" s="5">
        <f>SUM(bron[[#This Row],[Januari]:[December]])</f>
        <v>1</v>
      </c>
      <c r="T834" s="9">
        <v>45895</v>
      </c>
      <c r="U834" s="5" t="s">
        <v>1262</v>
      </c>
      <c r="V834" s="22"/>
      <c r="W834" s="22">
        <v>1</v>
      </c>
      <c r="X834" t="s">
        <v>3528</v>
      </c>
      <c r="Y834" t="s">
        <v>2</v>
      </c>
      <c r="Z834">
        <v>6308</v>
      </c>
      <c r="AA834" s="24" t="s">
        <v>3539</v>
      </c>
      <c r="AB834">
        <f>COUNTIF(B:B,bron[[#This Row],[volledige naam]])</f>
        <v>2</v>
      </c>
    </row>
    <row r="835" spans="1:28" x14ac:dyDescent="0.25">
      <c r="A835">
        <v>11236</v>
      </c>
      <c r="B835" t="str">
        <f>_xlfn.CONCAT(bron[[#This Row],[personeelsnr]]," ",bron[[#This Row],[achternaam]]," ",bron[[#This Row],[voornaam]])</f>
        <v>11236 Baert Freddy</v>
      </c>
      <c r="C835" t="str">
        <f>VLOOKUP(bron[[#This Row],[personeelsnr]],'data hastus'!$A:$C,2,0)</f>
        <v>Baert</v>
      </c>
      <c r="D835" t="str">
        <f>VLOOKUP(bron[[#This Row],[personeelsnr]],'data hastus'!$A:$C,3,0)</f>
        <v>Freddy</v>
      </c>
      <c r="E835" t="str">
        <f>VLOOKUP(bron[[#This Row],[personeelsnr]],'data hastus'!A:K,11,FALSE)</f>
        <v>Bart Van Der Beken</v>
      </c>
      <c r="F835" s="10"/>
      <c r="G835" s="7"/>
      <c r="H835" s="7"/>
      <c r="I835" s="7"/>
      <c r="J835" s="5"/>
      <c r="K835" s="5"/>
      <c r="L835" s="5"/>
      <c r="M835" s="5"/>
      <c r="N835" s="5">
        <v>1</v>
      </c>
      <c r="O835" s="5"/>
      <c r="P835" s="5"/>
      <c r="Q835" s="5"/>
      <c r="R835" s="5"/>
      <c r="S835" s="5">
        <f>SUM(bron[[#This Row],[Januari]:[December]])</f>
        <v>1</v>
      </c>
      <c r="T835" s="9">
        <v>45897</v>
      </c>
      <c r="U835" s="5" t="s">
        <v>1263</v>
      </c>
      <c r="V835" s="22">
        <v>1</v>
      </c>
      <c r="W835" s="22"/>
      <c r="X835" t="s">
        <v>3492</v>
      </c>
      <c r="Y835" t="s">
        <v>176</v>
      </c>
      <c r="Z835">
        <v>5046</v>
      </c>
      <c r="AA835" t="s">
        <v>3539</v>
      </c>
      <c r="AB835">
        <f>COUNTIF(B:B,bron[[#This Row],[volledige naam]])</f>
        <v>4</v>
      </c>
    </row>
    <row r="836" spans="1:28" x14ac:dyDescent="0.25">
      <c r="A836">
        <v>16895</v>
      </c>
      <c r="B836" t="str">
        <f>_xlfn.CONCAT(bron[[#This Row],[personeelsnr]]," ",bron[[#This Row],[achternaam]]," ",bron[[#This Row],[voornaam]])</f>
        <v>16895 Van Lauwe Freddy</v>
      </c>
      <c r="C836" t="str">
        <f>VLOOKUP(bron[[#This Row],[personeelsnr]],'data hastus'!$A:$C,2,0)</f>
        <v>Van Lauwe</v>
      </c>
      <c r="D836" t="str">
        <f>VLOOKUP(bron[[#This Row],[personeelsnr]],'data hastus'!$A:$C,3,0)</f>
        <v>Freddy</v>
      </c>
      <c r="E836" t="str">
        <f>VLOOKUP(bron[[#This Row],[personeelsnr]],'data hastus'!A:K,11,FALSE)</f>
        <v>Bart Van Der Beken</v>
      </c>
      <c r="F836" s="10"/>
      <c r="G836" s="7"/>
      <c r="H836" s="7"/>
      <c r="I836" s="7"/>
      <c r="J836" s="5"/>
      <c r="K836" s="5"/>
      <c r="L836" s="5"/>
      <c r="M836" s="5"/>
      <c r="N836" s="5">
        <v>1</v>
      </c>
      <c r="O836" s="5"/>
      <c r="P836" s="5"/>
      <c r="Q836" s="5"/>
      <c r="R836" s="5"/>
      <c r="S836" s="5">
        <f>SUM(bron[[#This Row],[Januari]:[December]])</f>
        <v>1</v>
      </c>
      <c r="T836" s="9">
        <v>45897</v>
      </c>
      <c r="U836" s="5" t="s">
        <v>1264</v>
      </c>
      <c r="V836" s="22">
        <v>1</v>
      </c>
      <c r="W836" s="22"/>
      <c r="X836" t="s">
        <v>3528</v>
      </c>
      <c r="Y836" t="s">
        <v>180</v>
      </c>
      <c r="Z836">
        <v>6332</v>
      </c>
      <c r="AA836" s="24" t="s">
        <v>3539</v>
      </c>
      <c r="AB836">
        <f>COUNTIF(B:B,bron[[#This Row],[volledige naam]])</f>
        <v>6</v>
      </c>
    </row>
    <row r="837" spans="1:28" x14ac:dyDescent="0.25">
      <c r="A837">
        <v>33488</v>
      </c>
      <c r="B837" t="str">
        <f>_xlfn.CONCAT(bron[[#This Row],[personeelsnr]]," ",bron[[#This Row],[achternaam]]," ",bron[[#This Row],[voornaam]])</f>
        <v>33488 Holub Patrik</v>
      </c>
      <c r="C837" t="str">
        <f>VLOOKUP(bron[[#This Row],[personeelsnr]],'data hastus'!$A:$C,2,0)</f>
        <v>Holub</v>
      </c>
      <c r="D837" t="str">
        <f>VLOOKUP(bron[[#This Row],[personeelsnr]],'data hastus'!$A:$C,3,0)</f>
        <v>Patrik</v>
      </c>
      <c r="E837" t="str">
        <f>VLOOKUP(bron[[#This Row],[personeelsnr]],'data hastus'!A:K,11,FALSE)</f>
        <v>Els Vanhoe</v>
      </c>
      <c r="F837" s="10"/>
      <c r="G837" s="7"/>
      <c r="H837" s="7"/>
      <c r="I837" s="7"/>
      <c r="J837" s="5"/>
      <c r="K837" s="5"/>
      <c r="L837" s="5"/>
      <c r="M837" s="5"/>
      <c r="N837" s="5">
        <v>1</v>
      </c>
      <c r="O837" s="5"/>
      <c r="P837" s="5"/>
      <c r="Q837" s="5"/>
      <c r="R837" s="5"/>
      <c r="S837" s="5">
        <f>SUM(bron[[#This Row],[Januari]:[December]])</f>
        <v>1</v>
      </c>
      <c r="T837" s="9">
        <v>45898</v>
      </c>
      <c r="U837" s="5" t="s">
        <v>1266</v>
      </c>
      <c r="V837" s="22">
        <v>1</v>
      </c>
      <c r="W837" s="22"/>
      <c r="X837" t="s">
        <v>3494</v>
      </c>
      <c r="Y837" t="s">
        <v>1267</v>
      </c>
      <c r="Z837">
        <v>5327</v>
      </c>
      <c r="AA837" t="s">
        <v>3539</v>
      </c>
      <c r="AB837">
        <f>COUNTIF(B:B,bron[[#This Row],[volledige naam]])</f>
        <v>2</v>
      </c>
    </row>
    <row r="838" spans="1:28" x14ac:dyDescent="0.25">
      <c r="A838">
        <v>40856</v>
      </c>
      <c r="B838" t="str">
        <f>_xlfn.CONCAT(bron[[#This Row],[personeelsnr]]," ",bron[[#This Row],[achternaam]]," ",bron[[#This Row],[voornaam]])</f>
        <v>40856 Neissi Sadegh</v>
      </c>
      <c r="C838" t="str">
        <f>VLOOKUP(bron[[#This Row],[personeelsnr]],'data hastus'!$A:$C,2,0)</f>
        <v>Neissi</v>
      </c>
      <c r="D838" t="str">
        <f>VLOOKUP(bron[[#This Row],[personeelsnr]],'data hastus'!$A:$C,3,0)</f>
        <v>Sadegh</v>
      </c>
      <c r="E838" t="str">
        <f>VLOOKUP(bron[[#This Row],[personeelsnr]],'data hastus'!A:K,11,FALSE)</f>
        <v>Kenneth De Rick</v>
      </c>
      <c r="F838" s="10"/>
      <c r="G838" s="7"/>
      <c r="H838" s="7"/>
      <c r="I838" s="7"/>
      <c r="J838" s="5"/>
      <c r="K838" s="5"/>
      <c r="L838" s="5"/>
      <c r="M838" s="5"/>
      <c r="N838" s="5">
        <v>1</v>
      </c>
      <c r="O838" s="5"/>
      <c r="P838" s="5"/>
      <c r="Q838" s="5"/>
      <c r="R838" s="5"/>
      <c r="S838" s="5">
        <f>SUM(bron[[#This Row],[Januari]:[December]])</f>
        <v>1</v>
      </c>
      <c r="T838" s="9">
        <v>45898</v>
      </c>
      <c r="U838" s="5" t="s">
        <v>1265</v>
      </c>
      <c r="V838" s="22">
        <v>1</v>
      </c>
      <c r="W838" s="22"/>
      <c r="X838" t="s">
        <v>3492</v>
      </c>
      <c r="Y838" t="s">
        <v>2</v>
      </c>
      <c r="Z838">
        <v>2193</v>
      </c>
      <c r="AA838" t="s">
        <v>3539</v>
      </c>
      <c r="AB838">
        <f>COUNTIF(B:B,bron[[#This Row],[volledige naam]])</f>
        <v>5</v>
      </c>
    </row>
    <row r="839" spans="1:28" x14ac:dyDescent="0.25">
      <c r="A839">
        <v>39673</v>
      </c>
      <c r="B839" t="str">
        <f>_xlfn.CONCAT(bron[[#This Row],[personeelsnr]]," ",bron[[#This Row],[achternaam]]," ",bron[[#This Row],[voornaam]])</f>
        <v>39673 Steurbaut Henri</v>
      </c>
      <c r="C839" t="str">
        <f>VLOOKUP(bron[[#This Row],[personeelsnr]],'data hastus'!$A:$C,2,0)</f>
        <v>Steurbaut</v>
      </c>
      <c r="D839" t="str">
        <f>VLOOKUP(bron[[#This Row],[personeelsnr]],'data hastus'!$A:$C,3,0)</f>
        <v>Henri</v>
      </c>
      <c r="E839" t="str">
        <f>VLOOKUP(bron[[#This Row],[personeelsnr]],'data hastus'!A:K,11,FALSE)</f>
        <v>Els Vanhoe</v>
      </c>
      <c r="F839" s="10"/>
      <c r="G839" s="7"/>
      <c r="H839" s="7"/>
      <c r="I839" s="7"/>
      <c r="J839" s="5"/>
      <c r="K839" s="5"/>
      <c r="L839" s="5"/>
      <c r="M839" s="5"/>
      <c r="N839" s="5">
        <v>1</v>
      </c>
      <c r="O839" s="5"/>
      <c r="P839" s="5"/>
      <c r="Q839" s="5"/>
      <c r="R839" s="5"/>
      <c r="S839" s="5">
        <f>SUM(bron[[#This Row],[Januari]:[December]])</f>
        <v>1</v>
      </c>
      <c r="T839" s="9">
        <v>45899</v>
      </c>
      <c r="U839" s="5" t="s">
        <v>1268</v>
      </c>
      <c r="V839" s="22">
        <v>1</v>
      </c>
      <c r="W839" s="22"/>
      <c r="X839" t="s">
        <v>3494</v>
      </c>
      <c r="Y839" t="s">
        <v>539</v>
      </c>
      <c r="Z839">
        <v>5044</v>
      </c>
      <c r="AA839" t="s">
        <v>3539</v>
      </c>
      <c r="AB839">
        <f>COUNTIF(B:B,bron[[#This Row],[volledige naam]])</f>
        <v>5</v>
      </c>
    </row>
    <row r="840" spans="1:28" x14ac:dyDescent="0.25">
      <c r="A840">
        <v>41874</v>
      </c>
      <c r="B840" t="str">
        <f>_xlfn.CONCAT(bron[[#This Row],[personeelsnr]]," ",bron[[#This Row],[achternaam]]," ",bron[[#This Row],[voornaam]])</f>
        <v>41874 Dobbeleire Bruno</v>
      </c>
      <c r="C840" t="str">
        <f>VLOOKUP(bron[[#This Row],[personeelsnr]],'data hastus'!$A:$C,2,0)</f>
        <v>Dobbeleire</v>
      </c>
      <c r="D840" t="str">
        <f>VLOOKUP(bron[[#This Row],[personeelsnr]],'data hastus'!$A:$C,3,0)</f>
        <v>Bruno</v>
      </c>
      <c r="E840" s="2" t="str">
        <f>VLOOKUP(bron[[#This Row],[personeelsnr]],'data hastus'!A:K,11,FALSE)</f>
        <v>Dominique De Clercq</v>
      </c>
      <c r="G840" s="28"/>
      <c r="H840" s="28"/>
      <c r="I840" s="28"/>
      <c r="O840" s="25">
        <v>1</v>
      </c>
      <c r="S840" s="25">
        <f>SUM(bron[[#This Row],[Januari]:[December]])</f>
        <v>1</v>
      </c>
      <c r="T840" s="30">
        <v>45901</v>
      </c>
      <c r="U840" s="5" t="s">
        <v>1318</v>
      </c>
      <c r="V840" s="26">
        <v>1</v>
      </c>
      <c r="W840" s="26"/>
      <c r="X840" t="s">
        <v>3493</v>
      </c>
      <c r="Y840" t="s">
        <v>1319</v>
      </c>
      <c r="Z840" s="2">
        <v>5938</v>
      </c>
      <c r="AA840" s="31" t="s">
        <v>3539</v>
      </c>
      <c r="AB840">
        <f>COUNTIF(B:B,bron[[#This Row],[volledige naam]])</f>
        <v>3</v>
      </c>
    </row>
    <row r="841" spans="1:28" x14ac:dyDescent="0.25">
      <c r="A841">
        <v>27153</v>
      </c>
      <c r="B841" t="str">
        <f>_xlfn.CONCAT(bron[[#This Row],[personeelsnr]]," ",bron[[#This Row],[achternaam]]," ",bron[[#This Row],[voornaam]])</f>
        <v>27153 Oben Thibaud</v>
      </c>
      <c r="C841" t="str">
        <f>VLOOKUP(bron[[#This Row],[personeelsnr]],'data hastus'!$A:$C,2,0)</f>
        <v>Oben</v>
      </c>
      <c r="D841" t="str">
        <f>VLOOKUP(bron[[#This Row],[personeelsnr]],'data hastus'!$A:$C,3,0)</f>
        <v>Thibaud</v>
      </c>
      <c r="E841" s="2" t="str">
        <f>VLOOKUP(bron[[#This Row],[personeelsnr]],'data hastus'!A:K,11,FALSE)</f>
        <v>Christoff Rotty</v>
      </c>
      <c r="G841" s="28"/>
      <c r="H841" s="28"/>
      <c r="I841" s="28"/>
      <c r="O841" s="25">
        <v>1</v>
      </c>
      <c r="S841" s="25">
        <f>SUM(bron[[#This Row],[Januari]:[December]])</f>
        <v>1</v>
      </c>
      <c r="T841" s="30">
        <v>45902</v>
      </c>
      <c r="U841" s="5" t="s">
        <v>3480</v>
      </c>
      <c r="V841" s="26">
        <v>1</v>
      </c>
      <c r="W841" s="26"/>
      <c r="X841" t="s">
        <v>3494</v>
      </c>
      <c r="Y841" t="s">
        <v>81</v>
      </c>
      <c r="Z841" s="2">
        <v>5263</v>
      </c>
      <c r="AA841" s="31" t="s">
        <v>3539</v>
      </c>
      <c r="AB841">
        <f>COUNTIF(B:B,bron[[#This Row],[volledige naam]])</f>
        <v>3</v>
      </c>
    </row>
    <row r="842" spans="1:28" x14ac:dyDescent="0.25">
      <c r="A842">
        <v>40938</v>
      </c>
      <c r="B842" t="str">
        <f>_xlfn.CONCAT(bron[[#This Row],[personeelsnr]]," ",bron[[#This Row],[achternaam]]," ",bron[[#This Row],[voornaam]])</f>
        <v>40938 Hasnaoui Nejmeddine</v>
      </c>
      <c r="C842" t="str">
        <f>VLOOKUP(bron[[#This Row],[personeelsnr]],'data hastus'!$A:$C,2,0)</f>
        <v>Hasnaoui</v>
      </c>
      <c r="D842" t="str">
        <f>VLOOKUP(bron[[#This Row],[personeelsnr]],'data hastus'!$A:$C,3,0)</f>
        <v>Nejmeddine</v>
      </c>
      <c r="E842" s="2" t="str">
        <f>VLOOKUP(bron[[#This Row],[personeelsnr]],'data hastus'!A:K,11,FALSE)</f>
        <v>Dominique De Clercq</v>
      </c>
      <c r="G842" s="28"/>
      <c r="H842" s="28"/>
      <c r="I842" s="28"/>
      <c r="O842" s="25">
        <v>1</v>
      </c>
      <c r="S842" s="25">
        <f>SUM(bron[[#This Row],[Januari]:[December]])</f>
        <v>1</v>
      </c>
      <c r="T842" s="30">
        <v>45902</v>
      </c>
      <c r="U842" s="5" t="s">
        <v>3480</v>
      </c>
      <c r="V842" s="26">
        <v>1</v>
      </c>
      <c r="W842" s="26"/>
      <c r="X842" t="s">
        <v>3494</v>
      </c>
      <c r="Y842" t="s">
        <v>81</v>
      </c>
      <c r="Z842" s="2">
        <v>5263</v>
      </c>
      <c r="AA842" s="32" t="s">
        <v>3540</v>
      </c>
      <c r="AB842">
        <f>COUNTIF(B:B,bron[[#This Row],[volledige naam]])</f>
        <v>4</v>
      </c>
    </row>
    <row r="843" spans="1:28" x14ac:dyDescent="0.25">
      <c r="A843">
        <v>39528</v>
      </c>
      <c r="B843" t="str">
        <f>_xlfn.CONCAT(bron[[#This Row],[personeelsnr]]," ",bron[[#This Row],[achternaam]]," ",bron[[#This Row],[voornaam]])</f>
        <v>39528 Mihaylov Plamen</v>
      </c>
      <c r="C843" t="str">
        <f>VLOOKUP(bron[[#This Row],[personeelsnr]],'data hastus'!$A:$C,2,0)</f>
        <v>Mihaylov</v>
      </c>
      <c r="D843" t="str">
        <f>VLOOKUP(bron[[#This Row],[personeelsnr]],'data hastus'!$A:$C,3,0)</f>
        <v>Plamen</v>
      </c>
      <c r="E843" s="2" t="str">
        <f>VLOOKUP(bron[[#This Row],[personeelsnr]],'data hastus'!A:K,11,FALSE)</f>
        <v>Christoff Rotty</v>
      </c>
      <c r="G843" s="28"/>
      <c r="H843" s="28"/>
      <c r="I843" s="28"/>
      <c r="O843" s="25">
        <v>1</v>
      </c>
      <c r="S843" s="25">
        <f>SUM(bron[[#This Row],[Januari]:[December]])</f>
        <v>1</v>
      </c>
      <c r="T843" s="30">
        <v>45902</v>
      </c>
      <c r="U843" s="5" t="s">
        <v>1320</v>
      </c>
      <c r="V843" s="26">
        <v>1</v>
      </c>
      <c r="W843" s="26"/>
      <c r="X843" t="s">
        <v>3494</v>
      </c>
      <c r="Y843" t="s">
        <v>378</v>
      </c>
      <c r="Z843" s="2">
        <v>5233</v>
      </c>
      <c r="AA843" s="31" t="s">
        <v>3539</v>
      </c>
      <c r="AB843">
        <f>COUNTIF(B:B,bron[[#This Row],[volledige naam]])</f>
        <v>4</v>
      </c>
    </row>
    <row r="844" spans="1:28" x14ac:dyDescent="0.25">
      <c r="A844">
        <v>40134</v>
      </c>
      <c r="B844" t="str">
        <f>_xlfn.CONCAT(bron[[#This Row],[personeelsnr]]," ",bron[[#This Row],[achternaam]]," ",bron[[#This Row],[voornaam]])</f>
        <v>40134 Cardon Sharon</v>
      </c>
      <c r="C844" t="str">
        <f>VLOOKUP(bron[[#This Row],[personeelsnr]],'data hastus'!$A:$C,2,0)</f>
        <v>Cardon</v>
      </c>
      <c r="D844" t="str">
        <f>VLOOKUP(bron[[#This Row],[personeelsnr]],'data hastus'!$A:$C,3,0)</f>
        <v>Sharon</v>
      </c>
      <c r="E844" s="2" t="str">
        <f>VLOOKUP(bron[[#This Row],[personeelsnr]],'data hastus'!A:K,11,FALSE)</f>
        <v>Dominique De Clercq</v>
      </c>
      <c r="G844" s="28"/>
      <c r="H844" s="28"/>
      <c r="I844" s="28"/>
      <c r="O844" s="25">
        <v>1</v>
      </c>
      <c r="S844" s="25">
        <f>SUM(bron[[#This Row],[Januari]:[December]])</f>
        <v>1</v>
      </c>
      <c r="T844" s="30">
        <v>45902</v>
      </c>
      <c r="U844" s="5" t="s">
        <v>3484</v>
      </c>
      <c r="V844" s="26">
        <v>1</v>
      </c>
      <c r="W844" s="26"/>
      <c r="X844" t="s">
        <v>3493</v>
      </c>
      <c r="Y844" t="s">
        <v>3485</v>
      </c>
      <c r="Z844" s="2">
        <v>550311</v>
      </c>
      <c r="AA844" s="31" t="s">
        <v>3539</v>
      </c>
      <c r="AB844">
        <f>COUNTIF(B:B,bron[[#This Row],[volledige naam]])</f>
        <v>4</v>
      </c>
    </row>
    <row r="845" spans="1:28" x14ac:dyDescent="0.25">
      <c r="A845">
        <v>20656</v>
      </c>
      <c r="B845" t="str">
        <f>_xlfn.CONCAT(bron[[#This Row],[personeelsnr]]," ",bron[[#This Row],[achternaam]]," ",bron[[#This Row],[voornaam]])</f>
        <v>20656 Vonck Bart</v>
      </c>
      <c r="C845" t="str">
        <f>VLOOKUP(bron[[#This Row],[personeelsnr]],'data hastus'!$A:$C,2,0)</f>
        <v>Vonck</v>
      </c>
      <c r="D845" t="str">
        <f>VLOOKUP(bron[[#This Row],[personeelsnr]],'data hastus'!$A:$C,3,0)</f>
        <v>Bart</v>
      </c>
      <c r="E845" s="2" t="str">
        <f>VLOOKUP(bron[[#This Row],[personeelsnr]],'data hastus'!A:K,11,FALSE)</f>
        <v>Els Vanhoe</v>
      </c>
      <c r="G845" s="28"/>
      <c r="H845" s="28"/>
      <c r="I845" s="28"/>
      <c r="O845" s="25">
        <v>1</v>
      </c>
      <c r="S845" s="25">
        <f>SUM(bron[[#This Row],[Januari]:[December]])</f>
        <v>1</v>
      </c>
      <c r="T845" s="30">
        <v>45903</v>
      </c>
      <c r="U845" s="5" t="s">
        <v>3477</v>
      </c>
      <c r="V845" s="26">
        <v>1</v>
      </c>
      <c r="W845" s="26"/>
      <c r="X845" t="s">
        <v>3492</v>
      </c>
      <c r="Y845" t="s">
        <v>3478</v>
      </c>
      <c r="Z845" s="2">
        <v>5324</v>
      </c>
      <c r="AA845" s="31" t="s">
        <v>3539</v>
      </c>
      <c r="AB845">
        <f>COUNTIF(B:B,bron[[#This Row],[volledige naam]])</f>
        <v>1</v>
      </c>
    </row>
    <row r="846" spans="1:28" x14ac:dyDescent="0.25">
      <c r="A846">
        <v>24367</v>
      </c>
      <c r="B846" t="str">
        <f>_xlfn.CONCAT(bron[[#This Row],[personeelsnr]]," ",bron[[#This Row],[achternaam]]," ",bron[[#This Row],[voornaam]])</f>
        <v>24367 Tayefeh Arbab Ali</v>
      </c>
      <c r="C846" t="str">
        <f>VLOOKUP(bron[[#This Row],[personeelsnr]],'data hastus'!$A:$C,2,0)</f>
        <v>Tayefeh Arbab</v>
      </c>
      <c r="D846" t="str">
        <f>VLOOKUP(bron[[#This Row],[personeelsnr]],'data hastus'!$A:$C,3,0)</f>
        <v>Ali</v>
      </c>
      <c r="E846" s="2" t="str">
        <f>VLOOKUP(bron[[#This Row],[personeelsnr]],'data hastus'!A:K,11,FALSE)</f>
        <v>Bart Van Der Beken</v>
      </c>
      <c r="G846" s="28"/>
      <c r="H846" s="28"/>
      <c r="I846" s="28"/>
      <c r="O846" s="25">
        <v>1</v>
      </c>
      <c r="S846" s="25">
        <f>SUM(bron[[#This Row],[Januari]:[December]])</f>
        <v>1</v>
      </c>
      <c r="T846" s="30">
        <v>45903</v>
      </c>
      <c r="U846" s="5" t="s">
        <v>3490</v>
      </c>
      <c r="V846" s="26"/>
      <c r="W846" s="26">
        <v>1</v>
      </c>
      <c r="X846" t="s">
        <v>3528</v>
      </c>
      <c r="Y846" t="s">
        <v>3491</v>
      </c>
      <c r="Z846" s="2">
        <v>6319</v>
      </c>
      <c r="AA846" s="32" t="s">
        <v>3539</v>
      </c>
      <c r="AB846">
        <f>COUNTIF(B:B,bron[[#This Row],[volledige naam]])</f>
        <v>3</v>
      </c>
    </row>
    <row r="847" spans="1:28" x14ac:dyDescent="0.25">
      <c r="A847">
        <v>33085</v>
      </c>
      <c r="B847" t="str">
        <f>_xlfn.CONCAT(bron[[#This Row],[personeelsnr]]," ",bron[[#This Row],[achternaam]]," ",bron[[#This Row],[voornaam]])</f>
        <v>33085 Van Hoe Ivo</v>
      </c>
      <c r="C847" t="str">
        <f>VLOOKUP(bron[[#This Row],[personeelsnr]],'data hastus'!$A:$C,2,0)</f>
        <v>Van Hoe</v>
      </c>
      <c r="D847" t="str">
        <f>VLOOKUP(bron[[#This Row],[personeelsnr]],'data hastus'!$A:$C,3,0)</f>
        <v>Ivo</v>
      </c>
      <c r="E847" s="2" t="str">
        <f>VLOOKUP(bron[[#This Row],[personeelsnr]],'data hastus'!A:K,11,FALSE)</f>
        <v>Kenneth De Rick</v>
      </c>
      <c r="G847" s="28"/>
      <c r="H847" s="28"/>
      <c r="I847" s="28"/>
      <c r="O847" s="25">
        <v>1</v>
      </c>
      <c r="S847" s="25">
        <f>SUM(bron[[#This Row],[Januari]:[December]])</f>
        <v>1</v>
      </c>
      <c r="T847" s="30">
        <v>45904</v>
      </c>
      <c r="U847" s="5" t="s">
        <v>3479</v>
      </c>
      <c r="V847" s="26"/>
      <c r="W847" s="26">
        <v>1</v>
      </c>
      <c r="X847" t="s">
        <v>3528</v>
      </c>
      <c r="Y847" t="s">
        <v>2</v>
      </c>
      <c r="Z847" s="2">
        <v>6316</v>
      </c>
      <c r="AA847" s="32" t="s">
        <v>3539</v>
      </c>
      <c r="AB847">
        <f>COUNTIF(B:B,bron[[#This Row],[volledige naam]])</f>
        <v>2</v>
      </c>
    </row>
    <row r="848" spans="1:28" x14ac:dyDescent="0.25">
      <c r="A848">
        <v>42082</v>
      </c>
      <c r="B848" t="str">
        <f>_xlfn.CONCAT(bron[[#This Row],[personeelsnr]]," ",bron[[#This Row],[achternaam]]," ",bron[[#This Row],[voornaam]])</f>
        <v>42082 Ahmad Othman</v>
      </c>
      <c r="C848" t="str">
        <f>VLOOKUP(bron[[#This Row],[personeelsnr]],'data hastus'!$A:$C,2,0)</f>
        <v>Ahmad</v>
      </c>
      <c r="D848" t="str">
        <f>VLOOKUP(bron[[#This Row],[personeelsnr]],'data hastus'!$A:$C,3,0)</f>
        <v>Othman</v>
      </c>
      <c r="E848" s="2" t="str">
        <f>VLOOKUP(bron[[#This Row],[personeelsnr]],'data hastus'!A:K,11,FALSE)</f>
        <v>Dominique De Clercq</v>
      </c>
      <c r="G848" s="28"/>
      <c r="H848" s="28"/>
      <c r="I848" s="28"/>
      <c r="O848" s="25">
        <v>1</v>
      </c>
      <c r="S848" s="25">
        <f>SUM(bron[[#This Row],[Januari]:[December]])</f>
        <v>1</v>
      </c>
      <c r="T848" s="30">
        <v>45904</v>
      </c>
      <c r="U848" s="5" t="s">
        <v>3481</v>
      </c>
      <c r="V848" s="26">
        <v>1</v>
      </c>
      <c r="W848" s="26"/>
      <c r="X848" t="s">
        <v>3493</v>
      </c>
      <c r="Y848" t="s">
        <v>6</v>
      </c>
      <c r="Z848" s="2">
        <v>2548</v>
      </c>
      <c r="AA848" s="31" t="s">
        <v>3539</v>
      </c>
      <c r="AB848">
        <f>COUNTIF(B:B,bron[[#This Row],[volledige naam]])</f>
        <v>1</v>
      </c>
    </row>
    <row r="849" spans="1:28" x14ac:dyDescent="0.25">
      <c r="A849">
        <v>22244</v>
      </c>
      <c r="B849" t="str">
        <f>_xlfn.CONCAT(bron[[#This Row],[personeelsnr]]," ",bron[[#This Row],[achternaam]]," ",bron[[#This Row],[voornaam]])</f>
        <v>22244 Kirdas Süleyman</v>
      </c>
      <c r="C849" t="str">
        <f>VLOOKUP(bron[[#This Row],[personeelsnr]],'data hastus'!$A:$C,2,0)</f>
        <v>Kirdas</v>
      </c>
      <c r="D849" t="str">
        <f>VLOOKUP(bron[[#This Row],[personeelsnr]],'data hastus'!$A:$C,3,0)</f>
        <v>Süleyman</v>
      </c>
      <c r="E849" s="2" t="str">
        <f>VLOOKUP(bron[[#This Row],[personeelsnr]],'data hastus'!A:K,11,FALSE)</f>
        <v>Christoff Rotty</v>
      </c>
      <c r="G849" s="28"/>
      <c r="H849" s="28"/>
      <c r="I849" s="28"/>
      <c r="O849" s="25">
        <v>1</v>
      </c>
      <c r="S849" s="25">
        <f>SUM(bron[[#This Row],[Januari]:[December]])</f>
        <v>1</v>
      </c>
      <c r="T849" s="30">
        <v>45905</v>
      </c>
      <c r="U849" s="5" t="s">
        <v>3482</v>
      </c>
      <c r="V849" s="26">
        <v>1</v>
      </c>
      <c r="W849" s="26"/>
      <c r="X849" t="s">
        <v>3493</v>
      </c>
      <c r="Y849" t="s">
        <v>3483</v>
      </c>
      <c r="Z849" s="2">
        <v>5931</v>
      </c>
      <c r="AA849" s="31" t="s">
        <v>3539</v>
      </c>
      <c r="AB849">
        <f>COUNTIF(B:B,bron[[#This Row],[volledige naam]])</f>
        <v>2</v>
      </c>
    </row>
    <row r="850" spans="1:28" x14ac:dyDescent="0.25">
      <c r="A850">
        <v>37132</v>
      </c>
      <c r="B850" t="str">
        <f>_xlfn.CONCAT(bron[[#This Row],[personeelsnr]]," ",bron[[#This Row],[achternaam]]," ",bron[[#This Row],[voornaam]])</f>
        <v>37132 Dacic Esmir</v>
      </c>
      <c r="C850" t="str">
        <f>VLOOKUP(bron[[#This Row],[personeelsnr]],'data hastus'!$A:$C,2,0)</f>
        <v>Dacic</v>
      </c>
      <c r="D850" t="str">
        <f>VLOOKUP(bron[[#This Row],[personeelsnr]],'data hastus'!$A:$C,3,0)</f>
        <v>Esmir</v>
      </c>
      <c r="E850" s="2" t="str">
        <f>VLOOKUP(bron[[#This Row],[personeelsnr]],'data hastus'!A:K,11,FALSE)</f>
        <v>Dominique De Clercq</v>
      </c>
      <c r="G850" s="28"/>
      <c r="H850" s="28"/>
      <c r="I850" s="28"/>
      <c r="O850" s="25">
        <v>1</v>
      </c>
      <c r="S850" s="25">
        <f>SUM(bron[[#This Row],[Januari]:[December]])</f>
        <v>1</v>
      </c>
      <c r="T850" s="30">
        <v>45907</v>
      </c>
      <c r="U850" s="8" t="s">
        <v>3527</v>
      </c>
      <c r="V850" s="26">
        <v>1</v>
      </c>
      <c r="W850" s="26"/>
      <c r="X850" t="s">
        <v>3494</v>
      </c>
      <c r="Y850" t="s">
        <v>8</v>
      </c>
      <c r="Z850" s="2">
        <v>5259</v>
      </c>
      <c r="AA850" s="31" t="s">
        <v>3539</v>
      </c>
      <c r="AB850">
        <f>COUNTIF(B:B,bron[[#This Row],[volledige naam]])</f>
        <v>2</v>
      </c>
    </row>
    <row r="851" spans="1:28" x14ac:dyDescent="0.25">
      <c r="A851">
        <v>16895</v>
      </c>
      <c r="B851" t="str">
        <f>_xlfn.CONCAT(bron[[#This Row],[personeelsnr]]," ",bron[[#This Row],[achternaam]]," ",bron[[#This Row],[voornaam]])</f>
        <v>16895 Van Lauwe Freddy</v>
      </c>
      <c r="C851" t="str">
        <f>VLOOKUP(bron[[#This Row],[personeelsnr]],'data hastus'!$A:$C,2,0)</f>
        <v>Van Lauwe</v>
      </c>
      <c r="D851" t="str">
        <f>VLOOKUP(bron[[#This Row],[personeelsnr]],'data hastus'!$A:$C,3,0)</f>
        <v>Freddy</v>
      </c>
      <c r="E851" s="2" t="str">
        <f>VLOOKUP(bron[[#This Row],[personeelsnr]],'data hastus'!A:K,11,FALSE)</f>
        <v>Bart Van Der Beken</v>
      </c>
      <c r="G851" s="28"/>
      <c r="H851" s="28"/>
      <c r="I851" s="28"/>
      <c r="O851" s="25">
        <v>1</v>
      </c>
      <c r="S851" s="25">
        <f>SUM(bron[[#This Row],[Januari]:[December]])</f>
        <v>1</v>
      </c>
      <c r="T851" s="30">
        <v>45909</v>
      </c>
      <c r="U851" s="5" t="s">
        <v>3486</v>
      </c>
      <c r="V851" s="26"/>
      <c r="W851" s="26">
        <v>1</v>
      </c>
      <c r="X851" t="s">
        <v>3528</v>
      </c>
      <c r="Y851" t="s">
        <v>58</v>
      </c>
      <c r="Z851" s="2">
        <v>6331</v>
      </c>
      <c r="AA851" s="32" t="s">
        <v>3539</v>
      </c>
      <c r="AB851">
        <f>COUNTIF(B:B,bron[[#This Row],[volledige naam]])</f>
        <v>6</v>
      </c>
    </row>
    <row r="852" spans="1:28" x14ac:dyDescent="0.25">
      <c r="A852">
        <v>35491</v>
      </c>
      <c r="B852" t="str">
        <f>_xlfn.CONCAT(bron[[#This Row],[personeelsnr]]," ",bron[[#This Row],[achternaam]]," ",bron[[#This Row],[voornaam]])</f>
        <v>35491 Toubadie Zakaria</v>
      </c>
      <c r="C852" t="str">
        <f>VLOOKUP(bron[[#This Row],[personeelsnr]],'data hastus'!$A:$C,2,0)</f>
        <v>Toubadie</v>
      </c>
      <c r="D852" t="str">
        <f>VLOOKUP(bron[[#This Row],[personeelsnr]],'data hastus'!$A:$C,3,0)</f>
        <v>Zakaria</v>
      </c>
      <c r="E852" s="2" t="str">
        <f>VLOOKUP(bron[[#This Row],[personeelsnr]],'data hastus'!A:K,11,FALSE)</f>
        <v>Els Vanhoe</v>
      </c>
      <c r="G852" s="28"/>
      <c r="H852" s="28"/>
      <c r="I852" s="28"/>
      <c r="O852" s="25">
        <v>1</v>
      </c>
      <c r="S852" s="25">
        <f>SUM(bron[[#This Row],[Januari]:[December]])</f>
        <v>1</v>
      </c>
      <c r="T852" s="30">
        <v>45909</v>
      </c>
      <c r="U852" s="5" t="s">
        <v>3487</v>
      </c>
      <c r="V852" s="26">
        <v>1</v>
      </c>
      <c r="W852" s="26"/>
      <c r="X852" t="s">
        <v>3492</v>
      </c>
      <c r="Y852" t="s">
        <v>100</v>
      </c>
      <c r="Z852" s="2">
        <v>5042</v>
      </c>
      <c r="AA852" s="31" t="s">
        <v>3539</v>
      </c>
      <c r="AB852">
        <f>COUNTIF(B:B,bron[[#This Row],[volledige naam]])</f>
        <v>2</v>
      </c>
    </row>
    <row r="853" spans="1:28" x14ac:dyDescent="0.25">
      <c r="A853">
        <v>41786</v>
      </c>
      <c r="B853" t="str">
        <f>_xlfn.CONCAT(bron[[#This Row],[personeelsnr]]," ",bron[[#This Row],[achternaam]]," ",bron[[#This Row],[voornaam]])</f>
        <v>41786 Diels Nick</v>
      </c>
      <c r="C853" t="str">
        <f>VLOOKUP(bron[[#This Row],[personeelsnr]],'data hastus'!$A:$C,2,0)</f>
        <v>Diels</v>
      </c>
      <c r="D853" t="str">
        <f>VLOOKUP(bron[[#This Row],[personeelsnr]],'data hastus'!$A:$C,3,0)</f>
        <v>Nick</v>
      </c>
      <c r="E853" s="2" t="str">
        <f>VLOOKUP(bron[[#This Row],[personeelsnr]],'data hastus'!A:K,11,FALSE)</f>
        <v>Christoff Rotty</v>
      </c>
      <c r="G853" s="28"/>
      <c r="H853" s="28"/>
      <c r="I853" s="28"/>
      <c r="O853" s="25">
        <v>1</v>
      </c>
      <c r="S853" s="25">
        <f>SUM(bron[[#This Row],[Januari]:[December]])</f>
        <v>1</v>
      </c>
      <c r="T853" s="30">
        <v>45909</v>
      </c>
      <c r="U853" s="5" t="s">
        <v>3537</v>
      </c>
      <c r="V853" s="26">
        <v>1</v>
      </c>
      <c r="W853" s="26"/>
      <c r="X853" t="s">
        <v>3493</v>
      </c>
      <c r="Y853" t="s">
        <v>3538</v>
      </c>
      <c r="Z853" s="2">
        <v>4678</v>
      </c>
      <c r="AA853" s="32" t="s">
        <v>3539</v>
      </c>
      <c r="AB853">
        <f>COUNTIF(B:B,bron[[#This Row],[volledige naam]])</f>
        <v>1</v>
      </c>
    </row>
    <row r="854" spans="1:28" x14ac:dyDescent="0.25">
      <c r="A854">
        <v>16895</v>
      </c>
      <c r="B854" t="str">
        <f>_xlfn.CONCAT(bron[[#This Row],[personeelsnr]]," ",bron[[#This Row],[achternaam]]," ",bron[[#This Row],[voornaam]])</f>
        <v>16895 Van Lauwe Freddy</v>
      </c>
      <c r="C854" t="str">
        <f>VLOOKUP(bron[[#This Row],[personeelsnr]],'data hastus'!$A:$C,2,0)</f>
        <v>Van Lauwe</v>
      </c>
      <c r="D854" t="str">
        <f>VLOOKUP(bron[[#This Row],[personeelsnr]],'data hastus'!$A:$C,3,0)</f>
        <v>Freddy</v>
      </c>
      <c r="E854" s="2" t="str">
        <f>VLOOKUP(bron[[#This Row],[personeelsnr]],'data hastus'!A:K,11,FALSE)</f>
        <v>Bart Van Der Beken</v>
      </c>
      <c r="G854" s="28"/>
      <c r="H854" s="28"/>
      <c r="I854" s="28"/>
      <c r="S854" s="25">
        <f>SUM(bron[[#This Row],[Januari]:[December]])</f>
        <v>0</v>
      </c>
      <c r="T854" s="30">
        <v>45910</v>
      </c>
      <c r="U854" s="22" t="s">
        <v>3488</v>
      </c>
      <c r="V854" s="26"/>
      <c r="W854" s="26">
        <v>1</v>
      </c>
      <c r="X854" t="s">
        <v>3529</v>
      </c>
      <c r="Y854" t="s">
        <v>3489</v>
      </c>
      <c r="Z854" s="2">
        <v>6369</v>
      </c>
      <c r="AA854" s="32" t="s">
        <v>3539</v>
      </c>
      <c r="AB854">
        <f>COUNTIF(B:B,bron[[#This Row],[volledige naam]])</f>
        <v>6</v>
      </c>
    </row>
    <row r="855" spans="1:28" x14ac:dyDescent="0.25">
      <c r="A855">
        <v>9062</v>
      </c>
      <c r="B855" t="str">
        <f>_xlfn.CONCAT(bron[[#This Row],[personeelsnr]]," ",bron[[#This Row],[achternaam]]," ",bron[[#This Row],[voornaam]])</f>
        <v>9062 Westelinck Davy</v>
      </c>
      <c r="C855" t="str">
        <f>VLOOKUP(bron[[#This Row],[personeelsnr]],'data hastus'!$A:$C,2,0)</f>
        <v>Westelinck</v>
      </c>
      <c r="D855" t="str">
        <f>VLOOKUP(bron[[#This Row],[personeelsnr]],'data hastus'!$A:$C,3,0)</f>
        <v>Davy</v>
      </c>
      <c r="E855" s="2" t="str">
        <f>VLOOKUP(bron[[#This Row],[personeelsnr]],'data hastus'!A:K,11,FALSE)</f>
        <v>Kenneth De Rick</v>
      </c>
      <c r="G855" s="28"/>
      <c r="H855" s="28"/>
      <c r="I855" s="28"/>
      <c r="S855" s="25">
        <f>SUM(bron[[#This Row],[Januari]:[December]])</f>
        <v>0</v>
      </c>
      <c r="T855" s="30">
        <v>45911</v>
      </c>
      <c r="U855" s="5" t="s">
        <v>3627</v>
      </c>
      <c r="V855" s="26"/>
      <c r="W855" s="26"/>
      <c r="X855" t="s">
        <v>3528</v>
      </c>
      <c r="Y855" t="s">
        <v>604</v>
      </c>
      <c r="Z855" s="2">
        <v>6312</v>
      </c>
      <c r="AA855" s="32" t="s">
        <v>3539</v>
      </c>
      <c r="AB855">
        <f>COUNTIF(B:B,bron[[#This Row],[volledige naam]])</f>
        <v>1</v>
      </c>
    </row>
    <row r="856" spans="1:28" x14ac:dyDescent="0.25">
      <c r="A856">
        <v>31634</v>
      </c>
      <c r="B856" t="str">
        <f>_xlfn.CONCAT(bron[[#This Row],[personeelsnr]]," ",bron[[#This Row],[achternaam]]," ",bron[[#This Row],[voornaam]])</f>
        <v>31634 Kirsan Ömer</v>
      </c>
      <c r="C856" t="str">
        <f>VLOOKUP(bron[[#This Row],[personeelsnr]],'data hastus'!$A:$C,2,0)</f>
        <v>Kirsan</v>
      </c>
      <c r="D856" t="str">
        <f>VLOOKUP(bron[[#This Row],[personeelsnr]],'data hastus'!$A:$C,3,0)</f>
        <v>Ömer</v>
      </c>
      <c r="E856" s="2" t="str">
        <f>VLOOKUP(bron[[#This Row],[personeelsnr]],'data hastus'!A:K,11,FALSE)</f>
        <v>Els Vanhoe</v>
      </c>
      <c r="G856" s="28"/>
      <c r="H856" s="28"/>
      <c r="I856" s="28"/>
      <c r="S856" s="25">
        <f>SUM(bron[[#This Row],[Januari]:[December]])</f>
        <v>0</v>
      </c>
      <c r="T856" s="30">
        <v>45912</v>
      </c>
      <c r="U856" s="5" t="s">
        <v>3542</v>
      </c>
      <c r="V856" s="26">
        <v>1</v>
      </c>
      <c r="W856" s="26"/>
      <c r="X856" t="s">
        <v>3494</v>
      </c>
      <c r="Y856" t="s">
        <v>32</v>
      </c>
      <c r="Z856" s="2">
        <v>5265</v>
      </c>
      <c r="AA856" s="32" t="s">
        <v>3539</v>
      </c>
      <c r="AB856">
        <f>COUNTIF(B:B,bron[[#This Row],[volledige naam]])</f>
        <v>1</v>
      </c>
    </row>
    <row r="857" spans="1:28" x14ac:dyDescent="0.25">
      <c r="A857">
        <v>41101</v>
      </c>
      <c r="B857" t="str">
        <f>_xlfn.CONCAT(bron[[#This Row],[personeelsnr]]," ",bron[[#This Row],[achternaam]]," ",bron[[#This Row],[voornaam]])</f>
        <v>41101 Shah Sekandar</v>
      </c>
      <c r="C857" t="str">
        <f>VLOOKUP(bron[[#This Row],[personeelsnr]],'data hastus'!$A:$C,2,0)</f>
        <v>Shah</v>
      </c>
      <c r="D857" t="str">
        <f>VLOOKUP(bron[[#This Row],[personeelsnr]],'data hastus'!$A:$C,3,0)</f>
        <v>Sekandar</v>
      </c>
      <c r="E857" s="2" t="str">
        <f>VLOOKUP(bron[[#This Row],[personeelsnr]],'data hastus'!A:K,11,FALSE)</f>
        <v>Dominique De Clercq</v>
      </c>
      <c r="G857" s="28"/>
      <c r="H857" s="28"/>
      <c r="I857" s="28"/>
      <c r="S857" s="25">
        <f>SUM(bron[[#This Row],[Januari]:[December]])</f>
        <v>0</v>
      </c>
      <c r="T857" s="30">
        <v>45912</v>
      </c>
      <c r="U857" s="5" t="s">
        <v>3547</v>
      </c>
      <c r="V857" s="26">
        <v>1</v>
      </c>
      <c r="W857" s="26"/>
      <c r="X857" t="s">
        <v>3494</v>
      </c>
      <c r="Y857" t="s">
        <v>81</v>
      </c>
      <c r="Z857" s="2">
        <v>2193</v>
      </c>
      <c r="AA857" s="32" t="s">
        <v>3539</v>
      </c>
      <c r="AB857">
        <f>COUNTIF(B:B,bron[[#This Row],[volledige naam]])</f>
        <v>1</v>
      </c>
    </row>
    <row r="858" spans="1:28" x14ac:dyDescent="0.25">
      <c r="A858">
        <v>11021</v>
      </c>
      <c r="B858" t="str">
        <f>_xlfn.CONCAT(bron[[#This Row],[personeelsnr]]," ",bron[[#This Row],[achternaam]]," ",bron[[#This Row],[voornaam]])</f>
        <v>11021 Seeuws Marnic</v>
      </c>
      <c r="C858" t="str">
        <f>VLOOKUP(bron[[#This Row],[personeelsnr]],'data hastus'!$A:$C,2,0)</f>
        <v>Seeuws</v>
      </c>
      <c r="D858" t="str">
        <f>VLOOKUP(bron[[#This Row],[personeelsnr]],'data hastus'!$A:$C,3,0)</f>
        <v>Marnic</v>
      </c>
      <c r="E858" s="2" t="str">
        <f>VLOOKUP(bron[[#This Row],[personeelsnr]],'data hastus'!A:K,11,FALSE)</f>
        <v>Steven Storm</v>
      </c>
      <c r="G858" s="28"/>
      <c r="H858" s="28"/>
      <c r="I858" s="28"/>
      <c r="O858" s="25">
        <v>1</v>
      </c>
      <c r="S858" s="25">
        <f>SUM(bron[[#This Row],[Januari]:[December]])</f>
        <v>1</v>
      </c>
      <c r="T858" s="30">
        <v>45914</v>
      </c>
      <c r="U858" s="5" t="s">
        <v>3530</v>
      </c>
      <c r="V858" s="26"/>
      <c r="W858" s="26">
        <v>1</v>
      </c>
      <c r="X858" t="s">
        <v>3529</v>
      </c>
      <c r="Y858" t="s">
        <v>3531</v>
      </c>
      <c r="Z858" s="2">
        <v>6374</v>
      </c>
      <c r="AA858" s="32" t="s">
        <v>3540</v>
      </c>
      <c r="AB858">
        <f>COUNTIF(B:B,bron[[#This Row],[volledige naam]])</f>
        <v>1</v>
      </c>
    </row>
    <row r="859" spans="1:28" x14ac:dyDescent="0.25">
      <c r="A859">
        <v>37222</v>
      </c>
      <c r="B859" t="str">
        <f>_xlfn.CONCAT(bron[[#This Row],[personeelsnr]]," ",bron[[#This Row],[achternaam]]," ",bron[[#This Row],[voornaam]])</f>
        <v>37222 Blondeel Dominique</v>
      </c>
      <c r="C859" t="str">
        <f>VLOOKUP(bron[[#This Row],[personeelsnr]],'data hastus'!$A:$C,2,0)</f>
        <v>Blondeel</v>
      </c>
      <c r="D859" t="str">
        <f>VLOOKUP(bron[[#This Row],[personeelsnr]],'data hastus'!$A:$C,3,0)</f>
        <v>Dominique</v>
      </c>
      <c r="E859" s="2" t="str">
        <f>VLOOKUP(bron[[#This Row],[personeelsnr]],'data hastus'!A:K,11,FALSE)</f>
        <v>Lucie Vande Velde</v>
      </c>
      <c r="G859" s="28"/>
      <c r="H859" s="28"/>
      <c r="I859" s="28"/>
      <c r="O859" s="25">
        <v>1</v>
      </c>
      <c r="S859" s="25">
        <f>SUM(bron[[#This Row],[Januari]:[December]])</f>
        <v>1</v>
      </c>
      <c r="T859" s="30">
        <v>45915</v>
      </c>
      <c r="U859" s="5" t="s">
        <v>3532</v>
      </c>
      <c r="V859" s="26">
        <v>1</v>
      </c>
      <c r="W859" s="26"/>
      <c r="X859" t="s">
        <v>3492</v>
      </c>
      <c r="Y859" t="s">
        <v>16</v>
      </c>
      <c r="Z859" s="2">
        <v>5237</v>
      </c>
      <c r="AA859" s="31" t="s">
        <v>3539</v>
      </c>
      <c r="AB859">
        <f>COUNTIF(B:B,bron[[#This Row],[volledige naam]])</f>
        <v>1</v>
      </c>
    </row>
    <row r="860" spans="1:28" x14ac:dyDescent="0.25">
      <c r="A860">
        <v>40645</v>
      </c>
      <c r="B860" t="str">
        <f>_xlfn.CONCAT(bron[[#This Row],[personeelsnr]]," ",bron[[#This Row],[achternaam]]," ",bron[[#This Row],[voornaam]])</f>
        <v>40645 Bytebier Jason</v>
      </c>
      <c r="C860" t="str">
        <f>VLOOKUP(bron[[#This Row],[personeelsnr]],'data hastus'!$A:$C,2,0)</f>
        <v>Bytebier</v>
      </c>
      <c r="D860" t="str">
        <f>VLOOKUP(bron[[#This Row],[personeelsnr]],'data hastus'!$A:$C,3,0)</f>
        <v>Jason</v>
      </c>
      <c r="E860" s="2" t="str">
        <f>VLOOKUP(bron[[#This Row],[personeelsnr]],'data hastus'!A:K,11,FALSE)</f>
        <v>Els Dewulf</v>
      </c>
      <c r="G860" s="28"/>
      <c r="H860" s="28"/>
      <c r="I860" s="28"/>
      <c r="O860" s="25">
        <v>1</v>
      </c>
      <c r="S860" s="25">
        <f>SUM(bron[[#This Row],[Januari]:[December]])</f>
        <v>1</v>
      </c>
      <c r="T860" s="30">
        <v>45915</v>
      </c>
      <c r="U860" s="5" t="s">
        <v>3534</v>
      </c>
      <c r="V860" s="26">
        <v>1</v>
      </c>
      <c r="W860" s="26"/>
      <c r="X860" t="s">
        <v>3493</v>
      </c>
      <c r="Y860" t="s">
        <v>34</v>
      </c>
      <c r="Z860" s="2">
        <v>5763</v>
      </c>
      <c r="AA860" s="31" t="s">
        <v>3539</v>
      </c>
      <c r="AB860">
        <f>COUNTIF(B:B,bron[[#This Row],[volledige naam]])</f>
        <v>2</v>
      </c>
    </row>
    <row r="861" spans="1:28" x14ac:dyDescent="0.25">
      <c r="A861">
        <v>42146</v>
      </c>
      <c r="B861" t="str">
        <f>_xlfn.CONCAT(bron[[#This Row],[personeelsnr]]," ",bron[[#This Row],[achternaam]]," ",bron[[#This Row],[voornaam]])</f>
        <v>42146 Cichonski Kamil</v>
      </c>
      <c r="C861" t="str">
        <f>VLOOKUP(bron[[#This Row],[personeelsnr]],'data hastus'!$A:$C,2,0)</f>
        <v>Cichonski</v>
      </c>
      <c r="D861" t="str">
        <f>VLOOKUP(bron[[#This Row],[personeelsnr]],'data hastus'!$A:$C,3,0)</f>
        <v>Kamil</v>
      </c>
      <c r="E861" s="2" t="str">
        <f>VLOOKUP(bron[[#This Row],[personeelsnr]],'data hastus'!A:K,11,FALSE)</f>
        <v>Steven Storm</v>
      </c>
      <c r="G861" s="28"/>
      <c r="H861" s="28"/>
      <c r="I861" s="28"/>
      <c r="O861" s="25">
        <v>1</v>
      </c>
      <c r="S861" s="25">
        <f>SUM(bron[[#This Row],[Januari]:[December]])</f>
        <v>1</v>
      </c>
      <c r="T861" s="30">
        <v>45915</v>
      </c>
      <c r="U861" s="5" t="s">
        <v>3533</v>
      </c>
      <c r="V861" s="26">
        <v>1</v>
      </c>
      <c r="W861" s="26"/>
      <c r="X861" t="s">
        <v>3493</v>
      </c>
      <c r="Y861" t="s">
        <v>3531</v>
      </c>
      <c r="Z861" s="2">
        <v>5488</v>
      </c>
      <c r="AA861" s="31" t="s">
        <v>3539</v>
      </c>
      <c r="AB861">
        <f>COUNTIF(B:B,bron[[#This Row],[volledige naam]])</f>
        <v>3</v>
      </c>
    </row>
    <row r="862" spans="1:28" x14ac:dyDescent="0.25">
      <c r="A862">
        <v>39529</v>
      </c>
      <c r="B862" t="str">
        <f>_xlfn.CONCAT(bron[[#This Row],[personeelsnr]]," ",bron[[#This Row],[achternaam]]," ",bron[[#This Row],[voornaam]])</f>
        <v>39529 Desmet Patricia</v>
      </c>
      <c r="C862" t="str">
        <f>VLOOKUP(bron[[#This Row],[personeelsnr]],'data hastus'!$A:$C,2,0)</f>
        <v>Desmet</v>
      </c>
      <c r="D862" t="str">
        <f>VLOOKUP(bron[[#This Row],[personeelsnr]],'data hastus'!$A:$C,3,0)</f>
        <v>Patricia</v>
      </c>
      <c r="E862" s="2" t="str">
        <f>VLOOKUP(bron[[#This Row],[personeelsnr]],'data hastus'!A:K,11,FALSE)</f>
        <v>Christoff Rotty</v>
      </c>
      <c r="G862" s="28"/>
      <c r="H862" s="28"/>
      <c r="I862" s="28"/>
      <c r="O862" s="25">
        <v>1</v>
      </c>
      <c r="S862" s="25">
        <f>SUM(bron[[#This Row],[Januari]:[December]])</f>
        <v>1</v>
      </c>
      <c r="T862" s="30">
        <v>45916</v>
      </c>
      <c r="U862" s="5" t="s">
        <v>3536</v>
      </c>
      <c r="V862" s="26"/>
      <c r="W862" s="26">
        <v>1</v>
      </c>
      <c r="X862" t="s">
        <v>3528</v>
      </c>
      <c r="Y862" t="s">
        <v>1293</v>
      </c>
      <c r="Z862" s="2">
        <v>6334</v>
      </c>
      <c r="AA862" s="31" t="s">
        <v>3540</v>
      </c>
      <c r="AB862">
        <f>COUNTIF(B:B,bron[[#This Row],[volledige naam]])</f>
        <v>4</v>
      </c>
    </row>
    <row r="863" spans="1:28" x14ac:dyDescent="0.25">
      <c r="A863">
        <v>42120</v>
      </c>
      <c r="B863" t="str">
        <f>_xlfn.CONCAT(bron[[#This Row],[personeelsnr]]," ",bron[[#This Row],[achternaam]]," ",bron[[#This Row],[voornaam]])</f>
        <v>42120 De Bruycker Dylan</v>
      </c>
      <c r="C863" t="str">
        <f>VLOOKUP(bron[[#This Row],[personeelsnr]],'data hastus'!$A:$C,2,0)</f>
        <v>De Bruycker</v>
      </c>
      <c r="D863" t="str">
        <f>VLOOKUP(bron[[#This Row],[personeelsnr]],'data hastus'!$A:$C,3,0)</f>
        <v>Dylan</v>
      </c>
      <c r="E863" s="2" t="str">
        <f>VLOOKUP(bron[[#This Row],[personeelsnr]],'data hastus'!A:K,11,FALSE)</f>
        <v>Kenneth De Rick</v>
      </c>
      <c r="G863" s="28"/>
      <c r="H863" s="28"/>
      <c r="I863" s="28"/>
      <c r="S863" s="25">
        <f>SUM(bron[[#This Row],[Januari]:[December]])</f>
        <v>0</v>
      </c>
      <c r="T863" s="30">
        <v>45917</v>
      </c>
      <c r="U863" s="5" t="s">
        <v>3543</v>
      </c>
      <c r="V863" s="26"/>
      <c r="W863" s="26"/>
      <c r="X863" t="s">
        <v>3493</v>
      </c>
      <c r="Y863" t="s">
        <v>3544</v>
      </c>
      <c r="Z863" s="2">
        <v>5913</v>
      </c>
      <c r="AA863" s="32" t="s">
        <v>3539</v>
      </c>
      <c r="AB863">
        <f>COUNTIF(B:B,bron[[#This Row],[volledige naam]])</f>
        <v>1</v>
      </c>
    </row>
    <row r="864" spans="1:28" x14ac:dyDescent="0.25">
      <c r="A864">
        <v>41918</v>
      </c>
      <c r="B864" t="str">
        <f>_xlfn.CONCAT(bron[[#This Row],[personeelsnr]]," ",bron[[#This Row],[achternaam]]," ",bron[[#This Row],[voornaam]])</f>
        <v>41918 Babai Saber</v>
      </c>
      <c r="C864" t="str">
        <f>VLOOKUP(bron[[#This Row],[personeelsnr]],'data hastus'!$A:$C,2,0)</f>
        <v>Babai</v>
      </c>
      <c r="D864" t="str">
        <f>VLOOKUP(bron[[#This Row],[personeelsnr]],'data hastus'!$A:$C,3,0)</f>
        <v>Saber</v>
      </c>
      <c r="E864" s="2" t="str">
        <f>VLOOKUP(bron[[#This Row],[personeelsnr]],'data hastus'!A:K,11,FALSE)</f>
        <v>Christoff Rotty</v>
      </c>
      <c r="G864" s="28"/>
      <c r="H864" s="28"/>
      <c r="I864" s="28"/>
      <c r="S864" s="25">
        <f>SUM(bron[[#This Row],[Januari]:[December]])</f>
        <v>0</v>
      </c>
      <c r="T864" s="30">
        <v>45917</v>
      </c>
      <c r="U864" s="5" t="s">
        <v>3605</v>
      </c>
      <c r="V864" s="26"/>
      <c r="W864" s="26"/>
      <c r="X864" t="s">
        <v>3493</v>
      </c>
      <c r="Y864" t="s">
        <v>18</v>
      </c>
      <c r="Z864" s="2">
        <v>5488</v>
      </c>
      <c r="AA864" s="32" t="s">
        <v>3539</v>
      </c>
      <c r="AB864">
        <f>COUNTIF(B:B,bron[[#This Row],[volledige naam]])</f>
        <v>1</v>
      </c>
    </row>
    <row r="865" spans="1:28" x14ac:dyDescent="0.25">
      <c r="A865">
        <v>41948</v>
      </c>
      <c r="B865" t="str">
        <f>_xlfn.CONCAT(bron[[#This Row],[personeelsnr]]," ",bron[[#This Row],[achternaam]]," ",bron[[#This Row],[voornaam]])</f>
        <v>41948 Vervaecke Wim</v>
      </c>
      <c r="C865" t="str">
        <f>VLOOKUP(bron[[#This Row],[personeelsnr]],'data hastus'!$A:$C,2,0)</f>
        <v>Vervaecke</v>
      </c>
      <c r="D865" t="str">
        <f>VLOOKUP(bron[[#This Row],[personeelsnr]],'data hastus'!$A:$C,3,0)</f>
        <v>Wim</v>
      </c>
      <c r="E865" s="2" t="str">
        <f>VLOOKUP(bron[[#This Row],[personeelsnr]],'data hastus'!A:K,11,FALSE)</f>
        <v>Els Dewulf</v>
      </c>
      <c r="G865" s="28"/>
      <c r="H865" s="28"/>
      <c r="I865" s="28"/>
      <c r="S865" s="25">
        <f>SUM(bron[[#This Row],[Januari]:[December]])</f>
        <v>0</v>
      </c>
      <c r="T865" s="30">
        <v>45919</v>
      </c>
      <c r="U865" s="5" t="s">
        <v>3604</v>
      </c>
      <c r="V865" s="26">
        <v>1</v>
      </c>
      <c r="W865" s="26"/>
      <c r="X865" t="s">
        <v>3493</v>
      </c>
      <c r="Y865" t="s">
        <v>514</v>
      </c>
      <c r="Z865" s="2">
        <v>5488</v>
      </c>
      <c r="AA865" s="32" t="s">
        <v>3540</v>
      </c>
      <c r="AB865">
        <f>COUNTIF(B:B,bron[[#This Row],[volledige naam]])</f>
        <v>2</v>
      </c>
    </row>
    <row r="866" spans="1:28" x14ac:dyDescent="0.25">
      <c r="A866">
        <v>40856</v>
      </c>
      <c r="B866" t="str">
        <f>_xlfn.CONCAT(bron[[#This Row],[personeelsnr]]," ",bron[[#This Row],[achternaam]]," ",bron[[#This Row],[voornaam]])</f>
        <v>40856 Neissi Sadegh</v>
      </c>
      <c r="C866" t="str">
        <f>VLOOKUP(bron[[#This Row],[personeelsnr]],'data hastus'!$A:$C,2,0)</f>
        <v>Neissi</v>
      </c>
      <c r="D866" t="str">
        <f>VLOOKUP(bron[[#This Row],[personeelsnr]],'data hastus'!$A:$C,3,0)</f>
        <v>Sadegh</v>
      </c>
      <c r="E866" s="2" t="str">
        <f>VLOOKUP(bron[[#This Row],[personeelsnr]],'data hastus'!A:K,11,FALSE)</f>
        <v>Kenneth De Rick</v>
      </c>
      <c r="G866" s="28"/>
      <c r="H866" s="28"/>
      <c r="I866" s="28"/>
      <c r="S866" s="25">
        <f>SUM(bron[[#This Row],[Januari]:[December]])</f>
        <v>0</v>
      </c>
      <c r="T866" s="30">
        <v>45919</v>
      </c>
      <c r="U866" s="5" t="s">
        <v>3609</v>
      </c>
      <c r="V866" s="26"/>
      <c r="W866" s="26"/>
      <c r="X866" t="s">
        <v>3493</v>
      </c>
      <c r="Y866" t="s">
        <v>67</v>
      </c>
      <c r="Z866" s="2">
        <v>5923</v>
      </c>
      <c r="AA866" s="32" t="s">
        <v>3539</v>
      </c>
      <c r="AB866">
        <f>COUNTIF(B:B,bron[[#This Row],[volledige naam]])</f>
        <v>5</v>
      </c>
    </row>
    <row r="867" spans="1:28" x14ac:dyDescent="0.25">
      <c r="A867">
        <v>42252</v>
      </c>
      <c r="B867" t="str">
        <f>_xlfn.CONCAT(bron[[#This Row],[personeelsnr]]," ",bron[[#This Row],[achternaam]]," ",bron[[#This Row],[voornaam]])</f>
        <v>42252 Sular Abdullah</v>
      </c>
      <c r="C867" t="str">
        <f>VLOOKUP(bron[[#This Row],[personeelsnr]],'data hastus'!$A:$C,2,0)</f>
        <v>Sular</v>
      </c>
      <c r="D867" t="str">
        <f>VLOOKUP(bron[[#This Row],[personeelsnr]],'data hastus'!$A:$C,3,0)</f>
        <v>Abdullah</v>
      </c>
      <c r="E867" s="2" t="str">
        <f>VLOOKUP(bron[[#This Row],[personeelsnr]],'data hastus'!A:K,11,FALSE)</f>
        <v>Christoff Rotty</v>
      </c>
      <c r="G867" s="28"/>
      <c r="H867" s="28"/>
      <c r="I867" s="28"/>
      <c r="S867" s="25">
        <f>SUM(bron[[#This Row],[Januari]:[December]])</f>
        <v>0</v>
      </c>
      <c r="T867" s="30">
        <v>45922</v>
      </c>
      <c r="U867" s="5" t="s">
        <v>3606</v>
      </c>
      <c r="V867" s="26"/>
      <c r="W867" s="26"/>
      <c r="X867" t="s">
        <v>3493</v>
      </c>
      <c r="Y867" t="s">
        <v>3607</v>
      </c>
      <c r="Z867" s="2">
        <v>2047</v>
      </c>
      <c r="AA867" s="32" t="s">
        <v>3539</v>
      </c>
      <c r="AB867">
        <f>COUNTIF(B:B,bron[[#This Row],[volledige naam]])</f>
        <v>5</v>
      </c>
    </row>
    <row r="868" spans="1:28" x14ac:dyDescent="0.25">
      <c r="A868">
        <v>31360</v>
      </c>
      <c r="B868" t="str">
        <f>_xlfn.CONCAT(bron[[#This Row],[personeelsnr]]," ",bron[[#This Row],[achternaam]]," ",bron[[#This Row],[voornaam]])</f>
        <v>31360 Simsek Fatih</v>
      </c>
      <c r="C868" t="str">
        <f>VLOOKUP(bron[[#This Row],[personeelsnr]],'data hastus'!$A:$C,2,0)</f>
        <v>Simsek</v>
      </c>
      <c r="D868" t="str">
        <f>VLOOKUP(bron[[#This Row],[personeelsnr]],'data hastus'!$A:$C,3,0)</f>
        <v>Fatih</v>
      </c>
      <c r="E868" s="2" t="str">
        <f>VLOOKUP(bron[[#This Row],[personeelsnr]],'data hastus'!A:K,11,FALSE)</f>
        <v>Dominique De Clercq</v>
      </c>
      <c r="G868" s="28"/>
      <c r="H868" s="28"/>
      <c r="I868" s="28"/>
      <c r="S868" s="25">
        <f>SUM(bron[[#This Row],[Januari]:[December]])</f>
        <v>0</v>
      </c>
      <c r="T868" s="30">
        <v>45922</v>
      </c>
      <c r="U868" s="5" t="s">
        <v>3608</v>
      </c>
      <c r="V868" s="26"/>
      <c r="W868" s="26"/>
      <c r="X868" t="s">
        <v>3529</v>
      </c>
      <c r="Y868" t="s">
        <v>2</v>
      </c>
      <c r="Z868" s="2">
        <v>6375</v>
      </c>
      <c r="AA868" s="32" t="s">
        <v>3539</v>
      </c>
      <c r="AB868">
        <f>COUNTIF(B:B,bron[[#This Row],[volledige naam]])</f>
        <v>3</v>
      </c>
    </row>
    <row r="869" spans="1:28" x14ac:dyDescent="0.25">
      <c r="A869">
        <v>39850</v>
      </c>
      <c r="B869" t="str">
        <f>_xlfn.CONCAT(bron[[#This Row],[personeelsnr]]," ",bron[[#This Row],[achternaam]]," ",bron[[#This Row],[voornaam]])</f>
        <v>39850 Helleputte William</v>
      </c>
      <c r="C869" t="str">
        <f>VLOOKUP(bron[[#This Row],[personeelsnr]],'data hastus'!$A:$C,2,0)</f>
        <v>Helleputte</v>
      </c>
      <c r="D869" t="str">
        <f>VLOOKUP(bron[[#This Row],[personeelsnr]],'data hastus'!$A:$C,3,0)</f>
        <v>William</v>
      </c>
      <c r="E869" s="2" t="str">
        <f>VLOOKUP(bron[[#This Row],[personeelsnr]],'data hastus'!A:K,11,FALSE)</f>
        <v>Dominique De Clercq</v>
      </c>
      <c r="G869" s="28"/>
      <c r="H869" s="28"/>
      <c r="I869" s="28"/>
      <c r="S869" s="25">
        <f>SUM(bron[[#This Row],[Januari]:[December]])</f>
        <v>0</v>
      </c>
      <c r="T869" s="30">
        <v>45922</v>
      </c>
      <c r="U869" s="5" t="s">
        <v>3610</v>
      </c>
      <c r="V869" s="26"/>
      <c r="W869" s="26"/>
      <c r="X869" t="s">
        <v>3494</v>
      </c>
      <c r="Y869" t="s">
        <v>3611</v>
      </c>
      <c r="Z869" s="2">
        <v>5225</v>
      </c>
      <c r="AA869" s="32" t="s">
        <v>3612</v>
      </c>
      <c r="AB869">
        <f>COUNTIF(B:B,bron[[#This Row],[volledige naam]])</f>
        <v>2</v>
      </c>
    </row>
    <row r="870" spans="1:28" x14ac:dyDescent="0.25">
      <c r="A870">
        <v>42252</v>
      </c>
      <c r="B870" t="str">
        <f>_xlfn.CONCAT(bron[[#This Row],[personeelsnr]]," ",bron[[#This Row],[achternaam]]," ",bron[[#This Row],[voornaam]])</f>
        <v>42252 Sular Abdullah</v>
      </c>
      <c r="C870" t="str">
        <f>VLOOKUP(bron[[#This Row],[personeelsnr]],'data hastus'!$A:$C,2,0)</f>
        <v>Sular</v>
      </c>
      <c r="D870" t="str">
        <f>VLOOKUP(bron[[#This Row],[personeelsnr]],'data hastus'!$A:$C,3,0)</f>
        <v>Abdullah</v>
      </c>
      <c r="E870" s="2" t="str">
        <f>VLOOKUP(bron[[#This Row],[personeelsnr]],'data hastus'!A:K,11,FALSE)</f>
        <v>Christoff Rotty</v>
      </c>
      <c r="G870" s="28"/>
      <c r="H870" s="28"/>
      <c r="I870" s="28"/>
      <c r="S870" s="25">
        <f>SUM(bron[[#This Row],[Januari]:[December]])</f>
        <v>0</v>
      </c>
      <c r="T870" s="30">
        <v>45923</v>
      </c>
      <c r="U870" s="5" t="s">
        <v>3613</v>
      </c>
      <c r="V870" s="26"/>
      <c r="W870" s="26"/>
      <c r="X870" t="s">
        <v>3493</v>
      </c>
      <c r="Y870" t="s">
        <v>26</v>
      </c>
      <c r="Z870" s="2">
        <v>2047</v>
      </c>
      <c r="AA870" s="32" t="s">
        <v>3539</v>
      </c>
      <c r="AB870">
        <f>COUNTIF(B:B,bron[[#This Row],[volledige naam]])</f>
        <v>5</v>
      </c>
    </row>
    <row r="871" spans="1:28" x14ac:dyDescent="0.25">
      <c r="A871">
        <v>21509</v>
      </c>
      <c r="B871" t="str">
        <f>_xlfn.CONCAT(bron[[#This Row],[personeelsnr]]," ",bron[[#This Row],[achternaam]]," ",bron[[#This Row],[voornaam]])</f>
        <v>21509 De Craemer Kris</v>
      </c>
      <c r="C871" t="str">
        <f>VLOOKUP(bron[[#This Row],[personeelsnr]],'data hastus'!$A:$C,2,0)</f>
        <v>De Craemer</v>
      </c>
      <c r="D871" t="str">
        <f>VLOOKUP(bron[[#This Row],[personeelsnr]],'data hastus'!$A:$C,3,0)</f>
        <v>Kris</v>
      </c>
      <c r="E871" s="2" t="str">
        <f>VLOOKUP(bron[[#This Row],[personeelsnr]],'data hastus'!A:K,11,FALSE)</f>
        <v>Dominique De Clercq</v>
      </c>
      <c r="G871" s="28"/>
      <c r="H871" s="28"/>
      <c r="I871" s="28"/>
      <c r="S871" s="25">
        <f>SUM(bron[[#This Row],[Januari]:[December]])</f>
        <v>0</v>
      </c>
      <c r="T871" s="30">
        <v>45923</v>
      </c>
      <c r="U871" s="5" t="s">
        <v>3615</v>
      </c>
      <c r="V871" s="26"/>
      <c r="W871" s="26"/>
      <c r="X871" t="s">
        <v>3528</v>
      </c>
      <c r="Y871" t="s">
        <v>58</v>
      </c>
      <c r="Z871" s="2">
        <v>6328</v>
      </c>
      <c r="AA871" s="32" t="s">
        <v>3540</v>
      </c>
      <c r="AB871">
        <f>COUNTIF(B:B,bron[[#This Row],[volledige naam]])</f>
        <v>6</v>
      </c>
    </row>
    <row r="872" spans="1:28" x14ac:dyDescent="0.25">
      <c r="A872">
        <v>42307</v>
      </c>
      <c r="B872" t="str">
        <f>_xlfn.CONCAT(bron[[#This Row],[personeelsnr]]," ",bron[[#This Row],[achternaam]]," ",bron[[#This Row],[voornaam]])</f>
        <v>42307 Helleputte Jens</v>
      </c>
      <c r="C872" t="str">
        <f>VLOOKUP(bron[[#This Row],[personeelsnr]],'data hastus'!$A:$C,2,0)</f>
        <v>Helleputte</v>
      </c>
      <c r="D872" t="str">
        <f>VLOOKUP(bron[[#This Row],[personeelsnr]],'data hastus'!$A:$C,3,0)</f>
        <v>Jens</v>
      </c>
      <c r="E872" s="2" t="str">
        <f>VLOOKUP(bron[[#This Row],[personeelsnr]],'data hastus'!A:K,11,FALSE)</f>
        <v>Christoff Rotty</v>
      </c>
      <c r="G872" s="28"/>
      <c r="H872" s="28"/>
      <c r="I872" s="28"/>
      <c r="S872" s="25">
        <f>SUM(bron[[#This Row],[Januari]:[December]])</f>
        <v>0</v>
      </c>
      <c r="T872" s="30">
        <v>45924</v>
      </c>
      <c r="U872" s="5" t="s">
        <v>3614</v>
      </c>
      <c r="V872" s="26"/>
      <c r="W872" s="26"/>
      <c r="X872" t="s">
        <v>3493</v>
      </c>
      <c r="Y872" t="s">
        <v>3607</v>
      </c>
      <c r="Z872" s="2">
        <v>2085</v>
      </c>
      <c r="AA872" s="32" t="s">
        <v>3539</v>
      </c>
      <c r="AB872">
        <f>COUNTIF(B:B,bron[[#This Row],[volledige naam]])</f>
        <v>3</v>
      </c>
    </row>
    <row r="873" spans="1:28" x14ac:dyDescent="0.25">
      <c r="A873">
        <v>41888</v>
      </c>
      <c r="B873" t="str">
        <f>_xlfn.CONCAT(bron[[#This Row],[personeelsnr]]," ",bron[[#This Row],[achternaam]]," ",bron[[#This Row],[voornaam]])</f>
        <v>41888 De Rammelaere Bjorn</v>
      </c>
      <c r="C873" t="str">
        <f>VLOOKUP(bron[[#This Row],[personeelsnr]],'data hastus'!$A:$C,2,0)</f>
        <v>De Rammelaere</v>
      </c>
      <c r="D873" t="str">
        <f>VLOOKUP(bron[[#This Row],[personeelsnr]],'data hastus'!$A:$C,3,0)</f>
        <v>Bjorn</v>
      </c>
      <c r="E873" s="2" t="str">
        <f>VLOOKUP(bron[[#This Row],[personeelsnr]],'data hastus'!A:K,11,FALSE)</f>
        <v>Kenneth De Rick</v>
      </c>
      <c r="G873" s="28"/>
      <c r="H873" s="28"/>
      <c r="I873" s="28"/>
      <c r="S873" s="25">
        <f>SUM(bron[[#This Row],[Januari]:[December]])</f>
        <v>0</v>
      </c>
      <c r="T873" s="30">
        <v>45924</v>
      </c>
      <c r="U873" s="5" t="s">
        <v>3616</v>
      </c>
      <c r="V873" s="26"/>
      <c r="W873" s="26"/>
      <c r="X873" t="s">
        <v>3493</v>
      </c>
      <c r="Y873" t="s">
        <v>3617</v>
      </c>
      <c r="Z873" s="2">
        <v>5922</v>
      </c>
      <c r="AA873" s="32" t="s">
        <v>3540</v>
      </c>
      <c r="AB873">
        <f>COUNTIF(B:B,bron[[#This Row],[volledige naam]])</f>
        <v>1</v>
      </c>
    </row>
    <row r="874" spans="1:28" x14ac:dyDescent="0.25">
      <c r="A874">
        <v>19917</v>
      </c>
      <c r="B874" t="str">
        <f>_xlfn.CONCAT(bron[[#This Row],[personeelsnr]]," ",bron[[#This Row],[achternaam]]," ",bron[[#This Row],[voornaam]])</f>
        <v>19917 Vandevyvere Frank</v>
      </c>
      <c r="C874" t="str">
        <f>VLOOKUP(bron[[#This Row],[personeelsnr]],'data hastus'!$A:$C,2,0)</f>
        <v>Vandevyvere</v>
      </c>
      <c r="D874" t="str">
        <f>VLOOKUP(bron[[#This Row],[personeelsnr]],'data hastus'!$A:$C,3,0)</f>
        <v>Frank</v>
      </c>
      <c r="E874" s="2" t="str">
        <f>VLOOKUP(bron[[#This Row],[personeelsnr]],'data hastus'!A:K,11,FALSE)</f>
        <v>Bart Van Der Beken</v>
      </c>
      <c r="G874" s="28"/>
      <c r="H874" s="28"/>
      <c r="I874" s="28"/>
      <c r="S874" s="25">
        <f>SUM(bron[[#This Row],[Januari]:[December]])</f>
        <v>0</v>
      </c>
      <c r="T874" s="30">
        <v>45924</v>
      </c>
      <c r="U874" s="5" t="s">
        <v>3620</v>
      </c>
      <c r="V874" s="26"/>
      <c r="W874" s="26"/>
      <c r="X874" t="s">
        <v>3494</v>
      </c>
      <c r="Y874" t="s">
        <v>94</v>
      </c>
      <c r="Z874" s="2">
        <v>2190</v>
      </c>
      <c r="AA874" s="32" t="s">
        <v>3539</v>
      </c>
      <c r="AB874">
        <f>COUNTIF(B:B,bron[[#This Row],[volledige naam]])</f>
        <v>10</v>
      </c>
    </row>
    <row r="875" spans="1:28" x14ac:dyDescent="0.25">
      <c r="A875">
        <v>39728</v>
      </c>
      <c r="B875" t="str">
        <f>_xlfn.CONCAT(bron[[#This Row],[personeelsnr]]," ",bron[[#This Row],[achternaam]]," ",bron[[#This Row],[voornaam]])</f>
        <v>39728 Nohut Baki</v>
      </c>
      <c r="C875" t="str">
        <f>VLOOKUP(bron[[#This Row],[personeelsnr]],'data hastus'!$A:$C,2,0)</f>
        <v>Nohut</v>
      </c>
      <c r="D875" t="str">
        <f>VLOOKUP(bron[[#This Row],[personeelsnr]],'data hastus'!$A:$C,3,0)</f>
        <v>Baki</v>
      </c>
      <c r="E875" s="2" t="str">
        <f>VLOOKUP(bron[[#This Row],[personeelsnr]],'data hastus'!A:K,11,FALSE)</f>
        <v>Lucie Vande Velde</v>
      </c>
      <c r="G875" s="28"/>
      <c r="H875" s="28"/>
      <c r="I875" s="28"/>
      <c r="S875" s="25">
        <f>SUM(bron[[#This Row],[Januari]:[December]])</f>
        <v>0</v>
      </c>
      <c r="T875" s="30">
        <v>45924</v>
      </c>
      <c r="U875" s="5" t="s">
        <v>3623</v>
      </c>
      <c r="V875" s="26"/>
      <c r="W875" s="26"/>
      <c r="X875" t="s">
        <v>3493</v>
      </c>
      <c r="Y875" t="s">
        <v>589</v>
      </c>
      <c r="Z875" s="2">
        <v>5768</v>
      </c>
      <c r="AA875" s="32" t="s">
        <v>3539</v>
      </c>
      <c r="AB875">
        <f>COUNTIF(B:B,bron[[#This Row],[volledige naam]])</f>
        <v>2</v>
      </c>
    </row>
    <row r="876" spans="1:28" x14ac:dyDescent="0.25">
      <c r="A876">
        <v>19917</v>
      </c>
      <c r="B876" t="str">
        <f>_xlfn.CONCAT(bron[[#This Row],[personeelsnr]]," ",bron[[#This Row],[achternaam]]," ",bron[[#This Row],[voornaam]])</f>
        <v>19917 Vandevyvere Frank</v>
      </c>
      <c r="C876" t="str">
        <f>VLOOKUP(bron[[#This Row],[personeelsnr]],'data hastus'!$A:$C,2,0)</f>
        <v>Vandevyvere</v>
      </c>
      <c r="D876" t="str">
        <f>VLOOKUP(bron[[#This Row],[personeelsnr]],'data hastus'!$A:$C,3,0)</f>
        <v>Frank</v>
      </c>
      <c r="E876" s="2" t="str">
        <f>VLOOKUP(bron[[#This Row],[personeelsnr]],'data hastus'!A:K,11,FALSE)</f>
        <v>Bart Van Der Beken</v>
      </c>
      <c r="G876" s="28"/>
      <c r="H876" s="28"/>
      <c r="I876" s="28"/>
      <c r="S876" s="25">
        <f>SUM(bron[[#This Row],[Januari]:[December]])</f>
        <v>0</v>
      </c>
      <c r="T876" s="30">
        <v>45925</v>
      </c>
      <c r="U876" s="5" t="s">
        <v>3618</v>
      </c>
      <c r="V876" s="26"/>
      <c r="W876" s="26"/>
      <c r="X876" t="s">
        <v>3493</v>
      </c>
      <c r="Y876" t="s">
        <v>1304</v>
      </c>
      <c r="Z876" s="2">
        <v>5938</v>
      </c>
      <c r="AA876" s="32" t="s">
        <v>3540</v>
      </c>
      <c r="AB876">
        <f>COUNTIF(B:B,bron[[#This Row],[volledige naam]])</f>
        <v>10</v>
      </c>
    </row>
    <row r="877" spans="1:28" x14ac:dyDescent="0.25">
      <c r="A877">
        <v>40110</v>
      </c>
      <c r="B877" t="str">
        <f>_xlfn.CONCAT(bron[[#This Row],[personeelsnr]]," ",bron[[#This Row],[achternaam]]," ",bron[[#This Row],[voornaam]])</f>
        <v>40110 Vanlerberghe Sandra</v>
      </c>
      <c r="C877" t="str">
        <f>VLOOKUP(bron[[#This Row],[personeelsnr]],'data hastus'!$A:$C,2,0)</f>
        <v>Vanlerberghe</v>
      </c>
      <c r="D877" t="str">
        <f>VLOOKUP(bron[[#This Row],[personeelsnr]],'data hastus'!$A:$C,3,0)</f>
        <v>Sandra</v>
      </c>
      <c r="E877" s="2" t="str">
        <f>VLOOKUP(bron[[#This Row],[personeelsnr]],'data hastus'!A:K,11,FALSE)</f>
        <v>Christoff Rotty</v>
      </c>
      <c r="G877" s="28"/>
      <c r="H877" s="28"/>
      <c r="I877" s="28"/>
      <c r="S877" s="25">
        <f>SUM(bron[[#This Row],[Januari]:[December]])</f>
        <v>0</v>
      </c>
      <c r="T877" s="30">
        <v>45925</v>
      </c>
      <c r="U877" s="5" t="s">
        <v>3625</v>
      </c>
      <c r="V877" s="26"/>
      <c r="W877" s="26"/>
      <c r="X877" t="s">
        <v>3494</v>
      </c>
      <c r="Y877" t="s">
        <v>81</v>
      </c>
      <c r="Z877" s="2">
        <v>2201</v>
      </c>
      <c r="AA877" s="32" t="s">
        <v>3540</v>
      </c>
      <c r="AB877">
        <f>COUNTIF(B:B,bron[[#This Row],[volledige naam]])</f>
        <v>7</v>
      </c>
    </row>
    <row r="878" spans="1:28" x14ac:dyDescent="0.25">
      <c r="A878">
        <v>41874</v>
      </c>
      <c r="B878" t="str">
        <f>_xlfn.CONCAT(bron[[#This Row],[personeelsnr]]," ",bron[[#This Row],[achternaam]]," ",bron[[#This Row],[voornaam]])</f>
        <v>41874 Dobbeleire Bruno</v>
      </c>
      <c r="C878" t="str">
        <f>VLOOKUP(bron[[#This Row],[personeelsnr]],'data hastus'!$A:$C,2,0)</f>
        <v>Dobbeleire</v>
      </c>
      <c r="D878" t="str">
        <f>VLOOKUP(bron[[#This Row],[personeelsnr]],'data hastus'!$A:$C,3,0)</f>
        <v>Bruno</v>
      </c>
      <c r="E878" s="2" t="str">
        <f>VLOOKUP(bron[[#This Row],[personeelsnr]],'data hastus'!A:K,11,FALSE)</f>
        <v>Dominique De Clercq</v>
      </c>
      <c r="G878" s="28"/>
      <c r="H878" s="28"/>
      <c r="I878" s="28"/>
      <c r="S878" s="25">
        <f>SUM(bron[[#This Row],[Januari]:[December]])</f>
        <v>0</v>
      </c>
      <c r="T878" s="30">
        <v>45926</v>
      </c>
      <c r="U878" s="5" t="s">
        <v>3619</v>
      </c>
      <c r="V878" s="26"/>
      <c r="W878" s="26"/>
      <c r="X878" t="s">
        <v>3493</v>
      </c>
      <c r="Y878" t="s">
        <v>10</v>
      </c>
      <c r="Z878" s="2">
        <v>5773</v>
      </c>
      <c r="AA878" s="32" t="s">
        <v>3539</v>
      </c>
      <c r="AB878">
        <f>COUNTIF(B:B,bron[[#This Row],[volledige naam]])</f>
        <v>3</v>
      </c>
    </row>
    <row r="879" spans="1:28" x14ac:dyDescent="0.25">
      <c r="A879">
        <v>42105</v>
      </c>
      <c r="B879" t="str">
        <f>_xlfn.CONCAT(bron[[#This Row],[personeelsnr]]," ",bron[[#This Row],[achternaam]]," ",bron[[#This Row],[voornaam]])</f>
        <v>42105 Van den Bossche Jarne</v>
      </c>
      <c r="C879" t="str">
        <f>VLOOKUP(bron[[#This Row],[personeelsnr]],'data hastus'!$A:$C,2,0)</f>
        <v>Van den Bossche</v>
      </c>
      <c r="D879" t="str">
        <f>VLOOKUP(bron[[#This Row],[personeelsnr]],'data hastus'!$A:$C,3,0)</f>
        <v>Jarne</v>
      </c>
      <c r="E879" s="2" t="str">
        <f>VLOOKUP(bron[[#This Row],[personeelsnr]],'data hastus'!A:K,11,FALSE)</f>
        <v>Els Dewulf</v>
      </c>
      <c r="G879" s="28"/>
      <c r="H879" s="28"/>
      <c r="I879" s="28"/>
      <c r="S879" s="25">
        <f>SUM(bron[[#This Row],[Januari]:[December]])</f>
        <v>0</v>
      </c>
      <c r="T879" s="30">
        <v>45926</v>
      </c>
      <c r="U879" s="5" t="s">
        <v>3621</v>
      </c>
      <c r="V879" s="26"/>
      <c r="W879" s="26"/>
      <c r="X879" t="s">
        <v>3493</v>
      </c>
      <c r="Y879" t="s">
        <v>20</v>
      </c>
      <c r="Z879" s="2">
        <v>5910</v>
      </c>
      <c r="AA879" s="32" t="s">
        <v>3539</v>
      </c>
      <c r="AB879">
        <f>COUNTIF(B:B,bron[[#This Row],[volledige naam]])</f>
        <v>2</v>
      </c>
    </row>
    <row r="880" spans="1:28" x14ac:dyDescent="0.25">
      <c r="A880">
        <v>42146</v>
      </c>
      <c r="B880" t="str">
        <f>_xlfn.CONCAT(bron[[#This Row],[personeelsnr]]," ",bron[[#This Row],[achternaam]]," ",bron[[#This Row],[voornaam]])</f>
        <v>42146 Cichonski Kamil</v>
      </c>
      <c r="C880" t="str">
        <f>VLOOKUP(bron[[#This Row],[personeelsnr]],'data hastus'!$A:$C,2,0)</f>
        <v>Cichonski</v>
      </c>
      <c r="D880" t="str">
        <f>VLOOKUP(bron[[#This Row],[personeelsnr]],'data hastus'!$A:$C,3,0)</f>
        <v>Kamil</v>
      </c>
      <c r="E880" s="2" t="str">
        <f>VLOOKUP(bron[[#This Row],[personeelsnr]],'data hastus'!A:K,11,FALSE)</f>
        <v>Steven Storm</v>
      </c>
      <c r="G880" s="28"/>
      <c r="H880" s="28"/>
      <c r="I880" s="28"/>
      <c r="S880" s="25">
        <f>SUM(bron[[#This Row],[Januari]:[December]])</f>
        <v>0</v>
      </c>
      <c r="T880" s="30">
        <v>45926</v>
      </c>
      <c r="U880" s="5" t="s">
        <v>3622</v>
      </c>
      <c r="V880" s="26"/>
      <c r="W880" s="26"/>
      <c r="X880" t="s">
        <v>3493</v>
      </c>
      <c r="Y880" t="s">
        <v>1270</v>
      </c>
      <c r="Z880" s="2">
        <v>5917</v>
      </c>
      <c r="AA880" s="32" t="s">
        <v>3539</v>
      </c>
      <c r="AB880">
        <f>COUNTIF(B:B,bron[[#This Row],[volledige naam]])</f>
        <v>3</v>
      </c>
    </row>
    <row r="881" spans="1:28" x14ac:dyDescent="0.25">
      <c r="A881">
        <v>42002</v>
      </c>
      <c r="B881" t="str">
        <f>_xlfn.CONCAT(bron[[#This Row],[personeelsnr]]," ",bron[[#This Row],[achternaam]]," ",bron[[#This Row],[voornaam]])</f>
        <v>42002 Bogaert Kevin</v>
      </c>
      <c r="C881" t="str">
        <f>VLOOKUP(bron[[#This Row],[personeelsnr]],'data hastus'!$A:$C,2,0)</f>
        <v>Bogaert</v>
      </c>
      <c r="D881" t="str">
        <f>VLOOKUP(bron[[#This Row],[personeelsnr]],'data hastus'!$A:$C,3,0)</f>
        <v>Kevin</v>
      </c>
      <c r="E881" s="2" t="str">
        <f>VLOOKUP(bron[[#This Row],[personeelsnr]],'data hastus'!A:K,11,FALSE)</f>
        <v>Els Vanhoe</v>
      </c>
      <c r="G881" s="28"/>
      <c r="H881" s="28"/>
      <c r="I881" s="28"/>
      <c r="S881" s="25">
        <f>SUM(bron[[#This Row],[Januari]:[December]])</f>
        <v>0</v>
      </c>
      <c r="T881" s="30">
        <v>45926</v>
      </c>
      <c r="U881" s="5" t="s">
        <v>3624</v>
      </c>
      <c r="V881" s="26"/>
      <c r="W881" s="26"/>
      <c r="X881" t="s">
        <v>3493</v>
      </c>
      <c r="Y881" t="s">
        <v>3483</v>
      </c>
      <c r="Z881" s="2">
        <v>5913</v>
      </c>
      <c r="AA881" s="32" t="s">
        <v>3539</v>
      </c>
      <c r="AB881">
        <f>COUNTIF(B:B,bron[[#This Row],[volledige naam]])</f>
        <v>2</v>
      </c>
    </row>
    <row r="882" spans="1:28" x14ac:dyDescent="0.25">
      <c r="A882">
        <v>39014</v>
      </c>
      <c r="B882" t="str">
        <f>_xlfn.CONCAT(bron[[#This Row],[personeelsnr]]," ",bron[[#This Row],[achternaam]]," ",bron[[#This Row],[voornaam]])</f>
        <v>39014 Genbrugge Kyllian</v>
      </c>
      <c r="C882" t="str">
        <f>VLOOKUP(bron[[#This Row],[personeelsnr]],'data hastus'!$A:$C,2,0)</f>
        <v>Genbrugge</v>
      </c>
      <c r="D882" t="str">
        <f>VLOOKUP(bron[[#This Row],[personeelsnr]],'data hastus'!$A:$C,3,0)</f>
        <v>Kyllian</v>
      </c>
      <c r="E882" s="2" t="str">
        <f>VLOOKUP(bron[[#This Row],[personeelsnr]],'data hastus'!A:K,11,FALSE)</f>
        <v>Bart Van Der Beken</v>
      </c>
      <c r="G882" s="28"/>
      <c r="H882" s="28"/>
      <c r="I882" s="28"/>
      <c r="S882" s="25">
        <f>SUM(bron[[#This Row],[Januari]:[December]])</f>
        <v>0</v>
      </c>
      <c r="T882" s="30">
        <v>45926</v>
      </c>
      <c r="U882" s="5" t="s">
        <v>3628</v>
      </c>
      <c r="V882" s="26"/>
      <c r="W882" s="26"/>
      <c r="X882" t="s">
        <v>3494</v>
      </c>
      <c r="Y882" t="s">
        <v>3629</v>
      </c>
      <c r="Z882" s="2">
        <v>2191</v>
      </c>
      <c r="AA882" s="32" t="s">
        <v>3539</v>
      </c>
      <c r="AB882">
        <f>COUNTIF(B:B,bron[[#This Row],[volledige naam]])</f>
        <v>3</v>
      </c>
    </row>
    <row r="883" spans="1:28" x14ac:dyDescent="0.25">
      <c r="A883">
        <v>36289</v>
      </c>
      <c r="B883" t="str">
        <f>_xlfn.CONCAT(bron[[#This Row],[personeelsnr]]," ",bron[[#This Row],[achternaam]]," ",bron[[#This Row],[voornaam]])</f>
        <v>36289 Van Rentergem Steve</v>
      </c>
      <c r="C883" t="str">
        <f>VLOOKUP(bron[[#This Row],[personeelsnr]],'data hastus'!$A:$C,2,0)</f>
        <v>Van Rentergem</v>
      </c>
      <c r="D883" t="str">
        <f>VLOOKUP(bron[[#This Row],[personeelsnr]],'data hastus'!$A:$C,3,0)</f>
        <v>Steve</v>
      </c>
      <c r="E883" s="2" t="str">
        <f>VLOOKUP(bron[[#This Row],[personeelsnr]],'data hastus'!A:K,11,FALSE)</f>
        <v>Els Vanhoe</v>
      </c>
      <c r="G883" s="28"/>
      <c r="H883" s="28"/>
      <c r="I883" s="28"/>
      <c r="S883" s="25">
        <f>SUM(bron[[#This Row],[Januari]:[December]])</f>
        <v>0</v>
      </c>
      <c r="T883" s="30">
        <v>45930</v>
      </c>
      <c r="U883" s="5" t="s">
        <v>3626</v>
      </c>
      <c r="V883" s="26"/>
      <c r="W883" s="26"/>
      <c r="X883" t="s">
        <v>3493</v>
      </c>
      <c r="Y883" t="s">
        <v>223</v>
      </c>
      <c r="Z883" s="2">
        <v>550822</v>
      </c>
      <c r="AA883" s="32" t="s">
        <v>3539</v>
      </c>
      <c r="AB883">
        <f>COUNTIF(B:B,bron[[#This Row],[volledige naam]])</f>
        <v>3</v>
      </c>
    </row>
    <row r="884" spans="1:28" x14ac:dyDescent="0.25">
      <c r="A884">
        <v>42146</v>
      </c>
      <c r="B884" t="str">
        <f>_xlfn.CONCAT(bron[[#This Row],[personeelsnr]]," ",bron[[#This Row],[achternaam]]," ",bron[[#This Row],[voornaam]])</f>
        <v>42146 Cichonski Kamil</v>
      </c>
      <c r="C884" t="str">
        <f>VLOOKUP(bron[[#This Row],[personeelsnr]],'data hastus'!$A:$C,2,0)</f>
        <v>Cichonski</v>
      </c>
      <c r="D884" t="str">
        <f>VLOOKUP(bron[[#This Row],[personeelsnr]],'data hastus'!$A:$C,3,0)</f>
        <v>Kamil</v>
      </c>
      <c r="E884" s="2" t="str">
        <f>VLOOKUP(bron[[#This Row],[personeelsnr]],'data hastus'!A:K,11,FALSE)</f>
        <v>Steven Storm</v>
      </c>
      <c r="G884" s="28"/>
      <c r="H884" s="28"/>
      <c r="I884" s="28"/>
      <c r="S884" s="25">
        <f>SUM(bron[[#This Row],[Januari]:[December]])</f>
        <v>0</v>
      </c>
      <c r="T884" s="30">
        <v>45933</v>
      </c>
      <c r="U884" s="5" t="s">
        <v>3630</v>
      </c>
      <c r="V884" s="26"/>
      <c r="W884" s="26"/>
      <c r="X884" t="s">
        <v>3493</v>
      </c>
      <c r="Y884" t="s">
        <v>30</v>
      </c>
      <c r="Z884" s="2">
        <v>5486</v>
      </c>
      <c r="AA884" s="32" t="s">
        <v>3539</v>
      </c>
      <c r="AB884">
        <f>COUNTIF(B:B,bron[[#This Row],[volledige naam]])</f>
        <v>3</v>
      </c>
    </row>
    <row r="885" spans="1:28" x14ac:dyDescent="0.25">
      <c r="A885">
        <v>40055</v>
      </c>
      <c r="B885" t="str">
        <f>_xlfn.CONCAT(bron[[#This Row],[personeelsnr]]," ",bron[[#This Row],[achternaam]]," ",bron[[#This Row],[voornaam]])</f>
        <v>40055 Afara Ammar</v>
      </c>
      <c r="C885" t="str">
        <f>VLOOKUP(bron[[#This Row],[personeelsnr]],'data hastus'!$A:$C,2,0)</f>
        <v>Afara</v>
      </c>
      <c r="D885" t="str">
        <f>VLOOKUP(bron[[#This Row],[personeelsnr]],'data hastus'!$A:$C,3,0)</f>
        <v>Ammar</v>
      </c>
      <c r="E885" s="2" t="str">
        <f>VLOOKUP(bron[[#This Row],[personeelsnr]],'data hastus'!A:K,11,FALSE)</f>
        <v>Els Vanhoe</v>
      </c>
      <c r="G885" s="28"/>
      <c r="H885" s="28"/>
      <c r="I885" s="28"/>
      <c r="S885" s="25">
        <f>SUM(bron[[#This Row],[Januari]:[December]])</f>
        <v>0</v>
      </c>
      <c r="T885" s="30">
        <v>45933</v>
      </c>
      <c r="U885" s="5" t="s">
        <v>3633</v>
      </c>
      <c r="V885" s="26"/>
      <c r="W885" s="26"/>
      <c r="X885" t="s">
        <v>3494</v>
      </c>
      <c r="Y885" t="s">
        <v>34</v>
      </c>
      <c r="Z885" s="2">
        <v>5048</v>
      </c>
      <c r="AA885" s="32" t="s">
        <v>3539</v>
      </c>
      <c r="AB885">
        <f>COUNTIF(B:B,bron[[#This Row],[volledige naam]])</f>
        <v>2</v>
      </c>
    </row>
    <row r="886" spans="1:28" x14ac:dyDescent="0.25">
      <c r="A886">
        <v>21892</v>
      </c>
      <c r="B886" t="str">
        <f>_xlfn.CONCAT(bron[[#This Row],[personeelsnr]]," ",bron[[#This Row],[achternaam]]," ",bron[[#This Row],[voornaam]])</f>
        <v>21892 Dierick Steve</v>
      </c>
      <c r="C886" t="str">
        <f>VLOOKUP(bron[[#This Row],[personeelsnr]],'data hastus'!$A:$C,2,0)</f>
        <v>Dierick</v>
      </c>
      <c r="D886" t="str">
        <f>VLOOKUP(bron[[#This Row],[personeelsnr]],'data hastus'!$A:$C,3,0)</f>
        <v>Steve</v>
      </c>
      <c r="E886" s="2" t="str">
        <f>VLOOKUP(bron[[#This Row],[personeelsnr]],'data hastus'!A:K,11,FALSE)</f>
        <v>Steven Storm</v>
      </c>
      <c r="G886" s="28"/>
      <c r="H886" s="28"/>
      <c r="I886" s="28"/>
      <c r="S886" s="25">
        <f>SUM(bron[[#This Row],[Januari]:[December]])</f>
        <v>0</v>
      </c>
      <c r="T886" s="30">
        <v>45933</v>
      </c>
      <c r="U886" s="5" t="s">
        <v>3634</v>
      </c>
      <c r="V886" s="26"/>
      <c r="W886" s="26"/>
      <c r="X886" t="s">
        <v>3528</v>
      </c>
      <c r="Y886" t="s">
        <v>3635</v>
      </c>
      <c r="Z886" s="2">
        <v>6325</v>
      </c>
      <c r="AA886" s="32" t="s">
        <v>3540</v>
      </c>
      <c r="AB886">
        <f>COUNTIF(B:B,bron[[#This Row],[volledige naam]])</f>
        <v>2</v>
      </c>
    </row>
    <row r="887" spans="1:28" x14ac:dyDescent="0.25">
      <c r="A887">
        <v>29271</v>
      </c>
      <c r="B887" t="str">
        <f>_xlfn.CONCAT(bron[[#This Row],[personeelsnr]]," ",bron[[#This Row],[achternaam]]," ",bron[[#This Row],[voornaam]])</f>
        <v>29271 Maes Filip</v>
      </c>
      <c r="C887" t="str">
        <f>VLOOKUP(bron[[#This Row],[personeelsnr]],'data hastus'!$A:$C,2,0)</f>
        <v>Maes</v>
      </c>
      <c r="D887" t="str">
        <f>VLOOKUP(bron[[#This Row],[personeelsnr]],'data hastus'!$A:$C,3,0)</f>
        <v>Filip</v>
      </c>
      <c r="E887" s="2" t="str">
        <f>VLOOKUP(bron[[#This Row],[personeelsnr]],'data hastus'!A:K,11,FALSE)</f>
        <v>Els Dewulf</v>
      </c>
      <c r="G887" s="28"/>
      <c r="H887" s="28"/>
      <c r="I887" s="28"/>
      <c r="S887" s="25">
        <f>SUM(bron[[#This Row],[Januari]:[December]])</f>
        <v>0</v>
      </c>
      <c r="T887" s="30">
        <v>45933</v>
      </c>
      <c r="U887" s="5" t="s">
        <v>3637</v>
      </c>
      <c r="V887" s="26"/>
      <c r="W887" s="26"/>
      <c r="X887" t="s">
        <v>3494</v>
      </c>
      <c r="Y887" t="s">
        <v>2</v>
      </c>
      <c r="Z887" s="2">
        <v>5273</v>
      </c>
      <c r="AA887" s="32" t="s">
        <v>3539</v>
      </c>
      <c r="AB887">
        <f>COUNTIF(B:B,bron[[#This Row],[volledige naam]])</f>
        <v>1</v>
      </c>
    </row>
    <row r="888" spans="1:28" x14ac:dyDescent="0.25">
      <c r="A888">
        <v>42044</v>
      </c>
      <c r="B888" t="str">
        <f>_xlfn.CONCAT(bron[[#This Row],[personeelsnr]]," ",bron[[#This Row],[achternaam]]," ",bron[[#This Row],[voornaam]])</f>
        <v>42044 El Gana Karim</v>
      </c>
      <c r="C888" t="str">
        <f>VLOOKUP(bron[[#This Row],[personeelsnr]],'data hastus'!$A:$C,2,0)</f>
        <v>El Gana</v>
      </c>
      <c r="D888" t="str">
        <f>VLOOKUP(bron[[#This Row],[personeelsnr]],'data hastus'!$A:$C,3,0)</f>
        <v>Karim</v>
      </c>
      <c r="E888" s="2" t="str">
        <f>VLOOKUP(bron[[#This Row],[personeelsnr]],'data hastus'!A:K,11,FALSE)</f>
        <v>Dominique De Clercq</v>
      </c>
      <c r="G888" s="28"/>
      <c r="H888" s="28"/>
      <c r="I888" s="28"/>
      <c r="S888" s="25">
        <f>SUM(bron[[#This Row],[Januari]:[December]])</f>
        <v>0</v>
      </c>
      <c r="T888" s="30">
        <v>45933</v>
      </c>
      <c r="U888" s="5" t="s">
        <v>3681</v>
      </c>
      <c r="V888" s="26"/>
      <c r="W888" s="26"/>
      <c r="X888" t="s">
        <v>3493</v>
      </c>
      <c r="Y888" t="s">
        <v>6</v>
      </c>
      <c r="Z888" s="2">
        <v>5765</v>
      </c>
      <c r="AA888" s="32" t="s">
        <v>3539</v>
      </c>
      <c r="AB888">
        <f>COUNTIF(B:B,bron[[#This Row],[volledige naam]])</f>
        <v>1</v>
      </c>
    </row>
    <row r="889" spans="1:28" x14ac:dyDescent="0.25">
      <c r="A889">
        <v>40058</v>
      </c>
      <c r="B889" t="str">
        <f>_xlfn.CONCAT(bron[[#This Row],[personeelsnr]]," ",bron[[#This Row],[achternaam]]," ",bron[[#This Row],[voornaam]])</f>
        <v>40058 Sögüt Can</v>
      </c>
      <c r="C889" t="str">
        <f>VLOOKUP(bron[[#This Row],[personeelsnr]],'data hastus'!$A:$C,2,0)</f>
        <v>Sögüt</v>
      </c>
      <c r="D889" t="str">
        <f>VLOOKUP(bron[[#This Row],[personeelsnr]],'data hastus'!$A:$C,3,0)</f>
        <v>Can</v>
      </c>
      <c r="E889" s="2" t="str">
        <f>VLOOKUP(bron[[#This Row],[personeelsnr]],'data hastus'!A:K,11,FALSE)</f>
        <v>Christoff Rotty</v>
      </c>
      <c r="G889" s="28"/>
      <c r="H889" s="28"/>
      <c r="I889" s="28"/>
      <c r="S889" s="25">
        <f>SUM(bron[[#This Row],[Januari]:[December]])</f>
        <v>0</v>
      </c>
      <c r="T889" s="30">
        <v>45933</v>
      </c>
      <c r="U889" s="8" t="s">
        <v>3682</v>
      </c>
      <c r="V889" s="26"/>
      <c r="W889" s="26"/>
      <c r="X889" t="s">
        <v>3494</v>
      </c>
      <c r="Y889" t="s">
        <v>144</v>
      </c>
      <c r="Z889" s="2">
        <v>5265</v>
      </c>
      <c r="AA889" s="32" t="s">
        <v>3539</v>
      </c>
      <c r="AB889">
        <f>COUNTIF(B:B,bron[[#This Row],[volledige naam]])</f>
        <v>3</v>
      </c>
    </row>
    <row r="890" spans="1:28" x14ac:dyDescent="0.25">
      <c r="A890">
        <v>28910</v>
      </c>
      <c r="B890" t="str">
        <f>_xlfn.CONCAT(bron[[#This Row],[personeelsnr]]," ",bron[[#This Row],[achternaam]]," ",bron[[#This Row],[voornaam]])</f>
        <v>28910 Gassa Osmane</v>
      </c>
      <c r="C890" t="str">
        <f>VLOOKUP(bron[[#This Row],[personeelsnr]],'data hastus'!$A:$C,2,0)</f>
        <v>Gassa</v>
      </c>
      <c r="D890" t="str">
        <f>VLOOKUP(bron[[#This Row],[personeelsnr]],'data hastus'!$A:$C,3,0)</f>
        <v>Osmane</v>
      </c>
      <c r="E890" s="2" t="str">
        <f>VLOOKUP(bron[[#This Row],[personeelsnr]],'data hastus'!A:K,11,FALSE)</f>
        <v>Bart Van Der Beken</v>
      </c>
      <c r="G890" s="28"/>
      <c r="H890" s="28"/>
      <c r="I890" s="28"/>
      <c r="S890" s="25">
        <f>SUM(bron[[#This Row],[Januari]:[December]])</f>
        <v>0</v>
      </c>
      <c r="T890" s="30">
        <v>45933</v>
      </c>
      <c r="U890" s="5" t="s">
        <v>3682</v>
      </c>
      <c r="V890" s="26"/>
      <c r="W890" s="26"/>
      <c r="X890" t="s">
        <v>3494</v>
      </c>
      <c r="Y890" t="s">
        <v>144</v>
      </c>
      <c r="Z890" s="2">
        <v>5263</v>
      </c>
      <c r="AA890" s="32" t="s">
        <v>3539</v>
      </c>
      <c r="AB890">
        <f>COUNTIF(B:B,bron[[#This Row],[volledige naam]])</f>
        <v>2</v>
      </c>
    </row>
    <row r="891" spans="1:28" x14ac:dyDescent="0.25">
      <c r="A891">
        <v>41619</v>
      </c>
      <c r="B891" t="str">
        <f>_xlfn.CONCAT(bron[[#This Row],[personeelsnr]]," ",bron[[#This Row],[achternaam]]," ",bron[[#This Row],[voornaam]])</f>
        <v>41619 Bachiri Ousama</v>
      </c>
      <c r="C891" t="str">
        <f>VLOOKUP(bron[[#This Row],[personeelsnr]],'data hastus'!$A:$C,2,0)</f>
        <v>Bachiri</v>
      </c>
      <c r="D891" t="str">
        <f>VLOOKUP(bron[[#This Row],[personeelsnr]],'data hastus'!$A:$C,3,0)</f>
        <v>Ousama</v>
      </c>
      <c r="E891" s="2" t="str">
        <f>VLOOKUP(bron[[#This Row],[personeelsnr]],'data hastus'!A:K,11,FALSE)</f>
        <v>Bart Van Der Beken</v>
      </c>
      <c r="G891" s="28"/>
      <c r="H891" s="28"/>
      <c r="I891" s="28"/>
      <c r="S891" s="25">
        <f>SUM(bron[[#This Row],[Januari]:[December]])</f>
        <v>0</v>
      </c>
      <c r="T891" s="30">
        <v>45933</v>
      </c>
      <c r="U891" s="5" t="s">
        <v>3683</v>
      </c>
      <c r="V891" s="26"/>
      <c r="W891" s="26"/>
      <c r="X891" t="s">
        <v>3494</v>
      </c>
      <c r="Y891" t="s">
        <v>34</v>
      </c>
      <c r="Z891" s="2">
        <v>5042</v>
      </c>
      <c r="AA891" s="32" t="s">
        <v>3539</v>
      </c>
      <c r="AB891">
        <f>COUNTIF(B:B,bron[[#This Row],[volledige naam]])</f>
        <v>3</v>
      </c>
    </row>
    <row r="892" spans="1:28" x14ac:dyDescent="0.25">
      <c r="A892">
        <v>41948</v>
      </c>
      <c r="B892" t="str">
        <f>_xlfn.CONCAT(bron[[#This Row],[personeelsnr]]," ",bron[[#This Row],[achternaam]]," ",bron[[#This Row],[voornaam]])</f>
        <v>41948 Vervaecke Wim</v>
      </c>
      <c r="C892" t="str">
        <f>VLOOKUP(bron[[#This Row],[personeelsnr]],'data hastus'!$A:$C,2,0)</f>
        <v>Vervaecke</v>
      </c>
      <c r="D892" t="str">
        <f>VLOOKUP(bron[[#This Row],[personeelsnr]],'data hastus'!$A:$C,3,0)</f>
        <v>Wim</v>
      </c>
      <c r="E892" s="2" t="str">
        <f>VLOOKUP(bron[[#This Row],[personeelsnr]],'data hastus'!A:K,11,FALSE)</f>
        <v>Els Dewulf</v>
      </c>
      <c r="G892" s="28"/>
      <c r="H892" s="28"/>
      <c r="I892" s="28"/>
      <c r="S892" s="25">
        <f>SUM(bron[[#This Row],[Januari]:[December]])</f>
        <v>0</v>
      </c>
      <c r="T892" s="30">
        <v>45934</v>
      </c>
      <c r="U892" s="5" t="s">
        <v>3636</v>
      </c>
      <c r="V892" s="26"/>
      <c r="W892" s="26"/>
      <c r="X892" t="s">
        <v>3493</v>
      </c>
      <c r="Y892" t="s">
        <v>559</v>
      </c>
      <c r="Z892" s="2">
        <v>2548</v>
      </c>
      <c r="AA892" s="32" t="s">
        <v>3539</v>
      </c>
      <c r="AB892">
        <f>COUNTIF(B:B,bron[[#This Row],[volledige naam]])</f>
        <v>2</v>
      </c>
    </row>
    <row r="893" spans="1:28" x14ac:dyDescent="0.25">
      <c r="A893">
        <v>38555</v>
      </c>
      <c r="B893" t="str">
        <f>_xlfn.CONCAT(bron[[#This Row],[personeelsnr]]," ",bron[[#This Row],[achternaam]]," ",bron[[#This Row],[voornaam]])</f>
        <v>38555 Almohammad Malek</v>
      </c>
      <c r="C893" t="str">
        <f>VLOOKUP(bron[[#This Row],[personeelsnr]],'data hastus'!$A:$C,2,0)</f>
        <v>Almohammad</v>
      </c>
      <c r="D893" t="str">
        <f>VLOOKUP(bron[[#This Row],[personeelsnr]],'data hastus'!$A:$C,3,0)</f>
        <v>Malek</v>
      </c>
      <c r="E893" s="2" t="str">
        <f>VLOOKUP(bron[[#This Row],[personeelsnr]],'data hastus'!A:K,11,FALSE)</f>
        <v>Els Vanhoe</v>
      </c>
      <c r="G893" s="28"/>
      <c r="H893" s="28"/>
      <c r="I893" s="28"/>
      <c r="S893" s="25">
        <f>SUM(bron[[#This Row],[Januari]:[December]])</f>
        <v>0</v>
      </c>
      <c r="T893" s="30">
        <v>45934</v>
      </c>
      <c r="U893" s="5" t="s">
        <v>3638</v>
      </c>
      <c r="V893" s="26"/>
      <c r="W893" s="26"/>
      <c r="X893" t="s">
        <v>3494</v>
      </c>
      <c r="Y893" t="s">
        <v>3639</v>
      </c>
      <c r="Z893" s="2">
        <v>5044</v>
      </c>
      <c r="AA893" s="32" t="s">
        <v>3539</v>
      </c>
      <c r="AB893">
        <f>COUNTIF(B:B,bron[[#This Row],[volledige naam]])</f>
        <v>1</v>
      </c>
    </row>
    <row r="894" spans="1:28" x14ac:dyDescent="0.25">
      <c r="A894">
        <v>32611</v>
      </c>
      <c r="B894" t="str">
        <f>_xlfn.CONCAT(bron[[#This Row],[personeelsnr]]," ",bron[[#This Row],[achternaam]]," ",bron[[#This Row],[voornaam]])</f>
        <v>32611 Özer Özgur</v>
      </c>
      <c r="C894" t="str">
        <f>VLOOKUP(bron[[#This Row],[personeelsnr]],'data hastus'!$A:$C,2,0)</f>
        <v>Özer</v>
      </c>
      <c r="D894" t="str">
        <f>VLOOKUP(bron[[#This Row],[personeelsnr]],'data hastus'!$A:$C,3,0)</f>
        <v>Özgur</v>
      </c>
      <c r="E894" s="2" t="str">
        <f>VLOOKUP(bron[[#This Row],[personeelsnr]],'data hastus'!A:K,11,FALSE)</f>
        <v>Kenneth De Rick</v>
      </c>
      <c r="G894" s="28"/>
      <c r="H894" s="28"/>
      <c r="I894" s="28"/>
      <c r="S894" s="25">
        <f>SUM(bron[[#This Row],[Januari]:[December]])</f>
        <v>0</v>
      </c>
      <c r="T894" s="30">
        <v>45934</v>
      </c>
      <c r="U894" s="5" t="s">
        <v>3686</v>
      </c>
      <c r="V894" s="26"/>
      <c r="W894" s="26"/>
      <c r="X894" t="s">
        <v>3528</v>
      </c>
      <c r="Y894" t="s">
        <v>150</v>
      </c>
      <c r="Z894" s="2">
        <v>6315</v>
      </c>
      <c r="AA894" s="32" t="s">
        <v>3539</v>
      </c>
      <c r="AB894">
        <f>COUNTIF(B:B,bron[[#This Row],[volledige naam]])</f>
        <v>2</v>
      </c>
    </row>
    <row r="895" spans="1:28" x14ac:dyDescent="0.25">
      <c r="A895">
        <v>41520</v>
      </c>
      <c r="B895" t="str">
        <f>_xlfn.CONCAT(bron[[#This Row],[personeelsnr]]," ",bron[[#This Row],[achternaam]]," ",bron[[#This Row],[voornaam]])</f>
        <v>41520 Smets Avery</v>
      </c>
      <c r="C895" t="str">
        <f>VLOOKUP(bron[[#This Row],[personeelsnr]],'data hastus'!$A:$C,2,0)</f>
        <v>Smets</v>
      </c>
      <c r="D895" t="str">
        <f>VLOOKUP(bron[[#This Row],[personeelsnr]],'data hastus'!$A:$C,3,0)</f>
        <v>Avery</v>
      </c>
      <c r="E895" s="2" t="str">
        <f>VLOOKUP(bron[[#This Row],[personeelsnr]],'data hastus'!A:K,11,FALSE)</f>
        <v>Christoff Rotty</v>
      </c>
      <c r="G895" s="28"/>
      <c r="H895" s="28"/>
      <c r="I895" s="28"/>
      <c r="S895" s="25">
        <f>SUM(bron[[#This Row],[Januari]:[December]])</f>
        <v>0</v>
      </c>
      <c r="T895" s="30">
        <v>45934</v>
      </c>
      <c r="U895" s="5" t="s">
        <v>3689</v>
      </c>
      <c r="V895" s="26"/>
      <c r="W895" s="26"/>
      <c r="X895" t="s">
        <v>3494</v>
      </c>
      <c r="Y895" t="s">
        <v>26</v>
      </c>
      <c r="Z895" s="2">
        <v>2196</v>
      </c>
      <c r="AA895" s="32" t="s">
        <v>3539</v>
      </c>
      <c r="AB895">
        <f>COUNTIF(B:B,bron[[#This Row],[volledige naam]])</f>
        <v>3</v>
      </c>
    </row>
    <row r="896" spans="1:28" x14ac:dyDescent="0.25">
      <c r="A896">
        <v>39856</v>
      </c>
      <c r="B896" t="str">
        <f>_xlfn.CONCAT(bron[[#This Row],[personeelsnr]]," ",bron[[#This Row],[achternaam]]," ",bron[[#This Row],[voornaam]])</f>
        <v>39856 Curukcu Bayram</v>
      </c>
      <c r="C896" t="str">
        <f>VLOOKUP(bron[[#This Row],[personeelsnr]],'data hastus'!$A:$C,2,0)</f>
        <v>Curukcu</v>
      </c>
      <c r="D896" t="str">
        <f>VLOOKUP(bron[[#This Row],[personeelsnr]],'data hastus'!$A:$C,3,0)</f>
        <v>Bayram</v>
      </c>
      <c r="E896" s="2" t="str">
        <f>VLOOKUP(bron[[#This Row],[personeelsnr]],'data hastus'!A:K,11,FALSE)</f>
        <v>Kenneth De Rick</v>
      </c>
      <c r="G896" s="28"/>
      <c r="H896" s="28"/>
      <c r="I896" s="28"/>
      <c r="S896" s="25">
        <f>SUM(bron[[#This Row],[Januari]:[December]])</f>
        <v>0</v>
      </c>
      <c r="T896" s="30">
        <v>45936</v>
      </c>
      <c r="U896" s="5" t="s">
        <v>3691</v>
      </c>
      <c r="V896" s="26"/>
      <c r="W896" s="26"/>
      <c r="X896" t="s">
        <v>3494</v>
      </c>
      <c r="Y896" t="s">
        <v>16</v>
      </c>
      <c r="Z896" s="2">
        <v>5052</v>
      </c>
      <c r="AA896" s="32" t="s">
        <v>3539</v>
      </c>
      <c r="AB896">
        <f>COUNTIF(B:B,bron[[#This Row],[volledige naam]])</f>
        <v>2</v>
      </c>
    </row>
    <row r="897" spans="1:28" x14ac:dyDescent="0.25">
      <c r="A897">
        <v>41871</v>
      </c>
      <c r="B897" t="str">
        <f>_xlfn.CONCAT(bron[[#This Row],[personeelsnr]]," ",bron[[#This Row],[achternaam]]," ",bron[[#This Row],[voornaam]])</f>
        <v>41871 Karanfil Ibrahim</v>
      </c>
      <c r="C897" t="str">
        <f>VLOOKUP(bron[[#This Row],[personeelsnr]],'data hastus'!$A:$C,2,0)</f>
        <v>Karanfil</v>
      </c>
      <c r="D897" t="str">
        <f>VLOOKUP(bron[[#This Row],[personeelsnr]],'data hastus'!$A:$C,3,0)</f>
        <v>Ibrahim</v>
      </c>
      <c r="E897" s="2" t="str">
        <f>VLOOKUP(bron[[#This Row],[personeelsnr]],'data hastus'!A:K,11,FALSE)</f>
        <v>Dominique De Clercq</v>
      </c>
      <c r="G897" s="28"/>
      <c r="H897" s="28"/>
      <c r="I897" s="28"/>
      <c r="S897" s="25">
        <f>SUM(bron[[#This Row],[Januari]:[December]])</f>
        <v>0</v>
      </c>
      <c r="T897" s="30">
        <v>45936</v>
      </c>
      <c r="U897" s="5" t="s">
        <v>3693</v>
      </c>
      <c r="V897" s="26"/>
      <c r="W897" s="26"/>
      <c r="X897" t="s">
        <v>3493</v>
      </c>
      <c r="Y897" t="s">
        <v>30</v>
      </c>
      <c r="Z897" s="2">
        <v>5487</v>
      </c>
      <c r="AA897" s="32" t="s">
        <v>3539</v>
      </c>
      <c r="AB897">
        <f>COUNTIF(B:B,bron[[#This Row],[volledige naam]])</f>
        <v>2</v>
      </c>
    </row>
    <row r="898" spans="1:28" x14ac:dyDescent="0.25">
      <c r="A898">
        <v>42015</v>
      </c>
      <c r="B898" t="str">
        <f>_xlfn.CONCAT(bron[[#This Row],[personeelsnr]]," ",bron[[#This Row],[achternaam]]," ",bron[[#This Row],[voornaam]])</f>
        <v>42015 Crop Alexander</v>
      </c>
      <c r="C898" t="str">
        <f>VLOOKUP(bron[[#This Row],[personeelsnr]],'data hastus'!$A:$C,2,0)</f>
        <v>Crop</v>
      </c>
      <c r="D898" t="str">
        <f>VLOOKUP(bron[[#This Row],[personeelsnr]],'data hastus'!$A:$C,3,0)</f>
        <v>Alexander</v>
      </c>
      <c r="E898" s="2" t="str">
        <f>VLOOKUP(bron[[#This Row],[personeelsnr]],'data hastus'!A:K,11,FALSE)</f>
        <v>Els Vanhoe</v>
      </c>
      <c r="G898" s="28"/>
      <c r="H898" s="28"/>
      <c r="I898" s="28"/>
      <c r="S898" s="25">
        <f>SUM(bron[[#This Row],[Januari]:[December]])</f>
        <v>0</v>
      </c>
      <c r="T898" s="30">
        <v>45938</v>
      </c>
      <c r="U898" s="5" t="s">
        <v>3685</v>
      </c>
      <c r="V898" s="26"/>
      <c r="W898" s="26"/>
      <c r="X898" t="s">
        <v>3493</v>
      </c>
      <c r="Y898" t="s">
        <v>37</v>
      </c>
      <c r="Z898" s="2">
        <v>5771</v>
      </c>
      <c r="AA898" s="32" t="s">
        <v>3539</v>
      </c>
      <c r="AB898">
        <f>COUNTIF(B:B,bron[[#This Row],[volledige naam]])</f>
        <v>1</v>
      </c>
    </row>
    <row r="899" spans="1:28" x14ac:dyDescent="0.25">
      <c r="A899">
        <v>12024</v>
      </c>
      <c r="B899" t="str">
        <f>_xlfn.CONCAT(bron[[#This Row],[personeelsnr]]," ",bron[[#This Row],[achternaam]]," ",bron[[#This Row],[voornaam]])</f>
        <v>12024 De Cooman Kurt</v>
      </c>
      <c r="C899" t="str">
        <f>VLOOKUP(bron[[#This Row],[personeelsnr]],'data hastus'!$A:$C,2,0)</f>
        <v>De Cooman</v>
      </c>
      <c r="D899" t="str">
        <f>VLOOKUP(bron[[#This Row],[personeelsnr]],'data hastus'!$A:$C,3,0)</f>
        <v>Kurt</v>
      </c>
      <c r="E899" s="2" t="str">
        <f>VLOOKUP(bron[[#This Row],[personeelsnr]],'data hastus'!A:K,11,FALSE)</f>
        <v>Lucie Vande Velde</v>
      </c>
      <c r="G899" s="28"/>
      <c r="H899" s="28"/>
      <c r="I899" s="28"/>
      <c r="S899" s="25">
        <f>SUM(bron[[#This Row],[Januari]:[December]])</f>
        <v>0</v>
      </c>
      <c r="T899" s="30">
        <v>45938</v>
      </c>
      <c r="U899" s="5" t="s">
        <v>3687</v>
      </c>
      <c r="V899" s="26"/>
      <c r="W899" s="26"/>
      <c r="X899" t="s">
        <v>3494</v>
      </c>
      <c r="Y899" t="s">
        <v>3688</v>
      </c>
      <c r="Z899" s="2">
        <v>5328</v>
      </c>
      <c r="AA899" s="32" t="s">
        <v>3539</v>
      </c>
      <c r="AB899">
        <f>COUNTIF(B:B,bron[[#This Row],[volledige naam]])</f>
        <v>1</v>
      </c>
    </row>
    <row r="900" spans="1:28" x14ac:dyDescent="0.25">
      <c r="A900">
        <v>41482</v>
      </c>
      <c r="B900" t="str">
        <f>_xlfn.CONCAT(bron[[#This Row],[personeelsnr]]," ",bron[[#This Row],[achternaam]]," ",bron[[#This Row],[voornaam]])</f>
        <v>41482 Özdemir Osman</v>
      </c>
      <c r="C900" t="str">
        <f>VLOOKUP(bron[[#This Row],[personeelsnr]],'data hastus'!$A:$C,2,0)</f>
        <v>Özdemir</v>
      </c>
      <c r="D900" t="str">
        <f>VLOOKUP(bron[[#This Row],[personeelsnr]],'data hastus'!$A:$C,3,0)</f>
        <v>Osman</v>
      </c>
      <c r="E900" s="2" t="str">
        <f>VLOOKUP(bron[[#This Row],[personeelsnr]],'data hastus'!A:K,11,FALSE)</f>
        <v>Bart Van Der Beken</v>
      </c>
      <c r="G900" s="28"/>
      <c r="H900" s="28"/>
      <c r="I900" s="28"/>
      <c r="S900" s="25">
        <f>SUM(bron[[#This Row],[Januari]:[December]])</f>
        <v>0</v>
      </c>
      <c r="T900" s="30">
        <v>45938</v>
      </c>
      <c r="U900" s="22" t="s">
        <v>3690</v>
      </c>
      <c r="V900" s="26"/>
      <c r="W900" s="26"/>
      <c r="X900" t="s">
        <v>3494</v>
      </c>
      <c r="Y900" t="s">
        <v>221</v>
      </c>
      <c r="Z900" s="2">
        <v>2189</v>
      </c>
      <c r="AA900" s="32" t="s">
        <v>3539</v>
      </c>
      <c r="AB900">
        <f>COUNTIF(B:B,bron[[#This Row],[volledige naam]])</f>
        <v>3</v>
      </c>
    </row>
    <row r="901" spans="1:28" x14ac:dyDescent="0.25">
      <c r="A901">
        <v>30623</v>
      </c>
      <c r="B901" t="str">
        <f>_xlfn.CONCAT(bron[[#This Row],[personeelsnr]]," ",bron[[#This Row],[achternaam]]," ",bron[[#This Row],[voornaam]])</f>
        <v>30623 Gassa Mustafa</v>
      </c>
      <c r="C901" t="str">
        <f>VLOOKUP(bron[[#This Row],[personeelsnr]],'data hastus'!$A:$C,2,0)</f>
        <v>Gassa</v>
      </c>
      <c r="D901" t="str">
        <f>VLOOKUP(bron[[#This Row],[personeelsnr]],'data hastus'!$A:$C,3,0)</f>
        <v>Mustafa</v>
      </c>
      <c r="E901" s="2" t="str">
        <f>VLOOKUP(bron[[#This Row],[personeelsnr]],'data hastus'!A:K,11,FALSE)</f>
        <v>Kenneth De Rick</v>
      </c>
      <c r="F901" s="10"/>
      <c r="G901" s="28"/>
      <c r="H901" s="28"/>
      <c r="I901" s="28"/>
      <c r="S901" s="25">
        <f>SUM(bron[[#This Row],[Januari]:[December]])</f>
        <v>0</v>
      </c>
      <c r="T901" s="30">
        <v>45938</v>
      </c>
      <c r="U901" s="5" t="s">
        <v>3703</v>
      </c>
      <c r="V901" s="26"/>
      <c r="W901" s="26"/>
      <c r="X901" t="s">
        <v>3493</v>
      </c>
      <c r="Y901" t="s">
        <v>3704</v>
      </c>
      <c r="Z901" s="2">
        <v>5770</v>
      </c>
      <c r="AA901" s="32" t="s">
        <v>3539</v>
      </c>
      <c r="AB901">
        <f>COUNTIF(B:B,bron[[#This Row],[volledige naam]])</f>
        <v>2</v>
      </c>
    </row>
    <row r="902" spans="1:28" x14ac:dyDescent="0.25">
      <c r="A902">
        <v>40138</v>
      </c>
      <c r="B902" t="str">
        <f>_xlfn.CONCAT(bron[[#This Row],[personeelsnr]]," ",bron[[#This Row],[achternaam]]," ",bron[[#This Row],[voornaam]])</f>
        <v>40138 Moerman Tjimmy</v>
      </c>
      <c r="C902" t="str">
        <f>VLOOKUP(bron[[#This Row],[personeelsnr]],'data hastus'!$A:$C,2,0)</f>
        <v>Moerman</v>
      </c>
      <c r="D902" t="str">
        <f>VLOOKUP(bron[[#This Row],[personeelsnr]],'data hastus'!$A:$C,3,0)</f>
        <v>Tjimmy</v>
      </c>
      <c r="E902" s="2" t="str">
        <f>VLOOKUP(bron[[#This Row],[personeelsnr]],'data hastus'!A:K,11,FALSE)</f>
        <v>Christoff Rotty</v>
      </c>
      <c r="G902" s="28"/>
      <c r="H902" s="28"/>
      <c r="I902" s="28"/>
      <c r="S902" s="25">
        <f>SUM(bron[[#This Row],[Januari]:[December]])</f>
        <v>0</v>
      </c>
      <c r="T902" s="30">
        <v>45939</v>
      </c>
      <c r="U902" s="5" t="s">
        <v>3697</v>
      </c>
      <c r="V902" s="26"/>
      <c r="W902" s="26"/>
      <c r="X902" t="s">
        <v>3494</v>
      </c>
      <c r="Y902" t="s">
        <v>217</v>
      </c>
      <c r="Z902" s="2">
        <v>5041</v>
      </c>
      <c r="AA902" s="32" t="s">
        <v>3540</v>
      </c>
      <c r="AB902">
        <f>COUNTIF(B:B,bron[[#This Row],[volledige naam]])</f>
        <v>10</v>
      </c>
    </row>
    <row r="903" spans="1:28" x14ac:dyDescent="0.25">
      <c r="A903">
        <v>39929</v>
      </c>
      <c r="B903" t="str">
        <f>_xlfn.CONCAT(bron[[#This Row],[personeelsnr]]," ",bron[[#This Row],[achternaam]]," ",bron[[#This Row],[voornaam]])</f>
        <v>39929 Staneva Mariyana</v>
      </c>
      <c r="C903" t="str">
        <f>VLOOKUP(bron[[#This Row],[personeelsnr]],'data hastus'!$A:$C,2,0)</f>
        <v>Staneva</v>
      </c>
      <c r="D903" t="str">
        <f>VLOOKUP(bron[[#This Row],[personeelsnr]],'data hastus'!$A:$C,3,0)</f>
        <v>Mariyana</v>
      </c>
      <c r="E903" s="2" t="str">
        <f>VLOOKUP(bron[[#This Row],[personeelsnr]],'data hastus'!A:K,11,FALSE)</f>
        <v>Christoff Rotty</v>
      </c>
      <c r="G903" s="28"/>
      <c r="H903" s="28"/>
      <c r="I903" s="28"/>
      <c r="S903" s="25">
        <f>SUM(bron[[#This Row],[Januari]:[December]])</f>
        <v>0</v>
      </c>
      <c r="T903" s="30">
        <v>45940</v>
      </c>
      <c r="U903" s="5" t="s">
        <v>3694</v>
      </c>
      <c r="V903" s="26"/>
      <c r="W903" s="26"/>
      <c r="X903" t="s">
        <v>3494</v>
      </c>
      <c r="Y903" t="s">
        <v>12</v>
      </c>
      <c r="Z903" s="2">
        <v>2195</v>
      </c>
      <c r="AA903" s="32" t="s">
        <v>3540</v>
      </c>
      <c r="AB903">
        <f>COUNTIF(B:B,bron[[#This Row],[volledige naam]])</f>
        <v>9</v>
      </c>
    </row>
    <row r="904" spans="1:28" x14ac:dyDescent="0.25">
      <c r="A904">
        <v>20542</v>
      </c>
      <c r="B904" t="str">
        <f>_xlfn.CONCAT(bron[[#This Row],[personeelsnr]]," ",bron[[#This Row],[achternaam]]," ",bron[[#This Row],[voornaam]])</f>
        <v>20542 Kizilmese Emra</v>
      </c>
      <c r="C904" t="str">
        <f>VLOOKUP(bron[[#This Row],[personeelsnr]],'data hastus'!$A:$C,2,0)</f>
        <v>Kizilmese</v>
      </c>
      <c r="D904" t="str">
        <f>VLOOKUP(bron[[#This Row],[personeelsnr]],'data hastus'!$A:$C,3,0)</f>
        <v>Emra</v>
      </c>
      <c r="E904" s="2" t="str">
        <f>VLOOKUP(bron[[#This Row],[personeelsnr]],'data hastus'!A:K,11,FALSE)</f>
        <v>Els Dewulf</v>
      </c>
      <c r="G904" s="28"/>
      <c r="H904" s="28"/>
      <c r="I904" s="28"/>
      <c r="S904" s="25">
        <f>SUM(bron[[#This Row],[Januari]:[December]])</f>
        <v>0</v>
      </c>
      <c r="T904" s="30">
        <v>45940</v>
      </c>
      <c r="U904" s="5" t="s">
        <v>3700</v>
      </c>
      <c r="V904" s="26"/>
      <c r="W904" s="26"/>
      <c r="X904" t="s">
        <v>3494</v>
      </c>
      <c r="Y904" t="s">
        <v>16</v>
      </c>
      <c r="Z904" s="2">
        <v>5235</v>
      </c>
      <c r="AA904" s="32" t="s">
        <v>3539</v>
      </c>
      <c r="AB904">
        <f>COUNTIF(B:B,bron[[#This Row],[volledige naam]])</f>
        <v>1</v>
      </c>
    </row>
    <row r="905" spans="1:28" x14ac:dyDescent="0.25">
      <c r="A905">
        <v>35430</v>
      </c>
      <c r="B905" t="str">
        <f>_xlfn.CONCAT(bron[[#This Row],[personeelsnr]]," ",bron[[#This Row],[achternaam]]," ",bron[[#This Row],[voornaam]])</f>
        <v>35430 Vlaminck Dirk</v>
      </c>
      <c r="C905" t="str">
        <f>VLOOKUP(bron[[#This Row],[personeelsnr]],'data hastus'!$A:$C,2,0)</f>
        <v>Vlaminck</v>
      </c>
      <c r="D905" t="str">
        <f>VLOOKUP(bron[[#This Row],[personeelsnr]],'data hastus'!$A:$C,3,0)</f>
        <v>Dirk</v>
      </c>
      <c r="E905" s="2" t="str">
        <f>VLOOKUP(bron[[#This Row],[personeelsnr]],'data hastus'!A:K,11,FALSE)</f>
        <v>Els Vanhoe</v>
      </c>
      <c r="G905" s="28"/>
      <c r="H905" s="28"/>
      <c r="I905" s="28"/>
      <c r="S905" s="25">
        <f>SUM(bron[[#This Row],[Januari]:[December]])</f>
        <v>0</v>
      </c>
      <c r="T905" s="30">
        <v>45941</v>
      </c>
      <c r="U905" s="5" t="s">
        <v>3692</v>
      </c>
      <c r="V905" s="26"/>
      <c r="W905" s="26"/>
      <c r="X905" t="s">
        <v>3494</v>
      </c>
      <c r="Y905" t="s">
        <v>3639</v>
      </c>
      <c r="Z905" s="2">
        <v>5237</v>
      </c>
      <c r="AA905" s="32" t="s">
        <v>3612</v>
      </c>
      <c r="AB905">
        <f>COUNTIF(B:B,bron[[#This Row],[volledige naam]])</f>
        <v>2</v>
      </c>
    </row>
    <row r="906" spans="1:28" x14ac:dyDescent="0.25">
      <c r="A906">
        <v>15219</v>
      </c>
      <c r="B906" t="str">
        <f>_xlfn.CONCAT(bron[[#This Row],[personeelsnr]]," ",bron[[#This Row],[achternaam]]," ",bron[[#This Row],[voornaam]])</f>
        <v>15219 De Mey Peter</v>
      </c>
      <c r="C906" t="str">
        <f>VLOOKUP(bron[[#This Row],[personeelsnr]],'data hastus'!$A:$C,2,0)</f>
        <v>De Mey</v>
      </c>
      <c r="D906" t="str">
        <f>VLOOKUP(bron[[#This Row],[personeelsnr]],'data hastus'!$A:$C,3,0)</f>
        <v>Peter</v>
      </c>
      <c r="E906" s="2" t="str">
        <f>VLOOKUP(bron[[#This Row],[personeelsnr]],'data hastus'!A:K,11,FALSE)</f>
        <v>Bart Van Der Beken</v>
      </c>
      <c r="G906" s="28"/>
      <c r="H906" s="28"/>
      <c r="I906" s="28"/>
      <c r="S906" s="25">
        <f>SUM(bron[[#This Row],[Januari]:[December]])</f>
        <v>0</v>
      </c>
      <c r="T906" s="30">
        <v>45942</v>
      </c>
      <c r="U906" s="5" t="s">
        <v>3695</v>
      </c>
      <c r="V906" s="26"/>
      <c r="W906" s="26"/>
      <c r="X906" t="s">
        <v>3529</v>
      </c>
      <c r="Y906" t="s">
        <v>468</v>
      </c>
      <c r="Z906" s="2">
        <v>6362</v>
      </c>
      <c r="AA906" s="32" t="s">
        <v>3539</v>
      </c>
      <c r="AB906">
        <f>COUNTIF(B:B,bron[[#This Row],[volledige naam]])</f>
        <v>1</v>
      </c>
    </row>
    <row r="907" spans="1:28" x14ac:dyDescent="0.25">
      <c r="A907">
        <v>38633</v>
      </c>
      <c r="B907" t="str">
        <f>_xlfn.CONCAT(bron[[#This Row],[personeelsnr]]," ",bron[[#This Row],[achternaam]]," ",bron[[#This Row],[voornaam]])</f>
        <v>38633 Stomphorst Mattanja</v>
      </c>
      <c r="C907" t="str">
        <f>VLOOKUP(bron[[#This Row],[personeelsnr]],'data hastus'!$A:$C,2,0)</f>
        <v>Stomphorst</v>
      </c>
      <c r="D907" t="str">
        <f>VLOOKUP(bron[[#This Row],[personeelsnr]],'data hastus'!$A:$C,3,0)</f>
        <v>Mattanja</v>
      </c>
      <c r="E907" s="2" t="str">
        <f>VLOOKUP(bron[[#This Row],[personeelsnr]],'data hastus'!A:K,11,FALSE)</f>
        <v>Els Dewulf</v>
      </c>
      <c r="F907" s="10"/>
      <c r="G907" s="28"/>
      <c r="H907" s="28"/>
      <c r="I907" s="28"/>
      <c r="S907" s="25">
        <f>SUM(bron[[#This Row],[Januari]:[December]])</f>
        <v>0</v>
      </c>
      <c r="T907" s="30">
        <v>45943</v>
      </c>
      <c r="U907" s="5" t="s">
        <v>3711</v>
      </c>
      <c r="V907" s="26"/>
      <c r="W907" s="26"/>
      <c r="X907" t="s">
        <v>3494</v>
      </c>
      <c r="Y907" t="s">
        <v>644</v>
      </c>
      <c r="Z907" s="2">
        <v>5047</v>
      </c>
      <c r="AA907" s="32" t="s">
        <v>3539</v>
      </c>
      <c r="AB907">
        <f>COUNTIF(B:B,bron[[#This Row],[volledige naam]])</f>
        <v>3</v>
      </c>
    </row>
    <row r="908" spans="1:28" x14ac:dyDescent="0.25">
      <c r="A908">
        <v>16275</v>
      </c>
      <c r="B908" t="str">
        <f>_xlfn.CONCAT(bron[[#This Row],[personeelsnr]]," ",bron[[#This Row],[achternaam]]," ",bron[[#This Row],[voornaam]])</f>
        <v>16275 Devriendt Patrick</v>
      </c>
      <c r="C908" t="str">
        <f>VLOOKUP(bron[[#This Row],[personeelsnr]],'data hastus'!$A:$C,2,0)</f>
        <v>Devriendt</v>
      </c>
      <c r="D908" t="str">
        <f>VLOOKUP(bron[[#This Row],[personeelsnr]],'data hastus'!$A:$C,3,0)</f>
        <v>Patrick</v>
      </c>
      <c r="E908" s="2" t="str">
        <f>VLOOKUP(bron[[#This Row],[personeelsnr]],'data hastus'!A:K,11,FALSE)</f>
        <v>Els Dewulf</v>
      </c>
      <c r="F908" s="10"/>
      <c r="G908" s="28"/>
      <c r="H908" s="28"/>
      <c r="I908" s="28"/>
      <c r="S908" s="25">
        <f>SUM(bron[[#This Row],[Januari]:[December]])</f>
        <v>0</v>
      </c>
      <c r="T908" s="30">
        <v>45943</v>
      </c>
      <c r="U908" s="5" t="s">
        <v>3713</v>
      </c>
      <c r="V908" s="26"/>
      <c r="W908" s="26"/>
      <c r="X908" t="s">
        <v>3528</v>
      </c>
      <c r="Y908" t="s">
        <v>2</v>
      </c>
      <c r="Z908" s="2">
        <v>6329</v>
      </c>
      <c r="AA908" s="32" t="s">
        <v>3539</v>
      </c>
      <c r="AB908">
        <f>COUNTIF(B:B,bron[[#This Row],[volledige naam]])</f>
        <v>1</v>
      </c>
    </row>
    <row r="909" spans="1:28" x14ac:dyDescent="0.25">
      <c r="A909">
        <v>35588</v>
      </c>
      <c r="B909" t="str">
        <f>_xlfn.CONCAT(bron[[#This Row],[personeelsnr]]," ",bron[[#This Row],[achternaam]]," ",bron[[#This Row],[voornaam]])</f>
        <v>35588 Smesman Glenn</v>
      </c>
      <c r="C909" t="str">
        <f>VLOOKUP(bron[[#This Row],[personeelsnr]],'data hastus'!$A:$C,2,0)</f>
        <v>Smesman</v>
      </c>
      <c r="D909" t="str">
        <f>VLOOKUP(bron[[#This Row],[personeelsnr]],'data hastus'!$A:$C,3,0)</f>
        <v>Glenn</v>
      </c>
      <c r="E909" s="2" t="str">
        <f>VLOOKUP(bron[[#This Row],[personeelsnr]],'data hastus'!A:K,11,FALSE)</f>
        <v>Lucie Vande Velde</v>
      </c>
      <c r="F909" s="10"/>
      <c r="G909" s="28"/>
      <c r="H909" s="28"/>
      <c r="I909" s="28"/>
      <c r="S909" s="33">
        <f>SUM(bron[[#This Row],[Januari]:[December]])</f>
        <v>0</v>
      </c>
      <c r="T909" s="30">
        <v>45943</v>
      </c>
      <c r="U909" s="5" t="s">
        <v>3772</v>
      </c>
      <c r="V909" s="26"/>
      <c r="W909" s="26"/>
      <c r="X909" t="s">
        <v>3493</v>
      </c>
      <c r="Y909" t="s">
        <v>709</v>
      </c>
      <c r="Z909" s="2">
        <v>5772</v>
      </c>
      <c r="AA909" s="32" t="s">
        <v>3539</v>
      </c>
      <c r="AB909">
        <f>COUNTIF(B:B,bron[[#This Row],[volledige naam]])</f>
        <v>3</v>
      </c>
    </row>
    <row r="910" spans="1:28" x14ac:dyDescent="0.25">
      <c r="A910">
        <v>41588</v>
      </c>
      <c r="B910" t="str">
        <f>_xlfn.CONCAT(bron[[#This Row],[personeelsnr]]," ",bron[[#This Row],[achternaam]]," ",bron[[#This Row],[voornaam]])</f>
        <v>41588 Naessens Yves</v>
      </c>
      <c r="C910" t="str">
        <f>VLOOKUP(bron[[#This Row],[personeelsnr]],'data hastus'!$A:$C,2,0)</f>
        <v>Naessens</v>
      </c>
      <c r="D910" t="str">
        <f>VLOOKUP(bron[[#This Row],[personeelsnr]],'data hastus'!$A:$C,3,0)</f>
        <v>Yves</v>
      </c>
      <c r="E910" s="2" t="str">
        <f>VLOOKUP(bron[[#This Row],[personeelsnr]],'data hastus'!A:K,11,FALSE)</f>
        <v>Kenneth De Rick</v>
      </c>
      <c r="G910" s="28"/>
      <c r="H910" s="28"/>
      <c r="I910" s="28"/>
      <c r="S910" s="25">
        <f>SUM(bron[[#This Row],[Januari]:[December]])</f>
        <v>0</v>
      </c>
      <c r="T910" s="30">
        <v>45944</v>
      </c>
      <c r="U910" s="5" t="s">
        <v>3698</v>
      </c>
      <c r="V910" s="26"/>
      <c r="W910" s="26"/>
      <c r="X910" t="s">
        <v>3494</v>
      </c>
      <c r="Y910" t="s">
        <v>10</v>
      </c>
      <c r="Z910" s="2">
        <v>2196</v>
      </c>
      <c r="AA910" s="32" t="s">
        <v>3539</v>
      </c>
      <c r="AB910">
        <f>COUNTIF(B:B,bron[[#This Row],[volledige naam]])</f>
        <v>2</v>
      </c>
    </row>
    <row r="911" spans="1:28" x14ac:dyDescent="0.25">
      <c r="A911">
        <v>39928</v>
      </c>
      <c r="B911" t="str">
        <f>_xlfn.CONCAT(bron[[#This Row],[personeelsnr]]," ",bron[[#This Row],[achternaam]]," ",bron[[#This Row],[voornaam]])</f>
        <v>39928 Momand Abdullah</v>
      </c>
      <c r="C911" t="str">
        <f>VLOOKUP(bron[[#This Row],[personeelsnr]],'data hastus'!$A:$C,2,0)</f>
        <v>Momand</v>
      </c>
      <c r="D911" t="str">
        <f>VLOOKUP(bron[[#This Row],[personeelsnr]],'data hastus'!$A:$C,3,0)</f>
        <v>Abdullah</v>
      </c>
      <c r="E911" s="2" t="str">
        <f>VLOOKUP(bron[[#This Row],[personeelsnr]],'data hastus'!A:K,11,FALSE)</f>
        <v>Bart Van Der Beken</v>
      </c>
      <c r="G911" s="28"/>
      <c r="H911" s="28"/>
      <c r="I911" s="28"/>
      <c r="S911" s="25">
        <f>SUM(bron[[#This Row],[Januari]:[December]])</f>
        <v>0</v>
      </c>
      <c r="T911" s="30">
        <v>45944</v>
      </c>
      <c r="U911" s="5" t="s">
        <v>3699</v>
      </c>
      <c r="V911" s="26"/>
      <c r="W911" s="26"/>
      <c r="X911" t="s">
        <v>3493</v>
      </c>
      <c r="Y911" t="s">
        <v>3544</v>
      </c>
      <c r="Z911" s="2">
        <v>5934</v>
      </c>
      <c r="AA911" s="32" t="s">
        <v>3539</v>
      </c>
      <c r="AB911">
        <f>COUNTIF(B:B,bron[[#This Row],[volledige naam]])</f>
        <v>1</v>
      </c>
    </row>
    <row r="912" spans="1:28" x14ac:dyDescent="0.25">
      <c r="A912">
        <v>42252</v>
      </c>
      <c r="B912" t="str">
        <f>_xlfn.CONCAT(bron[[#This Row],[personeelsnr]]," ",bron[[#This Row],[achternaam]]," ",bron[[#This Row],[voornaam]])</f>
        <v>42252 Sular Abdullah</v>
      </c>
      <c r="C912" t="str">
        <f>VLOOKUP(bron[[#This Row],[personeelsnr]],'data hastus'!$A:$C,2,0)</f>
        <v>Sular</v>
      </c>
      <c r="D912" t="str">
        <f>VLOOKUP(bron[[#This Row],[personeelsnr]],'data hastus'!$A:$C,3,0)</f>
        <v>Abdullah</v>
      </c>
      <c r="E912" s="2" t="str">
        <f>VLOOKUP(bron[[#This Row],[personeelsnr]],'data hastus'!A:K,11,FALSE)</f>
        <v>Christoff Rotty</v>
      </c>
      <c r="G912" s="28"/>
      <c r="H912" s="28"/>
      <c r="I912" s="28"/>
      <c r="S912" s="25">
        <f>SUM(bron[[#This Row],[Januari]:[December]])</f>
        <v>0</v>
      </c>
      <c r="T912" s="30">
        <v>45945</v>
      </c>
      <c r="U912" s="5" t="s">
        <v>3696</v>
      </c>
      <c r="V912" s="26"/>
      <c r="W912" s="26"/>
      <c r="X912" t="s">
        <v>3493</v>
      </c>
      <c r="Y912" t="s">
        <v>589</v>
      </c>
      <c r="Z912" s="2">
        <v>5910</v>
      </c>
      <c r="AA912" s="32" t="s">
        <v>3540</v>
      </c>
      <c r="AB912">
        <f>COUNTIF(B:B,bron[[#This Row],[volledige naam]])</f>
        <v>5</v>
      </c>
    </row>
    <row r="913" spans="1:28" x14ac:dyDescent="0.25">
      <c r="A913">
        <v>42252</v>
      </c>
      <c r="B913" t="str">
        <f>_xlfn.CONCAT(bron[[#This Row],[personeelsnr]]," ",bron[[#This Row],[achternaam]]," ",bron[[#This Row],[voornaam]])</f>
        <v>42252 Sular Abdullah</v>
      </c>
      <c r="C913" t="str">
        <f>VLOOKUP(bron[[#This Row],[personeelsnr]],'data hastus'!$A:$C,2,0)</f>
        <v>Sular</v>
      </c>
      <c r="D913" t="str">
        <f>VLOOKUP(bron[[#This Row],[personeelsnr]],'data hastus'!$A:$C,3,0)</f>
        <v>Abdullah</v>
      </c>
      <c r="E913" s="2" t="str">
        <f>VLOOKUP(bron[[#This Row],[personeelsnr]],'data hastus'!A:K,11,FALSE)</f>
        <v>Christoff Rotty</v>
      </c>
      <c r="F913" s="10"/>
      <c r="G913" s="28"/>
      <c r="H913" s="28"/>
      <c r="I913" s="28"/>
      <c r="S913" s="25">
        <f>SUM(bron[[#This Row],[Januari]:[December]])</f>
        <v>0</v>
      </c>
      <c r="T913" s="30">
        <v>45947</v>
      </c>
      <c r="U913" s="5" t="s">
        <v>3706</v>
      </c>
      <c r="V913" s="26"/>
      <c r="W913" s="26"/>
      <c r="X913" t="s">
        <v>3493</v>
      </c>
      <c r="Y913" t="s">
        <v>188</v>
      </c>
      <c r="Z913" s="2">
        <v>5927</v>
      </c>
      <c r="AA913" s="32" t="s">
        <v>3539</v>
      </c>
      <c r="AB913">
        <f>COUNTIF(B:B,bron[[#This Row],[volledige naam]])</f>
        <v>5</v>
      </c>
    </row>
    <row r="914" spans="1:28" x14ac:dyDescent="0.25">
      <c r="A914">
        <v>20543</v>
      </c>
      <c r="B914" t="str">
        <f>_xlfn.CONCAT(bron[[#This Row],[personeelsnr]]," ",bron[[#This Row],[achternaam]]," ",bron[[#This Row],[voornaam]])</f>
        <v>20543 Pekdemir Ilkmur</v>
      </c>
      <c r="C914" t="str">
        <f>VLOOKUP(bron[[#This Row],[personeelsnr]],'data hastus'!$A:$C,2,0)</f>
        <v>Pekdemir</v>
      </c>
      <c r="D914" t="str">
        <f>VLOOKUP(bron[[#This Row],[personeelsnr]],'data hastus'!$A:$C,3,0)</f>
        <v>Ilkmur</v>
      </c>
      <c r="E914" s="2" t="str">
        <f>VLOOKUP(bron[[#This Row],[personeelsnr]],'data hastus'!A:K,11,FALSE)</f>
        <v>Kenneth De Rick</v>
      </c>
      <c r="F914" s="10"/>
      <c r="G914" s="28"/>
      <c r="H914" s="28"/>
      <c r="I914" s="28"/>
      <c r="S914" s="25">
        <f>SUM(bron[[#This Row],[Januari]:[December]])</f>
        <v>0</v>
      </c>
      <c r="T914" s="30">
        <v>45947</v>
      </c>
      <c r="U914" s="5" t="s">
        <v>3726</v>
      </c>
      <c r="V914" s="26"/>
      <c r="W914" s="26"/>
      <c r="X914" t="s">
        <v>3528</v>
      </c>
      <c r="Y914" t="s">
        <v>180</v>
      </c>
      <c r="Z914" s="2">
        <v>6314</v>
      </c>
      <c r="AA914" s="32" t="s">
        <v>3539</v>
      </c>
      <c r="AB914">
        <f>COUNTIF(B:B,bron[[#This Row],[volledige naam]])</f>
        <v>1</v>
      </c>
    </row>
    <row r="915" spans="1:28" x14ac:dyDescent="0.25">
      <c r="A915">
        <v>41870</v>
      </c>
      <c r="B915" t="str">
        <f>_xlfn.CONCAT(bron[[#This Row],[personeelsnr]]," ",bron[[#This Row],[achternaam]]," ",bron[[#This Row],[voornaam]])</f>
        <v>41870 Goossens Yannick</v>
      </c>
      <c r="C915" t="str">
        <f>VLOOKUP(bron[[#This Row],[personeelsnr]],'data hastus'!$A:$C,2,0)</f>
        <v>Goossens</v>
      </c>
      <c r="D915" t="str">
        <f>VLOOKUP(bron[[#This Row],[personeelsnr]],'data hastus'!$A:$C,3,0)</f>
        <v>Yannick</v>
      </c>
      <c r="E915" s="2" t="str">
        <f>VLOOKUP(bron[[#This Row],[personeelsnr]],'data hastus'!A:K,11,FALSE)</f>
        <v>Steven Storm</v>
      </c>
      <c r="F915" s="10"/>
      <c r="G915" s="28"/>
      <c r="H915" s="28"/>
      <c r="I915" s="28"/>
      <c r="S915" s="25">
        <f>SUM(bron[[#This Row],[Januari]:[December]])</f>
        <v>0</v>
      </c>
      <c r="T915" s="30">
        <v>45948</v>
      </c>
      <c r="U915" s="5" t="s">
        <v>3705</v>
      </c>
      <c r="V915" s="26"/>
      <c r="W915" s="26"/>
      <c r="X915" t="s">
        <v>3493</v>
      </c>
      <c r="Y915" t="s">
        <v>67</v>
      </c>
      <c r="Z915" s="2">
        <v>550822</v>
      </c>
      <c r="AA915" s="32" t="s">
        <v>3540</v>
      </c>
      <c r="AB915">
        <f>COUNTIF(B:B,bron[[#This Row],[volledige naam]])</f>
        <v>1</v>
      </c>
    </row>
    <row r="916" spans="1:28" x14ac:dyDescent="0.25">
      <c r="A916">
        <v>20653</v>
      </c>
      <c r="B916" t="str">
        <f>_xlfn.CONCAT(bron[[#This Row],[personeelsnr]]," ",bron[[#This Row],[achternaam]]," ",bron[[#This Row],[voornaam]])</f>
        <v>20653 Mestdag Marius</v>
      </c>
      <c r="C916" t="str">
        <f>VLOOKUP(bron[[#This Row],[personeelsnr]],'data hastus'!$A:$C,2,0)</f>
        <v>Mestdag</v>
      </c>
      <c r="D916" t="str">
        <f>VLOOKUP(bron[[#This Row],[personeelsnr]],'data hastus'!$A:$C,3,0)</f>
        <v>Marius</v>
      </c>
      <c r="E916" s="2" t="str">
        <f>VLOOKUP(bron[[#This Row],[personeelsnr]],'data hastus'!A:K,11,FALSE)</f>
        <v>Bart Van Der Beken</v>
      </c>
      <c r="G916" s="28"/>
      <c r="H916" s="28"/>
      <c r="I916" s="28"/>
      <c r="S916" s="25">
        <f>SUM(bron[[#This Row],[Januari]:[December]])</f>
        <v>0</v>
      </c>
      <c r="T916" s="30">
        <v>45950</v>
      </c>
      <c r="U916" s="5" t="s">
        <v>3701</v>
      </c>
      <c r="V916" s="26"/>
      <c r="W916" s="26"/>
      <c r="X916" t="s">
        <v>3529</v>
      </c>
      <c r="Y916" t="s">
        <v>3702</v>
      </c>
      <c r="Z916" s="2">
        <v>6366</v>
      </c>
      <c r="AA916" s="32" t="s">
        <v>3539</v>
      </c>
      <c r="AB916">
        <f>COUNTIF(B:B,bron[[#This Row],[volledige naam]])</f>
        <v>3</v>
      </c>
    </row>
    <row r="917" spans="1:28" x14ac:dyDescent="0.25">
      <c r="A917">
        <v>40938</v>
      </c>
      <c r="B917" t="str">
        <f>_xlfn.CONCAT(bron[[#This Row],[personeelsnr]]," ",bron[[#This Row],[achternaam]]," ",bron[[#This Row],[voornaam]])</f>
        <v>40938 Hasnaoui Nejmeddine</v>
      </c>
      <c r="C917" t="str">
        <f>VLOOKUP(bron[[#This Row],[personeelsnr]],'data hastus'!$A:$C,2,0)</f>
        <v>Hasnaoui</v>
      </c>
      <c r="D917" t="str">
        <f>VLOOKUP(bron[[#This Row],[personeelsnr]],'data hastus'!$A:$C,3,0)</f>
        <v>Nejmeddine</v>
      </c>
      <c r="E917" s="2" t="str">
        <f>VLOOKUP(bron[[#This Row],[personeelsnr]],'data hastus'!A:K,11,FALSE)</f>
        <v>Dominique De Clercq</v>
      </c>
      <c r="F917" s="10"/>
      <c r="G917" s="28"/>
      <c r="H917" s="28"/>
      <c r="I917" s="28"/>
      <c r="S917" s="25">
        <f>SUM(bron[[#This Row],[Januari]:[December]])</f>
        <v>0</v>
      </c>
      <c r="T917" s="30">
        <v>45951</v>
      </c>
      <c r="U917" s="5" t="s">
        <v>3707</v>
      </c>
      <c r="V917" s="26"/>
      <c r="W917" s="26"/>
      <c r="X917" t="s">
        <v>3494</v>
      </c>
      <c r="Y917" t="s">
        <v>3708</v>
      </c>
      <c r="Z917" s="2">
        <v>5259</v>
      </c>
      <c r="AA917" s="32" t="s">
        <v>3540</v>
      </c>
      <c r="AB917">
        <f>COUNTIF(B:B,bron[[#This Row],[volledige naam]])</f>
        <v>4</v>
      </c>
    </row>
    <row r="918" spans="1:28" x14ac:dyDescent="0.25">
      <c r="A918">
        <v>30321</v>
      </c>
      <c r="B918" t="str">
        <f>_xlfn.CONCAT(bron[[#This Row],[personeelsnr]]," ",bron[[#This Row],[achternaam]]," ",bron[[#This Row],[voornaam]])</f>
        <v>30321 Unver Ismaïl</v>
      </c>
      <c r="C918" t="str">
        <f>VLOOKUP(bron[[#This Row],[personeelsnr]],'data hastus'!$A:$C,2,0)</f>
        <v>Unver</v>
      </c>
      <c r="D918" t="str">
        <f>VLOOKUP(bron[[#This Row],[personeelsnr]],'data hastus'!$A:$C,3,0)</f>
        <v>Ismaïl</v>
      </c>
      <c r="E918" s="2" t="str">
        <f>VLOOKUP(bron[[#This Row],[personeelsnr]],'data hastus'!A:K,11,FALSE)</f>
        <v>Kenneth De Rick</v>
      </c>
      <c r="F918" s="10"/>
      <c r="G918" s="28"/>
      <c r="H918" s="28"/>
      <c r="I918" s="28"/>
      <c r="S918" s="25">
        <f>SUM(bron[[#This Row],[Januari]:[December]])</f>
        <v>0</v>
      </c>
      <c r="T918" s="30">
        <v>45951</v>
      </c>
      <c r="U918" s="5" t="s">
        <v>3712</v>
      </c>
      <c r="V918" s="26"/>
      <c r="W918" s="26"/>
      <c r="X918" t="s">
        <v>3493</v>
      </c>
      <c r="Y918" t="s">
        <v>32</v>
      </c>
      <c r="Z918" s="2">
        <v>5767</v>
      </c>
      <c r="AA918" s="32" t="s">
        <v>3539</v>
      </c>
      <c r="AB918">
        <f>COUNTIF(B:B,bron[[#This Row],[volledige naam]])</f>
        <v>2</v>
      </c>
    </row>
    <row r="919" spans="1:28" x14ac:dyDescent="0.25">
      <c r="A919">
        <v>40138</v>
      </c>
      <c r="B919" t="str">
        <f>_xlfn.CONCAT(bron[[#This Row],[personeelsnr]]," ",bron[[#This Row],[achternaam]]," ",bron[[#This Row],[voornaam]])</f>
        <v>40138 Moerman Tjimmy</v>
      </c>
      <c r="C919" t="str">
        <f>VLOOKUP(bron[[#This Row],[personeelsnr]],'data hastus'!$A:$C,2,0)</f>
        <v>Moerman</v>
      </c>
      <c r="D919" t="str">
        <f>VLOOKUP(bron[[#This Row],[personeelsnr]],'data hastus'!$A:$C,3,0)</f>
        <v>Tjimmy</v>
      </c>
      <c r="E919" s="2" t="str">
        <f>VLOOKUP(bron[[#This Row],[personeelsnr]],'data hastus'!A:K,11,FALSE)</f>
        <v>Christoff Rotty</v>
      </c>
      <c r="F919" s="10"/>
      <c r="G919" s="28"/>
      <c r="H919" s="28"/>
      <c r="I919" s="28"/>
      <c r="S919" s="25">
        <f>SUM(bron[[#This Row],[Januari]:[December]])</f>
        <v>0</v>
      </c>
      <c r="T919" s="30">
        <v>45952</v>
      </c>
      <c r="U919" s="5" t="s">
        <v>3709</v>
      </c>
      <c r="V919" s="26"/>
      <c r="W919" s="26"/>
      <c r="X919" t="s">
        <v>3494</v>
      </c>
      <c r="Y919" t="s">
        <v>3710</v>
      </c>
      <c r="Z919" s="2">
        <v>2195</v>
      </c>
      <c r="AA919" s="32" t="s">
        <v>3539</v>
      </c>
      <c r="AB919">
        <f>COUNTIF(B:B,bron[[#This Row],[volledige naam]])</f>
        <v>10</v>
      </c>
    </row>
    <row r="920" spans="1:28" x14ac:dyDescent="0.25">
      <c r="A920">
        <v>16895</v>
      </c>
      <c r="B920" t="str">
        <f>_xlfn.CONCAT(bron[[#This Row],[personeelsnr]]," ",bron[[#This Row],[achternaam]]," ",bron[[#This Row],[voornaam]])</f>
        <v>16895 Van Lauwe Freddy</v>
      </c>
      <c r="C920" t="str">
        <f>VLOOKUP(bron[[#This Row],[personeelsnr]],'data hastus'!$A:$C,2,0)</f>
        <v>Van Lauwe</v>
      </c>
      <c r="D920" t="str">
        <f>VLOOKUP(bron[[#This Row],[personeelsnr]],'data hastus'!$A:$C,3,0)</f>
        <v>Freddy</v>
      </c>
      <c r="E920" s="2" t="str">
        <f>VLOOKUP(bron[[#This Row],[personeelsnr]],'data hastus'!A:K,11,FALSE)</f>
        <v>Bart Van Der Beken</v>
      </c>
      <c r="F920" s="10"/>
      <c r="G920" s="28"/>
      <c r="H920" s="28"/>
      <c r="I920" s="28"/>
      <c r="S920" s="25">
        <f>SUM(bron[[#This Row],[Januari]:[December]])</f>
        <v>0</v>
      </c>
      <c r="T920" s="30">
        <v>45952</v>
      </c>
      <c r="U920" s="5" t="s">
        <v>3714</v>
      </c>
      <c r="V920" s="26"/>
      <c r="W920" s="26"/>
      <c r="X920" t="s">
        <v>3528</v>
      </c>
      <c r="Y920" t="s">
        <v>246</v>
      </c>
      <c r="Z920" s="2">
        <v>6337</v>
      </c>
      <c r="AA920" s="32" t="s">
        <v>3539</v>
      </c>
      <c r="AB920">
        <f>COUNTIF(B:B,bron[[#This Row],[volledige naam]])</f>
        <v>6</v>
      </c>
    </row>
    <row r="921" spans="1:28" x14ac:dyDescent="0.25">
      <c r="A921">
        <v>35645</v>
      </c>
      <c r="B921" t="str">
        <f>_xlfn.CONCAT(bron[[#This Row],[personeelsnr]]," ",bron[[#This Row],[achternaam]]," ",bron[[#This Row],[voornaam]])</f>
        <v>35645 Jalili Yaseeb</v>
      </c>
      <c r="C921" t="str">
        <f>VLOOKUP(bron[[#This Row],[personeelsnr]],'data hastus'!$A:$C,2,0)</f>
        <v>Jalili</v>
      </c>
      <c r="D921" t="str">
        <f>VLOOKUP(bron[[#This Row],[personeelsnr]],'data hastus'!$A:$C,3,0)</f>
        <v>Yaseeb</v>
      </c>
      <c r="E921" s="2" t="str">
        <f>VLOOKUP(bron[[#This Row],[personeelsnr]],'data hastus'!A:K,11,FALSE)</f>
        <v>Steven Storm</v>
      </c>
      <c r="F921" s="10"/>
      <c r="G921" s="28"/>
      <c r="H921" s="28"/>
      <c r="I921" s="28"/>
      <c r="S921" s="25">
        <f>SUM(bron[[#This Row],[Januari]:[December]])</f>
        <v>0</v>
      </c>
      <c r="T921" s="30">
        <v>45954</v>
      </c>
      <c r="U921" s="5" t="s">
        <v>3716</v>
      </c>
      <c r="V921" s="26"/>
      <c r="W921" s="26"/>
      <c r="X921" t="s">
        <v>3493</v>
      </c>
      <c r="Y921" t="s">
        <v>6</v>
      </c>
      <c r="Z921" s="2">
        <v>5764</v>
      </c>
      <c r="AA921" s="32" t="s">
        <v>3539</v>
      </c>
      <c r="AB921">
        <f>COUNTIF(B:B,bron[[#This Row],[volledige naam]])</f>
        <v>4</v>
      </c>
    </row>
    <row r="922" spans="1:28" x14ac:dyDescent="0.25">
      <c r="A922">
        <v>16895</v>
      </c>
      <c r="B922" t="str">
        <f>_xlfn.CONCAT(bron[[#This Row],[personeelsnr]]," ",bron[[#This Row],[achternaam]]," ",bron[[#This Row],[voornaam]])</f>
        <v>16895 Van Lauwe Freddy</v>
      </c>
      <c r="C922" t="str">
        <f>VLOOKUP(bron[[#This Row],[personeelsnr]],'data hastus'!$A:$C,2,0)</f>
        <v>Van Lauwe</v>
      </c>
      <c r="D922" t="str">
        <f>VLOOKUP(bron[[#This Row],[personeelsnr]],'data hastus'!$A:$C,3,0)</f>
        <v>Freddy</v>
      </c>
      <c r="E922" s="2" t="str">
        <f>VLOOKUP(bron[[#This Row],[personeelsnr]],'data hastus'!A:K,11,FALSE)</f>
        <v>Bart Van Der Beken</v>
      </c>
      <c r="F922" s="10"/>
      <c r="G922" s="28"/>
      <c r="H922" s="28"/>
      <c r="I922" s="28"/>
      <c r="S922" s="25">
        <f>SUM(bron[[#This Row],[Januari]:[December]])</f>
        <v>0</v>
      </c>
      <c r="T922" s="30">
        <v>45954</v>
      </c>
      <c r="U922" s="5" t="s">
        <v>3729</v>
      </c>
      <c r="V922" s="26"/>
      <c r="W922" s="26"/>
      <c r="X922" t="s">
        <v>3529</v>
      </c>
      <c r="Y922" t="s">
        <v>20</v>
      </c>
      <c r="Z922" s="2">
        <v>6368</v>
      </c>
      <c r="AA922" s="32" t="s">
        <v>3539</v>
      </c>
      <c r="AB922">
        <f>COUNTIF(B:B,bron[[#This Row],[volledige naam]])</f>
        <v>6</v>
      </c>
    </row>
    <row r="923" spans="1:28" x14ac:dyDescent="0.25">
      <c r="A923">
        <v>42307</v>
      </c>
      <c r="B923" t="str">
        <f>_xlfn.CONCAT(bron[[#This Row],[personeelsnr]]," ",bron[[#This Row],[achternaam]]," ",bron[[#This Row],[voornaam]])</f>
        <v>42307 Helleputte Jens</v>
      </c>
      <c r="C923" t="str">
        <f>VLOOKUP(bron[[#This Row],[personeelsnr]],'data hastus'!$A:$C,2,0)</f>
        <v>Helleputte</v>
      </c>
      <c r="D923" t="str">
        <f>VLOOKUP(bron[[#This Row],[personeelsnr]],'data hastus'!$A:$C,3,0)</f>
        <v>Jens</v>
      </c>
      <c r="E923" s="2" t="str">
        <f>VLOOKUP(bron[[#This Row],[personeelsnr]],'data hastus'!A:K,11,FALSE)</f>
        <v>Christoff Rotty</v>
      </c>
      <c r="F923" s="10"/>
      <c r="G923" s="28"/>
      <c r="H923" s="28"/>
      <c r="I923" s="28"/>
      <c r="S923" s="25">
        <f>SUM(bron[[#This Row],[Januari]:[December]])</f>
        <v>0</v>
      </c>
      <c r="T923" s="30">
        <v>45955</v>
      </c>
      <c r="U923" s="5" t="s">
        <v>3719</v>
      </c>
      <c r="V923" s="26"/>
      <c r="W923" s="26"/>
      <c r="X923" t="s">
        <v>3493</v>
      </c>
      <c r="Y923" t="s">
        <v>67</v>
      </c>
      <c r="Z923" s="2">
        <v>5767</v>
      </c>
      <c r="AA923" s="32" t="s">
        <v>3539</v>
      </c>
      <c r="AB923">
        <f>COUNTIF(B:B,bron[[#This Row],[volledige naam]])</f>
        <v>3</v>
      </c>
    </row>
    <row r="924" spans="1:28" x14ac:dyDescent="0.25">
      <c r="A924">
        <v>27673</v>
      </c>
      <c r="B924" t="str">
        <f>_xlfn.CONCAT(bron[[#This Row],[personeelsnr]]," ",bron[[#This Row],[achternaam]]," ",bron[[#This Row],[voornaam]])</f>
        <v>27673 Verbanck Koen</v>
      </c>
      <c r="C924" t="str">
        <f>VLOOKUP(bron[[#This Row],[personeelsnr]],'data hastus'!$A:$C,2,0)</f>
        <v>Verbanck</v>
      </c>
      <c r="D924" t="str">
        <f>VLOOKUP(bron[[#This Row],[personeelsnr]],'data hastus'!$A:$C,3,0)</f>
        <v>Koen</v>
      </c>
      <c r="E924" s="2" t="str">
        <f>VLOOKUP(bron[[#This Row],[personeelsnr]],'data hastus'!A:K,11,FALSE)</f>
        <v>Christoff Rotty</v>
      </c>
      <c r="F924" s="10"/>
      <c r="G924" s="28"/>
      <c r="H924" s="28"/>
      <c r="I924" s="28"/>
      <c r="S924" s="25">
        <f>SUM(bron[[#This Row],[Januari]:[December]])</f>
        <v>0</v>
      </c>
      <c r="T924" s="30">
        <v>45955</v>
      </c>
      <c r="U924" s="5" t="s">
        <v>3730</v>
      </c>
      <c r="V924" s="26"/>
      <c r="W924" s="26"/>
      <c r="X924" t="s">
        <v>3529</v>
      </c>
      <c r="Y924" t="s">
        <v>1293</v>
      </c>
      <c r="Z924" s="2">
        <v>6375</v>
      </c>
      <c r="AA924" s="32" t="s">
        <v>3539</v>
      </c>
      <c r="AB924">
        <f>COUNTIF(B:B,bron[[#This Row],[volledige naam]])</f>
        <v>1</v>
      </c>
    </row>
    <row r="925" spans="1:28" x14ac:dyDescent="0.25">
      <c r="A925">
        <v>15220</v>
      </c>
      <c r="B925" t="str">
        <f>_xlfn.CONCAT(bron[[#This Row],[personeelsnr]]," ",bron[[#This Row],[achternaam]]," ",bron[[#This Row],[voornaam]])</f>
        <v>15220 Dejonghe Katleen</v>
      </c>
      <c r="C925" t="str">
        <f>VLOOKUP(bron[[#This Row],[personeelsnr]],'data hastus'!$A:$C,2,0)</f>
        <v>Dejonghe</v>
      </c>
      <c r="D925" t="str">
        <f>VLOOKUP(bron[[#This Row],[personeelsnr]],'data hastus'!$A:$C,3,0)</f>
        <v>Katleen</v>
      </c>
      <c r="E925" s="2" t="str">
        <f>VLOOKUP(bron[[#This Row],[personeelsnr]],'data hastus'!A:K,11,FALSE)</f>
        <v>Dominique De Clercq</v>
      </c>
      <c r="F925" s="10"/>
      <c r="G925" s="28"/>
      <c r="H925" s="28"/>
      <c r="I925" s="28"/>
      <c r="S925" s="25">
        <f>SUM(bron[[#This Row],[Januari]:[December]])</f>
        <v>0</v>
      </c>
      <c r="T925" s="30">
        <v>45956</v>
      </c>
      <c r="U925" s="5" t="s">
        <v>3715</v>
      </c>
      <c r="V925" s="26"/>
      <c r="W925" s="26"/>
      <c r="X925" t="s">
        <v>3528</v>
      </c>
      <c r="Y925" t="s">
        <v>3489</v>
      </c>
      <c r="Z925" s="2">
        <v>6321</v>
      </c>
      <c r="AA925" s="32" t="s">
        <v>3539</v>
      </c>
      <c r="AB925">
        <f>COUNTIF(B:B,bron[[#This Row],[volledige naam]])</f>
        <v>1</v>
      </c>
    </row>
    <row r="926" spans="1:28" x14ac:dyDescent="0.25">
      <c r="A926">
        <v>27209</v>
      </c>
      <c r="B926" t="str">
        <f>_xlfn.CONCAT(bron[[#This Row],[personeelsnr]]," ",bron[[#This Row],[achternaam]]," ",bron[[#This Row],[voornaam]])</f>
        <v>27209 Meyvaert Steven</v>
      </c>
      <c r="C926" t="str">
        <f>VLOOKUP(bron[[#This Row],[personeelsnr]],'data hastus'!$A:$C,2,0)</f>
        <v>Meyvaert</v>
      </c>
      <c r="D926" t="str">
        <f>VLOOKUP(bron[[#This Row],[personeelsnr]],'data hastus'!$A:$C,3,0)</f>
        <v>Steven</v>
      </c>
      <c r="E926" s="2" t="str">
        <f>VLOOKUP(bron[[#This Row],[personeelsnr]],'data hastus'!A:K,11,FALSE)</f>
        <v>Els Dewulf</v>
      </c>
      <c r="F926" s="10"/>
      <c r="G926" s="28"/>
      <c r="H926" s="28"/>
      <c r="I926" s="28"/>
      <c r="S926" s="25">
        <f>SUM(bron[[#This Row],[Januari]:[December]])</f>
        <v>0</v>
      </c>
      <c r="T926" s="30">
        <v>45956</v>
      </c>
      <c r="U926" s="5" t="s">
        <v>3725</v>
      </c>
      <c r="V926" s="26"/>
      <c r="W926" s="26"/>
      <c r="X926" t="s">
        <v>3494</v>
      </c>
      <c r="Y926" t="s">
        <v>8</v>
      </c>
      <c r="Z926" s="2">
        <v>5232</v>
      </c>
      <c r="AA926" s="32" t="s">
        <v>3539</v>
      </c>
      <c r="AB926">
        <f>COUNTIF(B:B,bron[[#This Row],[volledige naam]])</f>
        <v>3</v>
      </c>
    </row>
    <row r="927" spans="1:28" x14ac:dyDescent="0.25">
      <c r="A927">
        <v>5559</v>
      </c>
      <c r="B927" t="str">
        <f>_xlfn.CONCAT(bron[[#This Row],[personeelsnr]]," ",bron[[#This Row],[achternaam]]," ",bron[[#This Row],[voornaam]])</f>
        <v>5559 Hoste Tania</v>
      </c>
      <c r="C927" t="str">
        <f>VLOOKUP(bron[[#This Row],[personeelsnr]],'data hastus'!$A:$C,2,0)</f>
        <v>Hoste</v>
      </c>
      <c r="D927" t="str">
        <f>VLOOKUP(bron[[#This Row],[personeelsnr]],'data hastus'!$A:$C,3,0)</f>
        <v>Tania</v>
      </c>
      <c r="E927" s="2" t="str">
        <f>VLOOKUP(bron[[#This Row],[personeelsnr]],'data hastus'!A:K,11,FALSE)</f>
        <v>Steven Storm</v>
      </c>
      <c r="F927" s="10"/>
      <c r="G927" s="28"/>
      <c r="H927" s="28"/>
      <c r="I927" s="28"/>
      <c r="S927" s="25">
        <f>SUM(bron[[#This Row],[Januari]:[December]])</f>
        <v>0</v>
      </c>
      <c r="T927" s="30">
        <v>45957</v>
      </c>
      <c r="U927" s="5" t="s">
        <v>3718</v>
      </c>
      <c r="V927" s="26"/>
      <c r="W927" s="26"/>
      <c r="X927" t="s">
        <v>3529</v>
      </c>
      <c r="Y927" t="s">
        <v>12</v>
      </c>
      <c r="Z927" s="2">
        <v>6374</v>
      </c>
      <c r="AA927" s="32" t="s">
        <v>3540</v>
      </c>
      <c r="AB927">
        <f>COUNTIF(B:B,bron[[#This Row],[volledige naam]])</f>
        <v>2</v>
      </c>
    </row>
    <row r="928" spans="1:28" x14ac:dyDescent="0.25">
      <c r="A928">
        <v>40278</v>
      </c>
      <c r="B928" t="str">
        <f>_xlfn.CONCAT(bron[[#This Row],[personeelsnr]]," ",bron[[#This Row],[achternaam]]," ",bron[[#This Row],[voornaam]])</f>
        <v>40278 Ates Firat</v>
      </c>
      <c r="C928" t="str">
        <f>VLOOKUP(bron[[#This Row],[personeelsnr]],'data hastus'!$A:$C,2,0)</f>
        <v>Ates</v>
      </c>
      <c r="D928" t="str">
        <f>VLOOKUP(bron[[#This Row],[personeelsnr]],'data hastus'!$A:$C,3,0)</f>
        <v>Firat</v>
      </c>
      <c r="E928" s="2" t="str">
        <f>VLOOKUP(bron[[#This Row],[personeelsnr]],'data hastus'!A:K,11,FALSE)</f>
        <v>Christoff Rotty</v>
      </c>
      <c r="F928" s="10"/>
      <c r="G928" s="28"/>
      <c r="H928" s="28"/>
      <c r="I928" s="28"/>
      <c r="S928" s="25">
        <f>SUM(bron[[#This Row],[Januari]:[December]])</f>
        <v>0</v>
      </c>
      <c r="T928" s="30">
        <v>45957</v>
      </c>
      <c r="U928" s="5" t="s">
        <v>3721</v>
      </c>
      <c r="V928" s="26"/>
      <c r="W928" s="26"/>
      <c r="X928" t="s">
        <v>3492</v>
      </c>
      <c r="Y928" t="s">
        <v>3722</v>
      </c>
      <c r="Z928" s="2">
        <v>5271</v>
      </c>
      <c r="AA928" s="32" t="s">
        <v>3539</v>
      </c>
      <c r="AB928">
        <f>COUNTIF(B:B,bron[[#This Row],[volledige naam]])</f>
        <v>4</v>
      </c>
    </row>
    <row r="929" spans="1:28" x14ac:dyDescent="0.25">
      <c r="A929">
        <v>37345</v>
      </c>
      <c r="B929" t="str">
        <f>_xlfn.CONCAT(bron[[#This Row],[personeelsnr]]," ",bron[[#This Row],[achternaam]]," ",bron[[#This Row],[voornaam]])</f>
        <v>37345 Walleyn Renaat</v>
      </c>
      <c r="C929" t="str">
        <f>VLOOKUP(bron[[#This Row],[personeelsnr]],'data hastus'!$A:$C,2,0)</f>
        <v>Walleyn</v>
      </c>
      <c r="D929" t="str">
        <f>VLOOKUP(bron[[#This Row],[personeelsnr]],'data hastus'!$A:$C,3,0)</f>
        <v>Renaat</v>
      </c>
      <c r="E929" s="2" t="str">
        <f>VLOOKUP(bron[[#This Row],[personeelsnr]],'data hastus'!A:K,11,FALSE)</f>
        <v>Lucie Vande Velde</v>
      </c>
      <c r="F929" s="10"/>
      <c r="G929" s="28"/>
      <c r="H929" s="28"/>
      <c r="I929" s="28"/>
      <c r="S929" s="25">
        <f>SUM(bron[[#This Row],[Januari]:[December]])</f>
        <v>0</v>
      </c>
      <c r="T929" s="30">
        <v>45958</v>
      </c>
      <c r="U929" s="5" t="s">
        <v>3720</v>
      </c>
      <c r="V929" s="26"/>
      <c r="W929" s="26"/>
      <c r="X929" t="s">
        <v>3528</v>
      </c>
      <c r="Y929" t="s">
        <v>231</v>
      </c>
      <c r="Z929" s="2">
        <v>6318</v>
      </c>
      <c r="AA929" s="32" t="s">
        <v>3539</v>
      </c>
      <c r="AB929">
        <f>COUNTIF(B:B,bron[[#This Row],[volledige naam]])</f>
        <v>3</v>
      </c>
    </row>
    <row r="930" spans="1:28" x14ac:dyDescent="0.25">
      <c r="A930">
        <v>34328</v>
      </c>
      <c r="B930" t="str">
        <f>_xlfn.CONCAT(bron[[#This Row],[personeelsnr]]," ",bron[[#This Row],[achternaam]]," ",bron[[#This Row],[voornaam]])</f>
        <v>34328 Kerremans Jürgen</v>
      </c>
      <c r="C930" t="str">
        <f>VLOOKUP(bron[[#This Row],[personeelsnr]],'data hastus'!$A:$C,2,0)</f>
        <v>Kerremans</v>
      </c>
      <c r="D930" t="str">
        <f>VLOOKUP(bron[[#This Row],[personeelsnr]],'data hastus'!$A:$C,3,0)</f>
        <v>Jürgen</v>
      </c>
      <c r="E930" s="2" t="str">
        <f>VLOOKUP(bron[[#This Row],[personeelsnr]],'data hastus'!A:K,11,FALSE)</f>
        <v>Kenneth De Rick</v>
      </c>
      <c r="F930" s="10"/>
      <c r="G930" s="28"/>
      <c r="H930" s="28"/>
      <c r="I930" s="28"/>
      <c r="S930" s="25">
        <f>SUM(bron[[#This Row],[Januari]:[December]])</f>
        <v>0</v>
      </c>
      <c r="T930" s="30">
        <v>45959</v>
      </c>
      <c r="U930" s="5" t="s">
        <v>3741</v>
      </c>
      <c r="V930" s="26"/>
      <c r="W930" s="26"/>
      <c r="X930" t="s">
        <v>3528</v>
      </c>
      <c r="Y930" t="s">
        <v>2</v>
      </c>
      <c r="Z930" s="2">
        <v>6334</v>
      </c>
      <c r="AA930" s="32" t="s">
        <v>3539</v>
      </c>
      <c r="AB930">
        <f>COUNTIF(B:B,bron[[#This Row],[volledige naam]])</f>
        <v>4</v>
      </c>
    </row>
    <row r="931" spans="1:28" x14ac:dyDescent="0.25">
      <c r="A931">
        <v>40938</v>
      </c>
      <c r="B931" t="str">
        <f>_xlfn.CONCAT(bron[[#This Row],[personeelsnr]]," ",bron[[#This Row],[achternaam]]," ",bron[[#This Row],[voornaam]])</f>
        <v>40938 Hasnaoui Nejmeddine</v>
      </c>
      <c r="C931" t="str">
        <f>VLOOKUP(bron[[#This Row],[personeelsnr]],'data hastus'!$A:$C,2,0)</f>
        <v>Hasnaoui</v>
      </c>
      <c r="D931" t="str">
        <f>VLOOKUP(bron[[#This Row],[personeelsnr]],'data hastus'!$A:$C,3,0)</f>
        <v>Nejmeddine</v>
      </c>
      <c r="E931" s="2" t="str">
        <f>VLOOKUP(bron[[#This Row],[personeelsnr]],'data hastus'!A:K,11,FALSE)</f>
        <v>Dominique De Clercq</v>
      </c>
      <c r="F931" s="10"/>
      <c r="G931" s="28"/>
      <c r="H931" s="28"/>
      <c r="I931" s="28"/>
      <c r="S931" s="25">
        <f>SUM(bron[[#This Row],[Januari]:[December]])</f>
        <v>0</v>
      </c>
      <c r="T931" s="30">
        <v>45960</v>
      </c>
      <c r="U931" s="8" t="s">
        <v>3717</v>
      </c>
      <c r="V931" s="26"/>
      <c r="W931" s="26"/>
      <c r="X931" t="s">
        <v>3493</v>
      </c>
      <c r="Y931" t="s">
        <v>8</v>
      </c>
      <c r="Z931" s="2">
        <v>13024</v>
      </c>
      <c r="AA931" s="32" t="s">
        <v>3539</v>
      </c>
      <c r="AB931">
        <f>COUNTIF(B:B,bron[[#This Row],[volledige naam]])</f>
        <v>4</v>
      </c>
    </row>
    <row r="932" spans="1:28" x14ac:dyDescent="0.25">
      <c r="A932">
        <v>42105</v>
      </c>
      <c r="B932" t="str">
        <f>_xlfn.CONCAT(bron[[#This Row],[personeelsnr]]," ",bron[[#This Row],[achternaam]]," ",bron[[#This Row],[voornaam]])</f>
        <v>42105 Van den Bossche Jarne</v>
      </c>
      <c r="C932" t="str">
        <f>VLOOKUP(bron[[#This Row],[personeelsnr]],'data hastus'!$A:$C,2,0)</f>
        <v>Van den Bossche</v>
      </c>
      <c r="D932" t="str">
        <f>VLOOKUP(bron[[#This Row],[personeelsnr]],'data hastus'!$A:$C,3,0)</f>
        <v>Jarne</v>
      </c>
      <c r="E932" s="2" t="str">
        <f>VLOOKUP(bron[[#This Row],[personeelsnr]],'data hastus'!A:K,11,FALSE)</f>
        <v>Els Dewulf</v>
      </c>
      <c r="F932" s="10"/>
      <c r="G932" s="28"/>
      <c r="H932" s="28"/>
      <c r="I932" s="28"/>
      <c r="S932" s="25">
        <f>SUM(bron[[#This Row],[Januari]:[December]])</f>
        <v>0</v>
      </c>
      <c r="T932" s="30">
        <v>45960</v>
      </c>
      <c r="U932" s="5" t="s">
        <v>3724</v>
      </c>
      <c r="V932" s="26"/>
      <c r="W932" s="26"/>
      <c r="X932" t="s">
        <v>3493</v>
      </c>
      <c r="Y932" t="s">
        <v>20</v>
      </c>
      <c r="Z932" s="2">
        <v>5489</v>
      </c>
      <c r="AA932" s="32" t="s">
        <v>3539</v>
      </c>
      <c r="AB932">
        <f>COUNTIF(B:B,bron[[#This Row],[volledige naam]])</f>
        <v>2</v>
      </c>
    </row>
    <row r="933" spans="1:28" x14ac:dyDescent="0.25">
      <c r="A933">
        <v>25873</v>
      </c>
      <c r="B933" t="str">
        <f>_xlfn.CONCAT(bron[[#This Row],[personeelsnr]]," ",bron[[#This Row],[achternaam]]," ",bron[[#This Row],[voornaam]])</f>
        <v>25873 Kazakbiyev Osman</v>
      </c>
      <c r="C933" t="str">
        <f>VLOOKUP(bron[[#This Row],[personeelsnr]],'data hastus'!$A:$C,2,0)</f>
        <v>Kazakbiyev</v>
      </c>
      <c r="D933" t="str">
        <f>VLOOKUP(bron[[#This Row],[personeelsnr]],'data hastus'!$A:$C,3,0)</f>
        <v>Osman</v>
      </c>
      <c r="E933" s="2" t="str">
        <f>VLOOKUP(bron[[#This Row],[personeelsnr]],'data hastus'!A:K,11,FALSE)</f>
        <v>Els Vanhoe</v>
      </c>
      <c r="F933" s="10"/>
      <c r="G933" s="28"/>
      <c r="H933" s="28"/>
      <c r="I933" s="28"/>
      <c r="S933" s="25">
        <f>SUM(bron[[#This Row],[Januari]:[December]])</f>
        <v>0</v>
      </c>
      <c r="T933" s="30">
        <v>45960</v>
      </c>
      <c r="U933" s="5" t="s">
        <v>3727</v>
      </c>
      <c r="V933" s="26"/>
      <c r="W933" s="26"/>
      <c r="X933" t="s">
        <v>3494</v>
      </c>
      <c r="Y933" t="s">
        <v>3728</v>
      </c>
      <c r="Z933" s="2">
        <v>5052</v>
      </c>
      <c r="AA933" s="32" t="s">
        <v>3539</v>
      </c>
      <c r="AB933">
        <f>COUNTIF(B:B,bron[[#This Row],[volledige naam]])</f>
        <v>1</v>
      </c>
    </row>
    <row r="934" spans="1:28" x14ac:dyDescent="0.25">
      <c r="A934">
        <v>39858</v>
      </c>
      <c r="B934" t="str">
        <f>_xlfn.CONCAT(bron[[#This Row],[personeelsnr]]," ",bron[[#This Row],[achternaam]]," ",bron[[#This Row],[voornaam]])</f>
        <v>39858 Jacobs Elos</v>
      </c>
      <c r="C934" t="str">
        <f>VLOOKUP(bron[[#This Row],[personeelsnr]],'data hastus'!$A:$C,2,0)</f>
        <v>Jacobs</v>
      </c>
      <c r="D934" t="str">
        <f>VLOOKUP(bron[[#This Row],[personeelsnr]],'data hastus'!$A:$C,3,0)</f>
        <v>Elos</v>
      </c>
      <c r="E934" s="2" t="str">
        <f>VLOOKUP(bron[[#This Row],[personeelsnr]],'data hastus'!A:K,11,FALSE)</f>
        <v>Els Dewulf</v>
      </c>
      <c r="F934" s="10"/>
      <c r="G934" s="28"/>
      <c r="H934" s="28"/>
      <c r="I934" s="28"/>
      <c r="S934" s="25">
        <f>SUM(bron[[#This Row],[Januari]:[December]])</f>
        <v>0</v>
      </c>
      <c r="T934" s="30">
        <v>45961</v>
      </c>
      <c r="U934" s="5" t="s">
        <v>3723</v>
      </c>
      <c r="V934" s="26"/>
      <c r="W934" s="26"/>
      <c r="X934" t="s">
        <v>3492</v>
      </c>
      <c r="Y934" t="s">
        <v>644</v>
      </c>
      <c r="Z934" s="2">
        <v>5229</v>
      </c>
      <c r="AA934" s="32" t="s">
        <v>3539</v>
      </c>
      <c r="AB934">
        <f>COUNTIF(B:B,bron[[#This Row],[volledige naam]])</f>
        <v>2</v>
      </c>
    </row>
    <row r="935" spans="1:28" x14ac:dyDescent="0.25">
      <c r="A935">
        <v>14072</v>
      </c>
      <c r="B935" t="str">
        <f>_xlfn.CONCAT(bron[[#This Row],[personeelsnr]]," ",bron[[#This Row],[achternaam]]," ",bron[[#This Row],[voornaam]])</f>
        <v>14072 Vervoort Koen</v>
      </c>
      <c r="C935" t="str">
        <f>VLOOKUP(bron[[#This Row],[personeelsnr]],'data hastus'!$A:$C,2,0)</f>
        <v>Vervoort</v>
      </c>
      <c r="D935" t="str">
        <f>VLOOKUP(bron[[#This Row],[personeelsnr]],'data hastus'!$A:$C,3,0)</f>
        <v>Koen</v>
      </c>
      <c r="E935" s="2" t="str">
        <f>VLOOKUP(bron[[#This Row],[personeelsnr]],'data hastus'!A:K,11,FALSE)</f>
        <v>Lucie Vande Velde</v>
      </c>
      <c r="F935" s="10"/>
      <c r="G935" s="28"/>
      <c r="H935" s="28"/>
      <c r="I935" s="28"/>
      <c r="S935" s="25">
        <f>SUM(bron[[#This Row],[Januari]:[December]])</f>
        <v>0</v>
      </c>
      <c r="T935" s="30">
        <v>45961</v>
      </c>
      <c r="U935" s="5" t="s">
        <v>3744</v>
      </c>
      <c r="V935" s="26"/>
      <c r="W935" s="26"/>
      <c r="X935" t="s">
        <v>3529</v>
      </c>
      <c r="Y935" t="s">
        <v>6</v>
      </c>
      <c r="Z935" s="2">
        <v>6363</v>
      </c>
      <c r="AA935" s="32" t="s">
        <v>3539</v>
      </c>
      <c r="AB935">
        <f>COUNTIF(B:B,bron[[#This Row],[volledige naam]])</f>
        <v>1</v>
      </c>
    </row>
    <row r="936" spans="1:28" x14ac:dyDescent="0.25">
      <c r="A936">
        <v>37543</v>
      </c>
      <c r="B936" t="str">
        <f>_xlfn.CONCAT(bron[[#This Row],[personeelsnr]]," ",bron[[#This Row],[achternaam]]," ",bron[[#This Row],[voornaam]])</f>
        <v>37543 Öztürk Bilgehan</v>
      </c>
      <c r="C936" t="str">
        <f>VLOOKUP(bron[[#This Row],[personeelsnr]],'data hastus'!$A:$C,2,0)</f>
        <v>Öztürk</v>
      </c>
      <c r="D936" t="str">
        <f>VLOOKUP(bron[[#This Row],[personeelsnr]],'data hastus'!$A:$C,3,0)</f>
        <v>Bilgehan</v>
      </c>
      <c r="E936" s="2" t="str">
        <f>VLOOKUP(bron[[#This Row],[personeelsnr]],'data hastus'!A:K,11,FALSE)</f>
        <v>Kenneth De Rick</v>
      </c>
      <c r="F936" s="10"/>
      <c r="G936" s="28"/>
      <c r="H936" s="28"/>
      <c r="I936" s="28"/>
      <c r="S936" s="25">
        <f>SUM(bron[[#This Row],[Januari]:[December]])</f>
        <v>0</v>
      </c>
      <c r="T936" s="30">
        <v>45962</v>
      </c>
      <c r="U936" s="5" t="s">
        <v>3731</v>
      </c>
      <c r="V936" s="26"/>
      <c r="W936" s="26"/>
      <c r="X936" t="s">
        <v>3494</v>
      </c>
      <c r="Y936" t="s">
        <v>3732</v>
      </c>
      <c r="Z936" s="2">
        <v>5233</v>
      </c>
      <c r="AA936" s="32" t="s">
        <v>3540</v>
      </c>
      <c r="AB936">
        <f>COUNTIF(B:B,bron[[#This Row],[volledige naam]])</f>
        <v>6</v>
      </c>
    </row>
    <row r="937" spans="1:28" x14ac:dyDescent="0.25">
      <c r="A937">
        <v>41384</v>
      </c>
      <c r="B937" t="str">
        <f>_xlfn.CONCAT(bron[[#This Row],[personeelsnr]]," ",bron[[#This Row],[achternaam]]," ",bron[[#This Row],[voornaam]])</f>
        <v>41384 Hillaert Thimo</v>
      </c>
      <c r="C937" t="str">
        <f>VLOOKUP(bron[[#This Row],[personeelsnr]],'data hastus'!$A:$C,2,0)</f>
        <v>Hillaert</v>
      </c>
      <c r="D937" t="str">
        <f>VLOOKUP(bron[[#This Row],[personeelsnr]],'data hastus'!$A:$C,3,0)</f>
        <v>Thimo</v>
      </c>
      <c r="E937" s="2" t="str">
        <f>VLOOKUP(bron[[#This Row],[personeelsnr]],'data hastus'!A:K,11,FALSE)</f>
        <v>Christoff Rotty</v>
      </c>
      <c r="F937" s="10"/>
      <c r="G937" s="28"/>
      <c r="H937" s="28"/>
      <c r="I937" s="28"/>
      <c r="S937" s="25">
        <f>SUM(bron[[#This Row],[Januari]:[December]])</f>
        <v>0</v>
      </c>
      <c r="T937" s="30">
        <v>45962</v>
      </c>
      <c r="U937" s="5" t="s">
        <v>3737</v>
      </c>
      <c r="V937" s="26"/>
      <c r="W937" s="26"/>
      <c r="X937" t="s">
        <v>3493</v>
      </c>
      <c r="Y937" t="s">
        <v>3617</v>
      </c>
      <c r="Z937" s="2">
        <v>5916</v>
      </c>
      <c r="AA937" s="32" t="s">
        <v>3539</v>
      </c>
      <c r="AB937">
        <f>COUNTIF(B:B,bron[[#This Row],[volledige naam]])</f>
        <v>4</v>
      </c>
    </row>
    <row r="938" spans="1:28" x14ac:dyDescent="0.25">
      <c r="A938">
        <v>35463</v>
      </c>
      <c r="B938" t="str">
        <f>_xlfn.CONCAT(bron[[#This Row],[personeelsnr]]," ",bron[[#This Row],[achternaam]]," ",bron[[#This Row],[voornaam]])</f>
        <v>35463 Vandaele Tom</v>
      </c>
      <c r="C938" t="str">
        <f>VLOOKUP(bron[[#This Row],[personeelsnr]],'data hastus'!$A:$C,2,0)</f>
        <v>Vandaele</v>
      </c>
      <c r="D938" t="str">
        <f>VLOOKUP(bron[[#This Row],[personeelsnr]],'data hastus'!$A:$C,3,0)</f>
        <v>Tom</v>
      </c>
      <c r="E938" s="2" t="str">
        <f>VLOOKUP(bron[[#This Row],[personeelsnr]],'data hastus'!A:K,11,FALSE)</f>
        <v>Dominique De Clercq</v>
      </c>
      <c r="F938" s="10"/>
      <c r="G938" s="28"/>
      <c r="H938" s="28"/>
      <c r="I938" s="28"/>
      <c r="S938" s="25">
        <f>SUM(bron[[#This Row],[Januari]:[December]])</f>
        <v>0</v>
      </c>
      <c r="T938" s="30">
        <v>45963</v>
      </c>
      <c r="U938" s="5" t="s">
        <v>3733</v>
      </c>
      <c r="V938" s="26"/>
      <c r="W938" s="26"/>
      <c r="X938" t="s">
        <v>3528</v>
      </c>
      <c r="Y938" t="s">
        <v>2</v>
      </c>
      <c r="Z938" s="2">
        <v>6312</v>
      </c>
      <c r="AA938" s="32" t="s">
        <v>3539</v>
      </c>
      <c r="AB938">
        <f>COUNTIF(B:B,bron[[#This Row],[volledige naam]])</f>
        <v>4</v>
      </c>
    </row>
    <row r="939" spans="1:28" x14ac:dyDescent="0.25">
      <c r="A939">
        <v>26639</v>
      </c>
      <c r="B939" t="str">
        <f>_xlfn.CONCAT(bron[[#This Row],[personeelsnr]]," ",bron[[#This Row],[achternaam]]," ",bron[[#This Row],[voornaam]])</f>
        <v>26639 Engels Wendy</v>
      </c>
      <c r="C939" t="str">
        <f>VLOOKUP(bron[[#This Row],[personeelsnr]],'data hastus'!$A:$C,2,0)</f>
        <v>Engels</v>
      </c>
      <c r="D939" t="str">
        <f>VLOOKUP(bron[[#This Row],[personeelsnr]],'data hastus'!$A:$C,3,0)</f>
        <v>Wendy</v>
      </c>
      <c r="E939" s="2" t="str">
        <f>VLOOKUP(bron[[#This Row],[personeelsnr]],'data hastus'!A:K,11,FALSE)</f>
        <v>Kenneth De Rick</v>
      </c>
      <c r="F939" s="10"/>
      <c r="G939" s="28"/>
      <c r="H939" s="28"/>
      <c r="I939" s="28"/>
      <c r="S939" s="25">
        <f>SUM(bron[[#This Row],[Januari]:[December]])</f>
        <v>0</v>
      </c>
      <c r="T939" s="30">
        <v>45963</v>
      </c>
      <c r="U939" s="5" t="s">
        <v>3738</v>
      </c>
      <c r="V939" s="26"/>
      <c r="W939" s="26"/>
      <c r="X939" t="s">
        <v>3493</v>
      </c>
      <c r="Y939" t="s">
        <v>3739</v>
      </c>
      <c r="Z939" s="2">
        <v>5938</v>
      </c>
      <c r="AA939" s="32" t="s">
        <v>3539</v>
      </c>
      <c r="AB939">
        <f>COUNTIF(B:B,bron[[#This Row],[volledige naam]])</f>
        <v>1</v>
      </c>
    </row>
    <row r="940" spans="1:28" x14ac:dyDescent="0.25">
      <c r="A940">
        <v>40362</v>
      </c>
      <c r="B940" t="str">
        <f>_xlfn.CONCAT(bron[[#This Row],[personeelsnr]]," ",bron[[#This Row],[achternaam]]," ",bron[[#This Row],[voornaam]])</f>
        <v>40362 Kuru Cetin</v>
      </c>
      <c r="C940" t="str">
        <f>VLOOKUP(bron[[#This Row],[personeelsnr]],'data hastus'!$A:$C,2,0)</f>
        <v>Kuru</v>
      </c>
      <c r="D940" t="str">
        <f>VLOOKUP(bron[[#This Row],[personeelsnr]],'data hastus'!$A:$C,3,0)</f>
        <v>Cetin</v>
      </c>
      <c r="E940" s="2" t="str">
        <f>VLOOKUP(bron[[#This Row],[personeelsnr]],'data hastus'!A:K,11,FALSE)</f>
        <v>Kenneth De Rick</v>
      </c>
      <c r="F940" s="10"/>
      <c r="G940" s="28"/>
      <c r="H940" s="28"/>
      <c r="I940" s="28"/>
      <c r="S940" s="25">
        <f>SUM(bron[[#This Row],[Januari]:[December]])</f>
        <v>0</v>
      </c>
      <c r="T940" s="30">
        <v>45964</v>
      </c>
      <c r="U940" s="5" t="s">
        <v>3734</v>
      </c>
      <c r="V940" s="26"/>
      <c r="W940" s="26"/>
      <c r="X940" t="s">
        <v>3493</v>
      </c>
      <c r="Y940" t="s">
        <v>3735</v>
      </c>
      <c r="Z940" s="2">
        <v>5935</v>
      </c>
      <c r="AA940" s="32" t="s">
        <v>3539</v>
      </c>
      <c r="AB940">
        <f>COUNTIF(B:B,bron[[#This Row],[volledige naam]])</f>
        <v>3</v>
      </c>
    </row>
    <row r="941" spans="1:28" x14ac:dyDescent="0.25">
      <c r="A941">
        <v>42143</v>
      </c>
      <c r="B941" t="str">
        <f>_xlfn.CONCAT(bron[[#This Row],[personeelsnr]]," ",bron[[#This Row],[achternaam]]," ",bron[[#This Row],[voornaam]])</f>
        <v>42143 Rahoens Christ</v>
      </c>
      <c r="C941" t="str">
        <f>VLOOKUP(bron[[#This Row],[personeelsnr]],'data hastus'!$A:$C,2,0)</f>
        <v>Rahoens</v>
      </c>
      <c r="D941" t="str">
        <f>VLOOKUP(bron[[#This Row],[personeelsnr]],'data hastus'!$A:$C,3,0)</f>
        <v>Christ</v>
      </c>
      <c r="E941" s="2" t="str">
        <f>VLOOKUP(bron[[#This Row],[personeelsnr]],'data hastus'!A:K,11,FALSE)</f>
        <v>Bart Van Der Beken</v>
      </c>
      <c r="F941" s="10"/>
      <c r="G941" s="28"/>
      <c r="H941" s="28"/>
      <c r="I941" s="28"/>
      <c r="S941" s="25">
        <f>SUM(bron[[#This Row],[Januari]:[December]])</f>
        <v>0</v>
      </c>
      <c r="T941" s="30">
        <v>45964</v>
      </c>
      <c r="U941" s="5" t="s">
        <v>3736</v>
      </c>
      <c r="V941" s="26"/>
      <c r="W941" s="26"/>
      <c r="X941" t="s">
        <v>3493</v>
      </c>
      <c r="Y941" t="str">
        <f>Y940</f>
        <v>Port Arthurlaan</v>
      </c>
      <c r="Z941" s="2">
        <v>550821</v>
      </c>
      <c r="AA941" s="32" t="s">
        <v>3612</v>
      </c>
      <c r="AB941">
        <f>COUNTIF(B:B,bron[[#This Row],[volledige naam]])</f>
        <v>1</v>
      </c>
    </row>
    <row r="942" spans="1:28" x14ac:dyDescent="0.25">
      <c r="A942">
        <v>39651</v>
      </c>
      <c r="B942" t="str">
        <f>_xlfn.CONCAT(bron[[#This Row],[personeelsnr]]," ",bron[[#This Row],[achternaam]]," ",bron[[#This Row],[voornaam]])</f>
        <v>39651 Kallenbach Sunny</v>
      </c>
      <c r="C942" t="str">
        <f>VLOOKUP(bron[[#This Row],[personeelsnr]],'data hastus'!$A:$C,2,0)</f>
        <v>Kallenbach</v>
      </c>
      <c r="D942" t="str">
        <f>VLOOKUP(bron[[#This Row],[personeelsnr]],'data hastus'!$A:$C,3,0)</f>
        <v>Sunny</v>
      </c>
      <c r="E942" s="2" t="str">
        <f>VLOOKUP(bron[[#This Row],[personeelsnr]],'data hastus'!A:K,11,FALSE)</f>
        <v>Kenneth De Rick</v>
      </c>
      <c r="F942" s="10"/>
      <c r="G942" s="28"/>
      <c r="H942" s="28"/>
      <c r="I942" s="28"/>
      <c r="S942" s="25">
        <f>SUM(bron[[#This Row],[Januari]:[December]])</f>
        <v>0</v>
      </c>
      <c r="T942" s="30">
        <v>45964</v>
      </c>
      <c r="U942" s="5" t="s">
        <v>3740</v>
      </c>
      <c r="V942" s="26"/>
      <c r="W942" s="26"/>
      <c r="X942" t="s">
        <v>3494</v>
      </c>
      <c r="Y942" t="s">
        <v>718</v>
      </c>
      <c r="Z942" s="2">
        <v>5263</v>
      </c>
      <c r="AA942" s="32" t="s">
        <v>3539</v>
      </c>
      <c r="AB942">
        <f>COUNTIF(B:B,bron[[#This Row],[volledige naam]])</f>
        <v>4</v>
      </c>
    </row>
    <row r="943" spans="1:28" x14ac:dyDescent="0.25">
      <c r="A943">
        <v>11023</v>
      </c>
      <c r="B943" t="str">
        <f>_xlfn.CONCAT(bron[[#This Row],[personeelsnr]]," ",bron[[#This Row],[achternaam]]," ",bron[[#This Row],[voornaam]])</f>
        <v>11023 Goethals Jeffrey</v>
      </c>
      <c r="C943" t="str">
        <f>VLOOKUP(bron[[#This Row],[personeelsnr]],'data hastus'!$A:$C,2,0)</f>
        <v>Goethals</v>
      </c>
      <c r="D943" t="str">
        <f>VLOOKUP(bron[[#This Row],[personeelsnr]],'data hastus'!$A:$C,3,0)</f>
        <v>Jeffrey</v>
      </c>
      <c r="E943" s="2" t="str">
        <f>VLOOKUP(bron[[#This Row],[personeelsnr]],'data hastus'!A:K,11,FALSE)</f>
        <v>Els Vanhoe</v>
      </c>
      <c r="F943" s="10"/>
      <c r="G943" s="28"/>
      <c r="H943" s="28"/>
      <c r="I943" s="28"/>
      <c r="S943" s="25">
        <f>SUM(bron[[#This Row],[Januari]:[December]])</f>
        <v>0</v>
      </c>
      <c r="T943" s="30">
        <v>45964</v>
      </c>
      <c r="U943" s="5" t="s">
        <v>3742</v>
      </c>
      <c r="V943" s="26"/>
      <c r="W943" s="26"/>
      <c r="X943" t="s">
        <v>3529</v>
      </c>
      <c r="Y943" t="s">
        <v>246</v>
      </c>
      <c r="Z943" s="2">
        <v>6364</v>
      </c>
      <c r="AA943" s="32" t="s">
        <v>3539</v>
      </c>
      <c r="AB943">
        <f>COUNTIF(B:B,bron[[#This Row],[volledige naam]])</f>
        <v>1</v>
      </c>
    </row>
    <row r="944" spans="1:28" x14ac:dyDescent="0.25">
      <c r="A944">
        <v>40110</v>
      </c>
      <c r="B944" t="str">
        <f>_xlfn.CONCAT(bron[[#This Row],[personeelsnr]]," ",bron[[#This Row],[achternaam]]," ",bron[[#This Row],[voornaam]])</f>
        <v>40110 Vanlerberghe Sandra</v>
      </c>
      <c r="C944" t="str">
        <f>VLOOKUP(bron[[#This Row],[personeelsnr]],'data hastus'!$A:$C,2,0)</f>
        <v>Vanlerberghe</v>
      </c>
      <c r="D944" t="str">
        <f>VLOOKUP(bron[[#This Row],[personeelsnr]],'data hastus'!$A:$C,3,0)</f>
        <v>Sandra</v>
      </c>
      <c r="E944" s="2" t="str">
        <f>VLOOKUP(bron[[#This Row],[personeelsnr]],'data hastus'!A:K,11,FALSE)</f>
        <v>Christoff Rotty</v>
      </c>
      <c r="F944" s="10"/>
      <c r="G944" s="28"/>
      <c r="H944" s="28"/>
      <c r="I944" s="28"/>
      <c r="S944" s="33">
        <f>SUM(bron[[#This Row],[Januari]:[December]])</f>
        <v>0</v>
      </c>
      <c r="T944" s="30">
        <v>45965</v>
      </c>
      <c r="U944" s="5" t="s">
        <v>3746</v>
      </c>
      <c r="V944" s="26"/>
      <c r="W944" s="26"/>
      <c r="X944" t="s">
        <v>3492</v>
      </c>
      <c r="Y944" t="s">
        <v>3745</v>
      </c>
      <c r="Z944" s="2">
        <v>5265</v>
      </c>
      <c r="AA944" s="32" t="s">
        <v>3539</v>
      </c>
      <c r="AB944">
        <f>COUNTIF(B:B,bron[[#This Row],[volledige naam]])</f>
        <v>7</v>
      </c>
    </row>
    <row r="945" spans="1:28" x14ac:dyDescent="0.25">
      <c r="A945">
        <v>39379</v>
      </c>
      <c r="B945" t="str">
        <f>_xlfn.CONCAT(bron[[#This Row],[personeelsnr]]," ",bron[[#This Row],[achternaam]]," ",bron[[#This Row],[voornaam]])</f>
        <v>39379 Bensalah Mohammed</v>
      </c>
      <c r="C945" t="str">
        <f>VLOOKUP(bron[[#This Row],[personeelsnr]],'data hastus'!$A:$C,2,0)</f>
        <v>Bensalah</v>
      </c>
      <c r="D945" t="str">
        <f>VLOOKUP(bron[[#This Row],[personeelsnr]],'data hastus'!$A:$C,3,0)</f>
        <v>Mohammed</v>
      </c>
      <c r="E945" s="2" t="str">
        <f>VLOOKUP(bron[[#This Row],[personeelsnr]],'data hastus'!A:K,11,FALSE)</f>
        <v>Christoff Rotty</v>
      </c>
      <c r="F945" s="10"/>
      <c r="G945" s="28"/>
      <c r="H945" s="28"/>
      <c r="I945" s="28"/>
      <c r="S945" s="33">
        <f>SUM(bron[[#This Row],[Januari]:[December]])</f>
        <v>0</v>
      </c>
      <c r="T945" s="30">
        <v>45966</v>
      </c>
      <c r="U945" s="5" t="s">
        <v>3748</v>
      </c>
      <c r="V945" s="26"/>
      <c r="W945" s="26"/>
      <c r="X945" t="s">
        <v>3493</v>
      </c>
      <c r="Y945" t="s">
        <v>3749</v>
      </c>
      <c r="Z945" s="2">
        <v>5933</v>
      </c>
      <c r="AA945" s="32" t="s">
        <v>3539</v>
      </c>
      <c r="AB945">
        <f>COUNTIF(B:B,bron[[#This Row],[volledige naam]])</f>
        <v>2</v>
      </c>
    </row>
    <row r="946" spans="1:28" x14ac:dyDescent="0.25">
      <c r="A946">
        <v>38938</v>
      </c>
      <c r="B946" t="str">
        <f>_xlfn.CONCAT(bron[[#This Row],[personeelsnr]]," ",bron[[#This Row],[achternaam]]," ",bron[[#This Row],[voornaam]])</f>
        <v>38938 Sedighi Hamid</v>
      </c>
      <c r="C946" t="str">
        <f>VLOOKUP(bron[[#This Row],[personeelsnr]],'data hastus'!$A:$C,2,0)</f>
        <v>Sedighi</v>
      </c>
      <c r="D946" t="str">
        <f>VLOOKUP(bron[[#This Row],[personeelsnr]],'data hastus'!$A:$C,3,0)</f>
        <v>Hamid</v>
      </c>
      <c r="E946" s="2" t="str">
        <f>VLOOKUP(bron[[#This Row],[personeelsnr]],'data hastus'!A:K,11,FALSE)</f>
        <v>Lucie Vande Velde</v>
      </c>
      <c r="F946" s="10"/>
      <c r="G946" s="28"/>
      <c r="H946" s="28"/>
      <c r="I946" s="28"/>
      <c r="S946" s="25">
        <f>SUM(bron[[#This Row],[Januari]:[December]])</f>
        <v>0</v>
      </c>
      <c r="T946" s="30">
        <v>45967</v>
      </c>
      <c r="U946" s="5" t="s">
        <v>3743</v>
      </c>
      <c r="V946" s="26"/>
      <c r="W946" s="26"/>
      <c r="X946" t="s">
        <v>3528</v>
      </c>
      <c r="Y946" t="s">
        <v>150</v>
      </c>
      <c r="Z946" s="2">
        <v>6318</v>
      </c>
      <c r="AA946" s="32" t="s">
        <v>3539</v>
      </c>
      <c r="AB946">
        <f>COUNTIF(B:B,bron[[#This Row],[volledige naam]])</f>
        <v>7</v>
      </c>
    </row>
    <row r="947" spans="1:28" x14ac:dyDescent="0.25">
      <c r="A947">
        <v>18051</v>
      </c>
      <c r="B947" t="str">
        <f>_xlfn.CONCAT(bron[[#This Row],[personeelsnr]]," ",bron[[#This Row],[achternaam]]," ",bron[[#This Row],[voornaam]])</f>
        <v>18051 Van Wittenberge Filip</v>
      </c>
      <c r="C947" t="str">
        <f>VLOOKUP(bron[[#This Row],[personeelsnr]],'data hastus'!$A:$C,2,0)</f>
        <v>Van Wittenberge</v>
      </c>
      <c r="D947" t="str">
        <f>VLOOKUP(bron[[#This Row],[personeelsnr]],'data hastus'!$A:$C,3,0)</f>
        <v>Filip</v>
      </c>
      <c r="E947" s="2" t="str">
        <f>VLOOKUP(bron[[#This Row],[personeelsnr]],'data hastus'!A:K,11,FALSE)</f>
        <v>Christoff Rotty</v>
      </c>
      <c r="F947" s="10"/>
      <c r="G947" s="28"/>
      <c r="H947" s="28"/>
      <c r="I947" s="28"/>
      <c r="S947" s="33">
        <f>SUM(bron[[#This Row],[Januari]:[December]])</f>
        <v>0</v>
      </c>
      <c r="T947" s="30">
        <v>45967</v>
      </c>
      <c r="U947" s="5" t="s">
        <v>3773</v>
      </c>
      <c r="V947" s="26"/>
      <c r="W947" s="26"/>
      <c r="X947" t="s">
        <v>3493</v>
      </c>
      <c r="Y947" t="s">
        <v>37</v>
      </c>
      <c r="Z947" s="2">
        <v>5924</v>
      </c>
      <c r="AA947" s="32" t="s">
        <v>3539</v>
      </c>
      <c r="AB947">
        <f>COUNTIF(B:B,bron[[#This Row],[volledige naam]])</f>
        <v>3</v>
      </c>
    </row>
    <row r="948" spans="1:28" x14ac:dyDescent="0.25">
      <c r="A948">
        <v>27209</v>
      </c>
      <c r="B948" t="str">
        <f>_xlfn.CONCAT(bron[[#This Row],[personeelsnr]]," ",bron[[#This Row],[achternaam]]," ",bron[[#This Row],[voornaam]])</f>
        <v>27209 Meyvaert Steven</v>
      </c>
      <c r="C948" t="str">
        <f>VLOOKUP(bron[[#This Row],[personeelsnr]],'data hastus'!$A:$C,2,0)</f>
        <v>Meyvaert</v>
      </c>
      <c r="D948" t="str">
        <f>VLOOKUP(bron[[#This Row],[personeelsnr]],'data hastus'!$A:$C,3,0)</f>
        <v>Steven</v>
      </c>
      <c r="E948" s="2" t="str">
        <f>VLOOKUP(bron[[#This Row],[personeelsnr]],'data hastus'!A:K,11,FALSE)</f>
        <v>Els Dewulf</v>
      </c>
      <c r="F948" s="10"/>
      <c r="G948" s="28"/>
      <c r="H948" s="28"/>
      <c r="I948" s="28"/>
      <c r="S948" s="33">
        <f>SUM(bron[[#This Row],[Januari]:[December]])</f>
        <v>0</v>
      </c>
      <c r="T948" s="30">
        <v>45968</v>
      </c>
      <c r="U948" s="5" t="s">
        <v>3747</v>
      </c>
      <c r="V948" s="26"/>
      <c r="W948" s="26"/>
      <c r="X948" t="s">
        <v>3493</v>
      </c>
      <c r="Y948" t="s">
        <v>6</v>
      </c>
      <c r="Z948" s="2">
        <v>5922</v>
      </c>
      <c r="AA948" s="32" t="s">
        <v>3539</v>
      </c>
      <c r="AB948">
        <f>COUNTIF(B:B,bron[[#This Row],[volledige naam]])</f>
        <v>3</v>
      </c>
    </row>
    <row r="949" spans="1:28" x14ac:dyDescent="0.25">
      <c r="A949">
        <v>42277</v>
      </c>
      <c r="B949" t="str">
        <f>_xlfn.CONCAT(bron[[#This Row],[personeelsnr]]," ",bron[[#This Row],[achternaam]]," ",bron[[#This Row],[voornaam]])</f>
        <v>42277 Güler Ender</v>
      </c>
      <c r="C949" t="str">
        <f>VLOOKUP(bron[[#This Row],[personeelsnr]],'data hastus'!$A:$C,2,0)</f>
        <v>Güler</v>
      </c>
      <c r="D949" t="str">
        <f>VLOOKUP(bron[[#This Row],[personeelsnr]],'data hastus'!$A:$C,3,0)</f>
        <v>Ender</v>
      </c>
      <c r="E949" s="2">
        <f>VLOOKUP(bron[[#This Row],[personeelsnr]],'data hastus'!A:K,11,FALSE)</f>
        <v>0</v>
      </c>
      <c r="F949" s="10"/>
      <c r="G949" s="28"/>
      <c r="H949" s="28"/>
      <c r="I949" s="28"/>
      <c r="S949" s="33">
        <f>SUM(bron[[#This Row],[Januari]:[December]])</f>
        <v>0</v>
      </c>
      <c r="T949" s="30">
        <v>45968</v>
      </c>
      <c r="U949" s="5" t="s">
        <v>3777</v>
      </c>
      <c r="V949" s="26"/>
      <c r="W949" s="26"/>
      <c r="X949" t="s">
        <v>3493</v>
      </c>
      <c r="Y949" t="s">
        <v>2</v>
      </c>
      <c r="Z949" s="2">
        <v>5484</v>
      </c>
      <c r="AA949" s="32" t="s">
        <v>3539</v>
      </c>
      <c r="AB949">
        <f>COUNTIF(B:B,bron[[#This Row],[volledige naam]])</f>
        <v>1</v>
      </c>
    </row>
    <row r="950" spans="1:28" x14ac:dyDescent="0.25">
      <c r="A950">
        <v>36021</v>
      </c>
      <c r="B950" t="str">
        <f>_xlfn.CONCAT(bron[[#This Row],[personeelsnr]]," ",bron[[#This Row],[achternaam]]," ",bron[[#This Row],[voornaam]])</f>
        <v>36021 Boelaert Frederik</v>
      </c>
      <c r="C950" t="str">
        <f>VLOOKUP(bron[[#This Row],[personeelsnr]],'data hastus'!$A:$C,2,0)</f>
        <v>Boelaert</v>
      </c>
      <c r="D950" t="str">
        <f>VLOOKUP(bron[[#This Row],[personeelsnr]],'data hastus'!$A:$C,3,0)</f>
        <v>Frederik</v>
      </c>
      <c r="E950" s="2" t="str">
        <f>VLOOKUP(bron[[#This Row],[personeelsnr]],'data hastus'!A:K,11,FALSE)</f>
        <v>Lucie Vande Velde</v>
      </c>
      <c r="F950" s="10"/>
      <c r="G950" s="28"/>
      <c r="H950" s="28"/>
      <c r="I950" s="28"/>
      <c r="S950" s="33">
        <f>SUM(bron[[#This Row],[Januari]:[December]])</f>
        <v>0</v>
      </c>
      <c r="T950" s="30">
        <v>45968</v>
      </c>
      <c r="U950" s="5" t="s">
        <v>3795</v>
      </c>
      <c r="V950" s="26"/>
      <c r="W950" s="26"/>
      <c r="X950" t="s">
        <v>3494</v>
      </c>
      <c r="Y950" t="s">
        <v>644</v>
      </c>
      <c r="Z950" s="2">
        <v>5042</v>
      </c>
      <c r="AA950" s="32" t="s">
        <v>3539</v>
      </c>
      <c r="AB950">
        <f>COUNTIF(B:B,bron[[#This Row],[volledige naam]])</f>
        <v>2</v>
      </c>
    </row>
    <row r="951" spans="1:28" x14ac:dyDescent="0.25">
      <c r="A951">
        <v>29746</v>
      </c>
      <c r="B951" t="str">
        <f>_xlfn.CONCAT(bron[[#This Row],[personeelsnr]]," ",bron[[#This Row],[achternaam]]," ",bron[[#This Row],[voornaam]])</f>
        <v>29746 Huyse Annicke</v>
      </c>
      <c r="C951" t="str">
        <f>VLOOKUP(bron[[#This Row],[personeelsnr]],'data hastus'!$A:$C,2,0)</f>
        <v>Huyse</v>
      </c>
      <c r="D951" t="str">
        <f>VLOOKUP(bron[[#This Row],[personeelsnr]],'data hastus'!$A:$C,3,0)</f>
        <v>Annicke</v>
      </c>
      <c r="E951" s="2" t="str">
        <f>VLOOKUP(bron[[#This Row],[personeelsnr]],'data hastus'!A:K,11,FALSE)</f>
        <v>Bart Van Der Beken</v>
      </c>
      <c r="F951" s="10"/>
      <c r="G951" s="28"/>
      <c r="H951" s="28"/>
      <c r="I951" s="28"/>
      <c r="S951" s="33">
        <f>SUM(bron[[#This Row],[Januari]:[December]])</f>
        <v>0</v>
      </c>
      <c r="T951" s="30">
        <v>45971</v>
      </c>
      <c r="U951" s="5" t="s">
        <v>3775</v>
      </c>
      <c r="V951" s="26"/>
      <c r="W951" s="26"/>
      <c r="X951" t="s">
        <v>3529</v>
      </c>
      <c r="Y951" t="s">
        <v>26</v>
      </c>
      <c r="Z951" s="2">
        <v>6358</v>
      </c>
      <c r="AA951" s="32" t="s">
        <v>3540</v>
      </c>
      <c r="AB951">
        <f>COUNTIF(B:B,bron[[#This Row],[volledige naam]])</f>
        <v>3</v>
      </c>
    </row>
    <row r="952" spans="1:28" x14ac:dyDescent="0.25">
      <c r="A952">
        <v>40138</v>
      </c>
      <c r="B952" t="str">
        <f>_xlfn.CONCAT(bron[[#This Row],[personeelsnr]]," ",bron[[#This Row],[achternaam]]," ",bron[[#This Row],[voornaam]])</f>
        <v>40138 Moerman Tjimmy</v>
      </c>
      <c r="C952" t="str">
        <f>VLOOKUP(bron[[#This Row],[personeelsnr]],'data hastus'!$A:$C,2,0)</f>
        <v>Moerman</v>
      </c>
      <c r="D952" t="str">
        <f>VLOOKUP(bron[[#This Row],[personeelsnr]],'data hastus'!$A:$C,3,0)</f>
        <v>Tjimmy</v>
      </c>
      <c r="E952" s="2" t="str">
        <f>VLOOKUP(bron[[#This Row],[personeelsnr]],'data hastus'!A:K,11,FALSE)</f>
        <v>Christoff Rotty</v>
      </c>
      <c r="F952" s="10"/>
      <c r="G952" s="28"/>
      <c r="H952" s="28"/>
      <c r="I952" s="28"/>
      <c r="S952" s="33">
        <f>SUM(bron[[#This Row],[Januari]:[December]])</f>
        <v>0</v>
      </c>
      <c r="T952" s="30">
        <v>45972</v>
      </c>
      <c r="U952" s="5" t="s">
        <v>3774</v>
      </c>
      <c r="V952" s="26"/>
      <c r="W952" s="26"/>
      <c r="X952" t="s">
        <v>3494</v>
      </c>
      <c r="Y952" t="s">
        <v>98</v>
      </c>
      <c r="Z952" s="2">
        <v>5045</v>
      </c>
      <c r="AA952" s="32" t="s">
        <v>3539</v>
      </c>
      <c r="AB952">
        <f>COUNTIF(B:B,bron[[#This Row],[volledige naam]])</f>
        <v>10</v>
      </c>
    </row>
    <row r="953" spans="1:28" x14ac:dyDescent="0.25">
      <c r="A953">
        <v>32620</v>
      </c>
      <c r="B953" t="str">
        <f>_xlfn.CONCAT(bron[[#This Row],[personeelsnr]]," ",bron[[#This Row],[achternaam]]," ",bron[[#This Row],[voornaam]])</f>
        <v>32620 Saey Elias</v>
      </c>
      <c r="C953" t="str">
        <f>VLOOKUP(bron[[#This Row],[personeelsnr]],'data hastus'!$A:$C,2,0)</f>
        <v>Saey</v>
      </c>
      <c r="D953" t="str">
        <f>VLOOKUP(bron[[#This Row],[personeelsnr]],'data hastus'!$A:$C,3,0)</f>
        <v>Elias</v>
      </c>
      <c r="E953" s="2" t="str">
        <f>VLOOKUP(bron[[#This Row],[personeelsnr]],'data hastus'!A:K,11,FALSE)</f>
        <v>Els Vanhoe</v>
      </c>
      <c r="F953" s="10"/>
      <c r="G953" s="28"/>
      <c r="H953" s="28"/>
      <c r="I953" s="28"/>
      <c r="S953" s="33">
        <f>SUM(bron[[#This Row],[Januari]:[December]])</f>
        <v>0</v>
      </c>
      <c r="T953" s="30">
        <v>45973</v>
      </c>
      <c r="U953" s="5" t="s">
        <v>3750</v>
      </c>
      <c r="V953" s="26"/>
      <c r="W953" s="26"/>
      <c r="X953" t="s">
        <v>3494</v>
      </c>
      <c r="Y953" t="s">
        <v>3751</v>
      </c>
      <c r="Z953" s="2">
        <v>5047</v>
      </c>
      <c r="AA953" s="32" t="s">
        <v>3540</v>
      </c>
      <c r="AB953">
        <f>COUNTIF(B:B,bron[[#This Row],[volledige naam]])</f>
        <v>3</v>
      </c>
    </row>
    <row r="954" spans="1:28" x14ac:dyDescent="0.25">
      <c r="A954">
        <v>13089</v>
      </c>
      <c r="B954" t="str">
        <f>_xlfn.CONCAT(bron[[#This Row],[personeelsnr]]," ",bron[[#This Row],[achternaam]]," ",bron[[#This Row],[voornaam]])</f>
        <v>13089 Oosterlinck Jan</v>
      </c>
      <c r="C954" t="str">
        <f>VLOOKUP(bron[[#This Row],[personeelsnr]],'data hastus'!$A:$C,2,0)</f>
        <v>Oosterlinck</v>
      </c>
      <c r="D954" t="str">
        <f>VLOOKUP(bron[[#This Row],[personeelsnr]],'data hastus'!$A:$C,3,0)</f>
        <v>Jan</v>
      </c>
      <c r="E954" s="2" t="str">
        <f>VLOOKUP(bron[[#This Row],[personeelsnr]],'data hastus'!A:K,11,FALSE)</f>
        <v>Christoff Rotty</v>
      </c>
      <c r="F954" s="10"/>
      <c r="G954" s="28"/>
      <c r="H954" s="28"/>
      <c r="I954" s="28"/>
      <c r="S954" s="33">
        <f>SUM(bron[[#This Row],[Januari]:[December]])</f>
        <v>0</v>
      </c>
      <c r="T954" s="30">
        <v>45973</v>
      </c>
      <c r="U954" s="5" t="s">
        <v>3781</v>
      </c>
      <c r="V954" s="26"/>
      <c r="W954" s="26"/>
      <c r="X954" t="s">
        <v>3493</v>
      </c>
      <c r="Y954" t="s">
        <v>32</v>
      </c>
      <c r="Z954" s="2">
        <v>5929</v>
      </c>
      <c r="AA954" s="32" t="s">
        <v>3540</v>
      </c>
      <c r="AB954">
        <f>COUNTIF(B:B,bron[[#This Row],[volledige naam]])</f>
        <v>1</v>
      </c>
    </row>
    <row r="955" spans="1:28" x14ac:dyDescent="0.25">
      <c r="A955">
        <v>40403</v>
      </c>
      <c r="B955" t="str">
        <f>_xlfn.CONCAT(bron[[#This Row],[personeelsnr]]," ",bron[[#This Row],[achternaam]]," ",bron[[#This Row],[voornaam]])</f>
        <v>40403 Prové Michaël</v>
      </c>
      <c r="C955" t="str">
        <f>VLOOKUP(bron[[#This Row],[personeelsnr]],'data hastus'!$A:$C,2,0)</f>
        <v>Prové</v>
      </c>
      <c r="D955" t="str">
        <f>VLOOKUP(bron[[#This Row],[personeelsnr]],'data hastus'!$A:$C,3,0)</f>
        <v>Michaël</v>
      </c>
      <c r="E955" s="2" t="str">
        <f>VLOOKUP(bron[[#This Row],[personeelsnr]],'data hastus'!A:K,11,FALSE)</f>
        <v>Dominique De Clercq</v>
      </c>
      <c r="F955" s="10"/>
      <c r="G955" s="28"/>
      <c r="H955" s="28"/>
      <c r="I955" s="28"/>
      <c r="S955" s="33">
        <f>SUM(bron[[#This Row],[Januari]:[December]])</f>
        <v>0</v>
      </c>
      <c r="T955" s="30">
        <v>45974</v>
      </c>
      <c r="U955" s="5" t="s">
        <v>3776</v>
      </c>
      <c r="V955" s="26"/>
      <c r="W955" s="26"/>
      <c r="X955" t="s">
        <v>3494</v>
      </c>
      <c r="Y955" t="s">
        <v>87</v>
      </c>
      <c r="Z955" s="2">
        <v>5233</v>
      </c>
      <c r="AA955" s="32" t="s">
        <v>3539</v>
      </c>
      <c r="AB955">
        <f>COUNTIF(B:B,bron[[#This Row],[volledige naam]])</f>
        <v>3</v>
      </c>
    </row>
    <row r="956" spans="1:28" x14ac:dyDescent="0.25">
      <c r="A956">
        <v>42249</v>
      </c>
      <c r="B956" t="str">
        <f>_xlfn.CONCAT(bron[[#This Row],[personeelsnr]]," ",bron[[#This Row],[achternaam]]," ",bron[[#This Row],[voornaam]])</f>
        <v>42249 Bontinck Stephan</v>
      </c>
      <c r="C956" t="str">
        <f>VLOOKUP(bron[[#This Row],[personeelsnr]],'data hastus'!$A:$C,2,0)</f>
        <v>Bontinck</v>
      </c>
      <c r="D956" t="str">
        <f>VLOOKUP(bron[[#This Row],[personeelsnr]],'data hastus'!$A:$C,3,0)</f>
        <v>Stephan</v>
      </c>
      <c r="E956" s="2" t="str">
        <f>VLOOKUP(bron[[#This Row],[personeelsnr]],'data hastus'!A:K,11,FALSE)</f>
        <v>Kenneth De Rick</v>
      </c>
      <c r="F956" s="10"/>
      <c r="G956" s="28"/>
      <c r="H956" s="28"/>
      <c r="I956" s="28"/>
      <c r="S956" s="33">
        <f>SUM(bron[[#This Row],[Januari]:[December]])</f>
        <v>0</v>
      </c>
      <c r="T956" s="30">
        <v>45974</v>
      </c>
      <c r="U956" s="5" t="s">
        <v>3778</v>
      </c>
      <c r="V956" s="26"/>
      <c r="W956" s="26"/>
      <c r="X956" t="s">
        <v>3494</v>
      </c>
      <c r="Y956" t="s">
        <v>3779</v>
      </c>
      <c r="Z956" s="2" t="s">
        <v>3780</v>
      </c>
      <c r="AA956" s="32" t="s">
        <v>3612</v>
      </c>
      <c r="AB956">
        <f>COUNTIF(B:B,bron[[#This Row],[volledige naam]])</f>
        <v>1</v>
      </c>
    </row>
    <row r="957" spans="1:28" x14ac:dyDescent="0.25">
      <c r="A957">
        <v>36438</v>
      </c>
      <c r="B957" t="str">
        <f>_xlfn.CONCAT(bron[[#This Row],[personeelsnr]]," ",bron[[#This Row],[achternaam]]," ",bron[[#This Row],[voornaam]])</f>
        <v>36438 Agil Birol</v>
      </c>
      <c r="C957" t="str">
        <f>VLOOKUP(bron[[#This Row],[personeelsnr]],'data hastus'!$A:$C,2,0)</f>
        <v>Agil</v>
      </c>
      <c r="D957" t="str">
        <f>VLOOKUP(bron[[#This Row],[personeelsnr]],'data hastus'!$A:$C,3,0)</f>
        <v>Birol</v>
      </c>
      <c r="E957" s="2" t="str">
        <f>VLOOKUP(bron[[#This Row],[personeelsnr]],'data hastus'!A:K,11,FALSE)</f>
        <v>Bart Van Der Beken</v>
      </c>
      <c r="F957" s="10"/>
      <c r="G957" s="28"/>
      <c r="H957" s="28"/>
      <c r="I957" s="28"/>
      <c r="S957" s="33">
        <f>SUM(bron[[#This Row],[Januari]:[December]])</f>
        <v>0</v>
      </c>
      <c r="T957" s="30">
        <v>45975</v>
      </c>
      <c r="U957" s="5" t="s">
        <v>3782</v>
      </c>
      <c r="V957" s="26"/>
      <c r="W957" s="26"/>
      <c r="X957" t="s">
        <v>3493</v>
      </c>
      <c r="Y957" t="s">
        <v>71</v>
      </c>
      <c r="Z957" s="2">
        <v>5969</v>
      </c>
      <c r="AA957" s="32" t="s">
        <v>3539</v>
      </c>
      <c r="AB957">
        <f>COUNTIF(B:B,bron[[#This Row],[volledige naam]])</f>
        <v>3</v>
      </c>
    </row>
    <row r="958" spans="1:28" x14ac:dyDescent="0.25">
      <c r="A958">
        <v>42145</v>
      </c>
      <c r="B958" t="str">
        <f>_xlfn.CONCAT(bron[[#This Row],[personeelsnr]]," ",bron[[#This Row],[achternaam]]," ",bron[[#This Row],[voornaam]])</f>
        <v>42145 Gys Shayya</v>
      </c>
      <c r="C958" t="str">
        <f>VLOOKUP(bron[[#This Row],[personeelsnr]],'data hastus'!$A:$C,2,0)</f>
        <v>Gys</v>
      </c>
      <c r="D958" t="str">
        <f>VLOOKUP(bron[[#This Row],[personeelsnr]],'data hastus'!$A:$C,3,0)</f>
        <v>Shayya</v>
      </c>
      <c r="E958" s="2" t="str">
        <f>VLOOKUP(bron[[#This Row],[personeelsnr]],'data hastus'!A:K,11,FALSE)</f>
        <v>Steven Storm</v>
      </c>
      <c r="F958" s="10"/>
      <c r="G958" s="28"/>
      <c r="H958" s="28"/>
      <c r="I958" s="28"/>
      <c r="S958" s="33">
        <f>SUM(bron[[#This Row],[Januari]:[December]])</f>
        <v>0</v>
      </c>
      <c r="T958" s="30">
        <v>45975</v>
      </c>
      <c r="U958" s="5" t="s">
        <v>3784</v>
      </c>
      <c r="V958" s="26"/>
      <c r="W958" s="26"/>
      <c r="X958" t="s">
        <v>3493</v>
      </c>
      <c r="Y958" t="s">
        <v>61</v>
      </c>
      <c r="Z958" s="2">
        <v>550310</v>
      </c>
      <c r="AA958" s="32" t="s">
        <v>3539</v>
      </c>
      <c r="AB958">
        <f>COUNTIF(B:B,bron[[#This Row],[volledige naam]])</f>
        <v>2</v>
      </c>
    </row>
    <row r="959" spans="1:28" x14ac:dyDescent="0.25">
      <c r="A959">
        <v>31118</v>
      </c>
      <c r="B959" t="str">
        <f>_xlfn.CONCAT(bron[[#This Row],[personeelsnr]]," ",bron[[#This Row],[achternaam]]," ",bron[[#This Row],[voornaam]])</f>
        <v>31118 De Sutter Michiel</v>
      </c>
      <c r="C959" t="str">
        <f>VLOOKUP(bron[[#This Row],[personeelsnr]],'data hastus'!$A:$C,2,0)</f>
        <v>De Sutter</v>
      </c>
      <c r="D959" t="str">
        <f>VLOOKUP(bron[[#This Row],[personeelsnr]],'data hastus'!$A:$C,3,0)</f>
        <v>Michiel</v>
      </c>
      <c r="E959" s="2" t="str">
        <f>VLOOKUP(bron[[#This Row],[personeelsnr]],'data hastus'!A:K,11,FALSE)</f>
        <v>Els Dewulf</v>
      </c>
      <c r="F959" s="10"/>
      <c r="G959" s="28"/>
      <c r="H959" s="28"/>
      <c r="I959" s="28"/>
      <c r="S959" s="33">
        <f>SUM(bron[[#This Row],[Januari]:[December]])</f>
        <v>0</v>
      </c>
      <c r="T959" s="30">
        <v>45975</v>
      </c>
      <c r="U959" s="5" t="s">
        <v>3785</v>
      </c>
      <c r="V959" s="26"/>
      <c r="W959" s="26"/>
      <c r="X959" t="s">
        <v>3493</v>
      </c>
      <c r="Y959" t="s">
        <v>3786</v>
      </c>
      <c r="Z959" s="2">
        <v>5794</v>
      </c>
      <c r="AA959" s="32" t="s">
        <v>3539</v>
      </c>
      <c r="AB959">
        <f>COUNTIF(B:B,bron[[#This Row],[volledige naam]])</f>
        <v>2</v>
      </c>
    </row>
    <row r="960" spans="1:28" x14ac:dyDescent="0.25">
      <c r="A960">
        <v>41384</v>
      </c>
      <c r="B960" t="str">
        <f>_xlfn.CONCAT(bron[[#This Row],[personeelsnr]]," ",bron[[#This Row],[achternaam]]," ",bron[[#This Row],[voornaam]])</f>
        <v>41384 Hillaert Thimo</v>
      </c>
      <c r="C960" t="str">
        <f>VLOOKUP(bron[[#This Row],[personeelsnr]],'data hastus'!$A:$C,2,0)</f>
        <v>Hillaert</v>
      </c>
      <c r="D960" t="str">
        <f>VLOOKUP(bron[[#This Row],[personeelsnr]],'data hastus'!$A:$C,3,0)</f>
        <v>Thimo</v>
      </c>
      <c r="E960" s="2" t="str">
        <f>VLOOKUP(bron[[#This Row],[personeelsnr]],'data hastus'!A:K,11,FALSE)</f>
        <v>Christoff Rotty</v>
      </c>
      <c r="F960" s="10"/>
      <c r="G960" s="28"/>
      <c r="H960" s="28"/>
      <c r="I960" s="28"/>
      <c r="S960" s="33">
        <f>SUM(bron[[#This Row],[Januari]:[December]])</f>
        <v>0</v>
      </c>
      <c r="T960" s="30">
        <v>45975</v>
      </c>
      <c r="U960" s="5" t="s">
        <v>3787</v>
      </c>
      <c r="V960" s="26"/>
      <c r="W960" s="26"/>
      <c r="X960" t="s">
        <v>3494</v>
      </c>
      <c r="Y960" t="s">
        <v>8</v>
      </c>
      <c r="Z960" s="2">
        <v>5254</v>
      </c>
      <c r="AA960" s="32" t="s">
        <v>3539</v>
      </c>
      <c r="AB960">
        <f>COUNTIF(B:B,bron[[#This Row],[volledige naam]])</f>
        <v>4</v>
      </c>
    </row>
    <row r="961" spans="1:28" x14ac:dyDescent="0.25">
      <c r="A961">
        <v>26524</v>
      </c>
      <c r="B961" t="str">
        <f>_xlfn.CONCAT(bron[[#This Row],[personeelsnr]]," ",bron[[#This Row],[achternaam]]," ",bron[[#This Row],[voornaam]])</f>
        <v>26524 Bolle Cynthia</v>
      </c>
      <c r="C961" t="str">
        <f>VLOOKUP(bron[[#This Row],[personeelsnr]],'data hastus'!$A:$C,2,0)</f>
        <v>Bolle</v>
      </c>
      <c r="D961" t="str">
        <f>VLOOKUP(bron[[#This Row],[personeelsnr]],'data hastus'!$A:$C,3,0)</f>
        <v>Cynthia</v>
      </c>
      <c r="E961" s="2" t="str">
        <f>VLOOKUP(bron[[#This Row],[personeelsnr]],'data hastus'!A:K,11,FALSE)</f>
        <v>Els Vanhoe</v>
      </c>
      <c r="F961" s="10"/>
      <c r="G961" s="28"/>
      <c r="H961" s="28"/>
      <c r="I961" s="28"/>
      <c r="S961" s="33">
        <f>SUM(bron[[#This Row],[Januari]:[December]])</f>
        <v>0</v>
      </c>
      <c r="T961" s="30">
        <v>45975</v>
      </c>
      <c r="U961" s="5" t="s">
        <v>3790</v>
      </c>
      <c r="V961" s="26"/>
      <c r="W961" s="26"/>
      <c r="X961" t="s">
        <v>3529</v>
      </c>
      <c r="Y961" t="s">
        <v>55</v>
      </c>
      <c r="Z961" s="2">
        <v>6362</v>
      </c>
      <c r="AA961" s="32" t="s">
        <v>3539</v>
      </c>
      <c r="AB961">
        <f>COUNTIF(B:B,bron[[#This Row],[volledige naam]])</f>
        <v>1</v>
      </c>
    </row>
    <row r="962" spans="1:28" x14ac:dyDescent="0.25">
      <c r="A962">
        <v>39901</v>
      </c>
      <c r="B962" t="str">
        <f>_xlfn.CONCAT(bron[[#This Row],[personeelsnr]]," ",bron[[#This Row],[achternaam]]," ",bron[[#This Row],[voornaam]])</f>
        <v>39901 Basha Izmir</v>
      </c>
      <c r="C962" t="str">
        <f>VLOOKUP(bron[[#This Row],[personeelsnr]],'data hastus'!$A:$C,2,0)</f>
        <v>Basha</v>
      </c>
      <c r="D962" t="str">
        <f>VLOOKUP(bron[[#This Row],[personeelsnr]],'data hastus'!$A:$C,3,0)</f>
        <v>Izmir</v>
      </c>
      <c r="E962" s="2" t="str">
        <f>VLOOKUP(bron[[#This Row],[personeelsnr]],'data hastus'!A:K,11,FALSE)</f>
        <v>Christoff Rotty</v>
      </c>
      <c r="F962" s="10"/>
      <c r="G962" s="28"/>
      <c r="H962" s="28"/>
      <c r="I962" s="28"/>
      <c r="S962" s="33">
        <f>SUM(bron[[#This Row],[Januari]:[December]])</f>
        <v>0</v>
      </c>
      <c r="T962" s="30">
        <v>45975</v>
      </c>
      <c r="U962" s="8" t="s">
        <v>3796</v>
      </c>
      <c r="V962" s="26"/>
      <c r="W962" s="26"/>
      <c r="X962" t="s">
        <v>3494</v>
      </c>
      <c r="Y962" t="s">
        <v>650</v>
      </c>
      <c r="Z962" s="2">
        <v>5043</v>
      </c>
      <c r="AA962" s="32" t="s">
        <v>3540</v>
      </c>
      <c r="AB962">
        <f>COUNTIF(B:B,bron[[#This Row],[volledige naam]])</f>
        <v>1</v>
      </c>
    </row>
    <row r="963" spans="1:28" x14ac:dyDescent="0.25">
      <c r="A963">
        <v>36505</v>
      </c>
      <c r="B963" t="str">
        <f>_xlfn.CONCAT(bron[[#This Row],[personeelsnr]]," ",bron[[#This Row],[achternaam]]," ",bron[[#This Row],[voornaam]])</f>
        <v>36505 De Lange Ruben</v>
      </c>
      <c r="C963" t="str">
        <f>VLOOKUP(bron[[#This Row],[personeelsnr]],'data hastus'!$A:$C,2,0)</f>
        <v>De Lange</v>
      </c>
      <c r="D963" t="str">
        <f>VLOOKUP(bron[[#This Row],[personeelsnr]],'data hastus'!$A:$C,3,0)</f>
        <v>Ruben</v>
      </c>
      <c r="E963" s="2" t="str">
        <f>VLOOKUP(bron[[#This Row],[personeelsnr]],'data hastus'!A:K,11,FALSE)</f>
        <v>Kenneth De Rick</v>
      </c>
      <c r="F963" s="10"/>
      <c r="G963" s="28"/>
      <c r="H963" s="28"/>
      <c r="I963" s="28"/>
      <c r="S963" s="33">
        <f>SUM(bron[[#This Row],[Januari]:[December]])</f>
        <v>0</v>
      </c>
      <c r="T963" s="30">
        <v>45976</v>
      </c>
      <c r="U963" s="5" t="s">
        <v>3783</v>
      </c>
      <c r="V963" s="26"/>
      <c r="W963" s="26"/>
      <c r="X963" t="s">
        <v>3529</v>
      </c>
      <c r="Y963" t="s">
        <v>647</v>
      </c>
      <c r="Z963" s="2">
        <v>6359</v>
      </c>
      <c r="AA963" s="32" t="s">
        <v>3539</v>
      </c>
      <c r="AB963">
        <f>COUNTIF(B:B,bron[[#This Row],[volledige naam]])</f>
        <v>1</v>
      </c>
    </row>
    <row r="964" spans="1:28" x14ac:dyDescent="0.25">
      <c r="A964">
        <v>38807</v>
      </c>
      <c r="B964" t="str">
        <f>_xlfn.CONCAT(bron[[#This Row],[personeelsnr]]," ",bron[[#This Row],[achternaam]]," ",bron[[#This Row],[voornaam]])</f>
        <v>38807 Dossche Caroline</v>
      </c>
      <c r="C964" t="str">
        <f>VLOOKUP(bron[[#This Row],[personeelsnr]],'data hastus'!$A:$C,2,0)</f>
        <v>Dossche</v>
      </c>
      <c r="D964" t="str">
        <f>VLOOKUP(bron[[#This Row],[personeelsnr]],'data hastus'!$A:$C,3,0)</f>
        <v>Caroline</v>
      </c>
      <c r="E964" s="2" t="str">
        <f>VLOOKUP(bron[[#This Row],[personeelsnr]],'data hastus'!A:K,11,FALSE)</f>
        <v>Christoff Rotty</v>
      </c>
      <c r="F964" s="10"/>
      <c r="G964" s="28"/>
      <c r="H964" s="28"/>
      <c r="I964" s="28"/>
      <c r="S964" s="33">
        <f>SUM(bron[[#This Row],[Januari]:[December]])</f>
        <v>0</v>
      </c>
      <c r="T964" s="30">
        <v>45976</v>
      </c>
      <c r="U964" s="5" t="s">
        <v>3799</v>
      </c>
      <c r="V964" s="26"/>
      <c r="W964" s="26"/>
      <c r="X964" t="s">
        <v>3493</v>
      </c>
      <c r="Y964" t="s">
        <v>67</v>
      </c>
      <c r="Z964" s="2">
        <v>550822</v>
      </c>
      <c r="AA964" s="32" t="s">
        <v>3539</v>
      </c>
      <c r="AB964">
        <f>COUNTIF(B:B,bron[[#This Row],[volledige naam]])</f>
        <v>4</v>
      </c>
    </row>
    <row r="965" spans="1:28" x14ac:dyDescent="0.25">
      <c r="A965">
        <v>36426</v>
      </c>
      <c r="B965" t="str">
        <f>_xlfn.CONCAT(bron[[#This Row],[personeelsnr]]," ",bron[[#This Row],[achternaam]]," ",bron[[#This Row],[voornaam]])</f>
        <v>36426 Mohamed Yassin Abdulhamid</v>
      </c>
      <c r="C965" t="str">
        <f>VLOOKUP(bron[[#This Row],[personeelsnr]],'data hastus'!$A:$C,2,0)</f>
        <v>Mohamed Yassin</v>
      </c>
      <c r="D965" t="str">
        <f>VLOOKUP(bron[[#This Row],[personeelsnr]],'data hastus'!$A:$C,3,0)</f>
        <v>Abdulhamid</v>
      </c>
      <c r="E965" s="2" t="str">
        <f>VLOOKUP(bron[[#This Row],[personeelsnr]],'data hastus'!A:K,11,FALSE)</f>
        <v>Bart Van Der Beken</v>
      </c>
      <c r="F965" s="10"/>
      <c r="G965" s="28"/>
      <c r="H965" s="28"/>
      <c r="I965" s="28"/>
      <c r="S965" s="33">
        <f>SUM(bron[[#This Row],[Januari]:[December]])</f>
        <v>0</v>
      </c>
      <c r="T965" s="30">
        <v>45978</v>
      </c>
      <c r="U965" s="5" t="s">
        <v>3792</v>
      </c>
      <c r="V965" s="26"/>
      <c r="W965" s="26"/>
      <c r="X965" t="s">
        <v>3493</v>
      </c>
      <c r="Y965" t="s">
        <v>3793</v>
      </c>
      <c r="Z965" s="2">
        <v>5790</v>
      </c>
      <c r="AA965" s="32" t="s">
        <v>3539</v>
      </c>
      <c r="AB965">
        <f>COUNTIF(B:B,bron[[#This Row],[volledige naam]])</f>
        <v>3</v>
      </c>
    </row>
    <row r="966" spans="1:28" x14ac:dyDescent="0.25">
      <c r="A966">
        <v>38529</v>
      </c>
      <c r="B966" t="str">
        <f>_xlfn.CONCAT(bron[[#This Row],[personeelsnr]]," ",bron[[#This Row],[achternaam]]," ",bron[[#This Row],[voornaam]])</f>
        <v>38529 Huyghe Jan</v>
      </c>
      <c r="C966" t="str">
        <f>VLOOKUP(bron[[#This Row],[personeelsnr]],'data hastus'!$A:$C,2,0)</f>
        <v>Huyghe</v>
      </c>
      <c r="D966" t="str">
        <f>VLOOKUP(bron[[#This Row],[personeelsnr]],'data hastus'!$A:$C,3,0)</f>
        <v>Jan</v>
      </c>
      <c r="E966" s="2" t="str">
        <f>VLOOKUP(bron[[#This Row],[personeelsnr]],'data hastus'!A:K,11,FALSE)</f>
        <v>Els Dewulf</v>
      </c>
      <c r="F966" s="10"/>
      <c r="G966" s="28"/>
      <c r="H966" s="28"/>
      <c r="I966" s="28"/>
      <c r="S966" s="33">
        <f>SUM(bron[[#This Row],[Januari]:[December]])</f>
        <v>0</v>
      </c>
      <c r="T966" s="30">
        <v>45979</v>
      </c>
      <c r="U966" s="5" t="s">
        <v>3788</v>
      </c>
      <c r="V966" s="26"/>
      <c r="W966" s="26"/>
      <c r="X966" t="s">
        <v>3493</v>
      </c>
      <c r="Y966" t="s">
        <v>18</v>
      </c>
      <c r="Z966" s="2">
        <v>5932</v>
      </c>
      <c r="AA966" s="32" t="s">
        <v>3540</v>
      </c>
      <c r="AB966">
        <f>COUNTIF(B:B,bron[[#This Row],[volledige naam]])</f>
        <v>5</v>
      </c>
    </row>
    <row r="967" spans="1:28" x14ac:dyDescent="0.25">
      <c r="A967">
        <v>25733</v>
      </c>
      <c r="B967" t="str">
        <f>_xlfn.CONCAT(bron[[#This Row],[personeelsnr]]," ",bron[[#This Row],[achternaam]]," ",bron[[#This Row],[voornaam]])</f>
        <v>25733 Simsek Abdullah</v>
      </c>
      <c r="C967" t="str">
        <f>VLOOKUP(bron[[#This Row],[personeelsnr]],'data hastus'!$A:$C,2,0)</f>
        <v>Simsek</v>
      </c>
      <c r="D967" t="str">
        <f>VLOOKUP(bron[[#This Row],[personeelsnr]],'data hastus'!$A:$C,3,0)</f>
        <v>Abdullah</v>
      </c>
      <c r="E967" s="2" t="str">
        <f>VLOOKUP(bron[[#This Row],[personeelsnr]],'data hastus'!A:K,11,FALSE)</f>
        <v>Els Vanhoe</v>
      </c>
      <c r="F967" s="10"/>
      <c r="G967" s="28"/>
      <c r="H967" s="28"/>
      <c r="I967" s="28"/>
      <c r="S967" s="33">
        <f>SUM(bron[[#This Row],[Januari]:[December]])</f>
        <v>0</v>
      </c>
      <c r="T967" s="30">
        <v>45979</v>
      </c>
      <c r="U967" s="5" t="s">
        <v>3791</v>
      </c>
      <c r="V967" s="26"/>
      <c r="W967" s="26"/>
      <c r="X967" t="s">
        <v>3529</v>
      </c>
      <c r="Y967" t="s">
        <v>589</v>
      </c>
      <c r="Z967" s="2">
        <v>6365</v>
      </c>
      <c r="AA967" s="32" t="s">
        <v>3539</v>
      </c>
      <c r="AB967">
        <f>COUNTIF(B:B,bron[[#This Row],[volledige naam]])</f>
        <v>2</v>
      </c>
    </row>
    <row r="968" spans="1:28" x14ac:dyDescent="0.25">
      <c r="A968">
        <v>42218</v>
      </c>
      <c r="B968" t="str">
        <f>_xlfn.CONCAT(bron[[#This Row],[personeelsnr]]," ",bron[[#This Row],[achternaam]]," ",bron[[#This Row],[voornaam]])</f>
        <v>42218 Özer Metehan</v>
      </c>
      <c r="C968" t="str">
        <f>VLOOKUP(bron[[#This Row],[personeelsnr]],'data hastus'!$A:$C,2,0)</f>
        <v>Özer</v>
      </c>
      <c r="D968" t="str">
        <f>VLOOKUP(bron[[#This Row],[personeelsnr]],'data hastus'!$A:$C,3,0)</f>
        <v>Metehan</v>
      </c>
      <c r="E968" s="2" t="str">
        <f>VLOOKUP(bron[[#This Row],[personeelsnr]],'data hastus'!A:K,11,FALSE)</f>
        <v>Els Dewulf</v>
      </c>
      <c r="F968" s="10"/>
      <c r="G968" s="28"/>
      <c r="H968" s="28"/>
      <c r="I968" s="28"/>
      <c r="S968" s="33">
        <f>SUM(bron[[#This Row],[Januari]:[December]])</f>
        <v>0</v>
      </c>
      <c r="T968" s="30">
        <v>45979</v>
      </c>
      <c r="U968" s="5" t="s">
        <v>3797</v>
      </c>
      <c r="V968" s="26"/>
      <c r="W968" s="26"/>
      <c r="X968" t="s">
        <v>3493</v>
      </c>
      <c r="Y968" t="s">
        <v>199</v>
      </c>
      <c r="Z968" s="2">
        <v>5936</v>
      </c>
      <c r="AA968" s="32" t="s">
        <v>3539</v>
      </c>
      <c r="AB968">
        <f>COUNTIF(B:B,bron[[#This Row],[volledige naam]])</f>
        <v>1</v>
      </c>
    </row>
    <row r="969" spans="1:28" x14ac:dyDescent="0.25">
      <c r="A969">
        <v>8918</v>
      </c>
      <c r="B969" t="str">
        <f>_xlfn.CONCAT(bron[[#This Row],[personeelsnr]]," ",bron[[#This Row],[achternaam]]," ",bron[[#This Row],[voornaam]])</f>
        <v>8918 De Graeve Marc</v>
      </c>
      <c r="C969" t="str">
        <f>VLOOKUP(bron[[#This Row],[personeelsnr]],'data hastus'!$A:$C,2,0)</f>
        <v>De Graeve</v>
      </c>
      <c r="D969" t="str">
        <f>VLOOKUP(bron[[#This Row],[personeelsnr]],'data hastus'!$A:$C,3,0)</f>
        <v>Marc</v>
      </c>
      <c r="E969" s="2" t="str">
        <f>VLOOKUP(bron[[#This Row],[personeelsnr]],'data hastus'!A:K,11,FALSE)</f>
        <v>Kenneth De Rick</v>
      </c>
      <c r="F969" s="10"/>
      <c r="G969" s="28"/>
      <c r="H969" s="28"/>
      <c r="I969" s="28"/>
      <c r="S969" s="33">
        <f>SUM(bron[[#This Row],[Januari]:[December]])</f>
        <v>0</v>
      </c>
      <c r="T969" s="30">
        <v>45979</v>
      </c>
      <c r="U969" s="5" t="s">
        <v>3801</v>
      </c>
      <c r="V969" s="26"/>
      <c r="W969" s="26"/>
      <c r="X969" t="s">
        <v>3494</v>
      </c>
      <c r="Y969" t="s">
        <v>3800</v>
      </c>
      <c r="Z969" s="2">
        <v>5273</v>
      </c>
      <c r="AA969" s="32" t="s">
        <v>3539</v>
      </c>
      <c r="AB969">
        <f>COUNTIF(B:B,bron[[#This Row],[volledige naam]])</f>
        <v>1</v>
      </c>
    </row>
    <row r="970" spans="1:28" x14ac:dyDescent="0.25">
      <c r="A970">
        <v>33400</v>
      </c>
      <c r="B970" t="str">
        <f>_xlfn.CONCAT(bron[[#This Row],[personeelsnr]]," ",bron[[#This Row],[achternaam]]," ",bron[[#This Row],[voornaam]])</f>
        <v>33400 Petit Cynthia</v>
      </c>
      <c r="C970" t="str">
        <f>VLOOKUP(bron[[#This Row],[personeelsnr]],'data hastus'!$A:$C,2,0)</f>
        <v>Petit</v>
      </c>
      <c r="D970" t="str">
        <f>VLOOKUP(bron[[#This Row],[personeelsnr]],'data hastus'!$A:$C,3,0)</f>
        <v>Cynthia</v>
      </c>
      <c r="E970" s="2" t="str">
        <f>VLOOKUP(bron[[#This Row],[personeelsnr]],'data hastus'!A:K,11,FALSE)</f>
        <v>Christoff Rotty</v>
      </c>
      <c r="F970" s="10"/>
      <c r="G970" s="28"/>
      <c r="H970" s="28"/>
      <c r="I970" s="28"/>
      <c r="S970" s="33">
        <f>SUM(bron[[#This Row],[Januari]:[December]])</f>
        <v>0</v>
      </c>
      <c r="T970" s="30">
        <v>45980</v>
      </c>
      <c r="U970" s="5" t="s">
        <v>3789</v>
      </c>
      <c r="V970" s="26"/>
      <c r="W970" s="26"/>
      <c r="X970" t="s">
        <v>3529</v>
      </c>
      <c r="Y970" t="s">
        <v>838</v>
      </c>
      <c r="Z970" s="2">
        <v>6368</v>
      </c>
      <c r="AA970" s="32" t="s">
        <v>3540</v>
      </c>
      <c r="AB970">
        <f>COUNTIF(B:B,bron[[#This Row],[volledige naam]])</f>
        <v>3</v>
      </c>
    </row>
    <row r="971" spans="1:28" x14ac:dyDescent="0.25">
      <c r="A971">
        <v>42336</v>
      </c>
      <c r="B971" t="str">
        <f>_xlfn.CONCAT(bron[[#This Row],[personeelsnr]]," ",bron[[#This Row],[achternaam]]," ",bron[[#This Row],[voornaam]])</f>
        <v>42336 Camgöz Furkan</v>
      </c>
      <c r="C971" t="str">
        <f>VLOOKUP(bron[[#This Row],[personeelsnr]],'data hastus'!$A:$C,2,0)</f>
        <v>Camgöz</v>
      </c>
      <c r="D971" t="str">
        <f>VLOOKUP(bron[[#This Row],[personeelsnr]],'data hastus'!$A:$C,3,0)</f>
        <v>Furkan</v>
      </c>
      <c r="E971" s="2">
        <f>VLOOKUP(bron[[#This Row],[personeelsnr]],'data hastus'!A:K,11,FALSE)</f>
        <v>0</v>
      </c>
      <c r="F971" s="10"/>
      <c r="G971" s="28"/>
      <c r="H971" s="28"/>
      <c r="I971" s="28"/>
      <c r="S971" s="33">
        <f>SUM(bron[[#This Row],[Januari]:[December]])</f>
        <v>0</v>
      </c>
      <c r="T971" s="30">
        <v>45981</v>
      </c>
      <c r="U971" s="5" t="s">
        <v>3794</v>
      </c>
      <c r="V971" s="26"/>
      <c r="W971" s="26"/>
      <c r="X971" t="s">
        <v>3493</v>
      </c>
      <c r="Y971" t="s">
        <v>223</v>
      </c>
      <c r="Z971" s="2">
        <v>5912</v>
      </c>
      <c r="AA971" s="32" t="s">
        <v>3539</v>
      </c>
      <c r="AB971">
        <f>COUNTIF(B:B,bron[[#This Row],[volledige naam]])</f>
        <v>1</v>
      </c>
    </row>
    <row r="972" spans="1:28" x14ac:dyDescent="0.25">
      <c r="A972">
        <v>39558</v>
      </c>
      <c r="B972" t="str">
        <f>_xlfn.CONCAT(bron[[#This Row],[personeelsnr]]," ",bron[[#This Row],[achternaam]]," ",bron[[#This Row],[voornaam]])</f>
        <v>39558 De Groote Cedric</v>
      </c>
      <c r="C972" t="str">
        <f>VLOOKUP(bron[[#This Row],[personeelsnr]],'data hastus'!$A:$C,2,0)</f>
        <v>De Groote</v>
      </c>
      <c r="D972" t="str">
        <f>VLOOKUP(bron[[#This Row],[personeelsnr]],'data hastus'!$A:$C,3,0)</f>
        <v>Cedric</v>
      </c>
      <c r="E972" s="2" t="str">
        <f>VLOOKUP(bron[[#This Row],[personeelsnr]],'data hastus'!A:K,11,FALSE)</f>
        <v>Steven Storm</v>
      </c>
      <c r="F972" s="10"/>
      <c r="G972" s="28"/>
      <c r="H972" s="28"/>
      <c r="I972" s="28"/>
      <c r="S972" s="33">
        <f>SUM(bron[[#This Row],[Januari]:[December]])</f>
        <v>0</v>
      </c>
      <c r="T972" s="30">
        <v>45981</v>
      </c>
      <c r="U972" s="5" t="s">
        <v>3798</v>
      </c>
      <c r="V972" s="26"/>
      <c r="W972" s="26"/>
      <c r="X972" t="s">
        <v>3494</v>
      </c>
      <c r="Y972" t="s">
        <v>266</v>
      </c>
      <c r="Z972" s="2">
        <v>5047</v>
      </c>
      <c r="AA972" s="32" t="s">
        <v>3539</v>
      </c>
      <c r="AB972">
        <f>COUNTIF(B:B,bron[[#This Row],[volledige naam]])</f>
        <v>2</v>
      </c>
    </row>
    <row r="973" spans="1:28" x14ac:dyDescent="0.25">
      <c r="A973">
        <v>27865</v>
      </c>
      <c r="B973" t="str">
        <f>_xlfn.CONCAT(bron[[#This Row],[personeelsnr]]," ",bron[[#This Row],[achternaam]]," ",bron[[#This Row],[voornaam]])</f>
        <v>27865 Olenski Leonard</v>
      </c>
      <c r="C973" t="str">
        <f>VLOOKUP(bron[[#This Row],[personeelsnr]],'data hastus'!$A:$C,2,0)</f>
        <v>Olenski</v>
      </c>
      <c r="D973" t="str">
        <f>VLOOKUP(bron[[#This Row],[personeelsnr]],'data hastus'!$A:$C,3,0)</f>
        <v>Leonard</v>
      </c>
      <c r="E973" s="2" t="str">
        <f>VLOOKUP(bron[[#This Row],[personeelsnr]],'data hastus'!A:K,11,FALSE)</f>
        <v>Els Dewulf</v>
      </c>
      <c r="F973" s="10"/>
      <c r="G973" s="28"/>
      <c r="H973" s="28"/>
      <c r="I973" s="28"/>
      <c r="S973" s="33">
        <f>SUM(bron[[#This Row],[Januari]:[December]])</f>
        <v>0</v>
      </c>
      <c r="T973" s="30">
        <v>45982</v>
      </c>
      <c r="U973" s="5" t="s">
        <v>3802</v>
      </c>
      <c r="V973" s="26"/>
      <c r="W973" s="26"/>
      <c r="X973" t="s">
        <v>3529</v>
      </c>
      <c r="Y973" t="s">
        <v>6</v>
      </c>
      <c r="Z973" s="2">
        <v>6353</v>
      </c>
      <c r="AA973" s="32" t="s">
        <v>3539</v>
      </c>
      <c r="AB973">
        <f>COUNTIF(B:B,bron[[#This Row],[volledige naam]])</f>
        <v>1</v>
      </c>
    </row>
    <row r="974" spans="1:28" x14ac:dyDescent="0.25">
      <c r="A974">
        <v>42252</v>
      </c>
      <c r="B974" t="str">
        <f>_xlfn.CONCAT(bron[[#This Row],[personeelsnr]]," ",bron[[#This Row],[achternaam]]," ",bron[[#This Row],[voornaam]])</f>
        <v>42252 Sular Abdullah</v>
      </c>
      <c r="C974" t="str">
        <f>VLOOKUP(bron[[#This Row],[personeelsnr]],'data hastus'!$A:$C,2,0)</f>
        <v>Sular</v>
      </c>
      <c r="D974" t="str">
        <f>VLOOKUP(bron[[#This Row],[personeelsnr]],'data hastus'!$A:$C,3,0)</f>
        <v>Abdullah</v>
      </c>
      <c r="E974" s="2" t="str">
        <f>VLOOKUP(bron[[#This Row],[personeelsnr]],'data hastus'!A:K,11,FALSE)</f>
        <v>Christoff Rotty</v>
      </c>
      <c r="F974" s="10"/>
      <c r="G974" s="28"/>
      <c r="H974" s="28"/>
      <c r="I974" s="28"/>
      <c r="S974" s="33">
        <f>SUM(bron[[#This Row],[Januari]:[December]])</f>
        <v>0</v>
      </c>
      <c r="T974" s="30">
        <v>45982</v>
      </c>
      <c r="U974" s="5" t="s">
        <v>3804</v>
      </c>
      <c r="V974" s="26"/>
      <c r="W974" s="26"/>
      <c r="X974" t="s">
        <v>3493</v>
      </c>
      <c r="Y974" t="s">
        <v>3805</v>
      </c>
      <c r="Z974" s="2">
        <v>104023</v>
      </c>
      <c r="AA974" s="32" t="s">
        <v>3612</v>
      </c>
      <c r="AB974">
        <f>COUNTIF(B:B,bron[[#This Row],[volledige naam]])</f>
        <v>5</v>
      </c>
    </row>
    <row r="975" spans="1:28" x14ac:dyDescent="0.25">
      <c r="A975">
        <v>41482</v>
      </c>
      <c r="B975" t="str">
        <f>_xlfn.CONCAT(bron[[#This Row],[personeelsnr]]," ",bron[[#This Row],[achternaam]]," ",bron[[#This Row],[voornaam]])</f>
        <v>41482 Özdemir Osman</v>
      </c>
      <c r="C975" t="str">
        <f>VLOOKUP(bron[[#This Row],[personeelsnr]],'data hastus'!$A:$C,2,0)</f>
        <v>Özdemir</v>
      </c>
      <c r="D975" t="str">
        <f>VLOOKUP(bron[[#This Row],[personeelsnr]],'data hastus'!$A:$C,3,0)</f>
        <v>Osman</v>
      </c>
      <c r="E975" s="2" t="str">
        <f>VLOOKUP(bron[[#This Row],[personeelsnr]],'data hastus'!A:K,11,FALSE)</f>
        <v>Bart Van Der Beken</v>
      </c>
      <c r="F975" s="10"/>
      <c r="G975" s="28"/>
      <c r="H975" s="28"/>
      <c r="I975" s="28"/>
      <c r="S975" s="33">
        <f>SUM(bron[[#This Row],[Januari]:[December]])</f>
        <v>0</v>
      </c>
      <c r="T975" s="30">
        <v>45985</v>
      </c>
      <c r="U975" s="5" t="s">
        <v>3803</v>
      </c>
      <c r="V975" s="26"/>
      <c r="W975" s="26"/>
      <c r="X975" t="s">
        <v>3494</v>
      </c>
      <c r="Y975" t="s">
        <v>32</v>
      </c>
      <c r="Z975" s="2">
        <v>5054</v>
      </c>
      <c r="AA975" s="32" t="s">
        <v>3540</v>
      </c>
      <c r="AB975">
        <f>COUNTIF(B:B,bron[[#This Row],[volledige naam]])</f>
        <v>3</v>
      </c>
    </row>
    <row r="976" spans="1:28" x14ac:dyDescent="0.25">
      <c r="A976">
        <v>42307</v>
      </c>
      <c r="B976" t="str">
        <f>_xlfn.CONCAT(bron[[#This Row],[personeelsnr]]," ",bron[[#This Row],[achternaam]]," ",bron[[#This Row],[voornaam]])</f>
        <v>42307 Helleputte Jens</v>
      </c>
      <c r="C976" t="str">
        <f>VLOOKUP(bron[[#This Row],[personeelsnr]],'data hastus'!$A:$C,2,0)</f>
        <v>Helleputte</v>
      </c>
      <c r="D976" t="str">
        <f>VLOOKUP(bron[[#This Row],[personeelsnr]],'data hastus'!$A:$C,3,0)</f>
        <v>Jens</v>
      </c>
      <c r="E976" s="2" t="str">
        <f>VLOOKUP(bron[[#This Row],[personeelsnr]],'data hastus'!A:K,11,FALSE)</f>
        <v>Christoff Rotty</v>
      </c>
      <c r="F976" s="10"/>
      <c r="G976" s="28"/>
      <c r="H976" s="28"/>
      <c r="I976" s="28"/>
      <c r="S976" s="33">
        <f>SUM(bron[[#This Row],[Januari]:[December]])</f>
        <v>0</v>
      </c>
      <c r="T976" s="30">
        <v>45986</v>
      </c>
      <c r="U976" s="5" t="s">
        <v>3806</v>
      </c>
      <c r="V976" s="26"/>
      <c r="W976" s="26"/>
      <c r="X976" t="s">
        <v>3493</v>
      </c>
      <c r="Y976" t="s">
        <v>3807</v>
      </c>
      <c r="Z976" s="2">
        <v>5934</v>
      </c>
      <c r="AA976" s="32" t="s">
        <v>3539</v>
      </c>
      <c r="AB976">
        <f>COUNTIF(B:B,bron[[#This Row],[volledige naam]])</f>
        <v>3</v>
      </c>
    </row>
    <row r="977" spans="1:28" x14ac:dyDescent="0.25">
      <c r="A977">
        <v>38688</v>
      </c>
      <c r="B977" t="str">
        <f>_xlfn.CONCAT(bron[[#This Row],[personeelsnr]]," ",bron[[#This Row],[achternaam]]," ",bron[[#This Row],[voornaam]])</f>
        <v>38688 Basgurboga Selahattin</v>
      </c>
      <c r="C977" t="str">
        <f>VLOOKUP(bron[[#This Row],[personeelsnr]],'data hastus'!$A:$C,2,0)</f>
        <v>Basgurboga</v>
      </c>
      <c r="D977" t="str">
        <f>VLOOKUP(bron[[#This Row],[personeelsnr]],'data hastus'!$A:$C,3,0)</f>
        <v>Selahattin</v>
      </c>
      <c r="E977" s="2" t="str">
        <f>VLOOKUP(bron[[#This Row],[personeelsnr]],'data hastus'!A:K,11,FALSE)</f>
        <v>Els Dewulf</v>
      </c>
      <c r="F977" s="10"/>
      <c r="G977" s="28"/>
      <c r="H977" s="28"/>
      <c r="I977" s="28"/>
      <c r="S977" s="33">
        <f>SUM(bron[[#This Row],[Januari]:[December]])</f>
        <v>0</v>
      </c>
      <c r="T977" s="30">
        <v>45967</v>
      </c>
      <c r="U977" s="5" t="s">
        <v>3840</v>
      </c>
      <c r="V977" s="26"/>
      <c r="W977" s="26"/>
      <c r="X977" t="s">
        <v>3493</v>
      </c>
      <c r="Y977" t="s">
        <v>3841</v>
      </c>
      <c r="Z977" s="2">
        <v>5768</v>
      </c>
      <c r="AA977" s="32" t="s">
        <v>3539</v>
      </c>
      <c r="AB977">
        <f>COUNTIF(B:B,bron[[#This Row],[volledige naam]])</f>
        <v>3</v>
      </c>
    </row>
    <row r="978" spans="1:28" x14ac:dyDescent="0.25">
      <c r="A978">
        <v>36627</v>
      </c>
      <c r="B978" t="str">
        <f>_xlfn.CONCAT(bron[[#This Row],[personeelsnr]]," ",bron[[#This Row],[achternaam]]," ",bron[[#This Row],[voornaam]])</f>
        <v>36627 Dobbelaere David</v>
      </c>
      <c r="C978" t="str">
        <f>VLOOKUP(bron[[#This Row],[personeelsnr]],'data hastus'!$A:$C,2,0)</f>
        <v>Dobbelaere</v>
      </c>
      <c r="D978" t="str">
        <f>VLOOKUP(bron[[#This Row],[personeelsnr]],'data hastus'!$A:$C,3,0)</f>
        <v>David</v>
      </c>
      <c r="E978" s="2" t="str">
        <f>VLOOKUP(bron[[#This Row],[personeelsnr]],'data hastus'!A:K,11,FALSE)</f>
        <v>Els Dewulf</v>
      </c>
      <c r="F978" s="10"/>
      <c r="G978" s="28"/>
      <c r="H978" s="28"/>
      <c r="I978" s="28"/>
      <c r="S978" s="33">
        <f>SUM(bron[[#This Row],[Januari]:[December]])</f>
        <v>0</v>
      </c>
      <c r="T978" s="30">
        <v>45984</v>
      </c>
      <c r="U978" s="5" t="s">
        <v>3842</v>
      </c>
      <c r="V978" s="26"/>
      <c r="W978" s="26"/>
      <c r="X978" t="s">
        <v>3494</v>
      </c>
      <c r="Y978" t="s">
        <v>3735</v>
      </c>
      <c r="Z978" s="2">
        <v>5260</v>
      </c>
      <c r="AA978" s="32" t="s">
        <v>3539</v>
      </c>
      <c r="AB978">
        <f>COUNTIF(B:B,bron[[#This Row],[volledige naam]])</f>
        <v>4</v>
      </c>
    </row>
    <row r="979" spans="1:28" x14ac:dyDescent="0.25">
      <c r="B979" t="e">
        <f>_xlfn.CONCAT(bron[[#This Row],[personeelsnr]]," ",bron[[#This Row],[achternaam]]," ",bron[[#This Row],[voornaam]])</f>
        <v>#N/A</v>
      </c>
      <c r="C979" t="e">
        <f>VLOOKUP(bron[[#This Row],[personeelsnr]],'data hastus'!$A:$C,2,0)</f>
        <v>#N/A</v>
      </c>
      <c r="D979" t="e">
        <f>VLOOKUP(bron[[#This Row],[personeelsnr]],'data hastus'!$A:$C,3,0)</f>
        <v>#N/A</v>
      </c>
      <c r="E979" s="2" t="e">
        <f>VLOOKUP(bron[[#This Row],[personeelsnr]],'data hastus'!A:K,11,FALSE)</f>
        <v>#N/A</v>
      </c>
      <c r="F979" s="10"/>
      <c r="G979" s="28"/>
      <c r="H979" s="28"/>
      <c r="I979" s="28"/>
      <c r="S979" s="33">
        <f>SUM(bron[[#This Row],[Januari]:[December]])</f>
        <v>0</v>
      </c>
      <c r="V979" s="26"/>
      <c r="W979" s="26"/>
      <c r="AB979">
        <f>COUNTIF(B:B,bron[[#This Row],[volledige naam]])</f>
        <v>24</v>
      </c>
    </row>
    <row r="980" spans="1:28" x14ac:dyDescent="0.25">
      <c r="B980" t="e">
        <f>_xlfn.CONCAT(bron[[#This Row],[personeelsnr]]," ",bron[[#This Row],[achternaam]]," ",bron[[#This Row],[voornaam]])</f>
        <v>#N/A</v>
      </c>
      <c r="C980" t="e">
        <f>VLOOKUP(bron[[#This Row],[personeelsnr]],'data hastus'!$A:$C,2,0)</f>
        <v>#N/A</v>
      </c>
      <c r="D980" t="e">
        <f>VLOOKUP(bron[[#This Row],[personeelsnr]],'data hastus'!$A:$C,3,0)</f>
        <v>#N/A</v>
      </c>
      <c r="E980" s="2" t="e">
        <f>VLOOKUP(bron[[#This Row],[personeelsnr]],'data hastus'!A:K,11,FALSE)</f>
        <v>#N/A</v>
      </c>
      <c r="F980" s="10"/>
      <c r="G980" s="28"/>
      <c r="H980" s="28"/>
      <c r="I980" s="28"/>
      <c r="S980" s="33">
        <f>SUM(bron[[#This Row],[Januari]:[December]])</f>
        <v>0</v>
      </c>
      <c r="V980" s="26"/>
      <c r="W980" s="26"/>
      <c r="AB980">
        <f>COUNTIF(B:B,bron[[#This Row],[volledige naam]])</f>
        <v>24</v>
      </c>
    </row>
    <row r="981" spans="1:28" x14ac:dyDescent="0.25">
      <c r="B981" t="e">
        <f>_xlfn.CONCAT(bron[[#This Row],[personeelsnr]]," ",bron[[#This Row],[achternaam]]," ",bron[[#This Row],[voornaam]])</f>
        <v>#N/A</v>
      </c>
      <c r="C981" t="e">
        <f>VLOOKUP(bron[[#This Row],[personeelsnr]],'data hastus'!$A:$C,2,0)</f>
        <v>#N/A</v>
      </c>
      <c r="D981" t="e">
        <f>VLOOKUP(bron[[#This Row],[personeelsnr]],'data hastus'!$A:$C,3,0)</f>
        <v>#N/A</v>
      </c>
      <c r="E981" s="2" t="e">
        <f>VLOOKUP(bron[[#This Row],[personeelsnr]],'data hastus'!A:K,11,FALSE)</f>
        <v>#N/A</v>
      </c>
      <c r="F981" s="10"/>
      <c r="G981" s="28"/>
      <c r="H981" s="28"/>
      <c r="I981" s="28"/>
      <c r="S981" s="33">
        <f>SUM(bron[[#This Row],[Januari]:[December]])</f>
        <v>0</v>
      </c>
      <c r="V981" s="26"/>
      <c r="W981" s="26"/>
      <c r="AB981">
        <f>COUNTIF(B:B,bron[[#This Row],[volledige naam]])</f>
        <v>24</v>
      </c>
    </row>
    <row r="982" spans="1:28" x14ac:dyDescent="0.25">
      <c r="B982" t="e">
        <f>_xlfn.CONCAT(bron[[#This Row],[personeelsnr]]," ",bron[[#This Row],[achternaam]]," ",bron[[#This Row],[voornaam]])</f>
        <v>#N/A</v>
      </c>
      <c r="C982" t="e">
        <f>VLOOKUP(bron[[#This Row],[personeelsnr]],'data hastus'!$A:$C,2,0)</f>
        <v>#N/A</v>
      </c>
      <c r="D982" t="e">
        <f>VLOOKUP(bron[[#This Row],[personeelsnr]],'data hastus'!$A:$C,3,0)</f>
        <v>#N/A</v>
      </c>
      <c r="E982" s="2" t="e">
        <f>VLOOKUP(bron[[#This Row],[personeelsnr]],'data hastus'!A:K,11,FALSE)</f>
        <v>#N/A</v>
      </c>
      <c r="F982" s="10"/>
      <c r="G982" s="28"/>
      <c r="H982" s="28"/>
      <c r="I982" s="28"/>
      <c r="S982" s="33">
        <f>SUM(bron[[#This Row],[Januari]:[December]])</f>
        <v>0</v>
      </c>
      <c r="V982" s="26"/>
      <c r="W982" s="26"/>
      <c r="AB982">
        <f>COUNTIF(B:B,bron[[#This Row],[volledige naam]])</f>
        <v>24</v>
      </c>
    </row>
    <row r="983" spans="1:28" x14ac:dyDescent="0.25">
      <c r="B983" t="e">
        <f>_xlfn.CONCAT(bron[[#This Row],[personeelsnr]]," ",bron[[#This Row],[achternaam]]," ",bron[[#This Row],[voornaam]])</f>
        <v>#N/A</v>
      </c>
      <c r="C983" t="e">
        <f>VLOOKUP(bron[[#This Row],[personeelsnr]],'data hastus'!$A:$C,2,0)</f>
        <v>#N/A</v>
      </c>
      <c r="D983" t="e">
        <f>VLOOKUP(bron[[#This Row],[personeelsnr]],'data hastus'!$A:$C,3,0)</f>
        <v>#N/A</v>
      </c>
      <c r="E983" s="2" t="e">
        <f>VLOOKUP(bron[[#This Row],[personeelsnr]],'data hastus'!A:K,11,FALSE)</f>
        <v>#N/A</v>
      </c>
      <c r="F983" s="10"/>
      <c r="G983" s="28"/>
      <c r="H983" s="28"/>
      <c r="I983" s="28"/>
      <c r="S983" s="33">
        <f>SUM(bron[[#This Row],[Januari]:[December]])</f>
        <v>0</v>
      </c>
      <c r="V983" s="26"/>
      <c r="W983" s="26"/>
      <c r="AB983">
        <f>COUNTIF(B:B,bron[[#This Row],[volledige naam]])</f>
        <v>24</v>
      </c>
    </row>
    <row r="984" spans="1:28" x14ac:dyDescent="0.25">
      <c r="B984" t="e">
        <f>_xlfn.CONCAT(bron[[#This Row],[personeelsnr]]," ",bron[[#This Row],[achternaam]]," ",bron[[#This Row],[voornaam]])</f>
        <v>#N/A</v>
      </c>
      <c r="C984" t="e">
        <f>VLOOKUP(bron[[#This Row],[personeelsnr]],'data hastus'!$A:$C,2,0)</f>
        <v>#N/A</v>
      </c>
      <c r="D984" t="e">
        <f>VLOOKUP(bron[[#This Row],[personeelsnr]],'data hastus'!$A:$C,3,0)</f>
        <v>#N/A</v>
      </c>
      <c r="E984" s="2" t="e">
        <f>VLOOKUP(bron[[#This Row],[personeelsnr]],'data hastus'!A:K,11,FALSE)</f>
        <v>#N/A</v>
      </c>
      <c r="F984" s="10"/>
      <c r="G984" s="28"/>
      <c r="H984" s="28"/>
      <c r="I984" s="28"/>
      <c r="S984" s="33">
        <f>SUM(bron[[#This Row],[Januari]:[December]])</f>
        <v>0</v>
      </c>
      <c r="V984" s="26"/>
      <c r="W984" s="26"/>
      <c r="AB984">
        <f>COUNTIF(B:B,bron[[#This Row],[volledige naam]])</f>
        <v>24</v>
      </c>
    </row>
  </sheetData>
  <sheetProtection sort="0" autoFilter="0"/>
  <phoneticPr fontId="1" type="noConversion"/>
  <conditionalFormatting sqref="F2:F984">
    <cfRule type="cellIs" dxfId="5" priority="5" operator="equal">
      <formula>0</formula>
    </cfRule>
    <cfRule type="cellIs" dxfId="4" priority="7" operator="between">
      <formula>1</formula>
      <formula>4</formula>
    </cfRule>
    <cfRule type="cellIs" dxfId="3" priority="9" operator="greaterThanOrEqual">
      <formula>5</formula>
    </cfRule>
  </conditionalFormatting>
  <hyperlinks>
    <hyperlink ref="U515" r:id="rId1" xr:uid="{069AB0F3-66D9-443A-A282-BECCE4BC15A4}"/>
    <hyperlink ref="U524" r:id="rId2" xr:uid="{266ED411-E9BA-4025-B809-BF681D6EF2C2}"/>
    <hyperlink ref="U540" r:id="rId3" display="../../../../../../../:b:/r/teams/CTM-OTGentStad/Shared Documents/General/EAF/CSI(nieuwe sharepoint) 2025/1. Januari/EAF 6337 Gent 17012025.pdf?csf=1&amp;web=1&amp;e=HIde3n" xr:uid="{B7A5B04D-2444-4A69-96EE-429FE1FAEFC1}"/>
    <hyperlink ref="U542" r:id="rId4" display="../../../../../../../:b:/r/teams/CTM-OTGentStad/Shared Documents/General/EAF/CSI(nieuwe sharepoint) 2025/1. Januari/EAF 6356 Gentbrugge 18012025.pdf?csf=1&amp;web=1&amp;e=mefvXc" xr:uid="{3B1FF491-C1E6-43FD-A0C3-057465EB5192}"/>
    <hyperlink ref="U531" r:id="rId5" display="../../../../../../../:b:/r/teams/CTM-OTGentStad/Shared Documents/General/EAF/CSI(nieuwe sharepoint) 2025/1. Januari/EAF 5263 Mariakerke 13012025.pdf?csf=1&amp;web=1&amp;e=qFf0hX" xr:uid="{1AF9CACF-A798-4483-851F-5828A099BE42}"/>
    <hyperlink ref="U521" r:id="rId6" display="../../../../../../../:b:/r/teams/CTM-OTGentStad/Shared Documents/General/EAF/CSI(nieuwe sharepoint) 2025/1. Januari/EAF 5047 Gent 03012025.pdf?csf=1&amp;web=1&amp;e=ycRhDE" xr:uid="{3AD54217-AB8C-48D0-9A63-05351EF31D35}"/>
    <hyperlink ref="U552" r:id="rId7" xr:uid="{758C2375-3764-4237-851D-A90FFF7D6AC8}"/>
    <hyperlink ref="U553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65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7" r:id="rId10" xr:uid="{F64E53A4-7C17-46F2-BB91-670CFE110D02}"/>
    <hyperlink ref="U586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03" r:id="rId12" xr:uid="{E73AE997-AD9B-4405-90F0-3EFD6BA2309E}"/>
    <hyperlink ref="U588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589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601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611" r:id="rId16" xr:uid="{7921045D-AAB1-4DF0-9E93-D83FFE86B6F5}"/>
    <hyperlink ref="U607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7" r:id="rId18" xr:uid="{88F7C8C1-94D9-4DBB-821A-2AEB46042966}"/>
    <hyperlink ref="U480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3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3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1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500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6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8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4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2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8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4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7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9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3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7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90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7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8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9" r:id="rId282" display="../../../../../../:b:/r/teams/CTM-OTGentStad/Shared Documents/General/EAF/CSI(nieuwe sharepoint)2024/EAF 5914 Gent 19122024.pdf?csf=1&amp;web=1&amp;e=JvjLeO" xr:uid="{FE3D820A-6C1F-4BD2-8F06-5A3FA626E5F8}"/>
    <hyperlink ref="U509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4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5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5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4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1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1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6" r:id="rId419" display="../../../../../../:b:/r/teams/CTM-OTGentStad/Shared Documents/General/EAF/CSI(nieuwe sharepoint)2024/EAF 6361 Gent 09122024.pdf?csf=1&amp;web=1&amp;e=pyBqjh" xr:uid="{25DF6A81-5D18-4CF7-8F3A-D9281FB56EFF}"/>
    <hyperlink ref="U506" r:id="rId420" display="../../../../../../:b:/r/teams/CTM-OTGentStad/Shared Documents/General/EAF/CSI(nieuwe sharepoint)2024/EAF 6362 Gent 21122024.pdf?csf=1&amp;web=1&amp;e=AwaCWK" xr:uid="{F57E973E-D2A5-4668-9304-58D9E1F27F41}"/>
    <hyperlink ref="U501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2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10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13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5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2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2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3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814" r:id="rId533" xr:uid="{150DA4FD-1711-4867-B634-D05F4AEFF1A7}"/>
    <hyperlink ref="U560" r:id="rId534" xr:uid="{D4A9EBC2-7040-472D-9CD7-25E0CD73A803}"/>
    <hyperlink ref="U697" r:id="rId535" xr:uid="{863C6FA1-A756-4D70-AC71-51E5A76689C5}"/>
    <hyperlink ref="U543" r:id="rId536" xr:uid="{DACDB412-C833-4291-9C28-79BA532569AA}"/>
    <hyperlink ref="U545" r:id="rId537" xr:uid="{0B00DD93-46E6-429E-BC0E-941F7DDDCE2A}"/>
    <hyperlink ref="U519" r:id="rId538" xr:uid="{225EB26C-7772-460F-A73C-0F374D7AF285}"/>
    <hyperlink ref="U517" r:id="rId539" xr:uid="{BD0527B6-7BCC-4011-AFE4-A7A21EEA6DF1}"/>
    <hyperlink ref="U561" r:id="rId540" xr:uid="{C2CD05F9-E24E-4861-A589-1C820F320F9E}"/>
    <hyperlink ref="U520" r:id="rId541" xr:uid="{FE436817-0B4F-438C-A63D-C51B18F105A4}"/>
    <hyperlink ref="U555" r:id="rId542" xr:uid="{4A3BDEF3-14A7-45E2-8146-4BAA33388E54}"/>
    <hyperlink ref="U532" r:id="rId543" xr:uid="{56E8F87E-FC9C-4191-9A01-2285D988C8C0}"/>
    <hyperlink ref="U548" r:id="rId544" xr:uid="{3BF788E9-2462-4020-AC4B-A66BB6793883}"/>
    <hyperlink ref="U529" r:id="rId545" xr:uid="{67C81648-7A07-49F8-9510-14AC3651BFAC}"/>
    <hyperlink ref="U554" r:id="rId546" xr:uid="{D17842E8-28B7-4700-8F51-1BF6AAFEEDED}"/>
    <hyperlink ref="U817" r:id="rId547" xr:uid="{1D07BE5F-6D45-449E-A856-72ABC302C426}"/>
    <hyperlink ref="U816" r:id="rId548" xr:uid="{74CF06CF-A463-4FAA-9D33-6F2484FDFE16}"/>
    <hyperlink ref="U815" r:id="rId549" xr:uid="{4D2D47F3-D93E-4E06-A609-F6F31A503B9E}"/>
    <hyperlink ref="U820" r:id="rId550" xr:uid="{BB3ADF8B-2677-4058-AC30-13299C7C8573}"/>
    <hyperlink ref="U819" r:id="rId551" xr:uid="{F243989D-7F6A-4CAE-A35A-DDFC357040CB}"/>
    <hyperlink ref="U818" r:id="rId552" xr:uid="{E058195F-A560-43AD-B42C-D9F293BF83BE}"/>
    <hyperlink ref="U809" r:id="rId553" xr:uid="{E23FAE86-C71A-42EC-8B47-C80E9CF9E459}"/>
    <hyperlink ref="U810" r:id="rId554" xr:uid="{56031605-4B81-4A26-9C04-859AC6BC7199}"/>
    <hyperlink ref="U821" r:id="rId555" xr:uid="{37F3A534-9157-4431-A907-DA8F76A26E11}"/>
    <hyperlink ref="U796" r:id="rId556" xr:uid="{3B159F39-D1EE-4FFE-B00F-CD5A30667FFD}"/>
    <hyperlink ref="U525" r:id="rId557" xr:uid="{D0BD2ED7-E6F8-44FF-AA5C-9C16A6C1804B}"/>
    <hyperlink ref="U518" r:id="rId558" xr:uid="{F33A1740-8EB8-4025-8F53-80BACD691CA6}"/>
    <hyperlink ref="U558" r:id="rId559" xr:uid="{9D95C12D-8E65-4229-9718-A51321D9D94F}"/>
    <hyperlink ref="U556" r:id="rId560" xr:uid="{E4224694-117F-4F4F-9BF7-195BE73397D9}"/>
    <hyperlink ref="U546" r:id="rId561" xr:uid="{C8F55B2D-0BB9-4A25-9B22-6ED11D2439AC}"/>
    <hyperlink ref="U559" r:id="rId562" xr:uid="{086A88D0-A6B0-4F2C-A4EA-1445ED053D6B}"/>
    <hyperlink ref="U550" r:id="rId563" xr:uid="{C251BE52-D64A-40F3-8DC1-707966587D02}"/>
    <hyperlink ref="U551" r:id="rId564" xr:uid="{C7F96931-1F41-4392-BB45-AB92C7E8FFD7}"/>
    <hyperlink ref="U541" r:id="rId565" xr:uid="{730C7AE1-7643-4719-8632-C64D319771B0}"/>
    <hyperlink ref="U547" r:id="rId566" xr:uid="{D2369495-C800-435E-BFFA-8E9093A0F80C}"/>
    <hyperlink ref="U538" r:id="rId567" xr:uid="{0008102A-7EB8-4F37-BAC1-D6E4CC390730}"/>
    <hyperlink ref="U544" r:id="rId568" xr:uid="{351AB9DA-E3BE-4B59-ACEA-9324F3745699}"/>
    <hyperlink ref="U549" r:id="rId569" xr:uid="{899603D8-6E8D-4C79-924A-93406B78EE6B}"/>
    <hyperlink ref="U536" r:id="rId570" xr:uid="{A9F5798F-300C-4BC1-A1B4-06B6054503B7}"/>
    <hyperlink ref="U535" r:id="rId571" xr:uid="{81401BA5-C27E-4D6E-A3BE-13A3DE7927D3}"/>
    <hyperlink ref="U539" r:id="rId572" xr:uid="{8B0F07D6-AE8A-451D-8D1C-41E66AA0B123}"/>
    <hyperlink ref="U533" r:id="rId573" xr:uid="{F8D24394-978E-485C-8512-376B34C9D206}"/>
    <hyperlink ref="U537" r:id="rId574" xr:uid="{75BDEF6D-E245-4089-9D06-E52A0E0E795D}"/>
    <hyperlink ref="U534" r:id="rId575" xr:uid="{E465F374-DB36-41EF-9408-9AAAF868BAFE}"/>
    <hyperlink ref="U526" r:id="rId576" xr:uid="{3DE33E38-BC69-43E7-A2F4-FF3992FBB1C9}"/>
    <hyperlink ref="U527" r:id="rId577" xr:uid="{FC00D559-9EF1-4F91-AD31-31D9EA911704}"/>
    <hyperlink ref="U530" r:id="rId578" xr:uid="{C7205737-9829-4547-A889-2926DD023738}"/>
    <hyperlink ref="U528" r:id="rId579" xr:uid="{58642315-5AF4-42F7-BEE7-55CBCF1C9245}"/>
    <hyperlink ref="U523" r:id="rId580" xr:uid="{9F8B2670-1D8E-490C-BA83-01C7BEF546C6}"/>
    <hyperlink ref="U516" r:id="rId581" xr:uid="{82C47FF0-C30B-4A63-B16D-8D26943A680A}"/>
    <hyperlink ref="U576" r:id="rId582" xr:uid="{2EDE9429-F341-4878-AB9F-AF725DA96FB3}"/>
    <hyperlink ref="U585" r:id="rId583" xr:uid="{D0A8B0FF-DF89-4F65-839E-1E68205C5FFF}"/>
    <hyperlink ref="U602" r:id="rId584" xr:uid="{2E040C5D-D095-44E3-B108-B706873F4965}"/>
    <hyperlink ref="U594" r:id="rId585" xr:uid="{C380338D-B4EB-403F-8201-FF24A466E0AE}"/>
    <hyperlink ref="U563" r:id="rId586" xr:uid="{898BACA9-0B24-4041-83A0-D0979000C0A0}"/>
    <hyperlink ref="U582" r:id="rId587" xr:uid="{F35FBE87-2C1F-4A44-AB97-02EB30AC6E6E}"/>
    <hyperlink ref="U579" r:id="rId588" xr:uid="{4D737CE6-73A6-4025-8559-A716C852BB95}"/>
    <hyperlink ref="U572" r:id="rId589" xr:uid="{0FC9E311-23DD-4419-B96B-98BEF4FED6F2}"/>
    <hyperlink ref="U564" r:id="rId590" xr:uid="{CD2DBC0B-1260-46CE-84BB-78105AC98D90}"/>
    <hyperlink ref="U570" r:id="rId591" xr:uid="{E3AA322B-9412-406B-8DCF-EA1782F3C537}"/>
    <hyperlink ref="U598" r:id="rId592" xr:uid="{145D5B93-B022-4AA5-BCE0-1F27B283997C}"/>
    <hyperlink ref="U600" r:id="rId593" xr:uid="{EC15FBBC-3DD8-418C-B6A0-2A05877526FA}"/>
    <hyperlink ref="U587" r:id="rId594" xr:uid="{F9FC5F25-4055-4C41-B010-4340642B1532}"/>
    <hyperlink ref="U592" r:id="rId595" xr:uid="{EC00F961-65B6-466B-B885-D48582405F11}"/>
    <hyperlink ref="U591" r:id="rId596" xr:uid="{07F0B742-6CE5-4373-91E8-D4D1692F9DC3}"/>
    <hyperlink ref="U608" r:id="rId597" xr:uid="{7FA0A5F5-AA81-4888-A3D8-56C51C832365}"/>
    <hyperlink ref="U590" r:id="rId598" xr:uid="{AB21B84C-4547-4A3C-BB78-3A25340BB2F7}"/>
    <hyperlink ref="U595" r:id="rId599" xr:uid="{39217EE0-75C0-4402-B10E-A014D4704D80}"/>
    <hyperlink ref="U606" r:id="rId600" xr:uid="{83E41EC9-3241-447D-B3D2-B8BBE514E846}"/>
    <hyperlink ref="U584" r:id="rId601" xr:uid="{9B7CC6C0-DE32-42AF-A032-A7DE6B20A49A}"/>
    <hyperlink ref="U571" r:id="rId602" xr:uid="{0B1560EE-DF6A-4F3C-95E1-15E330022847}"/>
    <hyperlink ref="U566" r:id="rId603" xr:uid="{516D4D8A-BCD6-4BD2-A762-62154B283621}"/>
    <hyperlink ref="U569" r:id="rId604" xr:uid="{8DC45460-FF99-4B45-B29A-DF778ECF6172}"/>
    <hyperlink ref="U575" r:id="rId605" xr:uid="{1BC6803B-76CD-4B8F-B5A4-9C3613CBA4F2}"/>
    <hyperlink ref="U581" r:id="rId606" xr:uid="{A4B53BAE-D44A-4347-A973-54F4E0FF678D}"/>
    <hyperlink ref="U580" r:id="rId607" xr:uid="{9688A2CA-6817-402E-BB11-1FFE0CE3D72A}"/>
    <hyperlink ref="U597" r:id="rId608" xr:uid="{CDAA5689-B753-4C35-9F3B-F46334AA0D28}"/>
    <hyperlink ref="U583" r:id="rId609" xr:uid="{3DAC90A6-8D42-4FEE-AF74-97C01BD7600E}"/>
    <hyperlink ref="U578" r:id="rId610" xr:uid="{E1DB103D-F090-4258-8E3B-055683FCD7B4}"/>
    <hyperlink ref="U604" r:id="rId611" xr:uid="{3D1FAB95-5B8B-4634-B0B4-7DB8CC60FFB8}"/>
    <hyperlink ref="U562" r:id="rId612" xr:uid="{043D990C-2F93-4782-B504-B8CA72F45A43}"/>
    <hyperlink ref="U609" r:id="rId613" xr:uid="{1F54DB39-AE2C-4D07-A41A-12435C3E02CE}"/>
    <hyperlink ref="U599" r:id="rId614" xr:uid="{89D6702A-34CC-4980-B10A-5BA92B354176}"/>
    <hyperlink ref="U577" r:id="rId615" xr:uid="{77330D35-BD0B-4CB7-9F5A-65D536231B32}"/>
    <hyperlink ref="U610" r:id="rId616" xr:uid="{478E4DD9-50AE-4E56-8AAD-BF7B5CB410CD}"/>
    <hyperlink ref="U573" r:id="rId617" xr:uid="{95E8979D-9B42-4992-8BAF-3E4668DFB37A}"/>
    <hyperlink ref="U605" r:id="rId618" xr:uid="{A5A32A1E-3517-41A7-94F5-1E7E58CB0021}"/>
    <hyperlink ref="U568" r:id="rId619" xr:uid="{10324561-F0B5-4F2C-A30E-0CCC67F69554}"/>
    <hyperlink ref="U593" r:id="rId620" xr:uid="{5F8DF6C1-8BAD-4816-B651-79AB4DC08D38}"/>
    <hyperlink ref="U574" r:id="rId621" xr:uid="{B935B8C7-66A1-48FB-97B5-581A072674C9}"/>
    <hyperlink ref="U632" r:id="rId622" xr:uid="{96DD215D-8D77-42B5-87FD-AAD46745E6CE}"/>
    <hyperlink ref="U615" r:id="rId623" xr:uid="{25E3891C-A841-4FAD-8848-83BCDA07B07D}"/>
    <hyperlink ref="U643" r:id="rId624" xr:uid="{6B2453B4-DE64-4299-98A6-04B583A216BE}"/>
    <hyperlink ref="U636" r:id="rId625" xr:uid="{ABB49E0F-D960-4CBD-9512-B12078CCF062}"/>
    <hyperlink ref="U640" r:id="rId626" xr:uid="{310C0FCD-B925-4842-B943-ECA2DEB634D8}"/>
    <hyperlink ref="U647" r:id="rId627" xr:uid="{DF068475-DB5A-4B55-AC50-4551B49647A5}"/>
    <hyperlink ref="U635" r:id="rId628" xr:uid="{96287227-49F7-4F9C-AB86-3F9606F24C0C}"/>
    <hyperlink ref="U641" r:id="rId629" xr:uid="{56BCDB2C-7703-45F5-A312-C5E893E4471F}"/>
    <hyperlink ref="U645" r:id="rId630" xr:uid="{DB7207BC-37CA-486F-B566-C1D2EEC1D98C}"/>
    <hyperlink ref="U628" r:id="rId631" xr:uid="{EB1DE0E7-525B-41A5-B65D-E4EFDD71FA50}"/>
    <hyperlink ref="U629" r:id="rId632" xr:uid="{9EC01C6F-6C00-4ADD-9130-4C36DFCB9779}"/>
    <hyperlink ref="U651" r:id="rId633" xr:uid="{93F4F107-6055-4000-B994-82766AC2F8B3}"/>
    <hyperlink ref="U646" r:id="rId634" xr:uid="{7CF19AB4-E4D1-4E84-8F6B-D30EEFAB42E5}"/>
    <hyperlink ref="U627" r:id="rId635" xr:uid="{AD2BAD26-D2CD-4C3C-A625-0421ABE6776E}"/>
    <hyperlink ref="U637" r:id="rId636" xr:uid="{AB528683-13E1-43EF-9397-0F1EA0A95500}"/>
    <hyperlink ref="U621" r:id="rId637" xr:uid="{63D05921-89F2-42B2-8802-476070CE7486}"/>
    <hyperlink ref="U630" r:id="rId638" xr:uid="{7511178A-2DAB-45C1-B7D5-E5AB38820A3D}"/>
    <hyperlink ref="U652" r:id="rId639" xr:uid="{3A3EB255-474E-47F0-A53A-051803ED74C0}"/>
    <hyperlink ref="U648" r:id="rId640" xr:uid="{768F261D-495B-41EC-B1C0-677BBCBABEC5}"/>
    <hyperlink ref="U644" r:id="rId641" xr:uid="{CC1D23EA-2FA4-475A-B130-CAFDD977883C}"/>
    <hyperlink ref="U634" r:id="rId642" xr:uid="{4532DF16-2F25-4398-A9D2-C64BCAC2623A}"/>
    <hyperlink ref="U639" r:id="rId643" xr:uid="{DBF3EEA2-E5BA-4578-9529-31D42BC09EE8}"/>
    <hyperlink ref="U623" r:id="rId644" xr:uid="{6DBCD5CC-7915-4AD2-ACB7-9AF638A8D476}"/>
    <hyperlink ref="U638" r:id="rId645" xr:uid="{ABEA59BF-FF44-4925-AA21-B49F73E586F9}"/>
    <hyperlink ref="U650" r:id="rId646" xr:uid="{6ADC597C-C276-4C62-8E82-A4969ACC73EF}"/>
    <hyperlink ref="U631" r:id="rId647" xr:uid="{2FBBADAF-55DB-491E-AD6E-CBCBA567C379}"/>
    <hyperlink ref="U633" r:id="rId648" xr:uid="{FC933634-D1AA-401F-9EC8-E2A2DA5B1806}"/>
    <hyperlink ref="U649" r:id="rId649" xr:uid="{B0C3DC5B-76AF-4980-9ED1-806AF6657A94}"/>
    <hyperlink ref="U614" r:id="rId650" xr:uid="{26A56EE1-DB69-411D-ACCF-185580542394}"/>
    <hyperlink ref="U642" r:id="rId651" xr:uid="{CCE2BD31-28A5-4D0E-89EE-5DB37DEC1506}"/>
    <hyperlink ref="U612" r:id="rId652" xr:uid="{D422ED3F-5E9D-4F5A-A8B1-B5ED221AA5CB}"/>
    <hyperlink ref="U613" r:id="rId653" xr:uid="{1EEB36FB-467C-4173-9337-6930BD20E5BF}"/>
    <hyperlink ref="U617" r:id="rId654" xr:uid="{4A86C2AA-47F9-4BF7-8520-E38A909DD226}"/>
    <hyperlink ref="U616" r:id="rId655" xr:uid="{80485985-F15E-473A-982F-1696C89487EF}"/>
    <hyperlink ref="U622" r:id="rId656" xr:uid="{C011010E-C6E0-4E9F-8C53-F07785B63047}"/>
    <hyperlink ref="U619" r:id="rId657" xr:uid="{083F9CE9-FB70-4A23-968F-174CB60F5F3C}"/>
    <hyperlink ref="U620" r:id="rId658" xr:uid="{5DBEABD7-9276-4526-98A7-F5BD247071FC}"/>
    <hyperlink ref="U618" r:id="rId659" xr:uid="{9152E7DD-8182-4F52-B2D5-9C32E77A51E3}"/>
    <hyperlink ref="U624" r:id="rId660" xr:uid="{01D51050-FBEA-4B59-8B56-73F47A55F718}"/>
    <hyperlink ref="U625" r:id="rId661" xr:uid="{6E0D216D-F35E-408D-A4BA-9CB81B5BDEF6}"/>
    <hyperlink ref="U626" r:id="rId662" xr:uid="{B3851F33-F581-4CD5-B45F-70F07B9370B5}"/>
    <hyperlink ref="U658" r:id="rId663" xr:uid="{C2DA7E70-657B-451F-BE61-5753ED491960}"/>
    <hyperlink ref="U664" r:id="rId664" xr:uid="{E760B65F-D437-4A82-ADB0-CE57C56613BB}"/>
    <hyperlink ref="U678" r:id="rId665" xr:uid="{389D8CFC-6E96-47C9-95C2-6D0DC5FDC47F}"/>
    <hyperlink ref="U688" r:id="rId666" xr:uid="{D2F96A81-C7E3-4D73-A9D6-8A3776AEECF0}"/>
    <hyperlink ref="U657" r:id="rId667" xr:uid="{6A2967DA-72F6-4A66-BEB1-06B967D72FB9}"/>
    <hyperlink ref="U656" r:id="rId668" xr:uid="{F10DFD8F-A4E6-41F4-BE12-01AC9829729E}"/>
    <hyperlink ref="U691" r:id="rId669" xr:uid="{DCEB82AA-5B00-4B67-8A9B-4E25B22FF280}"/>
    <hyperlink ref="U655" r:id="rId670" xr:uid="{BB9AC7A1-5FDB-4793-9AA6-3BB716B0C417}"/>
    <hyperlink ref="U671" r:id="rId671" xr:uid="{4CBA8A86-B0FD-497B-A600-0A4526F783DB}"/>
    <hyperlink ref="U663" r:id="rId672" xr:uid="{D79D5AFE-C6AE-4FA5-A4C4-9789128877A0}"/>
    <hyperlink ref="U674" r:id="rId673" xr:uid="{87D82A19-8903-4915-BAF9-F10A723DAE7D}"/>
    <hyperlink ref="U662" r:id="rId674" xr:uid="{0726CA3F-D1B7-4365-8444-071E08AB4843}"/>
    <hyperlink ref="U659" r:id="rId675" xr:uid="{4DABF424-4C2A-4687-9B10-293A0FA9CC8F}"/>
    <hyperlink ref="U670" r:id="rId676" xr:uid="{708E88D7-B2D1-4C38-9F56-2D3CEA54003B}"/>
    <hyperlink ref="U690" r:id="rId677" xr:uid="{4D1CA8F5-6233-474B-A545-0E94FA4DC8F3}"/>
    <hyperlink ref="U680" r:id="rId678" xr:uid="{14267202-C2D0-4352-8EB8-846DAF2A0233}"/>
    <hyperlink ref="U676" r:id="rId679" xr:uid="{648D6711-B4FB-49BE-91E9-C9B8326515D3}"/>
    <hyperlink ref="U695" r:id="rId680" xr:uid="{A1731FAA-3015-41C5-8D89-A3BC6FF922C1}"/>
    <hyperlink ref="U685" r:id="rId681" xr:uid="{FB514E15-C32B-496E-B7E0-17F9FFE4F17A}"/>
    <hyperlink ref="U677" r:id="rId682" xr:uid="{5808F782-76C6-429E-96A0-A064A37AB21C}"/>
    <hyperlink ref="U679" r:id="rId683" xr:uid="{0959C9E6-7835-43BF-8547-BF481EE80D5F}"/>
    <hyperlink ref="U689" r:id="rId684" xr:uid="{E52DBEBD-5887-4E06-947D-8EBE36982A82}"/>
    <hyperlink ref="U686" r:id="rId685" xr:uid="{BEDB739D-737F-46F1-8D57-3FC8CC982198}"/>
    <hyperlink ref="U673" r:id="rId686" xr:uid="{2C8D7F5E-0E75-41BC-BBB4-A9211236EFFC}"/>
    <hyperlink ref="U661" r:id="rId687" xr:uid="{F99B1E7C-2349-405E-AA64-6967C432A75C}"/>
    <hyperlink ref="U683" r:id="rId688" xr:uid="{7C2A0286-1324-4403-B4DD-361A1DE5D0D9}"/>
    <hyperlink ref="U694" r:id="rId689" xr:uid="{A843F00B-7BAC-4217-9322-AFAA44197BF0}"/>
    <hyperlink ref="U653" r:id="rId690" xr:uid="{7B9D040B-C241-4309-A54F-21F4A2598A78}"/>
    <hyperlink ref="U654" r:id="rId691" xr:uid="{D015F0C9-969C-41A7-B05D-E8B186DD2A94}"/>
    <hyperlink ref="U668" r:id="rId692" xr:uid="{3C13EDDC-696D-4A5F-8A9E-BF272DB24513}"/>
    <hyperlink ref="U675" r:id="rId693" xr:uid="{E34F6C64-B60F-4F48-B4F1-8F9AACEBD075}"/>
    <hyperlink ref="U672" r:id="rId694" xr:uid="{220AA725-B3A5-4243-828D-E1C53155A150}"/>
    <hyperlink ref="U692" r:id="rId695" xr:uid="{BD4E9079-B973-4420-B1FD-4BF6FB1C7BE3}"/>
    <hyperlink ref="U687" r:id="rId696" xr:uid="{9B75B6EB-4972-47F4-A52E-FEF937B469CF}"/>
    <hyperlink ref="U666" r:id="rId697" xr:uid="{B58AB238-8D14-4EBC-B9DB-4A28D670C5DE}"/>
    <hyperlink ref="U681" r:id="rId698" xr:uid="{5173BAAC-F800-464C-B1AE-88F401557E13}"/>
    <hyperlink ref="U684" r:id="rId699" xr:uid="{484C4C1C-5CCC-486B-A82C-68FA2983E0DC}"/>
    <hyperlink ref="U660" r:id="rId700" xr:uid="{103C09BE-ED5D-4747-B5EA-48E902C6140F}"/>
    <hyperlink ref="U665" r:id="rId701" xr:uid="{251288C3-BF64-4860-9A54-41802A975EDB}"/>
    <hyperlink ref="U667" r:id="rId702" xr:uid="{FAF8B960-BFE9-4FB4-9CC7-36E0BE491390}"/>
    <hyperlink ref="U669" r:id="rId703" xr:uid="{6949557C-A40F-49B7-BB27-5E184F540F37}"/>
    <hyperlink ref="U682" r:id="rId704" xr:uid="{BA558B59-A969-4F15-8D2F-64FA1E58F79D}"/>
    <hyperlink ref="U693" r:id="rId705" xr:uid="{6D11B92B-7522-488B-A553-08C77073F8DF}"/>
    <hyperlink ref="U719" r:id="rId706" xr:uid="{A432BF3B-B956-4B79-A609-35525C4FFC9D}"/>
    <hyperlink ref="U723" r:id="rId707" xr:uid="{B09855AE-7B80-4B3A-911C-960610B88F94}"/>
    <hyperlink ref="U727" r:id="rId708" xr:uid="{EB8F3410-4B22-4544-A2C6-9E83C2900923}"/>
    <hyperlink ref="U725" r:id="rId709" xr:uid="{03AA8935-8534-457F-8190-65FC4AD3BB0D}"/>
    <hyperlink ref="U715" r:id="rId710" xr:uid="{F4EFC8AC-0CB9-4AD7-92FA-021D8A8DC863}"/>
    <hyperlink ref="U724" r:id="rId711" xr:uid="{593C82B9-E6E1-4283-9A5A-1601224BACAE}"/>
    <hyperlink ref="U722" r:id="rId712" xr:uid="{A0977BE1-A651-41F4-AE35-711937967CEF}"/>
    <hyperlink ref="U711" r:id="rId713" xr:uid="{F49DB4A0-BC81-4A06-9A32-5C72DB73A3BA}"/>
    <hyperlink ref="U718" r:id="rId714" xr:uid="{1FA4F1A2-C68C-43F7-B1C4-BA99F25F26CE}"/>
    <hyperlink ref="U721" r:id="rId715" xr:uid="{3AAD246B-25BE-4D96-817A-D6CB2F311E44}"/>
    <hyperlink ref="U716" r:id="rId716" xr:uid="{18B2D28D-956E-4BA4-AFA1-1B87456A0A2C}"/>
    <hyperlink ref="U717" r:id="rId717" xr:uid="{B22F530F-E864-4C38-8989-BD6CCCFFE2C2}"/>
    <hyperlink ref="U714" r:id="rId718" xr:uid="{83DE97E8-FA36-495A-88E8-38CAC06F844C}"/>
    <hyperlink ref="U704" r:id="rId719" xr:uid="{5C67D965-A539-410D-A59A-D6AEF2A02C03}"/>
    <hyperlink ref="U712" r:id="rId720" xr:uid="{FC61B223-3866-4716-9F84-568EC3B46547}"/>
    <hyperlink ref="U707" r:id="rId721" xr:uid="{D85F952D-CB1B-44F4-B28A-6C3D09476CF2}"/>
    <hyperlink ref="U700" r:id="rId722" xr:uid="{5568D8F3-F32F-4736-A916-963C9CCB47FA}"/>
    <hyperlink ref="U696" r:id="rId723" xr:uid="{B723EA80-581E-475A-B68D-9A836974DD11}"/>
    <hyperlink ref="U710" r:id="rId724" xr:uid="{0F637775-FD3B-4C08-8D6F-C589BFDB9CC9}"/>
    <hyperlink ref="U708" r:id="rId725" xr:uid="{51B51EB8-64EF-476E-ACD4-48008568D921}"/>
    <hyperlink ref="U706" r:id="rId726" xr:uid="{6939651F-8743-40D7-8248-7C59BC326531}"/>
    <hyperlink ref="U705" r:id="rId727" xr:uid="{AE840088-FA86-44F9-8AEA-7685D8FC1882}"/>
    <hyperlink ref="U703" r:id="rId728" xr:uid="{F06FFB0D-5885-4D14-8AC6-016C02308BD6}"/>
    <hyperlink ref="U702" r:id="rId729" xr:uid="{34E44BC6-0C9A-468D-8837-FC115CC6C91C}"/>
    <hyperlink ref="U701" r:id="rId730" xr:uid="{0ED0DD59-3557-4D96-AA95-5DC7A645AE06}"/>
    <hyperlink ref="U699" r:id="rId731" xr:uid="{A2170097-8EAE-46AC-9251-EF553AB1A9D6}"/>
    <hyperlink ref="U698" r:id="rId732" xr:uid="{F8BF4E85-D8D9-47D4-AB8E-C87937357FA9}"/>
    <hyperlink ref="U746" r:id="rId733" xr:uid="{4CE98016-D7E6-4D5E-912E-DED4D44F20AD}"/>
    <hyperlink ref="U744" r:id="rId734" xr:uid="{9321BFD9-F8A8-4656-8410-61658A528AC5}"/>
    <hyperlink ref="U763" r:id="rId735" xr:uid="{A92F0936-5E6B-42FE-85E7-A4B061C5DAD3}"/>
    <hyperlink ref="U762" r:id="rId736" xr:uid="{6049A51A-F4DF-4E73-8440-DE6F40AEBDD9}"/>
    <hyperlink ref="U764" r:id="rId737" xr:uid="{7928FACB-A4C4-47AE-B295-577B8CBBB398}"/>
    <hyperlink ref="U733" r:id="rId738" xr:uid="{941EBDF1-E734-4E5A-AA48-F30D0B24F93C}"/>
    <hyperlink ref="U760" r:id="rId739" xr:uid="{574AA468-D84B-4155-9894-72B740EF0AB1}"/>
    <hyperlink ref="U729" r:id="rId740" xr:uid="{E57FF12C-76E0-4A86-99D4-5E1538E38ACD}"/>
    <hyperlink ref="U737" r:id="rId741" xr:uid="{7E75644F-64CB-4F63-924E-F8365E75C71A}"/>
    <hyperlink ref="U738" r:id="rId742" xr:uid="{973F95B8-C132-4D72-96F7-C5CD97AB7E19}"/>
    <hyperlink ref="U754" r:id="rId743" xr:uid="{4511E0E2-3308-42B9-8AB9-1E3204BB4AB9}"/>
    <hyperlink ref="U759" r:id="rId744" xr:uid="{5805C3DE-57A9-46D6-9F19-1050F00D1E46}"/>
    <hyperlink ref="U743" r:id="rId745" xr:uid="{DAF3293A-AB51-4EAB-94D6-99379936EE9A}"/>
    <hyperlink ref="U730" r:id="rId746" xr:uid="{0D2FAD1A-6FB7-42BC-ACD4-2ED17239737A}"/>
    <hyperlink ref="U752" r:id="rId747" xr:uid="{C97D0CF5-D880-48AA-976A-46B72F6366E2}"/>
    <hyperlink ref="U741" r:id="rId748" xr:uid="{5B139B7F-C169-4457-832F-2CDEE69FD825}"/>
    <hyperlink ref="U751" r:id="rId749" xr:uid="{03CEA0C4-C067-4D36-8EC4-BD674608B5EC}"/>
    <hyperlink ref="U757" r:id="rId750" xr:uid="{7F799986-DE7E-4CB4-9450-D1751467B184}"/>
    <hyperlink ref="U734" r:id="rId751" xr:uid="{2FEEE5DD-8A0F-48EB-80CD-BE2AF1317FD9}"/>
    <hyperlink ref="U753" r:id="rId752" xr:uid="{95504083-0ADC-4023-97B7-A22841E41A0A}"/>
    <hyperlink ref="U726" r:id="rId753" xr:uid="{B3527575-B430-444E-9B0B-A3C05BCAB247}"/>
    <hyperlink ref="U728" r:id="rId754" xr:uid="{6A58F34B-5E83-417C-AE7D-F5176857093F}"/>
    <hyperlink ref="U731" r:id="rId755" xr:uid="{A65CEF8A-32E1-43C3-A6EE-B0328385DBFC}"/>
    <hyperlink ref="U750" r:id="rId756" xr:uid="{2C6873D5-430D-4DDD-932E-93E40910B97B}"/>
    <hyperlink ref="U749" r:id="rId757" xr:uid="{FCD32162-3212-4E63-83FF-A086C4015E85}"/>
    <hyperlink ref="U736" r:id="rId758" xr:uid="{43EDAC8C-154F-4594-876F-3F9377E4C0C1}"/>
    <hyperlink ref="U740" r:id="rId759" xr:uid="{8D3EABC5-7EEB-4300-9EC6-7B98D5F8E029}"/>
    <hyperlink ref="U758" r:id="rId760" xr:uid="{E0BA6773-6967-4D97-A6D9-16414C9EBA75}"/>
    <hyperlink ref="U732" r:id="rId761" xr:uid="{373A757C-29EC-4205-A1DA-27EEA898D2E7}"/>
    <hyperlink ref="U748" r:id="rId762" xr:uid="{E74A0A93-7E76-4BC0-99FA-7A5BB8BD7138}"/>
    <hyperlink ref="U755" r:id="rId763" xr:uid="{F37985B0-E9F1-438A-82A1-42D19BFF8F90}"/>
    <hyperlink ref="U739" r:id="rId764" xr:uid="{DCE67A40-B91D-42D6-B85F-800E2487CF07}"/>
    <hyperlink ref="U742" r:id="rId765" xr:uid="{23CA3DFE-A440-4845-ADDC-E00CDDC2FAB8}"/>
    <hyperlink ref="U756" r:id="rId766" xr:uid="{DC114D74-FDA1-4A5B-99B3-1F704C9F9E88}"/>
    <hyperlink ref="U761" r:id="rId767" xr:uid="{5FB200BE-8F49-4D2F-AF1F-5BDC0C88CA57}"/>
    <hyperlink ref="U735" r:id="rId768" xr:uid="{E9488F98-417D-45F0-AF31-42083D111195}"/>
    <hyperlink ref="U745" r:id="rId769" xr:uid="{F330EFD7-79BD-46D0-80F4-426AC08554CF}"/>
    <hyperlink ref="U747" r:id="rId770" xr:uid="{11491747-2133-49D4-A272-44F6FF53D9C6}"/>
    <hyperlink ref="U797" r:id="rId771" xr:uid="{93FCF700-48E1-4AAB-8495-FC2999DF82EF}"/>
    <hyperlink ref="U799" r:id="rId772" xr:uid="{254E9E40-B563-406B-8450-9FF9E949AC8C}"/>
    <hyperlink ref="U804" r:id="rId773" xr:uid="{8C7050E5-1548-47AD-9816-9F8590927730}"/>
    <hyperlink ref="U811" r:id="rId774" xr:uid="{298E54A3-9DBF-4CA6-8BA6-31974C23228C}"/>
    <hyperlink ref="U808" r:id="rId775" xr:uid="{1562B673-8C26-4B21-ACFD-266C8A1777FD}"/>
    <hyperlink ref="U807" r:id="rId776" xr:uid="{ED1DD83C-6022-4BD4-8146-1AD33BD7F5AA}"/>
    <hyperlink ref="U795" r:id="rId777" xr:uid="{8DEB09DF-90D5-4C0F-84ED-2C9E5F524D87}"/>
    <hyperlink ref="U801" r:id="rId778" xr:uid="{FA5FD159-9EBA-4548-9418-76FA3AEF3C15}"/>
    <hyperlink ref="U802" r:id="rId779" xr:uid="{77FF1940-85B2-4158-80F6-DBA00A0D3F48}"/>
    <hyperlink ref="U805" r:id="rId780" xr:uid="{59EF7A79-E073-4066-A0E3-4FBC18F26DDD}"/>
    <hyperlink ref="U803" r:id="rId781" xr:uid="{754E2135-D332-4D17-85A1-DC7CD58911BE}"/>
    <hyperlink ref="U789" r:id="rId782" xr:uid="{88F06494-6D83-4A92-B776-4B6746B0CDAD}"/>
    <hyperlink ref="U794" r:id="rId783" xr:uid="{DFC68BEC-B39F-4AC2-9D00-AF674412F4D1}"/>
    <hyperlink ref="U800" r:id="rId784" xr:uid="{D39377EB-7E62-4F41-B32C-DD7C8FD9FD9A}"/>
    <hyperlink ref="U798" r:id="rId785" xr:uid="{9929740E-87D0-46BF-BF92-B7A6F0F75EB5}"/>
    <hyperlink ref="U791" r:id="rId786" xr:uid="{E123B967-6F80-47D3-AA99-5D00D58C1C7B}"/>
    <hyperlink ref="U793" r:id="rId787" xr:uid="{BD1736A6-FDDE-4E2B-AEC4-56B7A59A4D9B}"/>
    <hyperlink ref="U792" r:id="rId788" xr:uid="{2C5F8736-DD9A-4211-A2E6-04D793B952E2}"/>
    <hyperlink ref="U790" r:id="rId789" xr:uid="{CAA0EEB7-98AD-4175-978B-3481CD4B09A2}"/>
    <hyperlink ref="U787" r:id="rId790" xr:uid="{B994F345-9D6F-49FE-936F-A1FF870DA159}"/>
    <hyperlink ref="U788" r:id="rId791" xr:uid="{4E7BD72F-64F1-4161-94B3-40F3EAD4DF8D}"/>
    <hyperlink ref="U782" r:id="rId792" xr:uid="{42CE2B8A-4445-4D38-A19B-27E617E5355F}"/>
    <hyperlink ref="U781" r:id="rId793" xr:uid="{77672107-1074-4CC5-B773-C90D586B98DC}"/>
    <hyperlink ref="U780" r:id="rId794" xr:uid="{B8BBF23F-600D-4EA8-8F9E-4C020A484596}"/>
    <hyperlink ref="U785" r:id="rId795" xr:uid="{DF5118FE-DD0A-43D5-A04A-F1BB5EC966CB}"/>
    <hyperlink ref="U784" r:id="rId796" xr:uid="{80154DBC-66DF-4433-A9D0-087580B052BE}"/>
    <hyperlink ref="U783" r:id="rId797" xr:uid="{DA9F6E43-F97B-474A-85EE-108BF5C95D67}"/>
    <hyperlink ref="U777" r:id="rId798" xr:uid="{AD697AE6-4666-4389-B2B4-38726DB31C7C}"/>
    <hyperlink ref="U778" r:id="rId799" xr:uid="{436AFDD6-523C-43FE-9A08-ED579E166D7F}"/>
    <hyperlink ref="U776" r:id="rId800" xr:uid="{D71CB4A7-6A12-475B-B09C-97A19E5BF7E7}"/>
    <hyperlink ref="U779" r:id="rId801" xr:uid="{86BB9DC2-49BD-4EA6-88AF-16451F0EF0F2}"/>
    <hyperlink ref="U767" r:id="rId802" xr:uid="{FF4ED1A0-310A-4193-BF64-B647931B2430}"/>
    <hyperlink ref="U775" r:id="rId803" xr:uid="{5C6636C1-94D3-4505-AC39-65A67FE4CB32}"/>
    <hyperlink ref="U771" r:id="rId804" xr:uid="{BB7CE327-230E-48A5-8741-25B18189C503}"/>
    <hyperlink ref="U772" r:id="rId805" xr:uid="{DD89C437-E14C-48AB-B80E-F8AF986B6A7D}"/>
    <hyperlink ref="U773" r:id="rId806" xr:uid="{5E6E094E-D08D-41A9-9AD4-AB96C0D2D0E5}"/>
    <hyperlink ref="U774" r:id="rId807" xr:uid="{738BBA94-39E1-4EAD-85E3-D6FD30B5D2A2}"/>
    <hyperlink ref="U770" r:id="rId808" xr:uid="{366A0727-3127-49A7-8A3D-1CF9FEDBA2C5}"/>
    <hyperlink ref="U768" r:id="rId809" xr:uid="{36071FA3-ED9D-4C49-BBE1-80EA68977EF9}"/>
    <hyperlink ref="U769" r:id="rId810" xr:uid="{6E08855B-C243-4269-AE79-8EAC47FB9816}"/>
    <hyperlink ref="U766" r:id="rId811" xr:uid="{3F757C3A-AABB-46B0-A376-7F8782AED0B7}"/>
    <hyperlink ref="U813" r:id="rId812" xr:uid="{E6EBA1DA-3AD1-419D-8F5E-43BB39D94529}"/>
    <hyperlink ref="U765" r:id="rId813" xr:uid="{713D8C42-321D-4476-9086-F7A96074829F}"/>
    <hyperlink ref="U824" r:id="rId814" xr:uid="{C7E0C9F1-1B82-42AF-BD02-CB6701562797}"/>
    <hyperlink ref="U823" r:id="rId815" xr:uid="{C0FAEEAC-68E5-4E84-8EFB-8E0C90520D3D}"/>
    <hyperlink ref="U831" r:id="rId816" xr:uid="{F5EC6EE1-E791-4255-A36A-ED2CB561FB90}"/>
    <hyperlink ref="U854" r:id="rId817" xr:uid="{2EC810D0-75E4-423B-8D0E-A5542D605551}"/>
    <hyperlink ref="U889" r:id="rId818" display="../../../../../../:b:/r/teams/CTM-OTGentStad/Shared Documents/General/EAF/CSI(nieuwe sharepoint) 2025/10. Oktober/EAF 5265 Gent 30102025.pdf?csf=1&amp;web=1&amp;e=NaWAmZ" xr:uid="{6175BD97-45D3-4C4B-89F5-1EBC00B4F100}"/>
    <hyperlink ref="U900" r:id="rId819" xr:uid="{7FC56684-76EF-413B-A479-630E352B6909}"/>
    <hyperlink ref="U931" r:id="rId820" xr:uid="{50122D17-431D-43AA-9ABC-AEFAB9EA17E3}"/>
  </hyperlinks>
  <pageMargins left="0.7" right="0.7" top="0.75" bottom="0.75" header="0.3" footer="0.3"/>
  <pageSetup paperSize="9" orientation="portrait" r:id="rId821"/>
  <drawing r:id="rId822"/>
  <tableParts count="1">
    <tablePart r:id="rId82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0EF09A-C388-425D-B76A-6E6D4FA99143}">
  <dimension ref="C10:SL1362"/>
  <sheetViews>
    <sheetView workbookViewId="0">
      <selection activeCell="H17" sqref="H17"/>
    </sheetView>
  </sheetViews>
  <sheetFormatPr defaultRowHeight="15" x14ac:dyDescent="0.25"/>
  <cols>
    <col min="1" max="2" width="9.140625" style="35"/>
    <col min="3" max="3" width="41" style="35" bestFit="1" customWidth="1"/>
    <col min="4" max="4" width="21.42578125" style="35" bestFit="1" customWidth="1"/>
    <col min="5" max="5" width="10.140625" style="35" bestFit="1" customWidth="1"/>
    <col min="6" max="6" width="31.5703125" style="35" bestFit="1" customWidth="1"/>
    <col min="7" max="7" width="16.7109375" style="35" bestFit="1" customWidth="1"/>
    <col min="8" max="8" width="9.42578125" style="35" bestFit="1" customWidth="1"/>
    <col min="9" max="9" width="19.7109375" style="35" bestFit="1" customWidth="1"/>
    <col min="10" max="10" width="16.7109375" style="35" bestFit="1" customWidth="1"/>
    <col min="11" max="25" width="10.42578125" style="35" bestFit="1" customWidth="1"/>
    <col min="26" max="34" width="9.42578125" style="35" bestFit="1" customWidth="1"/>
    <col min="35" max="47" width="10.42578125" style="35" bestFit="1" customWidth="1"/>
    <col min="48" max="53" width="9.42578125" style="35" bestFit="1" customWidth="1"/>
    <col min="54" max="69" width="10.42578125" style="35" bestFit="1" customWidth="1"/>
    <col min="70" max="75" width="9.42578125" style="35" bestFit="1" customWidth="1"/>
    <col min="76" max="93" width="10.42578125" style="35" bestFit="1" customWidth="1"/>
    <col min="94" max="101" width="9.42578125" style="35" bestFit="1" customWidth="1"/>
    <col min="102" max="115" width="10.42578125" style="35" bestFit="1" customWidth="1"/>
    <col min="116" max="120" width="9.42578125" style="35" bestFit="1" customWidth="1"/>
    <col min="121" max="137" width="10.42578125" style="35" bestFit="1" customWidth="1"/>
    <col min="138" max="144" width="9.42578125" style="35" bestFit="1" customWidth="1"/>
    <col min="145" max="159" width="10.42578125" style="35" bestFit="1" customWidth="1"/>
    <col min="160" max="166" width="9.42578125" style="35" bestFit="1" customWidth="1"/>
    <col min="167" max="177" width="10.42578125" style="35" bestFit="1" customWidth="1"/>
    <col min="178" max="185" width="9.42578125" style="35" bestFit="1" customWidth="1"/>
    <col min="186" max="201" width="10.42578125" style="35" bestFit="1" customWidth="1"/>
    <col min="202" max="208" width="9.42578125" style="35" bestFit="1" customWidth="1"/>
    <col min="209" max="225" width="10.42578125" style="35" bestFit="1" customWidth="1"/>
    <col min="226" max="232" width="9.42578125" style="35" bestFit="1" customWidth="1"/>
    <col min="233" max="248" width="10.42578125" style="35" bestFit="1" customWidth="1"/>
    <col min="249" max="255" width="9.42578125" style="35" bestFit="1" customWidth="1"/>
    <col min="256" max="271" width="10.42578125" style="35" bestFit="1" customWidth="1"/>
    <col min="272" max="275" width="9.42578125" style="35" bestFit="1" customWidth="1"/>
    <col min="276" max="293" width="10.42578125" style="35" bestFit="1" customWidth="1"/>
    <col min="294" max="299" width="9.42578125" style="35" bestFit="1" customWidth="1"/>
    <col min="300" max="315" width="10.42578125" style="35" bestFit="1" customWidth="1"/>
    <col min="316" max="322" width="9.42578125" style="35" bestFit="1" customWidth="1"/>
    <col min="323" max="338" width="10.42578125" style="35" bestFit="1" customWidth="1"/>
    <col min="339" max="344" width="9.42578125" style="35" bestFit="1" customWidth="1"/>
    <col min="345" max="358" width="10.42578125" style="35" bestFit="1" customWidth="1"/>
    <col min="359" max="366" width="9.42578125" style="35" bestFit="1" customWidth="1"/>
    <col min="367" max="379" width="10.42578125" style="35" bestFit="1" customWidth="1"/>
    <col min="380" max="385" width="9.42578125" style="35" bestFit="1" customWidth="1"/>
    <col min="386" max="397" width="10.42578125" style="35" bestFit="1" customWidth="1"/>
    <col min="398" max="405" width="9.42578125" style="35" bestFit="1" customWidth="1"/>
    <col min="406" max="422" width="10.42578125" style="35" bestFit="1" customWidth="1"/>
    <col min="423" max="427" width="9.42578125" style="35" bestFit="1" customWidth="1"/>
    <col min="428" max="439" width="10.42578125" style="35" bestFit="1" customWidth="1"/>
    <col min="440" max="446" width="9.42578125" style="35" bestFit="1" customWidth="1"/>
    <col min="447" max="460" width="10.42578125" style="35" bestFit="1" customWidth="1"/>
    <col min="461" max="465" width="9.42578125" style="35" bestFit="1" customWidth="1"/>
    <col min="466" max="484" width="10.42578125" style="35" bestFit="1" customWidth="1"/>
    <col min="485" max="491" width="9.42578125" style="35" bestFit="1" customWidth="1"/>
    <col min="492" max="504" width="10.42578125" style="35" bestFit="1" customWidth="1"/>
    <col min="505" max="505" width="6.28515625" style="35" bestFit="1" customWidth="1"/>
    <col min="506" max="506" width="10.140625" style="35" bestFit="1" customWidth="1"/>
    <col min="507" max="16384" width="9.140625" style="35"/>
  </cols>
  <sheetData>
    <row r="10" spans="3:506" x14ac:dyDescent="0.25">
      <c r="C10" s="1" t="s">
        <v>3808</v>
      </c>
      <c r="D10" t="s">
        <v>3829</v>
      </c>
      <c r="F10" s="1" t="s">
        <v>3808</v>
      </c>
      <c r="G10" t="s">
        <v>0</v>
      </c>
      <c r="I10" s="1" t="s">
        <v>3808</v>
      </c>
      <c r="J10" t="s">
        <v>0</v>
      </c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/>
      <c r="DL10"/>
      <c r="DM10"/>
      <c r="DN10"/>
      <c r="DO10"/>
      <c r="DP10"/>
      <c r="DQ10"/>
      <c r="DR10"/>
      <c r="DS10"/>
      <c r="DT10"/>
      <c r="DU10"/>
      <c r="DV10"/>
      <c r="DW10"/>
      <c r="DX10"/>
      <c r="DY10"/>
      <c r="DZ10"/>
      <c r="EA10"/>
      <c r="EB10"/>
      <c r="EC10"/>
      <c r="ED10"/>
      <c r="EE10"/>
      <c r="EF10"/>
      <c r="EG10"/>
      <c r="EH10"/>
      <c r="EI10"/>
      <c r="EJ10"/>
      <c r="EK10"/>
      <c r="EL10"/>
      <c r="EM10"/>
      <c r="EN10"/>
      <c r="EO10"/>
      <c r="EP10"/>
      <c r="EQ10"/>
      <c r="ER10"/>
      <c r="ES10"/>
      <c r="ET10"/>
      <c r="EU10"/>
      <c r="EV10"/>
      <c r="EW10"/>
      <c r="EX10"/>
      <c r="EY10"/>
      <c r="EZ10"/>
      <c r="FA10"/>
      <c r="FB10"/>
      <c r="FC10"/>
      <c r="FD10"/>
      <c r="FE10"/>
      <c r="FF10"/>
      <c r="FG10"/>
      <c r="FH10"/>
      <c r="FI10"/>
      <c r="FJ10"/>
      <c r="FK10"/>
      <c r="FL10"/>
      <c r="FM10"/>
      <c r="FN10"/>
      <c r="FO10"/>
      <c r="FP10"/>
      <c r="FQ10"/>
      <c r="FR10"/>
      <c r="FS10"/>
      <c r="FT10"/>
      <c r="FU10"/>
      <c r="FV10"/>
      <c r="FW10"/>
      <c r="FX10"/>
      <c r="FY10"/>
      <c r="FZ10"/>
      <c r="GA10"/>
      <c r="GB10"/>
      <c r="GC10"/>
      <c r="GD10"/>
      <c r="GE10"/>
      <c r="GF10"/>
      <c r="GG10"/>
      <c r="GH10"/>
      <c r="GI10"/>
      <c r="GJ10"/>
      <c r="GK10"/>
      <c r="GL10"/>
      <c r="GM10"/>
      <c r="GN10"/>
      <c r="GO10"/>
      <c r="GP10"/>
      <c r="GQ10"/>
      <c r="GR10"/>
      <c r="GS10"/>
      <c r="GT10"/>
      <c r="GU10"/>
      <c r="GV10"/>
      <c r="GW10"/>
      <c r="GX10"/>
      <c r="GY10"/>
      <c r="GZ10"/>
      <c r="HA10"/>
      <c r="HB10"/>
      <c r="HC10"/>
      <c r="HD10"/>
      <c r="HE10"/>
      <c r="HF10"/>
      <c r="HG10"/>
      <c r="HH10"/>
      <c r="HI10"/>
      <c r="HJ10"/>
      <c r="HK10"/>
      <c r="HL10"/>
      <c r="HM10"/>
      <c r="HN10"/>
      <c r="HO10"/>
      <c r="HP10"/>
      <c r="HQ10"/>
      <c r="HR10"/>
      <c r="HS10"/>
      <c r="HT10"/>
      <c r="HU10"/>
      <c r="HV10"/>
      <c r="HW10"/>
      <c r="HX10"/>
      <c r="HY10"/>
      <c r="HZ10"/>
      <c r="IA10"/>
      <c r="IB10"/>
      <c r="IC10"/>
      <c r="ID10"/>
      <c r="IE10"/>
      <c r="IF10"/>
      <c r="IG10"/>
      <c r="IH10"/>
      <c r="II10"/>
      <c r="IJ10"/>
      <c r="IK10"/>
      <c r="IL10"/>
      <c r="IM10"/>
      <c r="IN10"/>
      <c r="IO10"/>
      <c r="IP10"/>
      <c r="IQ10"/>
      <c r="IR10"/>
      <c r="IS10"/>
      <c r="IT10"/>
      <c r="IU10"/>
      <c r="IV10"/>
      <c r="IW10"/>
      <c r="IX10"/>
      <c r="IY10"/>
      <c r="IZ10"/>
      <c r="JA10"/>
      <c r="JB10"/>
      <c r="JC10"/>
      <c r="JD10"/>
      <c r="JE10"/>
      <c r="JF10"/>
      <c r="JG10"/>
      <c r="JH10"/>
      <c r="JI10"/>
      <c r="JJ10"/>
      <c r="JK10"/>
      <c r="JL10"/>
      <c r="JM10"/>
      <c r="JN10"/>
      <c r="JO10"/>
      <c r="JP10"/>
      <c r="JQ10"/>
      <c r="JR10"/>
      <c r="JS10"/>
      <c r="JT10"/>
      <c r="JU10"/>
      <c r="JV10"/>
      <c r="JW10"/>
      <c r="JX10"/>
      <c r="JY10"/>
      <c r="JZ10"/>
      <c r="KA10"/>
      <c r="KB10"/>
      <c r="KC10"/>
      <c r="KD10"/>
      <c r="KE10"/>
      <c r="KF10"/>
      <c r="KG10"/>
      <c r="KH10"/>
      <c r="KI10"/>
      <c r="KJ10"/>
      <c r="KK10"/>
      <c r="KL10"/>
      <c r="KM10"/>
      <c r="KN10"/>
      <c r="KO10"/>
      <c r="KP10"/>
      <c r="KQ10"/>
      <c r="KR10"/>
      <c r="KS10"/>
      <c r="KT10"/>
      <c r="KU10"/>
      <c r="KV10"/>
      <c r="KW10"/>
      <c r="KX10"/>
      <c r="KY10"/>
      <c r="KZ10"/>
      <c r="LA10"/>
      <c r="LB10"/>
      <c r="LC10"/>
      <c r="LD10"/>
      <c r="LE10"/>
      <c r="LF10"/>
      <c r="LG10"/>
      <c r="LH10"/>
      <c r="LI10"/>
      <c r="LJ10"/>
      <c r="LK10"/>
      <c r="LL10"/>
      <c r="LM10"/>
      <c r="LN10"/>
      <c r="LO10"/>
      <c r="LP10"/>
      <c r="LQ10"/>
      <c r="LR10"/>
      <c r="LS10"/>
      <c r="LT10"/>
      <c r="LU10"/>
      <c r="LV10"/>
      <c r="LW10"/>
      <c r="LX10"/>
      <c r="LY10"/>
      <c r="LZ10"/>
      <c r="MA10"/>
      <c r="MB10"/>
      <c r="MC10"/>
      <c r="MD10"/>
      <c r="ME10"/>
      <c r="MF10"/>
      <c r="MG10"/>
      <c r="MH10"/>
      <c r="MI10"/>
      <c r="MJ10"/>
      <c r="MK10"/>
      <c r="ML10"/>
      <c r="MM10"/>
      <c r="MN10"/>
      <c r="MO10"/>
      <c r="MP10"/>
      <c r="MQ10"/>
      <c r="MR10"/>
      <c r="MS10"/>
      <c r="MT10"/>
      <c r="MU10"/>
      <c r="MV10"/>
      <c r="MW10"/>
      <c r="MX10"/>
      <c r="MY10"/>
      <c r="MZ10"/>
      <c r="NA10"/>
      <c r="NB10"/>
      <c r="NC10"/>
      <c r="ND10"/>
      <c r="NE10"/>
      <c r="NF10"/>
      <c r="NG10"/>
      <c r="NH10"/>
      <c r="NI10"/>
      <c r="NJ10"/>
      <c r="NK10"/>
      <c r="NL10"/>
      <c r="NM10"/>
      <c r="NN10"/>
      <c r="NO10"/>
      <c r="NP10"/>
      <c r="NQ10"/>
      <c r="NR10"/>
      <c r="NS10"/>
      <c r="NT10"/>
      <c r="NU10"/>
      <c r="NV10"/>
      <c r="NW10"/>
      <c r="NX10"/>
      <c r="NY10"/>
      <c r="NZ10"/>
      <c r="OA10"/>
      <c r="OB10"/>
      <c r="OC10"/>
      <c r="OD10"/>
      <c r="OE10"/>
      <c r="OF10"/>
      <c r="OG10"/>
      <c r="OH10"/>
      <c r="OI10"/>
      <c r="OJ10"/>
      <c r="OK10"/>
      <c r="OL10"/>
      <c r="OM10"/>
      <c r="ON10"/>
      <c r="OO10"/>
      <c r="OP10"/>
      <c r="OQ10"/>
      <c r="OR10"/>
      <c r="OS10"/>
      <c r="OT10"/>
      <c r="OU10"/>
      <c r="OV10"/>
      <c r="OW10"/>
      <c r="OX10"/>
      <c r="OY10"/>
      <c r="OZ10"/>
      <c r="PA10"/>
      <c r="PB10"/>
      <c r="PC10"/>
      <c r="PD10"/>
      <c r="PE10"/>
      <c r="PF10"/>
      <c r="PG10"/>
      <c r="PH10"/>
      <c r="PI10"/>
      <c r="PJ10"/>
      <c r="PK10"/>
      <c r="PL10"/>
      <c r="PM10"/>
      <c r="PN10"/>
      <c r="PO10"/>
      <c r="PP10"/>
      <c r="PQ10"/>
      <c r="PR10"/>
      <c r="PS10"/>
      <c r="PT10"/>
      <c r="PU10"/>
      <c r="PV10"/>
      <c r="PW10"/>
      <c r="PX10"/>
      <c r="PY10"/>
      <c r="PZ10"/>
      <c r="QA10"/>
      <c r="QB10"/>
      <c r="QC10"/>
      <c r="QD10"/>
      <c r="QE10"/>
      <c r="QF10"/>
      <c r="QG10"/>
      <c r="QH10"/>
      <c r="QI10"/>
      <c r="QJ10"/>
      <c r="QK10"/>
      <c r="QL10"/>
      <c r="QM10"/>
      <c r="QN10"/>
      <c r="QO10"/>
      <c r="QP10"/>
      <c r="QQ10"/>
      <c r="QR10"/>
      <c r="QS10"/>
      <c r="QT10"/>
      <c r="QU10"/>
      <c r="QV10"/>
      <c r="QW10"/>
      <c r="QX10"/>
      <c r="QY10"/>
      <c r="QZ10"/>
      <c r="RA10"/>
      <c r="RB10"/>
      <c r="RC10"/>
      <c r="RD10"/>
      <c r="RE10"/>
      <c r="RF10"/>
      <c r="RG10"/>
      <c r="RH10"/>
      <c r="RI10"/>
      <c r="RJ10"/>
      <c r="RK10"/>
      <c r="RL10"/>
      <c r="RM10"/>
      <c r="RN10"/>
      <c r="RO10"/>
      <c r="RP10"/>
      <c r="RQ10"/>
      <c r="RR10"/>
      <c r="RS10"/>
      <c r="RT10"/>
      <c r="RU10"/>
      <c r="RV10"/>
      <c r="RW10"/>
      <c r="RX10"/>
      <c r="RY10"/>
      <c r="RZ10"/>
      <c r="SA10"/>
      <c r="SB10"/>
      <c r="SC10"/>
      <c r="SD10"/>
      <c r="SE10"/>
      <c r="SF10"/>
      <c r="SG10"/>
      <c r="SH10"/>
      <c r="SI10"/>
      <c r="SJ10"/>
      <c r="SK10"/>
      <c r="SL10"/>
    </row>
    <row r="11" spans="3:506" x14ac:dyDescent="0.25">
      <c r="C11" s="2" t="s">
        <v>3828</v>
      </c>
      <c r="D11" s="34">
        <v>9</v>
      </c>
      <c r="F11" s="2" t="s">
        <v>3529</v>
      </c>
      <c r="G11" s="34">
        <v>44</v>
      </c>
      <c r="I11" s="2" t="s">
        <v>35</v>
      </c>
      <c r="J11" s="34">
        <v>75</v>
      </c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  <c r="EB11"/>
      <c r="EC11"/>
      <c r="ED11"/>
      <c r="EE11"/>
      <c r="EF11"/>
      <c r="EG11"/>
      <c r="EH11"/>
      <c r="EI11"/>
      <c r="EJ11"/>
      <c r="EK11"/>
      <c r="EL11"/>
      <c r="EM11"/>
      <c r="EN11"/>
      <c r="EO11"/>
      <c r="EP11"/>
      <c r="EQ11"/>
      <c r="ER11"/>
      <c r="ES11"/>
      <c r="ET11"/>
      <c r="EU11"/>
      <c r="EV11"/>
      <c r="EW11"/>
      <c r="EX11"/>
      <c r="EY11"/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  <c r="HB11"/>
      <c r="HC11"/>
      <c r="HD11"/>
      <c r="HE11"/>
      <c r="HF11"/>
      <c r="HG11"/>
      <c r="HH11"/>
      <c r="HI11"/>
      <c r="HJ11"/>
      <c r="HK11"/>
      <c r="HL11"/>
      <c r="HM11"/>
      <c r="HN11"/>
      <c r="HO11"/>
      <c r="HP11"/>
      <c r="HQ11"/>
      <c r="HR11"/>
      <c r="HS11"/>
      <c r="HT11"/>
      <c r="HU11"/>
      <c r="HV11"/>
      <c r="HW11"/>
      <c r="HX11"/>
      <c r="HY11"/>
      <c r="HZ11"/>
      <c r="IA11"/>
      <c r="IB11"/>
      <c r="IC11"/>
      <c r="ID11"/>
      <c r="IE11"/>
      <c r="IF11"/>
      <c r="IG11"/>
      <c r="IH11"/>
      <c r="II11"/>
      <c r="IJ11"/>
      <c r="IK11"/>
      <c r="IL11"/>
      <c r="IM11"/>
      <c r="IN11"/>
      <c r="IO11"/>
      <c r="IP11"/>
      <c r="IQ11"/>
      <c r="IR11"/>
      <c r="IS11"/>
      <c r="IT11"/>
      <c r="IU11"/>
      <c r="IV11"/>
      <c r="IW11"/>
      <c r="IX11"/>
      <c r="IY11"/>
      <c r="IZ11"/>
      <c r="JA11"/>
      <c r="JB11"/>
      <c r="JC11"/>
      <c r="JD11"/>
      <c r="JE11"/>
      <c r="JF11"/>
      <c r="JG11"/>
      <c r="JH11"/>
      <c r="JI11"/>
      <c r="JJ11"/>
      <c r="JK11"/>
      <c r="JL11"/>
      <c r="JM11"/>
      <c r="JN11"/>
      <c r="JO11"/>
      <c r="JP11"/>
      <c r="JQ11"/>
      <c r="JR11"/>
      <c r="JS11"/>
      <c r="JT11"/>
      <c r="JU11"/>
      <c r="JV11"/>
      <c r="JW11"/>
      <c r="JX11"/>
      <c r="JY11"/>
      <c r="JZ11"/>
      <c r="KA11"/>
      <c r="KB11"/>
      <c r="KC11"/>
      <c r="KD11"/>
      <c r="KE11"/>
      <c r="KF11"/>
      <c r="KG11"/>
      <c r="KH11"/>
      <c r="KI11"/>
      <c r="KJ11"/>
      <c r="KK11"/>
      <c r="KL11"/>
      <c r="KM11"/>
      <c r="KN11"/>
      <c r="KO11"/>
      <c r="KP11"/>
      <c r="KQ11"/>
      <c r="KR11"/>
      <c r="KS11"/>
      <c r="KT11"/>
      <c r="KU11"/>
      <c r="KV11"/>
      <c r="KW11"/>
      <c r="KX11"/>
      <c r="KY11"/>
      <c r="KZ11"/>
      <c r="LA11"/>
      <c r="LB11"/>
      <c r="LC11"/>
      <c r="LD11"/>
      <c r="LE11"/>
      <c r="LF11"/>
      <c r="LG11"/>
      <c r="LH11"/>
      <c r="LI11"/>
      <c r="LJ11"/>
      <c r="LK11"/>
      <c r="LL11"/>
      <c r="LM11"/>
      <c r="LN11"/>
      <c r="LO11"/>
      <c r="LP11"/>
      <c r="LQ11"/>
      <c r="LR11"/>
      <c r="LS11"/>
      <c r="LT11"/>
      <c r="LU11"/>
      <c r="LV11"/>
      <c r="LW11"/>
      <c r="LX11"/>
      <c r="LY11"/>
      <c r="LZ11"/>
      <c r="MA11"/>
      <c r="MB11"/>
      <c r="MC11"/>
      <c r="MD11"/>
      <c r="ME11"/>
      <c r="MF11"/>
      <c r="MG11"/>
      <c r="MH11"/>
      <c r="MI11"/>
      <c r="MJ11"/>
      <c r="MK11"/>
      <c r="ML11"/>
      <c r="MM11"/>
      <c r="MN11"/>
      <c r="MO11"/>
      <c r="MP11"/>
      <c r="MQ11"/>
      <c r="MR11"/>
      <c r="MS11"/>
      <c r="MT11"/>
      <c r="MU11"/>
      <c r="MV11"/>
      <c r="MW11"/>
      <c r="MX11"/>
      <c r="MY11"/>
      <c r="MZ11"/>
      <c r="NA11"/>
      <c r="NB11"/>
      <c r="NC11"/>
      <c r="ND11"/>
      <c r="NE11"/>
      <c r="NF11"/>
      <c r="NG11"/>
      <c r="NH11"/>
      <c r="NI11"/>
      <c r="NJ11"/>
      <c r="NK11"/>
      <c r="NL11"/>
      <c r="NM11"/>
      <c r="NN11"/>
      <c r="NO11"/>
      <c r="NP11"/>
      <c r="NQ11"/>
      <c r="NR11"/>
      <c r="NS11"/>
      <c r="NT11"/>
      <c r="NU11"/>
      <c r="NV11"/>
      <c r="NW11"/>
      <c r="NX11"/>
      <c r="NY11"/>
      <c r="NZ11"/>
      <c r="OA11"/>
      <c r="OB11"/>
      <c r="OC11"/>
      <c r="OD11"/>
      <c r="OE11"/>
      <c r="OF11"/>
      <c r="OG11"/>
      <c r="OH11"/>
      <c r="OI11"/>
      <c r="OJ11"/>
      <c r="OK11"/>
      <c r="OL11"/>
      <c r="OM11"/>
      <c r="ON11"/>
      <c r="OO11"/>
      <c r="OP11"/>
      <c r="OQ11"/>
      <c r="OR11"/>
      <c r="OS11"/>
      <c r="OT11"/>
      <c r="OU11"/>
      <c r="OV11"/>
      <c r="OW11"/>
      <c r="OX11"/>
      <c r="OY11"/>
      <c r="OZ11"/>
      <c r="PA11"/>
      <c r="PB11"/>
      <c r="PC11"/>
      <c r="PD11"/>
      <c r="PE11"/>
      <c r="PF11"/>
      <c r="PG11"/>
      <c r="PH11"/>
      <c r="PI11"/>
      <c r="PJ11"/>
      <c r="PK11"/>
      <c r="PL11"/>
      <c r="PM11"/>
      <c r="PN11"/>
      <c r="PO11"/>
      <c r="PP11"/>
      <c r="PQ11"/>
      <c r="PR11"/>
      <c r="PS11"/>
      <c r="PT11"/>
      <c r="PU11"/>
      <c r="PV11"/>
      <c r="PW11"/>
      <c r="PX11"/>
      <c r="PY11"/>
      <c r="PZ11"/>
      <c r="QA11"/>
      <c r="QB11"/>
      <c r="QC11"/>
      <c r="QD11"/>
      <c r="QE11"/>
      <c r="QF11"/>
      <c r="QG11"/>
      <c r="QH11"/>
      <c r="QI11"/>
      <c r="QJ11"/>
      <c r="QK11"/>
      <c r="QL11"/>
      <c r="QM11"/>
      <c r="QN11"/>
      <c r="QO11"/>
      <c r="QP11"/>
      <c r="QQ11"/>
      <c r="QR11"/>
      <c r="QS11"/>
      <c r="QT11"/>
      <c r="QU11"/>
      <c r="QV11"/>
      <c r="QW11"/>
      <c r="QX11"/>
      <c r="QY11"/>
      <c r="QZ11"/>
      <c r="RA11"/>
      <c r="RB11"/>
      <c r="RC11"/>
      <c r="RD11"/>
      <c r="RE11"/>
      <c r="RF11"/>
      <c r="RG11"/>
      <c r="RH11"/>
      <c r="RI11"/>
      <c r="RJ11"/>
      <c r="RK11"/>
      <c r="RL11"/>
      <c r="RM11"/>
      <c r="RN11"/>
      <c r="RO11"/>
      <c r="RP11"/>
      <c r="RQ11"/>
      <c r="RR11"/>
      <c r="RS11"/>
      <c r="RT11"/>
      <c r="RU11"/>
      <c r="RV11"/>
      <c r="RW11"/>
      <c r="RX11"/>
      <c r="RY11"/>
      <c r="RZ11"/>
      <c r="SA11"/>
      <c r="SB11"/>
      <c r="SC11"/>
      <c r="SD11"/>
      <c r="SE11"/>
      <c r="SF11"/>
      <c r="SG11"/>
      <c r="SH11"/>
      <c r="SI11"/>
      <c r="SJ11"/>
      <c r="SK11"/>
      <c r="SL11"/>
    </row>
    <row r="12" spans="3:506" x14ac:dyDescent="0.25">
      <c r="C12" s="2" t="s">
        <v>1</v>
      </c>
      <c r="D12" s="34">
        <v>7</v>
      </c>
      <c r="F12" s="2" t="s">
        <v>3492</v>
      </c>
      <c r="G12" s="34">
        <v>178</v>
      </c>
      <c r="I12" s="2" t="s">
        <v>44</v>
      </c>
      <c r="J12" s="34">
        <v>73</v>
      </c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  <c r="EB12"/>
      <c r="EC12"/>
      <c r="ED12"/>
      <c r="EE12"/>
      <c r="EF12"/>
      <c r="EG12"/>
      <c r="EH12"/>
      <c r="EI12"/>
      <c r="EJ12"/>
      <c r="EK12"/>
      <c r="EL12"/>
      <c r="EM12"/>
      <c r="EN12"/>
      <c r="EO12"/>
      <c r="EP12"/>
      <c r="EQ12"/>
      <c r="ER12"/>
      <c r="ES12"/>
      <c r="ET12"/>
      <c r="EU12"/>
      <c r="EV12"/>
      <c r="EW12"/>
      <c r="EX12"/>
      <c r="EY12"/>
      <c r="EZ12"/>
      <c r="FA12"/>
      <c r="FB12"/>
      <c r="FC12"/>
      <c r="FD12"/>
      <c r="FE12"/>
      <c r="FF12"/>
      <c r="FG12"/>
      <c r="FH12"/>
      <c r="FI12"/>
      <c r="FJ12"/>
      <c r="FK12"/>
      <c r="FL12"/>
      <c r="FM12"/>
      <c r="FN12"/>
      <c r="FO12"/>
      <c r="FP12"/>
      <c r="FQ12"/>
      <c r="FR12"/>
      <c r="FS12"/>
      <c r="FT12"/>
      <c r="FU12"/>
      <c r="FV12"/>
      <c r="FW12"/>
      <c r="FX12"/>
      <c r="FY12"/>
      <c r="FZ12"/>
      <c r="GA12"/>
      <c r="GB12"/>
      <c r="GC12"/>
      <c r="GD12"/>
      <c r="GE12"/>
      <c r="GF12"/>
      <c r="GG12"/>
      <c r="GH12"/>
      <c r="GI12"/>
      <c r="GJ12"/>
      <c r="GK12"/>
      <c r="GL12"/>
      <c r="GM12"/>
      <c r="GN12"/>
      <c r="GO12"/>
      <c r="GP12"/>
      <c r="GQ12"/>
      <c r="GR12"/>
      <c r="GS12"/>
      <c r="GT12"/>
      <c r="GU12"/>
      <c r="GV12"/>
      <c r="GW12"/>
      <c r="GX12"/>
      <c r="GY12"/>
      <c r="GZ12"/>
      <c r="HA12"/>
      <c r="HB12"/>
      <c r="HC12"/>
      <c r="HD12"/>
      <c r="HE12"/>
      <c r="HF12"/>
      <c r="HG12"/>
      <c r="HH12"/>
      <c r="HI12"/>
      <c r="HJ12"/>
      <c r="HK12"/>
      <c r="HL12"/>
      <c r="HM12"/>
      <c r="HN12"/>
      <c r="HO12"/>
      <c r="HP12"/>
      <c r="HQ12"/>
      <c r="HR12"/>
      <c r="HS12"/>
      <c r="HT12"/>
      <c r="HU12"/>
      <c r="HV12"/>
      <c r="HW12"/>
      <c r="HX12"/>
      <c r="HY12"/>
      <c r="HZ12"/>
      <c r="IA12"/>
      <c r="IB12"/>
      <c r="IC12"/>
      <c r="ID12"/>
      <c r="IE12"/>
      <c r="IF12"/>
      <c r="IG12"/>
      <c r="IH12"/>
      <c r="II12"/>
      <c r="IJ12"/>
      <c r="IK12"/>
      <c r="IL12"/>
      <c r="IM12"/>
      <c r="IN12"/>
      <c r="IO12"/>
      <c r="IP12"/>
      <c r="IQ12"/>
      <c r="IR12"/>
      <c r="IS12"/>
      <c r="IT12"/>
      <c r="IU12"/>
      <c r="IV12"/>
      <c r="IW12"/>
      <c r="IX12"/>
      <c r="IY12"/>
      <c r="IZ12"/>
      <c r="JA12"/>
      <c r="JB12"/>
      <c r="JC12"/>
      <c r="JD12"/>
      <c r="JE12"/>
      <c r="JF12"/>
      <c r="JG12"/>
      <c r="JH12"/>
      <c r="JI12"/>
      <c r="JJ12"/>
      <c r="JK12"/>
      <c r="JL12"/>
      <c r="JM12"/>
      <c r="JN12"/>
      <c r="JO12"/>
      <c r="JP12"/>
      <c r="JQ12"/>
      <c r="JR12"/>
      <c r="JS12"/>
      <c r="JT12"/>
      <c r="JU12"/>
      <c r="JV12"/>
      <c r="JW12"/>
      <c r="JX12"/>
      <c r="JY12"/>
      <c r="JZ12"/>
      <c r="KA12"/>
      <c r="KB12"/>
      <c r="KC12"/>
      <c r="KD12"/>
      <c r="KE12"/>
      <c r="KF12"/>
      <c r="KG12"/>
      <c r="KH12"/>
      <c r="KI12"/>
      <c r="KJ12"/>
      <c r="KK12"/>
      <c r="KL12"/>
      <c r="KM12"/>
      <c r="KN12"/>
      <c r="KO12"/>
      <c r="KP12"/>
      <c r="KQ12"/>
      <c r="KR12"/>
      <c r="KS12"/>
      <c r="KT12"/>
      <c r="KU12"/>
      <c r="KV12"/>
      <c r="KW12"/>
      <c r="KX12"/>
      <c r="KY12"/>
      <c r="KZ12"/>
      <c r="LA12"/>
      <c r="LB12"/>
      <c r="LC12"/>
      <c r="LD12"/>
      <c r="LE12"/>
      <c r="LF12"/>
      <c r="LG12"/>
      <c r="LH12"/>
      <c r="LI12"/>
      <c r="LJ12"/>
      <c r="LK12"/>
      <c r="LL12"/>
      <c r="LM12"/>
      <c r="LN12"/>
      <c r="LO12"/>
      <c r="LP12"/>
      <c r="LQ12"/>
      <c r="LR12"/>
      <c r="LS12"/>
      <c r="LT12"/>
      <c r="LU12"/>
      <c r="LV12"/>
      <c r="LW12"/>
      <c r="LX12"/>
      <c r="LY12"/>
      <c r="LZ12"/>
      <c r="MA12"/>
      <c r="MB12"/>
      <c r="MC12"/>
      <c r="MD12"/>
      <c r="ME12"/>
      <c r="MF12"/>
      <c r="MG12"/>
      <c r="MH12"/>
      <c r="MI12"/>
      <c r="MJ12"/>
      <c r="MK12"/>
      <c r="ML12"/>
      <c r="MM12"/>
      <c r="MN12"/>
      <c r="MO12"/>
      <c r="MP12"/>
      <c r="MQ12"/>
      <c r="MR12"/>
      <c r="MS12"/>
      <c r="MT12"/>
      <c r="MU12"/>
      <c r="MV12"/>
      <c r="MW12"/>
      <c r="MX12"/>
      <c r="MY12"/>
      <c r="MZ12"/>
      <c r="NA12"/>
      <c r="NB12"/>
      <c r="NC12"/>
      <c r="ND12"/>
      <c r="NE12"/>
      <c r="NF12"/>
      <c r="NG12"/>
      <c r="NH12"/>
      <c r="NI12"/>
      <c r="NJ12"/>
      <c r="NK12"/>
      <c r="NL12"/>
      <c r="NM12"/>
      <c r="NN12"/>
      <c r="NO12"/>
      <c r="NP12"/>
      <c r="NQ12"/>
      <c r="NR12"/>
      <c r="NS12"/>
      <c r="NT12"/>
      <c r="NU12"/>
      <c r="NV12"/>
      <c r="NW12"/>
      <c r="NX12"/>
      <c r="NY12"/>
      <c r="NZ12"/>
      <c r="OA12"/>
      <c r="OB12"/>
      <c r="OC12"/>
      <c r="OD12"/>
      <c r="OE12"/>
      <c r="OF12"/>
      <c r="OG12"/>
      <c r="OH12"/>
      <c r="OI12"/>
      <c r="OJ12"/>
      <c r="OK12"/>
      <c r="OL12"/>
      <c r="OM12"/>
      <c r="ON12"/>
      <c r="OO12"/>
      <c r="OP12"/>
      <c r="OQ12"/>
      <c r="OR12"/>
      <c r="OS12"/>
      <c r="OT12"/>
      <c r="OU12"/>
      <c r="OV12"/>
      <c r="OW12"/>
      <c r="OX12"/>
      <c r="OY12"/>
      <c r="OZ12"/>
      <c r="PA12"/>
      <c r="PB12"/>
      <c r="PC12"/>
      <c r="PD12"/>
      <c r="PE12"/>
      <c r="PF12"/>
      <c r="PG12"/>
      <c r="PH12"/>
      <c r="PI12"/>
      <c r="PJ12"/>
      <c r="PK12"/>
      <c r="PL12"/>
      <c r="PM12"/>
      <c r="PN12"/>
      <c r="PO12"/>
      <c r="PP12"/>
      <c r="PQ12"/>
      <c r="PR12"/>
      <c r="PS12"/>
      <c r="PT12"/>
      <c r="PU12"/>
      <c r="PV12"/>
      <c r="PW12"/>
      <c r="PX12"/>
      <c r="PY12"/>
      <c r="PZ12"/>
      <c r="QA12"/>
      <c r="QB12"/>
      <c r="QC12"/>
      <c r="QD12"/>
      <c r="QE12"/>
      <c r="QF12"/>
      <c r="QG12"/>
      <c r="QH12"/>
      <c r="QI12"/>
      <c r="QJ12"/>
      <c r="QK12"/>
      <c r="QL12"/>
      <c r="QM12"/>
      <c r="QN12"/>
      <c r="QO12"/>
      <c r="QP12"/>
      <c r="QQ12"/>
      <c r="QR12"/>
      <c r="QS12"/>
      <c r="QT12"/>
      <c r="QU12"/>
      <c r="QV12"/>
      <c r="QW12"/>
      <c r="QX12"/>
      <c r="QY12"/>
      <c r="QZ12"/>
      <c r="RA12"/>
      <c r="RB12"/>
      <c r="RC12"/>
      <c r="RD12"/>
      <c r="RE12"/>
      <c r="RF12"/>
      <c r="RG12"/>
      <c r="RH12"/>
      <c r="RI12"/>
      <c r="RJ12"/>
      <c r="RK12"/>
      <c r="RL12"/>
      <c r="RM12"/>
      <c r="RN12"/>
      <c r="RO12"/>
      <c r="RP12"/>
      <c r="RQ12"/>
      <c r="RR12"/>
      <c r="RS12"/>
      <c r="RT12"/>
      <c r="RU12"/>
      <c r="RV12"/>
      <c r="RW12"/>
      <c r="RX12"/>
      <c r="RY12"/>
      <c r="RZ12"/>
      <c r="SA12"/>
      <c r="SB12"/>
      <c r="SC12"/>
      <c r="SD12"/>
      <c r="SE12"/>
      <c r="SF12"/>
      <c r="SG12"/>
      <c r="SH12"/>
      <c r="SI12"/>
      <c r="SJ12"/>
      <c r="SK12"/>
      <c r="SL12"/>
    </row>
    <row r="13" spans="3:506" x14ac:dyDescent="0.25">
      <c r="C13" s="2" t="s">
        <v>5</v>
      </c>
      <c r="D13" s="34">
        <v>6</v>
      </c>
      <c r="F13" s="2" t="s">
        <v>3528</v>
      </c>
      <c r="G13" s="34">
        <v>73</v>
      </c>
      <c r="I13" s="2" t="s">
        <v>38</v>
      </c>
      <c r="J13" s="34">
        <v>70</v>
      </c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  <c r="EC13"/>
      <c r="ED13"/>
      <c r="EE13"/>
      <c r="EF13"/>
      <c r="EG13"/>
      <c r="EH13"/>
      <c r="EI13"/>
      <c r="EJ13"/>
      <c r="EK13"/>
      <c r="EL13"/>
      <c r="EM13"/>
      <c r="EN13"/>
      <c r="EO13"/>
      <c r="EP13"/>
      <c r="EQ13"/>
      <c r="ER13"/>
      <c r="ES13"/>
      <c r="ET13"/>
      <c r="EU13"/>
      <c r="EV13"/>
      <c r="EW13"/>
      <c r="EX13"/>
      <c r="EY13"/>
      <c r="EZ13"/>
      <c r="FA13"/>
      <c r="FB13"/>
      <c r="FC13"/>
      <c r="FD13"/>
      <c r="FE13"/>
      <c r="FF13"/>
      <c r="FG13"/>
      <c r="FH13"/>
      <c r="FI13"/>
      <c r="FJ13"/>
      <c r="FK13"/>
      <c r="FL13"/>
      <c r="FM13"/>
      <c r="FN13"/>
      <c r="FO13"/>
      <c r="FP13"/>
      <c r="FQ13"/>
      <c r="FR13"/>
      <c r="FS13"/>
      <c r="FT13"/>
      <c r="FU13"/>
      <c r="FV13"/>
      <c r="FW13"/>
      <c r="FX13"/>
      <c r="FY13"/>
      <c r="FZ13"/>
      <c r="GA13"/>
      <c r="GB13"/>
      <c r="GC13"/>
      <c r="GD13"/>
      <c r="GE13"/>
      <c r="GF13"/>
      <c r="GG13"/>
      <c r="GH13"/>
      <c r="GI13"/>
      <c r="GJ13"/>
      <c r="GK13"/>
      <c r="GL13"/>
      <c r="GM13"/>
      <c r="GN13"/>
      <c r="GO13"/>
      <c r="GP13"/>
      <c r="GQ13"/>
      <c r="GR13"/>
      <c r="GS13"/>
      <c r="GT13"/>
      <c r="GU13"/>
      <c r="GV13"/>
      <c r="GW13"/>
      <c r="GX13"/>
      <c r="GY13"/>
      <c r="GZ13"/>
      <c r="HA13"/>
      <c r="HB13"/>
      <c r="HC13"/>
      <c r="HD13"/>
      <c r="HE13"/>
      <c r="HF13"/>
      <c r="HG13"/>
      <c r="HH13"/>
      <c r="HI13"/>
      <c r="HJ13"/>
      <c r="HK13"/>
      <c r="HL13"/>
      <c r="HM13"/>
      <c r="HN13"/>
      <c r="HO13"/>
      <c r="HP13"/>
      <c r="HQ13"/>
      <c r="HR13"/>
      <c r="HS13"/>
      <c r="HT13"/>
      <c r="HU13"/>
      <c r="HV13"/>
      <c r="HW13"/>
      <c r="HX13"/>
      <c r="HY13"/>
      <c r="HZ13"/>
      <c r="IA13"/>
      <c r="IB13"/>
      <c r="IC13"/>
      <c r="ID13"/>
      <c r="IE13"/>
      <c r="IF13"/>
      <c r="IG13"/>
      <c r="IH13"/>
      <c r="II13"/>
      <c r="IJ13"/>
      <c r="IK13"/>
      <c r="IL13"/>
      <c r="IM13"/>
      <c r="IN13"/>
      <c r="IO13"/>
      <c r="IP13"/>
      <c r="IQ13"/>
      <c r="IR13"/>
      <c r="IS13"/>
      <c r="IT13"/>
      <c r="IU13"/>
      <c r="IV13"/>
      <c r="IW13"/>
      <c r="IX13"/>
      <c r="IY13"/>
      <c r="IZ13"/>
      <c r="JA13"/>
      <c r="JB13"/>
      <c r="JC13"/>
      <c r="JD13"/>
      <c r="JE13"/>
      <c r="JF13"/>
      <c r="JG13"/>
      <c r="JH13"/>
      <c r="JI13"/>
      <c r="JJ13"/>
      <c r="JK13"/>
      <c r="JL13"/>
      <c r="JM13"/>
      <c r="JN13"/>
      <c r="JO13"/>
      <c r="JP13"/>
      <c r="JQ13"/>
      <c r="JR13"/>
      <c r="JS13"/>
      <c r="JT13"/>
      <c r="JU13"/>
      <c r="JV13"/>
      <c r="JW13"/>
      <c r="JX13"/>
      <c r="JY13"/>
      <c r="JZ13"/>
      <c r="KA13"/>
      <c r="KB13"/>
      <c r="KC13"/>
      <c r="KD13"/>
      <c r="KE13"/>
      <c r="KF13"/>
      <c r="KG13"/>
      <c r="KH13"/>
      <c r="KI13"/>
      <c r="KJ13"/>
      <c r="KK13"/>
      <c r="KL13"/>
      <c r="KM13"/>
      <c r="KN13"/>
      <c r="KO13"/>
      <c r="KP13"/>
      <c r="KQ13"/>
      <c r="KR13"/>
      <c r="KS13"/>
      <c r="KT13"/>
      <c r="KU13"/>
      <c r="KV13"/>
      <c r="KW13"/>
      <c r="KX13"/>
      <c r="KY13"/>
      <c r="KZ13"/>
      <c r="LA13"/>
      <c r="LB13"/>
      <c r="LC13"/>
      <c r="LD13"/>
      <c r="LE13"/>
      <c r="LF13"/>
      <c r="LG13"/>
      <c r="LH13"/>
      <c r="LI13"/>
      <c r="LJ13"/>
      <c r="LK13"/>
      <c r="LL13"/>
      <c r="LM13"/>
      <c r="LN13"/>
      <c r="LO13"/>
      <c r="LP13"/>
      <c r="LQ13"/>
      <c r="LR13"/>
      <c r="LS13"/>
      <c r="LT13"/>
      <c r="LU13"/>
      <c r="LV13"/>
      <c r="LW13"/>
      <c r="LX13"/>
      <c r="LY13"/>
      <c r="LZ13"/>
      <c r="MA13"/>
      <c r="MB13"/>
      <c r="MC13"/>
      <c r="MD13"/>
      <c r="ME13"/>
      <c r="MF13"/>
      <c r="MG13"/>
      <c r="MH13"/>
      <c r="MI13"/>
      <c r="MJ13"/>
      <c r="MK13"/>
      <c r="ML13"/>
      <c r="MM13"/>
      <c r="MN13"/>
      <c r="MO13"/>
      <c r="MP13"/>
      <c r="MQ13"/>
      <c r="MR13"/>
      <c r="MS13"/>
      <c r="MT13"/>
      <c r="MU13"/>
      <c r="MV13"/>
      <c r="MW13"/>
      <c r="MX13"/>
      <c r="MY13"/>
      <c r="MZ13"/>
      <c r="NA13"/>
      <c r="NB13"/>
      <c r="NC13"/>
      <c r="ND13"/>
      <c r="NE13"/>
      <c r="NF13"/>
      <c r="NG13"/>
      <c r="NH13"/>
      <c r="NI13"/>
      <c r="NJ13"/>
      <c r="NK13"/>
      <c r="NL13"/>
      <c r="NM13"/>
      <c r="NN13"/>
      <c r="NO13"/>
      <c r="NP13"/>
      <c r="NQ13"/>
      <c r="NR13"/>
      <c r="NS13"/>
      <c r="NT13"/>
      <c r="NU13"/>
      <c r="NV13"/>
      <c r="NW13"/>
      <c r="NX13"/>
      <c r="NY13"/>
      <c r="NZ13"/>
      <c r="OA13"/>
      <c r="OB13"/>
      <c r="OC13"/>
      <c r="OD13"/>
      <c r="OE13"/>
      <c r="OF13"/>
      <c r="OG13"/>
      <c r="OH13"/>
      <c r="OI13"/>
      <c r="OJ13"/>
      <c r="OK13"/>
      <c r="OL13"/>
      <c r="OM13"/>
      <c r="ON13"/>
      <c r="OO13"/>
      <c r="OP13"/>
      <c r="OQ13"/>
      <c r="OR13"/>
      <c r="OS13"/>
      <c r="OT13"/>
      <c r="OU13"/>
      <c r="OV13"/>
      <c r="OW13"/>
      <c r="OX13"/>
      <c r="OY13"/>
      <c r="OZ13"/>
      <c r="PA13"/>
      <c r="PB13"/>
      <c r="PC13"/>
      <c r="PD13"/>
      <c r="PE13"/>
      <c r="PF13"/>
      <c r="PG13"/>
      <c r="PH13"/>
      <c r="PI13"/>
      <c r="PJ13"/>
      <c r="PK13"/>
      <c r="PL13"/>
      <c r="PM13"/>
      <c r="PN13"/>
      <c r="PO13"/>
      <c r="PP13"/>
      <c r="PQ13"/>
      <c r="PR13"/>
      <c r="PS13"/>
      <c r="PT13"/>
      <c r="PU13"/>
      <c r="PV13"/>
      <c r="PW13"/>
      <c r="PX13"/>
      <c r="PY13"/>
      <c r="PZ13"/>
      <c r="QA13"/>
      <c r="QB13"/>
      <c r="QC13"/>
      <c r="QD13"/>
      <c r="QE13"/>
      <c r="QF13"/>
      <c r="QG13"/>
      <c r="QH13"/>
      <c r="QI13"/>
      <c r="QJ13"/>
      <c r="QK13"/>
      <c r="QL13"/>
      <c r="QM13"/>
      <c r="QN13"/>
      <c r="QO13"/>
      <c r="QP13"/>
      <c r="QQ13"/>
      <c r="QR13"/>
      <c r="QS13"/>
      <c r="QT13"/>
      <c r="QU13"/>
      <c r="QV13"/>
      <c r="QW13"/>
      <c r="QX13"/>
      <c r="QY13"/>
      <c r="QZ13"/>
      <c r="RA13"/>
      <c r="RB13"/>
      <c r="RC13"/>
      <c r="RD13"/>
      <c r="RE13"/>
      <c r="RF13"/>
      <c r="RG13"/>
      <c r="RH13"/>
      <c r="RI13"/>
      <c r="RJ13"/>
      <c r="RK13"/>
      <c r="RL13"/>
      <c r="RM13"/>
      <c r="RN13"/>
      <c r="RO13"/>
      <c r="RP13"/>
      <c r="RQ13"/>
      <c r="RR13"/>
      <c r="RS13"/>
      <c r="RT13"/>
      <c r="RU13"/>
      <c r="RV13"/>
      <c r="RW13"/>
      <c r="RX13"/>
      <c r="RY13"/>
      <c r="RZ13"/>
      <c r="SA13"/>
      <c r="SB13"/>
      <c r="SC13"/>
      <c r="SD13"/>
      <c r="SE13"/>
      <c r="SF13"/>
      <c r="SG13"/>
      <c r="SH13"/>
      <c r="SI13"/>
      <c r="SJ13"/>
      <c r="SK13"/>
      <c r="SL13"/>
    </row>
    <row r="14" spans="3:506" x14ac:dyDescent="0.25">
      <c r="C14" s="2" t="s">
        <v>7</v>
      </c>
      <c r="D14" s="34">
        <v>5</v>
      </c>
      <c r="F14" s="2" t="s">
        <v>3493</v>
      </c>
      <c r="G14" s="34">
        <v>167</v>
      </c>
      <c r="I14" s="2" t="s">
        <v>41</v>
      </c>
      <c r="J14" s="34">
        <v>56</v>
      </c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/>
      <c r="DL14"/>
      <c r="DM14"/>
      <c r="DN14"/>
      <c r="DO14"/>
      <c r="DP14"/>
      <c r="DQ14"/>
      <c r="DR14"/>
      <c r="DS14"/>
      <c r="DT14"/>
      <c r="DU14"/>
      <c r="DV14"/>
      <c r="DW14"/>
      <c r="DX14"/>
      <c r="DY14"/>
      <c r="DZ14"/>
      <c r="EA14"/>
      <c r="EB14"/>
      <c r="EC14"/>
      <c r="ED14"/>
      <c r="EE14"/>
      <c r="EF14"/>
      <c r="EG14"/>
      <c r="EH14"/>
      <c r="EI14"/>
      <c r="EJ14"/>
      <c r="EK14"/>
      <c r="EL14"/>
      <c r="EM14"/>
      <c r="EN14"/>
      <c r="EO14"/>
      <c r="EP14"/>
      <c r="EQ14"/>
      <c r="ER14"/>
      <c r="ES14"/>
      <c r="ET14"/>
      <c r="EU14"/>
      <c r="EV14"/>
      <c r="EW14"/>
      <c r="EX14"/>
      <c r="EY14"/>
      <c r="EZ14"/>
      <c r="FA14"/>
      <c r="FB14"/>
      <c r="FC14"/>
      <c r="FD14"/>
      <c r="FE14"/>
      <c r="FF14"/>
      <c r="FG14"/>
      <c r="FH14"/>
      <c r="FI14"/>
      <c r="FJ14"/>
      <c r="FK14"/>
      <c r="FL14"/>
      <c r="FM14"/>
      <c r="FN14"/>
      <c r="FO14"/>
      <c r="FP14"/>
      <c r="FQ14"/>
      <c r="FR14"/>
      <c r="FS14"/>
      <c r="FT14"/>
      <c r="FU14"/>
      <c r="FV14"/>
      <c r="FW14"/>
      <c r="FX14"/>
      <c r="FY14"/>
      <c r="FZ14"/>
      <c r="GA14"/>
      <c r="GB14"/>
      <c r="GC14"/>
      <c r="GD14"/>
      <c r="GE14"/>
      <c r="GF14"/>
      <c r="GG14"/>
      <c r="GH14"/>
      <c r="GI14"/>
      <c r="GJ14"/>
      <c r="GK14"/>
      <c r="GL14"/>
      <c r="GM14"/>
      <c r="GN14"/>
      <c r="GO14"/>
      <c r="GP14"/>
      <c r="GQ14"/>
      <c r="GR14"/>
      <c r="GS14"/>
      <c r="GT14"/>
      <c r="GU14"/>
      <c r="GV14"/>
      <c r="GW14"/>
      <c r="GX14"/>
      <c r="GY14"/>
      <c r="GZ14"/>
      <c r="HA14"/>
      <c r="HB14"/>
      <c r="HC14"/>
      <c r="HD14"/>
      <c r="HE14"/>
      <c r="HF14"/>
      <c r="HG14"/>
      <c r="HH14"/>
      <c r="HI14"/>
      <c r="HJ14"/>
      <c r="HK14"/>
      <c r="HL14"/>
      <c r="HM14"/>
      <c r="HN14"/>
      <c r="HO14"/>
      <c r="HP14"/>
      <c r="HQ14"/>
      <c r="HR14"/>
      <c r="HS14"/>
      <c r="HT14"/>
      <c r="HU14"/>
      <c r="HV14"/>
      <c r="HW14"/>
      <c r="HX14"/>
      <c r="HY14"/>
      <c r="HZ14"/>
      <c r="IA14"/>
      <c r="IB14"/>
      <c r="IC14"/>
      <c r="ID14"/>
      <c r="IE14"/>
      <c r="IF14"/>
      <c r="IG14"/>
      <c r="IH14"/>
      <c r="II14"/>
      <c r="IJ14"/>
      <c r="IK14"/>
      <c r="IL14"/>
      <c r="IM14"/>
      <c r="IN14"/>
      <c r="IO14"/>
      <c r="IP14"/>
      <c r="IQ14"/>
      <c r="IR14"/>
      <c r="IS14"/>
      <c r="IT14"/>
      <c r="IU14"/>
      <c r="IV14"/>
      <c r="IW14"/>
      <c r="IX14"/>
      <c r="IY14"/>
      <c r="IZ14"/>
      <c r="JA14"/>
      <c r="JB14"/>
      <c r="JC14"/>
      <c r="JD14"/>
      <c r="JE14"/>
      <c r="JF14"/>
      <c r="JG14"/>
      <c r="JH14"/>
      <c r="JI14"/>
      <c r="JJ14"/>
      <c r="JK14"/>
      <c r="JL14"/>
      <c r="JM14"/>
      <c r="JN14"/>
      <c r="JO14"/>
      <c r="JP14"/>
      <c r="JQ14"/>
      <c r="JR14"/>
      <c r="JS14"/>
      <c r="JT14"/>
      <c r="JU14"/>
      <c r="JV14"/>
      <c r="JW14"/>
      <c r="JX14"/>
      <c r="JY14"/>
      <c r="JZ14"/>
      <c r="KA14"/>
      <c r="KB14"/>
      <c r="KC14"/>
      <c r="KD14"/>
      <c r="KE14"/>
      <c r="KF14"/>
      <c r="KG14"/>
      <c r="KH14"/>
      <c r="KI14"/>
      <c r="KJ14"/>
      <c r="KK14"/>
      <c r="KL14"/>
      <c r="KM14"/>
      <c r="KN14"/>
      <c r="KO14"/>
      <c r="KP14"/>
      <c r="KQ14"/>
      <c r="KR14"/>
      <c r="KS14"/>
      <c r="KT14"/>
      <c r="KU14"/>
      <c r="KV14"/>
      <c r="KW14"/>
      <c r="KX14"/>
      <c r="KY14"/>
      <c r="KZ14"/>
      <c r="LA14"/>
      <c r="LB14"/>
      <c r="LC14"/>
      <c r="LD14"/>
      <c r="LE14"/>
      <c r="LF14"/>
      <c r="LG14"/>
      <c r="LH14"/>
      <c r="LI14"/>
      <c r="LJ14"/>
      <c r="LK14"/>
      <c r="LL14"/>
      <c r="LM14"/>
      <c r="LN14"/>
      <c r="LO14"/>
      <c r="LP14"/>
      <c r="LQ14"/>
      <c r="LR14"/>
      <c r="LS14"/>
      <c r="LT14"/>
      <c r="LU14"/>
      <c r="LV14"/>
      <c r="LW14"/>
      <c r="LX14"/>
      <c r="LY14"/>
      <c r="LZ14"/>
      <c r="MA14"/>
      <c r="MB14"/>
      <c r="MC14"/>
      <c r="MD14"/>
      <c r="ME14"/>
      <c r="MF14"/>
      <c r="MG14"/>
      <c r="MH14"/>
      <c r="MI14"/>
      <c r="MJ14"/>
      <c r="MK14"/>
      <c r="ML14"/>
      <c r="MM14"/>
      <c r="MN14"/>
      <c r="MO14"/>
      <c r="MP14"/>
      <c r="MQ14"/>
      <c r="MR14"/>
      <c r="MS14"/>
      <c r="MT14"/>
      <c r="MU14"/>
      <c r="MV14"/>
      <c r="MW14"/>
      <c r="MX14"/>
      <c r="MY14"/>
      <c r="MZ14"/>
      <c r="NA14"/>
      <c r="NB14"/>
      <c r="NC14"/>
      <c r="ND14"/>
      <c r="NE14"/>
      <c r="NF14"/>
      <c r="NG14"/>
      <c r="NH14"/>
      <c r="NI14"/>
      <c r="NJ14"/>
      <c r="NK14"/>
      <c r="NL14"/>
      <c r="NM14"/>
      <c r="NN14"/>
      <c r="NO14"/>
      <c r="NP14"/>
      <c r="NQ14"/>
      <c r="NR14"/>
      <c r="NS14"/>
      <c r="NT14"/>
      <c r="NU14"/>
      <c r="NV14"/>
      <c r="NW14"/>
      <c r="NX14"/>
      <c r="NY14"/>
      <c r="NZ14"/>
      <c r="OA14"/>
      <c r="OB14"/>
      <c r="OC14"/>
      <c r="OD14"/>
      <c r="OE14"/>
      <c r="OF14"/>
      <c r="OG14"/>
      <c r="OH14"/>
      <c r="OI14"/>
      <c r="OJ14"/>
      <c r="OK14"/>
      <c r="OL14"/>
      <c r="OM14"/>
      <c r="ON14"/>
      <c r="OO14"/>
      <c r="OP14"/>
      <c r="OQ14"/>
      <c r="OR14"/>
      <c r="OS14"/>
      <c r="OT14"/>
      <c r="OU14"/>
      <c r="OV14"/>
      <c r="OW14"/>
      <c r="OX14"/>
      <c r="OY14"/>
      <c r="OZ14"/>
      <c r="PA14"/>
      <c r="PB14"/>
      <c r="PC14"/>
      <c r="PD14"/>
      <c r="PE14"/>
      <c r="PF14"/>
      <c r="PG14"/>
      <c r="PH14"/>
      <c r="PI14"/>
      <c r="PJ14"/>
      <c r="PK14"/>
      <c r="PL14"/>
      <c r="PM14"/>
      <c r="PN14"/>
      <c r="PO14"/>
      <c r="PP14"/>
      <c r="PQ14"/>
      <c r="PR14"/>
      <c r="PS14"/>
      <c r="PT14"/>
      <c r="PU14"/>
      <c r="PV14"/>
      <c r="PW14"/>
      <c r="PX14"/>
      <c r="PY14"/>
      <c r="PZ14"/>
      <c r="QA14"/>
      <c r="QB14"/>
      <c r="QC14"/>
      <c r="QD14"/>
      <c r="QE14"/>
      <c r="QF14"/>
      <c r="QG14"/>
      <c r="QH14"/>
      <c r="QI14"/>
      <c r="QJ14"/>
      <c r="QK14"/>
      <c r="QL14"/>
      <c r="QM14"/>
      <c r="QN14"/>
      <c r="QO14"/>
      <c r="QP14"/>
      <c r="QQ14"/>
      <c r="QR14"/>
      <c r="QS14"/>
      <c r="QT14"/>
      <c r="QU14"/>
      <c r="QV14"/>
      <c r="QW14"/>
      <c r="QX14"/>
      <c r="QY14"/>
      <c r="QZ14"/>
      <c r="RA14"/>
      <c r="RB14"/>
      <c r="RC14"/>
      <c r="RD14"/>
      <c r="RE14"/>
      <c r="RF14"/>
      <c r="RG14"/>
      <c r="RH14"/>
      <c r="RI14"/>
      <c r="RJ14"/>
      <c r="RK14"/>
      <c r="RL14"/>
      <c r="RM14"/>
      <c r="RN14"/>
      <c r="RO14"/>
      <c r="RP14"/>
      <c r="RQ14"/>
      <c r="RR14"/>
      <c r="RS14"/>
      <c r="RT14"/>
      <c r="RU14"/>
      <c r="RV14"/>
      <c r="RW14"/>
      <c r="RX14"/>
      <c r="RY14"/>
      <c r="RZ14"/>
      <c r="SA14"/>
      <c r="SB14"/>
      <c r="SC14"/>
      <c r="SD14"/>
      <c r="SE14"/>
      <c r="SF14"/>
      <c r="SG14"/>
      <c r="SH14"/>
      <c r="SI14"/>
      <c r="SJ14"/>
      <c r="SK14"/>
      <c r="SL14"/>
    </row>
    <row r="15" spans="3:506" x14ac:dyDescent="0.25">
      <c r="C15" s="2" t="s">
        <v>13</v>
      </c>
      <c r="D15" s="34">
        <v>4</v>
      </c>
      <c r="F15" s="2" t="s">
        <v>65</v>
      </c>
      <c r="G15" s="34">
        <v>462</v>
      </c>
      <c r="I15" s="2" t="s">
        <v>47</v>
      </c>
      <c r="J15" s="34">
        <v>53</v>
      </c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  <c r="ED15"/>
      <c r="EE15"/>
      <c r="EF15"/>
      <c r="EG15"/>
      <c r="EH15"/>
      <c r="EI15"/>
      <c r="EJ15"/>
      <c r="EK15"/>
      <c r="EL15"/>
      <c r="EM15"/>
      <c r="EN15"/>
      <c r="EO15"/>
      <c r="EP15"/>
      <c r="EQ15"/>
      <c r="ER15"/>
      <c r="ES15"/>
      <c r="ET15"/>
      <c r="EU15"/>
      <c r="EV15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  <c r="FK15"/>
      <c r="FL15"/>
      <c r="FM15"/>
      <c r="FN15"/>
      <c r="FO15"/>
      <c r="FP15"/>
      <c r="FQ15"/>
      <c r="FR15"/>
      <c r="FS15"/>
      <c r="FT15"/>
      <c r="FU15"/>
      <c r="FV15"/>
      <c r="FW15"/>
      <c r="FX15"/>
      <c r="FY15"/>
      <c r="FZ15"/>
      <c r="GA15"/>
      <c r="GB15"/>
      <c r="GC15"/>
      <c r="GD15"/>
      <c r="GE15"/>
      <c r="GF15"/>
      <c r="GG15"/>
      <c r="GH15"/>
      <c r="GI15"/>
      <c r="GJ15"/>
      <c r="GK15"/>
      <c r="GL15"/>
      <c r="GM15"/>
      <c r="GN15"/>
      <c r="GO15"/>
      <c r="GP15"/>
      <c r="GQ15"/>
      <c r="GR15"/>
      <c r="GS15"/>
      <c r="GT15"/>
      <c r="GU15"/>
      <c r="GV15"/>
      <c r="GW15"/>
      <c r="GX15"/>
      <c r="GY15"/>
      <c r="GZ15"/>
      <c r="HA15"/>
      <c r="HB15"/>
      <c r="HC15"/>
      <c r="HD15"/>
      <c r="HE15"/>
      <c r="HF15"/>
      <c r="HG15"/>
      <c r="HH15"/>
      <c r="HI15"/>
      <c r="HJ15"/>
      <c r="HK15"/>
      <c r="HL15"/>
      <c r="HM15"/>
      <c r="HN15"/>
      <c r="HO15"/>
      <c r="HP15"/>
      <c r="HQ15"/>
      <c r="HR15"/>
      <c r="HS15"/>
      <c r="HT15"/>
      <c r="HU15"/>
      <c r="HV15"/>
      <c r="HW15"/>
      <c r="HX15"/>
      <c r="HY15"/>
      <c r="HZ15"/>
      <c r="IA15"/>
      <c r="IB15"/>
      <c r="IC15"/>
      <c r="ID15"/>
      <c r="IE15"/>
      <c r="IF15"/>
      <c r="IG15"/>
      <c r="IH15"/>
      <c r="II15"/>
      <c r="IJ15"/>
      <c r="IK15"/>
      <c r="IL15"/>
      <c r="IM15"/>
      <c r="IN15"/>
      <c r="IO15"/>
      <c r="IP15"/>
      <c r="IQ15"/>
      <c r="IR15"/>
      <c r="IS15"/>
      <c r="IT15"/>
      <c r="IU15"/>
      <c r="IV15"/>
      <c r="IW15"/>
      <c r="IX15"/>
      <c r="IY15"/>
      <c r="IZ15"/>
      <c r="JA15"/>
      <c r="JB15"/>
      <c r="JC15"/>
      <c r="JD15"/>
      <c r="JE15"/>
      <c r="JF15"/>
      <c r="JG15"/>
      <c r="JH15"/>
      <c r="JI15"/>
      <c r="JJ15"/>
      <c r="JK15"/>
      <c r="JL15"/>
      <c r="JM15"/>
      <c r="JN15"/>
      <c r="JO15"/>
      <c r="JP15"/>
      <c r="JQ15"/>
      <c r="JR15"/>
      <c r="JS15"/>
      <c r="JT15"/>
      <c r="JU15"/>
      <c r="JV15"/>
      <c r="JW15"/>
      <c r="JX15"/>
      <c r="JY15"/>
      <c r="JZ15"/>
      <c r="KA15"/>
      <c r="KB15"/>
      <c r="KC15"/>
      <c r="KD15"/>
      <c r="KE15"/>
      <c r="KF15"/>
      <c r="KG15"/>
      <c r="KH15"/>
      <c r="KI15"/>
      <c r="KJ15"/>
      <c r="KK15"/>
      <c r="KL15"/>
      <c r="KM15"/>
      <c r="KN15"/>
      <c r="KO15"/>
      <c r="KP15"/>
      <c r="KQ15"/>
      <c r="KR15"/>
      <c r="KS15"/>
      <c r="KT15"/>
      <c r="KU15"/>
      <c r="KV15"/>
      <c r="KW15"/>
      <c r="KX15"/>
      <c r="KY15"/>
      <c r="KZ15"/>
      <c r="LA15"/>
      <c r="LB15"/>
      <c r="LC15"/>
      <c r="LD15"/>
      <c r="LE15"/>
      <c r="LF15"/>
      <c r="LG15"/>
      <c r="LH15"/>
      <c r="LI15"/>
      <c r="LJ15"/>
      <c r="LK15"/>
      <c r="LL15"/>
      <c r="LM15"/>
      <c r="LN15"/>
      <c r="LO15"/>
      <c r="LP15"/>
      <c r="LQ15"/>
      <c r="LR15"/>
      <c r="LS15"/>
      <c r="LT15"/>
      <c r="LU15"/>
      <c r="LV15"/>
      <c r="LW15"/>
      <c r="LX15"/>
      <c r="LY15"/>
      <c r="LZ15"/>
      <c r="MA15"/>
      <c r="MB15"/>
      <c r="MC15"/>
      <c r="MD15"/>
      <c r="ME15"/>
      <c r="MF15"/>
      <c r="MG15"/>
      <c r="MH15"/>
      <c r="MI15"/>
      <c r="MJ15"/>
      <c r="MK15"/>
      <c r="ML15"/>
      <c r="MM15"/>
      <c r="MN15"/>
      <c r="MO15"/>
      <c r="MP15"/>
      <c r="MQ15"/>
      <c r="MR15"/>
      <c r="MS15"/>
      <c r="MT15"/>
      <c r="MU15"/>
      <c r="MV15"/>
      <c r="MW15"/>
      <c r="MX15"/>
      <c r="MY15"/>
      <c r="MZ15"/>
      <c r="NA15"/>
      <c r="NB15"/>
      <c r="NC15"/>
      <c r="ND15"/>
      <c r="NE15"/>
      <c r="NF15"/>
      <c r="NG15"/>
      <c r="NH15"/>
      <c r="NI15"/>
      <c r="NJ15"/>
      <c r="NK15"/>
      <c r="NL15"/>
      <c r="NM15"/>
      <c r="NN15"/>
      <c r="NO15"/>
      <c r="NP15"/>
      <c r="NQ15"/>
      <c r="NR15"/>
      <c r="NS15"/>
      <c r="NT15"/>
      <c r="NU15"/>
      <c r="NV15"/>
      <c r="NW15"/>
      <c r="NX15"/>
      <c r="NY15"/>
      <c r="NZ15"/>
      <c r="OA15"/>
      <c r="OB15"/>
      <c r="OC15"/>
      <c r="OD15"/>
      <c r="OE15"/>
      <c r="OF15"/>
      <c r="OG15"/>
      <c r="OH15"/>
      <c r="OI15"/>
      <c r="OJ15"/>
      <c r="OK15"/>
      <c r="OL15"/>
      <c r="OM15"/>
      <c r="ON15"/>
      <c r="OO15"/>
      <c r="OP15"/>
      <c r="OQ15"/>
      <c r="OR15"/>
      <c r="OS15"/>
      <c r="OT15"/>
      <c r="OU15"/>
      <c r="OV15"/>
      <c r="OW15"/>
      <c r="OX15"/>
      <c r="OY15"/>
      <c r="OZ15"/>
      <c r="PA15"/>
      <c r="PB15"/>
      <c r="PC15"/>
      <c r="PD15"/>
      <c r="PE15"/>
      <c r="PF15"/>
      <c r="PG15"/>
      <c r="PH15"/>
      <c r="PI15"/>
      <c r="PJ15"/>
      <c r="PK15"/>
      <c r="PL15"/>
      <c r="PM15"/>
      <c r="PN15"/>
      <c r="PO15"/>
      <c r="PP15"/>
      <c r="PQ15"/>
      <c r="PR15"/>
      <c r="PS15"/>
      <c r="PT15"/>
      <c r="PU15"/>
      <c r="PV15"/>
      <c r="PW15"/>
      <c r="PX15"/>
      <c r="PY15"/>
      <c r="PZ15"/>
      <c r="QA15"/>
      <c r="QB15"/>
      <c r="QC15"/>
      <c r="QD15"/>
      <c r="QE15"/>
      <c r="QF15"/>
      <c r="QG15"/>
      <c r="QH15"/>
      <c r="QI15"/>
      <c r="QJ15"/>
      <c r="QK15"/>
      <c r="QL15"/>
      <c r="QM15"/>
      <c r="QN15"/>
      <c r="QO15"/>
      <c r="QP15"/>
      <c r="QQ15"/>
      <c r="QR15"/>
      <c r="QS15"/>
      <c r="QT15"/>
      <c r="QU15"/>
      <c r="QV15"/>
      <c r="QW15"/>
      <c r="QX15"/>
      <c r="QY15"/>
      <c r="QZ15"/>
      <c r="RA15"/>
      <c r="RB15"/>
      <c r="RC15"/>
      <c r="RD15"/>
      <c r="RE15"/>
      <c r="RF15"/>
      <c r="RG15"/>
      <c r="RH15"/>
      <c r="RI15"/>
      <c r="RJ15"/>
      <c r="RK15"/>
      <c r="RL15"/>
      <c r="RM15"/>
      <c r="RN15"/>
      <c r="RO15"/>
      <c r="RP15"/>
      <c r="RQ15"/>
      <c r="RR15"/>
      <c r="RS15"/>
      <c r="RT15"/>
      <c r="RU15"/>
      <c r="RV15"/>
      <c r="RW15"/>
      <c r="RX15"/>
      <c r="RY15"/>
      <c r="RZ15"/>
      <c r="SA15"/>
      <c r="SB15"/>
      <c r="SC15"/>
      <c r="SD15"/>
      <c r="SE15"/>
      <c r="SF15"/>
      <c r="SG15"/>
      <c r="SH15"/>
      <c r="SI15"/>
      <c r="SJ15"/>
      <c r="SK15"/>
      <c r="SL15"/>
    </row>
    <row r="16" spans="3:506" x14ac:dyDescent="0.25">
      <c r="C16" s="2" t="s">
        <v>9</v>
      </c>
      <c r="D16" s="34">
        <v>4</v>
      </c>
      <c r="I16" s="2" t="s">
        <v>53</v>
      </c>
      <c r="J16" s="34">
        <v>42</v>
      </c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  <c r="EC16"/>
      <c r="ED16"/>
      <c r="EE16"/>
      <c r="EF16"/>
      <c r="EG16"/>
      <c r="EH16"/>
      <c r="EI16"/>
      <c r="EJ16"/>
      <c r="EK16"/>
      <c r="EL16"/>
      <c r="EM16"/>
      <c r="EN16"/>
      <c r="EO16"/>
      <c r="EP16"/>
      <c r="EQ16"/>
      <c r="ER16"/>
      <c r="ES16"/>
      <c r="ET16"/>
      <c r="EU16"/>
      <c r="EV16"/>
      <c r="EW16"/>
      <c r="EX16"/>
      <c r="EY16"/>
      <c r="EZ16"/>
      <c r="FA16"/>
      <c r="FB16"/>
      <c r="FC16"/>
      <c r="FD16"/>
      <c r="FE16"/>
      <c r="FF16"/>
      <c r="FG16"/>
      <c r="FH16"/>
      <c r="FI16"/>
      <c r="FJ16"/>
      <c r="FK16"/>
      <c r="FL16"/>
      <c r="FM16"/>
      <c r="FN16"/>
      <c r="FO16"/>
      <c r="FP16"/>
      <c r="FQ16"/>
      <c r="FR16"/>
      <c r="FS16"/>
      <c r="FT16"/>
      <c r="FU16"/>
      <c r="FV16"/>
      <c r="FW16"/>
      <c r="FX16"/>
      <c r="FY16"/>
      <c r="FZ16"/>
      <c r="GA16"/>
      <c r="GB16"/>
      <c r="GC16"/>
      <c r="GD16"/>
      <c r="GE16"/>
      <c r="GF16"/>
      <c r="GG16"/>
      <c r="GH16"/>
      <c r="GI16"/>
      <c r="GJ16"/>
      <c r="GK16"/>
      <c r="GL16"/>
      <c r="GM16"/>
      <c r="GN16"/>
      <c r="GO16"/>
      <c r="GP16"/>
      <c r="GQ16"/>
      <c r="GR16"/>
      <c r="GS16"/>
      <c r="GT16"/>
      <c r="GU16"/>
      <c r="GV16"/>
      <c r="GW16"/>
      <c r="GX16"/>
      <c r="GY16"/>
      <c r="GZ16"/>
      <c r="HA16"/>
      <c r="HB16"/>
      <c r="HC16"/>
      <c r="HD16"/>
      <c r="HE16"/>
      <c r="HF16"/>
      <c r="HG16"/>
      <c r="HH16"/>
      <c r="HI16"/>
      <c r="HJ16"/>
      <c r="HK16"/>
      <c r="HL16"/>
      <c r="HM16"/>
      <c r="HN16"/>
      <c r="HO16"/>
      <c r="HP16"/>
      <c r="HQ16"/>
      <c r="HR16"/>
      <c r="HS16"/>
      <c r="HT16"/>
      <c r="HU16"/>
      <c r="HV16"/>
      <c r="HW16"/>
      <c r="HX16"/>
      <c r="HY16"/>
      <c r="HZ16"/>
      <c r="IA16"/>
      <c r="IB16"/>
      <c r="IC16"/>
      <c r="ID16"/>
      <c r="IE16"/>
      <c r="IF16"/>
      <c r="IG16"/>
      <c r="IH16"/>
      <c r="II16"/>
      <c r="IJ16"/>
      <c r="IK16"/>
      <c r="IL16"/>
      <c r="IM16"/>
      <c r="IN16"/>
      <c r="IO16"/>
      <c r="IP16"/>
      <c r="IQ16"/>
      <c r="IR16"/>
      <c r="IS16"/>
      <c r="IT16"/>
      <c r="IU16"/>
      <c r="IV16"/>
      <c r="IW16"/>
      <c r="IX16"/>
      <c r="IY16"/>
      <c r="IZ16"/>
      <c r="JA16"/>
      <c r="JB16"/>
      <c r="JC16"/>
      <c r="JD16"/>
      <c r="JE16"/>
      <c r="JF16"/>
      <c r="JG16"/>
      <c r="JH16"/>
      <c r="JI16"/>
      <c r="JJ16"/>
      <c r="JK16"/>
      <c r="JL16"/>
      <c r="JM16"/>
      <c r="JN16"/>
      <c r="JO16"/>
      <c r="JP16"/>
      <c r="JQ16"/>
      <c r="JR16"/>
      <c r="JS16"/>
      <c r="JT16"/>
      <c r="JU16"/>
      <c r="JV16"/>
      <c r="JW16"/>
      <c r="JX16"/>
      <c r="JY16"/>
      <c r="JZ16"/>
      <c r="KA16"/>
      <c r="KB16"/>
      <c r="KC16"/>
      <c r="KD16"/>
      <c r="KE16"/>
      <c r="KF16"/>
      <c r="KG16"/>
      <c r="KH16"/>
      <c r="KI16"/>
      <c r="KJ16"/>
      <c r="KK16"/>
      <c r="KL16"/>
      <c r="KM16"/>
      <c r="KN16"/>
      <c r="KO16"/>
      <c r="KP16"/>
      <c r="KQ16"/>
      <c r="KR16"/>
      <c r="KS16"/>
      <c r="KT16"/>
      <c r="KU16"/>
      <c r="KV16"/>
      <c r="KW16"/>
      <c r="KX16"/>
      <c r="KY16"/>
      <c r="KZ16"/>
      <c r="LA16"/>
      <c r="LB16"/>
      <c r="LC16"/>
      <c r="LD16"/>
      <c r="LE16"/>
      <c r="LF16"/>
      <c r="LG16"/>
      <c r="LH16"/>
      <c r="LI16"/>
      <c r="LJ16"/>
      <c r="LK16"/>
      <c r="LL16"/>
      <c r="LM16"/>
      <c r="LN16"/>
      <c r="LO16"/>
      <c r="LP16"/>
      <c r="LQ16"/>
      <c r="LR16"/>
      <c r="LS16"/>
      <c r="LT16"/>
      <c r="LU16"/>
      <c r="LV16"/>
      <c r="LW16"/>
      <c r="LX16"/>
      <c r="LY16"/>
      <c r="LZ16"/>
      <c r="MA16"/>
      <c r="MB16"/>
      <c r="MC16"/>
      <c r="MD16"/>
      <c r="ME16"/>
      <c r="MF16"/>
      <c r="MG16"/>
      <c r="MH16"/>
      <c r="MI16"/>
      <c r="MJ16"/>
      <c r="MK16"/>
      <c r="ML16"/>
      <c r="MM16"/>
      <c r="MN16"/>
      <c r="MO16"/>
      <c r="MP16"/>
      <c r="MQ16"/>
      <c r="MR16"/>
      <c r="MS16"/>
      <c r="MT16"/>
      <c r="MU16"/>
      <c r="MV16"/>
      <c r="MW16"/>
      <c r="MX16"/>
      <c r="MY16"/>
      <c r="MZ16"/>
      <c r="NA16"/>
      <c r="NB16"/>
      <c r="NC16"/>
      <c r="ND16"/>
      <c r="NE16"/>
      <c r="NF16"/>
      <c r="NG16"/>
      <c r="NH16"/>
      <c r="NI16"/>
      <c r="NJ16"/>
      <c r="NK16"/>
      <c r="NL16"/>
      <c r="NM16"/>
      <c r="NN16"/>
      <c r="NO16"/>
      <c r="NP16"/>
      <c r="NQ16"/>
      <c r="NR16"/>
      <c r="NS16"/>
      <c r="NT16"/>
      <c r="NU16"/>
      <c r="NV16"/>
      <c r="NW16"/>
      <c r="NX16"/>
      <c r="NY16"/>
      <c r="NZ16"/>
      <c r="OA16"/>
      <c r="OB16"/>
      <c r="OC16"/>
      <c r="OD16"/>
      <c r="OE16"/>
      <c r="OF16"/>
      <c r="OG16"/>
      <c r="OH16"/>
      <c r="OI16"/>
      <c r="OJ16"/>
      <c r="OK16"/>
      <c r="OL16"/>
      <c r="OM16"/>
      <c r="ON16"/>
      <c r="OO16"/>
      <c r="OP16"/>
      <c r="OQ16"/>
      <c r="OR16"/>
      <c r="OS16"/>
      <c r="OT16"/>
      <c r="OU16"/>
      <c r="OV16"/>
      <c r="OW16"/>
      <c r="OX16"/>
      <c r="OY16"/>
      <c r="OZ16"/>
      <c r="PA16"/>
      <c r="PB16"/>
      <c r="PC16"/>
      <c r="PD16"/>
      <c r="PE16"/>
      <c r="PF16"/>
      <c r="PG16"/>
      <c r="PH16"/>
      <c r="PI16"/>
      <c r="PJ16"/>
      <c r="PK16"/>
      <c r="PL16"/>
      <c r="PM16"/>
      <c r="PN16"/>
      <c r="PO16"/>
      <c r="PP16"/>
      <c r="PQ16"/>
      <c r="PR16"/>
      <c r="PS16"/>
      <c r="PT16"/>
      <c r="PU16"/>
      <c r="PV16"/>
      <c r="PW16"/>
      <c r="PX16"/>
      <c r="PY16"/>
      <c r="PZ16"/>
      <c r="QA16"/>
      <c r="QB16"/>
      <c r="QC16"/>
      <c r="QD16"/>
      <c r="QE16"/>
      <c r="QF16"/>
      <c r="QG16"/>
      <c r="QH16"/>
      <c r="QI16"/>
      <c r="QJ16"/>
      <c r="QK16"/>
      <c r="QL16"/>
      <c r="QM16"/>
      <c r="QN16"/>
      <c r="QO16"/>
      <c r="QP16"/>
      <c r="QQ16"/>
      <c r="QR16"/>
      <c r="QS16"/>
      <c r="QT16"/>
      <c r="QU16"/>
      <c r="QV16"/>
      <c r="QW16"/>
      <c r="QX16"/>
      <c r="QY16"/>
      <c r="QZ16"/>
      <c r="RA16"/>
      <c r="RB16"/>
      <c r="RC16"/>
      <c r="RD16"/>
      <c r="RE16"/>
      <c r="RF16"/>
      <c r="RG16"/>
      <c r="RH16"/>
      <c r="RI16"/>
      <c r="RJ16"/>
      <c r="RK16"/>
      <c r="RL16"/>
      <c r="RM16"/>
      <c r="RN16"/>
      <c r="RO16"/>
      <c r="RP16"/>
      <c r="RQ16"/>
      <c r="RR16"/>
      <c r="RS16"/>
      <c r="RT16"/>
      <c r="RU16"/>
      <c r="RV16"/>
      <c r="RW16"/>
      <c r="RX16"/>
      <c r="RY16"/>
      <c r="RZ16"/>
      <c r="SA16"/>
      <c r="SB16"/>
      <c r="SC16"/>
      <c r="SD16"/>
      <c r="SE16"/>
      <c r="SF16"/>
      <c r="SG16"/>
      <c r="SH16"/>
      <c r="SI16"/>
      <c r="SJ16"/>
      <c r="SK16"/>
      <c r="SL16"/>
    </row>
    <row r="17" spans="3:506" x14ac:dyDescent="0.25">
      <c r="C17" s="2" t="s">
        <v>11</v>
      </c>
      <c r="D17" s="34">
        <v>4</v>
      </c>
      <c r="I17" s="2" t="s">
        <v>50</v>
      </c>
      <c r="J17" s="34">
        <v>39</v>
      </c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  <c r="DN17"/>
      <c r="DO17"/>
      <c r="DP17"/>
      <c r="DQ17"/>
      <c r="DR17"/>
      <c r="DS17"/>
      <c r="DT17"/>
      <c r="DU17"/>
      <c r="DV17"/>
      <c r="DW17"/>
      <c r="DX17"/>
      <c r="DY17"/>
      <c r="DZ17"/>
      <c r="EA17"/>
      <c r="EB17"/>
      <c r="EC17"/>
      <c r="ED17"/>
      <c r="EE17"/>
      <c r="EF17"/>
      <c r="EG17"/>
      <c r="EH17"/>
      <c r="EI17"/>
      <c r="EJ17"/>
      <c r="EK17"/>
      <c r="EL17"/>
      <c r="EM17"/>
      <c r="EN17"/>
      <c r="EO17"/>
      <c r="EP17"/>
      <c r="EQ17"/>
      <c r="ER17"/>
      <c r="ES17"/>
      <c r="ET17"/>
      <c r="EU17"/>
      <c r="EV17"/>
      <c r="EW17"/>
      <c r="EX17"/>
      <c r="EY17"/>
      <c r="EZ17"/>
      <c r="FA17"/>
      <c r="FB17"/>
      <c r="FC17"/>
      <c r="FD17"/>
      <c r="FE17"/>
      <c r="FF17"/>
      <c r="FG17"/>
      <c r="FH17"/>
      <c r="FI17"/>
      <c r="FJ17"/>
      <c r="FK17"/>
      <c r="FL17"/>
      <c r="FM17"/>
      <c r="FN17"/>
      <c r="FO17"/>
      <c r="FP17"/>
      <c r="FQ17"/>
      <c r="FR17"/>
      <c r="FS17"/>
      <c r="FT17"/>
      <c r="FU17"/>
      <c r="FV17"/>
      <c r="FW17"/>
      <c r="FX17"/>
      <c r="FY17"/>
      <c r="FZ17"/>
      <c r="GA17"/>
      <c r="GB17"/>
      <c r="GC17"/>
      <c r="GD17"/>
      <c r="GE17"/>
      <c r="GF17"/>
      <c r="GG17"/>
      <c r="GH17"/>
      <c r="GI17"/>
      <c r="GJ17"/>
      <c r="GK17"/>
      <c r="GL17"/>
      <c r="GM17"/>
      <c r="GN17"/>
      <c r="GO17"/>
      <c r="GP17"/>
      <c r="GQ17"/>
      <c r="GR17"/>
      <c r="GS17"/>
      <c r="GT17"/>
      <c r="GU17"/>
      <c r="GV17"/>
      <c r="GW17"/>
      <c r="GX17"/>
      <c r="GY17"/>
      <c r="GZ17"/>
      <c r="HA17"/>
      <c r="HB17"/>
      <c r="HC17"/>
      <c r="HD17"/>
      <c r="HE17"/>
      <c r="HF17"/>
      <c r="HG17"/>
      <c r="HH17"/>
      <c r="HI17"/>
      <c r="HJ17"/>
      <c r="HK17"/>
      <c r="HL17"/>
      <c r="HM17"/>
      <c r="HN17"/>
      <c r="HO17"/>
      <c r="HP17"/>
      <c r="HQ17"/>
      <c r="HR17"/>
      <c r="HS17"/>
      <c r="HT17"/>
      <c r="HU17"/>
      <c r="HV17"/>
      <c r="HW17"/>
      <c r="HX17"/>
      <c r="HY17"/>
      <c r="HZ17"/>
      <c r="IA17"/>
      <c r="IB17"/>
      <c r="IC17"/>
      <c r="ID17"/>
      <c r="IE17"/>
      <c r="IF17"/>
      <c r="IG17"/>
      <c r="IH17"/>
      <c r="II17"/>
      <c r="IJ17"/>
      <c r="IK17"/>
      <c r="IL17"/>
      <c r="IM17"/>
      <c r="IN17"/>
      <c r="IO17"/>
      <c r="IP17"/>
      <c r="IQ17"/>
      <c r="IR17"/>
      <c r="IS17"/>
      <c r="IT17"/>
      <c r="IU17"/>
      <c r="IV17"/>
      <c r="IW17"/>
      <c r="IX17"/>
      <c r="IY17"/>
      <c r="IZ17"/>
      <c r="JA17"/>
      <c r="JB17"/>
      <c r="JC17"/>
      <c r="JD17"/>
      <c r="JE17"/>
      <c r="JF17"/>
      <c r="JG17"/>
      <c r="JH17"/>
      <c r="JI17"/>
      <c r="JJ17"/>
      <c r="JK17"/>
      <c r="JL17"/>
      <c r="JM17"/>
      <c r="JN17"/>
      <c r="JO17"/>
      <c r="JP17"/>
      <c r="JQ17"/>
      <c r="JR17"/>
      <c r="JS17"/>
      <c r="JT17"/>
      <c r="JU17"/>
      <c r="JV17"/>
      <c r="JW17"/>
      <c r="JX17"/>
      <c r="JY17"/>
      <c r="JZ17"/>
      <c r="KA17"/>
      <c r="KB17"/>
      <c r="KC17"/>
      <c r="KD17"/>
      <c r="KE17"/>
      <c r="KF17"/>
      <c r="KG17"/>
      <c r="KH17"/>
      <c r="KI17"/>
      <c r="KJ17"/>
      <c r="KK17"/>
      <c r="KL17"/>
      <c r="KM17"/>
      <c r="KN17"/>
      <c r="KO17"/>
      <c r="KP17"/>
      <c r="KQ17"/>
      <c r="KR17"/>
      <c r="KS17"/>
      <c r="KT17"/>
      <c r="KU17"/>
      <c r="KV17"/>
      <c r="KW17"/>
      <c r="KX17"/>
      <c r="KY17"/>
      <c r="KZ17"/>
      <c r="LA17"/>
      <c r="LB17"/>
      <c r="LC17"/>
      <c r="LD17"/>
      <c r="LE17"/>
      <c r="LF17"/>
      <c r="LG17"/>
      <c r="LH17"/>
      <c r="LI17"/>
      <c r="LJ17"/>
      <c r="LK17"/>
      <c r="LL17"/>
      <c r="LM17"/>
      <c r="LN17"/>
      <c r="LO17"/>
      <c r="LP17"/>
      <c r="LQ17"/>
      <c r="LR17"/>
      <c r="LS17"/>
      <c r="LT17"/>
      <c r="LU17"/>
      <c r="LV17"/>
      <c r="LW17"/>
      <c r="LX17"/>
      <c r="LY17"/>
      <c r="LZ17"/>
      <c r="MA17"/>
      <c r="MB17"/>
      <c r="MC17"/>
      <c r="MD17"/>
      <c r="ME17"/>
      <c r="MF17"/>
      <c r="MG17"/>
      <c r="MH17"/>
      <c r="MI17"/>
      <c r="MJ17"/>
      <c r="MK17"/>
      <c r="ML17"/>
      <c r="MM17"/>
      <c r="MN17"/>
      <c r="MO17"/>
      <c r="MP17"/>
      <c r="MQ17"/>
      <c r="MR17"/>
      <c r="MS17"/>
      <c r="MT17"/>
      <c r="MU17"/>
      <c r="MV17"/>
      <c r="MW17"/>
      <c r="MX17"/>
      <c r="MY17"/>
      <c r="MZ17"/>
      <c r="NA17"/>
      <c r="NB17"/>
      <c r="NC17"/>
      <c r="ND17"/>
      <c r="NE17"/>
      <c r="NF17"/>
      <c r="NG17"/>
      <c r="NH17"/>
      <c r="NI17"/>
      <c r="NJ17"/>
      <c r="NK17"/>
      <c r="NL17"/>
      <c r="NM17"/>
      <c r="NN17"/>
      <c r="NO17"/>
      <c r="NP17"/>
      <c r="NQ17"/>
      <c r="NR17"/>
      <c r="NS17"/>
      <c r="NT17"/>
      <c r="NU17"/>
      <c r="NV17"/>
      <c r="NW17"/>
      <c r="NX17"/>
      <c r="NY17"/>
      <c r="NZ17"/>
      <c r="OA17"/>
      <c r="OB17"/>
      <c r="OC17"/>
      <c r="OD17"/>
      <c r="OE17"/>
      <c r="OF17"/>
      <c r="OG17"/>
      <c r="OH17"/>
      <c r="OI17"/>
      <c r="OJ17"/>
      <c r="OK17"/>
      <c r="OL17"/>
      <c r="OM17"/>
      <c r="ON17"/>
      <c r="OO17"/>
      <c r="OP17"/>
      <c r="OQ17"/>
      <c r="OR17"/>
      <c r="OS17"/>
      <c r="OT17"/>
      <c r="OU17"/>
      <c r="OV17"/>
      <c r="OW17"/>
      <c r="OX17"/>
      <c r="OY17"/>
      <c r="OZ17"/>
      <c r="PA17"/>
      <c r="PB17"/>
      <c r="PC17"/>
      <c r="PD17"/>
      <c r="PE17"/>
      <c r="PF17"/>
      <c r="PG17"/>
      <c r="PH17"/>
      <c r="PI17"/>
      <c r="PJ17"/>
      <c r="PK17"/>
      <c r="PL17"/>
      <c r="PM17"/>
      <c r="PN17"/>
      <c r="PO17"/>
      <c r="PP17"/>
      <c r="PQ17"/>
      <c r="PR17"/>
      <c r="PS17"/>
      <c r="PT17"/>
      <c r="PU17"/>
      <c r="PV17"/>
      <c r="PW17"/>
      <c r="PX17"/>
      <c r="PY17"/>
      <c r="PZ17"/>
      <c r="QA17"/>
      <c r="QB17"/>
      <c r="QC17"/>
      <c r="QD17"/>
      <c r="QE17"/>
      <c r="QF17"/>
      <c r="QG17"/>
      <c r="QH17"/>
      <c r="QI17"/>
      <c r="QJ17"/>
      <c r="QK17"/>
      <c r="QL17"/>
      <c r="QM17"/>
      <c r="QN17"/>
      <c r="QO17"/>
      <c r="QP17"/>
      <c r="QQ17"/>
      <c r="QR17"/>
      <c r="QS17"/>
      <c r="QT17"/>
      <c r="QU17"/>
      <c r="QV17"/>
      <c r="QW17"/>
      <c r="QX17"/>
      <c r="QY17"/>
      <c r="QZ17"/>
      <c r="RA17"/>
      <c r="RB17"/>
      <c r="RC17"/>
      <c r="RD17"/>
      <c r="RE17"/>
      <c r="RF17"/>
      <c r="RG17"/>
      <c r="RH17"/>
      <c r="RI17"/>
      <c r="RJ17"/>
      <c r="RK17"/>
      <c r="RL17"/>
      <c r="RM17"/>
      <c r="RN17"/>
      <c r="RO17"/>
      <c r="RP17"/>
      <c r="RQ17"/>
      <c r="RR17"/>
      <c r="RS17"/>
      <c r="RT17"/>
      <c r="RU17"/>
      <c r="RV17"/>
      <c r="RW17"/>
      <c r="RX17"/>
      <c r="RY17"/>
      <c r="RZ17"/>
      <c r="SA17"/>
      <c r="SB17"/>
      <c r="SC17"/>
      <c r="SD17"/>
      <c r="SE17"/>
      <c r="SF17"/>
      <c r="SG17"/>
      <c r="SH17"/>
      <c r="SI17"/>
      <c r="SJ17"/>
      <c r="SK17"/>
      <c r="SL17"/>
    </row>
    <row r="18" spans="3:506" x14ac:dyDescent="0.25">
      <c r="C18" s="2" t="s">
        <v>31</v>
      </c>
      <c r="D18" s="34">
        <v>3</v>
      </c>
      <c r="I18" s="2" t="s">
        <v>56</v>
      </c>
      <c r="J18" s="34">
        <v>39</v>
      </c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  <c r="EB18"/>
      <c r="EC18"/>
      <c r="ED18"/>
      <c r="EE18"/>
      <c r="EF18"/>
      <c r="EG18"/>
      <c r="EH18"/>
      <c r="EI18"/>
      <c r="EJ18"/>
      <c r="EK18"/>
      <c r="EL18"/>
      <c r="EM18"/>
      <c r="EN18"/>
      <c r="EO18"/>
      <c r="EP18"/>
      <c r="EQ18"/>
      <c r="ER18"/>
      <c r="ES18"/>
      <c r="ET18"/>
      <c r="EU18"/>
      <c r="EV18"/>
      <c r="EW18"/>
      <c r="EX18"/>
      <c r="EY18"/>
      <c r="EZ18"/>
      <c r="FA18"/>
      <c r="FB18"/>
      <c r="FC18"/>
      <c r="FD18"/>
      <c r="FE18"/>
      <c r="FF18"/>
      <c r="FG18"/>
      <c r="FH18"/>
      <c r="FI18"/>
      <c r="FJ18"/>
      <c r="FK18"/>
      <c r="FL18"/>
      <c r="FM18"/>
      <c r="FN18"/>
      <c r="FO18"/>
      <c r="FP18"/>
      <c r="FQ18"/>
      <c r="FR18"/>
      <c r="FS18"/>
      <c r="FT18"/>
      <c r="FU18"/>
      <c r="FV18"/>
      <c r="FW18"/>
      <c r="FX18"/>
      <c r="FY18"/>
      <c r="FZ18"/>
      <c r="GA18"/>
      <c r="GB18"/>
      <c r="GC18"/>
      <c r="GD18"/>
      <c r="GE18"/>
      <c r="GF18"/>
      <c r="GG18"/>
      <c r="GH18"/>
      <c r="GI18"/>
      <c r="GJ18"/>
      <c r="GK18"/>
      <c r="GL18"/>
      <c r="GM18"/>
      <c r="GN18"/>
      <c r="GO18"/>
      <c r="GP18"/>
      <c r="GQ18"/>
      <c r="GR18"/>
      <c r="GS18"/>
      <c r="GT18"/>
      <c r="GU18"/>
      <c r="GV18"/>
      <c r="GW18"/>
      <c r="GX18"/>
      <c r="GY18"/>
      <c r="GZ18"/>
      <c r="HA18"/>
      <c r="HB18"/>
      <c r="HC18"/>
      <c r="HD18"/>
      <c r="HE18"/>
      <c r="HF18"/>
      <c r="HG18"/>
      <c r="HH18"/>
      <c r="HI18"/>
      <c r="HJ18"/>
      <c r="HK18"/>
      <c r="HL18"/>
      <c r="HM18"/>
      <c r="HN18"/>
      <c r="HO18"/>
      <c r="HP18"/>
      <c r="HQ18"/>
      <c r="HR18"/>
      <c r="HS18"/>
      <c r="HT18"/>
      <c r="HU18"/>
      <c r="HV18"/>
      <c r="HW18"/>
      <c r="HX18"/>
      <c r="HY18"/>
      <c r="HZ18"/>
      <c r="IA18"/>
      <c r="IB18"/>
      <c r="IC18"/>
      <c r="ID18"/>
      <c r="IE18"/>
      <c r="IF18"/>
      <c r="IG18"/>
      <c r="IH18"/>
      <c r="II18"/>
      <c r="IJ18"/>
      <c r="IK18"/>
      <c r="IL18"/>
      <c r="IM18"/>
      <c r="IN18"/>
      <c r="IO18"/>
      <c r="IP18"/>
      <c r="IQ18"/>
      <c r="IR18"/>
      <c r="IS18"/>
      <c r="IT18"/>
      <c r="IU18"/>
      <c r="IV18"/>
      <c r="IW18"/>
      <c r="IX18"/>
      <c r="IY18"/>
      <c r="IZ18"/>
      <c r="JA18"/>
      <c r="JB18"/>
      <c r="JC18"/>
      <c r="JD18"/>
      <c r="JE18"/>
      <c r="JF18"/>
      <c r="JG18"/>
      <c r="JH18"/>
      <c r="JI18"/>
      <c r="JJ18"/>
      <c r="JK18"/>
      <c r="JL18"/>
      <c r="JM18"/>
      <c r="JN18"/>
      <c r="JO18"/>
      <c r="JP18"/>
      <c r="JQ18"/>
      <c r="JR18"/>
      <c r="JS18"/>
      <c r="JT18"/>
      <c r="JU18"/>
      <c r="JV18"/>
      <c r="JW18"/>
      <c r="JX18"/>
      <c r="JY18"/>
      <c r="JZ18"/>
      <c r="KA18"/>
      <c r="KB18"/>
      <c r="KC18"/>
      <c r="KD18"/>
      <c r="KE18"/>
      <c r="KF18"/>
      <c r="KG18"/>
      <c r="KH18"/>
      <c r="KI18"/>
      <c r="KJ18"/>
      <c r="KK18"/>
      <c r="KL18"/>
      <c r="KM18"/>
      <c r="KN18"/>
      <c r="KO18"/>
      <c r="KP18"/>
      <c r="KQ18"/>
      <c r="KR18"/>
      <c r="KS18"/>
      <c r="KT18"/>
      <c r="KU18"/>
      <c r="KV18"/>
      <c r="KW18"/>
      <c r="KX18"/>
      <c r="KY18"/>
      <c r="KZ18"/>
      <c r="LA18"/>
      <c r="LB18"/>
      <c r="LC18"/>
      <c r="LD18"/>
      <c r="LE18"/>
      <c r="LF18"/>
      <c r="LG18"/>
      <c r="LH18"/>
      <c r="LI18"/>
      <c r="LJ18"/>
      <c r="LK18"/>
      <c r="LL18"/>
      <c r="LM18"/>
      <c r="LN18"/>
      <c r="LO18"/>
      <c r="LP18"/>
      <c r="LQ18"/>
      <c r="LR18"/>
      <c r="LS18"/>
      <c r="LT18"/>
      <c r="LU18"/>
      <c r="LV18"/>
      <c r="LW18"/>
      <c r="LX18"/>
      <c r="LY18"/>
      <c r="LZ18"/>
      <c r="MA18"/>
      <c r="MB18"/>
      <c r="MC18"/>
      <c r="MD18"/>
      <c r="ME18"/>
      <c r="MF18"/>
      <c r="MG18"/>
      <c r="MH18"/>
      <c r="MI18"/>
      <c r="MJ18"/>
      <c r="MK18"/>
      <c r="ML18"/>
      <c r="MM18"/>
      <c r="MN18"/>
      <c r="MO18"/>
      <c r="MP18"/>
      <c r="MQ18"/>
      <c r="MR18"/>
      <c r="MS18"/>
      <c r="MT18"/>
      <c r="MU18"/>
      <c r="MV18"/>
      <c r="MW18"/>
      <c r="MX18"/>
      <c r="MY18"/>
      <c r="MZ18"/>
      <c r="NA18"/>
      <c r="NB18"/>
      <c r="NC18"/>
      <c r="ND18"/>
      <c r="NE18"/>
      <c r="NF18"/>
      <c r="NG18"/>
      <c r="NH18"/>
      <c r="NI18"/>
      <c r="NJ18"/>
      <c r="NK18"/>
      <c r="NL18"/>
      <c r="NM18"/>
      <c r="NN18"/>
      <c r="NO18"/>
      <c r="NP18"/>
      <c r="NQ18"/>
      <c r="NR18"/>
      <c r="NS18"/>
      <c r="NT18"/>
      <c r="NU18"/>
      <c r="NV18"/>
      <c r="NW18"/>
      <c r="NX18"/>
      <c r="NY18"/>
      <c r="NZ18"/>
      <c r="OA18"/>
      <c r="OB18"/>
      <c r="OC18"/>
      <c r="OD18"/>
      <c r="OE18"/>
      <c r="OF18"/>
      <c r="OG18"/>
      <c r="OH18"/>
      <c r="OI18"/>
      <c r="OJ18"/>
      <c r="OK18"/>
      <c r="OL18"/>
      <c r="OM18"/>
      <c r="ON18"/>
      <c r="OO18"/>
      <c r="OP18"/>
      <c r="OQ18"/>
      <c r="OR18"/>
      <c r="OS18"/>
      <c r="OT18"/>
      <c r="OU18"/>
      <c r="OV18"/>
      <c r="OW18"/>
      <c r="OX18"/>
      <c r="OY18"/>
      <c r="OZ18"/>
      <c r="PA18"/>
      <c r="PB18"/>
      <c r="PC18"/>
      <c r="PD18"/>
      <c r="PE18"/>
      <c r="PF18"/>
      <c r="PG18"/>
      <c r="PH18"/>
      <c r="PI18"/>
      <c r="PJ18"/>
      <c r="PK18"/>
      <c r="PL18"/>
      <c r="PM18"/>
      <c r="PN18"/>
      <c r="PO18"/>
      <c r="PP18"/>
      <c r="PQ18"/>
      <c r="PR18"/>
      <c r="PS18"/>
      <c r="PT18"/>
      <c r="PU18"/>
      <c r="PV18"/>
      <c r="PW18"/>
      <c r="PX18"/>
      <c r="PY18"/>
      <c r="PZ18"/>
      <c r="QA18"/>
      <c r="QB18"/>
      <c r="QC18"/>
      <c r="QD18"/>
      <c r="QE18"/>
      <c r="QF18"/>
      <c r="QG18"/>
      <c r="QH18"/>
      <c r="QI18"/>
      <c r="QJ18"/>
      <c r="QK18"/>
      <c r="QL18"/>
      <c r="QM18"/>
      <c r="QN18"/>
      <c r="QO18"/>
      <c r="QP18"/>
      <c r="QQ18"/>
      <c r="QR18"/>
      <c r="QS18"/>
      <c r="QT18"/>
      <c r="QU18"/>
      <c r="QV18"/>
      <c r="QW18"/>
      <c r="QX18"/>
      <c r="QY18"/>
      <c r="QZ18"/>
      <c r="RA18"/>
      <c r="RB18"/>
      <c r="RC18"/>
      <c r="RD18"/>
      <c r="RE18"/>
      <c r="RF18"/>
      <c r="RG18"/>
      <c r="RH18"/>
      <c r="RI18"/>
      <c r="RJ18"/>
      <c r="RK18"/>
      <c r="RL18"/>
      <c r="RM18"/>
      <c r="RN18"/>
      <c r="RO18"/>
      <c r="RP18"/>
      <c r="RQ18"/>
      <c r="RR18"/>
      <c r="RS18"/>
      <c r="RT18"/>
      <c r="RU18"/>
      <c r="RV18"/>
      <c r="RW18"/>
      <c r="RX18"/>
      <c r="RY18"/>
      <c r="RZ18"/>
      <c r="SA18"/>
      <c r="SB18"/>
      <c r="SC18"/>
      <c r="SD18"/>
      <c r="SE18"/>
      <c r="SF18"/>
      <c r="SG18"/>
      <c r="SH18"/>
      <c r="SI18"/>
      <c r="SJ18"/>
      <c r="SK18"/>
      <c r="SL18"/>
    </row>
    <row r="19" spans="3:506" x14ac:dyDescent="0.25">
      <c r="C19" s="2" t="s">
        <v>29</v>
      </c>
      <c r="D19" s="34">
        <v>3</v>
      </c>
      <c r="I19" s="2" t="s">
        <v>59</v>
      </c>
      <c r="J19" s="34">
        <v>4</v>
      </c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K19"/>
      <c r="FL19"/>
      <c r="FM19"/>
      <c r="FN19"/>
      <c r="FO19"/>
      <c r="FP19"/>
      <c r="FQ19"/>
      <c r="FR19"/>
      <c r="FS19"/>
      <c r="FT19"/>
      <c r="FU19"/>
      <c r="FV19"/>
      <c r="FW19"/>
      <c r="FX19"/>
      <c r="FY19"/>
      <c r="FZ19"/>
      <c r="GA19"/>
      <c r="GB19"/>
      <c r="GC19"/>
      <c r="GD19"/>
      <c r="GE19"/>
      <c r="GF19"/>
      <c r="GG19"/>
      <c r="GH19"/>
      <c r="GI19"/>
      <c r="GJ19"/>
      <c r="GK19"/>
      <c r="GL19"/>
      <c r="GM19"/>
      <c r="GN19"/>
      <c r="GO19"/>
      <c r="GP19"/>
      <c r="GQ19"/>
      <c r="GR19"/>
      <c r="GS19"/>
      <c r="GT19"/>
      <c r="GU19"/>
      <c r="GV19"/>
      <c r="GW19"/>
      <c r="GX19"/>
      <c r="GY19"/>
      <c r="GZ19"/>
      <c r="HA19"/>
      <c r="HB19"/>
      <c r="HC19"/>
      <c r="HD19"/>
      <c r="HE19"/>
      <c r="HF19"/>
      <c r="HG19"/>
      <c r="HH19"/>
      <c r="HI19"/>
      <c r="HJ19"/>
      <c r="HK19"/>
      <c r="HL19"/>
      <c r="HM19"/>
      <c r="HN19"/>
      <c r="HO19"/>
      <c r="HP19"/>
      <c r="HQ19"/>
      <c r="HR19"/>
      <c r="HS19"/>
      <c r="HT19"/>
      <c r="HU19"/>
      <c r="HV19"/>
      <c r="HW19"/>
      <c r="HX19"/>
      <c r="HY19"/>
      <c r="HZ19"/>
      <c r="IA19"/>
      <c r="IB19"/>
      <c r="IC19"/>
      <c r="ID19"/>
      <c r="IE19"/>
      <c r="IF19"/>
      <c r="IG19"/>
      <c r="IH19"/>
      <c r="II19"/>
      <c r="IJ19"/>
      <c r="IK19"/>
      <c r="IL19"/>
      <c r="IM19"/>
      <c r="IN19"/>
      <c r="IO19"/>
      <c r="IP19"/>
      <c r="IQ19"/>
      <c r="IR19"/>
      <c r="IS19"/>
      <c r="IT19"/>
      <c r="IU19"/>
      <c r="IV19"/>
      <c r="IW19"/>
      <c r="IX19"/>
      <c r="IY19"/>
      <c r="IZ19"/>
      <c r="JA19"/>
      <c r="JB19"/>
      <c r="JC19"/>
      <c r="JD19"/>
      <c r="JE19"/>
      <c r="JF19"/>
      <c r="JG19"/>
      <c r="JH19"/>
      <c r="JI19"/>
      <c r="JJ19"/>
      <c r="JK19"/>
      <c r="JL19"/>
      <c r="JM19"/>
      <c r="JN19"/>
      <c r="JO19"/>
      <c r="JP19"/>
      <c r="JQ19"/>
      <c r="JR19"/>
      <c r="JS19"/>
      <c r="JT19"/>
      <c r="JU19"/>
      <c r="JV19"/>
      <c r="JW19"/>
      <c r="JX19"/>
      <c r="JY19"/>
      <c r="JZ19"/>
      <c r="KA19"/>
      <c r="KB19"/>
      <c r="KC19"/>
      <c r="KD19"/>
      <c r="KE19"/>
      <c r="KF19"/>
      <c r="KG19"/>
      <c r="KH19"/>
      <c r="KI19"/>
      <c r="KJ19"/>
      <c r="KK19"/>
      <c r="KL19"/>
      <c r="KM19"/>
      <c r="KN19"/>
      <c r="KO19"/>
      <c r="KP19"/>
      <c r="KQ19"/>
      <c r="KR19"/>
      <c r="KS19"/>
      <c r="KT19"/>
      <c r="KU19"/>
      <c r="KV19"/>
      <c r="KW19"/>
      <c r="KX19"/>
      <c r="KY19"/>
      <c r="KZ19"/>
      <c r="LA19"/>
      <c r="LB19"/>
      <c r="LC19"/>
      <c r="LD19"/>
      <c r="LE19"/>
      <c r="LF19"/>
      <c r="LG19"/>
      <c r="LH19"/>
      <c r="LI19"/>
      <c r="LJ19"/>
      <c r="LK19"/>
      <c r="LL19"/>
      <c r="LM19"/>
      <c r="LN19"/>
      <c r="LO19"/>
      <c r="LP19"/>
      <c r="LQ19"/>
      <c r="LR19"/>
      <c r="LS19"/>
      <c r="LT19"/>
      <c r="LU19"/>
      <c r="LV19"/>
      <c r="LW19"/>
      <c r="LX19"/>
      <c r="LY19"/>
      <c r="LZ19"/>
      <c r="MA19"/>
      <c r="MB19"/>
      <c r="MC19"/>
      <c r="MD19"/>
      <c r="ME19"/>
      <c r="MF19"/>
      <c r="MG19"/>
      <c r="MH19"/>
      <c r="MI19"/>
      <c r="MJ19"/>
      <c r="MK19"/>
      <c r="ML19"/>
      <c r="MM19"/>
      <c r="MN19"/>
      <c r="MO19"/>
      <c r="MP19"/>
      <c r="MQ19"/>
      <c r="MR19"/>
      <c r="MS19"/>
      <c r="MT19"/>
      <c r="MU19"/>
      <c r="MV19"/>
      <c r="MW19"/>
      <c r="MX19"/>
      <c r="MY19"/>
      <c r="MZ19"/>
      <c r="NA19"/>
      <c r="NB19"/>
      <c r="NC19"/>
      <c r="ND19"/>
      <c r="NE19"/>
      <c r="NF19"/>
      <c r="NG19"/>
      <c r="NH19"/>
      <c r="NI19"/>
      <c r="NJ19"/>
      <c r="NK19"/>
      <c r="NL19"/>
      <c r="NM19"/>
      <c r="NN19"/>
      <c r="NO19"/>
      <c r="NP19"/>
      <c r="NQ19"/>
      <c r="NR19"/>
      <c r="NS19"/>
      <c r="NT19"/>
      <c r="NU19"/>
      <c r="NV19"/>
      <c r="NW19"/>
      <c r="NX19"/>
      <c r="NY19"/>
      <c r="NZ19"/>
      <c r="OA19"/>
      <c r="OB19"/>
      <c r="OC19"/>
      <c r="OD19"/>
      <c r="OE19"/>
      <c r="OF19"/>
      <c r="OG19"/>
      <c r="OH19"/>
      <c r="OI19"/>
      <c r="OJ19"/>
      <c r="OK19"/>
      <c r="OL19"/>
      <c r="OM19"/>
      <c r="ON19"/>
      <c r="OO19"/>
      <c r="OP19"/>
      <c r="OQ19"/>
      <c r="OR19"/>
      <c r="OS19"/>
      <c r="OT19"/>
      <c r="OU19"/>
      <c r="OV19"/>
      <c r="OW19"/>
      <c r="OX19"/>
      <c r="OY19"/>
      <c r="OZ19"/>
      <c r="PA19"/>
      <c r="PB19"/>
      <c r="PC19"/>
      <c r="PD19"/>
      <c r="PE19"/>
      <c r="PF19"/>
      <c r="PG19"/>
      <c r="PH19"/>
      <c r="PI19"/>
      <c r="PJ19"/>
      <c r="PK19"/>
      <c r="PL19"/>
      <c r="PM19"/>
      <c r="PN19"/>
      <c r="PO19"/>
      <c r="PP19"/>
      <c r="PQ19"/>
      <c r="PR19"/>
      <c r="PS19"/>
      <c r="PT19"/>
      <c r="PU19"/>
      <c r="PV19"/>
      <c r="PW19"/>
      <c r="PX19"/>
      <c r="PY19"/>
      <c r="PZ19"/>
      <c r="QA19"/>
      <c r="QB19"/>
      <c r="QC19"/>
      <c r="QD19"/>
      <c r="QE19"/>
      <c r="QF19"/>
      <c r="QG19"/>
      <c r="QH19"/>
      <c r="QI19"/>
      <c r="QJ19"/>
      <c r="QK19"/>
      <c r="QL19"/>
      <c r="QM19"/>
      <c r="QN19"/>
      <c r="QO19"/>
      <c r="QP19"/>
      <c r="QQ19"/>
      <c r="QR19"/>
      <c r="QS19"/>
      <c r="QT19"/>
      <c r="QU19"/>
      <c r="QV19"/>
      <c r="QW19"/>
      <c r="QX19"/>
      <c r="QY19"/>
      <c r="QZ19"/>
      <c r="RA19"/>
      <c r="RB19"/>
      <c r="RC19"/>
      <c r="RD19"/>
      <c r="RE19"/>
      <c r="RF19"/>
      <c r="RG19"/>
      <c r="RH19"/>
      <c r="RI19"/>
      <c r="RJ19"/>
      <c r="RK19"/>
      <c r="RL19"/>
      <c r="RM19"/>
      <c r="RN19"/>
      <c r="RO19"/>
      <c r="RP19"/>
      <c r="RQ19"/>
      <c r="RR19"/>
      <c r="RS19"/>
      <c r="RT19"/>
      <c r="RU19"/>
      <c r="RV19"/>
      <c r="RW19"/>
      <c r="RX19"/>
      <c r="RY19"/>
      <c r="RZ19"/>
      <c r="SA19"/>
      <c r="SB19"/>
      <c r="SC19"/>
      <c r="SD19"/>
      <c r="SE19"/>
      <c r="SF19"/>
      <c r="SG19"/>
      <c r="SH19"/>
      <c r="SI19"/>
      <c r="SJ19"/>
      <c r="SK19"/>
      <c r="SL19"/>
    </row>
    <row r="20" spans="3:506" x14ac:dyDescent="0.25">
      <c r="C20" s="2" t="s">
        <v>66</v>
      </c>
      <c r="D20" s="34">
        <v>3</v>
      </c>
      <c r="F20" s="1" t="s">
        <v>3808</v>
      </c>
      <c r="G20" t="s">
        <v>0</v>
      </c>
      <c r="I20" s="2" t="s">
        <v>65</v>
      </c>
      <c r="J20" s="34">
        <v>451</v>
      </c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  <c r="GM20"/>
      <c r="GN20"/>
      <c r="GO20"/>
      <c r="GP20"/>
      <c r="GQ20"/>
      <c r="GR20"/>
      <c r="GS20"/>
      <c r="GT20"/>
      <c r="GU20"/>
      <c r="GV20"/>
      <c r="GW20"/>
      <c r="GX20"/>
      <c r="GY20"/>
      <c r="GZ20"/>
      <c r="HA20"/>
      <c r="HB20"/>
      <c r="HC20"/>
      <c r="HD20"/>
      <c r="HE20"/>
      <c r="HF20"/>
      <c r="HG20"/>
      <c r="HH20"/>
      <c r="HI20"/>
      <c r="HJ20"/>
      <c r="HK20"/>
      <c r="HL20"/>
      <c r="HM20"/>
      <c r="HN20"/>
      <c r="HO20"/>
      <c r="HP20"/>
      <c r="HQ20"/>
      <c r="HR20"/>
      <c r="HS20"/>
      <c r="HT20"/>
      <c r="HU20"/>
      <c r="HV20"/>
      <c r="HW20"/>
      <c r="HX20"/>
      <c r="HY20"/>
      <c r="HZ20"/>
      <c r="IA20"/>
      <c r="IB20"/>
      <c r="IC20"/>
      <c r="ID20"/>
      <c r="IE20"/>
      <c r="IF20"/>
      <c r="IG20"/>
      <c r="IH20"/>
      <c r="II20"/>
      <c r="IJ20"/>
      <c r="IK20"/>
      <c r="IL20"/>
      <c r="IM20"/>
      <c r="IN20"/>
      <c r="IO20"/>
      <c r="IP20"/>
      <c r="IQ20"/>
      <c r="IR20"/>
      <c r="IS20"/>
      <c r="IT20"/>
      <c r="IU20"/>
      <c r="IV20"/>
      <c r="IW20"/>
      <c r="IX20"/>
      <c r="IY20"/>
      <c r="IZ20"/>
      <c r="JA20"/>
      <c r="JB20"/>
      <c r="JC20"/>
      <c r="JD20"/>
      <c r="JE20"/>
      <c r="JF20"/>
      <c r="JG20"/>
      <c r="JH20"/>
      <c r="JI20"/>
      <c r="JJ20"/>
      <c r="JK20"/>
      <c r="JL20"/>
      <c r="JM20"/>
      <c r="JN20"/>
      <c r="JO20"/>
      <c r="JP20"/>
      <c r="JQ20"/>
      <c r="JR20"/>
      <c r="JS20"/>
      <c r="JT20"/>
      <c r="JU20"/>
      <c r="JV20"/>
      <c r="JW20"/>
      <c r="JX20"/>
      <c r="JY20"/>
      <c r="JZ20"/>
      <c r="KA20"/>
      <c r="KB20"/>
      <c r="KC20"/>
      <c r="KD20"/>
      <c r="KE20"/>
      <c r="KF20"/>
      <c r="KG20"/>
      <c r="KH20"/>
      <c r="KI20"/>
      <c r="KJ20"/>
      <c r="KK20"/>
      <c r="KL20"/>
      <c r="KM20"/>
      <c r="KN20"/>
      <c r="KO20"/>
      <c r="KP20"/>
      <c r="KQ20"/>
      <c r="KR20"/>
      <c r="KS20"/>
      <c r="KT20"/>
      <c r="KU20"/>
      <c r="KV20"/>
      <c r="KW20"/>
      <c r="KX20"/>
      <c r="KY20"/>
      <c r="KZ20"/>
      <c r="LA20"/>
      <c r="LB20"/>
      <c r="LC20"/>
      <c r="LD20"/>
      <c r="LE20"/>
      <c r="LF20"/>
      <c r="LG20"/>
      <c r="LH20"/>
      <c r="LI20"/>
      <c r="LJ20"/>
      <c r="LK20"/>
      <c r="LL20"/>
      <c r="LM20"/>
      <c r="LN20"/>
      <c r="LO20"/>
      <c r="LP20"/>
      <c r="LQ20"/>
      <c r="LR20"/>
      <c r="LS20"/>
      <c r="LT20"/>
      <c r="LU20"/>
      <c r="LV20"/>
      <c r="LW20"/>
      <c r="LX20"/>
      <c r="LY20"/>
      <c r="LZ20"/>
      <c r="MA20"/>
      <c r="MB20"/>
      <c r="MC20"/>
      <c r="MD20"/>
      <c r="ME20"/>
      <c r="MF20"/>
      <c r="MG20"/>
      <c r="MH20"/>
      <c r="MI20"/>
      <c r="MJ20"/>
      <c r="MK20"/>
      <c r="ML20"/>
      <c r="MM20"/>
      <c r="MN20"/>
      <c r="MO20"/>
      <c r="MP20"/>
      <c r="MQ20"/>
      <c r="MR20"/>
      <c r="MS20"/>
      <c r="MT20"/>
      <c r="MU20"/>
      <c r="MV20"/>
      <c r="MW20"/>
      <c r="MX20"/>
      <c r="MY20"/>
      <c r="MZ20"/>
      <c r="NA20"/>
      <c r="NB20"/>
      <c r="NC20"/>
      <c r="ND20"/>
      <c r="NE20"/>
      <c r="NF20"/>
      <c r="NG20"/>
      <c r="NH20"/>
      <c r="NI20"/>
      <c r="NJ20"/>
      <c r="NK20"/>
      <c r="NL20"/>
      <c r="NM20"/>
      <c r="NN20"/>
      <c r="NO20"/>
      <c r="NP20"/>
      <c r="NQ20"/>
      <c r="NR20"/>
      <c r="NS20"/>
      <c r="NT20"/>
      <c r="NU20"/>
      <c r="NV20"/>
      <c r="NW20"/>
      <c r="NX20"/>
      <c r="NY20"/>
      <c r="NZ20"/>
      <c r="OA20"/>
      <c r="OB20"/>
      <c r="OC20"/>
      <c r="OD20"/>
      <c r="OE20"/>
      <c r="OF20"/>
      <c r="OG20"/>
      <c r="OH20"/>
      <c r="OI20"/>
      <c r="OJ20"/>
      <c r="OK20"/>
      <c r="OL20"/>
      <c r="OM20"/>
      <c r="ON20"/>
      <c r="OO20"/>
      <c r="OP20"/>
      <c r="OQ20"/>
      <c r="OR20"/>
      <c r="OS20"/>
      <c r="OT20"/>
      <c r="OU20"/>
      <c r="OV20"/>
      <c r="OW20"/>
      <c r="OX20"/>
      <c r="OY20"/>
      <c r="OZ20"/>
      <c r="PA20"/>
      <c r="PB20"/>
      <c r="PC20"/>
      <c r="PD20"/>
      <c r="PE20"/>
      <c r="PF20"/>
      <c r="PG20"/>
      <c r="PH20"/>
      <c r="PI20"/>
      <c r="PJ20"/>
      <c r="PK20"/>
      <c r="PL20"/>
      <c r="PM20"/>
      <c r="PN20"/>
      <c r="PO20"/>
      <c r="PP20"/>
      <c r="PQ20"/>
      <c r="PR20"/>
      <c r="PS20"/>
      <c r="PT20"/>
      <c r="PU20"/>
      <c r="PV20"/>
      <c r="PW20"/>
      <c r="PX20"/>
      <c r="PY20"/>
      <c r="PZ20"/>
      <c r="QA20"/>
      <c r="QB20"/>
      <c r="QC20"/>
      <c r="QD20"/>
      <c r="QE20"/>
      <c r="QF20"/>
      <c r="QG20"/>
      <c r="QH20"/>
      <c r="QI20"/>
      <c r="QJ20"/>
      <c r="QK20"/>
      <c r="QL20"/>
      <c r="QM20"/>
      <c r="QN20"/>
      <c r="QO20"/>
      <c r="QP20"/>
      <c r="QQ20"/>
      <c r="QR20"/>
      <c r="QS20"/>
      <c r="QT20"/>
      <c r="QU20"/>
      <c r="QV20"/>
      <c r="QW20"/>
      <c r="QX20"/>
      <c r="QY20"/>
      <c r="QZ20"/>
      <c r="RA20"/>
      <c r="RB20"/>
      <c r="RC20"/>
      <c r="RD20"/>
      <c r="RE20"/>
      <c r="RF20"/>
      <c r="RG20"/>
      <c r="RH20"/>
      <c r="RI20"/>
      <c r="RJ20"/>
      <c r="RK20"/>
      <c r="RL20"/>
      <c r="RM20"/>
      <c r="RN20"/>
      <c r="RO20"/>
      <c r="RP20"/>
      <c r="RQ20"/>
      <c r="RR20"/>
      <c r="RS20"/>
    </row>
    <row r="21" spans="3:506" x14ac:dyDescent="0.25">
      <c r="C21" s="2" t="s">
        <v>27</v>
      </c>
      <c r="D21" s="34">
        <v>3</v>
      </c>
      <c r="F21" s="2" t="s">
        <v>2</v>
      </c>
      <c r="G21" s="34">
        <v>26</v>
      </c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C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K21"/>
      <c r="FL21"/>
      <c r="FM21"/>
      <c r="FN21"/>
      <c r="FO21"/>
      <c r="FP21"/>
      <c r="FQ21"/>
      <c r="FR21"/>
      <c r="FS21"/>
      <c r="FT21"/>
      <c r="FU21"/>
      <c r="FV21"/>
      <c r="FW21"/>
      <c r="FX21"/>
      <c r="FY21"/>
      <c r="FZ21"/>
      <c r="GA21"/>
      <c r="GB21"/>
      <c r="GC21"/>
      <c r="GD21"/>
      <c r="GE21"/>
      <c r="GF21"/>
      <c r="GG21"/>
      <c r="GH21"/>
      <c r="GI21"/>
      <c r="GJ21"/>
      <c r="GK21"/>
      <c r="GL21"/>
      <c r="GM21"/>
      <c r="GN21"/>
      <c r="GO21"/>
      <c r="GP21"/>
      <c r="GQ21"/>
      <c r="GR21"/>
      <c r="GS21"/>
      <c r="GT21"/>
      <c r="GU21"/>
      <c r="GV21"/>
      <c r="GW21"/>
      <c r="GX21"/>
      <c r="GY21"/>
      <c r="GZ21"/>
      <c r="HA21"/>
      <c r="HB21"/>
      <c r="HC21"/>
      <c r="HD21"/>
      <c r="HE21"/>
      <c r="HF21"/>
      <c r="HG21"/>
      <c r="HH21"/>
      <c r="HI21"/>
      <c r="HJ21"/>
      <c r="HK21"/>
      <c r="HL21"/>
      <c r="HM21"/>
      <c r="HN21"/>
      <c r="HO21"/>
      <c r="HP21"/>
      <c r="HQ21"/>
      <c r="HR21"/>
      <c r="HS21"/>
      <c r="HT21"/>
      <c r="HU21"/>
      <c r="HV21"/>
      <c r="HW21"/>
      <c r="HX21"/>
      <c r="HY21"/>
      <c r="HZ21"/>
      <c r="IA21"/>
      <c r="IB21"/>
      <c r="IC21"/>
      <c r="ID21"/>
      <c r="IE21"/>
      <c r="IF21"/>
      <c r="IG21"/>
      <c r="IH21"/>
      <c r="II21"/>
      <c r="IJ21"/>
      <c r="IK21"/>
      <c r="IL21"/>
      <c r="IM21"/>
      <c r="IN21"/>
      <c r="IO21"/>
      <c r="IP21"/>
      <c r="IQ21"/>
      <c r="IR21"/>
      <c r="IS21"/>
      <c r="IT21"/>
      <c r="IU21"/>
      <c r="IV21"/>
      <c r="IW21"/>
      <c r="IX21"/>
      <c r="IY21"/>
      <c r="IZ21"/>
      <c r="JA21"/>
      <c r="JB21"/>
      <c r="JC21"/>
      <c r="JD21"/>
      <c r="JE21"/>
      <c r="JF21"/>
      <c r="JG21"/>
      <c r="JH21"/>
      <c r="JI21"/>
      <c r="JJ21"/>
      <c r="JK21"/>
      <c r="JL21"/>
      <c r="JM21"/>
      <c r="JN21"/>
      <c r="JO21"/>
      <c r="JP21"/>
      <c r="JQ21"/>
      <c r="JR21"/>
      <c r="JS21"/>
      <c r="JT21"/>
      <c r="JU21"/>
      <c r="JV21"/>
      <c r="JW21"/>
      <c r="JX21"/>
      <c r="JY21"/>
      <c r="JZ21"/>
      <c r="KA21"/>
      <c r="KB21"/>
      <c r="KC21"/>
      <c r="KD21"/>
      <c r="KE21"/>
      <c r="KF21"/>
      <c r="KG21"/>
      <c r="KH21"/>
      <c r="KI21"/>
      <c r="KJ21"/>
      <c r="KK21"/>
      <c r="KL21"/>
      <c r="KM21"/>
      <c r="KN21"/>
      <c r="KO21"/>
      <c r="KP21"/>
      <c r="KQ21"/>
      <c r="KR21"/>
      <c r="KS21"/>
      <c r="KT21"/>
      <c r="KU21"/>
      <c r="KV21"/>
      <c r="KW21"/>
      <c r="KX21"/>
      <c r="KY21"/>
      <c r="KZ21"/>
      <c r="LA21"/>
      <c r="LB21"/>
      <c r="LC21"/>
      <c r="LD21"/>
      <c r="LE21"/>
      <c r="LF21"/>
      <c r="LG21"/>
      <c r="LH21"/>
      <c r="LI21"/>
      <c r="LJ21"/>
      <c r="LK21"/>
      <c r="LL21"/>
      <c r="LM21"/>
      <c r="LN21"/>
      <c r="LO21"/>
      <c r="LP21"/>
      <c r="LQ21"/>
      <c r="LR21"/>
      <c r="LS21"/>
      <c r="LT21"/>
      <c r="LU21"/>
      <c r="LV21"/>
      <c r="LW21"/>
      <c r="LX21"/>
      <c r="LY21"/>
      <c r="LZ21"/>
      <c r="MA21"/>
      <c r="MB21"/>
      <c r="MC21"/>
      <c r="MD21"/>
      <c r="ME21"/>
      <c r="MF21"/>
      <c r="MG21"/>
      <c r="MH21"/>
      <c r="MI21"/>
      <c r="MJ21"/>
      <c r="MK21"/>
      <c r="ML21"/>
      <c r="MM21"/>
      <c r="MN21"/>
      <c r="MO21"/>
      <c r="MP21"/>
      <c r="MQ21"/>
      <c r="MR21"/>
      <c r="MS21"/>
      <c r="MT21"/>
      <c r="MU21"/>
      <c r="MV21"/>
      <c r="MW21"/>
      <c r="MX21"/>
      <c r="MY21"/>
      <c r="MZ21"/>
      <c r="NA21"/>
      <c r="NB21"/>
      <c r="NC21"/>
      <c r="ND21"/>
      <c r="NE21"/>
      <c r="NF21"/>
      <c r="NG21"/>
      <c r="NH21"/>
      <c r="NI21"/>
      <c r="NJ21"/>
      <c r="NK21"/>
      <c r="NL21"/>
      <c r="NM21"/>
      <c r="NN21"/>
      <c r="NO21"/>
      <c r="NP21"/>
      <c r="NQ21"/>
      <c r="NR21"/>
      <c r="NS21"/>
      <c r="NT21"/>
      <c r="NU21"/>
      <c r="NV21"/>
      <c r="NW21"/>
      <c r="NX21"/>
      <c r="NY21"/>
      <c r="NZ21"/>
      <c r="OA21"/>
      <c r="OB21"/>
      <c r="OC21"/>
      <c r="OD21"/>
      <c r="OE21"/>
      <c r="OF21"/>
      <c r="OG21"/>
      <c r="OH21"/>
      <c r="OI21"/>
      <c r="OJ21"/>
      <c r="OK21"/>
      <c r="OL21"/>
      <c r="OM21"/>
      <c r="ON21"/>
      <c r="OO21"/>
      <c r="OP21"/>
      <c r="OQ21"/>
      <c r="OR21"/>
      <c r="OS21"/>
      <c r="OT21"/>
      <c r="OU21"/>
      <c r="OV21"/>
      <c r="OW21"/>
      <c r="OX21"/>
      <c r="OY21"/>
      <c r="OZ21"/>
      <c r="PA21"/>
      <c r="PB21"/>
      <c r="PC21"/>
      <c r="PD21"/>
      <c r="PE21"/>
      <c r="PF21"/>
      <c r="PG21"/>
      <c r="PH21"/>
      <c r="PI21"/>
      <c r="PJ21"/>
      <c r="PK21"/>
      <c r="PL21"/>
      <c r="PM21"/>
      <c r="PN21"/>
      <c r="PO21"/>
      <c r="PP21"/>
      <c r="PQ21"/>
      <c r="PR21"/>
      <c r="PS21"/>
      <c r="PT21"/>
      <c r="PU21"/>
      <c r="PV21"/>
      <c r="PW21"/>
      <c r="PX21"/>
      <c r="PY21"/>
      <c r="PZ21"/>
      <c r="QA21"/>
      <c r="QB21"/>
      <c r="QC21"/>
      <c r="QD21"/>
      <c r="QE21"/>
      <c r="QF21"/>
      <c r="QG21"/>
      <c r="QH21"/>
      <c r="QI21"/>
      <c r="QJ21"/>
      <c r="QK21"/>
      <c r="QL21"/>
      <c r="QM21"/>
      <c r="QN21"/>
      <c r="QO21"/>
      <c r="QP21"/>
      <c r="QQ21"/>
      <c r="QR21"/>
      <c r="QS21"/>
      <c r="QT21"/>
      <c r="QU21"/>
      <c r="QV21"/>
      <c r="QW21"/>
      <c r="QX21"/>
      <c r="QY21"/>
      <c r="QZ21"/>
      <c r="RA21"/>
      <c r="RB21"/>
      <c r="RC21"/>
      <c r="RD21"/>
      <c r="RE21"/>
      <c r="RF21"/>
      <c r="RG21"/>
      <c r="RH21"/>
      <c r="RI21"/>
      <c r="RJ21"/>
      <c r="RK21"/>
      <c r="RL21"/>
      <c r="RM21"/>
      <c r="RN21"/>
      <c r="RO21"/>
      <c r="RP21"/>
      <c r="RQ21"/>
      <c r="RR21"/>
      <c r="RS21"/>
    </row>
    <row r="22" spans="3:506" x14ac:dyDescent="0.25">
      <c r="C22" s="2" t="s">
        <v>17</v>
      </c>
      <c r="D22" s="34">
        <v>3</v>
      </c>
      <c r="F22" s="2" t="s">
        <v>6</v>
      </c>
      <c r="G22" s="34">
        <v>20</v>
      </c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K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Q22"/>
      <c r="GR22"/>
      <c r="GS22"/>
      <c r="GT22"/>
      <c r="GU22"/>
      <c r="GV22"/>
      <c r="GW22"/>
      <c r="GX22"/>
      <c r="GY22"/>
      <c r="GZ22"/>
      <c r="HA22"/>
      <c r="HB22"/>
      <c r="HC22"/>
      <c r="HD22"/>
      <c r="HE22"/>
      <c r="HF22"/>
      <c r="HG22"/>
      <c r="HH22"/>
      <c r="HI22"/>
      <c r="HJ22"/>
      <c r="HK22"/>
      <c r="HL22"/>
      <c r="HM22"/>
      <c r="HN22"/>
      <c r="HO22"/>
      <c r="HP22"/>
      <c r="HQ22"/>
      <c r="HR22"/>
      <c r="HS22"/>
      <c r="HT22"/>
      <c r="HU22"/>
      <c r="HV22"/>
      <c r="HW22"/>
      <c r="HX22"/>
      <c r="HY22"/>
      <c r="HZ22"/>
      <c r="IA22"/>
      <c r="IB22"/>
      <c r="IC22"/>
      <c r="ID22"/>
      <c r="IE22"/>
      <c r="IF22"/>
      <c r="IG22"/>
      <c r="IH22"/>
      <c r="II22"/>
      <c r="IJ22"/>
      <c r="IK22"/>
      <c r="IL22"/>
      <c r="IM22"/>
      <c r="IN22"/>
      <c r="IO22"/>
      <c r="IP22"/>
      <c r="IQ22"/>
      <c r="IR22"/>
      <c r="IS22"/>
      <c r="IT22"/>
      <c r="IU22"/>
      <c r="IV22"/>
      <c r="IW22"/>
      <c r="IX22"/>
      <c r="IY22"/>
      <c r="IZ22"/>
      <c r="JA22"/>
      <c r="JB22"/>
      <c r="JC22"/>
      <c r="JD22"/>
      <c r="JE22"/>
      <c r="JF22"/>
      <c r="JG22"/>
      <c r="JH22"/>
      <c r="JI22"/>
      <c r="JJ22"/>
      <c r="JK22"/>
      <c r="JL22"/>
      <c r="JM22"/>
      <c r="JN22"/>
      <c r="JO22"/>
      <c r="JP22"/>
      <c r="JQ22"/>
      <c r="JR22"/>
      <c r="JS22"/>
      <c r="JT22"/>
      <c r="JU22"/>
      <c r="JV22"/>
      <c r="JW22"/>
      <c r="JX22"/>
      <c r="JY22"/>
      <c r="JZ22"/>
      <c r="KA22"/>
      <c r="KB22"/>
      <c r="KC22"/>
      <c r="KD22"/>
      <c r="KE22"/>
      <c r="KF22"/>
      <c r="KG22"/>
      <c r="KH22"/>
      <c r="KI22"/>
      <c r="KJ22"/>
      <c r="KK22"/>
      <c r="KL22"/>
      <c r="KM22"/>
      <c r="KN22"/>
      <c r="KO22"/>
      <c r="KP22"/>
      <c r="KQ22"/>
      <c r="KR22"/>
      <c r="KS22"/>
      <c r="KT22"/>
      <c r="KU22"/>
      <c r="KV22"/>
      <c r="KW22"/>
      <c r="KX22"/>
      <c r="KY22"/>
      <c r="KZ22"/>
      <c r="LA22"/>
      <c r="LB22"/>
      <c r="LC22"/>
      <c r="LD22"/>
      <c r="LE22"/>
      <c r="LF22"/>
      <c r="LG22"/>
      <c r="LH22"/>
      <c r="LI22"/>
      <c r="LJ22"/>
      <c r="LK22"/>
      <c r="LL22"/>
      <c r="LM22"/>
      <c r="LN22"/>
      <c r="LO22"/>
      <c r="LP22"/>
      <c r="LQ22"/>
      <c r="LR22"/>
      <c r="LS22"/>
      <c r="LT22"/>
      <c r="LU22"/>
      <c r="LV22"/>
      <c r="LW22"/>
      <c r="LX22"/>
      <c r="LY22"/>
      <c r="LZ22"/>
      <c r="MA22"/>
      <c r="MB22"/>
      <c r="MC22"/>
      <c r="MD22"/>
      <c r="ME22"/>
      <c r="MF22"/>
      <c r="MG22"/>
      <c r="MH22"/>
      <c r="MI22"/>
      <c r="MJ22"/>
      <c r="MK22"/>
      <c r="ML22"/>
      <c r="MM22"/>
      <c r="MN22"/>
      <c r="MO22"/>
      <c r="MP22"/>
      <c r="MQ22"/>
      <c r="MR22"/>
      <c r="MS22"/>
      <c r="MT22"/>
      <c r="MU22"/>
      <c r="MV22"/>
      <c r="MW22"/>
      <c r="MX22"/>
      <c r="MY22"/>
      <c r="MZ22"/>
      <c r="NA22"/>
      <c r="NB22"/>
      <c r="NC22"/>
      <c r="ND22"/>
      <c r="NE22"/>
      <c r="NF22"/>
      <c r="NG22"/>
      <c r="NH22"/>
      <c r="NI22"/>
      <c r="NJ22"/>
      <c r="NK22"/>
      <c r="NL22"/>
      <c r="NM22"/>
      <c r="NN22"/>
      <c r="NO22"/>
      <c r="NP22"/>
      <c r="NQ22"/>
      <c r="NR22"/>
      <c r="NS22"/>
      <c r="NT22"/>
      <c r="NU22"/>
      <c r="NV22"/>
      <c r="NW22"/>
      <c r="NX22"/>
      <c r="NY22"/>
      <c r="NZ22"/>
      <c r="OA22"/>
      <c r="OB22"/>
      <c r="OC22"/>
      <c r="OD22"/>
      <c r="OE22"/>
      <c r="OF22"/>
      <c r="OG22"/>
      <c r="OH22"/>
      <c r="OI22"/>
      <c r="OJ22"/>
      <c r="OK22"/>
      <c r="OL22"/>
      <c r="OM22"/>
      <c r="ON22"/>
      <c r="OO22"/>
      <c r="OP22"/>
      <c r="OQ22"/>
      <c r="OR22"/>
      <c r="OS22"/>
      <c r="OT22"/>
      <c r="OU22"/>
      <c r="OV22"/>
      <c r="OW22"/>
      <c r="OX22"/>
      <c r="OY22"/>
      <c r="OZ22"/>
      <c r="PA22"/>
      <c r="PB22"/>
      <c r="PC22"/>
      <c r="PD22"/>
      <c r="PE22"/>
      <c r="PF22"/>
      <c r="PG22"/>
      <c r="PH22"/>
      <c r="PI22"/>
      <c r="PJ22"/>
      <c r="PK22"/>
      <c r="PL22"/>
      <c r="PM22"/>
      <c r="PN22"/>
      <c r="PO22"/>
      <c r="PP22"/>
      <c r="PQ22"/>
      <c r="PR22"/>
      <c r="PS22"/>
      <c r="PT22"/>
      <c r="PU22"/>
      <c r="PV22"/>
      <c r="PW22"/>
      <c r="PX22"/>
      <c r="PY22"/>
      <c r="PZ22"/>
      <c r="QA22"/>
      <c r="QB22"/>
      <c r="QC22"/>
      <c r="QD22"/>
      <c r="QE22"/>
      <c r="QF22"/>
      <c r="QG22"/>
      <c r="QH22"/>
      <c r="QI22"/>
      <c r="QJ22"/>
      <c r="QK22"/>
      <c r="QL22"/>
      <c r="QM22"/>
      <c r="QN22"/>
      <c r="QO22"/>
      <c r="QP22"/>
      <c r="QQ22"/>
      <c r="QR22"/>
      <c r="QS22"/>
      <c r="QT22"/>
      <c r="QU22"/>
      <c r="QV22"/>
      <c r="QW22"/>
      <c r="QX22"/>
      <c r="QY22"/>
      <c r="QZ22"/>
      <c r="RA22"/>
      <c r="RB22"/>
      <c r="RC22"/>
      <c r="RD22"/>
      <c r="RE22"/>
      <c r="RF22"/>
      <c r="RG22"/>
      <c r="RH22"/>
      <c r="RI22"/>
      <c r="RJ22"/>
      <c r="RK22"/>
      <c r="RL22"/>
      <c r="RM22"/>
      <c r="RN22"/>
      <c r="RO22"/>
      <c r="RP22"/>
      <c r="RQ22"/>
      <c r="RR22"/>
      <c r="RS22"/>
    </row>
    <row r="23" spans="3:506" x14ac:dyDescent="0.25">
      <c r="C23" s="2" t="s">
        <v>19</v>
      </c>
      <c r="D23" s="34">
        <v>3</v>
      </c>
      <c r="F23" s="2" t="s">
        <v>8</v>
      </c>
      <c r="G23" s="34">
        <v>13</v>
      </c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  <c r="GS23"/>
      <c r="GT23"/>
      <c r="GU23"/>
      <c r="GV23"/>
      <c r="GW23"/>
      <c r="GX23"/>
      <c r="GY23"/>
      <c r="GZ23"/>
      <c r="HA23"/>
      <c r="HB23"/>
      <c r="HC23"/>
      <c r="HD23"/>
      <c r="HE23"/>
      <c r="HF23"/>
      <c r="HG23"/>
      <c r="HH23"/>
      <c r="HI23"/>
      <c r="HJ23"/>
      <c r="HK23"/>
      <c r="HL23"/>
      <c r="HM23"/>
      <c r="HN23"/>
      <c r="HO23"/>
      <c r="HP23"/>
      <c r="HQ23"/>
      <c r="HR23"/>
      <c r="HS23"/>
      <c r="HT23"/>
      <c r="HU23"/>
      <c r="HV23"/>
      <c r="HW23"/>
      <c r="HX23"/>
      <c r="HY23"/>
      <c r="HZ23"/>
      <c r="IA23"/>
      <c r="IB23"/>
      <c r="IC23"/>
      <c r="ID23"/>
      <c r="IE23"/>
      <c r="IF23"/>
      <c r="IG23"/>
      <c r="IH23"/>
      <c r="II23"/>
      <c r="IJ23"/>
      <c r="IK23"/>
      <c r="IL23"/>
      <c r="IM23"/>
      <c r="IN23"/>
      <c r="IO23"/>
      <c r="IP23"/>
      <c r="IQ23"/>
      <c r="IR23"/>
      <c r="IS23"/>
      <c r="IT23"/>
      <c r="IU23"/>
      <c r="IV23"/>
      <c r="IW23"/>
      <c r="IX23"/>
      <c r="IY23"/>
      <c r="IZ23"/>
      <c r="JA23"/>
      <c r="JB23"/>
      <c r="JC23"/>
      <c r="JD23"/>
      <c r="JE23"/>
      <c r="JF23"/>
      <c r="JG23"/>
      <c r="JH23"/>
      <c r="JI23"/>
      <c r="JJ23"/>
      <c r="JK23"/>
      <c r="JL23"/>
      <c r="JM23"/>
      <c r="JN23"/>
      <c r="JO23"/>
      <c r="JP23"/>
      <c r="JQ23"/>
      <c r="JR23"/>
      <c r="JS23"/>
      <c r="JT23"/>
      <c r="JU23"/>
      <c r="JV23"/>
      <c r="JW23"/>
      <c r="JX23"/>
      <c r="JY23"/>
      <c r="JZ23"/>
      <c r="KA23"/>
      <c r="KB23"/>
      <c r="KC23"/>
      <c r="KD23"/>
      <c r="KE23"/>
      <c r="KF23"/>
      <c r="KG23"/>
      <c r="KH23"/>
      <c r="KI23"/>
      <c r="KJ23"/>
      <c r="KK23"/>
      <c r="KL23"/>
      <c r="KM23"/>
      <c r="KN23"/>
      <c r="KO23"/>
      <c r="KP23"/>
      <c r="KQ23"/>
      <c r="KR23"/>
      <c r="KS23"/>
      <c r="KT23"/>
      <c r="KU23"/>
      <c r="KV23"/>
      <c r="KW23"/>
      <c r="KX23"/>
      <c r="KY23"/>
      <c r="KZ23"/>
      <c r="LA23"/>
      <c r="LB23"/>
      <c r="LC23"/>
      <c r="LD23"/>
      <c r="LE23"/>
      <c r="LF23"/>
      <c r="LG23"/>
      <c r="LH23"/>
      <c r="LI23"/>
      <c r="LJ23"/>
      <c r="LK23"/>
      <c r="LL23"/>
      <c r="LM23"/>
      <c r="LN23"/>
      <c r="LO23"/>
      <c r="LP23"/>
      <c r="LQ23"/>
      <c r="LR23"/>
      <c r="LS23"/>
      <c r="LT23"/>
      <c r="LU23"/>
      <c r="LV23"/>
      <c r="LW23"/>
      <c r="LX23"/>
      <c r="LY23"/>
      <c r="LZ23"/>
      <c r="MA23"/>
      <c r="MB23"/>
      <c r="MC23"/>
      <c r="MD23"/>
      <c r="ME23"/>
      <c r="MF23"/>
      <c r="MG23"/>
      <c r="MH23"/>
      <c r="MI23"/>
      <c r="MJ23"/>
      <c r="MK23"/>
      <c r="ML23"/>
      <c r="MM23"/>
      <c r="MN23"/>
      <c r="MO23"/>
      <c r="MP23"/>
      <c r="MQ23"/>
      <c r="MR23"/>
      <c r="MS23"/>
      <c r="MT23"/>
      <c r="MU23"/>
      <c r="MV23"/>
      <c r="MW23"/>
      <c r="MX23"/>
      <c r="MY23"/>
      <c r="MZ23"/>
      <c r="NA23"/>
      <c r="NB23"/>
      <c r="NC23"/>
      <c r="ND23"/>
      <c r="NE23"/>
      <c r="NF23"/>
      <c r="NG23"/>
      <c r="NH23"/>
      <c r="NI23"/>
      <c r="NJ23"/>
      <c r="NK23"/>
      <c r="NL23"/>
      <c r="NM23"/>
      <c r="NN23"/>
      <c r="NO23"/>
      <c r="NP23"/>
      <c r="NQ23"/>
      <c r="NR23"/>
      <c r="NS23"/>
      <c r="NT23"/>
      <c r="NU23"/>
      <c r="NV23"/>
      <c r="NW23"/>
      <c r="NX23"/>
      <c r="NY23"/>
      <c r="NZ23"/>
      <c r="OA23"/>
      <c r="OB23"/>
      <c r="OC23"/>
      <c r="OD23"/>
      <c r="OE23"/>
      <c r="OF23"/>
      <c r="OG23"/>
      <c r="OH23"/>
      <c r="OI23"/>
      <c r="OJ23"/>
      <c r="OK23"/>
      <c r="OL23"/>
      <c r="OM23"/>
      <c r="ON23"/>
      <c r="OO23"/>
      <c r="OP23"/>
      <c r="OQ23"/>
      <c r="OR23"/>
      <c r="OS23"/>
      <c r="OT23"/>
      <c r="OU23"/>
      <c r="OV23"/>
      <c r="OW23"/>
      <c r="OX23"/>
      <c r="OY23"/>
      <c r="OZ23"/>
      <c r="PA23"/>
      <c r="PB23"/>
      <c r="PC23"/>
      <c r="PD23"/>
      <c r="PE23"/>
      <c r="PF23"/>
      <c r="PG23"/>
      <c r="PH23"/>
      <c r="PI23"/>
      <c r="PJ23"/>
      <c r="PK23"/>
      <c r="PL23"/>
      <c r="PM23"/>
      <c r="PN23"/>
      <c r="PO23"/>
      <c r="PP23"/>
      <c r="PQ23"/>
      <c r="PR23"/>
      <c r="PS23"/>
      <c r="PT23"/>
      <c r="PU23"/>
      <c r="PV23"/>
      <c r="PW23"/>
      <c r="PX23"/>
      <c r="PY23"/>
      <c r="PZ23"/>
      <c r="QA23"/>
      <c r="QB23"/>
      <c r="QC23"/>
      <c r="QD23"/>
      <c r="QE23"/>
      <c r="QF23"/>
      <c r="QG23"/>
      <c r="QH23"/>
      <c r="QI23"/>
      <c r="QJ23"/>
      <c r="QK23"/>
      <c r="QL23"/>
      <c r="QM23"/>
      <c r="QN23"/>
      <c r="QO23"/>
      <c r="QP23"/>
      <c r="QQ23"/>
      <c r="QR23"/>
      <c r="QS23"/>
      <c r="QT23"/>
      <c r="QU23"/>
      <c r="QV23"/>
      <c r="QW23"/>
      <c r="QX23"/>
      <c r="QY23"/>
      <c r="QZ23"/>
      <c r="RA23"/>
      <c r="RB23"/>
      <c r="RC23"/>
      <c r="RD23"/>
      <c r="RE23"/>
      <c r="RF23"/>
      <c r="RG23"/>
      <c r="RH23"/>
      <c r="RI23"/>
      <c r="RJ23"/>
      <c r="RK23"/>
      <c r="RL23"/>
      <c r="RM23"/>
      <c r="RN23"/>
      <c r="RO23"/>
      <c r="RP23"/>
      <c r="RQ23"/>
      <c r="RR23"/>
      <c r="RS23"/>
    </row>
    <row r="24" spans="3:506" x14ac:dyDescent="0.25">
      <c r="C24" s="2" t="s">
        <v>23</v>
      </c>
      <c r="D24" s="34">
        <v>3</v>
      </c>
      <c r="F24" s="2" t="s">
        <v>10</v>
      </c>
      <c r="G24" s="34">
        <v>12</v>
      </c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C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K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  <c r="GM24"/>
      <c r="GN24"/>
      <c r="GO24"/>
      <c r="GP24"/>
      <c r="GQ24"/>
      <c r="GR24"/>
      <c r="GS24"/>
      <c r="GT24"/>
      <c r="GU24"/>
      <c r="GV24"/>
      <c r="GW24"/>
      <c r="GX24"/>
      <c r="GY24"/>
      <c r="GZ24"/>
      <c r="HA24"/>
      <c r="HB24"/>
      <c r="HC24"/>
      <c r="HD24"/>
      <c r="HE24"/>
      <c r="HF24"/>
      <c r="HG24"/>
      <c r="HH24"/>
      <c r="HI24"/>
      <c r="HJ24"/>
      <c r="HK24"/>
      <c r="HL24"/>
      <c r="HM24"/>
      <c r="HN24"/>
      <c r="HO24"/>
      <c r="HP24"/>
      <c r="HQ24"/>
      <c r="HR24"/>
      <c r="HS24"/>
      <c r="HT24"/>
      <c r="HU24"/>
      <c r="HV24"/>
      <c r="HW24"/>
      <c r="HX24"/>
      <c r="HY24"/>
      <c r="HZ24"/>
      <c r="IA24"/>
      <c r="IB24"/>
      <c r="IC24"/>
      <c r="ID24"/>
      <c r="IE24"/>
      <c r="IF24"/>
      <c r="IG24"/>
      <c r="IH24"/>
      <c r="II24"/>
      <c r="IJ24"/>
      <c r="IK24"/>
      <c r="IL24"/>
      <c r="IM24"/>
      <c r="IN24"/>
      <c r="IO24"/>
      <c r="IP24"/>
      <c r="IQ24"/>
      <c r="IR24"/>
      <c r="IS24"/>
      <c r="IT24"/>
      <c r="IU24"/>
      <c r="IV24"/>
      <c r="IW24"/>
      <c r="IX24"/>
      <c r="IY24"/>
      <c r="IZ24"/>
      <c r="JA24"/>
      <c r="JB24"/>
      <c r="JC24"/>
      <c r="JD24"/>
      <c r="JE24"/>
      <c r="JF24"/>
      <c r="JG24"/>
      <c r="JH24"/>
      <c r="JI24"/>
      <c r="JJ24"/>
      <c r="JK24"/>
      <c r="JL24"/>
      <c r="JM24"/>
      <c r="JN24"/>
      <c r="JO24"/>
      <c r="JP24"/>
      <c r="JQ24"/>
      <c r="JR24"/>
      <c r="JS24"/>
      <c r="JT24"/>
      <c r="JU24"/>
      <c r="JV24"/>
      <c r="JW24"/>
      <c r="JX24"/>
      <c r="JY24"/>
      <c r="JZ24"/>
      <c r="KA24"/>
      <c r="KB24"/>
      <c r="KC24"/>
      <c r="KD24"/>
      <c r="KE24"/>
      <c r="KF24"/>
      <c r="KG24"/>
      <c r="KH24"/>
      <c r="KI24"/>
      <c r="KJ24"/>
      <c r="KK24"/>
      <c r="KL24"/>
      <c r="KM24"/>
      <c r="KN24"/>
      <c r="KO24"/>
      <c r="KP24"/>
      <c r="KQ24"/>
      <c r="KR24"/>
      <c r="KS24"/>
      <c r="KT24"/>
      <c r="KU24"/>
      <c r="KV24"/>
      <c r="KW24"/>
      <c r="KX24"/>
      <c r="KY24"/>
      <c r="KZ24"/>
      <c r="LA24"/>
      <c r="LB24"/>
      <c r="LC24"/>
      <c r="LD24"/>
      <c r="LE24"/>
      <c r="LF24"/>
      <c r="LG24"/>
      <c r="LH24"/>
      <c r="LI24"/>
      <c r="LJ24"/>
      <c r="LK24"/>
      <c r="LL24"/>
      <c r="LM24"/>
      <c r="LN24"/>
      <c r="LO24"/>
      <c r="LP24"/>
      <c r="LQ24"/>
      <c r="LR24"/>
      <c r="LS24"/>
      <c r="LT24"/>
      <c r="LU24"/>
      <c r="LV24"/>
      <c r="LW24"/>
      <c r="LX24"/>
      <c r="LY24"/>
      <c r="LZ24"/>
      <c r="MA24"/>
      <c r="MB24"/>
      <c r="MC24"/>
      <c r="MD24"/>
      <c r="ME24"/>
      <c r="MF24"/>
      <c r="MG24"/>
      <c r="MH24"/>
      <c r="MI24"/>
      <c r="MJ24"/>
      <c r="MK24"/>
      <c r="ML24"/>
      <c r="MM24"/>
      <c r="MN24"/>
      <c r="MO24"/>
      <c r="MP24"/>
      <c r="MQ24"/>
      <c r="MR24"/>
      <c r="MS24"/>
      <c r="MT24"/>
      <c r="MU24"/>
      <c r="MV24"/>
      <c r="MW24"/>
      <c r="MX24"/>
      <c r="MY24"/>
      <c r="MZ24"/>
      <c r="NA24"/>
      <c r="NB24"/>
      <c r="NC24"/>
      <c r="ND24"/>
      <c r="NE24"/>
      <c r="NF24"/>
      <c r="NG24"/>
      <c r="NH24"/>
      <c r="NI24"/>
      <c r="NJ24"/>
      <c r="NK24"/>
      <c r="NL24"/>
      <c r="NM24"/>
      <c r="NN24"/>
      <c r="NO24"/>
      <c r="NP24"/>
      <c r="NQ24"/>
      <c r="NR24"/>
      <c r="NS24"/>
      <c r="NT24"/>
      <c r="NU24"/>
      <c r="NV24"/>
      <c r="NW24"/>
      <c r="NX24"/>
      <c r="NY24"/>
      <c r="NZ24"/>
      <c r="OA24"/>
      <c r="OB24"/>
      <c r="OC24"/>
      <c r="OD24"/>
      <c r="OE24"/>
      <c r="OF24"/>
      <c r="OG24"/>
      <c r="OH24"/>
      <c r="OI24"/>
      <c r="OJ24"/>
      <c r="OK24"/>
      <c r="OL24"/>
      <c r="OM24"/>
      <c r="ON24"/>
      <c r="OO24"/>
      <c r="OP24"/>
      <c r="OQ24"/>
      <c r="OR24"/>
      <c r="OS24"/>
      <c r="OT24"/>
      <c r="OU24"/>
      <c r="OV24"/>
      <c r="OW24"/>
      <c r="OX24"/>
      <c r="OY24"/>
      <c r="OZ24"/>
      <c r="PA24"/>
      <c r="PB24"/>
      <c r="PC24"/>
      <c r="PD24"/>
      <c r="PE24"/>
      <c r="PF24"/>
      <c r="PG24"/>
      <c r="PH24"/>
      <c r="PI24"/>
      <c r="PJ24"/>
      <c r="PK24"/>
      <c r="PL24"/>
      <c r="PM24"/>
      <c r="PN24"/>
      <c r="PO24"/>
      <c r="PP24"/>
      <c r="PQ24"/>
      <c r="PR24"/>
      <c r="PS24"/>
      <c r="PT24"/>
      <c r="PU24"/>
      <c r="PV24"/>
      <c r="PW24"/>
      <c r="PX24"/>
      <c r="PY24"/>
      <c r="PZ24"/>
      <c r="QA24"/>
      <c r="QB24"/>
      <c r="QC24"/>
      <c r="QD24"/>
      <c r="QE24"/>
      <c r="QF24"/>
      <c r="QG24"/>
      <c r="QH24"/>
      <c r="QI24"/>
      <c r="QJ24"/>
      <c r="QK24"/>
      <c r="QL24"/>
      <c r="QM24"/>
      <c r="QN24"/>
      <c r="QO24"/>
      <c r="QP24"/>
      <c r="QQ24"/>
      <c r="QR24"/>
      <c r="QS24"/>
      <c r="QT24"/>
      <c r="QU24"/>
      <c r="QV24"/>
      <c r="QW24"/>
      <c r="QX24"/>
      <c r="QY24"/>
      <c r="QZ24"/>
      <c r="RA24"/>
      <c r="RB24"/>
      <c r="RC24"/>
      <c r="RD24"/>
      <c r="RE24"/>
      <c r="RF24"/>
      <c r="RG24"/>
      <c r="RH24"/>
      <c r="RI24"/>
      <c r="RJ24"/>
      <c r="RK24"/>
      <c r="RL24"/>
      <c r="RM24"/>
      <c r="RN24"/>
      <c r="RO24"/>
      <c r="RP24"/>
      <c r="RQ24"/>
      <c r="RR24"/>
      <c r="RS24"/>
    </row>
    <row r="25" spans="3:506" x14ac:dyDescent="0.25">
      <c r="C25" s="2" t="s">
        <v>15</v>
      </c>
      <c r="D25" s="34">
        <v>3</v>
      </c>
      <c r="F25" s="2" t="s">
        <v>12</v>
      </c>
      <c r="G25" s="34">
        <v>12</v>
      </c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  <c r="GS25"/>
      <c r="GT25"/>
      <c r="GU25"/>
      <c r="GV25"/>
      <c r="GW25"/>
      <c r="GX25"/>
      <c r="GY25"/>
      <c r="GZ25"/>
      <c r="HA25"/>
      <c r="HB25"/>
      <c r="HC25"/>
      <c r="HD25"/>
      <c r="HE25"/>
      <c r="HF25"/>
      <c r="HG25"/>
      <c r="HH25"/>
      <c r="HI25"/>
      <c r="HJ25"/>
      <c r="HK25"/>
      <c r="HL25"/>
      <c r="HM25"/>
      <c r="HN25"/>
      <c r="HO25"/>
      <c r="HP25"/>
      <c r="HQ25"/>
      <c r="HR25"/>
      <c r="HS25"/>
      <c r="HT25"/>
      <c r="HU25"/>
      <c r="HV25"/>
      <c r="HW25"/>
      <c r="HX25"/>
      <c r="HY25"/>
      <c r="HZ25"/>
      <c r="IA25"/>
      <c r="IB25"/>
      <c r="IC25"/>
      <c r="ID25"/>
      <c r="IE25"/>
      <c r="IF25"/>
      <c r="IG25"/>
      <c r="IH25"/>
      <c r="II25"/>
      <c r="IJ25"/>
      <c r="IK25"/>
      <c r="IL25"/>
      <c r="IM25"/>
      <c r="IN25"/>
      <c r="IO25"/>
      <c r="IP25"/>
      <c r="IQ25"/>
      <c r="IR25"/>
      <c r="IS25"/>
      <c r="IT25"/>
      <c r="IU25"/>
      <c r="IV25"/>
      <c r="IW25"/>
      <c r="IX25"/>
      <c r="IY25"/>
      <c r="IZ25"/>
      <c r="JA25"/>
      <c r="JB25"/>
      <c r="JC25"/>
      <c r="JD25"/>
      <c r="JE25"/>
      <c r="JF25"/>
      <c r="JG25"/>
      <c r="JH25"/>
      <c r="JI25"/>
      <c r="JJ25"/>
      <c r="JK25"/>
      <c r="JL25"/>
      <c r="JM25"/>
      <c r="JN25"/>
      <c r="JO25"/>
      <c r="JP25"/>
      <c r="JQ25"/>
      <c r="JR25"/>
      <c r="JS25"/>
      <c r="JT25"/>
      <c r="JU25"/>
      <c r="JV25"/>
      <c r="JW25"/>
      <c r="JX25"/>
      <c r="JY25"/>
      <c r="JZ25"/>
      <c r="KA25"/>
      <c r="KB25"/>
      <c r="KC25"/>
      <c r="KD25"/>
      <c r="KE25"/>
      <c r="KF25"/>
      <c r="KG25"/>
      <c r="KH25"/>
      <c r="KI25"/>
      <c r="KJ25"/>
      <c r="KK25"/>
      <c r="KL25"/>
      <c r="KM25"/>
      <c r="KN25"/>
      <c r="KO25"/>
      <c r="KP25"/>
      <c r="KQ25"/>
      <c r="KR25"/>
      <c r="KS25"/>
      <c r="KT25"/>
      <c r="KU25"/>
      <c r="KV25"/>
      <c r="KW25"/>
      <c r="KX25"/>
      <c r="KY25"/>
      <c r="KZ25"/>
      <c r="LA25"/>
      <c r="LB25"/>
      <c r="LC25"/>
      <c r="LD25"/>
      <c r="LE25"/>
      <c r="LF25"/>
      <c r="LG25"/>
      <c r="LH25"/>
      <c r="LI25"/>
      <c r="LJ25"/>
      <c r="LK25"/>
      <c r="LL25"/>
      <c r="LM25"/>
      <c r="LN25"/>
      <c r="LO25"/>
      <c r="LP25"/>
      <c r="LQ25"/>
      <c r="LR25"/>
      <c r="LS25"/>
      <c r="LT25"/>
      <c r="LU25"/>
      <c r="LV25"/>
      <c r="LW25"/>
      <c r="LX25"/>
      <c r="LY25"/>
      <c r="LZ25"/>
      <c r="MA25"/>
      <c r="MB25"/>
      <c r="MC25"/>
      <c r="MD25"/>
      <c r="ME25"/>
      <c r="MF25"/>
      <c r="MG25"/>
      <c r="MH25"/>
      <c r="MI25"/>
      <c r="MJ25"/>
      <c r="MK25"/>
      <c r="ML25"/>
      <c r="MM25"/>
      <c r="MN25"/>
      <c r="MO25"/>
      <c r="MP25"/>
      <c r="MQ25"/>
      <c r="MR25"/>
      <c r="MS25"/>
      <c r="MT25"/>
      <c r="MU25"/>
      <c r="MV25"/>
      <c r="MW25"/>
      <c r="MX25"/>
      <c r="MY25"/>
      <c r="MZ25"/>
      <c r="NA25"/>
      <c r="NB25"/>
      <c r="NC25"/>
      <c r="ND25"/>
      <c r="NE25"/>
      <c r="NF25"/>
      <c r="NG25"/>
      <c r="NH25"/>
      <c r="NI25"/>
      <c r="NJ25"/>
      <c r="NK25"/>
      <c r="NL25"/>
      <c r="NM25"/>
      <c r="NN25"/>
      <c r="NO25"/>
      <c r="NP25"/>
      <c r="NQ25"/>
      <c r="NR25"/>
      <c r="NS25"/>
      <c r="NT25"/>
      <c r="NU25"/>
      <c r="NV25"/>
      <c r="NW25"/>
      <c r="NX25"/>
      <c r="NY25"/>
      <c r="NZ25"/>
      <c r="OA25"/>
      <c r="OB25"/>
      <c r="OC25"/>
      <c r="OD25"/>
      <c r="OE25"/>
      <c r="OF25"/>
      <c r="OG25"/>
      <c r="OH25"/>
      <c r="OI25"/>
      <c r="OJ25"/>
      <c r="OK25"/>
      <c r="OL25"/>
      <c r="OM25"/>
      <c r="ON25"/>
      <c r="OO25"/>
      <c r="OP25"/>
      <c r="OQ25"/>
      <c r="OR25"/>
      <c r="OS25"/>
      <c r="OT25"/>
      <c r="OU25"/>
      <c r="OV25"/>
      <c r="OW25"/>
      <c r="OX25"/>
      <c r="OY25"/>
      <c r="OZ25"/>
      <c r="PA25"/>
      <c r="PB25"/>
      <c r="PC25"/>
      <c r="PD25"/>
      <c r="PE25"/>
      <c r="PF25"/>
      <c r="PG25"/>
      <c r="PH25"/>
      <c r="PI25"/>
      <c r="PJ25"/>
      <c r="PK25"/>
      <c r="PL25"/>
      <c r="PM25"/>
      <c r="PN25"/>
      <c r="PO25"/>
      <c r="PP25"/>
      <c r="PQ25"/>
      <c r="PR25"/>
      <c r="PS25"/>
      <c r="PT25"/>
      <c r="PU25"/>
      <c r="PV25"/>
      <c r="PW25"/>
      <c r="PX25"/>
      <c r="PY25"/>
      <c r="PZ25"/>
      <c r="QA25"/>
      <c r="QB25"/>
      <c r="QC25"/>
      <c r="QD25"/>
      <c r="QE25"/>
      <c r="QF25"/>
      <c r="QG25"/>
      <c r="QH25"/>
      <c r="QI25"/>
      <c r="QJ25"/>
      <c r="QK25"/>
      <c r="QL25"/>
      <c r="QM25"/>
      <c r="QN25"/>
      <c r="QO25"/>
      <c r="QP25"/>
      <c r="QQ25"/>
      <c r="QR25"/>
      <c r="QS25"/>
      <c r="QT25"/>
      <c r="QU25"/>
      <c r="QV25"/>
      <c r="QW25"/>
      <c r="QX25"/>
      <c r="QY25"/>
      <c r="QZ25"/>
      <c r="RA25"/>
      <c r="RB25"/>
      <c r="RC25"/>
      <c r="RD25"/>
      <c r="RE25"/>
      <c r="RF25"/>
      <c r="RG25"/>
      <c r="RH25"/>
      <c r="RI25"/>
      <c r="RJ25"/>
      <c r="RK25"/>
      <c r="RL25"/>
      <c r="RM25"/>
      <c r="RN25"/>
      <c r="RO25"/>
      <c r="RP25"/>
      <c r="RQ25"/>
      <c r="RR25"/>
      <c r="RS25"/>
    </row>
    <row r="26" spans="3:506" x14ac:dyDescent="0.25">
      <c r="C26" s="2" t="s">
        <v>25</v>
      </c>
      <c r="D26" s="34">
        <v>3</v>
      </c>
      <c r="F26" s="2" t="s">
        <v>16</v>
      </c>
      <c r="G26" s="34">
        <v>10</v>
      </c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C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K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S26"/>
      <c r="GT26"/>
      <c r="GU26"/>
      <c r="GV26"/>
      <c r="GW26"/>
      <c r="GX26"/>
      <c r="GY26"/>
      <c r="GZ26"/>
      <c r="HA26"/>
      <c r="HB26"/>
      <c r="HC26"/>
      <c r="HD26"/>
      <c r="HE26"/>
      <c r="HF26"/>
      <c r="HG26"/>
      <c r="HH26"/>
      <c r="HI26"/>
      <c r="HJ26"/>
      <c r="HK26"/>
      <c r="HL26"/>
      <c r="HM26"/>
      <c r="HN26"/>
      <c r="HO26"/>
      <c r="HP26"/>
      <c r="HQ26"/>
      <c r="HR26"/>
      <c r="HS26"/>
      <c r="HT26"/>
      <c r="HU26"/>
      <c r="HV26"/>
      <c r="HW26"/>
      <c r="HX26"/>
      <c r="HY26"/>
      <c r="HZ26"/>
      <c r="IA26"/>
      <c r="IB26"/>
      <c r="IC26"/>
      <c r="ID26"/>
      <c r="IE26"/>
      <c r="IF26"/>
      <c r="IG26"/>
      <c r="IH26"/>
      <c r="II26"/>
      <c r="IJ26"/>
      <c r="IK26"/>
      <c r="IL26"/>
      <c r="IM26"/>
      <c r="IN26"/>
      <c r="IO26"/>
      <c r="IP26"/>
      <c r="IQ26"/>
      <c r="IR26"/>
      <c r="IS26"/>
      <c r="IT26"/>
      <c r="IU26"/>
      <c r="IV26"/>
      <c r="IW26"/>
      <c r="IX26"/>
      <c r="IY26"/>
      <c r="IZ26"/>
      <c r="JA26"/>
      <c r="JB26"/>
      <c r="JC26"/>
      <c r="JD26"/>
      <c r="JE26"/>
      <c r="JF26"/>
      <c r="JG26"/>
      <c r="JH26"/>
      <c r="JI26"/>
      <c r="JJ26"/>
      <c r="JK26"/>
      <c r="JL26"/>
      <c r="JM26"/>
      <c r="JN26"/>
      <c r="JO26"/>
      <c r="JP26"/>
      <c r="JQ26"/>
      <c r="JR26"/>
      <c r="JS26"/>
      <c r="JT26"/>
      <c r="JU26"/>
      <c r="JV26"/>
      <c r="JW26"/>
      <c r="JX26"/>
      <c r="JY26"/>
      <c r="JZ26"/>
      <c r="KA26"/>
      <c r="KB26"/>
      <c r="KC26"/>
      <c r="KD26"/>
      <c r="KE26"/>
      <c r="KF26"/>
      <c r="KG26"/>
      <c r="KH26"/>
      <c r="KI26"/>
      <c r="KJ26"/>
      <c r="KK26"/>
      <c r="KL26"/>
      <c r="KM26"/>
      <c r="KN26"/>
      <c r="KO26"/>
      <c r="KP26"/>
      <c r="KQ26"/>
      <c r="KR26"/>
      <c r="KS26"/>
      <c r="KT26"/>
      <c r="KU26"/>
      <c r="KV26"/>
      <c r="KW26"/>
      <c r="KX26"/>
      <c r="KY26"/>
      <c r="KZ26"/>
      <c r="LA26"/>
      <c r="LB26"/>
      <c r="LC26"/>
      <c r="LD26"/>
      <c r="LE26"/>
      <c r="LF26"/>
      <c r="LG26"/>
      <c r="LH26"/>
      <c r="LI26"/>
      <c r="LJ26"/>
      <c r="LK26"/>
      <c r="LL26"/>
      <c r="LM26"/>
      <c r="LN26"/>
      <c r="LO26"/>
      <c r="LP26"/>
      <c r="LQ26"/>
      <c r="LR26"/>
      <c r="LS26"/>
      <c r="LT26"/>
      <c r="LU26"/>
      <c r="LV26"/>
      <c r="LW26"/>
      <c r="LX26"/>
      <c r="LY26"/>
      <c r="LZ26"/>
      <c r="MA26"/>
      <c r="MB26"/>
      <c r="MC26"/>
      <c r="MD26"/>
      <c r="ME26"/>
      <c r="MF26"/>
      <c r="MG26"/>
      <c r="MH26"/>
      <c r="MI26"/>
      <c r="MJ26"/>
      <c r="MK26"/>
      <c r="ML26"/>
      <c r="MM26"/>
      <c r="MN26"/>
      <c r="MO26"/>
      <c r="MP26"/>
      <c r="MQ26"/>
      <c r="MR26"/>
      <c r="MS26"/>
      <c r="MT26"/>
      <c r="MU26"/>
      <c r="MV26"/>
      <c r="MW26"/>
      <c r="MX26"/>
      <c r="MY26"/>
      <c r="MZ26"/>
      <c r="NA26"/>
      <c r="NB26"/>
      <c r="NC26"/>
      <c r="ND26"/>
      <c r="NE26"/>
      <c r="NF26"/>
      <c r="NG26"/>
      <c r="NH26"/>
      <c r="NI26"/>
      <c r="NJ26"/>
      <c r="NK26"/>
      <c r="NL26"/>
      <c r="NM26"/>
      <c r="NN26"/>
      <c r="NO26"/>
      <c r="NP26"/>
      <c r="NQ26"/>
      <c r="NR26"/>
      <c r="NS26"/>
      <c r="NT26"/>
      <c r="NU26"/>
      <c r="NV26"/>
      <c r="NW26"/>
      <c r="NX26"/>
      <c r="NY26"/>
      <c r="NZ26"/>
      <c r="OA26"/>
      <c r="OB26"/>
      <c r="OC26"/>
      <c r="OD26"/>
      <c r="OE26"/>
      <c r="OF26"/>
      <c r="OG26"/>
      <c r="OH26"/>
      <c r="OI26"/>
      <c r="OJ26"/>
      <c r="OK26"/>
      <c r="OL26"/>
      <c r="OM26"/>
      <c r="ON26"/>
      <c r="OO26"/>
      <c r="OP26"/>
      <c r="OQ26"/>
      <c r="OR26"/>
      <c r="OS26"/>
      <c r="OT26"/>
      <c r="OU26"/>
      <c r="OV26"/>
      <c r="OW26"/>
      <c r="OX26"/>
      <c r="OY26"/>
      <c r="OZ26"/>
      <c r="PA26"/>
      <c r="PB26"/>
      <c r="PC26"/>
      <c r="PD26"/>
      <c r="PE26"/>
      <c r="PF26"/>
      <c r="PG26"/>
      <c r="PH26"/>
      <c r="PI26"/>
      <c r="PJ26"/>
      <c r="PK26"/>
      <c r="PL26"/>
      <c r="PM26"/>
      <c r="PN26"/>
      <c r="PO26"/>
      <c r="PP26"/>
      <c r="PQ26"/>
      <c r="PR26"/>
      <c r="PS26"/>
      <c r="PT26"/>
      <c r="PU26"/>
      <c r="PV26"/>
      <c r="PW26"/>
      <c r="PX26"/>
      <c r="PY26"/>
      <c r="PZ26"/>
      <c r="QA26"/>
      <c r="QB26"/>
      <c r="QC26"/>
      <c r="QD26"/>
      <c r="QE26"/>
      <c r="QF26"/>
      <c r="QG26"/>
      <c r="QH26"/>
      <c r="QI26"/>
      <c r="QJ26"/>
      <c r="QK26"/>
      <c r="QL26"/>
      <c r="QM26"/>
      <c r="QN26"/>
      <c r="QO26"/>
      <c r="QP26"/>
      <c r="QQ26"/>
      <c r="QR26"/>
      <c r="QS26"/>
      <c r="QT26"/>
      <c r="QU26"/>
      <c r="QV26"/>
      <c r="QW26"/>
      <c r="QX26"/>
      <c r="QY26"/>
      <c r="QZ26"/>
      <c r="RA26"/>
      <c r="RB26"/>
      <c r="RC26"/>
      <c r="RD26"/>
      <c r="RE26"/>
      <c r="RF26"/>
      <c r="RG26"/>
      <c r="RH26"/>
      <c r="RI26"/>
      <c r="RJ26"/>
      <c r="RK26"/>
      <c r="RL26"/>
      <c r="RM26"/>
      <c r="RN26"/>
      <c r="RO26"/>
      <c r="RP26"/>
      <c r="RQ26"/>
      <c r="RR26"/>
      <c r="RS26"/>
    </row>
    <row r="27" spans="3:506" x14ac:dyDescent="0.25">
      <c r="C27" s="2" t="s">
        <v>84</v>
      </c>
      <c r="D27" s="34">
        <v>3</v>
      </c>
      <c r="F27" s="2" t="s">
        <v>20</v>
      </c>
      <c r="G27" s="34">
        <v>10</v>
      </c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C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K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S27"/>
      <c r="GT27"/>
      <c r="GU27"/>
      <c r="GV27"/>
      <c r="GW27"/>
      <c r="GX27"/>
      <c r="GY27"/>
      <c r="GZ27"/>
      <c r="HA27"/>
      <c r="HB27"/>
      <c r="HC27"/>
      <c r="HD27"/>
      <c r="HE27"/>
      <c r="HF27"/>
      <c r="HG27"/>
      <c r="HH27"/>
      <c r="HI27"/>
      <c r="HJ27"/>
      <c r="HK27"/>
      <c r="HL27"/>
      <c r="HM27"/>
      <c r="HN27"/>
      <c r="HO27"/>
      <c r="HP27"/>
      <c r="HQ27"/>
      <c r="HR27"/>
      <c r="HS27"/>
      <c r="HT27"/>
      <c r="HU27"/>
      <c r="HV27"/>
      <c r="HW27"/>
      <c r="HX27"/>
      <c r="HY27"/>
      <c r="HZ27"/>
      <c r="IA27"/>
      <c r="IB27"/>
      <c r="IC27"/>
      <c r="ID27"/>
      <c r="IE27"/>
      <c r="IF27"/>
      <c r="IG27"/>
      <c r="IH27"/>
      <c r="II27"/>
      <c r="IJ27"/>
      <c r="IK27"/>
      <c r="IL27"/>
      <c r="IM27"/>
      <c r="IN27"/>
      <c r="IO27"/>
      <c r="IP27"/>
      <c r="IQ27"/>
      <c r="IR27"/>
      <c r="IS27"/>
      <c r="IT27"/>
      <c r="IU27"/>
      <c r="IV27"/>
      <c r="IW27"/>
      <c r="IX27"/>
      <c r="IY27"/>
      <c r="IZ27"/>
      <c r="JA27"/>
      <c r="JB27"/>
      <c r="JC27"/>
      <c r="JD27"/>
      <c r="JE27"/>
      <c r="JF27"/>
      <c r="JG27"/>
      <c r="JH27"/>
      <c r="JI27"/>
      <c r="JJ27"/>
      <c r="JK27"/>
      <c r="JL27"/>
      <c r="JM27"/>
      <c r="JN27"/>
      <c r="JO27"/>
      <c r="JP27"/>
      <c r="JQ27"/>
      <c r="JR27"/>
      <c r="JS27"/>
      <c r="JT27"/>
      <c r="JU27"/>
      <c r="JV27"/>
      <c r="JW27"/>
      <c r="JX27"/>
      <c r="JY27"/>
      <c r="JZ27"/>
      <c r="KA27"/>
      <c r="KB27"/>
      <c r="KC27"/>
      <c r="KD27"/>
      <c r="KE27"/>
      <c r="KF27"/>
      <c r="KG27"/>
      <c r="KH27"/>
      <c r="KI27"/>
      <c r="KJ27"/>
      <c r="KK27"/>
      <c r="KL27"/>
      <c r="KM27"/>
      <c r="KN27"/>
      <c r="KO27"/>
      <c r="KP27"/>
      <c r="KQ27"/>
      <c r="KR27"/>
      <c r="KS27"/>
      <c r="KT27"/>
      <c r="KU27"/>
      <c r="KV27"/>
      <c r="KW27"/>
      <c r="KX27"/>
      <c r="KY27"/>
      <c r="KZ27"/>
      <c r="LA27"/>
      <c r="LB27"/>
      <c r="LC27"/>
      <c r="LD27"/>
      <c r="LE27"/>
      <c r="LF27"/>
      <c r="LG27"/>
      <c r="LH27"/>
      <c r="LI27"/>
      <c r="LJ27"/>
      <c r="LK27"/>
      <c r="LL27"/>
      <c r="LM27"/>
      <c r="LN27"/>
      <c r="LO27"/>
      <c r="LP27"/>
      <c r="LQ27"/>
      <c r="LR27"/>
      <c r="LS27"/>
      <c r="LT27"/>
      <c r="LU27"/>
      <c r="LV27"/>
      <c r="LW27"/>
      <c r="LX27"/>
      <c r="LY27"/>
      <c r="LZ27"/>
      <c r="MA27"/>
      <c r="MB27"/>
      <c r="MC27"/>
      <c r="MD27"/>
      <c r="ME27"/>
      <c r="MF27"/>
      <c r="MG27"/>
      <c r="MH27"/>
      <c r="MI27"/>
      <c r="MJ27"/>
      <c r="MK27"/>
      <c r="ML27"/>
      <c r="MM27"/>
      <c r="MN27"/>
      <c r="MO27"/>
      <c r="MP27"/>
      <c r="MQ27"/>
      <c r="MR27"/>
      <c r="MS27"/>
      <c r="MT27"/>
      <c r="MU27"/>
      <c r="MV27"/>
      <c r="MW27"/>
      <c r="MX27"/>
      <c r="MY27"/>
      <c r="MZ27"/>
      <c r="NA27"/>
      <c r="NB27"/>
      <c r="NC27"/>
      <c r="ND27"/>
      <c r="NE27"/>
      <c r="NF27"/>
      <c r="NG27"/>
      <c r="NH27"/>
      <c r="NI27"/>
      <c r="NJ27"/>
      <c r="NK27"/>
      <c r="NL27"/>
      <c r="NM27"/>
      <c r="NN27"/>
      <c r="NO27"/>
      <c r="NP27"/>
      <c r="NQ27"/>
      <c r="NR27"/>
      <c r="NS27"/>
      <c r="NT27"/>
      <c r="NU27"/>
      <c r="NV27"/>
      <c r="NW27"/>
      <c r="NX27"/>
      <c r="NY27"/>
      <c r="NZ27"/>
      <c r="OA27"/>
      <c r="OB27"/>
      <c r="OC27"/>
      <c r="OD27"/>
      <c r="OE27"/>
      <c r="OF27"/>
      <c r="OG27"/>
      <c r="OH27"/>
      <c r="OI27"/>
      <c r="OJ27"/>
      <c r="OK27"/>
      <c r="OL27"/>
      <c r="OM27"/>
      <c r="ON27"/>
      <c r="OO27"/>
      <c r="OP27"/>
      <c r="OQ27"/>
      <c r="OR27"/>
      <c r="OS27"/>
      <c r="OT27"/>
      <c r="OU27"/>
      <c r="OV27"/>
      <c r="OW27"/>
      <c r="OX27"/>
      <c r="OY27"/>
      <c r="OZ27"/>
      <c r="PA27"/>
      <c r="PB27"/>
      <c r="PC27"/>
      <c r="PD27"/>
      <c r="PE27"/>
      <c r="PF27"/>
      <c r="PG27"/>
      <c r="PH27"/>
      <c r="PI27"/>
      <c r="PJ27"/>
      <c r="PK27"/>
      <c r="PL27"/>
      <c r="PM27"/>
      <c r="PN27"/>
      <c r="PO27"/>
      <c r="PP27"/>
      <c r="PQ27"/>
      <c r="PR27"/>
      <c r="PS27"/>
      <c r="PT27"/>
      <c r="PU27"/>
      <c r="PV27"/>
      <c r="PW27"/>
      <c r="PX27"/>
      <c r="PY27"/>
      <c r="PZ27"/>
      <c r="QA27"/>
      <c r="QB27"/>
      <c r="QC27"/>
      <c r="QD27"/>
      <c r="QE27"/>
      <c r="QF27"/>
      <c r="QG27"/>
      <c r="QH27"/>
      <c r="QI27"/>
      <c r="QJ27"/>
      <c r="QK27"/>
      <c r="QL27"/>
      <c r="QM27"/>
      <c r="QN27"/>
      <c r="QO27"/>
      <c r="QP27"/>
      <c r="QQ27"/>
      <c r="QR27"/>
      <c r="QS27"/>
      <c r="QT27"/>
      <c r="QU27"/>
      <c r="QV27"/>
      <c r="QW27"/>
      <c r="QX27"/>
      <c r="QY27"/>
      <c r="QZ27"/>
      <c r="RA27"/>
      <c r="RB27"/>
      <c r="RC27"/>
      <c r="RD27"/>
      <c r="RE27"/>
      <c r="RF27"/>
      <c r="RG27"/>
      <c r="RH27"/>
      <c r="RI27"/>
      <c r="RJ27"/>
      <c r="RK27"/>
      <c r="RL27"/>
      <c r="RM27"/>
      <c r="RN27"/>
      <c r="RO27"/>
      <c r="RP27"/>
      <c r="RQ27"/>
      <c r="RR27"/>
      <c r="RS27"/>
    </row>
    <row r="28" spans="3:506" x14ac:dyDescent="0.25">
      <c r="C28" s="2" t="s">
        <v>99</v>
      </c>
      <c r="D28" s="34">
        <v>3</v>
      </c>
      <c r="F28" s="2" t="s">
        <v>32</v>
      </c>
      <c r="G28" s="34">
        <v>9</v>
      </c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S28"/>
      <c r="GT28"/>
      <c r="GU28"/>
      <c r="GV28"/>
      <c r="GW28"/>
      <c r="GX28"/>
      <c r="GY28"/>
      <c r="GZ28"/>
      <c r="HA28"/>
      <c r="HB28"/>
      <c r="HC28"/>
      <c r="HD28"/>
      <c r="HE28"/>
      <c r="HF28"/>
      <c r="HG28"/>
      <c r="HH28"/>
      <c r="HI28"/>
      <c r="HJ28"/>
      <c r="HK28"/>
      <c r="HL28"/>
      <c r="HM28"/>
      <c r="HN28"/>
      <c r="HO28"/>
      <c r="HP28"/>
      <c r="HQ28"/>
      <c r="HR28"/>
      <c r="HS28"/>
      <c r="HT28"/>
      <c r="HU28"/>
      <c r="HV28"/>
      <c r="HW28"/>
      <c r="HX28"/>
      <c r="HY28"/>
      <c r="HZ28"/>
      <c r="IA28"/>
      <c r="IB28"/>
      <c r="IC28"/>
      <c r="ID28"/>
      <c r="IE28"/>
      <c r="IF28"/>
      <c r="IG28"/>
      <c r="IH28"/>
      <c r="II28"/>
      <c r="IJ28"/>
      <c r="IK28"/>
      <c r="IL28"/>
      <c r="IM28"/>
      <c r="IN28"/>
      <c r="IO28"/>
      <c r="IP28"/>
      <c r="IQ28"/>
      <c r="IR28"/>
      <c r="IS28"/>
      <c r="IT28"/>
      <c r="IU28"/>
      <c r="IV28"/>
      <c r="IW28"/>
      <c r="IX28"/>
      <c r="IY28"/>
      <c r="IZ28"/>
      <c r="JA28"/>
      <c r="JB28"/>
      <c r="JC28"/>
      <c r="JD28"/>
      <c r="JE28"/>
      <c r="JF28"/>
      <c r="JG28"/>
      <c r="JH28"/>
      <c r="JI28"/>
      <c r="JJ28"/>
      <c r="JK28"/>
      <c r="JL28"/>
      <c r="JM28"/>
      <c r="JN28"/>
      <c r="JO28"/>
      <c r="JP28"/>
      <c r="JQ28"/>
      <c r="JR28"/>
      <c r="JS28"/>
      <c r="JT28"/>
      <c r="JU28"/>
      <c r="JV28"/>
      <c r="JW28"/>
      <c r="JX28"/>
      <c r="JY28"/>
      <c r="JZ28"/>
      <c r="KA28"/>
      <c r="KB28"/>
      <c r="KC28"/>
      <c r="KD28"/>
      <c r="KE28"/>
      <c r="KF28"/>
      <c r="KG28"/>
      <c r="KH28"/>
      <c r="KI28"/>
      <c r="KJ28"/>
      <c r="KK28"/>
      <c r="KL28"/>
      <c r="KM28"/>
      <c r="KN28"/>
      <c r="KO28"/>
      <c r="KP28"/>
      <c r="KQ28"/>
      <c r="KR28"/>
      <c r="KS28"/>
      <c r="KT28"/>
      <c r="KU28"/>
      <c r="KV28"/>
      <c r="KW28"/>
      <c r="KX28"/>
      <c r="KY28"/>
      <c r="KZ28"/>
      <c r="LA28"/>
      <c r="LB28"/>
      <c r="LC28"/>
      <c r="LD28"/>
      <c r="LE28"/>
      <c r="LF28"/>
      <c r="LG28"/>
      <c r="LH28"/>
      <c r="LI28"/>
      <c r="LJ28"/>
      <c r="LK28"/>
      <c r="LL28"/>
      <c r="LM28"/>
      <c r="LN28"/>
      <c r="LO28"/>
      <c r="LP28"/>
      <c r="LQ28"/>
      <c r="LR28"/>
      <c r="LS28"/>
      <c r="LT28"/>
      <c r="LU28"/>
      <c r="LV28"/>
      <c r="LW28"/>
      <c r="LX28"/>
      <c r="LY28"/>
      <c r="LZ28"/>
      <c r="MA28"/>
      <c r="MB28"/>
      <c r="MC28"/>
      <c r="MD28"/>
      <c r="ME28"/>
      <c r="MF28"/>
      <c r="MG28"/>
      <c r="MH28"/>
      <c r="MI28"/>
      <c r="MJ28"/>
      <c r="MK28"/>
      <c r="ML28"/>
      <c r="MM28"/>
      <c r="MN28"/>
      <c r="MO28"/>
      <c r="MP28"/>
      <c r="MQ28"/>
      <c r="MR28"/>
      <c r="MS28"/>
      <c r="MT28"/>
      <c r="MU28"/>
      <c r="MV28"/>
      <c r="MW28"/>
      <c r="MX28"/>
      <c r="MY28"/>
      <c r="MZ28"/>
      <c r="NA28"/>
      <c r="NB28"/>
      <c r="NC28"/>
      <c r="ND28"/>
      <c r="NE28"/>
      <c r="NF28"/>
      <c r="NG28"/>
      <c r="NH28"/>
      <c r="NI28"/>
      <c r="NJ28"/>
      <c r="NK28"/>
      <c r="NL28"/>
      <c r="NM28"/>
      <c r="NN28"/>
      <c r="NO28"/>
      <c r="NP28"/>
      <c r="NQ28"/>
      <c r="NR28"/>
      <c r="NS28"/>
      <c r="NT28"/>
      <c r="NU28"/>
      <c r="NV28"/>
      <c r="NW28"/>
      <c r="NX28"/>
      <c r="NY28"/>
      <c r="NZ28"/>
      <c r="OA28"/>
      <c r="OB28"/>
      <c r="OC28"/>
      <c r="OD28"/>
      <c r="OE28"/>
      <c r="OF28"/>
      <c r="OG28"/>
      <c r="OH28"/>
      <c r="OI28"/>
      <c r="OJ28"/>
      <c r="OK28"/>
      <c r="OL28"/>
      <c r="OM28"/>
      <c r="ON28"/>
      <c r="OO28"/>
      <c r="OP28"/>
      <c r="OQ28"/>
      <c r="OR28"/>
      <c r="OS28"/>
      <c r="OT28"/>
      <c r="OU28"/>
      <c r="OV28"/>
      <c r="OW28"/>
      <c r="OX28"/>
      <c r="OY28"/>
      <c r="OZ28"/>
      <c r="PA28"/>
      <c r="PB28"/>
      <c r="PC28"/>
      <c r="PD28"/>
      <c r="PE28"/>
      <c r="PF28"/>
      <c r="PG28"/>
      <c r="PH28"/>
      <c r="PI28"/>
      <c r="PJ28"/>
      <c r="PK28"/>
      <c r="PL28"/>
      <c r="PM28"/>
      <c r="PN28"/>
      <c r="PO28"/>
      <c r="PP28"/>
      <c r="PQ28"/>
      <c r="PR28"/>
      <c r="PS28"/>
      <c r="PT28"/>
      <c r="PU28"/>
      <c r="PV28"/>
      <c r="PW28"/>
      <c r="PX28"/>
      <c r="PY28"/>
      <c r="PZ28"/>
      <c r="QA28"/>
      <c r="QB28"/>
      <c r="QC28"/>
      <c r="QD28"/>
      <c r="QE28"/>
      <c r="QF28"/>
      <c r="QG28"/>
      <c r="QH28"/>
      <c r="QI28"/>
      <c r="QJ28"/>
      <c r="QK28"/>
      <c r="QL28"/>
      <c r="QM28"/>
      <c r="QN28"/>
      <c r="QO28"/>
      <c r="QP28"/>
      <c r="QQ28"/>
      <c r="QR28"/>
      <c r="QS28"/>
      <c r="QT28"/>
      <c r="QU28"/>
      <c r="QV28"/>
      <c r="QW28"/>
      <c r="QX28"/>
      <c r="QY28"/>
      <c r="QZ28"/>
      <c r="RA28"/>
      <c r="RB28"/>
      <c r="RC28"/>
      <c r="RD28"/>
      <c r="RE28"/>
      <c r="RF28"/>
      <c r="RG28"/>
      <c r="RH28"/>
      <c r="RI28"/>
      <c r="RJ28"/>
      <c r="RK28"/>
      <c r="RL28"/>
      <c r="RM28"/>
      <c r="RN28"/>
      <c r="RO28"/>
      <c r="RP28"/>
      <c r="RQ28"/>
      <c r="RR28"/>
      <c r="RS28"/>
    </row>
    <row r="29" spans="3:506" x14ac:dyDescent="0.25">
      <c r="C29" s="2" t="s">
        <v>57</v>
      </c>
      <c r="D29" s="34">
        <v>3</v>
      </c>
      <c r="F29" s="2" t="s">
        <v>18</v>
      </c>
      <c r="G29" s="34">
        <v>8</v>
      </c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A29"/>
      <c r="HB29"/>
      <c r="HC29"/>
      <c r="HD29"/>
      <c r="HE29"/>
      <c r="HF29"/>
      <c r="HG29"/>
      <c r="HH29"/>
      <c r="HI29"/>
      <c r="HJ29"/>
      <c r="HK29"/>
      <c r="HL29"/>
      <c r="HM29"/>
      <c r="HN29"/>
      <c r="HO29"/>
      <c r="HP29"/>
      <c r="HQ29"/>
      <c r="HR29"/>
      <c r="HS29"/>
      <c r="HT29"/>
      <c r="HU29"/>
      <c r="HV29"/>
      <c r="HW29"/>
      <c r="HX29"/>
      <c r="HY29"/>
      <c r="HZ29"/>
      <c r="IA29"/>
      <c r="IB29"/>
      <c r="IC29"/>
      <c r="ID29"/>
      <c r="IE29"/>
      <c r="IF29"/>
      <c r="IG29"/>
      <c r="IH29"/>
      <c r="II29"/>
      <c r="IJ29"/>
      <c r="IK29"/>
      <c r="IL29"/>
      <c r="IM29"/>
      <c r="IN29"/>
      <c r="IO29"/>
      <c r="IP29"/>
      <c r="IQ29"/>
      <c r="IR29"/>
      <c r="IS29"/>
      <c r="IT29"/>
      <c r="IU29"/>
      <c r="IV29"/>
      <c r="IW29"/>
      <c r="IX29"/>
      <c r="IY29"/>
      <c r="IZ29"/>
      <c r="JA29"/>
      <c r="JB29"/>
      <c r="JC29"/>
      <c r="JD29"/>
      <c r="JE29"/>
      <c r="JF29"/>
      <c r="JG29"/>
      <c r="JH29"/>
      <c r="JI29"/>
      <c r="JJ29"/>
      <c r="JK29"/>
      <c r="JL29"/>
      <c r="JM29"/>
      <c r="JN29"/>
      <c r="JO29"/>
      <c r="JP29"/>
      <c r="JQ29"/>
      <c r="JR29"/>
      <c r="JS29"/>
      <c r="JT29"/>
      <c r="JU29"/>
      <c r="JV29"/>
      <c r="JW29"/>
      <c r="JX29"/>
      <c r="JY29"/>
      <c r="JZ29"/>
      <c r="KA29"/>
      <c r="KB29"/>
      <c r="KC29"/>
      <c r="KD29"/>
      <c r="KE29"/>
      <c r="KF29"/>
      <c r="KG29"/>
      <c r="KH29"/>
      <c r="KI29"/>
      <c r="KJ29"/>
      <c r="KK29"/>
      <c r="KL29"/>
      <c r="KM29"/>
      <c r="KN29"/>
      <c r="KO29"/>
      <c r="KP29"/>
      <c r="KQ29"/>
      <c r="KR29"/>
      <c r="KS29"/>
      <c r="KT29"/>
      <c r="KU29"/>
      <c r="KV29"/>
      <c r="KW29"/>
      <c r="KX29"/>
      <c r="KY29"/>
      <c r="KZ29"/>
      <c r="LA29"/>
      <c r="LB29"/>
      <c r="LC29"/>
      <c r="LD29"/>
      <c r="LE29"/>
      <c r="LF29"/>
      <c r="LG29"/>
      <c r="LH29"/>
      <c r="LI29"/>
      <c r="LJ29"/>
      <c r="LK29"/>
      <c r="LL29"/>
      <c r="LM29"/>
      <c r="LN29"/>
      <c r="LO29"/>
      <c r="LP29"/>
      <c r="LQ29"/>
      <c r="LR29"/>
      <c r="LS29"/>
      <c r="LT29"/>
      <c r="LU29"/>
      <c r="LV29"/>
      <c r="LW29"/>
      <c r="LX29"/>
      <c r="LY29"/>
      <c r="LZ29"/>
      <c r="MA29"/>
      <c r="MB29"/>
      <c r="MC29"/>
      <c r="MD29"/>
      <c r="ME29"/>
      <c r="MF29"/>
      <c r="MG29"/>
      <c r="MH29"/>
      <c r="MI29"/>
      <c r="MJ29"/>
      <c r="MK29"/>
      <c r="ML29"/>
      <c r="MM29"/>
      <c r="MN29"/>
      <c r="MO29"/>
      <c r="MP29"/>
      <c r="MQ29"/>
      <c r="MR29"/>
      <c r="MS29"/>
      <c r="MT29"/>
      <c r="MU29"/>
      <c r="MV29"/>
      <c r="MW29"/>
      <c r="MX29"/>
      <c r="MY29"/>
      <c r="MZ29"/>
      <c r="NA29"/>
      <c r="NB29"/>
      <c r="NC29"/>
      <c r="ND29"/>
      <c r="NE29"/>
      <c r="NF29"/>
      <c r="NG29"/>
      <c r="NH29"/>
      <c r="NI29"/>
      <c r="NJ29"/>
      <c r="NK29"/>
      <c r="NL29"/>
      <c r="NM29"/>
      <c r="NN29"/>
      <c r="NO29"/>
      <c r="NP29"/>
      <c r="NQ29"/>
      <c r="NR29"/>
      <c r="NS29"/>
      <c r="NT29"/>
      <c r="NU29"/>
      <c r="NV29"/>
      <c r="NW29"/>
      <c r="NX29"/>
      <c r="NY29"/>
      <c r="NZ29"/>
      <c r="OA29"/>
      <c r="OB29"/>
      <c r="OC29"/>
      <c r="OD29"/>
      <c r="OE29"/>
      <c r="OF29"/>
      <c r="OG29"/>
      <c r="OH29"/>
      <c r="OI29"/>
      <c r="OJ29"/>
      <c r="OK29"/>
      <c r="OL29"/>
      <c r="OM29"/>
      <c r="ON29"/>
      <c r="OO29"/>
      <c r="OP29"/>
      <c r="OQ29"/>
      <c r="OR29"/>
      <c r="OS29"/>
      <c r="OT29"/>
      <c r="OU29"/>
      <c r="OV29"/>
      <c r="OW29"/>
      <c r="OX29"/>
      <c r="OY29"/>
      <c r="OZ29"/>
      <c r="PA29"/>
      <c r="PB29"/>
      <c r="PC29"/>
      <c r="PD29"/>
      <c r="PE29"/>
      <c r="PF29"/>
      <c r="PG29"/>
      <c r="PH29"/>
      <c r="PI29"/>
      <c r="PJ29"/>
      <c r="PK29"/>
      <c r="PL29"/>
      <c r="PM29"/>
      <c r="PN29"/>
      <c r="PO29"/>
      <c r="PP29"/>
      <c r="PQ29"/>
      <c r="PR29"/>
      <c r="PS29"/>
      <c r="PT29"/>
      <c r="PU29"/>
      <c r="PV29"/>
      <c r="PW29"/>
      <c r="PX29"/>
      <c r="PY29"/>
      <c r="PZ29"/>
      <c r="QA29"/>
      <c r="QB29"/>
      <c r="QC29"/>
      <c r="QD29"/>
      <c r="QE29"/>
      <c r="QF29"/>
      <c r="QG29"/>
      <c r="QH29"/>
      <c r="QI29"/>
      <c r="QJ29"/>
      <c r="QK29"/>
      <c r="QL29"/>
      <c r="QM29"/>
      <c r="QN29"/>
      <c r="QO29"/>
      <c r="QP29"/>
      <c r="QQ29"/>
      <c r="QR29"/>
      <c r="QS29"/>
      <c r="QT29"/>
      <c r="QU29"/>
      <c r="QV29"/>
      <c r="QW29"/>
      <c r="QX29"/>
      <c r="QY29"/>
      <c r="QZ29"/>
      <c r="RA29"/>
      <c r="RB29"/>
      <c r="RC29"/>
      <c r="RD29"/>
      <c r="RE29"/>
      <c r="RF29"/>
      <c r="RG29"/>
      <c r="RH29"/>
      <c r="RI29"/>
      <c r="RJ29"/>
      <c r="RK29"/>
      <c r="RL29"/>
      <c r="RM29"/>
      <c r="RN29"/>
      <c r="RO29"/>
      <c r="RP29"/>
      <c r="RQ29"/>
      <c r="RR29"/>
      <c r="RS29"/>
    </row>
    <row r="30" spans="3:506" x14ac:dyDescent="0.25">
      <c r="C30" s="2" t="s">
        <v>76</v>
      </c>
      <c r="D30" s="34">
        <v>3</v>
      </c>
      <c r="F30" s="2" t="s">
        <v>26</v>
      </c>
      <c r="G30" s="34">
        <v>8</v>
      </c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A30"/>
      <c r="HB30"/>
      <c r="HC30"/>
      <c r="HD30"/>
      <c r="HE30"/>
      <c r="HF30"/>
      <c r="HG30"/>
      <c r="HH30"/>
      <c r="HI30"/>
      <c r="HJ30"/>
      <c r="HK30"/>
      <c r="HL30"/>
      <c r="HM30"/>
      <c r="HN30"/>
      <c r="HO30"/>
      <c r="HP30"/>
      <c r="HQ30"/>
      <c r="HR30"/>
      <c r="HS30"/>
      <c r="HT30"/>
      <c r="HU30"/>
      <c r="HV30"/>
      <c r="HW30"/>
      <c r="HX30"/>
      <c r="HY30"/>
      <c r="HZ30"/>
      <c r="IA30"/>
      <c r="IB30"/>
      <c r="IC30"/>
      <c r="ID30"/>
      <c r="IE30"/>
      <c r="IF30"/>
      <c r="IG30"/>
      <c r="IH30"/>
      <c r="II30"/>
      <c r="IJ30"/>
      <c r="IK30"/>
      <c r="IL30"/>
      <c r="IM30"/>
      <c r="IN30"/>
      <c r="IO30"/>
      <c r="IP30"/>
      <c r="IQ30"/>
      <c r="IR30"/>
      <c r="IS30"/>
      <c r="IT30"/>
      <c r="IU30"/>
      <c r="IV30"/>
      <c r="IW30"/>
      <c r="IX30"/>
      <c r="IY30"/>
      <c r="IZ30"/>
      <c r="JA30"/>
      <c r="JB30"/>
      <c r="JC30"/>
      <c r="JD30"/>
      <c r="JE30"/>
      <c r="JF30"/>
      <c r="JG30"/>
      <c r="JH30"/>
      <c r="JI30"/>
      <c r="JJ30"/>
      <c r="JK30"/>
      <c r="JL30"/>
      <c r="JM30"/>
      <c r="JN30"/>
      <c r="JO30"/>
      <c r="JP30"/>
      <c r="JQ30"/>
      <c r="JR30"/>
      <c r="JS30"/>
      <c r="JT30"/>
      <c r="JU30"/>
      <c r="JV30"/>
      <c r="JW30"/>
      <c r="JX30"/>
      <c r="JY30"/>
      <c r="JZ30"/>
      <c r="KA30"/>
      <c r="KB30"/>
      <c r="KC30"/>
      <c r="KD30"/>
      <c r="KE30"/>
      <c r="KF30"/>
      <c r="KG30"/>
      <c r="KH30"/>
      <c r="KI30"/>
      <c r="KJ30"/>
      <c r="KK30"/>
      <c r="KL30"/>
      <c r="KM30"/>
      <c r="KN30"/>
      <c r="KO30"/>
      <c r="KP30"/>
      <c r="KQ30"/>
      <c r="KR30"/>
      <c r="KS30"/>
      <c r="KT30"/>
      <c r="KU30"/>
      <c r="KV30"/>
      <c r="KW30"/>
      <c r="KX30"/>
      <c r="KY30"/>
      <c r="KZ30"/>
      <c r="LA30"/>
      <c r="LB30"/>
      <c r="LC30"/>
      <c r="LD30"/>
      <c r="LE30"/>
      <c r="LF30"/>
      <c r="LG30"/>
      <c r="LH30"/>
      <c r="LI30"/>
      <c r="LJ30"/>
      <c r="LK30"/>
      <c r="LL30"/>
      <c r="LM30"/>
      <c r="LN30"/>
      <c r="LO30"/>
      <c r="LP30"/>
      <c r="LQ30"/>
      <c r="LR30"/>
      <c r="LS30"/>
      <c r="LT30"/>
      <c r="LU30"/>
      <c r="LV30"/>
      <c r="LW30"/>
      <c r="LX30"/>
      <c r="LY30"/>
      <c r="LZ30"/>
      <c r="MA30"/>
      <c r="MB30"/>
      <c r="MC30"/>
      <c r="MD30"/>
      <c r="ME30"/>
      <c r="MF30"/>
      <c r="MG30"/>
      <c r="MH30"/>
      <c r="MI30"/>
      <c r="MJ30"/>
      <c r="MK30"/>
      <c r="ML30"/>
      <c r="MM30"/>
      <c r="MN30"/>
      <c r="MO30"/>
      <c r="MP30"/>
      <c r="MQ30"/>
      <c r="MR30"/>
      <c r="MS30"/>
      <c r="MT30"/>
      <c r="MU30"/>
      <c r="MV30"/>
      <c r="MW30"/>
      <c r="MX30"/>
      <c r="MY30"/>
      <c r="MZ30"/>
      <c r="NA30"/>
      <c r="NB30"/>
      <c r="NC30"/>
      <c r="ND30"/>
      <c r="NE30"/>
      <c r="NF30"/>
      <c r="NG30"/>
      <c r="NH30"/>
      <c r="NI30"/>
      <c r="NJ30"/>
      <c r="NK30"/>
      <c r="NL30"/>
      <c r="NM30"/>
      <c r="NN30"/>
      <c r="NO30"/>
      <c r="NP30"/>
      <c r="NQ30"/>
      <c r="NR30"/>
      <c r="NS30"/>
      <c r="NT30"/>
      <c r="NU30"/>
      <c r="NV30"/>
      <c r="NW30"/>
      <c r="NX30"/>
      <c r="NY30"/>
      <c r="NZ30"/>
      <c r="OA30"/>
      <c r="OB30"/>
      <c r="OC30"/>
      <c r="OD30"/>
      <c r="OE30"/>
      <c r="OF30"/>
      <c r="OG30"/>
      <c r="OH30"/>
      <c r="OI30"/>
      <c r="OJ30"/>
      <c r="OK30"/>
      <c r="OL30"/>
      <c r="OM30"/>
      <c r="ON30"/>
      <c r="OO30"/>
      <c r="OP30"/>
      <c r="OQ30"/>
      <c r="OR30"/>
      <c r="OS30"/>
      <c r="OT30"/>
      <c r="OU30"/>
      <c r="OV30"/>
      <c r="OW30"/>
      <c r="OX30"/>
      <c r="OY30"/>
      <c r="OZ30"/>
      <c r="PA30"/>
      <c r="PB30"/>
      <c r="PC30"/>
      <c r="PD30"/>
      <c r="PE30"/>
      <c r="PF30"/>
      <c r="PG30"/>
      <c r="PH30"/>
      <c r="PI30"/>
      <c r="PJ30"/>
      <c r="PK30"/>
      <c r="PL30"/>
      <c r="PM30"/>
      <c r="PN30"/>
      <c r="PO30"/>
      <c r="PP30"/>
      <c r="PQ30"/>
      <c r="PR30"/>
      <c r="PS30"/>
      <c r="PT30"/>
      <c r="PU30"/>
      <c r="PV30"/>
      <c r="PW30"/>
      <c r="PX30"/>
      <c r="PY30"/>
      <c r="PZ30"/>
      <c r="QA30"/>
      <c r="QB30"/>
      <c r="QC30"/>
      <c r="QD30"/>
      <c r="QE30"/>
      <c r="QF30"/>
      <c r="QG30"/>
      <c r="QH30"/>
      <c r="QI30"/>
      <c r="QJ30"/>
      <c r="QK30"/>
      <c r="QL30"/>
      <c r="QM30"/>
      <c r="QN30"/>
      <c r="QO30"/>
      <c r="QP30"/>
      <c r="QQ30"/>
      <c r="QR30"/>
      <c r="QS30"/>
      <c r="QT30"/>
      <c r="QU30"/>
      <c r="QV30"/>
      <c r="QW30"/>
      <c r="QX30"/>
      <c r="QY30"/>
      <c r="QZ30"/>
      <c r="RA30"/>
      <c r="RB30"/>
      <c r="RC30"/>
      <c r="RD30"/>
      <c r="RE30"/>
      <c r="RF30"/>
      <c r="RG30"/>
      <c r="RH30"/>
      <c r="RI30"/>
      <c r="RJ30"/>
      <c r="RK30"/>
      <c r="RL30"/>
      <c r="RM30"/>
      <c r="RN30"/>
      <c r="RO30"/>
      <c r="RP30"/>
      <c r="RQ30"/>
      <c r="RR30"/>
      <c r="RS30"/>
    </row>
    <row r="31" spans="3:506" x14ac:dyDescent="0.25">
      <c r="C31" s="2" t="s">
        <v>216</v>
      </c>
      <c r="D31" s="34">
        <v>2</v>
      </c>
      <c r="F31" s="2" t="s">
        <v>22</v>
      </c>
      <c r="G31" s="34">
        <v>8</v>
      </c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A31"/>
      <c r="HB31"/>
      <c r="HC31"/>
      <c r="HD31"/>
      <c r="HE31"/>
      <c r="HF31"/>
      <c r="HG31"/>
      <c r="HH31"/>
      <c r="HI31"/>
      <c r="HJ31"/>
      <c r="HK31"/>
      <c r="HL31"/>
      <c r="HM31"/>
      <c r="HN31"/>
      <c r="HO31"/>
      <c r="HP31"/>
      <c r="HQ31"/>
      <c r="HR31"/>
      <c r="HS31"/>
      <c r="HT31"/>
      <c r="HU31"/>
      <c r="HV31"/>
      <c r="HW31"/>
      <c r="HX31"/>
      <c r="HY31"/>
      <c r="HZ31"/>
      <c r="IA31"/>
      <c r="IB31"/>
      <c r="IC31"/>
      <c r="ID31"/>
      <c r="IE31"/>
      <c r="IF31"/>
      <c r="IG31"/>
      <c r="IH31"/>
      <c r="II31"/>
      <c r="IJ31"/>
      <c r="IK31"/>
      <c r="IL31"/>
      <c r="IM31"/>
      <c r="IN31"/>
      <c r="IO31"/>
      <c r="IP31"/>
      <c r="IQ31"/>
      <c r="IR31"/>
      <c r="IS31"/>
      <c r="IT31"/>
      <c r="IU31"/>
      <c r="IV31"/>
      <c r="IW31"/>
      <c r="IX31"/>
      <c r="IY31"/>
      <c r="IZ31"/>
      <c r="JA31"/>
      <c r="JB31"/>
      <c r="JC31"/>
      <c r="JD31"/>
      <c r="JE31"/>
      <c r="JF31"/>
      <c r="JG31"/>
      <c r="JH31"/>
      <c r="JI31"/>
      <c r="JJ31"/>
      <c r="JK31"/>
      <c r="JL31"/>
      <c r="JM31"/>
      <c r="JN31"/>
      <c r="JO31"/>
      <c r="JP31"/>
      <c r="JQ31"/>
      <c r="JR31"/>
      <c r="JS31"/>
      <c r="JT31"/>
      <c r="JU31"/>
      <c r="JV31"/>
      <c r="JW31"/>
      <c r="JX31"/>
      <c r="JY31"/>
      <c r="JZ31"/>
      <c r="KA31"/>
      <c r="KB31"/>
      <c r="KC31"/>
      <c r="KD31"/>
      <c r="KE31"/>
      <c r="KF31"/>
      <c r="KG31"/>
      <c r="KH31"/>
      <c r="KI31"/>
      <c r="KJ31"/>
      <c r="KK31"/>
      <c r="KL31"/>
      <c r="KM31"/>
      <c r="KN31"/>
      <c r="KO31"/>
      <c r="KP31"/>
      <c r="KQ31"/>
      <c r="KR31"/>
      <c r="KS31"/>
      <c r="KT31"/>
      <c r="KU31"/>
      <c r="KV31"/>
      <c r="KW31"/>
      <c r="KX31"/>
      <c r="KY31"/>
      <c r="KZ31"/>
      <c r="LA31"/>
      <c r="LB31"/>
      <c r="LC31"/>
      <c r="LD31"/>
      <c r="LE31"/>
      <c r="LF31"/>
      <c r="LG31"/>
      <c r="LH31"/>
      <c r="LI31"/>
      <c r="LJ31"/>
      <c r="LK31"/>
      <c r="LL31"/>
      <c r="LM31"/>
      <c r="LN31"/>
      <c r="LO31"/>
      <c r="LP31"/>
      <c r="LQ31"/>
      <c r="LR31"/>
      <c r="LS31"/>
      <c r="LT31"/>
      <c r="LU31"/>
      <c r="LV31"/>
      <c r="LW31"/>
      <c r="LX31"/>
      <c r="LY31"/>
      <c r="LZ31"/>
      <c r="MA31"/>
      <c r="MB31"/>
      <c r="MC31"/>
      <c r="MD31"/>
      <c r="ME31"/>
      <c r="MF31"/>
      <c r="MG31"/>
      <c r="MH31"/>
      <c r="MI31"/>
      <c r="MJ31"/>
      <c r="MK31"/>
      <c r="ML31"/>
      <c r="MM31"/>
      <c r="MN31"/>
      <c r="MO31"/>
      <c r="MP31"/>
      <c r="MQ31"/>
      <c r="MR31"/>
      <c r="MS31"/>
      <c r="MT31"/>
      <c r="MU31"/>
      <c r="MV31"/>
      <c r="MW31"/>
      <c r="MX31"/>
      <c r="MY31"/>
      <c r="MZ31"/>
      <c r="NA31"/>
      <c r="NB31"/>
      <c r="NC31"/>
      <c r="ND31"/>
      <c r="NE31"/>
      <c r="NF31"/>
      <c r="NG31"/>
      <c r="NH31"/>
      <c r="NI31"/>
      <c r="NJ31"/>
      <c r="NK31"/>
      <c r="NL31"/>
      <c r="NM31"/>
      <c r="NN31"/>
      <c r="NO31"/>
      <c r="NP31"/>
      <c r="NQ31"/>
      <c r="NR31"/>
      <c r="NS31"/>
      <c r="NT31"/>
      <c r="NU31"/>
      <c r="NV31"/>
      <c r="NW31"/>
      <c r="NX31"/>
      <c r="NY31"/>
      <c r="NZ31"/>
      <c r="OA31"/>
      <c r="OB31"/>
      <c r="OC31"/>
      <c r="OD31"/>
      <c r="OE31"/>
      <c r="OF31"/>
      <c r="OG31"/>
      <c r="OH31"/>
      <c r="OI31"/>
      <c r="OJ31"/>
      <c r="OK31"/>
      <c r="OL31"/>
      <c r="OM31"/>
      <c r="ON31"/>
      <c r="OO31"/>
      <c r="OP31"/>
      <c r="OQ31"/>
      <c r="OR31"/>
      <c r="OS31"/>
      <c r="OT31"/>
      <c r="OU31"/>
      <c r="OV31"/>
      <c r="OW31"/>
      <c r="OX31"/>
      <c r="OY31"/>
      <c r="OZ31"/>
      <c r="PA31"/>
      <c r="PB31"/>
      <c r="PC31"/>
      <c r="PD31"/>
      <c r="PE31"/>
      <c r="PF31"/>
      <c r="PG31"/>
      <c r="PH31"/>
      <c r="PI31"/>
      <c r="PJ31"/>
      <c r="PK31"/>
      <c r="PL31"/>
      <c r="PM31"/>
      <c r="PN31"/>
      <c r="PO31"/>
      <c r="PP31"/>
      <c r="PQ31"/>
      <c r="PR31"/>
      <c r="PS31"/>
      <c r="PT31"/>
      <c r="PU31"/>
      <c r="PV31"/>
      <c r="PW31"/>
      <c r="PX31"/>
      <c r="PY31"/>
      <c r="PZ31"/>
      <c r="QA31"/>
      <c r="QB31"/>
      <c r="QC31"/>
      <c r="QD31"/>
      <c r="QE31"/>
      <c r="QF31"/>
      <c r="QG31"/>
      <c r="QH31"/>
      <c r="QI31"/>
      <c r="QJ31"/>
      <c r="QK31"/>
      <c r="QL31"/>
      <c r="QM31"/>
      <c r="QN31"/>
      <c r="QO31"/>
      <c r="QP31"/>
      <c r="QQ31"/>
      <c r="QR31"/>
      <c r="QS31"/>
      <c r="QT31"/>
      <c r="QU31"/>
      <c r="QV31"/>
      <c r="QW31"/>
      <c r="QX31"/>
      <c r="QY31"/>
      <c r="QZ31"/>
      <c r="RA31"/>
      <c r="RB31"/>
      <c r="RC31"/>
      <c r="RD31"/>
      <c r="RE31"/>
      <c r="RF31"/>
      <c r="RG31"/>
      <c r="RH31"/>
      <c r="RI31"/>
      <c r="RJ31"/>
      <c r="RK31"/>
      <c r="RL31"/>
      <c r="RM31"/>
      <c r="RN31"/>
      <c r="RO31"/>
      <c r="RP31"/>
      <c r="RQ31"/>
      <c r="RR31"/>
      <c r="RS31"/>
    </row>
    <row r="32" spans="3:506" x14ac:dyDescent="0.25">
      <c r="C32" s="2" t="s">
        <v>51</v>
      </c>
      <c r="D32" s="34">
        <v>2</v>
      </c>
      <c r="F32" s="2" t="s">
        <v>24</v>
      </c>
      <c r="G32" s="34">
        <v>7</v>
      </c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S32"/>
      <c r="GT32"/>
      <c r="GU32"/>
      <c r="GV32"/>
      <c r="GW32"/>
      <c r="GX32"/>
      <c r="GY32"/>
      <c r="GZ32"/>
      <c r="HA32"/>
      <c r="HB32"/>
      <c r="HC32"/>
      <c r="HD32"/>
      <c r="HE32"/>
      <c r="HF32"/>
      <c r="HG32"/>
      <c r="HH32"/>
      <c r="HI32"/>
      <c r="HJ32"/>
      <c r="HK32"/>
      <c r="HL32"/>
      <c r="HM32"/>
      <c r="HN32"/>
      <c r="HO32"/>
      <c r="HP32"/>
      <c r="HQ32"/>
      <c r="HR32"/>
      <c r="HS32"/>
      <c r="HT32"/>
      <c r="HU32"/>
      <c r="HV32"/>
      <c r="HW32"/>
      <c r="HX32"/>
      <c r="HY32"/>
      <c r="HZ32"/>
      <c r="IA32"/>
      <c r="IB32"/>
      <c r="IC32"/>
      <c r="ID32"/>
      <c r="IE32"/>
      <c r="IF32"/>
      <c r="IG32"/>
      <c r="IH32"/>
      <c r="II32"/>
      <c r="IJ32"/>
      <c r="IK32"/>
      <c r="IL32"/>
      <c r="IM32"/>
      <c r="IN32"/>
      <c r="IO32"/>
      <c r="IP32"/>
      <c r="IQ32"/>
      <c r="IR32"/>
      <c r="IS32"/>
      <c r="IT32"/>
      <c r="IU32"/>
      <c r="IV32"/>
      <c r="IW32"/>
      <c r="IX32"/>
      <c r="IY32"/>
      <c r="IZ32"/>
      <c r="JA32"/>
      <c r="JB32"/>
      <c r="JC32"/>
      <c r="JD32"/>
      <c r="JE32"/>
      <c r="JF32"/>
      <c r="JG32"/>
      <c r="JH32"/>
      <c r="JI32"/>
      <c r="JJ32"/>
      <c r="JK32"/>
      <c r="JL32"/>
      <c r="JM32"/>
      <c r="JN32"/>
      <c r="JO32"/>
      <c r="JP32"/>
      <c r="JQ32"/>
      <c r="JR32"/>
      <c r="JS32"/>
      <c r="JT32"/>
      <c r="JU32"/>
      <c r="JV32"/>
      <c r="JW32"/>
      <c r="JX32"/>
      <c r="JY32"/>
      <c r="JZ32"/>
      <c r="KA32"/>
      <c r="KB32"/>
      <c r="KC32"/>
      <c r="KD32"/>
      <c r="KE32"/>
      <c r="KF32"/>
      <c r="KG32"/>
      <c r="KH32"/>
      <c r="KI32"/>
      <c r="KJ32"/>
      <c r="KK32"/>
      <c r="KL32"/>
      <c r="KM32"/>
      <c r="KN32"/>
      <c r="KO32"/>
      <c r="KP32"/>
      <c r="KQ32"/>
      <c r="KR32"/>
      <c r="KS32"/>
      <c r="KT32"/>
      <c r="KU32"/>
      <c r="KV32"/>
      <c r="KW32"/>
      <c r="KX32"/>
      <c r="KY32"/>
      <c r="KZ32"/>
      <c r="LA32"/>
      <c r="LB32"/>
      <c r="LC32"/>
      <c r="LD32"/>
      <c r="LE32"/>
      <c r="LF32"/>
      <c r="LG32"/>
      <c r="LH32"/>
      <c r="LI32"/>
      <c r="LJ32"/>
      <c r="LK32"/>
      <c r="LL32"/>
      <c r="LM32"/>
      <c r="LN32"/>
      <c r="LO32"/>
      <c r="LP32"/>
      <c r="LQ32"/>
      <c r="LR32"/>
      <c r="LS32"/>
      <c r="LT32"/>
      <c r="LU32"/>
      <c r="LV32"/>
      <c r="LW32"/>
      <c r="LX32"/>
      <c r="LY32"/>
      <c r="LZ32"/>
      <c r="MA32"/>
      <c r="MB32"/>
      <c r="MC32"/>
      <c r="MD32"/>
      <c r="ME32"/>
      <c r="MF32"/>
      <c r="MG32"/>
      <c r="MH32"/>
      <c r="MI32"/>
      <c r="MJ32"/>
      <c r="MK32"/>
      <c r="ML32"/>
      <c r="MM32"/>
      <c r="MN32"/>
      <c r="MO32"/>
      <c r="MP32"/>
      <c r="MQ32"/>
      <c r="MR32"/>
      <c r="MS32"/>
      <c r="MT32"/>
      <c r="MU32"/>
      <c r="MV32"/>
      <c r="MW32"/>
      <c r="MX32"/>
      <c r="MY32"/>
      <c r="MZ32"/>
      <c r="NA32"/>
      <c r="NB32"/>
      <c r="NC32"/>
      <c r="ND32"/>
      <c r="NE32"/>
      <c r="NF32"/>
      <c r="NG32"/>
      <c r="NH32"/>
      <c r="NI32"/>
      <c r="NJ32"/>
      <c r="NK32"/>
      <c r="NL32"/>
      <c r="NM32"/>
      <c r="NN32"/>
      <c r="NO32"/>
      <c r="NP32"/>
      <c r="NQ32"/>
      <c r="NR32"/>
      <c r="NS32"/>
      <c r="NT32"/>
      <c r="NU32"/>
      <c r="NV32"/>
      <c r="NW32"/>
      <c r="NX32"/>
      <c r="NY32"/>
      <c r="NZ32"/>
      <c r="OA32"/>
      <c r="OB32"/>
      <c r="OC32"/>
      <c r="OD32"/>
      <c r="OE32"/>
      <c r="OF32"/>
      <c r="OG32"/>
      <c r="OH32"/>
      <c r="OI32"/>
      <c r="OJ32"/>
      <c r="OK32"/>
      <c r="OL32"/>
      <c r="OM32"/>
      <c r="ON32"/>
      <c r="OO32"/>
      <c r="OP32"/>
      <c r="OQ32"/>
      <c r="OR32"/>
      <c r="OS32"/>
      <c r="OT32"/>
      <c r="OU32"/>
      <c r="OV32"/>
      <c r="OW32"/>
      <c r="OX32"/>
      <c r="OY32"/>
      <c r="OZ32"/>
      <c r="PA32"/>
      <c r="PB32"/>
      <c r="PC32"/>
      <c r="PD32"/>
      <c r="PE32"/>
      <c r="PF32"/>
      <c r="PG32"/>
      <c r="PH32"/>
      <c r="PI32"/>
      <c r="PJ32"/>
      <c r="PK32"/>
      <c r="PL32"/>
      <c r="PM32"/>
      <c r="PN32"/>
      <c r="PO32"/>
      <c r="PP32"/>
      <c r="PQ32"/>
      <c r="PR32"/>
      <c r="PS32"/>
      <c r="PT32"/>
      <c r="PU32"/>
      <c r="PV32"/>
      <c r="PW32"/>
      <c r="PX32"/>
      <c r="PY32"/>
      <c r="PZ32"/>
      <c r="QA32"/>
      <c r="QB32"/>
      <c r="QC32"/>
      <c r="QD32"/>
      <c r="QE32"/>
      <c r="QF32"/>
      <c r="QG32"/>
      <c r="QH32"/>
      <c r="QI32"/>
      <c r="QJ32"/>
      <c r="QK32"/>
      <c r="QL32"/>
      <c r="QM32"/>
      <c r="QN32"/>
      <c r="QO32"/>
      <c r="QP32"/>
      <c r="QQ32"/>
      <c r="QR32"/>
      <c r="QS32"/>
      <c r="QT32"/>
      <c r="QU32"/>
      <c r="QV32"/>
      <c r="QW32"/>
      <c r="QX32"/>
      <c r="QY32"/>
      <c r="QZ32"/>
      <c r="RA32"/>
      <c r="RB32"/>
      <c r="RC32"/>
      <c r="RD32"/>
      <c r="RE32"/>
      <c r="RF32"/>
      <c r="RG32"/>
      <c r="RH32"/>
      <c r="RI32"/>
      <c r="RJ32"/>
      <c r="RK32"/>
      <c r="RL32"/>
      <c r="RM32"/>
      <c r="RN32"/>
      <c r="RO32"/>
      <c r="RP32"/>
      <c r="RQ32"/>
      <c r="RR32"/>
      <c r="RS32"/>
    </row>
    <row r="33" spans="3:487" x14ac:dyDescent="0.25">
      <c r="C33" s="2" t="s">
        <v>328</v>
      </c>
      <c r="D33" s="34">
        <v>2</v>
      </c>
      <c r="F33" s="2" t="s">
        <v>14</v>
      </c>
      <c r="G33" s="34">
        <v>7</v>
      </c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S33"/>
      <c r="GT33"/>
      <c r="GU33"/>
      <c r="GV33"/>
      <c r="GW33"/>
      <c r="GX33"/>
      <c r="GY33"/>
      <c r="GZ33"/>
      <c r="HA33"/>
      <c r="HB33"/>
      <c r="HC33"/>
      <c r="HD33"/>
      <c r="HE33"/>
      <c r="HF33"/>
      <c r="HG33"/>
      <c r="HH33"/>
      <c r="HI33"/>
      <c r="HJ33"/>
      <c r="HK33"/>
      <c r="HL33"/>
      <c r="HM33"/>
      <c r="HN33"/>
      <c r="HO33"/>
      <c r="HP33"/>
      <c r="HQ33"/>
      <c r="HR33"/>
      <c r="HS33"/>
      <c r="HT33"/>
      <c r="HU33"/>
      <c r="HV33"/>
      <c r="HW33"/>
      <c r="HX33"/>
      <c r="HY33"/>
      <c r="HZ33"/>
      <c r="IA33"/>
      <c r="IB33"/>
      <c r="IC33"/>
      <c r="ID33"/>
      <c r="IE33"/>
      <c r="IF33"/>
      <c r="IG33"/>
      <c r="IH33"/>
      <c r="II33"/>
      <c r="IJ33"/>
      <c r="IK33"/>
      <c r="IL33"/>
      <c r="IM33"/>
      <c r="IN33"/>
      <c r="IO33"/>
      <c r="IP33"/>
      <c r="IQ33"/>
      <c r="IR33"/>
      <c r="IS33"/>
      <c r="IT33"/>
      <c r="IU33"/>
      <c r="IV33"/>
      <c r="IW33"/>
      <c r="IX33"/>
      <c r="IY33"/>
      <c r="IZ33"/>
      <c r="JA33"/>
      <c r="JB33"/>
      <c r="JC33"/>
      <c r="JD33"/>
      <c r="JE33"/>
      <c r="JF33"/>
      <c r="JG33"/>
      <c r="JH33"/>
      <c r="JI33"/>
      <c r="JJ33"/>
      <c r="JK33"/>
      <c r="JL33"/>
      <c r="JM33"/>
      <c r="JN33"/>
      <c r="JO33"/>
      <c r="JP33"/>
      <c r="JQ33"/>
      <c r="JR33"/>
      <c r="JS33"/>
      <c r="JT33"/>
      <c r="JU33"/>
      <c r="JV33"/>
      <c r="JW33"/>
      <c r="JX33"/>
      <c r="JY33"/>
      <c r="JZ33"/>
      <c r="KA33"/>
      <c r="KB33"/>
      <c r="KC33"/>
      <c r="KD33"/>
      <c r="KE33"/>
      <c r="KF33"/>
      <c r="KG33"/>
      <c r="KH33"/>
      <c r="KI33"/>
      <c r="KJ33"/>
      <c r="KK33"/>
      <c r="KL33"/>
      <c r="KM33"/>
      <c r="KN33"/>
      <c r="KO33"/>
      <c r="KP33"/>
      <c r="KQ33"/>
      <c r="KR33"/>
      <c r="KS33"/>
      <c r="KT33"/>
      <c r="KU33"/>
      <c r="KV33"/>
      <c r="KW33"/>
      <c r="KX33"/>
      <c r="KY33"/>
      <c r="KZ33"/>
      <c r="LA33"/>
      <c r="LB33"/>
      <c r="LC33"/>
      <c r="LD33"/>
      <c r="LE33"/>
      <c r="LF33"/>
      <c r="LG33"/>
      <c r="LH33"/>
      <c r="LI33"/>
      <c r="LJ33"/>
      <c r="LK33"/>
      <c r="LL33"/>
      <c r="LM33"/>
      <c r="LN33"/>
      <c r="LO33"/>
      <c r="LP33"/>
      <c r="LQ33"/>
      <c r="LR33"/>
      <c r="LS33"/>
      <c r="LT33"/>
      <c r="LU33"/>
      <c r="LV33"/>
      <c r="LW33"/>
      <c r="LX33"/>
      <c r="LY33"/>
      <c r="LZ33"/>
      <c r="MA33"/>
      <c r="MB33"/>
      <c r="MC33"/>
      <c r="MD33"/>
      <c r="ME33"/>
      <c r="MF33"/>
      <c r="MG33"/>
      <c r="MH33"/>
      <c r="MI33"/>
      <c r="MJ33"/>
      <c r="MK33"/>
      <c r="ML33"/>
      <c r="MM33"/>
      <c r="MN33"/>
      <c r="MO33"/>
      <c r="MP33"/>
      <c r="MQ33"/>
      <c r="MR33"/>
      <c r="MS33"/>
      <c r="MT33"/>
      <c r="MU33"/>
      <c r="MV33"/>
      <c r="MW33"/>
      <c r="MX33"/>
      <c r="MY33"/>
      <c r="MZ33"/>
      <c r="NA33"/>
      <c r="NB33"/>
      <c r="NC33"/>
      <c r="ND33"/>
      <c r="NE33"/>
      <c r="NF33"/>
      <c r="NG33"/>
      <c r="NH33"/>
      <c r="NI33"/>
      <c r="NJ33"/>
      <c r="NK33"/>
      <c r="NL33"/>
      <c r="NM33"/>
      <c r="NN33"/>
      <c r="NO33"/>
      <c r="NP33"/>
      <c r="NQ33"/>
      <c r="NR33"/>
      <c r="NS33"/>
      <c r="NT33"/>
      <c r="NU33"/>
      <c r="NV33"/>
      <c r="NW33"/>
      <c r="NX33"/>
      <c r="NY33"/>
      <c r="NZ33"/>
      <c r="OA33"/>
      <c r="OB33"/>
      <c r="OC33"/>
      <c r="OD33"/>
      <c r="OE33"/>
      <c r="OF33"/>
      <c r="OG33"/>
      <c r="OH33"/>
      <c r="OI33"/>
      <c r="OJ33"/>
      <c r="OK33"/>
      <c r="OL33"/>
      <c r="OM33"/>
      <c r="ON33"/>
      <c r="OO33"/>
      <c r="OP33"/>
      <c r="OQ33"/>
      <c r="OR33"/>
      <c r="OS33"/>
      <c r="OT33"/>
      <c r="OU33"/>
      <c r="OV33"/>
      <c r="OW33"/>
      <c r="OX33"/>
      <c r="OY33"/>
      <c r="OZ33"/>
      <c r="PA33"/>
      <c r="PB33"/>
      <c r="PC33"/>
      <c r="PD33"/>
      <c r="PE33"/>
      <c r="PF33"/>
      <c r="PG33"/>
      <c r="PH33"/>
      <c r="PI33"/>
      <c r="PJ33"/>
      <c r="PK33"/>
      <c r="PL33"/>
      <c r="PM33"/>
      <c r="PN33"/>
      <c r="PO33"/>
      <c r="PP33"/>
      <c r="PQ33"/>
      <c r="PR33"/>
      <c r="PS33"/>
      <c r="PT33"/>
      <c r="PU33"/>
      <c r="PV33"/>
      <c r="PW33"/>
      <c r="PX33"/>
      <c r="PY33"/>
      <c r="PZ33"/>
      <c r="QA33"/>
      <c r="QB33"/>
      <c r="QC33"/>
      <c r="QD33"/>
      <c r="QE33"/>
      <c r="QF33"/>
      <c r="QG33"/>
      <c r="QH33"/>
      <c r="QI33"/>
      <c r="QJ33"/>
      <c r="QK33"/>
      <c r="QL33"/>
      <c r="QM33"/>
      <c r="QN33"/>
      <c r="QO33"/>
      <c r="QP33"/>
      <c r="QQ33"/>
      <c r="QR33"/>
      <c r="QS33"/>
      <c r="QT33"/>
      <c r="QU33"/>
      <c r="QV33"/>
      <c r="QW33"/>
      <c r="QX33"/>
      <c r="QY33"/>
      <c r="QZ33"/>
      <c r="RA33"/>
      <c r="RB33"/>
      <c r="RC33"/>
      <c r="RD33"/>
      <c r="RE33"/>
      <c r="RF33"/>
      <c r="RG33"/>
      <c r="RH33"/>
      <c r="RI33"/>
      <c r="RJ33"/>
      <c r="RK33"/>
      <c r="RL33"/>
      <c r="RM33"/>
      <c r="RN33"/>
      <c r="RO33"/>
      <c r="RP33"/>
      <c r="RQ33"/>
      <c r="RR33"/>
      <c r="RS33"/>
    </row>
    <row r="34" spans="3:487" x14ac:dyDescent="0.25">
      <c r="C34" s="2" t="s">
        <v>86</v>
      </c>
      <c r="D34" s="34">
        <v>2</v>
      </c>
      <c r="F34" s="2" t="s">
        <v>34</v>
      </c>
      <c r="G34" s="34">
        <v>7</v>
      </c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S34"/>
      <c r="GT34"/>
      <c r="GU34"/>
      <c r="GV34"/>
      <c r="GW34"/>
      <c r="GX34"/>
      <c r="GY34"/>
      <c r="GZ34"/>
      <c r="HA34"/>
      <c r="HB34"/>
      <c r="HC34"/>
      <c r="HD34"/>
      <c r="HE34"/>
      <c r="HF34"/>
      <c r="HG34"/>
      <c r="HH34"/>
      <c r="HI34"/>
      <c r="HJ34"/>
      <c r="HK34"/>
      <c r="HL34"/>
      <c r="HM34"/>
      <c r="HN34"/>
      <c r="HO34"/>
      <c r="HP34"/>
      <c r="HQ34"/>
      <c r="HR34"/>
      <c r="HS34"/>
      <c r="HT34"/>
      <c r="HU34"/>
      <c r="HV34"/>
      <c r="HW34"/>
      <c r="HX34"/>
      <c r="HY34"/>
      <c r="HZ34"/>
      <c r="IA34"/>
      <c r="IB34"/>
      <c r="IC34"/>
      <c r="ID34"/>
      <c r="IE34"/>
      <c r="IF34"/>
      <c r="IG34"/>
      <c r="IH34"/>
      <c r="II34"/>
      <c r="IJ34"/>
      <c r="IK34"/>
      <c r="IL34"/>
      <c r="IM34"/>
      <c r="IN34"/>
      <c r="IO34"/>
      <c r="IP34"/>
      <c r="IQ34"/>
      <c r="IR34"/>
      <c r="IS34"/>
      <c r="IT34"/>
      <c r="IU34"/>
      <c r="IV34"/>
      <c r="IW34"/>
      <c r="IX34"/>
      <c r="IY34"/>
      <c r="IZ34"/>
      <c r="JA34"/>
      <c r="JB34"/>
      <c r="JC34"/>
      <c r="JD34"/>
      <c r="JE34"/>
      <c r="JF34"/>
      <c r="JG34"/>
      <c r="JH34"/>
      <c r="JI34"/>
      <c r="JJ34"/>
      <c r="JK34"/>
      <c r="JL34"/>
      <c r="JM34"/>
      <c r="JN34"/>
      <c r="JO34"/>
      <c r="JP34"/>
      <c r="JQ34"/>
      <c r="JR34"/>
      <c r="JS34"/>
      <c r="JT34"/>
      <c r="JU34"/>
      <c r="JV34"/>
      <c r="JW34"/>
      <c r="JX34"/>
      <c r="JY34"/>
      <c r="JZ34"/>
      <c r="KA34"/>
      <c r="KB34"/>
      <c r="KC34"/>
      <c r="KD34"/>
      <c r="KE34"/>
      <c r="KF34"/>
      <c r="KG34"/>
      <c r="KH34"/>
      <c r="KI34"/>
      <c r="KJ34"/>
      <c r="KK34"/>
      <c r="KL34"/>
      <c r="KM34"/>
      <c r="KN34"/>
      <c r="KO34"/>
      <c r="KP34"/>
      <c r="KQ34"/>
      <c r="KR34"/>
      <c r="KS34"/>
      <c r="KT34"/>
      <c r="KU34"/>
      <c r="KV34"/>
      <c r="KW34"/>
      <c r="KX34"/>
      <c r="KY34"/>
      <c r="KZ34"/>
      <c r="LA34"/>
      <c r="LB34"/>
      <c r="LC34"/>
      <c r="LD34"/>
      <c r="LE34"/>
      <c r="LF34"/>
      <c r="LG34"/>
      <c r="LH34"/>
      <c r="LI34"/>
      <c r="LJ34"/>
      <c r="LK34"/>
      <c r="LL34"/>
      <c r="LM34"/>
      <c r="LN34"/>
      <c r="LO34"/>
      <c r="LP34"/>
      <c r="LQ34"/>
      <c r="LR34"/>
      <c r="LS34"/>
      <c r="LT34"/>
      <c r="LU34"/>
      <c r="LV34"/>
      <c r="LW34"/>
      <c r="LX34"/>
      <c r="LY34"/>
      <c r="LZ34"/>
      <c r="MA34"/>
      <c r="MB34"/>
      <c r="MC34"/>
      <c r="MD34"/>
      <c r="ME34"/>
      <c r="MF34"/>
      <c r="MG34"/>
      <c r="MH34"/>
      <c r="MI34"/>
      <c r="MJ34"/>
      <c r="MK34"/>
      <c r="ML34"/>
      <c r="MM34"/>
      <c r="MN34"/>
      <c r="MO34"/>
      <c r="MP34"/>
      <c r="MQ34"/>
      <c r="MR34"/>
      <c r="MS34"/>
      <c r="MT34"/>
      <c r="MU34"/>
      <c r="MV34"/>
      <c r="MW34"/>
      <c r="MX34"/>
      <c r="MY34"/>
      <c r="MZ34"/>
      <c r="NA34"/>
      <c r="NB34"/>
      <c r="NC34"/>
      <c r="ND34"/>
      <c r="NE34"/>
      <c r="NF34"/>
      <c r="NG34"/>
      <c r="NH34"/>
      <c r="NI34"/>
      <c r="NJ34"/>
      <c r="NK34"/>
      <c r="NL34"/>
      <c r="NM34"/>
      <c r="NN34"/>
      <c r="NO34"/>
      <c r="NP34"/>
      <c r="NQ34"/>
      <c r="NR34"/>
      <c r="NS34"/>
      <c r="NT34"/>
      <c r="NU34"/>
      <c r="NV34"/>
      <c r="NW34"/>
      <c r="NX34"/>
      <c r="NY34"/>
      <c r="NZ34"/>
      <c r="OA34"/>
      <c r="OB34"/>
      <c r="OC34"/>
      <c r="OD34"/>
      <c r="OE34"/>
      <c r="OF34"/>
      <c r="OG34"/>
      <c r="OH34"/>
      <c r="OI34"/>
      <c r="OJ34"/>
      <c r="OK34"/>
      <c r="OL34"/>
      <c r="OM34"/>
      <c r="ON34"/>
      <c r="OO34"/>
      <c r="OP34"/>
      <c r="OQ34"/>
      <c r="OR34"/>
      <c r="OS34"/>
      <c r="OT34"/>
      <c r="OU34"/>
      <c r="OV34"/>
      <c r="OW34"/>
      <c r="OX34"/>
      <c r="OY34"/>
      <c r="OZ34"/>
      <c r="PA34"/>
      <c r="PB34"/>
      <c r="PC34"/>
      <c r="PD34"/>
      <c r="PE34"/>
      <c r="PF34"/>
      <c r="PG34"/>
      <c r="PH34"/>
      <c r="PI34"/>
      <c r="PJ34"/>
      <c r="PK34"/>
      <c r="PL34"/>
      <c r="PM34"/>
      <c r="PN34"/>
      <c r="PO34"/>
      <c r="PP34"/>
      <c r="PQ34"/>
      <c r="PR34"/>
      <c r="PS34"/>
      <c r="PT34"/>
      <c r="PU34"/>
      <c r="PV34"/>
      <c r="PW34"/>
      <c r="PX34"/>
      <c r="PY34"/>
      <c r="PZ34"/>
      <c r="QA34"/>
      <c r="QB34"/>
      <c r="QC34"/>
      <c r="QD34"/>
      <c r="QE34"/>
      <c r="QF34"/>
      <c r="QG34"/>
      <c r="QH34"/>
      <c r="QI34"/>
      <c r="QJ34"/>
      <c r="QK34"/>
      <c r="QL34"/>
      <c r="QM34"/>
      <c r="QN34"/>
      <c r="QO34"/>
      <c r="QP34"/>
      <c r="QQ34"/>
      <c r="QR34"/>
      <c r="QS34"/>
      <c r="QT34"/>
      <c r="QU34"/>
      <c r="QV34"/>
      <c r="QW34"/>
      <c r="QX34"/>
      <c r="QY34"/>
      <c r="QZ34"/>
      <c r="RA34"/>
      <c r="RB34"/>
      <c r="RC34"/>
      <c r="RD34"/>
      <c r="RE34"/>
      <c r="RF34"/>
      <c r="RG34"/>
      <c r="RH34"/>
      <c r="RI34"/>
      <c r="RJ34"/>
      <c r="RK34"/>
      <c r="RL34"/>
      <c r="RM34"/>
      <c r="RN34"/>
      <c r="RO34"/>
      <c r="RP34"/>
      <c r="RQ34"/>
      <c r="RR34"/>
      <c r="RS34"/>
    </row>
    <row r="35" spans="3:487" x14ac:dyDescent="0.25">
      <c r="C35" s="2" t="s">
        <v>63</v>
      </c>
      <c r="D35" s="34">
        <v>2</v>
      </c>
      <c r="F35" s="2" t="s">
        <v>30</v>
      </c>
      <c r="G35" s="34">
        <v>7</v>
      </c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CQ35"/>
      <c r="CR35"/>
      <c r="CS35"/>
      <c r="CT35"/>
      <c r="CU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C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K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S35"/>
      <c r="GT35"/>
      <c r="GU35"/>
      <c r="GV35"/>
      <c r="GW35"/>
      <c r="GX35"/>
      <c r="GY35"/>
      <c r="GZ35"/>
      <c r="HA35"/>
      <c r="HB35"/>
      <c r="HC35"/>
      <c r="HD35"/>
      <c r="HE35"/>
      <c r="HF35"/>
      <c r="HG35"/>
      <c r="HH35"/>
      <c r="HI35"/>
      <c r="HJ35"/>
      <c r="HK35"/>
      <c r="HL35"/>
      <c r="HM35"/>
      <c r="HN35"/>
      <c r="HO35"/>
      <c r="HP35"/>
      <c r="HQ35"/>
      <c r="HR35"/>
      <c r="HS35"/>
      <c r="HT35"/>
      <c r="HU35"/>
      <c r="HV35"/>
      <c r="HW35"/>
      <c r="HX35"/>
      <c r="HY35"/>
      <c r="HZ35"/>
      <c r="IA35"/>
      <c r="IB35"/>
      <c r="IC35"/>
      <c r="ID35"/>
      <c r="IE35"/>
      <c r="IF35"/>
      <c r="IG35"/>
      <c r="IH35"/>
      <c r="II35"/>
      <c r="IJ35"/>
      <c r="IK35"/>
      <c r="IL35"/>
      <c r="IM35"/>
      <c r="IN35"/>
      <c r="IO35"/>
      <c r="IP35"/>
      <c r="IQ35"/>
      <c r="IR35"/>
      <c r="IS35"/>
      <c r="IT35"/>
      <c r="IU35"/>
      <c r="IV35"/>
      <c r="IW35"/>
      <c r="IX35"/>
      <c r="IY35"/>
      <c r="IZ35"/>
      <c r="JA35"/>
      <c r="JB35"/>
      <c r="JC35"/>
      <c r="JD35"/>
      <c r="JE35"/>
      <c r="JF35"/>
      <c r="JG35"/>
      <c r="JH35"/>
      <c r="JI35"/>
      <c r="JJ35"/>
      <c r="JK35"/>
      <c r="JL35"/>
      <c r="JM35"/>
      <c r="JN35"/>
      <c r="JO35"/>
      <c r="JP35"/>
      <c r="JQ35"/>
      <c r="JR35"/>
      <c r="JS35"/>
      <c r="JT35"/>
      <c r="JU35"/>
      <c r="JV35"/>
      <c r="JW35"/>
      <c r="JX35"/>
      <c r="JY35"/>
      <c r="JZ35"/>
      <c r="KA35"/>
      <c r="KB35"/>
      <c r="KC35"/>
      <c r="KD35"/>
      <c r="KE35"/>
      <c r="KF35"/>
      <c r="KG35"/>
      <c r="KH35"/>
      <c r="KI35"/>
      <c r="KJ35"/>
      <c r="KK35"/>
      <c r="KL35"/>
      <c r="KM35"/>
      <c r="KN35"/>
      <c r="KO35"/>
      <c r="KP35"/>
      <c r="KQ35"/>
      <c r="KR35"/>
      <c r="KS35"/>
      <c r="KT35"/>
      <c r="KU35"/>
      <c r="KV35"/>
      <c r="KW35"/>
      <c r="KX35"/>
      <c r="KY35"/>
      <c r="KZ35"/>
      <c r="LA35"/>
      <c r="LB35"/>
      <c r="LC35"/>
      <c r="LD35"/>
      <c r="LE35"/>
      <c r="LF35"/>
      <c r="LG35"/>
      <c r="LH35"/>
      <c r="LI35"/>
      <c r="LJ35"/>
      <c r="LK35"/>
      <c r="LL35"/>
      <c r="LM35"/>
      <c r="LN35"/>
      <c r="LO35"/>
      <c r="LP35"/>
      <c r="LQ35"/>
      <c r="LR35"/>
      <c r="LS35"/>
      <c r="LT35"/>
      <c r="LU35"/>
      <c r="LV35"/>
      <c r="LW35"/>
      <c r="LX35"/>
      <c r="LY35"/>
      <c r="LZ35"/>
      <c r="MA35"/>
      <c r="MB35"/>
      <c r="MC35"/>
      <c r="MD35"/>
      <c r="ME35"/>
      <c r="MF35"/>
      <c r="MG35"/>
      <c r="MH35"/>
      <c r="MI35"/>
      <c r="MJ35"/>
      <c r="MK35"/>
      <c r="ML35"/>
      <c r="MM35"/>
      <c r="MN35"/>
      <c r="MO35"/>
      <c r="MP35"/>
      <c r="MQ35"/>
      <c r="MR35"/>
      <c r="MS35"/>
      <c r="MT35"/>
      <c r="MU35"/>
      <c r="MV35"/>
      <c r="MW35"/>
      <c r="MX35"/>
      <c r="MY35"/>
      <c r="MZ35"/>
      <c r="NA35"/>
      <c r="NB35"/>
      <c r="NC35"/>
      <c r="ND35"/>
      <c r="NE35"/>
      <c r="NF35"/>
      <c r="NG35"/>
      <c r="NH35"/>
      <c r="NI35"/>
      <c r="NJ35"/>
      <c r="NK35"/>
      <c r="NL35"/>
      <c r="NM35"/>
      <c r="NN35"/>
      <c r="NO35"/>
      <c r="NP35"/>
      <c r="NQ35"/>
      <c r="NR35"/>
      <c r="NS35"/>
      <c r="NT35"/>
      <c r="NU35"/>
      <c r="NV35"/>
      <c r="NW35"/>
      <c r="NX35"/>
      <c r="NY35"/>
      <c r="NZ35"/>
      <c r="OA35"/>
      <c r="OB35"/>
      <c r="OC35"/>
      <c r="OD35"/>
      <c r="OE35"/>
      <c r="OF35"/>
      <c r="OG35"/>
      <c r="OH35"/>
      <c r="OI35"/>
      <c r="OJ35"/>
      <c r="OK35"/>
      <c r="OL35"/>
      <c r="OM35"/>
      <c r="ON35"/>
      <c r="OO35"/>
      <c r="OP35"/>
      <c r="OQ35"/>
      <c r="OR35"/>
      <c r="OS35"/>
      <c r="OT35"/>
      <c r="OU35"/>
      <c r="OV35"/>
      <c r="OW35"/>
      <c r="OX35"/>
      <c r="OY35"/>
      <c r="OZ35"/>
      <c r="PA35"/>
      <c r="PB35"/>
      <c r="PC35"/>
      <c r="PD35"/>
      <c r="PE35"/>
      <c r="PF35"/>
      <c r="PG35"/>
      <c r="PH35"/>
      <c r="PI35"/>
      <c r="PJ35"/>
      <c r="PK35"/>
      <c r="PL35"/>
      <c r="PM35"/>
      <c r="PN35"/>
      <c r="PO35"/>
      <c r="PP35"/>
      <c r="PQ35"/>
      <c r="PR35"/>
      <c r="PS35"/>
      <c r="PT35"/>
      <c r="PU35"/>
      <c r="PV35"/>
      <c r="PW35"/>
      <c r="PX35"/>
      <c r="PY35"/>
      <c r="PZ35"/>
      <c r="QA35"/>
      <c r="QB35"/>
      <c r="QC35"/>
      <c r="QD35"/>
      <c r="QE35"/>
      <c r="QF35"/>
      <c r="QG35"/>
      <c r="QH35"/>
      <c r="QI35"/>
      <c r="QJ35"/>
      <c r="QK35"/>
      <c r="QL35"/>
      <c r="QM35"/>
      <c r="QN35"/>
      <c r="QO35"/>
      <c r="QP35"/>
      <c r="QQ35"/>
      <c r="QR35"/>
      <c r="QS35"/>
      <c r="QT35"/>
      <c r="QU35"/>
      <c r="QV35"/>
      <c r="QW35"/>
      <c r="QX35"/>
      <c r="QY35"/>
      <c r="QZ35"/>
      <c r="RA35"/>
      <c r="RB35"/>
      <c r="RC35"/>
      <c r="RD35"/>
      <c r="RE35"/>
      <c r="RF35"/>
      <c r="RG35"/>
      <c r="RH35"/>
      <c r="RI35"/>
      <c r="RJ35"/>
      <c r="RK35"/>
      <c r="RL35"/>
      <c r="RM35"/>
      <c r="RN35"/>
      <c r="RO35"/>
      <c r="RP35"/>
      <c r="RQ35"/>
      <c r="RR35"/>
      <c r="RS35"/>
    </row>
    <row r="36" spans="3:487" x14ac:dyDescent="0.25">
      <c r="C36" s="2" t="s">
        <v>233</v>
      </c>
      <c r="D36" s="34">
        <v>2</v>
      </c>
      <c r="F36" s="2" t="s">
        <v>67</v>
      </c>
      <c r="G36" s="34">
        <v>6</v>
      </c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CQ36"/>
      <c r="CR36"/>
      <c r="CS36"/>
      <c r="CT36"/>
      <c r="CU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C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K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S36"/>
      <c r="GT36"/>
      <c r="GU36"/>
      <c r="GV36"/>
      <c r="GW36"/>
      <c r="GX36"/>
      <c r="GY36"/>
      <c r="GZ36"/>
      <c r="HA36"/>
      <c r="HB36"/>
      <c r="HC36"/>
      <c r="HD36"/>
      <c r="HE36"/>
      <c r="HF36"/>
      <c r="HG36"/>
      <c r="HH36"/>
      <c r="HI36"/>
      <c r="HJ36"/>
      <c r="HK36"/>
      <c r="HL36"/>
      <c r="HM36"/>
      <c r="HN36"/>
      <c r="HO36"/>
      <c r="HP36"/>
      <c r="HQ36"/>
      <c r="HR36"/>
      <c r="HS36"/>
      <c r="HT36"/>
      <c r="HU36"/>
      <c r="HV36"/>
      <c r="HW36"/>
      <c r="HX36"/>
      <c r="HY36"/>
      <c r="HZ36"/>
      <c r="IA36"/>
      <c r="IB36"/>
      <c r="IC36"/>
      <c r="ID36"/>
      <c r="IE36"/>
      <c r="IF36"/>
      <c r="IG36"/>
      <c r="IH36"/>
      <c r="II36"/>
      <c r="IJ36"/>
      <c r="IK36"/>
      <c r="IL36"/>
      <c r="IM36"/>
      <c r="IN36"/>
      <c r="IO36"/>
      <c r="IP36"/>
      <c r="IQ36"/>
      <c r="IR36"/>
      <c r="IS36"/>
      <c r="IT36"/>
      <c r="IU36"/>
      <c r="IV36"/>
      <c r="IW36"/>
      <c r="IX36"/>
      <c r="IY36"/>
      <c r="IZ36"/>
      <c r="JA36"/>
      <c r="JB36"/>
      <c r="JC36"/>
      <c r="JD36"/>
      <c r="JE36"/>
      <c r="JF36"/>
      <c r="JG36"/>
      <c r="JH36"/>
      <c r="JI36"/>
      <c r="JJ36"/>
      <c r="JK36"/>
      <c r="JL36"/>
      <c r="JM36"/>
      <c r="JN36"/>
      <c r="JO36"/>
      <c r="JP36"/>
      <c r="JQ36"/>
      <c r="JR36"/>
      <c r="JS36"/>
      <c r="JT36"/>
      <c r="JU36"/>
      <c r="JV36"/>
      <c r="JW36"/>
      <c r="JX36"/>
      <c r="JY36"/>
      <c r="JZ36"/>
      <c r="KA36"/>
      <c r="KB36"/>
      <c r="KC36"/>
      <c r="KD36"/>
      <c r="KE36"/>
      <c r="KF36"/>
      <c r="KG36"/>
      <c r="KH36"/>
      <c r="KI36"/>
      <c r="KJ36"/>
      <c r="KK36"/>
      <c r="KL36"/>
      <c r="KM36"/>
      <c r="KN36"/>
      <c r="KO36"/>
      <c r="KP36"/>
      <c r="KQ36"/>
      <c r="KR36"/>
      <c r="KS36"/>
      <c r="KT36"/>
      <c r="KU36"/>
      <c r="KV36"/>
      <c r="KW36"/>
      <c r="KX36"/>
      <c r="KY36"/>
      <c r="KZ36"/>
      <c r="LA36"/>
      <c r="LB36"/>
      <c r="LC36"/>
      <c r="LD36"/>
      <c r="LE36"/>
      <c r="LF36"/>
      <c r="LG36"/>
      <c r="LH36"/>
      <c r="LI36"/>
      <c r="LJ36"/>
      <c r="LK36"/>
      <c r="LL36"/>
      <c r="LM36"/>
      <c r="LN36"/>
      <c r="LO36"/>
      <c r="LP36"/>
      <c r="LQ36"/>
      <c r="LR36"/>
      <c r="LS36"/>
      <c r="LT36"/>
      <c r="LU36"/>
      <c r="LV36"/>
      <c r="LW36"/>
      <c r="LX36"/>
      <c r="LY36"/>
      <c r="LZ36"/>
      <c r="MA36"/>
      <c r="MB36"/>
      <c r="MC36"/>
      <c r="MD36"/>
      <c r="ME36"/>
      <c r="MF36"/>
      <c r="MG36"/>
      <c r="MH36"/>
      <c r="MI36"/>
      <c r="MJ36"/>
      <c r="MK36"/>
      <c r="ML36"/>
      <c r="MM36"/>
      <c r="MN36"/>
      <c r="MO36"/>
      <c r="MP36"/>
      <c r="MQ36"/>
      <c r="MR36"/>
      <c r="MS36"/>
      <c r="MT36"/>
      <c r="MU36"/>
      <c r="MV36"/>
      <c r="MW36"/>
      <c r="MX36"/>
      <c r="MY36"/>
      <c r="MZ36"/>
      <c r="NA36"/>
      <c r="NB36"/>
      <c r="NC36"/>
      <c r="ND36"/>
      <c r="NE36"/>
      <c r="NF36"/>
      <c r="NG36"/>
      <c r="NH36"/>
      <c r="NI36"/>
      <c r="NJ36"/>
      <c r="NK36"/>
      <c r="NL36"/>
      <c r="NM36"/>
      <c r="NN36"/>
      <c r="NO36"/>
      <c r="NP36"/>
      <c r="NQ36"/>
      <c r="NR36"/>
      <c r="NS36"/>
      <c r="NT36"/>
      <c r="NU36"/>
      <c r="NV36"/>
      <c r="NW36"/>
      <c r="NX36"/>
      <c r="NY36"/>
      <c r="NZ36"/>
      <c r="OA36"/>
      <c r="OB36"/>
      <c r="OC36"/>
      <c r="OD36"/>
      <c r="OE36"/>
      <c r="OF36"/>
      <c r="OG36"/>
      <c r="OH36"/>
      <c r="OI36"/>
      <c r="OJ36"/>
      <c r="OK36"/>
      <c r="OL36"/>
      <c r="OM36"/>
      <c r="ON36"/>
      <c r="OO36"/>
      <c r="OP36"/>
      <c r="OQ36"/>
      <c r="OR36"/>
      <c r="OS36"/>
      <c r="OT36"/>
      <c r="OU36"/>
      <c r="OV36"/>
      <c r="OW36"/>
      <c r="OX36"/>
      <c r="OY36"/>
      <c r="OZ36"/>
      <c r="PA36"/>
      <c r="PB36"/>
      <c r="PC36"/>
      <c r="PD36"/>
      <c r="PE36"/>
      <c r="PF36"/>
      <c r="PG36"/>
      <c r="PH36"/>
      <c r="PI36"/>
      <c r="PJ36"/>
      <c r="PK36"/>
      <c r="PL36"/>
      <c r="PM36"/>
      <c r="PN36"/>
      <c r="PO36"/>
      <c r="PP36"/>
      <c r="PQ36"/>
      <c r="PR36"/>
      <c r="PS36"/>
      <c r="PT36"/>
      <c r="PU36"/>
      <c r="PV36"/>
      <c r="PW36"/>
      <c r="PX36"/>
      <c r="PY36"/>
      <c r="PZ36"/>
      <c r="QA36"/>
      <c r="QB36"/>
      <c r="QC36"/>
      <c r="QD36"/>
      <c r="QE36"/>
      <c r="QF36"/>
      <c r="QG36"/>
      <c r="QH36"/>
      <c r="QI36"/>
      <c r="QJ36"/>
      <c r="QK36"/>
      <c r="QL36"/>
      <c r="QM36"/>
      <c r="QN36"/>
      <c r="QO36"/>
      <c r="QP36"/>
      <c r="QQ36"/>
      <c r="QR36"/>
      <c r="QS36"/>
      <c r="QT36"/>
      <c r="QU36"/>
      <c r="QV36"/>
      <c r="QW36"/>
      <c r="QX36"/>
      <c r="QY36"/>
      <c r="QZ36"/>
      <c r="RA36"/>
      <c r="RB36"/>
      <c r="RC36"/>
      <c r="RD36"/>
      <c r="RE36"/>
      <c r="RF36"/>
      <c r="RG36"/>
      <c r="RH36"/>
      <c r="RI36"/>
      <c r="RJ36"/>
      <c r="RK36"/>
      <c r="RL36"/>
      <c r="RM36"/>
      <c r="RN36"/>
      <c r="RO36"/>
      <c r="RP36"/>
      <c r="RQ36"/>
      <c r="RR36"/>
      <c r="RS36"/>
    </row>
    <row r="37" spans="3:487" x14ac:dyDescent="0.25">
      <c r="C37" s="2" t="s">
        <v>101</v>
      </c>
      <c r="D37" s="34">
        <v>2</v>
      </c>
      <c r="F37" s="2" t="s">
        <v>81</v>
      </c>
      <c r="G37" s="34">
        <v>6</v>
      </c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CQ37"/>
      <c r="CR37"/>
      <c r="CS37"/>
      <c r="CT37"/>
      <c r="CU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C37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K37"/>
      <c r="FL37"/>
      <c r="FM37"/>
      <c r="FN37"/>
      <c r="FO37"/>
      <c r="FP37"/>
      <c r="FQ37"/>
      <c r="FR37"/>
      <c r="FS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S37"/>
      <c r="GT37"/>
      <c r="GU37"/>
      <c r="GV37"/>
      <c r="GW37"/>
      <c r="GX37"/>
      <c r="GY37"/>
      <c r="GZ37"/>
      <c r="HA37"/>
      <c r="HB37"/>
      <c r="HC37"/>
      <c r="HD37"/>
      <c r="HE37"/>
      <c r="HF37"/>
      <c r="HG37"/>
      <c r="HH37"/>
      <c r="HI37"/>
      <c r="HJ37"/>
      <c r="HK37"/>
      <c r="HL37"/>
      <c r="HM37"/>
      <c r="HN37"/>
      <c r="HO37"/>
      <c r="HP37"/>
      <c r="HQ37"/>
      <c r="HR37"/>
      <c r="HS37"/>
      <c r="HT37"/>
      <c r="HU37"/>
      <c r="HV37"/>
      <c r="HW37"/>
      <c r="HX37"/>
      <c r="HY37"/>
      <c r="HZ37"/>
      <c r="IA37"/>
      <c r="IB37"/>
      <c r="IC37"/>
      <c r="ID37"/>
      <c r="IE37"/>
      <c r="IF37"/>
      <c r="IG37"/>
      <c r="IH37"/>
      <c r="II37"/>
      <c r="IJ37"/>
      <c r="IK37"/>
      <c r="IL37"/>
      <c r="IM37"/>
      <c r="IN37"/>
      <c r="IO37"/>
      <c r="IP37"/>
      <c r="IQ37"/>
      <c r="IR37"/>
      <c r="IS37"/>
      <c r="IT37"/>
      <c r="IU37"/>
      <c r="IV37"/>
      <c r="IW37"/>
      <c r="IX37"/>
      <c r="IY37"/>
      <c r="IZ37"/>
      <c r="JA37"/>
      <c r="JB37"/>
      <c r="JC37"/>
      <c r="JD37"/>
      <c r="JE37"/>
      <c r="JF37"/>
      <c r="JG37"/>
      <c r="JH37"/>
      <c r="JI37"/>
      <c r="JJ37"/>
      <c r="JK37"/>
      <c r="JL37"/>
      <c r="JM37"/>
      <c r="JN37"/>
      <c r="JO37"/>
      <c r="JP37"/>
      <c r="JQ37"/>
      <c r="JR37"/>
      <c r="JS37"/>
      <c r="JT37"/>
      <c r="JU37"/>
      <c r="JV37"/>
      <c r="JW37"/>
      <c r="JX37"/>
      <c r="JY37"/>
      <c r="JZ37"/>
      <c r="KA37"/>
      <c r="KB37"/>
      <c r="KC37"/>
      <c r="KD37"/>
      <c r="KE37"/>
      <c r="KF37"/>
      <c r="KG37"/>
      <c r="KH37"/>
      <c r="KI37"/>
      <c r="KJ37"/>
      <c r="KK37"/>
      <c r="KL37"/>
      <c r="KM37"/>
      <c r="KN37"/>
      <c r="KO37"/>
      <c r="KP37"/>
      <c r="KQ37"/>
      <c r="KR37"/>
      <c r="KS37"/>
      <c r="KT37"/>
      <c r="KU37"/>
      <c r="KV37"/>
      <c r="KW37"/>
      <c r="KX37"/>
      <c r="KY37"/>
      <c r="KZ37"/>
      <c r="LA37"/>
      <c r="LB37"/>
      <c r="LC37"/>
      <c r="LD37"/>
      <c r="LE37"/>
      <c r="LF37"/>
      <c r="LG37"/>
      <c r="LH37"/>
      <c r="LI37"/>
      <c r="LJ37"/>
      <c r="LK37"/>
      <c r="LL37"/>
      <c r="LM37"/>
      <c r="LN37"/>
      <c r="LO37"/>
      <c r="LP37"/>
      <c r="LQ37"/>
      <c r="LR37"/>
      <c r="LS37"/>
      <c r="LT37"/>
      <c r="LU37"/>
      <c r="LV37"/>
      <c r="LW37"/>
      <c r="LX37"/>
      <c r="LY37"/>
      <c r="LZ37"/>
      <c r="MA37"/>
      <c r="MB37"/>
      <c r="MC37"/>
      <c r="MD37"/>
      <c r="ME37"/>
      <c r="MF37"/>
      <c r="MG37"/>
      <c r="MH37"/>
      <c r="MI37"/>
      <c r="MJ37"/>
      <c r="MK37"/>
      <c r="ML37"/>
      <c r="MM37"/>
      <c r="MN37"/>
      <c r="MO37"/>
      <c r="MP37"/>
      <c r="MQ37"/>
      <c r="MR37"/>
      <c r="MS37"/>
      <c r="MT37"/>
      <c r="MU37"/>
      <c r="MV37"/>
      <c r="MW37"/>
      <c r="MX37"/>
      <c r="MY37"/>
      <c r="MZ37"/>
      <c r="NA37"/>
      <c r="NB37"/>
      <c r="NC37"/>
      <c r="ND37"/>
      <c r="NE37"/>
      <c r="NF37"/>
      <c r="NG37"/>
      <c r="NH37"/>
      <c r="NI37"/>
      <c r="NJ37"/>
      <c r="NK37"/>
      <c r="NL37"/>
      <c r="NM37"/>
      <c r="NN37"/>
      <c r="NO37"/>
      <c r="NP37"/>
      <c r="NQ37"/>
      <c r="NR37"/>
      <c r="NS37"/>
      <c r="NT37"/>
      <c r="NU37"/>
      <c r="NV37"/>
      <c r="NW37"/>
      <c r="NX37"/>
      <c r="NY37"/>
      <c r="NZ37"/>
      <c r="OA37"/>
      <c r="OB37"/>
      <c r="OC37"/>
      <c r="OD37"/>
      <c r="OE37"/>
      <c r="OF37"/>
      <c r="OG37"/>
      <c r="OH37"/>
      <c r="OI37"/>
      <c r="OJ37"/>
      <c r="OK37"/>
      <c r="OL37"/>
      <c r="OM37"/>
      <c r="ON37"/>
      <c r="OO37"/>
      <c r="OP37"/>
      <c r="OQ37"/>
      <c r="OR37"/>
      <c r="OS37"/>
      <c r="OT37"/>
      <c r="OU37"/>
      <c r="OV37"/>
      <c r="OW37"/>
      <c r="OX37"/>
      <c r="OY37"/>
      <c r="OZ37"/>
      <c r="PA37"/>
      <c r="PB37"/>
      <c r="PC37"/>
      <c r="PD37"/>
      <c r="PE37"/>
      <c r="PF37"/>
      <c r="PG37"/>
      <c r="PH37"/>
      <c r="PI37"/>
      <c r="PJ37"/>
      <c r="PK37"/>
      <c r="PL37"/>
      <c r="PM37"/>
      <c r="PN37"/>
      <c r="PO37"/>
      <c r="PP37"/>
      <c r="PQ37"/>
      <c r="PR37"/>
      <c r="PS37"/>
      <c r="PT37"/>
      <c r="PU37"/>
      <c r="PV37"/>
      <c r="PW37"/>
      <c r="PX37"/>
      <c r="PY37"/>
      <c r="PZ37"/>
      <c r="QA37"/>
      <c r="QB37"/>
      <c r="QC37"/>
      <c r="QD37"/>
      <c r="QE37"/>
      <c r="QF37"/>
      <c r="QG37"/>
      <c r="QH37"/>
      <c r="QI37"/>
      <c r="QJ37"/>
      <c r="QK37"/>
      <c r="QL37"/>
      <c r="QM37"/>
      <c r="QN37"/>
      <c r="QO37"/>
      <c r="QP37"/>
      <c r="QQ37"/>
      <c r="QR37"/>
      <c r="QS37"/>
      <c r="QT37"/>
      <c r="QU37"/>
      <c r="QV37"/>
      <c r="QW37"/>
      <c r="QX37"/>
      <c r="QY37"/>
      <c r="QZ37"/>
      <c r="RA37"/>
      <c r="RB37"/>
      <c r="RC37"/>
      <c r="RD37"/>
      <c r="RE37"/>
      <c r="RF37"/>
      <c r="RG37"/>
      <c r="RH37"/>
      <c r="RI37"/>
      <c r="RJ37"/>
      <c r="RK37"/>
      <c r="RL37"/>
      <c r="RM37"/>
      <c r="RN37"/>
      <c r="RO37"/>
      <c r="RP37"/>
      <c r="RQ37"/>
      <c r="RR37"/>
      <c r="RS37"/>
    </row>
    <row r="38" spans="3:487" x14ac:dyDescent="0.25">
      <c r="C38" s="2" t="s">
        <v>295</v>
      </c>
      <c r="D38" s="34">
        <v>2</v>
      </c>
      <c r="F38" s="2" t="s">
        <v>55</v>
      </c>
      <c r="G38" s="34">
        <v>6</v>
      </c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CQ38"/>
      <c r="CR38"/>
      <c r="CS38"/>
      <c r="CT38"/>
      <c r="CU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C38"/>
      <c r="ED38"/>
      <c r="EE38"/>
      <c r="EF38"/>
      <c r="EG38"/>
      <c r="EH38"/>
      <c r="EI38"/>
      <c r="EJ38"/>
      <c r="EK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K38"/>
      <c r="FL38"/>
      <c r="FM38"/>
      <c r="FN38"/>
      <c r="FO38"/>
      <c r="FP38"/>
      <c r="FQ38"/>
      <c r="FR38"/>
      <c r="FS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S38"/>
      <c r="GT38"/>
      <c r="GU38"/>
      <c r="GV38"/>
      <c r="GW38"/>
      <c r="GX38"/>
      <c r="GY38"/>
      <c r="GZ38"/>
      <c r="HA38"/>
      <c r="HB38"/>
      <c r="HC38"/>
      <c r="HD38"/>
      <c r="HE38"/>
      <c r="HF38"/>
      <c r="HG38"/>
      <c r="HH38"/>
      <c r="HI38"/>
      <c r="HJ38"/>
      <c r="HK38"/>
      <c r="HL38"/>
      <c r="HM38"/>
      <c r="HN38"/>
      <c r="HO38"/>
      <c r="HP38"/>
      <c r="HQ38"/>
      <c r="HR38"/>
      <c r="HS38"/>
      <c r="HT38"/>
      <c r="HU38"/>
      <c r="HV38"/>
      <c r="HW38"/>
      <c r="HX38"/>
      <c r="HY38"/>
      <c r="HZ38"/>
      <c r="IA38"/>
      <c r="IB38"/>
      <c r="IC38"/>
      <c r="ID38"/>
      <c r="IE38"/>
      <c r="IF38"/>
      <c r="IG38"/>
      <c r="IH38"/>
      <c r="II38"/>
      <c r="IJ38"/>
      <c r="IK38"/>
      <c r="IL38"/>
      <c r="IM38"/>
      <c r="IN38"/>
      <c r="IO38"/>
      <c r="IP38"/>
      <c r="IQ38"/>
      <c r="IR38"/>
      <c r="IS38"/>
      <c r="IT38"/>
      <c r="IU38"/>
      <c r="IV38"/>
      <c r="IW38"/>
      <c r="IX38"/>
      <c r="IY38"/>
      <c r="IZ38"/>
      <c r="JA38"/>
      <c r="JB38"/>
      <c r="JC38"/>
      <c r="JD38"/>
      <c r="JE38"/>
      <c r="JF38"/>
      <c r="JG38"/>
      <c r="JH38"/>
      <c r="JI38"/>
      <c r="JJ38"/>
      <c r="JK38"/>
      <c r="JL38"/>
      <c r="JM38"/>
      <c r="JN38"/>
      <c r="JO38"/>
      <c r="JP38"/>
      <c r="JQ38"/>
      <c r="JR38"/>
      <c r="JS38"/>
      <c r="JT38"/>
      <c r="JU38"/>
      <c r="JV38"/>
      <c r="JW38"/>
      <c r="JX38"/>
      <c r="JY38"/>
      <c r="JZ38"/>
      <c r="KA38"/>
      <c r="KB38"/>
      <c r="KC38"/>
      <c r="KD38"/>
      <c r="KE38"/>
      <c r="KF38"/>
      <c r="KG38"/>
      <c r="KH38"/>
      <c r="KI38"/>
      <c r="KJ38"/>
      <c r="KK38"/>
      <c r="KL38"/>
      <c r="KM38"/>
      <c r="KN38"/>
      <c r="KO38"/>
      <c r="KP38"/>
      <c r="KQ38"/>
      <c r="KR38"/>
      <c r="KS38"/>
      <c r="KT38"/>
      <c r="KU38"/>
      <c r="KV38"/>
      <c r="KW38"/>
      <c r="KX38"/>
      <c r="KY38"/>
      <c r="KZ38"/>
      <c r="LA38"/>
      <c r="LB38"/>
      <c r="LC38"/>
      <c r="LD38"/>
      <c r="LE38"/>
      <c r="LF38"/>
      <c r="LG38"/>
      <c r="LH38"/>
      <c r="LI38"/>
      <c r="LJ38"/>
      <c r="LK38"/>
      <c r="LL38"/>
      <c r="LM38"/>
      <c r="LN38"/>
      <c r="LO38"/>
      <c r="LP38"/>
      <c r="LQ38"/>
      <c r="LR38"/>
      <c r="LS38"/>
      <c r="LT38"/>
      <c r="LU38"/>
      <c r="LV38"/>
      <c r="LW38"/>
      <c r="LX38"/>
      <c r="LY38"/>
      <c r="LZ38"/>
      <c r="MA38"/>
      <c r="MB38"/>
      <c r="MC38"/>
      <c r="MD38"/>
      <c r="ME38"/>
      <c r="MF38"/>
      <c r="MG38"/>
      <c r="MH38"/>
      <c r="MI38"/>
      <c r="MJ38"/>
      <c r="MK38"/>
      <c r="ML38"/>
      <c r="MM38"/>
      <c r="MN38"/>
      <c r="MO38"/>
      <c r="MP38"/>
      <c r="MQ38"/>
      <c r="MR38"/>
      <c r="MS38"/>
      <c r="MT38"/>
      <c r="MU38"/>
      <c r="MV38"/>
      <c r="MW38"/>
      <c r="MX38"/>
      <c r="MY38"/>
      <c r="MZ38"/>
      <c r="NA38"/>
      <c r="NB38"/>
      <c r="NC38"/>
      <c r="ND38"/>
      <c r="NE38"/>
      <c r="NF38"/>
      <c r="NG38"/>
      <c r="NH38"/>
      <c r="NI38"/>
      <c r="NJ38"/>
      <c r="NK38"/>
      <c r="NL38"/>
      <c r="NM38"/>
      <c r="NN38"/>
      <c r="NO38"/>
      <c r="NP38"/>
      <c r="NQ38"/>
      <c r="NR38"/>
      <c r="NS38"/>
      <c r="NT38"/>
      <c r="NU38"/>
      <c r="NV38"/>
      <c r="NW38"/>
      <c r="NX38"/>
      <c r="NY38"/>
      <c r="NZ38"/>
      <c r="OA38"/>
      <c r="OB38"/>
      <c r="OC38"/>
      <c r="OD38"/>
      <c r="OE38"/>
      <c r="OF38"/>
      <c r="OG38"/>
      <c r="OH38"/>
      <c r="OI38"/>
      <c r="OJ38"/>
      <c r="OK38"/>
      <c r="OL38"/>
      <c r="OM38"/>
      <c r="ON38"/>
      <c r="OO38"/>
      <c r="OP38"/>
      <c r="OQ38"/>
      <c r="OR38"/>
      <c r="OS38"/>
      <c r="OT38"/>
      <c r="OU38"/>
      <c r="OV38"/>
      <c r="OW38"/>
      <c r="OX38"/>
      <c r="OY38"/>
      <c r="OZ38"/>
      <c r="PA38"/>
      <c r="PB38"/>
      <c r="PC38"/>
      <c r="PD38"/>
      <c r="PE38"/>
      <c r="PF38"/>
      <c r="PG38"/>
      <c r="PH38"/>
      <c r="PI38"/>
      <c r="PJ38"/>
      <c r="PK38"/>
      <c r="PL38"/>
      <c r="PM38"/>
      <c r="PN38"/>
      <c r="PO38"/>
      <c r="PP38"/>
      <c r="PQ38"/>
      <c r="PR38"/>
      <c r="PS38"/>
      <c r="PT38"/>
      <c r="PU38"/>
      <c r="PV38"/>
      <c r="PW38"/>
      <c r="PX38"/>
      <c r="PY38"/>
      <c r="PZ38"/>
      <c r="QA38"/>
      <c r="QB38"/>
      <c r="QC38"/>
      <c r="QD38"/>
      <c r="QE38"/>
      <c r="QF38"/>
      <c r="QG38"/>
      <c r="QH38"/>
      <c r="QI38"/>
      <c r="QJ38"/>
      <c r="QK38"/>
      <c r="QL38"/>
      <c r="QM38"/>
      <c r="QN38"/>
      <c r="QO38"/>
      <c r="QP38"/>
      <c r="QQ38"/>
      <c r="QR38"/>
      <c r="QS38"/>
      <c r="QT38"/>
      <c r="QU38"/>
      <c r="QV38"/>
      <c r="QW38"/>
      <c r="QX38"/>
      <c r="QY38"/>
      <c r="QZ38"/>
      <c r="RA38"/>
      <c r="RB38"/>
      <c r="RC38"/>
      <c r="RD38"/>
      <c r="RE38"/>
      <c r="RF38"/>
      <c r="RG38"/>
      <c r="RH38"/>
      <c r="RI38"/>
      <c r="RJ38"/>
      <c r="RK38"/>
      <c r="RL38"/>
      <c r="RM38"/>
      <c r="RN38"/>
      <c r="RO38"/>
      <c r="RP38"/>
      <c r="RQ38"/>
      <c r="RR38"/>
      <c r="RS38"/>
    </row>
    <row r="39" spans="3:487" x14ac:dyDescent="0.25">
      <c r="C39" s="2" t="s">
        <v>173</v>
      </c>
      <c r="D39" s="34">
        <v>2</v>
      </c>
      <c r="F39" s="2" t="s">
        <v>58</v>
      </c>
      <c r="G39" s="34">
        <v>5</v>
      </c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CQ39"/>
      <c r="CR39"/>
      <c r="CS39"/>
      <c r="CT39"/>
      <c r="CU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C39"/>
      <c r="ED39"/>
      <c r="EE39"/>
      <c r="EF39"/>
      <c r="EG39"/>
      <c r="EH39"/>
      <c r="EI39"/>
      <c r="EJ39"/>
      <c r="EK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K39"/>
      <c r="FL39"/>
      <c r="FM39"/>
      <c r="FN39"/>
      <c r="FO39"/>
      <c r="FP39"/>
      <c r="FQ39"/>
      <c r="FR39"/>
      <c r="FS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S39"/>
      <c r="GT39"/>
      <c r="GU39"/>
      <c r="GV39"/>
      <c r="GW39"/>
      <c r="GX39"/>
      <c r="GY39"/>
      <c r="GZ39"/>
      <c r="HA39"/>
      <c r="HB39"/>
      <c r="HC39"/>
      <c r="HD39"/>
      <c r="HE39"/>
      <c r="HF39"/>
      <c r="HG39"/>
      <c r="HH39"/>
      <c r="HI39"/>
      <c r="HJ39"/>
      <c r="HK39"/>
      <c r="HL39"/>
      <c r="HM39"/>
      <c r="HN39"/>
      <c r="HO39"/>
      <c r="HP39"/>
      <c r="HQ39"/>
      <c r="HR39"/>
      <c r="HS39"/>
      <c r="HT39"/>
      <c r="HU39"/>
      <c r="HV39"/>
      <c r="HW39"/>
      <c r="HX39"/>
      <c r="HY39"/>
      <c r="HZ39"/>
      <c r="IA39"/>
      <c r="IB39"/>
      <c r="IC39"/>
      <c r="ID39"/>
      <c r="IE39"/>
      <c r="IF39"/>
      <c r="IG39"/>
      <c r="IH39"/>
      <c r="II39"/>
      <c r="IJ39"/>
      <c r="IK39"/>
      <c r="IL39"/>
      <c r="IM39"/>
      <c r="IN39"/>
      <c r="IO39"/>
      <c r="IP39"/>
      <c r="IQ39"/>
      <c r="IR39"/>
      <c r="IS39"/>
      <c r="IT39"/>
      <c r="IU39"/>
      <c r="IV39"/>
      <c r="IW39"/>
      <c r="IX39"/>
      <c r="IY39"/>
      <c r="IZ39"/>
      <c r="JA39"/>
      <c r="JB39"/>
      <c r="JC39"/>
      <c r="JD39"/>
      <c r="JE39"/>
      <c r="JF39"/>
      <c r="JG39"/>
      <c r="JH39"/>
      <c r="JI39"/>
      <c r="JJ39"/>
      <c r="JK39"/>
      <c r="JL39"/>
      <c r="JM39"/>
      <c r="JN39"/>
      <c r="JO39"/>
      <c r="JP39"/>
      <c r="JQ39"/>
      <c r="JR39"/>
      <c r="JS39"/>
      <c r="JT39"/>
      <c r="JU39"/>
      <c r="JV39"/>
      <c r="JW39"/>
      <c r="JX39"/>
      <c r="JY39"/>
      <c r="JZ39"/>
      <c r="KA39"/>
      <c r="KB39"/>
      <c r="KC39"/>
      <c r="KD39"/>
      <c r="KE39"/>
      <c r="KF39"/>
      <c r="KG39"/>
      <c r="KH39"/>
      <c r="KI39"/>
      <c r="KJ39"/>
      <c r="KK39"/>
      <c r="KL39"/>
      <c r="KM39"/>
      <c r="KN39"/>
      <c r="KO39"/>
      <c r="KP39"/>
      <c r="KQ39"/>
      <c r="KR39"/>
      <c r="KS39"/>
      <c r="KT39"/>
      <c r="KU39"/>
      <c r="KV39"/>
      <c r="KW39"/>
      <c r="KX39"/>
      <c r="KY39"/>
      <c r="KZ39"/>
      <c r="LA39"/>
      <c r="LB39"/>
      <c r="LC39"/>
      <c r="LD39"/>
      <c r="LE39"/>
      <c r="LF39"/>
      <c r="LG39"/>
      <c r="LH39"/>
      <c r="LI39"/>
      <c r="LJ39"/>
      <c r="LK39"/>
      <c r="LL39"/>
      <c r="LM39"/>
      <c r="LN39"/>
      <c r="LO39"/>
      <c r="LP39"/>
      <c r="LQ39"/>
      <c r="LR39"/>
      <c r="LS39"/>
      <c r="LT39"/>
      <c r="LU39"/>
      <c r="LV39"/>
      <c r="LW39"/>
      <c r="LX39"/>
      <c r="LY39"/>
      <c r="LZ39"/>
      <c r="MA39"/>
      <c r="MB39"/>
      <c r="MC39"/>
      <c r="MD39"/>
      <c r="ME39"/>
      <c r="MF39"/>
      <c r="MG39"/>
      <c r="MH39"/>
      <c r="MI39"/>
      <c r="MJ39"/>
      <c r="MK39"/>
      <c r="ML39"/>
      <c r="MM39"/>
      <c r="MN39"/>
      <c r="MO39"/>
      <c r="MP39"/>
      <c r="MQ39"/>
      <c r="MR39"/>
      <c r="MS39"/>
      <c r="MT39"/>
      <c r="MU39"/>
      <c r="MV39"/>
      <c r="MW39"/>
      <c r="MX39"/>
      <c r="MY39"/>
      <c r="MZ39"/>
      <c r="NA39"/>
      <c r="NB39"/>
      <c r="NC39"/>
      <c r="ND39"/>
      <c r="NE39"/>
      <c r="NF39"/>
      <c r="NG39"/>
      <c r="NH39"/>
      <c r="NI39"/>
      <c r="NJ39"/>
      <c r="NK39"/>
      <c r="NL39"/>
      <c r="NM39"/>
      <c r="NN39"/>
      <c r="NO39"/>
      <c r="NP39"/>
      <c r="NQ39"/>
      <c r="NR39"/>
      <c r="NS39"/>
      <c r="NT39"/>
      <c r="NU39"/>
      <c r="NV39"/>
      <c r="NW39"/>
      <c r="NX39"/>
      <c r="NY39"/>
      <c r="NZ39"/>
      <c r="OA39"/>
      <c r="OB39"/>
      <c r="OC39"/>
      <c r="OD39"/>
      <c r="OE39"/>
      <c r="OF39"/>
      <c r="OG39"/>
      <c r="OH39"/>
      <c r="OI39"/>
      <c r="OJ39"/>
      <c r="OK39"/>
      <c r="OL39"/>
      <c r="OM39"/>
      <c r="ON39"/>
      <c r="OO39"/>
      <c r="OP39"/>
      <c r="OQ39"/>
      <c r="OR39"/>
      <c r="OS39"/>
      <c r="OT39"/>
      <c r="OU39"/>
      <c r="OV39"/>
      <c r="OW39"/>
      <c r="OX39"/>
      <c r="OY39"/>
      <c r="OZ39"/>
      <c r="PA39"/>
      <c r="PB39"/>
      <c r="PC39"/>
      <c r="PD39"/>
      <c r="PE39"/>
      <c r="PF39"/>
      <c r="PG39"/>
      <c r="PH39"/>
      <c r="PI39"/>
      <c r="PJ39"/>
      <c r="PK39"/>
      <c r="PL39"/>
      <c r="PM39"/>
      <c r="PN39"/>
      <c r="PO39"/>
      <c r="PP39"/>
      <c r="PQ39"/>
      <c r="PR39"/>
      <c r="PS39"/>
      <c r="PT39"/>
      <c r="PU39"/>
      <c r="PV39"/>
      <c r="PW39"/>
      <c r="PX39"/>
      <c r="PY39"/>
      <c r="PZ39"/>
      <c r="QA39"/>
      <c r="QB39"/>
      <c r="QC39"/>
      <c r="QD39"/>
      <c r="QE39"/>
      <c r="QF39"/>
      <c r="QG39"/>
      <c r="QH39"/>
      <c r="QI39"/>
      <c r="QJ39"/>
      <c r="QK39"/>
      <c r="QL39"/>
      <c r="QM39"/>
      <c r="QN39"/>
      <c r="QO39"/>
      <c r="QP39"/>
      <c r="QQ39"/>
      <c r="QR39"/>
      <c r="QS39"/>
      <c r="QT39"/>
      <c r="QU39"/>
      <c r="QV39"/>
      <c r="QW39"/>
      <c r="QX39"/>
      <c r="QY39"/>
      <c r="QZ39"/>
      <c r="RA39"/>
      <c r="RB39"/>
      <c r="RC39"/>
      <c r="RD39"/>
      <c r="RE39"/>
      <c r="RF39"/>
      <c r="RG39"/>
      <c r="RH39"/>
      <c r="RI39"/>
      <c r="RJ39"/>
      <c r="RK39"/>
      <c r="RL39"/>
      <c r="RM39"/>
      <c r="RN39"/>
      <c r="RO39"/>
      <c r="RP39"/>
      <c r="RQ39"/>
      <c r="RR39"/>
      <c r="RS39"/>
    </row>
    <row r="40" spans="3:487" x14ac:dyDescent="0.25">
      <c r="C40" s="2" t="s">
        <v>91</v>
      </c>
      <c r="D40" s="34">
        <v>2</v>
      </c>
      <c r="F40" s="2" t="s">
        <v>37</v>
      </c>
      <c r="G40" s="34">
        <v>5</v>
      </c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CQ40"/>
      <c r="CR40"/>
      <c r="CS40"/>
      <c r="CT40"/>
      <c r="CU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C40"/>
      <c r="ED40"/>
      <c r="EE40"/>
      <c r="EF40"/>
      <c r="EG40"/>
      <c r="EH40"/>
      <c r="EI40"/>
      <c r="EJ40"/>
      <c r="EK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K40"/>
      <c r="FL40"/>
      <c r="FM40"/>
      <c r="FN40"/>
      <c r="FO40"/>
      <c r="FP40"/>
      <c r="FQ40"/>
      <c r="FR40"/>
      <c r="FS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S40"/>
      <c r="GT40"/>
      <c r="GU40"/>
      <c r="GV40"/>
      <c r="GW40"/>
      <c r="GX40"/>
      <c r="GY40"/>
      <c r="GZ40"/>
      <c r="HA40"/>
      <c r="HB40"/>
      <c r="HC40"/>
      <c r="HD40"/>
      <c r="HE40"/>
      <c r="HF40"/>
      <c r="HG40"/>
      <c r="HH40"/>
      <c r="HI40"/>
      <c r="HJ40"/>
      <c r="HK40"/>
      <c r="HL40"/>
      <c r="HM40"/>
      <c r="HN40"/>
      <c r="HO40"/>
      <c r="HP40"/>
      <c r="HQ40"/>
      <c r="HR40"/>
      <c r="HS40"/>
      <c r="HT40"/>
      <c r="HU40"/>
      <c r="HV40"/>
      <c r="HW40"/>
      <c r="HX40"/>
      <c r="HY40"/>
      <c r="HZ40"/>
      <c r="IA40"/>
      <c r="IB40"/>
      <c r="IC40"/>
      <c r="ID40"/>
      <c r="IE40"/>
      <c r="IF40"/>
      <c r="IG40"/>
      <c r="IH40"/>
      <c r="II40"/>
      <c r="IJ40"/>
      <c r="IK40"/>
      <c r="IL40"/>
      <c r="IM40"/>
      <c r="IN40"/>
      <c r="IO40"/>
      <c r="IP40"/>
      <c r="IQ40"/>
      <c r="IR40"/>
      <c r="IS40"/>
      <c r="IT40"/>
      <c r="IU40"/>
      <c r="IV40"/>
      <c r="IW40"/>
      <c r="IX40"/>
      <c r="IY40"/>
      <c r="IZ40"/>
      <c r="JA40"/>
      <c r="JB40"/>
      <c r="JC40"/>
      <c r="JD40"/>
      <c r="JE40"/>
      <c r="JF40"/>
      <c r="JG40"/>
      <c r="JH40"/>
      <c r="JI40"/>
      <c r="JJ40"/>
      <c r="JK40"/>
      <c r="JL40"/>
      <c r="JM40"/>
      <c r="JN40"/>
      <c r="JO40"/>
      <c r="JP40"/>
      <c r="JQ40"/>
      <c r="JR40"/>
      <c r="JS40"/>
      <c r="JT40"/>
      <c r="JU40"/>
      <c r="JV40"/>
      <c r="JW40"/>
      <c r="JX40"/>
      <c r="JY40"/>
      <c r="JZ40"/>
      <c r="KA40"/>
      <c r="KB40"/>
      <c r="KC40"/>
      <c r="KD40"/>
      <c r="KE40"/>
      <c r="KF40"/>
      <c r="KG40"/>
      <c r="KH40"/>
      <c r="KI40"/>
      <c r="KJ40"/>
      <c r="KK40"/>
      <c r="KL40"/>
      <c r="KM40"/>
      <c r="KN40"/>
      <c r="KO40"/>
      <c r="KP40"/>
      <c r="KQ40"/>
      <c r="KR40"/>
      <c r="KS40"/>
      <c r="KT40"/>
      <c r="KU40"/>
      <c r="KV40"/>
      <c r="KW40"/>
      <c r="KX40"/>
      <c r="KY40"/>
      <c r="KZ40"/>
      <c r="LA40"/>
      <c r="LB40"/>
      <c r="LC40"/>
      <c r="LD40"/>
      <c r="LE40"/>
      <c r="LF40"/>
      <c r="LG40"/>
      <c r="LH40"/>
      <c r="LI40"/>
      <c r="LJ40"/>
      <c r="LK40"/>
      <c r="LL40"/>
      <c r="LM40"/>
      <c r="LN40"/>
      <c r="LO40"/>
      <c r="LP40"/>
      <c r="LQ40"/>
      <c r="LR40"/>
      <c r="LS40"/>
      <c r="LT40"/>
      <c r="LU40"/>
      <c r="LV40"/>
      <c r="LW40"/>
      <c r="LX40"/>
      <c r="LY40"/>
      <c r="LZ40"/>
      <c r="MA40"/>
      <c r="MB40"/>
      <c r="MC40"/>
      <c r="MD40"/>
      <c r="ME40"/>
      <c r="MF40"/>
      <c r="MG40"/>
      <c r="MH40"/>
      <c r="MI40"/>
      <c r="MJ40"/>
      <c r="MK40"/>
      <c r="ML40"/>
      <c r="MM40"/>
      <c r="MN40"/>
      <c r="MO40"/>
      <c r="MP40"/>
      <c r="MQ40"/>
      <c r="MR40"/>
      <c r="MS40"/>
      <c r="MT40"/>
      <c r="MU40"/>
      <c r="MV40"/>
      <c r="MW40"/>
      <c r="MX40"/>
      <c r="MY40"/>
      <c r="MZ40"/>
      <c r="NA40"/>
      <c r="NB40"/>
      <c r="NC40"/>
      <c r="ND40"/>
      <c r="NE40"/>
      <c r="NF40"/>
      <c r="NG40"/>
      <c r="NH40"/>
      <c r="NI40"/>
      <c r="NJ40"/>
      <c r="NK40"/>
      <c r="NL40"/>
      <c r="NM40"/>
      <c r="NN40"/>
      <c r="NO40"/>
      <c r="NP40"/>
      <c r="NQ40"/>
      <c r="NR40"/>
      <c r="NS40"/>
      <c r="NT40"/>
      <c r="NU40"/>
      <c r="NV40"/>
      <c r="NW40"/>
      <c r="NX40"/>
      <c r="NY40"/>
      <c r="NZ40"/>
      <c r="OA40"/>
      <c r="OB40"/>
      <c r="OC40"/>
      <c r="OD40"/>
      <c r="OE40"/>
      <c r="OF40"/>
      <c r="OG40"/>
      <c r="OH40"/>
      <c r="OI40"/>
      <c r="OJ40"/>
      <c r="OK40"/>
      <c r="OL40"/>
      <c r="OM40"/>
      <c r="ON40"/>
      <c r="OO40"/>
      <c r="OP40"/>
      <c r="OQ40"/>
      <c r="OR40"/>
      <c r="OS40"/>
      <c r="OT40"/>
      <c r="OU40"/>
      <c r="OV40"/>
      <c r="OW40"/>
      <c r="OX40"/>
      <c r="OY40"/>
      <c r="OZ40"/>
      <c r="PA40"/>
      <c r="PB40"/>
      <c r="PC40"/>
      <c r="PD40"/>
      <c r="PE40"/>
      <c r="PF40"/>
      <c r="PG40"/>
      <c r="PH40"/>
      <c r="PI40"/>
      <c r="PJ40"/>
      <c r="PK40"/>
      <c r="PL40"/>
      <c r="PM40"/>
      <c r="PN40"/>
      <c r="PO40"/>
      <c r="PP40"/>
      <c r="PQ40"/>
      <c r="PR40"/>
      <c r="PS40"/>
      <c r="PT40"/>
      <c r="PU40"/>
      <c r="PV40"/>
      <c r="PW40"/>
      <c r="PX40"/>
      <c r="PY40"/>
      <c r="PZ40"/>
      <c r="QA40"/>
      <c r="QB40"/>
      <c r="QC40"/>
      <c r="QD40"/>
      <c r="QE40"/>
      <c r="QF40"/>
      <c r="QG40"/>
      <c r="QH40"/>
      <c r="QI40"/>
      <c r="QJ40"/>
      <c r="QK40"/>
      <c r="QL40"/>
      <c r="QM40"/>
      <c r="QN40"/>
      <c r="QO40"/>
      <c r="QP40"/>
      <c r="QQ40"/>
      <c r="QR40"/>
      <c r="QS40"/>
      <c r="QT40"/>
      <c r="QU40"/>
      <c r="QV40"/>
      <c r="QW40"/>
      <c r="QX40"/>
      <c r="QY40"/>
      <c r="QZ40"/>
      <c r="RA40"/>
      <c r="RB40"/>
      <c r="RC40"/>
      <c r="RD40"/>
      <c r="RE40"/>
      <c r="RF40"/>
      <c r="RG40"/>
      <c r="RH40"/>
      <c r="RI40"/>
      <c r="RJ40"/>
      <c r="RK40"/>
      <c r="RL40"/>
      <c r="RM40"/>
      <c r="RN40"/>
      <c r="RO40"/>
      <c r="RP40"/>
      <c r="RQ40"/>
      <c r="RR40"/>
      <c r="RS40"/>
    </row>
    <row r="41" spans="3:487" x14ac:dyDescent="0.25">
      <c r="C41" s="2" t="s">
        <v>220</v>
      </c>
      <c r="D41" s="34">
        <v>2</v>
      </c>
      <c r="F41" s="2" t="s">
        <v>94</v>
      </c>
      <c r="G41" s="34">
        <v>5</v>
      </c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CQ41"/>
      <c r="CR41"/>
      <c r="CS41"/>
      <c r="CT41"/>
      <c r="CU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C41"/>
      <c r="ED41"/>
      <c r="EE41"/>
      <c r="EF41"/>
      <c r="EG41"/>
      <c r="EH41"/>
      <c r="EI41"/>
      <c r="EJ41"/>
      <c r="EK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K41"/>
      <c r="FL41"/>
      <c r="FM41"/>
      <c r="FN41"/>
      <c r="FO41"/>
      <c r="FP41"/>
      <c r="FQ41"/>
      <c r="FR41"/>
      <c r="FS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S41"/>
      <c r="GT41"/>
      <c r="GU41"/>
      <c r="GV41"/>
      <c r="GW41"/>
      <c r="GX41"/>
      <c r="GY41"/>
      <c r="GZ41"/>
      <c r="HA41"/>
      <c r="HB41"/>
      <c r="HC41"/>
      <c r="HD41"/>
      <c r="HE41"/>
      <c r="HF41"/>
      <c r="HG41"/>
      <c r="HH41"/>
      <c r="HI41"/>
      <c r="HJ41"/>
      <c r="HK41"/>
      <c r="HL41"/>
      <c r="HM41"/>
      <c r="HN41"/>
      <c r="HO41"/>
      <c r="HP41"/>
      <c r="HQ41"/>
      <c r="HR41"/>
      <c r="HS41"/>
      <c r="HT41"/>
      <c r="HU41"/>
      <c r="HV41"/>
      <c r="HW41"/>
      <c r="HX41"/>
      <c r="HY41"/>
      <c r="HZ41"/>
      <c r="IA41"/>
      <c r="IB41"/>
      <c r="IC41"/>
      <c r="ID41"/>
      <c r="IE41"/>
      <c r="IF41"/>
      <c r="IG41"/>
      <c r="IH41"/>
      <c r="II41"/>
      <c r="IJ41"/>
      <c r="IK41"/>
      <c r="IL41"/>
      <c r="IM41"/>
      <c r="IN41"/>
      <c r="IO41"/>
      <c r="IP41"/>
      <c r="IQ41"/>
      <c r="IR41"/>
      <c r="IS41"/>
      <c r="IT41"/>
      <c r="IU41"/>
      <c r="IV41"/>
      <c r="IW41"/>
      <c r="IX41"/>
      <c r="IY41"/>
      <c r="IZ41"/>
      <c r="JA41"/>
      <c r="JB41"/>
      <c r="JC41"/>
      <c r="JD41"/>
      <c r="JE41"/>
      <c r="JF41"/>
      <c r="JG41"/>
      <c r="JH41"/>
      <c r="JI41"/>
      <c r="JJ41"/>
      <c r="JK41"/>
      <c r="JL41"/>
      <c r="JM41"/>
      <c r="JN41"/>
      <c r="JO41"/>
      <c r="JP41"/>
      <c r="JQ41"/>
      <c r="JR41"/>
      <c r="JS41"/>
      <c r="JT41"/>
      <c r="JU41"/>
      <c r="JV41"/>
      <c r="JW41"/>
      <c r="JX41"/>
      <c r="JY41"/>
      <c r="JZ41"/>
      <c r="KA41"/>
      <c r="KB41"/>
      <c r="KC41"/>
      <c r="KD41"/>
      <c r="KE41"/>
      <c r="KF41"/>
      <c r="KG41"/>
      <c r="KH41"/>
      <c r="KI41"/>
      <c r="KJ41"/>
      <c r="KK41"/>
      <c r="KL41"/>
      <c r="KM41"/>
      <c r="KN41"/>
      <c r="KO41"/>
      <c r="KP41"/>
      <c r="KQ41"/>
      <c r="KR41"/>
      <c r="KS41"/>
      <c r="KT41"/>
      <c r="KU41"/>
      <c r="KV41"/>
      <c r="KW41"/>
      <c r="KX41"/>
      <c r="KY41"/>
      <c r="KZ41"/>
      <c r="LA41"/>
      <c r="LB41"/>
      <c r="LC41"/>
      <c r="LD41"/>
      <c r="LE41"/>
      <c r="LF41"/>
      <c r="LG41"/>
      <c r="LH41"/>
      <c r="LI41"/>
      <c r="LJ41"/>
      <c r="LK41"/>
      <c r="LL41"/>
      <c r="LM41"/>
      <c r="LN41"/>
      <c r="LO41"/>
      <c r="LP41"/>
      <c r="LQ41"/>
      <c r="LR41"/>
      <c r="LS41"/>
      <c r="LT41"/>
      <c r="LU41"/>
      <c r="LV41"/>
      <c r="LW41"/>
      <c r="LX41"/>
      <c r="LY41"/>
      <c r="LZ41"/>
      <c r="MA41"/>
      <c r="MB41"/>
      <c r="MC41"/>
      <c r="MD41"/>
      <c r="ME41"/>
      <c r="MF41"/>
      <c r="MG41"/>
      <c r="MH41"/>
      <c r="MI41"/>
      <c r="MJ41"/>
      <c r="MK41"/>
      <c r="ML41"/>
      <c r="MM41"/>
      <c r="MN41"/>
      <c r="MO41"/>
      <c r="MP41"/>
      <c r="MQ41"/>
      <c r="MR41"/>
      <c r="MS41"/>
      <c r="MT41"/>
      <c r="MU41"/>
      <c r="MV41"/>
      <c r="MW41"/>
      <c r="MX41"/>
      <c r="MY41"/>
      <c r="MZ41"/>
      <c r="NA41"/>
      <c r="NB41"/>
      <c r="NC41"/>
      <c r="ND41"/>
      <c r="NE41"/>
      <c r="NF41"/>
      <c r="NG41"/>
      <c r="NH41"/>
      <c r="NI41"/>
      <c r="NJ41"/>
      <c r="NK41"/>
      <c r="NL41"/>
      <c r="NM41"/>
      <c r="NN41"/>
      <c r="NO41"/>
      <c r="NP41"/>
      <c r="NQ41"/>
      <c r="NR41"/>
      <c r="NS41"/>
      <c r="NT41"/>
      <c r="NU41"/>
      <c r="NV41"/>
      <c r="NW41"/>
      <c r="NX41"/>
      <c r="NY41"/>
      <c r="NZ41"/>
      <c r="OA41"/>
      <c r="OB41"/>
      <c r="OC41"/>
      <c r="OD41"/>
      <c r="OE41"/>
      <c r="OF41"/>
      <c r="OG41"/>
      <c r="OH41"/>
      <c r="OI41"/>
      <c r="OJ41"/>
      <c r="OK41"/>
      <c r="OL41"/>
      <c r="OM41"/>
      <c r="ON41"/>
      <c r="OO41"/>
      <c r="OP41"/>
      <c r="OQ41"/>
      <c r="OR41"/>
      <c r="OS41"/>
      <c r="OT41"/>
      <c r="OU41"/>
      <c r="OV41"/>
      <c r="OW41"/>
      <c r="OX41"/>
      <c r="OY41"/>
      <c r="OZ41"/>
      <c r="PA41"/>
      <c r="PB41"/>
      <c r="PC41"/>
      <c r="PD41"/>
      <c r="PE41"/>
      <c r="PF41"/>
      <c r="PG41"/>
      <c r="PH41"/>
      <c r="PI41"/>
      <c r="PJ41"/>
      <c r="PK41"/>
      <c r="PL41"/>
      <c r="PM41"/>
      <c r="PN41"/>
      <c r="PO41"/>
      <c r="PP41"/>
      <c r="PQ41"/>
      <c r="PR41"/>
      <c r="PS41"/>
      <c r="PT41"/>
      <c r="PU41"/>
      <c r="PV41"/>
      <c r="PW41"/>
      <c r="PX41"/>
      <c r="PY41"/>
      <c r="PZ41"/>
      <c r="QA41"/>
      <c r="QB41"/>
      <c r="QC41"/>
      <c r="QD41"/>
      <c r="QE41"/>
      <c r="QF41"/>
      <c r="QG41"/>
      <c r="QH41"/>
      <c r="QI41"/>
      <c r="QJ41"/>
      <c r="QK41"/>
      <c r="QL41"/>
      <c r="QM41"/>
      <c r="QN41"/>
      <c r="QO41"/>
      <c r="QP41"/>
      <c r="QQ41"/>
      <c r="QR41"/>
      <c r="QS41"/>
      <c r="QT41"/>
      <c r="QU41"/>
      <c r="QV41"/>
      <c r="QW41"/>
      <c r="QX41"/>
      <c r="QY41"/>
      <c r="QZ41"/>
      <c r="RA41"/>
      <c r="RB41"/>
      <c r="RC41"/>
      <c r="RD41"/>
      <c r="RE41"/>
      <c r="RF41"/>
      <c r="RG41"/>
      <c r="RH41"/>
      <c r="RI41"/>
      <c r="RJ41"/>
      <c r="RK41"/>
      <c r="RL41"/>
      <c r="RM41"/>
      <c r="RN41"/>
      <c r="RO41"/>
      <c r="RP41"/>
      <c r="RQ41"/>
      <c r="RR41"/>
      <c r="RS41"/>
    </row>
    <row r="42" spans="3:487" x14ac:dyDescent="0.25">
      <c r="C42" s="2" t="s">
        <v>95</v>
      </c>
      <c r="D42" s="34">
        <v>2</v>
      </c>
      <c r="F42" s="2" t="s">
        <v>28</v>
      </c>
      <c r="G42" s="34">
        <v>5</v>
      </c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CQ42"/>
      <c r="CR42"/>
      <c r="CS42"/>
      <c r="CT42"/>
      <c r="CU42"/>
      <c r="CV42"/>
      <c r="CW42"/>
      <c r="CX42"/>
      <c r="CY42"/>
      <c r="CZ42"/>
      <c r="DA42"/>
      <c r="DB42"/>
      <c r="DC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C42"/>
      <c r="ED42"/>
      <c r="EE42"/>
      <c r="EF42"/>
      <c r="EG42"/>
      <c r="EH42"/>
      <c r="EI42"/>
      <c r="EJ42"/>
      <c r="EK42"/>
      <c r="EL42"/>
      <c r="EM42"/>
      <c r="EN42"/>
      <c r="EO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K42"/>
      <c r="FL42"/>
      <c r="FM42"/>
      <c r="FN42"/>
      <c r="FO42"/>
      <c r="FP42"/>
      <c r="FQ42"/>
      <c r="FR42"/>
      <c r="FS42"/>
      <c r="FT42"/>
      <c r="FU42"/>
      <c r="FV42"/>
      <c r="FW42"/>
      <c r="FX42"/>
      <c r="FY42"/>
      <c r="FZ42"/>
      <c r="GA42"/>
      <c r="GB42"/>
      <c r="GC42"/>
      <c r="GD42"/>
      <c r="GE42"/>
      <c r="GF42"/>
      <c r="GG42"/>
      <c r="GH42"/>
      <c r="GI42"/>
      <c r="GJ42"/>
      <c r="GK42"/>
      <c r="GL42"/>
      <c r="GM42"/>
      <c r="GN42"/>
      <c r="GO42"/>
      <c r="GP42"/>
      <c r="GQ42"/>
      <c r="GR42"/>
      <c r="GS42"/>
      <c r="GT42"/>
      <c r="GU42"/>
      <c r="GV42"/>
      <c r="GW42"/>
      <c r="GX42"/>
      <c r="GY42"/>
      <c r="GZ42"/>
      <c r="HA42"/>
      <c r="HB42"/>
      <c r="HC42"/>
      <c r="HD42"/>
      <c r="HE42"/>
      <c r="HF42"/>
      <c r="HG42"/>
      <c r="HH42"/>
      <c r="HI42"/>
      <c r="HJ42"/>
      <c r="HK42"/>
      <c r="HL42"/>
      <c r="HM42"/>
      <c r="HN42"/>
      <c r="HO42"/>
      <c r="HP42"/>
      <c r="HQ42"/>
      <c r="HR42"/>
      <c r="HS42"/>
      <c r="HT42"/>
      <c r="HU42"/>
      <c r="HV42"/>
      <c r="HW42"/>
      <c r="HX42"/>
      <c r="HY42"/>
      <c r="HZ42"/>
      <c r="IA42"/>
      <c r="IB42"/>
      <c r="IC42"/>
      <c r="ID42"/>
      <c r="IE42"/>
      <c r="IF42"/>
      <c r="IG42"/>
      <c r="IH42"/>
      <c r="II42"/>
      <c r="IJ42"/>
      <c r="IK42"/>
      <c r="IL42"/>
      <c r="IM42"/>
      <c r="IN42"/>
      <c r="IO42"/>
      <c r="IP42"/>
      <c r="IQ42"/>
      <c r="IR42"/>
      <c r="IS42"/>
      <c r="IT42"/>
      <c r="IU42"/>
      <c r="IV42"/>
      <c r="IW42"/>
      <c r="IX42"/>
      <c r="IY42"/>
      <c r="IZ42"/>
      <c r="JA42"/>
      <c r="JB42"/>
      <c r="JC42"/>
      <c r="JD42"/>
      <c r="JE42"/>
      <c r="JF42"/>
      <c r="JG42"/>
      <c r="JH42"/>
      <c r="JI42"/>
      <c r="JJ42"/>
      <c r="JK42"/>
      <c r="JL42"/>
      <c r="JM42"/>
      <c r="JN42"/>
      <c r="JO42"/>
      <c r="JP42"/>
      <c r="JQ42"/>
      <c r="JR42"/>
      <c r="JS42"/>
      <c r="JT42"/>
      <c r="JU42"/>
      <c r="JV42"/>
      <c r="JW42"/>
      <c r="JX42"/>
      <c r="JY42"/>
      <c r="JZ42"/>
      <c r="KA42"/>
      <c r="KB42"/>
      <c r="KC42"/>
      <c r="KD42"/>
      <c r="KE42"/>
      <c r="KF42"/>
      <c r="KG42"/>
      <c r="KH42"/>
      <c r="KI42"/>
      <c r="KJ42"/>
      <c r="KK42"/>
      <c r="KL42"/>
      <c r="KM42"/>
      <c r="KN42"/>
      <c r="KO42"/>
      <c r="KP42"/>
      <c r="KQ42"/>
      <c r="KR42"/>
      <c r="KS42"/>
      <c r="KT42"/>
      <c r="KU42"/>
      <c r="KV42"/>
      <c r="KW42"/>
      <c r="KX42"/>
      <c r="KY42"/>
      <c r="KZ42"/>
      <c r="LA42"/>
      <c r="LB42"/>
      <c r="LC42"/>
      <c r="LD42"/>
      <c r="LE42"/>
      <c r="LF42"/>
      <c r="LG42"/>
      <c r="LH42"/>
      <c r="LI42"/>
      <c r="LJ42"/>
      <c r="LK42"/>
      <c r="LL42"/>
      <c r="LM42"/>
      <c r="LN42"/>
      <c r="LO42"/>
      <c r="LP42"/>
      <c r="LQ42"/>
      <c r="LR42"/>
      <c r="LS42"/>
      <c r="LT42"/>
      <c r="LU42"/>
      <c r="LV42"/>
      <c r="LW42"/>
      <c r="LX42"/>
      <c r="LY42"/>
      <c r="LZ42"/>
      <c r="MA42"/>
      <c r="MB42"/>
      <c r="MC42"/>
      <c r="MD42"/>
      <c r="ME42"/>
      <c r="MF42"/>
      <c r="MG42"/>
      <c r="MH42"/>
      <c r="MI42"/>
      <c r="MJ42"/>
      <c r="MK42"/>
      <c r="ML42"/>
      <c r="MM42"/>
      <c r="MN42"/>
      <c r="MO42"/>
      <c r="MP42"/>
      <c r="MQ42"/>
      <c r="MR42"/>
      <c r="MS42"/>
      <c r="MT42"/>
      <c r="MU42"/>
      <c r="MV42"/>
      <c r="MW42"/>
      <c r="MX42"/>
      <c r="MY42"/>
      <c r="MZ42"/>
      <c r="NA42"/>
      <c r="NB42"/>
      <c r="NC42"/>
      <c r="ND42"/>
      <c r="NE42"/>
      <c r="NF42"/>
      <c r="NG42"/>
      <c r="NH42"/>
      <c r="NI42"/>
      <c r="NJ42"/>
      <c r="NK42"/>
      <c r="NL42"/>
      <c r="NM42"/>
      <c r="NN42"/>
      <c r="NO42"/>
      <c r="NP42"/>
      <c r="NQ42"/>
      <c r="NR42"/>
      <c r="NS42"/>
      <c r="NT42"/>
      <c r="NU42"/>
      <c r="NV42"/>
      <c r="NW42"/>
      <c r="NX42"/>
      <c r="NY42"/>
      <c r="NZ42"/>
      <c r="OA42"/>
      <c r="OB42"/>
      <c r="OC42"/>
      <c r="OD42"/>
      <c r="OE42"/>
      <c r="OF42"/>
      <c r="OG42"/>
      <c r="OH42"/>
      <c r="OI42"/>
      <c r="OJ42"/>
      <c r="OK42"/>
      <c r="OL42"/>
      <c r="OM42"/>
      <c r="ON42"/>
      <c r="OO42"/>
      <c r="OP42"/>
      <c r="OQ42"/>
      <c r="OR42"/>
      <c r="OS42"/>
      <c r="OT42"/>
      <c r="OU42"/>
      <c r="OV42"/>
      <c r="OW42"/>
      <c r="OX42"/>
      <c r="OY42"/>
      <c r="OZ42"/>
      <c r="PA42"/>
      <c r="PB42"/>
      <c r="PC42"/>
      <c r="PD42"/>
      <c r="PE42"/>
      <c r="PF42"/>
      <c r="PG42"/>
      <c r="PH42"/>
      <c r="PI42"/>
      <c r="PJ42"/>
      <c r="PK42"/>
      <c r="PL42"/>
      <c r="PM42"/>
      <c r="PN42"/>
      <c r="PO42"/>
      <c r="PP42"/>
      <c r="PQ42"/>
      <c r="PR42"/>
      <c r="PS42"/>
      <c r="PT42"/>
      <c r="PU42"/>
      <c r="PV42"/>
      <c r="PW42"/>
      <c r="PX42"/>
      <c r="PY42"/>
      <c r="PZ42"/>
      <c r="QA42"/>
      <c r="QB42"/>
      <c r="QC42"/>
      <c r="QD42"/>
      <c r="QE42"/>
      <c r="QF42"/>
      <c r="QG42"/>
      <c r="QH42"/>
      <c r="QI42"/>
      <c r="QJ42"/>
      <c r="QK42"/>
      <c r="QL42"/>
      <c r="QM42"/>
      <c r="QN42"/>
      <c r="QO42"/>
      <c r="QP42"/>
      <c r="QQ42"/>
      <c r="QR42"/>
      <c r="QS42"/>
      <c r="QT42"/>
      <c r="QU42"/>
      <c r="QV42"/>
      <c r="QW42"/>
      <c r="QX42"/>
      <c r="QY42"/>
      <c r="QZ42"/>
      <c r="RA42"/>
      <c r="RB42"/>
      <c r="RC42"/>
      <c r="RD42"/>
      <c r="RE42"/>
      <c r="RF42"/>
      <c r="RG42"/>
      <c r="RH42"/>
      <c r="RI42"/>
      <c r="RJ42"/>
      <c r="RK42"/>
      <c r="RL42"/>
      <c r="RM42"/>
      <c r="RN42"/>
      <c r="RO42"/>
      <c r="RP42"/>
      <c r="RQ42"/>
      <c r="RR42"/>
      <c r="RS42"/>
    </row>
    <row r="43" spans="3:487" x14ac:dyDescent="0.25">
      <c r="C43" s="2" t="s">
        <v>45</v>
      </c>
      <c r="D43" s="34">
        <v>2</v>
      </c>
      <c r="F43" s="2" t="s">
        <v>61</v>
      </c>
      <c r="G43" s="34">
        <v>4</v>
      </c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CQ43"/>
      <c r="CR43"/>
      <c r="CS43"/>
      <c r="CT43"/>
      <c r="CU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C43"/>
      <c r="ED43"/>
      <c r="EE43"/>
      <c r="EF43"/>
      <c r="EG43"/>
      <c r="EH43"/>
      <c r="EI43"/>
      <c r="EJ43"/>
      <c r="EK43"/>
      <c r="EL43"/>
      <c r="EM43"/>
      <c r="EN43"/>
      <c r="EO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K43"/>
      <c r="FL43"/>
      <c r="FM43"/>
      <c r="FN43"/>
      <c r="FO43"/>
      <c r="FP43"/>
      <c r="FQ43"/>
      <c r="FR43"/>
      <c r="FS43"/>
      <c r="FT43"/>
      <c r="FU43"/>
      <c r="FV43"/>
      <c r="FW43"/>
      <c r="FX43"/>
      <c r="FY43"/>
      <c r="FZ43"/>
      <c r="GA43"/>
      <c r="GB43"/>
      <c r="GC43"/>
      <c r="GD43"/>
      <c r="GE43"/>
      <c r="GF43"/>
      <c r="GG43"/>
      <c r="GH43"/>
      <c r="GI43"/>
      <c r="GJ43"/>
      <c r="GK43"/>
      <c r="GL43"/>
      <c r="GM43"/>
      <c r="GN43"/>
      <c r="GO43"/>
      <c r="GP43"/>
      <c r="GQ43"/>
      <c r="GR43"/>
      <c r="GS43"/>
      <c r="GT43"/>
      <c r="GU43"/>
      <c r="GV43"/>
      <c r="GW43"/>
      <c r="GX43"/>
      <c r="GY43"/>
      <c r="GZ43"/>
      <c r="HA43"/>
      <c r="HB43"/>
      <c r="HC43"/>
      <c r="HD43"/>
      <c r="HE43"/>
      <c r="HF43"/>
      <c r="HG43"/>
      <c r="HH43"/>
      <c r="HI43"/>
      <c r="HJ43"/>
      <c r="HK43"/>
      <c r="HL43"/>
      <c r="HM43"/>
      <c r="HN43"/>
      <c r="HO43"/>
      <c r="HP43"/>
      <c r="HQ43"/>
      <c r="HR43"/>
      <c r="HS43"/>
      <c r="HT43"/>
      <c r="HU43"/>
      <c r="HV43"/>
      <c r="HW43"/>
      <c r="HX43"/>
      <c r="HY43"/>
      <c r="HZ43"/>
      <c r="IA43"/>
      <c r="IB43"/>
      <c r="IC43"/>
      <c r="ID43"/>
      <c r="IE43"/>
      <c r="IF43"/>
      <c r="IG43"/>
      <c r="IH43"/>
      <c r="II43"/>
      <c r="IJ43"/>
      <c r="IK43"/>
      <c r="IL43"/>
      <c r="IM43"/>
      <c r="IN43"/>
      <c r="IO43"/>
      <c r="IP43"/>
      <c r="IQ43"/>
      <c r="IR43"/>
      <c r="IS43"/>
      <c r="IT43"/>
      <c r="IU43"/>
      <c r="IV43"/>
      <c r="IW43"/>
      <c r="IX43"/>
      <c r="IY43"/>
      <c r="IZ43"/>
      <c r="JA43"/>
      <c r="JB43"/>
      <c r="JC43"/>
      <c r="JD43"/>
      <c r="JE43"/>
      <c r="JF43"/>
      <c r="JG43"/>
      <c r="JH43"/>
      <c r="JI43"/>
      <c r="JJ43"/>
      <c r="JK43"/>
      <c r="JL43"/>
      <c r="JM43"/>
      <c r="JN43"/>
      <c r="JO43"/>
      <c r="JP43"/>
      <c r="JQ43"/>
      <c r="JR43"/>
      <c r="JS43"/>
      <c r="JT43"/>
      <c r="JU43"/>
      <c r="JV43"/>
      <c r="JW43"/>
      <c r="JX43"/>
      <c r="JY43"/>
      <c r="JZ43"/>
      <c r="KA43"/>
      <c r="KB43"/>
      <c r="KC43"/>
      <c r="KD43"/>
      <c r="KE43"/>
      <c r="KF43"/>
      <c r="KG43"/>
      <c r="KH43"/>
      <c r="KI43"/>
      <c r="KJ43"/>
      <c r="KK43"/>
      <c r="KL43"/>
      <c r="KM43"/>
      <c r="KN43"/>
      <c r="KO43"/>
      <c r="KP43"/>
      <c r="KQ43"/>
      <c r="KR43"/>
      <c r="KS43"/>
      <c r="KT43"/>
      <c r="KU43"/>
      <c r="KV43"/>
      <c r="KW43"/>
      <c r="KX43"/>
      <c r="KY43"/>
      <c r="KZ43"/>
      <c r="LA43"/>
      <c r="LB43"/>
      <c r="LC43"/>
      <c r="LD43"/>
      <c r="LE43"/>
      <c r="LF43"/>
      <c r="LG43"/>
      <c r="LH43"/>
      <c r="LI43"/>
      <c r="LJ43"/>
      <c r="LK43"/>
      <c r="LL43"/>
      <c r="LM43"/>
      <c r="LN43"/>
      <c r="LO43"/>
      <c r="LP43"/>
      <c r="LQ43"/>
      <c r="LR43"/>
      <c r="LS43"/>
      <c r="LT43"/>
      <c r="LU43"/>
      <c r="LV43"/>
      <c r="LW43"/>
      <c r="LX43"/>
      <c r="LY43"/>
      <c r="LZ43"/>
      <c r="MA43"/>
      <c r="MB43"/>
      <c r="MC43"/>
      <c r="MD43"/>
      <c r="ME43"/>
      <c r="MF43"/>
      <c r="MG43"/>
      <c r="MH43"/>
      <c r="MI43"/>
      <c r="MJ43"/>
      <c r="MK43"/>
      <c r="ML43"/>
      <c r="MM43"/>
      <c r="MN43"/>
      <c r="MO43"/>
      <c r="MP43"/>
      <c r="MQ43"/>
      <c r="MR43"/>
      <c r="MS43"/>
      <c r="MT43"/>
      <c r="MU43"/>
      <c r="MV43"/>
      <c r="MW43"/>
      <c r="MX43"/>
      <c r="MY43"/>
      <c r="MZ43"/>
      <c r="NA43"/>
      <c r="NB43"/>
      <c r="NC43"/>
      <c r="ND43"/>
      <c r="NE43"/>
      <c r="NF43"/>
      <c r="NG43"/>
      <c r="NH43"/>
      <c r="NI43"/>
      <c r="NJ43"/>
      <c r="NK43"/>
      <c r="NL43"/>
      <c r="NM43"/>
      <c r="NN43"/>
      <c r="NO43"/>
      <c r="NP43"/>
      <c r="NQ43"/>
      <c r="NR43"/>
      <c r="NS43"/>
      <c r="NT43"/>
      <c r="NU43"/>
      <c r="NV43"/>
      <c r="NW43"/>
      <c r="NX43"/>
      <c r="NY43"/>
      <c r="NZ43"/>
      <c r="OA43"/>
      <c r="OB43"/>
      <c r="OC43"/>
      <c r="OD43"/>
      <c r="OE43"/>
      <c r="OF43"/>
      <c r="OG43"/>
      <c r="OH43"/>
      <c r="OI43"/>
      <c r="OJ43"/>
      <c r="OK43"/>
      <c r="OL43"/>
      <c r="OM43"/>
      <c r="ON43"/>
      <c r="OO43"/>
      <c r="OP43"/>
      <c r="OQ43"/>
      <c r="OR43"/>
      <c r="OS43"/>
      <c r="OT43"/>
      <c r="OU43"/>
      <c r="OV43"/>
      <c r="OW43"/>
      <c r="OX43"/>
      <c r="OY43"/>
      <c r="OZ43"/>
      <c r="PA43"/>
      <c r="PB43"/>
      <c r="PC43"/>
      <c r="PD43"/>
      <c r="PE43"/>
      <c r="PF43"/>
      <c r="PG43"/>
      <c r="PH43"/>
      <c r="PI43"/>
      <c r="PJ43"/>
      <c r="PK43"/>
      <c r="PL43"/>
      <c r="PM43"/>
      <c r="PN43"/>
      <c r="PO43"/>
      <c r="PP43"/>
      <c r="PQ43"/>
      <c r="PR43"/>
      <c r="PS43"/>
      <c r="PT43"/>
      <c r="PU43"/>
      <c r="PV43"/>
      <c r="PW43"/>
      <c r="PX43"/>
      <c r="PY43"/>
      <c r="PZ43"/>
      <c r="QA43"/>
      <c r="QB43"/>
      <c r="QC43"/>
      <c r="QD43"/>
      <c r="QE43"/>
      <c r="QF43"/>
      <c r="QG43"/>
      <c r="QH43"/>
      <c r="QI43"/>
      <c r="QJ43"/>
      <c r="QK43"/>
      <c r="QL43"/>
      <c r="QM43"/>
      <c r="QN43"/>
      <c r="QO43"/>
      <c r="QP43"/>
      <c r="QQ43"/>
      <c r="QR43"/>
      <c r="QS43"/>
      <c r="QT43"/>
      <c r="QU43"/>
      <c r="QV43"/>
      <c r="QW43"/>
      <c r="QX43"/>
      <c r="QY43"/>
      <c r="QZ43"/>
      <c r="RA43"/>
      <c r="RB43"/>
      <c r="RC43"/>
      <c r="RD43"/>
      <c r="RE43"/>
      <c r="RF43"/>
      <c r="RG43"/>
      <c r="RH43"/>
      <c r="RI43"/>
      <c r="RJ43"/>
      <c r="RK43"/>
      <c r="RL43"/>
      <c r="RM43"/>
      <c r="RN43"/>
      <c r="RO43"/>
      <c r="RP43"/>
      <c r="RQ43"/>
      <c r="RR43"/>
      <c r="RS43"/>
    </row>
    <row r="44" spans="3:487" x14ac:dyDescent="0.25">
      <c r="C44" s="2" t="s">
        <v>42</v>
      </c>
      <c r="D44" s="34">
        <v>2</v>
      </c>
      <c r="F44" s="2" t="s">
        <v>100</v>
      </c>
      <c r="G44" s="34">
        <v>4</v>
      </c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O44"/>
      <c r="CP44"/>
      <c r="CQ44"/>
      <c r="CR44"/>
      <c r="CS44"/>
      <c r="CT44"/>
      <c r="CU44"/>
      <c r="CV44"/>
      <c r="CW44"/>
      <c r="CX44"/>
      <c r="CY44"/>
      <c r="CZ44"/>
      <c r="DA44"/>
      <c r="DB44"/>
      <c r="DC44"/>
      <c r="DD44"/>
      <c r="DE44"/>
      <c r="DF44"/>
      <c r="DG44"/>
      <c r="DH44"/>
      <c r="DI44"/>
      <c r="DJ44"/>
      <c r="DK44"/>
      <c r="DL44"/>
      <c r="DM44"/>
      <c r="DN44"/>
      <c r="DO44"/>
      <c r="DP44"/>
      <c r="DQ44"/>
      <c r="DR44"/>
      <c r="DS44"/>
      <c r="DT44"/>
      <c r="DU44"/>
      <c r="DV44"/>
      <c r="DW44"/>
      <c r="DX44"/>
      <c r="DY44"/>
      <c r="DZ44"/>
      <c r="EA44"/>
      <c r="EB44"/>
      <c r="EC44"/>
      <c r="ED44"/>
      <c r="EE44"/>
      <c r="EF44"/>
      <c r="EG44"/>
      <c r="EH44"/>
      <c r="EI44"/>
      <c r="EJ44"/>
      <c r="EK44"/>
      <c r="EL44"/>
      <c r="EM44"/>
      <c r="EN44"/>
      <c r="EO44"/>
      <c r="EP44"/>
      <c r="EQ44"/>
      <c r="ER44"/>
      <c r="ES44"/>
      <c r="ET44"/>
      <c r="EU44"/>
      <c r="EV44"/>
      <c r="EW44"/>
      <c r="EX44"/>
      <c r="EY44"/>
      <c r="EZ44"/>
      <c r="FA44"/>
      <c r="FB44"/>
      <c r="FC44"/>
      <c r="FD44"/>
      <c r="FE44"/>
      <c r="FF44"/>
      <c r="FG44"/>
      <c r="FH44"/>
      <c r="FI44"/>
      <c r="FJ44"/>
      <c r="FK44"/>
      <c r="FL44"/>
      <c r="FM44"/>
      <c r="FN44"/>
      <c r="FO44"/>
      <c r="FP44"/>
      <c r="FQ44"/>
      <c r="FR44"/>
      <c r="FS44"/>
      <c r="FT44"/>
      <c r="FU44"/>
      <c r="FV44"/>
      <c r="FW44"/>
      <c r="FX44"/>
      <c r="FY44"/>
      <c r="FZ44"/>
      <c r="GA44"/>
      <c r="GB44"/>
      <c r="GC44"/>
      <c r="GD44"/>
      <c r="GE44"/>
      <c r="GF44"/>
      <c r="GG44"/>
      <c r="GH44"/>
      <c r="GI44"/>
      <c r="GJ44"/>
      <c r="GK44"/>
      <c r="GL44"/>
      <c r="GM44"/>
      <c r="GN44"/>
      <c r="GO44"/>
      <c r="GP44"/>
      <c r="GQ44"/>
      <c r="GR44"/>
      <c r="GS44"/>
      <c r="GT44"/>
      <c r="GU44"/>
      <c r="GV44"/>
      <c r="GW44"/>
      <c r="GX44"/>
      <c r="GY44"/>
      <c r="GZ44"/>
      <c r="HA44"/>
      <c r="HB44"/>
      <c r="HC44"/>
      <c r="HD44"/>
      <c r="HE44"/>
      <c r="HF44"/>
      <c r="HG44"/>
      <c r="HH44"/>
      <c r="HI44"/>
      <c r="HJ44"/>
      <c r="HK44"/>
      <c r="HL44"/>
      <c r="HM44"/>
      <c r="HN44"/>
      <c r="HO44"/>
      <c r="HP44"/>
      <c r="HQ44"/>
      <c r="HR44"/>
      <c r="HS44"/>
      <c r="HT44"/>
      <c r="HU44"/>
      <c r="HV44"/>
      <c r="HW44"/>
      <c r="HX44"/>
      <c r="HY44"/>
      <c r="HZ44"/>
      <c r="IA44"/>
      <c r="IB44"/>
      <c r="IC44"/>
      <c r="ID44"/>
      <c r="IE44"/>
      <c r="IF44"/>
      <c r="IG44"/>
      <c r="IH44"/>
      <c r="II44"/>
      <c r="IJ44"/>
      <c r="IK44"/>
      <c r="IL44"/>
      <c r="IM44"/>
      <c r="IN44"/>
      <c r="IO44"/>
      <c r="IP44"/>
      <c r="IQ44"/>
      <c r="IR44"/>
      <c r="IS44"/>
      <c r="IT44"/>
      <c r="IU44"/>
      <c r="IV44"/>
      <c r="IW44"/>
      <c r="IX44"/>
      <c r="IY44"/>
      <c r="IZ44"/>
      <c r="JA44"/>
      <c r="JB44"/>
      <c r="JC44"/>
      <c r="JD44"/>
      <c r="JE44"/>
      <c r="JF44"/>
      <c r="JG44"/>
      <c r="JH44"/>
      <c r="JI44"/>
      <c r="JJ44"/>
      <c r="JK44"/>
      <c r="JL44"/>
      <c r="JM44"/>
      <c r="JN44"/>
      <c r="JO44"/>
      <c r="JP44"/>
      <c r="JQ44"/>
      <c r="JR44"/>
      <c r="JS44"/>
      <c r="JT44"/>
      <c r="JU44"/>
      <c r="JV44"/>
      <c r="JW44"/>
      <c r="JX44"/>
      <c r="JY44"/>
      <c r="JZ44"/>
      <c r="KA44"/>
      <c r="KB44"/>
      <c r="KC44"/>
      <c r="KD44"/>
      <c r="KE44"/>
      <c r="KF44"/>
      <c r="KG44"/>
      <c r="KH44"/>
      <c r="KI44"/>
      <c r="KJ44"/>
      <c r="KK44"/>
      <c r="KL44"/>
      <c r="KM44"/>
      <c r="KN44"/>
      <c r="KO44"/>
      <c r="KP44"/>
      <c r="KQ44"/>
      <c r="KR44"/>
      <c r="KS44"/>
      <c r="KT44"/>
      <c r="KU44"/>
      <c r="KV44"/>
      <c r="KW44"/>
      <c r="KX44"/>
      <c r="KY44"/>
      <c r="KZ44"/>
      <c r="LA44"/>
      <c r="LB44"/>
      <c r="LC44"/>
      <c r="LD44"/>
      <c r="LE44"/>
      <c r="LF44"/>
      <c r="LG44"/>
      <c r="LH44"/>
      <c r="LI44"/>
      <c r="LJ44"/>
      <c r="LK44"/>
      <c r="LL44"/>
      <c r="LM44"/>
      <c r="LN44"/>
      <c r="LO44"/>
      <c r="LP44"/>
      <c r="LQ44"/>
      <c r="LR44"/>
      <c r="LS44"/>
      <c r="LT44"/>
      <c r="LU44"/>
      <c r="LV44"/>
      <c r="LW44"/>
      <c r="LX44"/>
      <c r="LY44"/>
      <c r="LZ44"/>
      <c r="MA44"/>
      <c r="MB44"/>
      <c r="MC44"/>
      <c r="MD44"/>
      <c r="ME44"/>
      <c r="MF44"/>
      <c r="MG44"/>
      <c r="MH44"/>
      <c r="MI44"/>
      <c r="MJ44"/>
      <c r="MK44"/>
      <c r="ML44"/>
      <c r="MM44"/>
      <c r="MN44"/>
      <c r="MO44"/>
      <c r="MP44"/>
      <c r="MQ44"/>
      <c r="MR44"/>
      <c r="MS44"/>
      <c r="MT44"/>
      <c r="MU44"/>
      <c r="MV44"/>
      <c r="MW44"/>
      <c r="MX44"/>
      <c r="MY44"/>
      <c r="MZ44"/>
      <c r="NA44"/>
      <c r="NB44"/>
      <c r="NC44"/>
      <c r="ND44"/>
      <c r="NE44"/>
      <c r="NF44"/>
      <c r="NG44"/>
      <c r="NH44"/>
      <c r="NI44"/>
      <c r="NJ44"/>
      <c r="NK44"/>
      <c r="NL44"/>
      <c r="NM44"/>
      <c r="NN44"/>
      <c r="NO44"/>
      <c r="NP44"/>
      <c r="NQ44"/>
      <c r="NR44"/>
      <c r="NS44"/>
      <c r="NT44"/>
      <c r="NU44"/>
      <c r="NV44"/>
      <c r="NW44"/>
      <c r="NX44"/>
      <c r="NY44"/>
      <c r="NZ44"/>
      <c r="OA44"/>
      <c r="OB44"/>
      <c r="OC44"/>
      <c r="OD44"/>
      <c r="OE44"/>
      <c r="OF44"/>
      <c r="OG44"/>
      <c r="OH44"/>
      <c r="OI44"/>
      <c r="OJ44"/>
      <c r="OK44"/>
      <c r="OL44"/>
      <c r="OM44"/>
      <c r="ON44"/>
      <c r="OO44"/>
      <c r="OP44"/>
      <c r="OQ44"/>
      <c r="OR44"/>
      <c r="OS44"/>
      <c r="OT44"/>
      <c r="OU44"/>
      <c r="OV44"/>
      <c r="OW44"/>
      <c r="OX44"/>
      <c r="OY44"/>
      <c r="OZ44"/>
      <c r="PA44"/>
      <c r="PB44"/>
      <c r="PC44"/>
      <c r="PD44"/>
      <c r="PE44"/>
      <c r="PF44"/>
      <c r="PG44"/>
      <c r="PH44"/>
      <c r="PI44"/>
      <c r="PJ44"/>
      <c r="PK44"/>
      <c r="PL44"/>
      <c r="PM44"/>
      <c r="PN44"/>
      <c r="PO44"/>
      <c r="PP44"/>
      <c r="PQ44"/>
      <c r="PR44"/>
      <c r="PS44"/>
      <c r="PT44"/>
      <c r="PU44"/>
      <c r="PV44"/>
      <c r="PW44"/>
      <c r="PX44"/>
      <c r="PY44"/>
      <c r="PZ44"/>
      <c r="QA44"/>
      <c r="QB44"/>
      <c r="QC44"/>
      <c r="QD44"/>
      <c r="QE44"/>
      <c r="QF44"/>
      <c r="QG44"/>
      <c r="QH44"/>
      <c r="QI44"/>
      <c r="QJ44"/>
      <c r="QK44"/>
      <c r="QL44"/>
      <c r="QM44"/>
      <c r="QN44"/>
      <c r="QO44"/>
      <c r="QP44"/>
      <c r="QQ44"/>
      <c r="QR44"/>
      <c r="QS44"/>
      <c r="QT44"/>
      <c r="QU44"/>
      <c r="QV44"/>
      <c r="QW44"/>
      <c r="QX44"/>
      <c r="QY44"/>
      <c r="QZ44"/>
      <c r="RA44"/>
      <c r="RB44"/>
      <c r="RC44"/>
      <c r="RD44"/>
      <c r="RE44"/>
      <c r="RF44"/>
      <c r="RG44"/>
      <c r="RH44"/>
      <c r="RI44"/>
      <c r="RJ44"/>
      <c r="RK44"/>
      <c r="RL44"/>
      <c r="RM44"/>
      <c r="RN44"/>
      <c r="RO44"/>
      <c r="RP44"/>
      <c r="RQ44"/>
      <c r="RR44"/>
      <c r="RS44"/>
    </row>
    <row r="45" spans="3:487" x14ac:dyDescent="0.25">
      <c r="C45" s="2" t="s">
        <v>68</v>
      </c>
      <c r="D45" s="34">
        <v>2</v>
      </c>
      <c r="F45" s="2" t="s">
        <v>87</v>
      </c>
      <c r="G45" s="34">
        <v>4</v>
      </c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/>
      <c r="CQ45"/>
      <c r="CR45"/>
      <c r="CS45"/>
      <c r="CT45"/>
      <c r="CU45"/>
      <c r="CV45"/>
      <c r="CW45"/>
      <c r="CX45"/>
      <c r="CY45"/>
      <c r="CZ45"/>
      <c r="DA45"/>
      <c r="DB45"/>
      <c r="DC45"/>
      <c r="DD45"/>
      <c r="DE45"/>
      <c r="DF45"/>
      <c r="DG45"/>
      <c r="DH45"/>
      <c r="DI45"/>
      <c r="DJ45"/>
      <c r="DK45"/>
      <c r="DL45"/>
      <c r="DM45"/>
      <c r="DN45"/>
      <c r="DO45"/>
      <c r="DP45"/>
      <c r="DQ45"/>
      <c r="DR45"/>
      <c r="DS45"/>
      <c r="DT45"/>
      <c r="DU45"/>
      <c r="DV45"/>
      <c r="DW45"/>
      <c r="DX45"/>
      <c r="DY45"/>
      <c r="DZ45"/>
      <c r="EA45"/>
      <c r="EB45"/>
      <c r="EC45"/>
      <c r="ED45"/>
      <c r="EE45"/>
      <c r="EF45"/>
      <c r="EG45"/>
      <c r="EH45"/>
      <c r="EI45"/>
      <c r="EJ45"/>
      <c r="EK45"/>
      <c r="EL45"/>
      <c r="EM45"/>
      <c r="EN45"/>
      <c r="EO45"/>
      <c r="EP45"/>
      <c r="EQ45"/>
      <c r="ER45"/>
      <c r="ES45"/>
      <c r="ET45"/>
      <c r="EU45"/>
      <c r="EV45"/>
      <c r="EW45"/>
      <c r="EX45"/>
      <c r="EY45"/>
      <c r="EZ45"/>
      <c r="FA45"/>
      <c r="FB45"/>
      <c r="FC45"/>
      <c r="FD45"/>
      <c r="FE45"/>
      <c r="FF45"/>
      <c r="FG45"/>
      <c r="FH45"/>
      <c r="FI45"/>
      <c r="FJ45"/>
      <c r="FK45"/>
      <c r="FL45"/>
      <c r="FM45"/>
      <c r="FN45"/>
      <c r="FO45"/>
      <c r="FP45"/>
      <c r="FQ45"/>
      <c r="FR45"/>
      <c r="FS45"/>
      <c r="FT45"/>
      <c r="FU45"/>
      <c r="FV45"/>
      <c r="FW45"/>
      <c r="FX45"/>
      <c r="FY45"/>
      <c r="FZ45"/>
      <c r="GA45"/>
      <c r="GB45"/>
      <c r="GC45"/>
      <c r="GD45"/>
      <c r="GE45"/>
      <c r="GF45"/>
      <c r="GG45"/>
      <c r="GH45"/>
      <c r="GI45"/>
      <c r="GJ45"/>
      <c r="GK45"/>
      <c r="GL45"/>
      <c r="GM45"/>
      <c r="GN45"/>
      <c r="GO45"/>
      <c r="GP45"/>
      <c r="GQ45"/>
      <c r="GR45"/>
      <c r="GS45"/>
      <c r="GT45"/>
      <c r="GU45"/>
      <c r="GV45"/>
      <c r="GW45"/>
      <c r="GX45"/>
      <c r="GY45"/>
      <c r="GZ45"/>
      <c r="HA45"/>
      <c r="HB45"/>
      <c r="HC45"/>
      <c r="HD45"/>
      <c r="HE45"/>
      <c r="HF45"/>
      <c r="HG45"/>
      <c r="HH45"/>
      <c r="HI45"/>
      <c r="HJ45"/>
      <c r="HK45"/>
      <c r="HL45"/>
      <c r="HM45"/>
      <c r="HN45"/>
      <c r="HO45"/>
      <c r="HP45"/>
      <c r="HQ45"/>
      <c r="HR45"/>
      <c r="HS45"/>
      <c r="HT45"/>
      <c r="HU45"/>
      <c r="HV45"/>
      <c r="HW45"/>
      <c r="HX45"/>
      <c r="HY45"/>
      <c r="HZ45"/>
      <c r="IA45"/>
      <c r="IB45"/>
      <c r="IC45"/>
      <c r="ID45"/>
      <c r="IE45"/>
      <c r="IF45"/>
      <c r="IG45"/>
      <c r="IH45"/>
      <c r="II45"/>
      <c r="IJ45"/>
      <c r="IK45"/>
      <c r="IL45"/>
      <c r="IM45"/>
      <c r="IN45"/>
      <c r="IO45"/>
      <c r="IP45"/>
      <c r="IQ45"/>
      <c r="IR45"/>
      <c r="IS45"/>
      <c r="IT45"/>
      <c r="IU45"/>
      <c r="IV45"/>
      <c r="IW45"/>
      <c r="IX45"/>
      <c r="IY45"/>
      <c r="IZ45"/>
      <c r="JA45"/>
      <c r="JB45"/>
      <c r="JC45"/>
      <c r="JD45"/>
      <c r="JE45"/>
      <c r="JF45"/>
      <c r="JG45"/>
      <c r="JH45"/>
      <c r="JI45"/>
      <c r="JJ45"/>
      <c r="JK45"/>
      <c r="JL45"/>
      <c r="JM45"/>
      <c r="JN45"/>
      <c r="JO45"/>
      <c r="JP45"/>
      <c r="JQ45"/>
      <c r="JR45"/>
      <c r="JS45"/>
      <c r="JT45"/>
      <c r="JU45"/>
      <c r="JV45"/>
      <c r="JW45"/>
      <c r="JX45"/>
      <c r="JY45"/>
      <c r="JZ45"/>
      <c r="KA45"/>
      <c r="KB45"/>
      <c r="KC45"/>
      <c r="KD45"/>
      <c r="KE45"/>
      <c r="KF45"/>
      <c r="KG45"/>
      <c r="KH45"/>
      <c r="KI45"/>
      <c r="KJ45"/>
      <c r="KK45"/>
      <c r="KL45"/>
      <c r="KM45"/>
      <c r="KN45"/>
      <c r="KO45"/>
      <c r="KP45"/>
      <c r="KQ45"/>
      <c r="KR45"/>
      <c r="KS45"/>
      <c r="KT45"/>
      <c r="KU45"/>
      <c r="KV45"/>
      <c r="KW45"/>
      <c r="KX45"/>
      <c r="KY45"/>
      <c r="KZ45"/>
      <c r="LA45"/>
      <c r="LB45"/>
      <c r="LC45"/>
      <c r="LD45"/>
      <c r="LE45"/>
      <c r="LF45"/>
      <c r="LG45"/>
      <c r="LH45"/>
      <c r="LI45"/>
      <c r="LJ45"/>
      <c r="LK45"/>
      <c r="LL45"/>
      <c r="LM45"/>
      <c r="LN45"/>
      <c r="LO45"/>
      <c r="LP45"/>
      <c r="LQ45"/>
      <c r="LR45"/>
      <c r="LS45"/>
      <c r="LT45"/>
      <c r="LU45"/>
      <c r="LV45"/>
      <c r="LW45"/>
      <c r="LX45"/>
      <c r="LY45"/>
      <c r="LZ45"/>
      <c r="MA45"/>
      <c r="MB45"/>
      <c r="MC45"/>
      <c r="MD45"/>
      <c r="ME45"/>
      <c r="MF45"/>
      <c r="MG45"/>
      <c r="MH45"/>
      <c r="MI45"/>
      <c r="MJ45"/>
      <c r="MK45"/>
      <c r="ML45"/>
      <c r="MM45"/>
      <c r="MN45"/>
      <c r="MO45"/>
      <c r="MP45"/>
      <c r="MQ45"/>
      <c r="MR45"/>
      <c r="MS45"/>
      <c r="MT45"/>
      <c r="MU45"/>
      <c r="MV45"/>
      <c r="MW45"/>
      <c r="MX45"/>
      <c r="MY45"/>
      <c r="MZ45"/>
      <c r="NA45"/>
      <c r="NB45"/>
      <c r="NC45"/>
      <c r="ND45"/>
      <c r="NE45"/>
      <c r="NF45"/>
      <c r="NG45"/>
      <c r="NH45"/>
      <c r="NI45"/>
      <c r="NJ45"/>
      <c r="NK45"/>
      <c r="NL45"/>
      <c r="NM45"/>
      <c r="NN45"/>
      <c r="NO45"/>
      <c r="NP45"/>
      <c r="NQ45"/>
      <c r="NR45"/>
      <c r="NS45"/>
      <c r="NT45"/>
      <c r="NU45"/>
      <c r="NV45"/>
      <c r="NW45"/>
      <c r="NX45"/>
      <c r="NY45"/>
      <c r="NZ45"/>
      <c r="OA45"/>
      <c r="OB45"/>
      <c r="OC45"/>
      <c r="OD45"/>
      <c r="OE45"/>
      <c r="OF45"/>
      <c r="OG45"/>
      <c r="OH45"/>
      <c r="OI45"/>
      <c r="OJ45"/>
      <c r="OK45"/>
      <c r="OL45"/>
      <c r="OM45"/>
      <c r="ON45"/>
      <c r="OO45"/>
      <c r="OP45"/>
      <c r="OQ45"/>
      <c r="OR45"/>
      <c r="OS45"/>
      <c r="OT45"/>
      <c r="OU45"/>
      <c r="OV45"/>
      <c r="OW45"/>
      <c r="OX45"/>
      <c r="OY45"/>
      <c r="OZ45"/>
      <c r="PA45"/>
      <c r="PB45"/>
      <c r="PC45"/>
      <c r="PD45"/>
      <c r="PE45"/>
      <c r="PF45"/>
      <c r="PG45"/>
      <c r="PH45"/>
      <c r="PI45"/>
      <c r="PJ45"/>
      <c r="PK45"/>
      <c r="PL45"/>
      <c r="PM45"/>
      <c r="PN45"/>
      <c r="PO45"/>
      <c r="PP45"/>
      <c r="PQ45"/>
      <c r="PR45"/>
      <c r="PS45"/>
      <c r="PT45"/>
      <c r="PU45"/>
      <c r="PV45"/>
      <c r="PW45"/>
      <c r="PX45"/>
      <c r="PY45"/>
      <c r="PZ45"/>
      <c r="QA45"/>
      <c r="QB45"/>
      <c r="QC45"/>
      <c r="QD45"/>
      <c r="QE45"/>
      <c r="QF45"/>
      <c r="QG45"/>
      <c r="QH45"/>
      <c r="QI45"/>
      <c r="QJ45"/>
      <c r="QK45"/>
      <c r="QL45"/>
      <c r="QM45"/>
      <c r="QN45"/>
      <c r="QO45"/>
      <c r="QP45"/>
      <c r="QQ45"/>
      <c r="QR45"/>
      <c r="QS45"/>
      <c r="QT45"/>
      <c r="QU45"/>
      <c r="QV45"/>
      <c r="QW45"/>
      <c r="QX45"/>
      <c r="QY45"/>
      <c r="QZ45"/>
      <c r="RA45"/>
      <c r="RB45"/>
      <c r="RC45"/>
      <c r="RD45"/>
      <c r="RE45"/>
      <c r="RF45"/>
      <c r="RG45"/>
      <c r="RH45"/>
      <c r="RI45"/>
      <c r="RJ45"/>
      <c r="RK45"/>
      <c r="RL45"/>
      <c r="RM45"/>
      <c r="RN45"/>
      <c r="RO45"/>
      <c r="RP45"/>
      <c r="RQ45"/>
      <c r="RR45"/>
      <c r="RS45"/>
    </row>
    <row r="46" spans="3:487" x14ac:dyDescent="0.25">
      <c r="C46" s="2" t="s">
        <v>48</v>
      </c>
      <c r="D46" s="34">
        <v>2</v>
      </c>
      <c r="F46" s="2" t="s">
        <v>64</v>
      </c>
      <c r="G46" s="34">
        <v>4</v>
      </c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O46"/>
      <c r="CP46"/>
      <c r="CQ46"/>
      <c r="CR46"/>
      <c r="CS46"/>
      <c r="CT46"/>
      <c r="CU46"/>
      <c r="CV46"/>
      <c r="CW46"/>
      <c r="CX46"/>
      <c r="CY46"/>
      <c r="CZ46"/>
      <c r="DA46"/>
      <c r="DB46"/>
      <c r="DC46"/>
      <c r="DD46"/>
      <c r="DE46"/>
      <c r="DF46"/>
      <c r="DG46"/>
      <c r="DH46"/>
      <c r="DI46"/>
      <c r="DJ46"/>
      <c r="DK46"/>
      <c r="DL46"/>
      <c r="DM46"/>
      <c r="DN46"/>
      <c r="DO46"/>
      <c r="DP46"/>
      <c r="DQ46"/>
      <c r="DR46"/>
      <c r="DS46"/>
      <c r="DT46"/>
      <c r="DU46"/>
      <c r="DV46"/>
      <c r="DW46"/>
      <c r="DX46"/>
      <c r="DY46"/>
      <c r="DZ46"/>
      <c r="EA46"/>
      <c r="EB46"/>
      <c r="EC46"/>
      <c r="ED46"/>
      <c r="EE46"/>
      <c r="EF46"/>
      <c r="EG46"/>
      <c r="EH46"/>
      <c r="EI46"/>
      <c r="EJ46"/>
      <c r="EK46"/>
      <c r="EL46"/>
      <c r="EM46"/>
      <c r="EN46"/>
      <c r="EO46"/>
      <c r="EP46"/>
      <c r="EQ46"/>
      <c r="ER46"/>
      <c r="ES46"/>
      <c r="ET46"/>
      <c r="EU46"/>
      <c r="EV46"/>
      <c r="EW46"/>
      <c r="EX46"/>
      <c r="EY46"/>
      <c r="EZ46"/>
      <c r="FA46"/>
      <c r="FB46"/>
      <c r="FC46"/>
      <c r="FD46"/>
      <c r="FE46"/>
      <c r="FF46"/>
      <c r="FG46"/>
      <c r="FH46"/>
      <c r="FI46"/>
      <c r="FJ46"/>
      <c r="FK46"/>
      <c r="FL46"/>
      <c r="FM46"/>
      <c r="FN46"/>
      <c r="FO46"/>
      <c r="FP46"/>
      <c r="FQ46"/>
      <c r="FR46"/>
      <c r="FS46"/>
      <c r="FT46"/>
      <c r="FU46"/>
      <c r="FV46"/>
      <c r="FW46"/>
      <c r="FX46"/>
      <c r="FY46"/>
      <c r="FZ46"/>
      <c r="GA46"/>
      <c r="GB46"/>
      <c r="GC46"/>
      <c r="GD46"/>
      <c r="GE46"/>
      <c r="GF46"/>
      <c r="GG46"/>
      <c r="GH46"/>
      <c r="GI46"/>
      <c r="GJ46"/>
      <c r="GK46"/>
      <c r="GL46"/>
      <c r="GM46"/>
      <c r="GN46"/>
      <c r="GO46"/>
      <c r="GP46"/>
      <c r="GQ46"/>
      <c r="GR46"/>
      <c r="GS46"/>
      <c r="GT46"/>
      <c r="GU46"/>
      <c r="GV46"/>
      <c r="GW46"/>
      <c r="GX46"/>
      <c r="GY46"/>
      <c r="GZ46"/>
      <c r="HA46"/>
      <c r="HB46"/>
      <c r="HC46"/>
      <c r="HD46"/>
      <c r="HE46"/>
      <c r="HF46"/>
      <c r="HG46"/>
      <c r="HH46"/>
      <c r="HI46"/>
      <c r="HJ46"/>
      <c r="HK46"/>
      <c r="HL46"/>
      <c r="HM46"/>
      <c r="HN46"/>
      <c r="HO46"/>
      <c r="HP46"/>
      <c r="HQ46"/>
      <c r="HR46"/>
      <c r="HS46"/>
      <c r="HT46"/>
      <c r="HU46"/>
      <c r="HV46"/>
      <c r="HW46"/>
      <c r="HX46"/>
      <c r="HY46"/>
      <c r="HZ46"/>
      <c r="IA46"/>
      <c r="IB46"/>
      <c r="IC46"/>
      <c r="ID46"/>
      <c r="IE46"/>
      <c r="IF46"/>
      <c r="IG46"/>
      <c r="IH46"/>
      <c r="II46"/>
      <c r="IJ46"/>
      <c r="IK46"/>
      <c r="IL46"/>
      <c r="IM46"/>
      <c r="IN46"/>
      <c r="IO46"/>
      <c r="IP46"/>
      <c r="IQ46"/>
      <c r="IR46"/>
      <c r="IS46"/>
      <c r="IT46"/>
      <c r="IU46"/>
      <c r="IV46"/>
      <c r="IW46"/>
      <c r="IX46"/>
      <c r="IY46"/>
      <c r="IZ46"/>
      <c r="JA46"/>
      <c r="JB46"/>
      <c r="JC46"/>
      <c r="JD46"/>
      <c r="JE46"/>
      <c r="JF46"/>
      <c r="JG46"/>
      <c r="JH46"/>
      <c r="JI46"/>
      <c r="JJ46"/>
      <c r="JK46"/>
      <c r="JL46"/>
      <c r="JM46"/>
      <c r="JN46"/>
      <c r="JO46"/>
      <c r="JP46"/>
      <c r="JQ46"/>
      <c r="JR46"/>
      <c r="JS46"/>
      <c r="JT46"/>
      <c r="JU46"/>
      <c r="JV46"/>
      <c r="JW46"/>
      <c r="JX46"/>
      <c r="JY46"/>
      <c r="JZ46"/>
      <c r="KA46"/>
      <c r="KB46"/>
      <c r="KC46"/>
      <c r="KD46"/>
      <c r="KE46"/>
      <c r="KF46"/>
      <c r="KG46"/>
      <c r="KH46"/>
      <c r="KI46"/>
      <c r="KJ46"/>
      <c r="KK46"/>
      <c r="KL46"/>
      <c r="KM46"/>
      <c r="KN46"/>
      <c r="KO46"/>
      <c r="KP46"/>
      <c r="KQ46"/>
      <c r="KR46"/>
      <c r="KS46"/>
      <c r="KT46"/>
      <c r="KU46"/>
      <c r="KV46"/>
      <c r="KW46"/>
      <c r="KX46"/>
      <c r="KY46"/>
      <c r="KZ46"/>
      <c r="LA46"/>
      <c r="LB46"/>
      <c r="LC46"/>
      <c r="LD46"/>
      <c r="LE46"/>
      <c r="LF46"/>
      <c r="LG46"/>
      <c r="LH46"/>
      <c r="LI46"/>
      <c r="LJ46"/>
      <c r="LK46"/>
      <c r="LL46"/>
      <c r="LM46"/>
      <c r="LN46"/>
      <c r="LO46"/>
      <c r="LP46"/>
      <c r="LQ46"/>
      <c r="LR46"/>
      <c r="LS46"/>
      <c r="LT46"/>
      <c r="LU46"/>
      <c r="LV46"/>
      <c r="LW46"/>
      <c r="LX46"/>
      <c r="LY46"/>
      <c r="LZ46"/>
      <c r="MA46"/>
      <c r="MB46"/>
      <c r="MC46"/>
      <c r="MD46"/>
      <c r="ME46"/>
      <c r="MF46"/>
      <c r="MG46"/>
      <c r="MH46"/>
      <c r="MI46"/>
      <c r="MJ46"/>
      <c r="MK46"/>
      <c r="ML46"/>
      <c r="MM46"/>
      <c r="MN46"/>
      <c r="MO46"/>
      <c r="MP46"/>
      <c r="MQ46"/>
      <c r="MR46"/>
      <c r="MS46"/>
      <c r="MT46"/>
      <c r="MU46"/>
      <c r="MV46"/>
      <c r="MW46"/>
      <c r="MX46"/>
      <c r="MY46"/>
      <c r="MZ46"/>
      <c r="NA46"/>
      <c r="NB46"/>
      <c r="NC46"/>
      <c r="ND46"/>
      <c r="NE46"/>
      <c r="NF46"/>
      <c r="NG46"/>
      <c r="NH46"/>
      <c r="NI46"/>
      <c r="NJ46"/>
      <c r="NK46"/>
      <c r="NL46"/>
      <c r="NM46"/>
      <c r="NN46"/>
      <c r="NO46"/>
      <c r="NP46"/>
      <c r="NQ46"/>
      <c r="NR46"/>
      <c r="NS46"/>
      <c r="NT46"/>
      <c r="NU46"/>
      <c r="NV46"/>
      <c r="NW46"/>
      <c r="NX46"/>
      <c r="NY46"/>
      <c r="NZ46"/>
      <c r="OA46"/>
      <c r="OB46"/>
      <c r="OC46"/>
      <c r="OD46"/>
      <c r="OE46"/>
      <c r="OF46"/>
      <c r="OG46"/>
      <c r="OH46"/>
      <c r="OI46"/>
      <c r="OJ46"/>
      <c r="OK46"/>
      <c r="OL46"/>
      <c r="OM46"/>
      <c r="ON46"/>
      <c r="OO46"/>
      <c r="OP46"/>
      <c r="OQ46"/>
      <c r="OR46"/>
      <c r="OS46"/>
      <c r="OT46"/>
      <c r="OU46"/>
      <c r="OV46"/>
      <c r="OW46"/>
      <c r="OX46"/>
      <c r="OY46"/>
      <c r="OZ46"/>
      <c r="PA46"/>
      <c r="PB46"/>
      <c r="PC46"/>
      <c r="PD46"/>
      <c r="PE46"/>
      <c r="PF46"/>
      <c r="PG46"/>
      <c r="PH46"/>
      <c r="PI46"/>
      <c r="PJ46"/>
      <c r="PK46"/>
      <c r="PL46"/>
      <c r="PM46"/>
      <c r="PN46"/>
      <c r="PO46"/>
      <c r="PP46"/>
      <c r="PQ46"/>
      <c r="PR46"/>
      <c r="PS46"/>
      <c r="PT46"/>
      <c r="PU46"/>
      <c r="PV46"/>
      <c r="PW46"/>
      <c r="PX46"/>
      <c r="PY46"/>
      <c r="PZ46"/>
      <c r="QA46"/>
      <c r="QB46"/>
      <c r="QC46"/>
      <c r="QD46"/>
      <c r="QE46"/>
      <c r="QF46"/>
      <c r="QG46"/>
      <c r="QH46"/>
      <c r="QI46"/>
      <c r="QJ46"/>
      <c r="QK46"/>
      <c r="QL46"/>
      <c r="QM46"/>
      <c r="QN46"/>
      <c r="QO46"/>
      <c r="QP46"/>
      <c r="QQ46"/>
      <c r="QR46"/>
      <c r="QS46"/>
      <c r="QT46"/>
      <c r="QU46"/>
      <c r="QV46"/>
      <c r="QW46"/>
      <c r="QX46"/>
      <c r="QY46"/>
      <c r="QZ46"/>
      <c r="RA46"/>
      <c r="RB46"/>
      <c r="RC46"/>
      <c r="RD46"/>
      <c r="RE46"/>
      <c r="RF46"/>
      <c r="RG46"/>
      <c r="RH46"/>
      <c r="RI46"/>
      <c r="RJ46"/>
      <c r="RK46"/>
      <c r="RL46"/>
      <c r="RM46"/>
      <c r="RN46"/>
      <c r="RO46"/>
      <c r="RP46"/>
      <c r="RQ46"/>
      <c r="RR46"/>
      <c r="RS46"/>
    </row>
    <row r="47" spans="3:487" x14ac:dyDescent="0.25">
      <c r="C47" s="2" t="s">
        <v>74</v>
      </c>
      <c r="D47" s="34">
        <v>2</v>
      </c>
      <c r="F47" s="2" t="s">
        <v>43</v>
      </c>
      <c r="G47" s="34">
        <v>3</v>
      </c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O47"/>
      <c r="CP47"/>
      <c r="CQ47"/>
      <c r="CR47"/>
      <c r="CS47"/>
      <c r="CT47"/>
      <c r="CU47"/>
      <c r="CV47"/>
      <c r="CW47"/>
      <c r="CX47"/>
      <c r="CY47"/>
      <c r="CZ47"/>
      <c r="DA47"/>
      <c r="DB47"/>
      <c r="DC47"/>
      <c r="DD47"/>
      <c r="DE47"/>
      <c r="DF47"/>
      <c r="DG47"/>
      <c r="DH47"/>
      <c r="DI47"/>
      <c r="DJ47"/>
      <c r="DK47"/>
      <c r="DL47"/>
      <c r="DM47"/>
      <c r="DN47"/>
      <c r="DO47"/>
      <c r="DP47"/>
      <c r="DQ47"/>
      <c r="DR47"/>
      <c r="DS47"/>
      <c r="DT47"/>
      <c r="DU47"/>
      <c r="DV47"/>
      <c r="DW47"/>
      <c r="DX47"/>
      <c r="DY47"/>
      <c r="DZ47"/>
      <c r="EA47"/>
      <c r="EB47"/>
      <c r="EC47"/>
      <c r="ED47"/>
      <c r="EE47"/>
      <c r="EF47"/>
      <c r="EG47"/>
      <c r="EH47"/>
      <c r="EI47"/>
      <c r="EJ47"/>
      <c r="EK47"/>
      <c r="EL47"/>
      <c r="EM47"/>
      <c r="EN47"/>
      <c r="EO47"/>
      <c r="EP47"/>
      <c r="EQ47"/>
      <c r="ER47"/>
      <c r="ES47"/>
      <c r="ET47"/>
      <c r="EU47"/>
      <c r="EV47"/>
      <c r="EW47"/>
      <c r="EX47"/>
      <c r="EY47"/>
      <c r="EZ47"/>
      <c r="FA47"/>
      <c r="FB47"/>
      <c r="FC47"/>
      <c r="FD47"/>
      <c r="FE47"/>
      <c r="FF47"/>
      <c r="FG47"/>
      <c r="FH47"/>
      <c r="FI47"/>
      <c r="FJ47"/>
      <c r="FK47"/>
      <c r="FL47"/>
      <c r="FM47"/>
      <c r="FN47"/>
      <c r="FO47"/>
      <c r="FP47"/>
      <c r="FQ47"/>
      <c r="FR47"/>
      <c r="FS47"/>
      <c r="FT47"/>
      <c r="FU47"/>
      <c r="FV47"/>
      <c r="FW47"/>
      <c r="FX47"/>
      <c r="FY47"/>
      <c r="FZ47"/>
      <c r="GA47"/>
      <c r="GB47"/>
      <c r="GC47"/>
      <c r="GD47"/>
      <c r="GE47"/>
      <c r="GF47"/>
      <c r="GG47"/>
      <c r="GH47"/>
      <c r="GI47"/>
      <c r="GJ47"/>
      <c r="GK47"/>
      <c r="GL47"/>
      <c r="GM47"/>
      <c r="GN47"/>
      <c r="GO47"/>
      <c r="GP47"/>
      <c r="GQ47"/>
      <c r="GR47"/>
      <c r="GS47"/>
      <c r="GT47"/>
      <c r="GU47"/>
      <c r="GV47"/>
      <c r="GW47"/>
      <c r="GX47"/>
      <c r="GY47"/>
      <c r="GZ47"/>
      <c r="HA47"/>
      <c r="HB47"/>
      <c r="HC47"/>
      <c r="HD47"/>
      <c r="HE47"/>
      <c r="HF47"/>
      <c r="HG47"/>
      <c r="HH47"/>
      <c r="HI47"/>
      <c r="HJ47"/>
      <c r="HK47"/>
      <c r="HL47"/>
      <c r="HM47"/>
      <c r="HN47"/>
      <c r="HO47"/>
      <c r="HP47"/>
      <c r="HQ47"/>
      <c r="HR47"/>
      <c r="HS47"/>
      <c r="HT47"/>
      <c r="HU47"/>
      <c r="HV47"/>
      <c r="HW47"/>
      <c r="HX47"/>
      <c r="HY47"/>
      <c r="HZ47"/>
      <c r="IA47"/>
      <c r="IB47"/>
      <c r="IC47"/>
      <c r="ID47"/>
      <c r="IE47"/>
      <c r="IF47"/>
      <c r="IG47"/>
      <c r="IH47"/>
      <c r="II47"/>
      <c r="IJ47"/>
      <c r="IK47"/>
      <c r="IL47"/>
      <c r="IM47"/>
      <c r="IN47"/>
      <c r="IO47"/>
      <c r="IP47"/>
      <c r="IQ47"/>
      <c r="IR47"/>
      <c r="IS47"/>
      <c r="IT47"/>
      <c r="IU47"/>
      <c r="IV47"/>
      <c r="IW47"/>
      <c r="IX47"/>
      <c r="IY47"/>
      <c r="IZ47"/>
      <c r="JA47"/>
      <c r="JB47"/>
      <c r="JC47"/>
      <c r="JD47"/>
      <c r="JE47"/>
      <c r="JF47"/>
      <c r="JG47"/>
      <c r="JH47"/>
      <c r="JI47"/>
      <c r="JJ47"/>
      <c r="JK47"/>
      <c r="JL47"/>
      <c r="JM47"/>
      <c r="JN47"/>
      <c r="JO47"/>
      <c r="JP47"/>
      <c r="JQ47"/>
      <c r="JR47"/>
      <c r="JS47"/>
      <c r="JT47"/>
      <c r="JU47"/>
      <c r="JV47"/>
      <c r="JW47"/>
      <c r="JX47"/>
      <c r="JY47"/>
      <c r="JZ47"/>
      <c r="KA47"/>
      <c r="KB47"/>
      <c r="KC47"/>
      <c r="KD47"/>
      <c r="KE47"/>
      <c r="KF47"/>
      <c r="KG47"/>
      <c r="KH47"/>
      <c r="KI47"/>
      <c r="KJ47"/>
      <c r="KK47"/>
      <c r="KL47"/>
      <c r="KM47"/>
      <c r="KN47"/>
      <c r="KO47"/>
      <c r="KP47"/>
      <c r="KQ47"/>
      <c r="KR47"/>
      <c r="KS47"/>
      <c r="KT47"/>
      <c r="KU47"/>
      <c r="KV47"/>
      <c r="KW47"/>
      <c r="KX47"/>
      <c r="KY47"/>
      <c r="KZ47"/>
      <c r="LA47"/>
      <c r="LB47"/>
      <c r="LC47"/>
      <c r="LD47"/>
      <c r="LE47"/>
      <c r="LF47"/>
      <c r="LG47"/>
      <c r="LH47"/>
      <c r="LI47"/>
      <c r="LJ47"/>
      <c r="LK47"/>
      <c r="LL47"/>
      <c r="LM47"/>
      <c r="LN47"/>
      <c r="LO47"/>
      <c r="LP47"/>
      <c r="LQ47"/>
      <c r="LR47"/>
      <c r="LS47"/>
      <c r="LT47"/>
      <c r="LU47"/>
      <c r="LV47"/>
      <c r="LW47"/>
      <c r="LX47"/>
      <c r="LY47"/>
      <c r="LZ47"/>
      <c r="MA47"/>
      <c r="MB47"/>
      <c r="MC47"/>
      <c r="MD47"/>
      <c r="ME47"/>
      <c r="MF47"/>
      <c r="MG47"/>
      <c r="MH47"/>
      <c r="MI47"/>
      <c r="MJ47"/>
      <c r="MK47"/>
      <c r="ML47"/>
      <c r="MM47"/>
      <c r="MN47"/>
      <c r="MO47"/>
      <c r="MP47"/>
      <c r="MQ47"/>
      <c r="MR47"/>
      <c r="MS47"/>
      <c r="MT47"/>
      <c r="MU47"/>
      <c r="MV47"/>
      <c r="MW47"/>
      <c r="MX47"/>
      <c r="MY47"/>
      <c r="MZ47"/>
      <c r="NA47"/>
      <c r="NB47"/>
      <c r="NC47"/>
      <c r="ND47"/>
      <c r="NE47"/>
      <c r="NF47"/>
      <c r="NG47"/>
      <c r="NH47"/>
      <c r="NI47"/>
      <c r="NJ47"/>
      <c r="NK47"/>
      <c r="NL47"/>
      <c r="NM47"/>
      <c r="NN47"/>
      <c r="NO47"/>
      <c r="NP47"/>
      <c r="NQ47"/>
      <c r="NR47"/>
      <c r="NS47"/>
      <c r="NT47"/>
      <c r="NU47"/>
      <c r="NV47"/>
      <c r="NW47"/>
      <c r="NX47"/>
      <c r="NY47"/>
      <c r="NZ47"/>
      <c r="OA47"/>
      <c r="OB47"/>
      <c r="OC47"/>
      <c r="OD47"/>
      <c r="OE47"/>
      <c r="OF47"/>
      <c r="OG47"/>
      <c r="OH47"/>
      <c r="OI47"/>
      <c r="OJ47"/>
      <c r="OK47"/>
      <c r="OL47"/>
      <c r="OM47"/>
      <c r="ON47"/>
      <c r="OO47"/>
      <c r="OP47"/>
      <c r="OQ47"/>
      <c r="OR47"/>
      <c r="OS47"/>
      <c r="OT47"/>
      <c r="OU47"/>
      <c r="OV47"/>
      <c r="OW47"/>
      <c r="OX47"/>
      <c r="OY47"/>
      <c r="OZ47"/>
      <c r="PA47"/>
      <c r="PB47"/>
      <c r="PC47"/>
      <c r="PD47"/>
      <c r="PE47"/>
      <c r="PF47"/>
      <c r="PG47"/>
      <c r="PH47"/>
      <c r="PI47"/>
      <c r="PJ47"/>
      <c r="PK47"/>
      <c r="PL47"/>
      <c r="PM47"/>
      <c r="PN47"/>
      <c r="PO47"/>
      <c r="PP47"/>
      <c r="PQ47"/>
      <c r="PR47"/>
      <c r="PS47"/>
      <c r="PT47"/>
      <c r="PU47"/>
      <c r="PV47"/>
      <c r="PW47"/>
      <c r="PX47"/>
      <c r="PY47"/>
      <c r="PZ47"/>
      <c r="QA47"/>
      <c r="QB47"/>
      <c r="QC47"/>
      <c r="QD47"/>
      <c r="QE47"/>
      <c r="QF47"/>
      <c r="QG47"/>
      <c r="QH47"/>
      <c r="QI47"/>
      <c r="QJ47"/>
      <c r="QK47"/>
      <c r="QL47"/>
      <c r="QM47"/>
      <c r="QN47"/>
      <c r="QO47"/>
      <c r="QP47"/>
      <c r="QQ47"/>
      <c r="QR47"/>
      <c r="QS47"/>
      <c r="QT47"/>
      <c r="QU47"/>
      <c r="QV47"/>
      <c r="QW47"/>
      <c r="QX47"/>
      <c r="QY47"/>
      <c r="QZ47"/>
      <c r="RA47"/>
      <c r="RB47"/>
      <c r="RC47"/>
      <c r="RD47"/>
      <c r="RE47"/>
      <c r="RF47"/>
      <c r="RG47"/>
      <c r="RH47"/>
      <c r="RI47"/>
      <c r="RJ47"/>
      <c r="RK47"/>
      <c r="RL47"/>
      <c r="RM47"/>
      <c r="RN47"/>
      <c r="RO47"/>
      <c r="RP47"/>
      <c r="RQ47"/>
      <c r="RR47"/>
      <c r="RS47"/>
    </row>
    <row r="48" spans="3:487" x14ac:dyDescent="0.25">
      <c r="C48" s="2" t="s">
        <v>119</v>
      </c>
      <c r="D48" s="34">
        <v>2</v>
      </c>
      <c r="F48" s="2" t="s">
        <v>246</v>
      </c>
      <c r="G48" s="34">
        <v>3</v>
      </c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O48"/>
      <c r="CP48"/>
      <c r="CQ48"/>
      <c r="CR48"/>
      <c r="CS48"/>
      <c r="CT48"/>
      <c r="CU48"/>
      <c r="CV48"/>
      <c r="CW48"/>
      <c r="CX48"/>
      <c r="CY48"/>
      <c r="CZ48"/>
      <c r="DA48"/>
      <c r="DB48"/>
      <c r="DC48"/>
      <c r="DD48"/>
      <c r="DE48"/>
      <c r="DF48"/>
      <c r="DG48"/>
      <c r="DH48"/>
      <c r="DI48"/>
      <c r="DJ48"/>
      <c r="DK48"/>
      <c r="DL48"/>
      <c r="DM48"/>
      <c r="DN48"/>
      <c r="DO48"/>
      <c r="DP48"/>
      <c r="DQ48"/>
      <c r="DR48"/>
      <c r="DS48"/>
      <c r="DT48"/>
      <c r="DU48"/>
      <c r="DV48"/>
      <c r="DW48"/>
      <c r="DX48"/>
      <c r="DY48"/>
      <c r="DZ48"/>
      <c r="EA48"/>
      <c r="EB48"/>
      <c r="EC48"/>
      <c r="ED48"/>
      <c r="EE48"/>
      <c r="EF48"/>
      <c r="EG48"/>
      <c r="EH48"/>
      <c r="EI48"/>
      <c r="EJ48"/>
      <c r="EK48"/>
      <c r="EL48"/>
      <c r="EM48"/>
      <c r="EN48"/>
      <c r="EO48"/>
      <c r="EP48"/>
      <c r="EQ48"/>
      <c r="ER48"/>
      <c r="ES48"/>
      <c r="ET48"/>
      <c r="EU48"/>
      <c r="EV48"/>
      <c r="EW48"/>
      <c r="EX48"/>
      <c r="EY48"/>
      <c r="EZ48"/>
      <c r="FA48"/>
      <c r="FB48"/>
      <c r="FC48"/>
      <c r="FD48"/>
      <c r="FE48"/>
      <c r="FF48"/>
      <c r="FG48"/>
      <c r="FH48"/>
      <c r="FI48"/>
      <c r="FJ48"/>
      <c r="FK48"/>
      <c r="FL48"/>
      <c r="FM48"/>
      <c r="FN48"/>
      <c r="FO48"/>
      <c r="FP48"/>
      <c r="FQ48"/>
      <c r="FR48"/>
      <c r="FS48"/>
      <c r="FT48"/>
      <c r="FU48"/>
      <c r="FV48"/>
      <c r="FW48"/>
      <c r="FX48"/>
      <c r="FY48"/>
      <c r="FZ48"/>
      <c r="GA48"/>
      <c r="GB48"/>
      <c r="GC48"/>
      <c r="GD48"/>
      <c r="GE48"/>
      <c r="GF48"/>
      <c r="GG48"/>
      <c r="GH48"/>
      <c r="GI48"/>
      <c r="GJ48"/>
      <c r="GK48"/>
      <c r="GL48"/>
      <c r="GM48"/>
      <c r="GN48"/>
      <c r="GO48"/>
      <c r="GP48"/>
      <c r="GQ48"/>
      <c r="GR48"/>
      <c r="GS48"/>
      <c r="GT48"/>
      <c r="GU48"/>
      <c r="GV48"/>
      <c r="GW48"/>
      <c r="GX48"/>
      <c r="GY48"/>
      <c r="GZ48"/>
      <c r="HA48"/>
      <c r="HB48"/>
      <c r="HC48"/>
      <c r="HD48"/>
      <c r="HE48"/>
      <c r="HF48"/>
      <c r="HG48"/>
      <c r="HH48"/>
      <c r="HI48"/>
      <c r="HJ48"/>
      <c r="HK48"/>
      <c r="HL48"/>
      <c r="HM48"/>
      <c r="HN48"/>
      <c r="HO48"/>
      <c r="HP48"/>
      <c r="HQ48"/>
      <c r="HR48"/>
      <c r="HS48"/>
      <c r="HT48"/>
      <c r="HU48"/>
      <c r="HV48"/>
      <c r="HW48"/>
      <c r="HX48"/>
      <c r="HY48"/>
      <c r="HZ48"/>
      <c r="IA48"/>
      <c r="IB48"/>
      <c r="IC48"/>
      <c r="ID48"/>
      <c r="IE48"/>
      <c r="IF48"/>
      <c r="IG48"/>
      <c r="IH48"/>
      <c r="II48"/>
      <c r="IJ48"/>
      <c r="IK48"/>
      <c r="IL48"/>
      <c r="IM48"/>
      <c r="IN48"/>
      <c r="IO48"/>
      <c r="IP48"/>
      <c r="IQ48"/>
      <c r="IR48"/>
      <c r="IS48"/>
      <c r="IT48"/>
      <c r="IU48"/>
      <c r="IV48"/>
      <c r="IW48"/>
      <c r="IX48"/>
      <c r="IY48"/>
      <c r="IZ48"/>
      <c r="JA48"/>
      <c r="JB48"/>
      <c r="JC48"/>
      <c r="JD48"/>
      <c r="JE48"/>
      <c r="JF48"/>
      <c r="JG48"/>
      <c r="JH48"/>
      <c r="JI48"/>
      <c r="JJ48"/>
      <c r="JK48"/>
      <c r="JL48"/>
      <c r="JM48"/>
      <c r="JN48"/>
      <c r="JO48"/>
      <c r="JP48"/>
      <c r="JQ48"/>
      <c r="JR48"/>
      <c r="JS48"/>
      <c r="JT48"/>
      <c r="JU48"/>
      <c r="JV48"/>
      <c r="JW48"/>
      <c r="JX48"/>
      <c r="JY48"/>
      <c r="JZ48"/>
      <c r="KA48"/>
      <c r="KB48"/>
      <c r="KC48"/>
      <c r="KD48"/>
      <c r="KE48"/>
      <c r="KF48"/>
      <c r="KG48"/>
      <c r="KH48"/>
      <c r="KI48"/>
      <c r="KJ48"/>
      <c r="KK48"/>
      <c r="KL48"/>
      <c r="KM48"/>
      <c r="KN48"/>
      <c r="KO48"/>
      <c r="KP48"/>
      <c r="KQ48"/>
      <c r="KR48"/>
      <c r="KS48"/>
      <c r="KT48"/>
      <c r="KU48"/>
      <c r="KV48"/>
      <c r="KW48"/>
      <c r="KX48"/>
      <c r="KY48"/>
      <c r="KZ48"/>
      <c r="LA48"/>
      <c r="LB48"/>
      <c r="LC48"/>
      <c r="LD48"/>
      <c r="LE48"/>
      <c r="LF48"/>
      <c r="LG48"/>
      <c r="LH48"/>
      <c r="LI48"/>
      <c r="LJ48"/>
      <c r="LK48"/>
      <c r="LL48"/>
      <c r="LM48"/>
      <c r="LN48"/>
      <c r="LO48"/>
      <c r="LP48"/>
      <c r="LQ48"/>
      <c r="LR48"/>
      <c r="LS48"/>
      <c r="LT48"/>
      <c r="LU48"/>
      <c r="LV48"/>
      <c r="LW48"/>
      <c r="LX48"/>
      <c r="LY48"/>
      <c r="LZ48"/>
      <c r="MA48"/>
      <c r="MB48"/>
      <c r="MC48"/>
      <c r="MD48"/>
      <c r="ME48"/>
      <c r="MF48"/>
      <c r="MG48"/>
      <c r="MH48"/>
      <c r="MI48"/>
      <c r="MJ48"/>
      <c r="MK48"/>
      <c r="ML48"/>
      <c r="MM48"/>
      <c r="MN48"/>
      <c r="MO48"/>
      <c r="MP48"/>
      <c r="MQ48"/>
      <c r="MR48"/>
      <c r="MS48"/>
      <c r="MT48"/>
      <c r="MU48"/>
      <c r="MV48"/>
      <c r="MW48"/>
      <c r="MX48"/>
      <c r="MY48"/>
      <c r="MZ48"/>
      <c r="NA48"/>
      <c r="NB48"/>
      <c r="NC48"/>
      <c r="ND48"/>
      <c r="NE48"/>
      <c r="NF48"/>
      <c r="NG48"/>
      <c r="NH48"/>
      <c r="NI48"/>
      <c r="NJ48"/>
      <c r="NK48"/>
      <c r="NL48"/>
      <c r="NM48"/>
      <c r="NN48"/>
      <c r="NO48"/>
      <c r="NP48"/>
      <c r="NQ48"/>
      <c r="NR48"/>
      <c r="NS48"/>
      <c r="NT48"/>
      <c r="NU48"/>
      <c r="NV48"/>
      <c r="NW48"/>
      <c r="NX48"/>
      <c r="NY48"/>
      <c r="NZ48"/>
      <c r="OA48"/>
      <c r="OB48"/>
      <c r="OC48"/>
      <c r="OD48"/>
      <c r="OE48"/>
      <c r="OF48"/>
      <c r="OG48"/>
      <c r="OH48"/>
      <c r="OI48"/>
      <c r="OJ48"/>
      <c r="OK48"/>
      <c r="OL48"/>
      <c r="OM48"/>
      <c r="ON48"/>
      <c r="OO48"/>
      <c r="OP48"/>
      <c r="OQ48"/>
      <c r="OR48"/>
      <c r="OS48"/>
      <c r="OT48"/>
      <c r="OU48"/>
      <c r="OV48"/>
      <c r="OW48"/>
      <c r="OX48"/>
      <c r="OY48"/>
      <c r="OZ48"/>
      <c r="PA48"/>
      <c r="PB48"/>
      <c r="PC48"/>
      <c r="PD48"/>
      <c r="PE48"/>
      <c r="PF48"/>
      <c r="PG48"/>
      <c r="PH48"/>
      <c r="PI48"/>
      <c r="PJ48"/>
      <c r="PK48"/>
      <c r="PL48"/>
      <c r="PM48"/>
      <c r="PN48"/>
      <c r="PO48"/>
      <c r="PP48"/>
      <c r="PQ48"/>
      <c r="PR48"/>
      <c r="PS48"/>
      <c r="PT48"/>
      <c r="PU48"/>
      <c r="PV48"/>
      <c r="PW48"/>
      <c r="PX48"/>
      <c r="PY48"/>
      <c r="PZ48"/>
      <c r="QA48"/>
      <c r="QB48"/>
      <c r="QC48"/>
      <c r="QD48"/>
      <c r="QE48"/>
      <c r="QF48"/>
      <c r="QG48"/>
      <c r="QH48"/>
      <c r="QI48"/>
      <c r="QJ48"/>
      <c r="QK48"/>
      <c r="QL48"/>
      <c r="QM48"/>
      <c r="QN48"/>
      <c r="QO48"/>
      <c r="QP48"/>
      <c r="QQ48"/>
      <c r="QR48"/>
      <c r="QS48"/>
      <c r="QT48"/>
      <c r="QU48"/>
      <c r="QV48"/>
      <c r="QW48"/>
      <c r="QX48"/>
      <c r="QY48"/>
      <c r="QZ48"/>
      <c r="RA48"/>
      <c r="RB48"/>
      <c r="RC48"/>
      <c r="RD48"/>
      <c r="RE48"/>
      <c r="RF48"/>
      <c r="RG48"/>
      <c r="RH48"/>
      <c r="RI48"/>
      <c r="RJ48"/>
      <c r="RK48"/>
      <c r="RL48"/>
      <c r="RM48"/>
      <c r="RN48"/>
      <c r="RO48"/>
      <c r="RP48"/>
      <c r="RQ48"/>
      <c r="RR48"/>
      <c r="RS48"/>
    </row>
    <row r="49" spans="3:487" x14ac:dyDescent="0.25">
      <c r="C49" s="2" t="s">
        <v>72</v>
      </c>
      <c r="D49" s="34">
        <v>2</v>
      </c>
      <c r="F49" s="2" t="s">
        <v>223</v>
      </c>
      <c r="G49" s="34">
        <v>3</v>
      </c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O49"/>
      <c r="CP49"/>
      <c r="CQ49"/>
      <c r="CR49"/>
      <c r="CS49"/>
      <c r="CT49"/>
      <c r="CU49"/>
      <c r="CV49"/>
      <c r="CW49"/>
      <c r="CX49"/>
      <c r="CY49"/>
      <c r="CZ49"/>
      <c r="DA49"/>
      <c r="DB49"/>
      <c r="DC49"/>
      <c r="DD49"/>
      <c r="DE49"/>
      <c r="DF49"/>
      <c r="DG49"/>
      <c r="DH49"/>
      <c r="DI49"/>
      <c r="DJ49"/>
      <c r="DK49"/>
      <c r="DL49"/>
      <c r="DM49"/>
      <c r="DN49"/>
      <c r="DO49"/>
      <c r="DP49"/>
      <c r="DQ49"/>
      <c r="DR49"/>
      <c r="DS49"/>
      <c r="DT49"/>
      <c r="DU49"/>
      <c r="DV49"/>
      <c r="DW49"/>
      <c r="DX49"/>
      <c r="DY49"/>
      <c r="DZ49"/>
      <c r="EA49"/>
      <c r="EB49"/>
      <c r="EC49"/>
      <c r="ED49"/>
      <c r="EE49"/>
      <c r="EF49"/>
      <c r="EG49"/>
      <c r="EH49"/>
      <c r="EI49"/>
      <c r="EJ49"/>
      <c r="EK49"/>
      <c r="EL49"/>
      <c r="EM49"/>
      <c r="EN49"/>
      <c r="EO49"/>
      <c r="EP49"/>
      <c r="EQ49"/>
      <c r="ER49"/>
      <c r="ES49"/>
      <c r="ET49"/>
      <c r="EU49"/>
      <c r="EV49"/>
      <c r="EW49"/>
      <c r="EX49"/>
      <c r="EY49"/>
      <c r="EZ49"/>
      <c r="FA49"/>
      <c r="FB49"/>
      <c r="FC49"/>
      <c r="FD49"/>
      <c r="FE49"/>
      <c r="FF49"/>
      <c r="FG49"/>
      <c r="FH49"/>
      <c r="FI49"/>
      <c r="FJ49"/>
      <c r="FK49"/>
      <c r="FL49"/>
      <c r="FM49"/>
      <c r="FN49"/>
      <c r="FO49"/>
      <c r="FP49"/>
      <c r="FQ49"/>
      <c r="FR49"/>
      <c r="FS49"/>
      <c r="FT49"/>
      <c r="FU49"/>
      <c r="FV49"/>
      <c r="FW49"/>
      <c r="FX49"/>
      <c r="FY49"/>
      <c r="FZ49"/>
      <c r="GA49"/>
      <c r="GB49"/>
      <c r="GC49"/>
      <c r="GD49"/>
      <c r="GE49"/>
      <c r="GF49"/>
      <c r="GG49"/>
      <c r="GH49"/>
      <c r="GI49"/>
      <c r="GJ49"/>
      <c r="GK49"/>
      <c r="GL49"/>
      <c r="GM49"/>
      <c r="GN49"/>
      <c r="GO49"/>
      <c r="GP49"/>
      <c r="GQ49"/>
      <c r="GR49"/>
      <c r="GS49"/>
      <c r="GT49"/>
      <c r="GU49"/>
      <c r="GV49"/>
      <c r="GW49"/>
      <c r="GX49"/>
      <c r="GY49"/>
      <c r="GZ49"/>
      <c r="HA49"/>
      <c r="HB49"/>
      <c r="HC49"/>
      <c r="HD49"/>
      <c r="HE49"/>
      <c r="HF49"/>
      <c r="HG49"/>
      <c r="HH49"/>
      <c r="HI49"/>
      <c r="HJ49"/>
      <c r="HK49"/>
      <c r="HL49"/>
      <c r="HM49"/>
      <c r="HN49"/>
      <c r="HO49"/>
      <c r="HP49"/>
      <c r="HQ49"/>
      <c r="HR49"/>
      <c r="HS49"/>
      <c r="HT49"/>
      <c r="HU49"/>
      <c r="HV49"/>
      <c r="HW49"/>
      <c r="HX49"/>
      <c r="HY49"/>
      <c r="HZ49"/>
      <c r="IA49"/>
      <c r="IB49"/>
      <c r="IC49"/>
      <c r="ID49"/>
      <c r="IE49"/>
      <c r="IF49"/>
      <c r="IG49"/>
      <c r="IH49"/>
      <c r="II49"/>
      <c r="IJ49"/>
      <c r="IK49"/>
      <c r="IL49"/>
      <c r="IM49"/>
      <c r="IN49"/>
      <c r="IO49"/>
      <c r="IP49"/>
      <c r="IQ49"/>
      <c r="IR49"/>
      <c r="IS49"/>
      <c r="IT49"/>
      <c r="IU49"/>
      <c r="IV49"/>
      <c r="IW49"/>
      <c r="IX49"/>
      <c r="IY49"/>
      <c r="IZ49"/>
      <c r="JA49"/>
      <c r="JB49"/>
      <c r="JC49"/>
      <c r="JD49"/>
      <c r="JE49"/>
      <c r="JF49"/>
      <c r="JG49"/>
      <c r="JH49"/>
      <c r="JI49"/>
      <c r="JJ49"/>
      <c r="JK49"/>
      <c r="JL49"/>
      <c r="JM49"/>
      <c r="JN49"/>
      <c r="JO49"/>
      <c r="JP49"/>
      <c r="JQ49"/>
      <c r="JR49"/>
      <c r="JS49"/>
      <c r="JT49"/>
      <c r="JU49"/>
      <c r="JV49"/>
      <c r="JW49"/>
      <c r="JX49"/>
      <c r="JY49"/>
      <c r="JZ49"/>
      <c r="KA49"/>
      <c r="KB49"/>
      <c r="KC49"/>
      <c r="KD49"/>
      <c r="KE49"/>
      <c r="KF49"/>
      <c r="KG49"/>
      <c r="KH49"/>
      <c r="KI49"/>
      <c r="KJ49"/>
      <c r="KK49"/>
      <c r="KL49"/>
      <c r="KM49"/>
      <c r="KN49"/>
      <c r="KO49"/>
      <c r="KP49"/>
      <c r="KQ49"/>
      <c r="KR49"/>
      <c r="KS49"/>
      <c r="KT49"/>
      <c r="KU49"/>
      <c r="KV49"/>
      <c r="KW49"/>
      <c r="KX49"/>
      <c r="KY49"/>
      <c r="KZ49"/>
      <c r="LA49"/>
      <c r="LB49"/>
      <c r="LC49"/>
      <c r="LD49"/>
      <c r="LE49"/>
      <c r="LF49"/>
      <c r="LG49"/>
      <c r="LH49"/>
      <c r="LI49"/>
      <c r="LJ49"/>
      <c r="LK49"/>
      <c r="LL49"/>
      <c r="LM49"/>
      <c r="LN49"/>
      <c r="LO49"/>
      <c r="LP49"/>
      <c r="LQ49"/>
      <c r="LR49"/>
      <c r="LS49"/>
      <c r="LT49"/>
      <c r="LU49"/>
      <c r="LV49"/>
      <c r="LW49"/>
      <c r="LX49"/>
      <c r="LY49"/>
      <c r="LZ49"/>
      <c r="MA49"/>
      <c r="MB49"/>
      <c r="MC49"/>
      <c r="MD49"/>
      <c r="ME49"/>
      <c r="MF49"/>
      <c r="MG49"/>
      <c r="MH49"/>
      <c r="MI49"/>
      <c r="MJ49"/>
      <c r="MK49"/>
      <c r="ML49"/>
      <c r="MM49"/>
      <c r="MN49"/>
      <c r="MO49"/>
      <c r="MP49"/>
      <c r="MQ49"/>
      <c r="MR49"/>
      <c r="MS49"/>
      <c r="MT49"/>
      <c r="MU49"/>
      <c r="MV49"/>
      <c r="MW49"/>
      <c r="MX49"/>
      <c r="MY49"/>
      <c r="MZ49"/>
      <c r="NA49"/>
      <c r="NB49"/>
      <c r="NC49"/>
      <c r="ND49"/>
      <c r="NE49"/>
      <c r="NF49"/>
      <c r="NG49"/>
      <c r="NH49"/>
      <c r="NI49"/>
      <c r="NJ49"/>
      <c r="NK49"/>
      <c r="NL49"/>
      <c r="NM49"/>
      <c r="NN49"/>
      <c r="NO49"/>
      <c r="NP49"/>
      <c r="NQ49"/>
      <c r="NR49"/>
      <c r="NS49"/>
      <c r="NT49"/>
      <c r="NU49"/>
      <c r="NV49"/>
      <c r="NW49"/>
      <c r="NX49"/>
      <c r="NY49"/>
      <c r="NZ49"/>
      <c r="OA49"/>
      <c r="OB49"/>
      <c r="OC49"/>
      <c r="OD49"/>
      <c r="OE49"/>
      <c r="OF49"/>
      <c r="OG49"/>
      <c r="OH49"/>
      <c r="OI49"/>
      <c r="OJ49"/>
      <c r="OK49"/>
      <c r="OL49"/>
      <c r="OM49"/>
      <c r="ON49"/>
      <c r="OO49"/>
      <c r="OP49"/>
      <c r="OQ49"/>
      <c r="OR49"/>
      <c r="OS49"/>
      <c r="OT49"/>
      <c r="OU49"/>
      <c r="OV49"/>
      <c r="OW49"/>
      <c r="OX49"/>
      <c r="OY49"/>
      <c r="OZ49"/>
      <c r="PA49"/>
      <c r="PB49"/>
      <c r="PC49"/>
      <c r="PD49"/>
      <c r="PE49"/>
      <c r="PF49"/>
      <c r="PG49"/>
      <c r="PH49"/>
      <c r="PI49"/>
      <c r="PJ49"/>
      <c r="PK49"/>
      <c r="PL49"/>
      <c r="PM49"/>
      <c r="PN49"/>
      <c r="PO49"/>
      <c r="PP49"/>
      <c r="PQ49"/>
      <c r="PR49"/>
      <c r="PS49"/>
      <c r="PT49"/>
      <c r="PU49"/>
      <c r="PV49"/>
      <c r="PW49"/>
      <c r="PX49"/>
      <c r="PY49"/>
      <c r="PZ49"/>
      <c r="QA49"/>
      <c r="QB49"/>
      <c r="QC49"/>
      <c r="QD49"/>
      <c r="QE49"/>
      <c r="QF49"/>
      <c r="QG49"/>
      <c r="QH49"/>
      <c r="QI49"/>
      <c r="QJ49"/>
      <c r="QK49"/>
      <c r="QL49"/>
      <c r="QM49"/>
      <c r="QN49"/>
      <c r="QO49"/>
      <c r="QP49"/>
      <c r="QQ49"/>
      <c r="QR49"/>
      <c r="QS49"/>
      <c r="QT49"/>
      <c r="QU49"/>
      <c r="QV49"/>
      <c r="QW49"/>
      <c r="QX49"/>
      <c r="QY49"/>
      <c r="QZ49"/>
      <c r="RA49"/>
      <c r="RB49"/>
      <c r="RC49"/>
      <c r="RD49"/>
      <c r="RE49"/>
      <c r="RF49"/>
      <c r="RG49"/>
      <c r="RH49"/>
      <c r="RI49"/>
      <c r="RJ49"/>
      <c r="RK49"/>
      <c r="RL49"/>
      <c r="RM49"/>
      <c r="RN49"/>
      <c r="RO49"/>
      <c r="RP49"/>
      <c r="RQ49"/>
      <c r="RR49"/>
      <c r="RS49"/>
    </row>
    <row r="50" spans="3:487" x14ac:dyDescent="0.25">
      <c r="C50" s="2" t="s">
        <v>297</v>
      </c>
      <c r="D50" s="34">
        <v>2</v>
      </c>
      <c r="F50" s="2" t="s">
        <v>644</v>
      </c>
      <c r="G50" s="34">
        <v>3</v>
      </c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/>
      <c r="CQ50"/>
      <c r="CR50"/>
      <c r="CS50"/>
      <c r="CT50"/>
      <c r="CU50"/>
      <c r="CV50"/>
      <c r="CW50"/>
      <c r="CX50"/>
      <c r="CY50"/>
      <c r="CZ50"/>
      <c r="DA50"/>
      <c r="DB50"/>
      <c r="DC50"/>
      <c r="DD50"/>
      <c r="DE50"/>
      <c r="DF50"/>
      <c r="DG50"/>
      <c r="DH50"/>
      <c r="DI50"/>
      <c r="DJ50"/>
      <c r="DK50"/>
      <c r="DL50"/>
      <c r="DM50"/>
      <c r="DN50"/>
      <c r="DO50"/>
      <c r="DP50"/>
      <c r="DQ50"/>
      <c r="DR50"/>
      <c r="DS50"/>
      <c r="DT50"/>
      <c r="DU50"/>
      <c r="DV50"/>
      <c r="DW50"/>
      <c r="DX50"/>
      <c r="DY50"/>
      <c r="DZ50"/>
      <c r="EA50"/>
      <c r="EB50"/>
      <c r="EC50"/>
      <c r="ED50"/>
      <c r="EE50"/>
      <c r="EF50"/>
      <c r="EG50"/>
      <c r="EH50"/>
      <c r="EI50"/>
      <c r="EJ50"/>
      <c r="EK50"/>
      <c r="EL50"/>
      <c r="EM50"/>
      <c r="EN50"/>
      <c r="EO50"/>
      <c r="EP50"/>
      <c r="EQ50"/>
      <c r="ER50"/>
      <c r="ES50"/>
      <c r="ET50"/>
      <c r="EU50"/>
      <c r="EV50"/>
      <c r="EW50"/>
      <c r="EX50"/>
      <c r="EY50"/>
      <c r="EZ50"/>
      <c r="FA50"/>
      <c r="FB50"/>
      <c r="FC50"/>
      <c r="FD50"/>
      <c r="FE50"/>
      <c r="FF50"/>
      <c r="FG50"/>
      <c r="FH50"/>
      <c r="FI50"/>
      <c r="FJ50"/>
      <c r="FK50"/>
      <c r="FL50"/>
      <c r="FM50"/>
      <c r="FN50"/>
      <c r="FO50"/>
      <c r="FP50"/>
      <c r="FQ50"/>
      <c r="FR50"/>
      <c r="FS50"/>
      <c r="FT50"/>
      <c r="FU50"/>
      <c r="FV50"/>
      <c r="FW50"/>
      <c r="FX50"/>
      <c r="FY50"/>
      <c r="FZ50"/>
      <c r="GA50"/>
      <c r="GB50"/>
      <c r="GC50"/>
      <c r="GD50"/>
      <c r="GE50"/>
      <c r="GF50"/>
      <c r="GG50"/>
      <c r="GH50"/>
      <c r="GI50"/>
      <c r="GJ50"/>
      <c r="GK50"/>
      <c r="GL50"/>
      <c r="GM50"/>
      <c r="GN50"/>
      <c r="GO50"/>
      <c r="GP50"/>
      <c r="GQ50"/>
      <c r="GR50"/>
      <c r="GS50"/>
      <c r="GT50"/>
      <c r="GU50"/>
      <c r="GV50"/>
      <c r="GW50"/>
      <c r="GX50"/>
      <c r="GY50"/>
      <c r="GZ50"/>
      <c r="HA50"/>
      <c r="HB50"/>
      <c r="HC50"/>
      <c r="HD50"/>
      <c r="HE50"/>
      <c r="HF50"/>
      <c r="HG50"/>
      <c r="HH50"/>
      <c r="HI50"/>
      <c r="HJ50"/>
      <c r="HK50"/>
      <c r="HL50"/>
      <c r="HM50"/>
      <c r="HN50"/>
      <c r="HO50"/>
      <c r="HP50"/>
      <c r="HQ50"/>
      <c r="HR50"/>
      <c r="HS50"/>
      <c r="HT50"/>
      <c r="HU50"/>
      <c r="HV50"/>
      <c r="HW50"/>
      <c r="HX50"/>
      <c r="HY50"/>
      <c r="HZ50"/>
      <c r="IA50"/>
      <c r="IB50"/>
      <c r="IC50"/>
      <c r="ID50"/>
      <c r="IE50"/>
      <c r="IF50"/>
      <c r="IG50"/>
      <c r="IH50"/>
      <c r="II50"/>
      <c r="IJ50"/>
      <c r="IK50"/>
      <c r="IL50"/>
      <c r="IM50"/>
      <c r="IN50"/>
      <c r="IO50"/>
      <c r="IP50"/>
      <c r="IQ50"/>
      <c r="IR50"/>
      <c r="IS50"/>
      <c r="IT50"/>
      <c r="IU50"/>
      <c r="IV50"/>
      <c r="IW50"/>
      <c r="IX50"/>
      <c r="IY50"/>
      <c r="IZ50"/>
      <c r="JA50"/>
      <c r="JB50"/>
      <c r="JC50"/>
      <c r="JD50"/>
      <c r="JE50"/>
      <c r="JF50"/>
      <c r="JG50"/>
      <c r="JH50"/>
      <c r="JI50"/>
      <c r="JJ50"/>
      <c r="JK50"/>
      <c r="JL50"/>
      <c r="JM50"/>
      <c r="JN50"/>
      <c r="JO50"/>
      <c r="JP50"/>
      <c r="JQ50"/>
      <c r="JR50"/>
      <c r="JS50"/>
      <c r="JT50"/>
      <c r="JU50"/>
      <c r="JV50"/>
      <c r="JW50"/>
      <c r="JX50"/>
      <c r="JY50"/>
      <c r="JZ50"/>
      <c r="KA50"/>
      <c r="KB50"/>
      <c r="KC50"/>
      <c r="KD50"/>
      <c r="KE50"/>
      <c r="KF50"/>
      <c r="KG50"/>
      <c r="KH50"/>
      <c r="KI50"/>
      <c r="KJ50"/>
      <c r="KK50"/>
      <c r="KL50"/>
      <c r="KM50"/>
      <c r="KN50"/>
      <c r="KO50"/>
      <c r="KP50"/>
      <c r="KQ50"/>
      <c r="KR50"/>
      <c r="KS50"/>
      <c r="KT50"/>
      <c r="KU50"/>
      <c r="KV50"/>
      <c r="KW50"/>
      <c r="KX50"/>
      <c r="KY50"/>
      <c r="KZ50"/>
      <c r="LA50"/>
      <c r="LB50"/>
      <c r="LC50"/>
      <c r="LD50"/>
      <c r="LE50"/>
      <c r="LF50"/>
      <c r="LG50"/>
      <c r="LH50"/>
      <c r="LI50"/>
      <c r="LJ50"/>
      <c r="LK50"/>
      <c r="LL50"/>
      <c r="LM50"/>
      <c r="LN50"/>
      <c r="LO50"/>
      <c r="LP50"/>
      <c r="LQ50"/>
      <c r="LR50"/>
      <c r="LS50"/>
      <c r="LT50"/>
      <c r="LU50"/>
      <c r="LV50"/>
      <c r="LW50"/>
      <c r="LX50"/>
      <c r="LY50"/>
      <c r="LZ50"/>
      <c r="MA50"/>
      <c r="MB50"/>
      <c r="MC50"/>
      <c r="MD50"/>
      <c r="ME50"/>
      <c r="MF50"/>
      <c r="MG50"/>
      <c r="MH50"/>
      <c r="MI50"/>
      <c r="MJ50"/>
      <c r="MK50"/>
      <c r="ML50"/>
      <c r="MM50"/>
      <c r="MN50"/>
      <c r="MO50"/>
      <c r="MP50"/>
      <c r="MQ50"/>
      <c r="MR50"/>
      <c r="MS50"/>
      <c r="MT50"/>
      <c r="MU50"/>
      <c r="MV50"/>
      <c r="MW50"/>
      <c r="MX50"/>
      <c r="MY50"/>
      <c r="MZ50"/>
      <c r="NA50"/>
      <c r="NB50"/>
      <c r="NC50"/>
      <c r="ND50"/>
      <c r="NE50"/>
      <c r="NF50"/>
      <c r="NG50"/>
      <c r="NH50"/>
      <c r="NI50"/>
      <c r="NJ50"/>
      <c r="NK50"/>
      <c r="NL50"/>
      <c r="NM50"/>
      <c r="NN50"/>
      <c r="NO50"/>
      <c r="NP50"/>
      <c r="NQ50"/>
      <c r="NR50"/>
      <c r="NS50"/>
      <c r="NT50"/>
      <c r="NU50"/>
      <c r="NV50"/>
      <c r="NW50"/>
      <c r="NX50"/>
      <c r="NY50"/>
      <c r="NZ50"/>
      <c r="OA50"/>
      <c r="OB50"/>
      <c r="OC50"/>
      <c r="OD50"/>
      <c r="OE50"/>
      <c r="OF50"/>
      <c r="OG50"/>
      <c r="OH50"/>
      <c r="OI50"/>
      <c r="OJ50"/>
      <c r="OK50"/>
      <c r="OL50"/>
      <c r="OM50"/>
      <c r="ON50"/>
      <c r="OO50"/>
      <c r="OP50"/>
      <c r="OQ50"/>
      <c r="OR50"/>
      <c r="OS50"/>
      <c r="OT50"/>
      <c r="OU50"/>
      <c r="OV50"/>
      <c r="OW50"/>
      <c r="OX50"/>
      <c r="OY50"/>
      <c r="OZ50"/>
      <c r="PA50"/>
      <c r="PB50"/>
      <c r="PC50"/>
      <c r="PD50"/>
      <c r="PE50"/>
      <c r="PF50"/>
      <c r="PG50"/>
      <c r="PH50"/>
      <c r="PI50"/>
      <c r="PJ50"/>
      <c r="PK50"/>
      <c r="PL50"/>
      <c r="PM50"/>
      <c r="PN50"/>
      <c r="PO50"/>
      <c r="PP50"/>
      <c r="PQ50"/>
      <c r="PR50"/>
      <c r="PS50"/>
      <c r="PT50"/>
      <c r="PU50"/>
      <c r="PV50"/>
      <c r="PW50"/>
      <c r="PX50"/>
      <c r="PY50"/>
      <c r="PZ50"/>
      <c r="QA50"/>
      <c r="QB50"/>
      <c r="QC50"/>
      <c r="QD50"/>
      <c r="QE50"/>
      <c r="QF50"/>
      <c r="QG50"/>
      <c r="QH50"/>
      <c r="QI50"/>
      <c r="QJ50"/>
      <c r="QK50"/>
      <c r="QL50"/>
      <c r="QM50"/>
      <c r="QN50"/>
      <c r="QO50"/>
      <c r="QP50"/>
      <c r="QQ50"/>
      <c r="QR50"/>
      <c r="QS50"/>
      <c r="QT50"/>
      <c r="QU50"/>
      <c r="QV50"/>
      <c r="QW50"/>
      <c r="QX50"/>
      <c r="QY50"/>
      <c r="QZ50"/>
      <c r="RA50"/>
      <c r="RB50"/>
      <c r="RC50"/>
      <c r="RD50"/>
      <c r="RE50"/>
      <c r="RF50"/>
      <c r="RG50"/>
      <c r="RH50"/>
      <c r="RI50"/>
      <c r="RJ50"/>
      <c r="RK50"/>
      <c r="RL50"/>
      <c r="RM50"/>
      <c r="RN50"/>
      <c r="RO50"/>
      <c r="RP50"/>
      <c r="RQ50"/>
      <c r="RR50"/>
      <c r="RS50"/>
    </row>
    <row r="51" spans="3:487" x14ac:dyDescent="0.25">
      <c r="C51" s="2" t="s">
        <v>82</v>
      </c>
      <c r="D51" s="34">
        <v>2</v>
      </c>
      <c r="F51" s="2" t="s">
        <v>89</v>
      </c>
      <c r="G51" s="34">
        <v>3</v>
      </c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CQ51"/>
      <c r="CR51"/>
      <c r="CS51"/>
      <c r="CT51"/>
      <c r="CU51"/>
      <c r="CV51"/>
      <c r="CW51"/>
      <c r="CX51"/>
      <c r="CY51"/>
      <c r="CZ51"/>
      <c r="DA51"/>
      <c r="DB51"/>
      <c r="DC51"/>
      <c r="DD51"/>
      <c r="DE51"/>
      <c r="DF51"/>
      <c r="DG51"/>
      <c r="DH51"/>
      <c r="DI51"/>
      <c r="DJ51"/>
      <c r="DK51"/>
      <c r="DL51"/>
      <c r="DM51"/>
      <c r="DN51"/>
      <c r="DO51"/>
      <c r="DP51"/>
      <c r="DQ51"/>
      <c r="DR51"/>
      <c r="DS51"/>
      <c r="DT51"/>
      <c r="DU51"/>
      <c r="DV51"/>
      <c r="DW51"/>
      <c r="DX51"/>
      <c r="DY51"/>
      <c r="DZ51"/>
      <c r="EA51"/>
      <c r="EB51"/>
      <c r="EC51"/>
      <c r="ED51"/>
      <c r="EE51"/>
      <c r="EF51"/>
      <c r="EG51"/>
      <c r="EH51"/>
      <c r="EI51"/>
      <c r="EJ51"/>
      <c r="EK51"/>
      <c r="EL51"/>
      <c r="EM51"/>
      <c r="EN51"/>
      <c r="EO51"/>
      <c r="EP51"/>
      <c r="EQ51"/>
      <c r="ER51"/>
      <c r="ES51"/>
      <c r="ET51"/>
      <c r="EU51"/>
      <c r="EV51"/>
      <c r="EW51"/>
      <c r="EX51"/>
      <c r="EY51"/>
      <c r="EZ51"/>
      <c r="FA51"/>
      <c r="FB51"/>
      <c r="FC51"/>
      <c r="FD51"/>
      <c r="FE51"/>
      <c r="FF51"/>
      <c r="FG51"/>
      <c r="FH51"/>
      <c r="FI51"/>
      <c r="FJ51"/>
      <c r="FK51"/>
      <c r="FL51"/>
      <c r="FM51"/>
      <c r="FN51"/>
      <c r="FO51"/>
      <c r="FP51"/>
      <c r="FQ51"/>
      <c r="FR51"/>
      <c r="FS51"/>
      <c r="FT51"/>
      <c r="FU51"/>
      <c r="FV51"/>
      <c r="FW51"/>
      <c r="FX51"/>
      <c r="FY51"/>
      <c r="FZ51"/>
      <c r="GA51"/>
      <c r="GB51"/>
      <c r="GC51"/>
      <c r="GD51"/>
      <c r="GE51"/>
      <c r="GF51"/>
      <c r="GG51"/>
      <c r="GH51"/>
      <c r="GI51"/>
      <c r="GJ51"/>
      <c r="GK51"/>
      <c r="GL51"/>
      <c r="GM51"/>
      <c r="GN51"/>
      <c r="GO51"/>
      <c r="GP51"/>
      <c r="GQ51"/>
      <c r="GR51"/>
      <c r="GS51"/>
      <c r="GT51"/>
      <c r="GU51"/>
      <c r="GV51"/>
      <c r="GW51"/>
      <c r="GX51"/>
      <c r="GY51"/>
      <c r="GZ51"/>
      <c r="HA51"/>
      <c r="HB51"/>
      <c r="HC51"/>
      <c r="HD51"/>
      <c r="HE51"/>
      <c r="HF51"/>
      <c r="HG51"/>
      <c r="HH51"/>
      <c r="HI51"/>
      <c r="HJ51"/>
      <c r="HK51"/>
      <c r="HL51"/>
      <c r="HM51"/>
      <c r="HN51"/>
      <c r="HO51"/>
      <c r="HP51"/>
      <c r="HQ51"/>
      <c r="HR51"/>
      <c r="HS51"/>
      <c r="HT51"/>
      <c r="HU51"/>
      <c r="HV51"/>
      <c r="HW51"/>
      <c r="HX51"/>
      <c r="HY51"/>
      <c r="HZ51"/>
      <c r="IA51"/>
      <c r="IB51"/>
      <c r="IC51"/>
      <c r="ID51"/>
      <c r="IE51"/>
      <c r="IF51"/>
      <c r="IG51"/>
      <c r="IH51"/>
      <c r="II51"/>
      <c r="IJ51"/>
      <c r="IK51"/>
      <c r="IL51"/>
      <c r="IM51"/>
      <c r="IN51"/>
      <c r="IO51"/>
      <c r="IP51"/>
      <c r="IQ51"/>
      <c r="IR51"/>
      <c r="IS51"/>
      <c r="IT51"/>
      <c r="IU51"/>
      <c r="IV51"/>
      <c r="IW51"/>
      <c r="IX51"/>
      <c r="IY51"/>
      <c r="IZ51"/>
      <c r="JA51"/>
      <c r="JB51"/>
      <c r="JC51"/>
      <c r="JD51"/>
      <c r="JE51"/>
      <c r="JF51"/>
      <c r="JG51"/>
      <c r="JH51"/>
      <c r="JI51"/>
      <c r="JJ51"/>
      <c r="JK51"/>
      <c r="JL51"/>
      <c r="JM51"/>
      <c r="JN51"/>
      <c r="JO51"/>
      <c r="JP51"/>
      <c r="JQ51"/>
      <c r="JR51"/>
      <c r="JS51"/>
      <c r="JT51"/>
      <c r="JU51"/>
      <c r="JV51"/>
      <c r="JW51"/>
      <c r="JX51"/>
      <c r="JY51"/>
      <c r="JZ51"/>
      <c r="KA51"/>
      <c r="KB51"/>
      <c r="KC51"/>
      <c r="KD51"/>
      <c r="KE51"/>
      <c r="KF51"/>
      <c r="KG51"/>
      <c r="KH51"/>
      <c r="KI51"/>
      <c r="KJ51"/>
      <c r="KK51"/>
      <c r="KL51"/>
      <c r="KM51"/>
      <c r="KN51"/>
      <c r="KO51"/>
      <c r="KP51"/>
      <c r="KQ51"/>
      <c r="KR51"/>
      <c r="KS51"/>
      <c r="KT51"/>
      <c r="KU51"/>
      <c r="KV51"/>
      <c r="KW51"/>
      <c r="KX51"/>
      <c r="KY51"/>
      <c r="KZ51"/>
      <c r="LA51"/>
      <c r="LB51"/>
      <c r="LC51"/>
      <c r="LD51"/>
      <c r="LE51"/>
      <c r="LF51"/>
      <c r="LG51"/>
      <c r="LH51"/>
      <c r="LI51"/>
      <c r="LJ51"/>
      <c r="LK51"/>
      <c r="LL51"/>
      <c r="LM51"/>
      <c r="LN51"/>
      <c r="LO51"/>
      <c r="LP51"/>
      <c r="LQ51"/>
      <c r="LR51"/>
      <c r="LS51"/>
      <c r="LT51"/>
      <c r="LU51"/>
      <c r="LV51"/>
      <c r="LW51"/>
      <c r="LX51"/>
      <c r="LY51"/>
      <c r="LZ51"/>
      <c r="MA51"/>
      <c r="MB51"/>
      <c r="MC51"/>
      <c r="MD51"/>
      <c r="ME51"/>
      <c r="MF51"/>
      <c r="MG51"/>
      <c r="MH51"/>
      <c r="MI51"/>
      <c r="MJ51"/>
      <c r="MK51"/>
      <c r="ML51"/>
      <c r="MM51"/>
      <c r="MN51"/>
      <c r="MO51"/>
      <c r="MP51"/>
      <c r="MQ51"/>
      <c r="MR51"/>
      <c r="MS51"/>
      <c r="MT51"/>
      <c r="MU51"/>
      <c r="MV51"/>
      <c r="MW51"/>
      <c r="MX51"/>
      <c r="MY51"/>
      <c r="MZ51"/>
      <c r="NA51"/>
      <c r="NB51"/>
      <c r="NC51"/>
      <c r="ND51"/>
      <c r="NE51"/>
      <c r="NF51"/>
      <c r="NG51"/>
      <c r="NH51"/>
      <c r="NI51"/>
      <c r="NJ51"/>
      <c r="NK51"/>
      <c r="NL51"/>
      <c r="NM51"/>
      <c r="NN51"/>
      <c r="NO51"/>
      <c r="NP51"/>
      <c r="NQ51"/>
      <c r="NR51"/>
      <c r="NS51"/>
      <c r="NT51"/>
      <c r="NU51"/>
      <c r="NV51"/>
      <c r="NW51"/>
      <c r="NX51"/>
      <c r="NY51"/>
      <c r="NZ51"/>
      <c r="OA51"/>
      <c r="OB51"/>
      <c r="OC51"/>
      <c r="OD51"/>
      <c r="OE51"/>
      <c r="OF51"/>
      <c r="OG51"/>
      <c r="OH51"/>
      <c r="OI51"/>
      <c r="OJ51"/>
      <c r="OK51"/>
      <c r="OL51"/>
      <c r="OM51"/>
      <c r="ON51"/>
      <c r="OO51"/>
      <c r="OP51"/>
      <c r="OQ51"/>
      <c r="OR51"/>
      <c r="OS51"/>
      <c r="OT51"/>
      <c r="OU51"/>
      <c r="OV51"/>
      <c r="OW51"/>
      <c r="OX51"/>
      <c r="OY51"/>
      <c r="OZ51"/>
      <c r="PA51"/>
      <c r="PB51"/>
      <c r="PC51"/>
      <c r="PD51"/>
      <c r="PE51"/>
      <c r="PF51"/>
      <c r="PG51"/>
      <c r="PH51"/>
      <c r="PI51"/>
      <c r="PJ51"/>
      <c r="PK51"/>
      <c r="PL51"/>
      <c r="PM51"/>
      <c r="PN51"/>
      <c r="PO51"/>
      <c r="PP51"/>
      <c r="PQ51"/>
      <c r="PR51"/>
      <c r="PS51"/>
      <c r="PT51"/>
      <c r="PU51"/>
      <c r="PV51"/>
      <c r="PW51"/>
      <c r="PX51"/>
      <c r="PY51"/>
      <c r="PZ51"/>
      <c r="QA51"/>
      <c r="QB51"/>
      <c r="QC51"/>
      <c r="QD51"/>
      <c r="QE51"/>
      <c r="QF51"/>
      <c r="QG51"/>
      <c r="QH51"/>
      <c r="QI51"/>
      <c r="QJ51"/>
      <c r="QK51"/>
      <c r="QL51"/>
      <c r="QM51"/>
      <c r="QN51"/>
      <c r="QO51"/>
      <c r="QP51"/>
      <c r="QQ51"/>
      <c r="QR51"/>
      <c r="QS51"/>
      <c r="QT51"/>
      <c r="QU51"/>
      <c r="QV51"/>
      <c r="QW51"/>
      <c r="QX51"/>
      <c r="QY51"/>
      <c r="QZ51"/>
      <c r="RA51"/>
      <c r="RB51"/>
      <c r="RC51"/>
      <c r="RD51"/>
      <c r="RE51"/>
      <c r="RF51"/>
      <c r="RG51"/>
      <c r="RH51"/>
      <c r="RI51"/>
      <c r="RJ51"/>
      <c r="RK51"/>
      <c r="RL51"/>
      <c r="RM51"/>
      <c r="RN51"/>
      <c r="RO51"/>
      <c r="RP51"/>
      <c r="RQ51"/>
      <c r="RR51"/>
      <c r="RS51"/>
    </row>
    <row r="52" spans="3:487" x14ac:dyDescent="0.25">
      <c r="C52" s="2" t="s">
        <v>54</v>
      </c>
      <c r="D52" s="34">
        <v>2</v>
      </c>
      <c r="F52" s="2" t="s">
        <v>112</v>
      </c>
      <c r="G52" s="34">
        <v>3</v>
      </c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Q52"/>
      <c r="CR52"/>
      <c r="CS52"/>
      <c r="CT52"/>
      <c r="CU52"/>
      <c r="CV52"/>
      <c r="CW52"/>
      <c r="CX52"/>
      <c r="CY52"/>
      <c r="CZ52"/>
      <c r="DA52"/>
      <c r="DB52"/>
      <c r="DC52"/>
      <c r="DD52"/>
      <c r="DE52"/>
      <c r="DF52"/>
      <c r="DG52"/>
      <c r="DH52"/>
      <c r="DI52"/>
      <c r="DJ52"/>
      <c r="DK52"/>
      <c r="DL52"/>
      <c r="DM52"/>
      <c r="DN52"/>
      <c r="DO52"/>
      <c r="DP52"/>
      <c r="DQ52"/>
      <c r="DR52"/>
      <c r="DS52"/>
      <c r="DT52"/>
      <c r="DU52"/>
      <c r="DV52"/>
      <c r="DW52"/>
      <c r="DX52"/>
      <c r="DY52"/>
      <c r="DZ52"/>
      <c r="EA52"/>
      <c r="EB52"/>
      <c r="EC52"/>
      <c r="ED52"/>
      <c r="EE52"/>
      <c r="EF52"/>
      <c r="EG52"/>
      <c r="EH52"/>
      <c r="EI52"/>
      <c r="EJ52"/>
      <c r="EK52"/>
      <c r="EL52"/>
      <c r="EM52"/>
      <c r="EN52"/>
      <c r="EO52"/>
      <c r="EP52"/>
      <c r="EQ52"/>
      <c r="ER52"/>
      <c r="ES52"/>
      <c r="ET52"/>
      <c r="EU52"/>
      <c r="EV52"/>
      <c r="EW52"/>
      <c r="EX52"/>
      <c r="EY52"/>
      <c r="EZ52"/>
      <c r="FA52"/>
      <c r="FB52"/>
      <c r="FC52"/>
      <c r="FD52"/>
      <c r="FE52"/>
      <c r="FF52"/>
      <c r="FG52"/>
      <c r="FH52"/>
      <c r="FI52"/>
      <c r="FJ52"/>
      <c r="FK52"/>
      <c r="FL52"/>
      <c r="FM52"/>
      <c r="FN52"/>
      <c r="FO52"/>
      <c r="FP52"/>
      <c r="FQ52"/>
      <c r="FR52"/>
      <c r="FS52"/>
      <c r="FT52"/>
      <c r="FU52"/>
      <c r="FV52"/>
      <c r="FW52"/>
      <c r="FX52"/>
      <c r="FY52"/>
      <c r="FZ52"/>
      <c r="GA52"/>
      <c r="GB52"/>
      <c r="GC52"/>
      <c r="GD52"/>
      <c r="GE52"/>
      <c r="GF52"/>
      <c r="GG52"/>
      <c r="GH52"/>
      <c r="GI52"/>
      <c r="GJ52"/>
      <c r="GK52"/>
      <c r="GL52"/>
      <c r="GM52"/>
      <c r="GN52"/>
      <c r="GO52"/>
      <c r="GP52"/>
      <c r="GQ52"/>
      <c r="GR52"/>
      <c r="GS52"/>
      <c r="GT52"/>
      <c r="GU52"/>
      <c r="GV52"/>
      <c r="GW52"/>
      <c r="GX52"/>
      <c r="GY52"/>
      <c r="GZ52"/>
      <c r="HA52"/>
      <c r="HB52"/>
      <c r="HC52"/>
      <c r="HD52"/>
      <c r="HE52"/>
      <c r="HF52"/>
      <c r="HG52"/>
      <c r="HH52"/>
      <c r="HI52"/>
      <c r="HJ52"/>
      <c r="HK52"/>
      <c r="HL52"/>
      <c r="HM52"/>
      <c r="HN52"/>
      <c r="HO52"/>
      <c r="HP52"/>
      <c r="HQ52"/>
      <c r="HR52"/>
      <c r="HS52"/>
      <c r="HT52"/>
      <c r="HU52"/>
      <c r="HV52"/>
      <c r="HW52"/>
      <c r="HX52"/>
      <c r="HY52"/>
      <c r="HZ52"/>
      <c r="IA52"/>
      <c r="IB52"/>
      <c r="IC52"/>
      <c r="ID52"/>
      <c r="IE52"/>
      <c r="IF52"/>
      <c r="IG52"/>
      <c r="IH52"/>
      <c r="II52"/>
      <c r="IJ52"/>
      <c r="IK52"/>
      <c r="IL52"/>
      <c r="IM52"/>
      <c r="IN52"/>
      <c r="IO52"/>
      <c r="IP52"/>
      <c r="IQ52"/>
      <c r="IR52"/>
      <c r="IS52"/>
      <c r="IT52"/>
      <c r="IU52"/>
      <c r="IV52"/>
      <c r="IW52"/>
      <c r="IX52"/>
      <c r="IY52"/>
      <c r="IZ52"/>
      <c r="JA52"/>
      <c r="JB52"/>
      <c r="JC52"/>
      <c r="JD52"/>
      <c r="JE52"/>
      <c r="JF52"/>
      <c r="JG52"/>
      <c r="JH52"/>
      <c r="JI52"/>
      <c r="JJ52"/>
      <c r="JK52"/>
      <c r="JL52"/>
      <c r="JM52"/>
      <c r="JN52"/>
      <c r="JO52"/>
      <c r="JP52"/>
      <c r="JQ52"/>
      <c r="JR52"/>
      <c r="JS52"/>
      <c r="JT52"/>
      <c r="JU52"/>
      <c r="JV52"/>
      <c r="JW52"/>
      <c r="JX52"/>
      <c r="JY52"/>
      <c r="JZ52"/>
      <c r="KA52"/>
      <c r="KB52"/>
      <c r="KC52"/>
      <c r="KD52"/>
      <c r="KE52"/>
      <c r="KF52"/>
      <c r="KG52"/>
      <c r="KH52"/>
      <c r="KI52"/>
      <c r="KJ52"/>
      <c r="KK52"/>
      <c r="KL52"/>
      <c r="KM52"/>
      <c r="KN52"/>
      <c r="KO52"/>
      <c r="KP52"/>
      <c r="KQ52"/>
      <c r="KR52"/>
      <c r="KS52"/>
      <c r="KT52"/>
      <c r="KU52"/>
      <c r="KV52"/>
      <c r="KW52"/>
      <c r="KX52"/>
      <c r="KY52"/>
      <c r="KZ52"/>
      <c r="LA52"/>
      <c r="LB52"/>
      <c r="LC52"/>
      <c r="LD52"/>
      <c r="LE52"/>
      <c r="LF52"/>
      <c r="LG52"/>
      <c r="LH52"/>
      <c r="LI52"/>
      <c r="LJ52"/>
      <c r="LK52"/>
      <c r="LL52"/>
      <c r="LM52"/>
      <c r="LN52"/>
      <c r="LO52"/>
      <c r="LP52"/>
      <c r="LQ52"/>
      <c r="LR52"/>
      <c r="LS52"/>
      <c r="LT52"/>
      <c r="LU52"/>
      <c r="LV52"/>
      <c r="LW52"/>
      <c r="LX52"/>
      <c r="LY52"/>
      <c r="LZ52"/>
      <c r="MA52"/>
      <c r="MB52"/>
      <c r="MC52"/>
      <c r="MD52"/>
      <c r="ME52"/>
      <c r="MF52"/>
      <c r="MG52"/>
      <c r="MH52"/>
      <c r="MI52"/>
      <c r="MJ52"/>
      <c r="MK52"/>
      <c r="ML52"/>
      <c r="MM52"/>
      <c r="MN52"/>
      <c r="MO52"/>
      <c r="MP52"/>
      <c r="MQ52"/>
      <c r="MR52"/>
      <c r="MS52"/>
      <c r="MT52"/>
      <c r="MU52"/>
      <c r="MV52"/>
      <c r="MW52"/>
      <c r="MX52"/>
      <c r="MY52"/>
      <c r="MZ52"/>
      <c r="NA52"/>
      <c r="NB52"/>
      <c r="NC52"/>
      <c r="ND52"/>
      <c r="NE52"/>
      <c r="NF52"/>
      <c r="NG52"/>
      <c r="NH52"/>
      <c r="NI52"/>
      <c r="NJ52"/>
      <c r="NK52"/>
      <c r="NL52"/>
      <c r="NM52"/>
      <c r="NN52"/>
      <c r="NO52"/>
      <c r="NP52"/>
      <c r="NQ52"/>
      <c r="NR52"/>
      <c r="NS52"/>
      <c r="NT52"/>
      <c r="NU52"/>
      <c r="NV52"/>
      <c r="NW52"/>
      <c r="NX52"/>
      <c r="NY52"/>
      <c r="NZ52"/>
      <c r="OA52"/>
      <c r="OB52"/>
      <c r="OC52"/>
      <c r="OD52"/>
      <c r="OE52"/>
      <c r="OF52"/>
      <c r="OG52"/>
      <c r="OH52"/>
      <c r="OI52"/>
      <c r="OJ52"/>
      <c r="OK52"/>
      <c r="OL52"/>
      <c r="OM52"/>
      <c r="ON52"/>
      <c r="OO52"/>
      <c r="OP52"/>
      <c r="OQ52"/>
      <c r="OR52"/>
      <c r="OS52"/>
      <c r="OT52"/>
      <c r="OU52"/>
      <c r="OV52"/>
      <c r="OW52"/>
      <c r="OX52"/>
      <c r="OY52"/>
      <c r="OZ52"/>
      <c r="PA52"/>
      <c r="PB52"/>
      <c r="PC52"/>
      <c r="PD52"/>
      <c r="PE52"/>
      <c r="PF52"/>
      <c r="PG52"/>
      <c r="PH52"/>
      <c r="PI52"/>
      <c r="PJ52"/>
      <c r="PK52"/>
      <c r="PL52"/>
      <c r="PM52"/>
      <c r="PN52"/>
      <c r="PO52"/>
      <c r="PP52"/>
      <c r="PQ52"/>
      <c r="PR52"/>
      <c r="PS52"/>
      <c r="PT52"/>
      <c r="PU52"/>
      <c r="PV52"/>
      <c r="PW52"/>
      <c r="PX52"/>
      <c r="PY52"/>
      <c r="PZ52"/>
      <c r="QA52"/>
      <c r="QB52"/>
      <c r="QC52"/>
      <c r="QD52"/>
      <c r="QE52"/>
      <c r="QF52"/>
      <c r="QG52"/>
      <c r="QH52"/>
      <c r="QI52"/>
      <c r="QJ52"/>
      <c r="QK52"/>
      <c r="QL52"/>
      <c r="QM52"/>
      <c r="QN52"/>
      <c r="QO52"/>
      <c r="QP52"/>
      <c r="QQ52"/>
      <c r="QR52"/>
      <c r="QS52"/>
      <c r="QT52"/>
      <c r="QU52"/>
      <c r="QV52"/>
      <c r="QW52"/>
      <c r="QX52"/>
      <c r="QY52"/>
      <c r="QZ52"/>
      <c r="RA52"/>
      <c r="RB52"/>
      <c r="RC52"/>
      <c r="RD52"/>
      <c r="RE52"/>
      <c r="RF52"/>
      <c r="RG52"/>
      <c r="RH52"/>
      <c r="RI52"/>
      <c r="RJ52"/>
      <c r="RK52"/>
      <c r="RL52"/>
      <c r="RM52"/>
      <c r="RN52"/>
      <c r="RO52"/>
      <c r="RP52"/>
      <c r="RQ52"/>
      <c r="RR52"/>
      <c r="RS52"/>
    </row>
    <row r="53" spans="3:487" x14ac:dyDescent="0.25">
      <c r="C53" s="2" t="s">
        <v>210</v>
      </c>
      <c r="D53" s="34">
        <v>2</v>
      </c>
      <c r="F53" s="2" t="s">
        <v>52</v>
      </c>
      <c r="G53" s="34">
        <v>3</v>
      </c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Q53"/>
      <c r="CR53"/>
      <c r="CS53"/>
      <c r="CT53"/>
      <c r="CU53"/>
      <c r="CV53"/>
      <c r="CW53"/>
      <c r="CX53"/>
      <c r="CY53"/>
      <c r="CZ53"/>
      <c r="DA53"/>
      <c r="DB53"/>
      <c r="DC53"/>
      <c r="DD53"/>
      <c r="DE53"/>
      <c r="DF53"/>
      <c r="DG53"/>
      <c r="DH53"/>
      <c r="DI53"/>
      <c r="DJ53"/>
      <c r="DK53"/>
      <c r="DL53"/>
      <c r="DM53"/>
      <c r="DN53"/>
      <c r="DO53"/>
      <c r="DP53"/>
      <c r="DQ53"/>
      <c r="DR53"/>
      <c r="DS53"/>
      <c r="DT53"/>
      <c r="DU53"/>
      <c r="DV53"/>
      <c r="DW53"/>
      <c r="DX53"/>
      <c r="DY53"/>
      <c r="DZ53"/>
      <c r="EA53"/>
      <c r="EB53"/>
      <c r="EC53"/>
      <c r="ED53"/>
      <c r="EE53"/>
      <c r="EF53"/>
      <c r="EG53"/>
      <c r="EH53"/>
      <c r="EI53"/>
      <c r="EJ53"/>
      <c r="EK53"/>
      <c r="EL53"/>
      <c r="EM53"/>
      <c r="EN53"/>
      <c r="EO53"/>
      <c r="EP53"/>
      <c r="EQ53"/>
      <c r="ER53"/>
      <c r="ES53"/>
      <c r="ET53"/>
      <c r="EU53"/>
      <c r="EV53"/>
      <c r="EW53"/>
      <c r="EX53"/>
      <c r="EY53"/>
      <c r="EZ53"/>
      <c r="FA53"/>
      <c r="FB53"/>
      <c r="FC53"/>
      <c r="FD53"/>
      <c r="FE53"/>
      <c r="FF53"/>
      <c r="FG53"/>
      <c r="FH53"/>
      <c r="FI53"/>
      <c r="FJ53"/>
      <c r="FK53"/>
      <c r="FL53"/>
      <c r="FM53"/>
      <c r="FN53"/>
      <c r="FO53"/>
      <c r="FP53"/>
      <c r="FQ53"/>
      <c r="FR53"/>
      <c r="FS53"/>
      <c r="FT53"/>
      <c r="FU53"/>
      <c r="FV53"/>
      <c r="FW53"/>
      <c r="FX53"/>
      <c r="FY53"/>
      <c r="FZ53"/>
      <c r="GA53"/>
      <c r="GB53"/>
      <c r="GC53"/>
      <c r="GD53"/>
      <c r="GE53"/>
      <c r="GF53"/>
      <c r="GG53"/>
      <c r="GH53"/>
      <c r="GI53"/>
      <c r="GJ53"/>
      <c r="GK53"/>
      <c r="GL53"/>
      <c r="GM53"/>
      <c r="GN53"/>
      <c r="GO53"/>
      <c r="GP53"/>
      <c r="GQ53"/>
      <c r="GR53"/>
      <c r="GS53"/>
      <c r="GT53"/>
      <c r="GU53"/>
      <c r="GV53"/>
      <c r="GW53"/>
      <c r="GX53"/>
      <c r="GY53"/>
      <c r="GZ53"/>
      <c r="HA53"/>
      <c r="HB53"/>
      <c r="HC53"/>
      <c r="HD53"/>
      <c r="HE53"/>
      <c r="HF53"/>
      <c r="HG53"/>
      <c r="HH53"/>
      <c r="HI53"/>
      <c r="HJ53"/>
      <c r="HK53"/>
      <c r="HL53"/>
      <c r="HM53"/>
      <c r="HN53"/>
      <c r="HO53"/>
      <c r="HP53"/>
      <c r="HQ53"/>
      <c r="HR53"/>
      <c r="HS53"/>
      <c r="HT53"/>
      <c r="HU53"/>
      <c r="HV53"/>
      <c r="HW53"/>
      <c r="HX53"/>
      <c r="HY53"/>
      <c r="HZ53"/>
      <c r="IA53"/>
      <c r="IB53"/>
      <c r="IC53"/>
      <c r="ID53"/>
      <c r="IE53"/>
      <c r="IF53"/>
      <c r="IG53"/>
      <c r="IH53"/>
      <c r="II53"/>
      <c r="IJ53"/>
      <c r="IK53"/>
      <c r="IL53"/>
      <c r="IM53"/>
      <c r="IN53"/>
      <c r="IO53"/>
      <c r="IP53"/>
      <c r="IQ53"/>
      <c r="IR53"/>
      <c r="IS53"/>
      <c r="IT53"/>
      <c r="IU53"/>
      <c r="IV53"/>
      <c r="IW53"/>
      <c r="IX53"/>
      <c r="IY53"/>
      <c r="IZ53"/>
      <c r="JA53"/>
      <c r="JB53"/>
      <c r="JC53"/>
      <c r="JD53"/>
      <c r="JE53"/>
      <c r="JF53"/>
      <c r="JG53"/>
      <c r="JH53"/>
      <c r="JI53"/>
      <c r="JJ53"/>
      <c r="JK53"/>
      <c r="JL53"/>
      <c r="JM53"/>
      <c r="JN53"/>
      <c r="JO53"/>
      <c r="JP53"/>
      <c r="JQ53"/>
      <c r="JR53"/>
      <c r="JS53"/>
      <c r="JT53"/>
      <c r="JU53"/>
      <c r="JV53"/>
      <c r="JW53"/>
      <c r="JX53"/>
      <c r="JY53"/>
      <c r="JZ53"/>
      <c r="KA53"/>
      <c r="KB53"/>
      <c r="KC53"/>
      <c r="KD53"/>
      <c r="KE53"/>
      <c r="KF53"/>
      <c r="KG53"/>
      <c r="KH53"/>
      <c r="KI53"/>
      <c r="KJ53"/>
      <c r="KK53"/>
      <c r="KL53"/>
      <c r="KM53"/>
      <c r="KN53"/>
      <c r="KO53"/>
      <c r="KP53"/>
      <c r="KQ53"/>
      <c r="KR53"/>
      <c r="KS53"/>
      <c r="KT53"/>
      <c r="KU53"/>
      <c r="KV53"/>
      <c r="KW53"/>
      <c r="KX53"/>
      <c r="KY53"/>
      <c r="KZ53"/>
      <c r="LA53"/>
      <c r="LB53"/>
      <c r="LC53"/>
      <c r="LD53"/>
      <c r="LE53"/>
      <c r="LF53"/>
      <c r="LG53"/>
      <c r="LH53"/>
      <c r="LI53"/>
      <c r="LJ53"/>
      <c r="LK53"/>
      <c r="LL53"/>
      <c r="LM53"/>
      <c r="LN53"/>
      <c r="LO53"/>
      <c r="LP53"/>
      <c r="LQ53"/>
      <c r="LR53"/>
      <c r="LS53"/>
      <c r="LT53"/>
      <c r="LU53"/>
      <c r="LV53"/>
      <c r="LW53"/>
      <c r="LX53"/>
      <c r="LY53"/>
      <c r="LZ53"/>
      <c r="MA53"/>
      <c r="MB53"/>
      <c r="MC53"/>
      <c r="MD53"/>
      <c r="ME53"/>
      <c r="MF53"/>
      <c r="MG53"/>
      <c r="MH53"/>
      <c r="MI53"/>
      <c r="MJ53"/>
      <c r="MK53"/>
      <c r="ML53"/>
      <c r="MM53"/>
      <c r="MN53"/>
      <c r="MO53"/>
      <c r="MP53"/>
      <c r="MQ53"/>
      <c r="MR53"/>
      <c r="MS53"/>
      <c r="MT53"/>
      <c r="MU53"/>
      <c r="MV53"/>
      <c r="MW53"/>
      <c r="MX53"/>
      <c r="MY53"/>
      <c r="MZ53"/>
      <c r="NA53"/>
      <c r="NB53"/>
      <c r="NC53"/>
      <c r="ND53"/>
      <c r="NE53"/>
      <c r="NF53"/>
      <c r="NG53"/>
      <c r="NH53"/>
      <c r="NI53"/>
      <c r="NJ53"/>
      <c r="NK53"/>
      <c r="NL53"/>
      <c r="NM53"/>
      <c r="NN53"/>
      <c r="NO53"/>
      <c r="NP53"/>
      <c r="NQ53"/>
      <c r="NR53"/>
      <c r="NS53"/>
      <c r="NT53"/>
      <c r="NU53"/>
      <c r="NV53"/>
      <c r="NW53"/>
      <c r="NX53"/>
      <c r="NY53"/>
      <c r="NZ53"/>
      <c r="OA53"/>
      <c r="OB53"/>
      <c r="OC53"/>
      <c r="OD53"/>
      <c r="OE53"/>
      <c r="OF53"/>
      <c r="OG53"/>
      <c r="OH53"/>
      <c r="OI53"/>
      <c r="OJ53"/>
      <c r="OK53"/>
      <c r="OL53"/>
      <c r="OM53"/>
      <c r="ON53"/>
      <c r="OO53"/>
      <c r="OP53"/>
      <c r="OQ53"/>
      <c r="OR53"/>
      <c r="OS53"/>
      <c r="OT53"/>
      <c r="OU53"/>
      <c r="OV53"/>
      <c r="OW53"/>
      <c r="OX53"/>
      <c r="OY53"/>
      <c r="OZ53"/>
      <c r="PA53"/>
      <c r="PB53"/>
      <c r="PC53"/>
      <c r="PD53"/>
      <c r="PE53"/>
      <c r="PF53"/>
      <c r="PG53"/>
      <c r="PH53"/>
      <c r="PI53"/>
      <c r="PJ53"/>
      <c r="PK53"/>
      <c r="PL53"/>
      <c r="PM53"/>
      <c r="PN53"/>
      <c r="PO53"/>
      <c r="PP53"/>
      <c r="PQ53"/>
      <c r="PR53"/>
      <c r="PS53"/>
      <c r="PT53"/>
      <c r="PU53"/>
      <c r="PV53"/>
      <c r="PW53"/>
      <c r="PX53"/>
      <c r="PY53"/>
      <c r="PZ53"/>
      <c r="QA53"/>
      <c r="QB53"/>
      <c r="QC53"/>
      <c r="QD53"/>
      <c r="QE53"/>
      <c r="QF53"/>
      <c r="QG53"/>
      <c r="QH53"/>
      <c r="QI53"/>
      <c r="QJ53"/>
      <c r="QK53"/>
      <c r="QL53"/>
      <c r="QM53"/>
      <c r="QN53"/>
      <c r="QO53"/>
      <c r="QP53"/>
      <c r="QQ53"/>
      <c r="QR53"/>
      <c r="QS53"/>
      <c r="QT53"/>
      <c r="QU53"/>
      <c r="QV53"/>
      <c r="QW53"/>
      <c r="QX53"/>
      <c r="QY53"/>
      <c r="QZ53"/>
      <c r="RA53"/>
      <c r="RB53"/>
      <c r="RC53"/>
      <c r="RD53"/>
      <c r="RE53"/>
      <c r="RF53"/>
      <c r="RG53"/>
      <c r="RH53"/>
      <c r="RI53"/>
      <c r="RJ53"/>
      <c r="RK53"/>
      <c r="RL53"/>
      <c r="RM53"/>
      <c r="RN53"/>
      <c r="RO53"/>
      <c r="RP53"/>
      <c r="RQ53"/>
      <c r="RR53"/>
      <c r="RS53"/>
    </row>
    <row r="54" spans="3:487" x14ac:dyDescent="0.25">
      <c r="C54" s="2" t="s">
        <v>103</v>
      </c>
      <c r="D54" s="34">
        <v>2</v>
      </c>
      <c r="F54" s="2" t="s">
        <v>729</v>
      </c>
      <c r="G54" s="34">
        <v>3</v>
      </c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CQ54"/>
      <c r="CR54"/>
      <c r="CS54"/>
      <c r="CT54"/>
      <c r="CU54"/>
      <c r="CV54"/>
      <c r="CW54"/>
      <c r="CX54"/>
      <c r="CY54"/>
      <c r="CZ54"/>
      <c r="DA54"/>
      <c r="DB54"/>
      <c r="DC54"/>
      <c r="DD54"/>
      <c r="DE54"/>
      <c r="DF54"/>
      <c r="DG54"/>
      <c r="DH54"/>
      <c r="DI54"/>
      <c r="DJ54"/>
      <c r="DK54"/>
      <c r="DL54"/>
      <c r="DM54"/>
      <c r="DN54"/>
      <c r="DO54"/>
      <c r="DP54"/>
      <c r="DQ54"/>
      <c r="DR54"/>
      <c r="DS54"/>
      <c r="DT54"/>
      <c r="DU54"/>
      <c r="DV54"/>
      <c r="DW54"/>
      <c r="DX54"/>
      <c r="DY54"/>
      <c r="DZ54"/>
      <c r="EA54"/>
      <c r="EB54"/>
      <c r="EC54"/>
      <c r="ED54"/>
      <c r="EE54"/>
      <c r="EF54"/>
      <c r="EG54"/>
      <c r="EH54"/>
      <c r="EI54"/>
      <c r="EJ54"/>
      <c r="EK54"/>
      <c r="EL54"/>
      <c r="EM54"/>
      <c r="EN54"/>
      <c r="EO54"/>
      <c r="EP54"/>
      <c r="EQ54"/>
      <c r="ER54"/>
      <c r="ES54"/>
      <c r="ET54"/>
      <c r="EU54"/>
      <c r="EV54"/>
      <c r="EW54"/>
      <c r="EX54"/>
      <c r="EY54"/>
      <c r="EZ54"/>
      <c r="FA54"/>
      <c r="FB54"/>
      <c r="FC54"/>
      <c r="FD54"/>
      <c r="FE54"/>
      <c r="FF54"/>
      <c r="FG54"/>
      <c r="FH54"/>
      <c r="FI54"/>
      <c r="FJ54"/>
      <c r="FK54"/>
      <c r="FL54"/>
      <c r="FM54"/>
      <c r="FN54"/>
      <c r="FO54"/>
      <c r="FP54"/>
      <c r="FQ54"/>
      <c r="FR54"/>
      <c r="FS54"/>
      <c r="FT54"/>
      <c r="FU54"/>
      <c r="FV54"/>
      <c r="FW54"/>
      <c r="FX54"/>
      <c r="FY54"/>
      <c r="FZ54"/>
      <c r="GA54"/>
      <c r="GB54"/>
      <c r="GC54"/>
      <c r="GD54"/>
      <c r="GE54"/>
      <c r="GF54"/>
      <c r="GG54"/>
      <c r="GH54"/>
      <c r="GI54"/>
      <c r="GJ54"/>
      <c r="GK54"/>
      <c r="GL54"/>
      <c r="GM54"/>
      <c r="GN54"/>
      <c r="GO54"/>
      <c r="GP54"/>
      <c r="GQ54"/>
      <c r="GR54"/>
      <c r="GS54"/>
      <c r="GT54"/>
      <c r="GU54"/>
      <c r="GV54"/>
      <c r="GW54"/>
      <c r="GX54"/>
      <c r="GY54"/>
      <c r="GZ54"/>
      <c r="HA54"/>
      <c r="HB54"/>
      <c r="HC54"/>
      <c r="HD54"/>
      <c r="HE54"/>
      <c r="HF54"/>
      <c r="HG54"/>
      <c r="HH54"/>
      <c r="HI54"/>
      <c r="HJ54"/>
      <c r="HK54"/>
      <c r="HL54"/>
      <c r="HM54"/>
      <c r="HN54"/>
      <c r="HO54"/>
      <c r="HP54"/>
      <c r="HQ54"/>
      <c r="HR54"/>
      <c r="HS54"/>
      <c r="HT54"/>
      <c r="HU54"/>
      <c r="HV54"/>
      <c r="HW54"/>
      <c r="HX54"/>
      <c r="HY54"/>
      <c r="HZ54"/>
      <c r="IA54"/>
      <c r="IB54"/>
      <c r="IC54"/>
      <c r="ID54"/>
      <c r="IE54"/>
      <c r="IF54"/>
      <c r="IG54"/>
      <c r="IH54"/>
      <c r="II54"/>
      <c r="IJ54"/>
      <c r="IK54"/>
      <c r="IL54"/>
      <c r="IM54"/>
      <c r="IN54"/>
      <c r="IO54"/>
      <c r="IP54"/>
      <c r="IQ54"/>
      <c r="IR54"/>
      <c r="IS54"/>
      <c r="IT54"/>
      <c r="IU54"/>
      <c r="IV54"/>
      <c r="IW54"/>
      <c r="IX54"/>
      <c r="IY54"/>
      <c r="IZ54"/>
      <c r="JA54"/>
      <c r="JB54"/>
      <c r="JC54"/>
      <c r="JD54"/>
      <c r="JE54"/>
      <c r="JF54"/>
      <c r="JG54"/>
      <c r="JH54"/>
      <c r="JI54"/>
      <c r="JJ54"/>
      <c r="JK54"/>
      <c r="JL54"/>
      <c r="JM54"/>
      <c r="JN54"/>
      <c r="JO54"/>
      <c r="JP54"/>
      <c r="JQ54"/>
      <c r="JR54"/>
      <c r="JS54"/>
      <c r="JT54"/>
      <c r="JU54"/>
      <c r="JV54"/>
      <c r="JW54"/>
      <c r="JX54"/>
      <c r="JY54"/>
      <c r="JZ54"/>
      <c r="KA54"/>
      <c r="KB54"/>
      <c r="KC54"/>
      <c r="KD54"/>
      <c r="KE54"/>
      <c r="KF54"/>
      <c r="KG54"/>
      <c r="KH54"/>
      <c r="KI54"/>
      <c r="KJ54"/>
      <c r="KK54"/>
      <c r="KL54"/>
      <c r="KM54"/>
      <c r="KN54"/>
      <c r="KO54"/>
      <c r="KP54"/>
      <c r="KQ54"/>
      <c r="KR54"/>
      <c r="KS54"/>
      <c r="KT54"/>
      <c r="KU54"/>
      <c r="KV54"/>
      <c r="KW54"/>
      <c r="KX54"/>
      <c r="KY54"/>
      <c r="KZ54"/>
      <c r="LA54"/>
      <c r="LB54"/>
      <c r="LC54"/>
      <c r="LD54"/>
      <c r="LE54"/>
      <c r="LF54"/>
      <c r="LG54"/>
      <c r="LH54"/>
      <c r="LI54"/>
      <c r="LJ54"/>
      <c r="LK54"/>
      <c r="LL54"/>
      <c r="LM54"/>
      <c r="LN54"/>
      <c r="LO54"/>
      <c r="LP54"/>
      <c r="LQ54"/>
      <c r="LR54"/>
      <c r="LS54"/>
      <c r="LT54"/>
      <c r="LU54"/>
      <c r="LV54"/>
      <c r="LW54"/>
      <c r="LX54"/>
      <c r="LY54"/>
      <c r="LZ54"/>
      <c r="MA54"/>
      <c r="MB54"/>
      <c r="MC54"/>
      <c r="MD54"/>
      <c r="ME54"/>
      <c r="MF54"/>
      <c r="MG54"/>
      <c r="MH54"/>
      <c r="MI54"/>
      <c r="MJ54"/>
      <c r="MK54"/>
      <c r="ML54"/>
      <c r="MM54"/>
      <c r="MN54"/>
      <c r="MO54"/>
      <c r="MP54"/>
      <c r="MQ54"/>
      <c r="MR54"/>
      <c r="MS54"/>
      <c r="MT54"/>
      <c r="MU54"/>
      <c r="MV54"/>
      <c r="MW54"/>
      <c r="MX54"/>
      <c r="MY54"/>
      <c r="MZ54"/>
      <c r="NA54"/>
      <c r="NB54"/>
      <c r="NC54"/>
      <c r="ND54"/>
      <c r="NE54"/>
      <c r="NF54"/>
      <c r="NG54"/>
      <c r="NH54"/>
      <c r="NI54"/>
      <c r="NJ54"/>
      <c r="NK54"/>
      <c r="NL54"/>
      <c r="NM54"/>
      <c r="NN54"/>
      <c r="NO54"/>
      <c r="NP54"/>
      <c r="NQ54"/>
      <c r="NR54"/>
      <c r="NS54"/>
      <c r="NT54"/>
      <c r="NU54"/>
      <c r="NV54"/>
      <c r="NW54"/>
      <c r="NX54"/>
      <c r="NY54"/>
      <c r="NZ54"/>
      <c r="OA54"/>
      <c r="OB54"/>
      <c r="OC54"/>
      <c r="OD54"/>
      <c r="OE54"/>
      <c r="OF54"/>
      <c r="OG54"/>
      <c r="OH54"/>
      <c r="OI54"/>
      <c r="OJ54"/>
      <c r="OK54"/>
      <c r="OL54"/>
      <c r="OM54"/>
      <c r="ON54"/>
      <c r="OO54"/>
      <c r="OP54"/>
      <c r="OQ54"/>
      <c r="OR54"/>
      <c r="OS54"/>
      <c r="OT54"/>
      <c r="OU54"/>
      <c r="OV54"/>
      <c r="OW54"/>
      <c r="OX54"/>
      <c r="OY54"/>
      <c r="OZ54"/>
      <c r="PA54"/>
      <c r="PB54"/>
      <c r="PC54"/>
      <c r="PD54"/>
      <c r="PE54"/>
      <c r="PF54"/>
      <c r="PG54"/>
      <c r="PH54"/>
      <c r="PI54"/>
      <c r="PJ54"/>
      <c r="PK54"/>
      <c r="PL54"/>
      <c r="PM54"/>
      <c r="PN54"/>
      <c r="PO54"/>
      <c r="PP54"/>
      <c r="PQ54"/>
      <c r="PR54"/>
      <c r="PS54"/>
      <c r="PT54"/>
      <c r="PU54"/>
      <c r="PV54"/>
      <c r="PW54"/>
      <c r="PX54"/>
      <c r="PY54"/>
      <c r="PZ54"/>
      <c r="QA54"/>
      <c r="QB54"/>
      <c r="QC54"/>
      <c r="QD54"/>
      <c r="QE54"/>
      <c r="QF54"/>
      <c r="QG54"/>
      <c r="QH54"/>
      <c r="QI54"/>
      <c r="QJ54"/>
      <c r="QK54"/>
      <c r="QL54"/>
      <c r="QM54"/>
      <c r="QN54"/>
      <c r="QO54"/>
      <c r="QP54"/>
      <c r="QQ54"/>
      <c r="QR54"/>
      <c r="QS54"/>
      <c r="QT54"/>
      <c r="QU54"/>
      <c r="QV54"/>
      <c r="QW54"/>
      <c r="QX54"/>
      <c r="QY54"/>
      <c r="QZ54"/>
      <c r="RA54"/>
      <c r="RB54"/>
      <c r="RC54"/>
      <c r="RD54"/>
      <c r="RE54"/>
      <c r="RF54"/>
      <c r="RG54"/>
      <c r="RH54"/>
      <c r="RI54"/>
      <c r="RJ54"/>
      <c r="RK54"/>
      <c r="RL54"/>
      <c r="RM54"/>
      <c r="RN54"/>
      <c r="RO54"/>
      <c r="RP54"/>
      <c r="RQ54"/>
      <c r="RR54"/>
      <c r="RS54"/>
    </row>
    <row r="55" spans="3:487" x14ac:dyDescent="0.25">
      <c r="C55" s="2" t="s">
        <v>88</v>
      </c>
      <c r="D55" s="34">
        <v>2</v>
      </c>
      <c r="F55" s="2" t="s">
        <v>46</v>
      </c>
      <c r="G55" s="34">
        <v>3</v>
      </c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CQ55"/>
      <c r="CR55"/>
      <c r="CS55"/>
      <c r="CT55"/>
      <c r="CU55"/>
      <c r="CV55"/>
      <c r="CW55"/>
      <c r="CX55"/>
      <c r="CY55"/>
      <c r="CZ55"/>
      <c r="DA55"/>
      <c r="DB55"/>
      <c r="DC55"/>
      <c r="DD55"/>
      <c r="DE55"/>
      <c r="DF55"/>
      <c r="DG55"/>
      <c r="DH55"/>
      <c r="DI55"/>
      <c r="DJ55"/>
      <c r="DK55"/>
      <c r="DL55"/>
      <c r="DM55"/>
      <c r="DN55"/>
      <c r="DO55"/>
      <c r="DP55"/>
      <c r="DQ55"/>
      <c r="DR55"/>
      <c r="DS55"/>
      <c r="DT55"/>
      <c r="DU55"/>
      <c r="DV55"/>
      <c r="DW55"/>
      <c r="DX55"/>
      <c r="DY55"/>
      <c r="DZ55"/>
      <c r="EA55"/>
      <c r="EB55"/>
      <c r="EC55"/>
      <c r="ED55"/>
      <c r="EE55"/>
      <c r="EF55"/>
      <c r="EG55"/>
      <c r="EH55"/>
      <c r="EI55"/>
      <c r="EJ55"/>
      <c r="EK55"/>
      <c r="EL55"/>
      <c r="EM55"/>
      <c r="EN55"/>
      <c r="EO55"/>
      <c r="EP55"/>
      <c r="EQ55"/>
      <c r="ER55"/>
      <c r="ES55"/>
      <c r="ET55"/>
      <c r="EU55"/>
      <c r="EV55"/>
      <c r="EW55"/>
      <c r="EX55"/>
      <c r="EY55"/>
      <c r="EZ55"/>
      <c r="FA55"/>
      <c r="FB55"/>
      <c r="FC55"/>
      <c r="FD55"/>
      <c r="FE55"/>
      <c r="FF55"/>
      <c r="FG55"/>
      <c r="FH55"/>
      <c r="FI55"/>
      <c r="FJ55"/>
      <c r="FK55"/>
      <c r="FL55"/>
      <c r="FM55"/>
      <c r="FN55"/>
      <c r="FO55"/>
      <c r="FP55"/>
      <c r="FQ55"/>
      <c r="FR55"/>
      <c r="FS55"/>
      <c r="FT55"/>
      <c r="FU55"/>
      <c r="FV55"/>
      <c r="FW55"/>
      <c r="FX55"/>
      <c r="FY55"/>
      <c r="FZ55"/>
      <c r="GA55"/>
      <c r="GB55"/>
      <c r="GC55"/>
      <c r="GD55"/>
      <c r="GE55"/>
      <c r="GF55"/>
      <c r="GG55"/>
      <c r="GH55"/>
      <c r="GI55"/>
      <c r="GJ55"/>
      <c r="GK55"/>
      <c r="GL55"/>
      <c r="GM55"/>
      <c r="GN55"/>
      <c r="GO55"/>
      <c r="GP55"/>
      <c r="GQ55"/>
      <c r="GR55"/>
      <c r="GS55"/>
      <c r="GT55"/>
      <c r="GU55"/>
      <c r="GV55"/>
      <c r="GW55"/>
      <c r="GX55"/>
      <c r="GY55"/>
      <c r="GZ55"/>
      <c r="HA55"/>
      <c r="HB55"/>
      <c r="HC55"/>
      <c r="HD55"/>
      <c r="HE55"/>
      <c r="HF55"/>
      <c r="HG55"/>
      <c r="HH55"/>
      <c r="HI55"/>
      <c r="HJ55"/>
      <c r="HK55"/>
      <c r="HL55"/>
      <c r="HM55"/>
      <c r="HN55"/>
      <c r="HO55"/>
      <c r="HP55"/>
      <c r="HQ55"/>
      <c r="HR55"/>
      <c r="HS55"/>
      <c r="HT55"/>
      <c r="HU55"/>
      <c r="HV55"/>
      <c r="HW55"/>
      <c r="HX55"/>
      <c r="HY55"/>
      <c r="HZ55"/>
      <c r="IA55"/>
      <c r="IB55"/>
      <c r="IC55"/>
      <c r="ID55"/>
      <c r="IE55"/>
      <c r="IF55"/>
      <c r="IG55"/>
      <c r="IH55"/>
      <c r="II55"/>
      <c r="IJ55"/>
      <c r="IK55"/>
      <c r="IL55"/>
      <c r="IM55"/>
      <c r="IN55"/>
      <c r="IO55"/>
      <c r="IP55"/>
      <c r="IQ55"/>
      <c r="IR55"/>
      <c r="IS55"/>
      <c r="IT55"/>
      <c r="IU55"/>
      <c r="IV55"/>
      <c r="IW55"/>
      <c r="IX55"/>
      <c r="IY55"/>
      <c r="IZ55"/>
      <c r="JA55"/>
      <c r="JB55"/>
      <c r="JC55"/>
      <c r="JD55"/>
      <c r="JE55"/>
      <c r="JF55"/>
      <c r="JG55"/>
      <c r="JH55"/>
      <c r="JI55"/>
      <c r="JJ55"/>
      <c r="JK55"/>
      <c r="JL55"/>
      <c r="JM55"/>
      <c r="JN55"/>
      <c r="JO55"/>
      <c r="JP55"/>
      <c r="JQ55"/>
      <c r="JR55"/>
      <c r="JS55"/>
      <c r="JT55"/>
      <c r="JU55"/>
      <c r="JV55"/>
      <c r="JW55"/>
      <c r="JX55"/>
      <c r="JY55"/>
      <c r="JZ55"/>
      <c r="KA55"/>
      <c r="KB55"/>
      <c r="KC55"/>
      <c r="KD55"/>
      <c r="KE55"/>
      <c r="KF55"/>
      <c r="KG55"/>
      <c r="KH55"/>
      <c r="KI55"/>
      <c r="KJ55"/>
      <c r="KK55"/>
      <c r="KL55"/>
      <c r="KM55"/>
      <c r="KN55"/>
      <c r="KO55"/>
      <c r="KP55"/>
      <c r="KQ55"/>
      <c r="KR55"/>
      <c r="KS55"/>
      <c r="KT55"/>
      <c r="KU55"/>
      <c r="KV55"/>
      <c r="KW55"/>
      <c r="KX55"/>
      <c r="KY55"/>
      <c r="KZ55"/>
      <c r="LA55"/>
      <c r="LB55"/>
      <c r="LC55"/>
      <c r="LD55"/>
      <c r="LE55"/>
      <c r="LF55"/>
      <c r="LG55"/>
      <c r="LH55"/>
      <c r="LI55"/>
      <c r="LJ55"/>
      <c r="LK55"/>
      <c r="LL55"/>
      <c r="LM55"/>
      <c r="LN55"/>
      <c r="LO55"/>
      <c r="LP55"/>
      <c r="LQ55"/>
      <c r="LR55"/>
      <c r="LS55"/>
      <c r="LT55"/>
      <c r="LU55"/>
      <c r="LV55"/>
      <c r="LW55"/>
      <c r="LX55"/>
      <c r="LY55"/>
      <c r="LZ55"/>
      <c r="MA55"/>
      <c r="MB55"/>
      <c r="MC55"/>
      <c r="MD55"/>
      <c r="ME55"/>
      <c r="MF55"/>
      <c r="MG55"/>
      <c r="MH55"/>
      <c r="MI55"/>
      <c r="MJ55"/>
      <c r="MK55"/>
      <c r="ML55"/>
      <c r="MM55"/>
      <c r="MN55"/>
      <c r="MO55"/>
      <c r="MP55"/>
      <c r="MQ55"/>
      <c r="MR55"/>
      <c r="MS55"/>
      <c r="MT55"/>
      <c r="MU55"/>
      <c r="MV55"/>
      <c r="MW55"/>
      <c r="MX55"/>
      <c r="MY55"/>
      <c r="MZ55"/>
      <c r="NA55"/>
      <c r="NB55"/>
      <c r="NC55"/>
      <c r="ND55"/>
      <c r="NE55"/>
      <c r="NF55"/>
      <c r="NG55"/>
      <c r="NH55"/>
      <c r="NI55"/>
      <c r="NJ55"/>
      <c r="NK55"/>
      <c r="NL55"/>
      <c r="NM55"/>
      <c r="NN55"/>
      <c r="NO55"/>
      <c r="NP55"/>
      <c r="NQ55"/>
      <c r="NR55"/>
      <c r="NS55"/>
      <c r="NT55"/>
      <c r="NU55"/>
      <c r="NV55"/>
      <c r="NW55"/>
      <c r="NX55"/>
      <c r="NY55"/>
      <c r="NZ55"/>
      <c r="OA55"/>
      <c r="OB55"/>
      <c r="OC55"/>
      <c r="OD55"/>
      <c r="OE55"/>
      <c r="OF55"/>
      <c r="OG55"/>
      <c r="OH55"/>
      <c r="OI55"/>
      <c r="OJ55"/>
      <c r="OK55"/>
      <c r="OL55"/>
      <c r="OM55"/>
      <c r="ON55"/>
      <c r="OO55"/>
      <c r="OP55"/>
      <c r="OQ55"/>
      <c r="OR55"/>
      <c r="OS55"/>
      <c r="OT55"/>
      <c r="OU55"/>
      <c r="OV55"/>
      <c r="OW55"/>
      <c r="OX55"/>
      <c r="OY55"/>
      <c r="OZ55"/>
      <c r="PA55"/>
      <c r="PB55"/>
      <c r="PC55"/>
      <c r="PD55"/>
      <c r="PE55"/>
      <c r="PF55"/>
      <c r="PG55"/>
      <c r="PH55"/>
      <c r="PI55"/>
      <c r="PJ55"/>
      <c r="PK55"/>
      <c r="PL55"/>
      <c r="PM55"/>
      <c r="PN55"/>
      <c r="PO55"/>
      <c r="PP55"/>
      <c r="PQ55"/>
      <c r="PR55"/>
      <c r="PS55"/>
      <c r="PT55"/>
      <c r="PU55"/>
      <c r="PV55"/>
      <c r="PW55"/>
      <c r="PX55"/>
      <c r="PY55"/>
      <c r="PZ55"/>
      <c r="QA55"/>
      <c r="QB55"/>
      <c r="QC55"/>
      <c r="QD55"/>
      <c r="QE55"/>
      <c r="QF55"/>
      <c r="QG55"/>
      <c r="QH55"/>
      <c r="QI55"/>
      <c r="QJ55"/>
      <c r="QK55"/>
      <c r="QL55"/>
      <c r="QM55"/>
      <c r="QN55"/>
      <c r="QO55"/>
      <c r="QP55"/>
      <c r="QQ55"/>
      <c r="QR55"/>
      <c r="QS55"/>
      <c r="QT55"/>
      <c r="QU55"/>
      <c r="QV55"/>
      <c r="QW55"/>
      <c r="QX55"/>
      <c r="QY55"/>
      <c r="QZ55"/>
      <c r="RA55"/>
      <c r="RB55"/>
      <c r="RC55"/>
      <c r="RD55"/>
      <c r="RE55"/>
      <c r="RF55"/>
      <c r="RG55"/>
      <c r="RH55"/>
      <c r="RI55"/>
      <c r="RJ55"/>
      <c r="RK55"/>
      <c r="RL55"/>
      <c r="RM55"/>
      <c r="RN55"/>
      <c r="RO55"/>
      <c r="RP55"/>
      <c r="RQ55"/>
      <c r="RR55"/>
      <c r="RS55"/>
    </row>
    <row r="56" spans="3:487" x14ac:dyDescent="0.25">
      <c r="C56" s="2" t="s">
        <v>107</v>
      </c>
      <c r="D56" s="34">
        <v>2</v>
      </c>
      <c r="F56" s="2" t="s">
        <v>49</v>
      </c>
      <c r="G56" s="34">
        <v>3</v>
      </c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CQ56"/>
      <c r="CR56"/>
      <c r="CS56"/>
      <c r="CT56"/>
      <c r="CU56"/>
      <c r="CV56"/>
      <c r="CW56"/>
      <c r="CX56"/>
      <c r="CY56"/>
      <c r="CZ56"/>
      <c r="DA56"/>
      <c r="DB56"/>
      <c r="DC56"/>
      <c r="DD56"/>
      <c r="DE56"/>
      <c r="DF56"/>
      <c r="DG56"/>
      <c r="DH56"/>
      <c r="DI56"/>
      <c r="DJ56"/>
      <c r="DK56"/>
      <c r="DL56"/>
      <c r="DM56"/>
      <c r="DN56"/>
      <c r="DO56"/>
      <c r="DP56"/>
      <c r="DQ56"/>
      <c r="DR56"/>
      <c r="DS56"/>
      <c r="DT56"/>
      <c r="DU56"/>
      <c r="DV56"/>
      <c r="DW56"/>
      <c r="DX56"/>
      <c r="DY56"/>
      <c r="DZ56"/>
      <c r="EA56"/>
      <c r="EB56"/>
      <c r="EC56"/>
      <c r="ED56"/>
      <c r="EE56"/>
      <c r="EF56"/>
      <c r="EG56"/>
      <c r="EH56"/>
      <c r="EI56"/>
      <c r="EJ56"/>
      <c r="EK56"/>
      <c r="EL56"/>
      <c r="EM56"/>
      <c r="EN56"/>
      <c r="EO56"/>
      <c r="EP56"/>
      <c r="EQ56"/>
      <c r="ER56"/>
      <c r="ES56"/>
      <c r="ET56"/>
      <c r="EU56"/>
      <c r="EV56"/>
      <c r="EW56"/>
      <c r="EX56"/>
      <c r="EY56"/>
      <c r="EZ56"/>
      <c r="FA56"/>
      <c r="FB56"/>
      <c r="FC56"/>
      <c r="FD56"/>
      <c r="FE56"/>
      <c r="FF56"/>
      <c r="FG56"/>
      <c r="FH56"/>
      <c r="FI56"/>
      <c r="FJ56"/>
      <c r="FK56"/>
      <c r="FL56"/>
      <c r="FM56"/>
      <c r="FN56"/>
      <c r="FO56"/>
      <c r="FP56"/>
      <c r="FQ56"/>
      <c r="FR56"/>
      <c r="FS56"/>
      <c r="FT56"/>
      <c r="FU56"/>
      <c r="FV56"/>
      <c r="FW56"/>
      <c r="FX56"/>
      <c r="FY56"/>
      <c r="FZ56"/>
      <c r="GA56"/>
      <c r="GB56"/>
      <c r="GC56"/>
      <c r="GD56"/>
      <c r="GE56"/>
      <c r="GF56"/>
      <c r="GG56"/>
      <c r="GH56"/>
      <c r="GI56"/>
      <c r="GJ56"/>
      <c r="GK56"/>
      <c r="GL56"/>
      <c r="GM56"/>
      <c r="GN56"/>
      <c r="GO56"/>
      <c r="GP56"/>
      <c r="GQ56"/>
      <c r="GR56"/>
      <c r="GS56"/>
      <c r="GT56"/>
      <c r="GU56"/>
      <c r="GV56"/>
      <c r="GW56"/>
      <c r="GX56"/>
      <c r="GY56"/>
      <c r="GZ56"/>
      <c r="HA56"/>
      <c r="HB56"/>
      <c r="HC56"/>
      <c r="HD56"/>
      <c r="HE56"/>
      <c r="HF56"/>
      <c r="HG56"/>
      <c r="HH56"/>
      <c r="HI56"/>
      <c r="HJ56"/>
      <c r="HK56"/>
      <c r="HL56"/>
      <c r="HM56"/>
      <c r="HN56"/>
      <c r="HO56"/>
      <c r="HP56"/>
      <c r="HQ56"/>
      <c r="HR56"/>
      <c r="HS56"/>
      <c r="HT56"/>
      <c r="HU56"/>
      <c r="HV56"/>
      <c r="HW56"/>
      <c r="HX56"/>
      <c r="HY56"/>
      <c r="HZ56"/>
      <c r="IA56"/>
      <c r="IB56"/>
      <c r="IC56"/>
      <c r="ID56"/>
      <c r="IE56"/>
      <c r="IF56"/>
      <c r="IG56"/>
      <c r="IH56"/>
      <c r="II56"/>
      <c r="IJ56"/>
      <c r="IK56"/>
      <c r="IL56"/>
      <c r="IM56"/>
      <c r="IN56"/>
      <c r="IO56"/>
      <c r="IP56"/>
      <c r="IQ56"/>
      <c r="IR56"/>
      <c r="IS56"/>
      <c r="IT56"/>
      <c r="IU56"/>
      <c r="IV56"/>
      <c r="IW56"/>
      <c r="IX56"/>
      <c r="IY56"/>
      <c r="IZ56"/>
      <c r="JA56"/>
      <c r="JB56"/>
      <c r="JC56"/>
      <c r="JD56"/>
      <c r="JE56"/>
      <c r="JF56"/>
      <c r="JG56"/>
      <c r="JH56"/>
      <c r="JI56"/>
      <c r="JJ56"/>
      <c r="JK56"/>
      <c r="JL56"/>
      <c r="JM56"/>
      <c r="JN56"/>
      <c r="JO56"/>
      <c r="JP56"/>
      <c r="JQ56"/>
      <c r="JR56"/>
      <c r="JS56"/>
      <c r="JT56"/>
      <c r="JU56"/>
      <c r="JV56"/>
      <c r="JW56"/>
      <c r="JX56"/>
      <c r="JY56"/>
      <c r="JZ56"/>
      <c r="KA56"/>
      <c r="KB56"/>
      <c r="KC56"/>
      <c r="KD56"/>
      <c r="KE56"/>
      <c r="KF56"/>
      <c r="KG56"/>
      <c r="KH56"/>
      <c r="KI56"/>
      <c r="KJ56"/>
      <c r="KK56"/>
      <c r="KL56"/>
      <c r="KM56"/>
      <c r="KN56"/>
      <c r="KO56"/>
      <c r="KP56"/>
      <c r="KQ56"/>
      <c r="KR56"/>
      <c r="KS56"/>
      <c r="KT56"/>
      <c r="KU56"/>
      <c r="KV56"/>
      <c r="KW56"/>
      <c r="KX56"/>
      <c r="KY56"/>
      <c r="KZ56"/>
      <c r="LA56"/>
      <c r="LB56"/>
      <c r="LC56"/>
      <c r="LD56"/>
      <c r="LE56"/>
      <c r="LF56"/>
      <c r="LG56"/>
      <c r="LH56"/>
      <c r="LI56"/>
      <c r="LJ56"/>
      <c r="LK56"/>
      <c r="LL56"/>
      <c r="LM56"/>
      <c r="LN56"/>
      <c r="LO56"/>
      <c r="LP56"/>
      <c r="LQ56"/>
      <c r="LR56"/>
      <c r="LS56"/>
      <c r="LT56"/>
      <c r="LU56"/>
      <c r="LV56"/>
      <c r="LW56"/>
      <c r="LX56"/>
      <c r="LY56"/>
      <c r="LZ56"/>
      <c r="MA56"/>
      <c r="MB56"/>
      <c r="MC56"/>
      <c r="MD56"/>
      <c r="ME56"/>
      <c r="MF56"/>
      <c r="MG56"/>
      <c r="MH56"/>
      <c r="MI56"/>
      <c r="MJ56"/>
      <c r="MK56"/>
      <c r="ML56"/>
      <c r="MM56"/>
      <c r="MN56"/>
      <c r="MO56"/>
      <c r="MP56"/>
      <c r="MQ56"/>
      <c r="MR56"/>
      <c r="MS56"/>
      <c r="MT56"/>
      <c r="MU56"/>
      <c r="MV56"/>
      <c r="MW56"/>
      <c r="MX56"/>
      <c r="MY56"/>
      <c r="MZ56"/>
      <c r="NA56"/>
      <c r="NB56"/>
      <c r="NC56"/>
      <c r="ND56"/>
      <c r="NE56"/>
      <c r="NF56"/>
      <c r="NG56"/>
      <c r="NH56"/>
      <c r="NI56"/>
      <c r="NJ56"/>
      <c r="NK56"/>
      <c r="NL56"/>
      <c r="NM56"/>
      <c r="NN56"/>
      <c r="NO56"/>
      <c r="NP56"/>
      <c r="NQ56"/>
      <c r="NR56"/>
      <c r="NS56"/>
      <c r="NT56"/>
      <c r="NU56"/>
      <c r="NV56"/>
      <c r="NW56"/>
      <c r="NX56"/>
      <c r="NY56"/>
      <c r="NZ56"/>
      <c r="OA56"/>
      <c r="OB56"/>
      <c r="OC56"/>
      <c r="OD56"/>
      <c r="OE56"/>
      <c r="OF56"/>
      <c r="OG56"/>
      <c r="OH56"/>
      <c r="OI56"/>
      <c r="OJ56"/>
      <c r="OK56"/>
      <c r="OL56"/>
      <c r="OM56"/>
      <c r="ON56"/>
      <c r="OO56"/>
      <c r="OP56"/>
      <c r="OQ56"/>
      <c r="OR56"/>
      <c r="OS56"/>
      <c r="OT56"/>
      <c r="OU56"/>
      <c r="OV56"/>
      <c r="OW56"/>
      <c r="OX56"/>
      <c r="OY56"/>
      <c r="OZ56"/>
      <c r="PA56"/>
      <c r="PB56"/>
      <c r="PC56"/>
      <c r="PD56"/>
      <c r="PE56"/>
      <c r="PF56"/>
      <c r="PG56"/>
      <c r="PH56"/>
      <c r="PI56"/>
      <c r="PJ56"/>
      <c r="PK56"/>
      <c r="PL56"/>
      <c r="PM56"/>
      <c r="PN56"/>
      <c r="PO56"/>
      <c r="PP56"/>
      <c r="PQ56"/>
      <c r="PR56"/>
      <c r="PS56"/>
      <c r="PT56"/>
      <c r="PU56"/>
      <c r="PV56"/>
      <c r="PW56"/>
      <c r="PX56"/>
      <c r="PY56"/>
      <c r="PZ56"/>
      <c r="QA56"/>
      <c r="QB56"/>
      <c r="QC56"/>
      <c r="QD56"/>
      <c r="QE56"/>
      <c r="QF56"/>
      <c r="QG56"/>
      <c r="QH56"/>
      <c r="QI56"/>
      <c r="QJ56"/>
      <c r="QK56"/>
      <c r="QL56"/>
      <c r="QM56"/>
      <c r="QN56"/>
      <c r="QO56"/>
      <c r="QP56"/>
      <c r="QQ56"/>
      <c r="QR56"/>
      <c r="QS56"/>
      <c r="QT56"/>
      <c r="QU56"/>
      <c r="QV56"/>
      <c r="QW56"/>
      <c r="QX56"/>
      <c r="QY56"/>
      <c r="QZ56"/>
      <c r="RA56"/>
      <c r="RB56"/>
      <c r="RC56"/>
      <c r="RD56"/>
      <c r="RE56"/>
      <c r="RF56"/>
      <c r="RG56"/>
      <c r="RH56"/>
      <c r="RI56"/>
      <c r="RJ56"/>
      <c r="RK56"/>
      <c r="RL56"/>
      <c r="RM56"/>
      <c r="RN56"/>
      <c r="RO56"/>
      <c r="RP56"/>
      <c r="RQ56"/>
      <c r="RR56"/>
      <c r="RS56"/>
    </row>
    <row r="57" spans="3:487" x14ac:dyDescent="0.25">
      <c r="C57" s="2" t="s">
        <v>93</v>
      </c>
      <c r="D57" s="34">
        <v>2</v>
      </c>
      <c r="F57" s="2" t="s">
        <v>71</v>
      </c>
      <c r="G57" s="34">
        <v>3</v>
      </c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  <c r="CQ57"/>
      <c r="CR57"/>
      <c r="CS57"/>
      <c r="CT57"/>
      <c r="CU57"/>
      <c r="CV57"/>
      <c r="CW57"/>
      <c r="CX57"/>
      <c r="CY57"/>
      <c r="CZ57"/>
      <c r="DA57"/>
      <c r="DB57"/>
      <c r="DC57"/>
      <c r="DD57"/>
      <c r="DE57"/>
      <c r="DF57"/>
      <c r="DG57"/>
      <c r="DH57"/>
      <c r="DI57"/>
      <c r="DJ57"/>
      <c r="DK57"/>
      <c r="DL57"/>
      <c r="DM57"/>
      <c r="DN57"/>
      <c r="DO57"/>
      <c r="DP57"/>
      <c r="DQ57"/>
      <c r="DR57"/>
      <c r="DS57"/>
      <c r="DT57"/>
      <c r="DU57"/>
      <c r="DV57"/>
      <c r="DW57"/>
      <c r="DX57"/>
      <c r="DY57"/>
      <c r="DZ57"/>
      <c r="EA57"/>
      <c r="EB57"/>
      <c r="EC57"/>
      <c r="ED57"/>
      <c r="EE57"/>
      <c r="EF57"/>
      <c r="EG57"/>
      <c r="EH57"/>
      <c r="EI57"/>
      <c r="EJ57"/>
      <c r="EK57"/>
      <c r="EL57"/>
      <c r="EM57"/>
      <c r="EN57"/>
      <c r="EO57"/>
      <c r="EP57"/>
      <c r="EQ57"/>
      <c r="ER57"/>
      <c r="ES57"/>
      <c r="ET57"/>
      <c r="EU57"/>
      <c r="EV57"/>
      <c r="EW57"/>
      <c r="EX57"/>
      <c r="EY57"/>
      <c r="EZ57"/>
      <c r="FA57"/>
      <c r="FB57"/>
      <c r="FC57"/>
      <c r="FD57"/>
      <c r="FE57"/>
      <c r="FF57"/>
      <c r="FG57"/>
      <c r="FH57"/>
      <c r="FI57"/>
      <c r="FJ57"/>
      <c r="FK57"/>
      <c r="FL57"/>
      <c r="FM57"/>
      <c r="FN57"/>
      <c r="FO57"/>
      <c r="FP57"/>
      <c r="FQ57"/>
      <c r="FR57"/>
      <c r="FS57"/>
      <c r="FT57"/>
      <c r="FU57"/>
      <c r="FV57"/>
      <c r="FW57"/>
      <c r="FX57"/>
      <c r="FY57"/>
      <c r="FZ57"/>
      <c r="GA57"/>
      <c r="GB57"/>
      <c r="GC57"/>
      <c r="GD57"/>
      <c r="GE57"/>
      <c r="GF57"/>
      <c r="GG57"/>
      <c r="GH57"/>
      <c r="GI57"/>
      <c r="GJ57"/>
      <c r="GK57"/>
      <c r="GL57"/>
      <c r="GM57"/>
      <c r="GN57"/>
      <c r="GO57"/>
      <c r="GP57"/>
      <c r="GQ57"/>
      <c r="GR57"/>
      <c r="GS57"/>
      <c r="GT57"/>
      <c r="GU57"/>
      <c r="GV57"/>
      <c r="GW57"/>
      <c r="GX57"/>
      <c r="GY57"/>
      <c r="GZ57"/>
      <c r="HA57"/>
      <c r="HB57"/>
      <c r="HC57"/>
      <c r="HD57"/>
      <c r="HE57"/>
      <c r="HF57"/>
      <c r="HG57"/>
      <c r="HH57"/>
      <c r="HI57"/>
      <c r="HJ57"/>
      <c r="HK57"/>
      <c r="HL57"/>
      <c r="HM57"/>
      <c r="HN57"/>
      <c r="HO57"/>
      <c r="HP57"/>
      <c r="HQ57"/>
      <c r="HR57"/>
      <c r="HS57"/>
      <c r="HT57"/>
      <c r="HU57"/>
      <c r="HV57"/>
      <c r="HW57"/>
      <c r="HX57"/>
      <c r="HY57"/>
      <c r="HZ57"/>
      <c r="IA57"/>
      <c r="IB57"/>
      <c r="IC57"/>
      <c r="ID57"/>
      <c r="IE57"/>
      <c r="IF57"/>
      <c r="IG57"/>
      <c r="IH57"/>
      <c r="II57"/>
      <c r="IJ57"/>
      <c r="IK57"/>
      <c r="IL57"/>
      <c r="IM57"/>
      <c r="IN57"/>
      <c r="IO57"/>
      <c r="IP57"/>
      <c r="IQ57"/>
      <c r="IR57"/>
      <c r="IS57"/>
      <c r="IT57"/>
      <c r="IU57"/>
      <c r="IV57"/>
      <c r="IW57"/>
      <c r="IX57"/>
      <c r="IY57"/>
      <c r="IZ57"/>
      <c r="JA57"/>
      <c r="JB57"/>
      <c r="JC57"/>
      <c r="JD57"/>
      <c r="JE57"/>
      <c r="JF57"/>
      <c r="JG57"/>
      <c r="JH57"/>
      <c r="JI57"/>
      <c r="JJ57"/>
      <c r="JK57"/>
      <c r="JL57"/>
      <c r="JM57"/>
      <c r="JN57"/>
      <c r="JO57"/>
      <c r="JP57"/>
      <c r="JQ57"/>
      <c r="JR57"/>
      <c r="JS57"/>
      <c r="JT57"/>
      <c r="JU57"/>
      <c r="JV57"/>
      <c r="JW57"/>
      <c r="JX57"/>
      <c r="JY57"/>
      <c r="JZ57"/>
      <c r="KA57"/>
      <c r="KB57"/>
      <c r="KC57"/>
      <c r="KD57"/>
      <c r="KE57"/>
      <c r="KF57"/>
      <c r="KG57"/>
      <c r="KH57"/>
      <c r="KI57"/>
      <c r="KJ57"/>
      <c r="KK57"/>
      <c r="KL57"/>
      <c r="KM57"/>
      <c r="KN57"/>
      <c r="KO57"/>
      <c r="KP57"/>
      <c r="KQ57"/>
      <c r="KR57"/>
      <c r="KS57"/>
      <c r="KT57"/>
      <c r="KU57"/>
      <c r="KV57"/>
      <c r="KW57"/>
      <c r="KX57"/>
      <c r="KY57"/>
      <c r="KZ57"/>
      <c r="LA57"/>
      <c r="LB57"/>
      <c r="LC57"/>
      <c r="LD57"/>
      <c r="LE57"/>
      <c r="LF57"/>
      <c r="LG57"/>
      <c r="LH57"/>
      <c r="LI57"/>
      <c r="LJ57"/>
      <c r="LK57"/>
      <c r="LL57"/>
      <c r="LM57"/>
      <c r="LN57"/>
      <c r="LO57"/>
      <c r="LP57"/>
      <c r="LQ57"/>
      <c r="LR57"/>
      <c r="LS57"/>
      <c r="LT57"/>
      <c r="LU57"/>
      <c r="LV57"/>
      <c r="LW57"/>
      <c r="LX57"/>
      <c r="LY57"/>
      <c r="LZ57"/>
      <c r="MA57"/>
      <c r="MB57"/>
      <c r="MC57"/>
      <c r="MD57"/>
      <c r="ME57"/>
      <c r="MF57"/>
      <c r="MG57"/>
      <c r="MH57"/>
      <c r="MI57"/>
      <c r="MJ57"/>
      <c r="MK57"/>
      <c r="ML57"/>
      <c r="MM57"/>
      <c r="MN57"/>
      <c r="MO57"/>
      <c r="MP57"/>
      <c r="MQ57"/>
      <c r="MR57"/>
      <c r="MS57"/>
      <c r="MT57"/>
      <c r="MU57"/>
      <c r="MV57"/>
      <c r="MW57"/>
      <c r="MX57"/>
      <c r="MY57"/>
      <c r="MZ57"/>
      <c r="NA57"/>
      <c r="NB57"/>
      <c r="NC57"/>
      <c r="ND57"/>
      <c r="NE57"/>
      <c r="NF57"/>
      <c r="NG57"/>
      <c r="NH57"/>
      <c r="NI57"/>
      <c r="NJ57"/>
      <c r="NK57"/>
      <c r="NL57"/>
      <c r="NM57"/>
      <c r="NN57"/>
      <c r="NO57"/>
      <c r="NP57"/>
      <c r="NQ57"/>
      <c r="NR57"/>
      <c r="NS57"/>
      <c r="NT57"/>
      <c r="NU57"/>
      <c r="NV57"/>
      <c r="NW57"/>
      <c r="NX57"/>
      <c r="NY57"/>
      <c r="NZ57"/>
      <c r="OA57"/>
      <c r="OB57"/>
      <c r="OC57"/>
      <c r="OD57"/>
      <c r="OE57"/>
      <c r="OF57"/>
      <c r="OG57"/>
      <c r="OH57"/>
      <c r="OI57"/>
      <c r="OJ57"/>
      <c r="OK57"/>
      <c r="OL57"/>
      <c r="OM57"/>
      <c r="ON57"/>
      <c r="OO57"/>
      <c r="OP57"/>
      <c r="OQ57"/>
      <c r="OR57"/>
      <c r="OS57"/>
      <c r="OT57"/>
      <c r="OU57"/>
      <c r="OV57"/>
      <c r="OW57"/>
      <c r="OX57"/>
      <c r="OY57"/>
      <c r="OZ57"/>
      <c r="PA57"/>
      <c r="PB57"/>
      <c r="PC57"/>
      <c r="PD57"/>
      <c r="PE57"/>
      <c r="PF57"/>
      <c r="PG57"/>
      <c r="PH57"/>
      <c r="PI57"/>
      <c r="PJ57"/>
      <c r="PK57"/>
      <c r="PL57"/>
      <c r="PM57"/>
      <c r="PN57"/>
      <c r="PO57"/>
      <c r="PP57"/>
      <c r="PQ57"/>
      <c r="PR57"/>
      <c r="PS57"/>
      <c r="PT57"/>
      <c r="PU57"/>
      <c r="PV57"/>
      <c r="PW57"/>
      <c r="PX57"/>
      <c r="PY57"/>
      <c r="PZ57"/>
      <c r="QA57"/>
      <c r="QB57"/>
      <c r="QC57"/>
      <c r="QD57"/>
      <c r="QE57"/>
      <c r="QF57"/>
      <c r="QG57"/>
      <c r="QH57"/>
      <c r="QI57"/>
      <c r="QJ57"/>
      <c r="QK57"/>
      <c r="QL57"/>
      <c r="QM57"/>
      <c r="QN57"/>
      <c r="QO57"/>
      <c r="QP57"/>
      <c r="QQ57"/>
      <c r="QR57"/>
      <c r="QS57"/>
      <c r="QT57"/>
      <c r="QU57"/>
      <c r="QV57"/>
      <c r="QW57"/>
      <c r="QX57"/>
      <c r="QY57"/>
      <c r="QZ57"/>
      <c r="RA57"/>
      <c r="RB57"/>
      <c r="RC57"/>
      <c r="RD57"/>
      <c r="RE57"/>
      <c r="RF57"/>
      <c r="RG57"/>
      <c r="RH57"/>
      <c r="RI57"/>
      <c r="RJ57"/>
      <c r="RK57"/>
      <c r="RL57"/>
      <c r="RM57"/>
      <c r="RN57"/>
      <c r="RO57"/>
      <c r="RP57"/>
      <c r="RQ57"/>
      <c r="RR57"/>
      <c r="RS57"/>
    </row>
    <row r="58" spans="3:487" x14ac:dyDescent="0.25">
      <c r="C58" s="2" t="s">
        <v>329</v>
      </c>
      <c r="D58" s="34">
        <v>2</v>
      </c>
      <c r="F58" s="2" t="s">
        <v>98</v>
      </c>
      <c r="G58" s="34">
        <v>3</v>
      </c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  <c r="CQ58"/>
      <c r="CR58"/>
      <c r="CS58"/>
      <c r="CT58"/>
      <c r="CU58"/>
      <c r="CV58"/>
      <c r="CW58"/>
      <c r="CX58"/>
      <c r="CY58"/>
      <c r="CZ58"/>
      <c r="DA58"/>
      <c r="DB58"/>
      <c r="DC58"/>
      <c r="DD58"/>
      <c r="DE58"/>
      <c r="DF58"/>
      <c r="DG58"/>
      <c r="DH58"/>
      <c r="DI58"/>
      <c r="DJ58"/>
      <c r="DK58"/>
      <c r="DL58"/>
      <c r="DM58"/>
      <c r="DN58"/>
      <c r="DO58"/>
      <c r="DP58"/>
      <c r="DQ58"/>
      <c r="DR58"/>
      <c r="DS58"/>
      <c r="DT58"/>
      <c r="DU58"/>
      <c r="DV58"/>
      <c r="DW58"/>
      <c r="DX58"/>
      <c r="DY58"/>
      <c r="DZ58"/>
      <c r="EA58"/>
      <c r="EB58"/>
      <c r="EC58"/>
      <c r="ED58"/>
      <c r="EE58"/>
      <c r="EF58"/>
      <c r="EG58"/>
      <c r="EH58"/>
      <c r="EI58"/>
      <c r="EJ58"/>
      <c r="EK58"/>
      <c r="EL58"/>
      <c r="EM58"/>
      <c r="EN58"/>
      <c r="EO58"/>
      <c r="EP58"/>
      <c r="EQ58"/>
      <c r="ER58"/>
      <c r="ES58"/>
      <c r="ET58"/>
      <c r="EU58"/>
      <c r="EV58"/>
      <c r="EW58"/>
      <c r="EX58"/>
      <c r="EY58"/>
      <c r="EZ58"/>
      <c r="FA58"/>
      <c r="FB58"/>
      <c r="FC58"/>
      <c r="FD58"/>
      <c r="FE58"/>
      <c r="FF58"/>
      <c r="FG58"/>
      <c r="FH58"/>
      <c r="FI58"/>
      <c r="FJ58"/>
      <c r="FK58"/>
      <c r="FL58"/>
      <c r="FM58"/>
      <c r="FN58"/>
      <c r="FO58"/>
      <c r="FP58"/>
      <c r="FQ58"/>
      <c r="FR58"/>
      <c r="FS58"/>
      <c r="FT58"/>
      <c r="FU58"/>
      <c r="FV58"/>
      <c r="FW58"/>
      <c r="FX58"/>
      <c r="FY58"/>
      <c r="FZ58"/>
      <c r="GA58"/>
      <c r="GB58"/>
      <c r="GC58"/>
      <c r="GD58"/>
      <c r="GE58"/>
      <c r="GF58"/>
      <c r="GG58"/>
      <c r="GH58"/>
      <c r="GI58"/>
      <c r="GJ58"/>
      <c r="GK58"/>
      <c r="GL58"/>
      <c r="GM58"/>
      <c r="GN58"/>
      <c r="GO58"/>
      <c r="GP58"/>
      <c r="GQ58"/>
      <c r="GR58"/>
      <c r="GS58"/>
      <c r="GT58"/>
      <c r="GU58"/>
      <c r="GV58"/>
      <c r="GW58"/>
      <c r="GX58"/>
      <c r="GY58"/>
      <c r="GZ58"/>
      <c r="HA58"/>
      <c r="HB58"/>
      <c r="HC58"/>
      <c r="HD58"/>
      <c r="HE58"/>
      <c r="HF58"/>
      <c r="HG58"/>
      <c r="HH58"/>
      <c r="HI58"/>
      <c r="HJ58"/>
      <c r="HK58"/>
      <c r="HL58"/>
      <c r="HM58"/>
      <c r="HN58"/>
      <c r="HO58"/>
      <c r="HP58"/>
      <c r="HQ58"/>
      <c r="HR58"/>
      <c r="HS58"/>
      <c r="HT58"/>
      <c r="HU58"/>
      <c r="HV58"/>
      <c r="HW58"/>
      <c r="HX58"/>
      <c r="HY58"/>
      <c r="HZ58"/>
      <c r="IA58"/>
      <c r="IB58"/>
      <c r="IC58"/>
      <c r="ID58"/>
      <c r="IE58"/>
      <c r="IF58"/>
      <c r="IG58"/>
      <c r="IH58"/>
      <c r="II58"/>
      <c r="IJ58"/>
      <c r="IK58"/>
      <c r="IL58"/>
      <c r="IM58"/>
      <c r="IN58"/>
      <c r="IO58"/>
      <c r="IP58"/>
      <c r="IQ58"/>
      <c r="IR58"/>
      <c r="IS58"/>
      <c r="IT58"/>
      <c r="IU58"/>
      <c r="IV58"/>
      <c r="IW58"/>
      <c r="IX58"/>
      <c r="IY58"/>
      <c r="IZ58"/>
      <c r="JA58"/>
      <c r="JB58"/>
      <c r="JC58"/>
      <c r="JD58"/>
      <c r="JE58"/>
      <c r="JF58"/>
      <c r="JG58"/>
      <c r="JH58"/>
      <c r="JI58"/>
      <c r="JJ58"/>
      <c r="JK58"/>
      <c r="JL58"/>
      <c r="JM58"/>
      <c r="JN58"/>
      <c r="JO58"/>
      <c r="JP58"/>
      <c r="JQ58"/>
      <c r="JR58"/>
      <c r="JS58"/>
      <c r="JT58"/>
      <c r="JU58"/>
      <c r="JV58"/>
      <c r="JW58"/>
      <c r="JX58"/>
      <c r="JY58"/>
      <c r="JZ58"/>
      <c r="KA58"/>
      <c r="KB58"/>
      <c r="KC58"/>
      <c r="KD58"/>
      <c r="KE58"/>
      <c r="KF58"/>
      <c r="KG58"/>
      <c r="KH58"/>
      <c r="KI58"/>
      <c r="KJ58"/>
      <c r="KK58"/>
      <c r="KL58"/>
      <c r="KM58"/>
      <c r="KN58"/>
      <c r="KO58"/>
      <c r="KP58"/>
      <c r="KQ58"/>
      <c r="KR58"/>
      <c r="KS58"/>
      <c r="KT58"/>
      <c r="KU58"/>
      <c r="KV58"/>
      <c r="KW58"/>
      <c r="KX58"/>
      <c r="KY58"/>
      <c r="KZ58"/>
      <c r="LA58"/>
      <c r="LB58"/>
      <c r="LC58"/>
      <c r="LD58"/>
      <c r="LE58"/>
      <c r="LF58"/>
      <c r="LG58"/>
      <c r="LH58"/>
      <c r="LI58"/>
      <c r="LJ58"/>
      <c r="LK58"/>
      <c r="LL58"/>
      <c r="LM58"/>
      <c r="LN58"/>
      <c r="LO58"/>
      <c r="LP58"/>
      <c r="LQ58"/>
      <c r="LR58"/>
      <c r="LS58"/>
      <c r="LT58"/>
      <c r="LU58"/>
      <c r="LV58"/>
      <c r="LW58"/>
      <c r="LX58"/>
      <c r="LY58"/>
      <c r="LZ58"/>
      <c r="MA58"/>
      <c r="MB58"/>
      <c r="MC58"/>
      <c r="MD58"/>
      <c r="ME58"/>
      <c r="MF58"/>
      <c r="MG58"/>
      <c r="MH58"/>
      <c r="MI58"/>
      <c r="MJ58"/>
      <c r="MK58"/>
      <c r="ML58"/>
      <c r="MM58"/>
      <c r="MN58"/>
      <c r="MO58"/>
      <c r="MP58"/>
      <c r="MQ58"/>
      <c r="MR58"/>
      <c r="MS58"/>
      <c r="MT58"/>
      <c r="MU58"/>
      <c r="MV58"/>
      <c r="MW58"/>
      <c r="MX58"/>
      <c r="MY58"/>
      <c r="MZ58"/>
      <c r="NA58"/>
      <c r="NB58"/>
      <c r="NC58"/>
      <c r="ND58"/>
      <c r="NE58"/>
      <c r="NF58"/>
      <c r="NG58"/>
      <c r="NH58"/>
      <c r="NI58"/>
      <c r="NJ58"/>
      <c r="NK58"/>
      <c r="NL58"/>
      <c r="NM58"/>
      <c r="NN58"/>
      <c r="NO58"/>
      <c r="NP58"/>
      <c r="NQ58"/>
      <c r="NR58"/>
      <c r="NS58"/>
      <c r="NT58"/>
      <c r="NU58"/>
      <c r="NV58"/>
      <c r="NW58"/>
      <c r="NX58"/>
      <c r="NY58"/>
      <c r="NZ58"/>
      <c r="OA58"/>
      <c r="OB58"/>
      <c r="OC58"/>
      <c r="OD58"/>
      <c r="OE58"/>
      <c r="OF58"/>
      <c r="OG58"/>
      <c r="OH58"/>
      <c r="OI58"/>
      <c r="OJ58"/>
      <c r="OK58"/>
      <c r="OL58"/>
      <c r="OM58"/>
      <c r="ON58"/>
      <c r="OO58"/>
      <c r="OP58"/>
      <c r="OQ58"/>
      <c r="OR58"/>
      <c r="OS58"/>
      <c r="OT58"/>
      <c r="OU58"/>
      <c r="OV58"/>
      <c r="OW58"/>
      <c r="OX58"/>
      <c r="OY58"/>
      <c r="OZ58"/>
      <c r="PA58"/>
      <c r="PB58"/>
      <c r="PC58"/>
      <c r="PD58"/>
      <c r="PE58"/>
      <c r="PF58"/>
      <c r="PG58"/>
      <c r="PH58"/>
      <c r="PI58"/>
      <c r="PJ58"/>
      <c r="PK58"/>
      <c r="PL58"/>
      <c r="PM58"/>
      <c r="PN58"/>
      <c r="PO58"/>
      <c r="PP58"/>
      <c r="PQ58"/>
      <c r="PR58"/>
      <c r="PS58"/>
      <c r="PT58"/>
      <c r="PU58"/>
      <c r="PV58"/>
      <c r="PW58"/>
      <c r="PX58"/>
      <c r="PY58"/>
      <c r="PZ58"/>
      <c r="QA58"/>
      <c r="QB58"/>
      <c r="QC58"/>
      <c r="QD58"/>
      <c r="QE58"/>
      <c r="QF58"/>
      <c r="QG58"/>
      <c r="QH58"/>
      <c r="QI58"/>
      <c r="QJ58"/>
      <c r="QK58"/>
      <c r="QL58"/>
      <c r="QM58"/>
      <c r="QN58"/>
      <c r="QO58"/>
      <c r="QP58"/>
      <c r="QQ58"/>
      <c r="QR58"/>
      <c r="QS58"/>
      <c r="QT58"/>
      <c r="QU58"/>
      <c r="QV58"/>
      <c r="QW58"/>
      <c r="QX58"/>
      <c r="QY58"/>
      <c r="QZ58"/>
      <c r="RA58"/>
      <c r="RB58"/>
      <c r="RC58"/>
      <c r="RD58"/>
      <c r="RE58"/>
      <c r="RF58"/>
      <c r="RG58"/>
      <c r="RH58"/>
      <c r="RI58"/>
      <c r="RJ58"/>
      <c r="RK58"/>
      <c r="RL58"/>
      <c r="RM58"/>
      <c r="RN58"/>
      <c r="RO58"/>
      <c r="RP58"/>
      <c r="RQ58"/>
      <c r="RR58"/>
      <c r="RS58"/>
    </row>
    <row r="59" spans="3:487" x14ac:dyDescent="0.25">
      <c r="C59" s="2" t="s">
        <v>97</v>
      </c>
      <c r="D59" s="34">
        <v>2</v>
      </c>
      <c r="F59" s="2" t="s">
        <v>40</v>
      </c>
      <c r="G59" s="34">
        <v>3</v>
      </c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CQ59"/>
      <c r="CR59"/>
      <c r="CS59"/>
      <c r="CT59"/>
      <c r="CU59"/>
      <c r="CV59"/>
      <c r="CW59"/>
      <c r="CX59"/>
      <c r="CY59"/>
      <c r="CZ59"/>
      <c r="DA59"/>
      <c r="DB59"/>
      <c r="DC59"/>
      <c r="DD59"/>
      <c r="DE59"/>
      <c r="DF59"/>
      <c r="DG59"/>
      <c r="DH59"/>
      <c r="DI59"/>
      <c r="DJ59"/>
      <c r="DK59"/>
      <c r="DL59"/>
      <c r="DM59"/>
      <c r="DN59"/>
      <c r="DO59"/>
      <c r="DP59"/>
      <c r="DQ59"/>
      <c r="DR59"/>
      <c r="DS59"/>
      <c r="DT59"/>
      <c r="DU59"/>
      <c r="DV59"/>
      <c r="DW59"/>
      <c r="DX59"/>
      <c r="DY59"/>
      <c r="DZ59"/>
      <c r="EA59"/>
      <c r="EB59"/>
      <c r="EC59"/>
      <c r="ED59"/>
      <c r="EE59"/>
      <c r="EF59"/>
      <c r="EG59"/>
      <c r="EH59"/>
      <c r="EI59"/>
      <c r="EJ59"/>
      <c r="EK59"/>
      <c r="EL59"/>
      <c r="EM59"/>
      <c r="EN59"/>
      <c r="EO59"/>
      <c r="EP59"/>
      <c r="EQ59"/>
      <c r="ER59"/>
      <c r="ES59"/>
      <c r="ET59"/>
      <c r="EU59"/>
      <c r="EV59"/>
      <c r="EW59"/>
      <c r="EX59"/>
      <c r="EY59"/>
      <c r="EZ59"/>
      <c r="FA59"/>
      <c r="FB59"/>
      <c r="FC59"/>
      <c r="FD59"/>
      <c r="FE59"/>
      <c r="FF59"/>
      <c r="FG59"/>
      <c r="FH59"/>
      <c r="FI59"/>
      <c r="FJ59"/>
      <c r="FK59"/>
      <c r="FL59"/>
      <c r="FM59"/>
      <c r="FN59"/>
      <c r="FO59"/>
      <c r="FP59"/>
      <c r="FQ59"/>
      <c r="FR59"/>
      <c r="FS59"/>
      <c r="FT59"/>
      <c r="FU59"/>
      <c r="FV59"/>
      <c r="FW59"/>
      <c r="FX59"/>
      <c r="FY59"/>
      <c r="FZ59"/>
      <c r="GA59"/>
      <c r="GB59"/>
      <c r="GC59"/>
      <c r="GD59"/>
      <c r="GE59"/>
      <c r="GF59"/>
      <c r="GG59"/>
      <c r="GH59"/>
      <c r="GI59"/>
      <c r="GJ59"/>
      <c r="GK59"/>
      <c r="GL59"/>
      <c r="GM59"/>
      <c r="GN59"/>
      <c r="GO59"/>
      <c r="GP59"/>
      <c r="GQ59"/>
      <c r="GR59"/>
      <c r="GS59"/>
      <c r="GT59"/>
      <c r="GU59"/>
      <c r="GV59"/>
      <c r="GW59"/>
      <c r="GX59"/>
      <c r="GY59"/>
      <c r="GZ59"/>
      <c r="HA59"/>
      <c r="HB59"/>
      <c r="HC59"/>
      <c r="HD59"/>
      <c r="HE59"/>
      <c r="HF59"/>
      <c r="HG59"/>
      <c r="HH59"/>
      <c r="HI59"/>
      <c r="HJ59"/>
      <c r="HK59"/>
      <c r="HL59"/>
      <c r="HM59"/>
      <c r="HN59"/>
      <c r="HO59"/>
      <c r="HP59"/>
      <c r="HQ59"/>
      <c r="HR59"/>
      <c r="HS59"/>
      <c r="HT59"/>
      <c r="HU59"/>
      <c r="HV59"/>
      <c r="HW59"/>
      <c r="HX59"/>
      <c r="HY59"/>
      <c r="HZ59"/>
      <c r="IA59"/>
      <c r="IB59"/>
      <c r="IC59"/>
      <c r="ID59"/>
      <c r="IE59"/>
      <c r="IF59"/>
      <c r="IG59"/>
      <c r="IH59"/>
      <c r="II59"/>
      <c r="IJ59"/>
      <c r="IK59"/>
      <c r="IL59"/>
      <c r="IM59"/>
      <c r="IN59"/>
      <c r="IO59"/>
      <c r="IP59"/>
      <c r="IQ59"/>
      <c r="IR59"/>
      <c r="IS59"/>
      <c r="IT59"/>
      <c r="IU59"/>
      <c r="IV59"/>
      <c r="IW59"/>
      <c r="IX59"/>
      <c r="IY59"/>
      <c r="IZ59"/>
      <c r="JA59"/>
      <c r="JB59"/>
      <c r="JC59"/>
      <c r="JD59"/>
      <c r="JE59"/>
      <c r="JF59"/>
      <c r="JG59"/>
      <c r="JH59"/>
      <c r="JI59"/>
      <c r="JJ59"/>
      <c r="JK59"/>
      <c r="JL59"/>
      <c r="JM59"/>
      <c r="JN59"/>
      <c r="JO59"/>
      <c r="JP59"/>
      <c r="JQ59"/>
      <c r="JR59"/>
      <c r="JS59"/>
      <c r="JT59"/>
      <c r="JU59"/>
      <c r="JV59"/>
      <c r="JW59"/>
      <c r="JX59"/>
      <c r="JY59"/>
      <c r="JZ59"/>
      <c r="KA59"/>
      <c r="KB59"/>
      <c r="KC59"/>
      <c r="KD59"/>
      <c r="KE59"/>
      <c r="KF59"/>
      <c r="KG59"/>
      <c r="KH59"/>
      <c r="KI59"/>
      <c r="KJ59"/>
      <c r="KK59"/>
      <c r="KL59"/>
      <c r="KM59"/>
      <c r="KN59"/>
      <c r="KO59"/>
      <c r="KP59"/>
      <c r="KQ59"/>
      <c r="KR59"/>
      <c r="KS59"/>
      <c r="KT59"/>
      <c r="KU59"/>
      <c r="KV59"/>
      <c r="KW59"/>
      <c r="KX59"/>
      <c r="KY59"/>
      <c r="KZ59"/>
      <c r="LA59"/>
      <c r="LB59"/>
      <c r="LC59"/>
      <c r="LD59"/>
      <c r="LE59"/>
      <c r="LF59"/>
      <c r="LG59"/>
      <c r="LH59"/>
      <c r="LI59"/>
      <c r="LJ59"/>
      <c r="LK59"/>
      <c r="LL59"/>
      <c r="LM59"/>
      <c r="LN59"/>
      <c r="LO59"/>
      <c r="LP59"/>
      <c r="LQ59"/>
      <c r="LR59"/>
      <c r="LS59"/>
      <c r="LT59"/>
      <c r="LU59"/>
      <c r="LV59"/>
      <c r="LW59"/>
      <c r="LX59"/>
      <c r="LY59"/>
      <c r="LZ59"/>
      <c r="MA59"/>
      <c r="MB59"/>
      <c r="MC59"/>
      <c r="MD59"/>
      <c r="ME59"/>
      <c r="MF59"/>
      <c r="MG59"/>
      <c r="MH59"/>
      <c r="MI59"/>
      <c r="MJ59"/>
      <c r="MK59"/>
      <c r="ML59"/>
      <c r="MM59"/>
      <c r="MN59"/>
      <c r="MO59"/>
      <c r="MP59"/>
      <c r="MQ59"/>
      <c r="MR59"/>
      <c r="MS59"/>
      <c r="MT59"/>
      <c r="MU59"/>
      <c r="MV59"/>
      <c r="MW59"/>
      <c r="MX59"/>
      <c r="MY59"/>
      <c r="MZ59"/>
      <c r="NA59"/>
      <c r="NB59"/>
      <c r="NC59"/>
      <c r="ND59"/>
      <c r="NE59"/>
      <c r="NF59"/>
      <c r="NG59"/>
      <c r="NH59"/>
      <c r="NI59"/>
      <c r="NJ59"/>
      <c r="NK59"/>
      <c r="NL59"/>
      <c r="NM59"/>
      <c r="NN59"/>
      <c r="NO59"/>
      <c r="NP59"/>
      <c r="NQ59"/>
      <c r="NR59"/>
      <c r="NS59"/>
      <c r="NT59"/>
      <c r="NU59"/>
      <c r="NV59"/>
      <c r="NW59"/>
      <c r="NX59"/>
      <c r="NY59"/>
      <c r="NZ59"/>
      <c r="OA59"/>
      <c r="OB59"/>
      <c r="OC59"/>
      <c r="OD59"/>
      <c r="OE59"/>
      <c r="OF59"/>
      <c r="OG59"/>
      <c r="OH59"/>
      <c r="OI59"/>
      <c r="OJ59"/>
      <c r="OK59"/>
      <c r="OL59"/>
      <c r="OM59"/>
      <c r="ON59"/>
      <c r="OO59"/>
      <c r="OP59"/>
      <c r="OQ59"/>
      <c r="OR59"/>
      <c r="OS59"/>
      <c r="OT59"/>
      <c r="OU59"/>
      <c r="OV59"/>
      <c r="OW59"/>
      <c r="OX59"/>
      <c r="OY59"/>
      <c r="OZ59"/>
      <c r="PA59"/>
      <c r="PB59"/>
      <c r="PC59"/>
      <c r="PD59"/>
      <c r="PE59"/>
      <c r="PF59"/>
      <c r="PG59"/>
      <c r="PH59"/>
      <c r="PI59"/>
      <c r="PJ59"/>
      <c r="PK59"/>
      <c r="PL59"/>
      <c r="PM59"/>
      <c r="PN59"/>
      <c r="PO59"/>
      <c r="PP59"/>
      <c r="PQ59"/>
      <c r="PR59"/>
      <c r="PS59"/>
      <c r="PT59"/>
      <c r="PU59"/>
      <c r="PV59"/>
      <c r="PW59"/>
      <c r="PX59"/>
      <c r="PY59"/>
      <c r="PZ59"/>
      <c r="QA59"/>
      <c r="QB59"/>
      <c r="QC59"/>
      <c r="QD59"/>
      <c r="QE59"/>
      <c r="QF59"/>
      <c r="QG59"/>
      <c r="QH59"/>
      <c r="QI59"/>
      <c r="QJ59"/>
      <c r="QK59"/>
      <c r="QL59"/>
      <c r="QM59"/>
      <c r="QN59"/>
      <c r="QO59"/>
      <c r="QP59"/>
      <c r="QQ59"/>
      <c r="QR59"/>
      <c r="QS59"/>
      <c r="QT59"/>
      <c r="QU59"/>
      <c r="QV59"/>
      <c r="QW59"/>
      <c r="QX59"/>
      <c r="QY59"/>
      <c r="QZ59"/>
      <c r="RA59"/>
      <c r="RB59"/>
      <c r="RC59"/>
      <c r="RD59"/>
      <c r="RE59"/>
      <c r="RF59"/>
      <c r="RG59"/>
      <c r="RH59"/>
      <c r="RI59"/>
      <c r="RJ59"/>
      <c r="RK59"/>
      <c r="RL59"/>
      <c r="RM59"/>
      <c r="RN59"/>
      <c r="RO59"/>
      <c r="RP59"/>
      <c r="RQ59"/>
      <c r="RR59"/>
      <c r="RS59"/>
    </row>
    <row r="60" spans="3:487" x14ac:dyDescent="0.25">
      <c r="C60" s="2" t="s">
        <v>337</v>
      </c>
      <c r="D60" s="34">
        <v>2</v>
      </c>
      <c r="F60" s="2" t="s">
        <v>589</v>
      </c>
      <c r="G60" s="34">
        <v>3</v>
      </c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  <c r="CO60"/>
      <c r="CP60"/>
      <c r="CQ60"/>
      <c r="CR60"/>
      <c r="CS60"/>
      <c r="CT60"/>
      <c r="CU60"/>
      <c r="CV60"/>
      <c r="CW60"/>
      <c r="CX60"/>
      <c r="CY60"/>
      <c r="CZ60"/>
      <c r="DA60"/>
      <c r="DB60"/>
      <c r="DC60"/>
      <c r="DD60"/>
      <c r="DE60"/>
      <c r="DF60"/>
      <c r="DG60"/>
      <c r="DH60"/>
      <c r="DI60"/>
      <c r="DJ60"/>
      <c r="DK60"/>
      <c r="DL60"/>
      <c r="DM60"/>
      <c r="DN60"/>
      <c r="DO60"/>
      <c r="DP60"/>
      <c r="DQ60"/>
      <c r="DR60"/>
      <c r="DS60"/>
      <c r="DT60"/>
      <c r="DU60"/>
      <c r="DV60"/>
      <c r="DW60"/>
      <c r="DX60"/>
      <c r="DY60"/>
      <c r="DZ60"/>
      <c r="EA60"/>
      <c r="EB60"/>
      <c r="EC60"/>
      <c r="ED60"/>
      <c r="EE60"/>
      <c r="EF60"/>
      <c r="EG60"/>
      <c r="EH60"/>
      <c r="EI60"/>
      <c r="EJ60"/>
      <c r="EK60"/>
      <c r="EL60"/>
      <c r="EM60"/>
      <c r="EN60"/>
      <c r="EO60"/>
      <c r="EP60"/>
      <c r="EQ60"/>
      <c r="ER60"/>
      <c r="ES60"/>
      <c r="ET60"/>
      <c r="EU60"/>
      <c r="EV60"/>
      <c r="EW60"/>
      <c r="EX60"/>
      <c r="EY60"/>
      <c r="EZ60"/>
      <c r="FA60"/>
      <c r="FB60"/>
      <c r="FC60"/>
      <c r="FD60"/>
      <c r="FE60"/>
      <c r="FF60"/>
      <c r="FG60"/>
      <c r="FH60"/>
      <c r="FI60"/>
      <c r="FJ60"/>
      <c r="FK60"/>
      <c r="FL60"/>
      <c r="FM60"/>
      <c r="FN60"/>
      <c r="FO60"/>
      <c r="FP60"/>
      <c r="FQ60"/>
      <c r="FR60"/>
      <c r="FS60"/>
      <c r="FT60"/>
      <c r="FU60"/>
      <c r="FV60"/>
      <c r="FW60"/>
      <c r="FX60"/>
      <c r="FY60"/>
      <c r="FZ60"/>
      <c r="GA60"/>
      <c r="GB60"/>
      <c r="GC60"/>
      <c r="GD60"/>
      <c r="GE60"/>
      <c r="GF60"/>
      <c r="GG60"/>
      <c r="GH60"/>
      <c r="GI60"/>
      <c r="GJ60"/>
      <c r="GK60"/>
      <c r="GL60"/>
      <c r="GM60"/>
      <c r="GN60"/>
      <c r="GO60"/>
      <c r="GP60"/>
      <c r="GQ60"/>
      <c r="GR60"/>
      <c r="GS60"/>
      <c r="GT60"/>
      <c r="GU60"/>
      <c r="GV60"/>
      <c r="GW60"/>
      <c r="GX60"/>
      <c r="GY60"/>
      <c r="GZ60"/>
      <c r="HA60"/>
      <c r="HB60"/>
      <c r="HC60"/>
      <c r="HD60"/>
      <c r="HE60"/>
      <c r="HF60"/>
      <c r="HG60"/>
      <c r="HH60"/>
      <c r="HI60"/>
      <c r="HJ60"/>
      <c r="HK60"/>
      <c r="HL60"/>
      <c r="HM60"/>
      <c r="HN60"/>
      <c r="HO60"/>
      <c r="HP60"/>
      <c r="HQ60"/>
      <c r="HR60"/>
      <c r="HS60"/>
      <c r="HT60"/>
      <c r="HU60"/>
      <c r="HV60"/>
      <c r="HW60"/>
      <c r="HX60"/>
      <c r="HY60"/>
      <c r="HZ60"/>
      <c r="IA60"/>
      <c r="IB60"/>
      <c r="IC60"/>
      <c r="ID60"/>
      <c r="IE60"/>
      <c r="IF60"/>
      <c r="IG60"/>
      <c r="IH60"/>
      <c r="II60"/>
      <c r="IJ60"/>
      <c r="IK60"/>
      <c r="IL60"/>
      <c r="IM60"/>
      <c r="IN60"/>
      <c r="IO60"/>
      <c r="IP60"/>
      <c r="IQ60"/>
      <c r="IR60"/>
      <c r="IS60"/>
      <c r="IT60"/>
      <c r="IU60"/>
      <c r="IV60"/>
      <c r="IW60"/>
      <c r="IX60"/>
      <c r="IY60"/>
      <c r="IZ60"/>
      <c r="JA60"/>
      <c r="JB60"/>
      <c r="JC60"/>
      <c r="JD60"/>
      <c r="JE60"/>
      <c r="JF60"/>
      <c r="JG60"/>
      <c r="JH60"/>
      <c r="JI60"/>
      <c r="JJ60"/>
      <c r="JK60"/>
      <c r="JL60"/>
      <c r="JM60"/>
      <c r="JN60"/>
      <c r="JO60"/>
      <c r="JP60"/>
      <c r="JQ60"/>
      <c r="JR60"/>
      <c r="JS60"/>
      <c r="JT60"/>
      <c r="JU60"/>
      <c r="JV60"/>
      <c r="JW60"/>
      <c r="JX60"/>
      <c r="JY60"/>
      <c r="JZ60"/>
      <c r="KA60"/>
      <c r="KB60"/>
      <c r="KC60"/>
      <c r="KD60"/>
      <c r="KE60"/>
      <c r="KF60"/>
      <c r="KG60"/>
      <c r="KH60"/>
      <c r="KI60"/>
      <c r="KJ60"/>
      <c r="KK60"/>
      <c r="KL60"/>
      <c r="KM60"/>
      <c r="KN60"/>
      <c r="KO60"/>
      <c r="KP60"/>
      <c r="KQ60"/>
      <c r="KR60"/>
      <c r="KS60"/>
      <c r="KT60"/>
      <c r="KU60"/>
      <c r="KV60"/>
      <c r="KW60"/>
      <c r="KX60"/>
      <c r="KY60"/>
      <c r="KZ60"/>
      <c r="LA60"/>
      <c r="LB60"/>
      <c r="LC60"/>
      <c r="LD60"/>
      <c r="LE60"/>
      <c r="LF60"/>
      <c r="LG60"/>
      <c r="LH60"/>
      <c r="LI60"/>
      <c r="LJ60"/>
      <c r="LK60"/>
      <c r="LL60"/>
      <c r="LM60"/>
      <c r="LN60"/>
      <c r="LO60"/>
      <c r="LP60"/>
      <c r="LQ60"/>
      <c r="LR60"/>
      <c r="LS60"/>
      <c r="LT60"/>
      <c r="LU60"/>
      <c r="LV60"/>
      <c r="LW60"/>
      <c r="LX60"/>
      <c r="LY60"/>
      <c r="LZ60"/>
      <c r="MA60"/>
      <c r="MB60"/>
      <c r="MC60"/>
      <c r="MD60"/>
      <c r="ME60"/>
      <c r="MF60"/>
      <c r="MG60"/>
      <c r="MH60"/>
      <c r="MI60"/>
      <c r="MJ60"/>
      <c r="MK60"/>
      <c r="ML60"/>
      <c r="MM60"/>
      <c r="MN60"/>
      <c r="MO60"/>
      <c r="MP60"/>
      <c r="MQ60"/>
      <c r="MR60"/>
      <c r="MS60"/>
      <c r="MT60"/>
      <c r="MU60"/>
      <c r="MV60"/>
      <c r="MW60"/>
      <c r="MX60"/>
      <c r="MY60"/>
      <c r="MZ60"/>
      <c r="NA60"/>
      <c r="NB60"/>
      <c r="NC60"/>
      <c r="ND60"/>
      <c r="NE60"/>
      <c r="NF60"/>
      <c r="NG60"/>
      <c r="NH60"/>
      <c r="NI60"/>
      <c r="NJ60"/>
      <c r="NK60"/>
      <c r="NL60"/>
      <c r="NM60"/>
      <c r="NN60"/>
      <c r="NO60"/>
      <c r="NP60"/>
      <c r="NQ60"/>
      <c r="NR60"/>
      <c r="NS60"/>
      <c r="NT60"/>
      <c r="NU60"/>
      <c r="NV60"/>
      <c r="NW60"/>
      <c r="NX60"/>
      <c r="NY60"/>
      <c r="NZ60"/>
      <c r="OA60"/>
      <c r="OB60"/>
      <c r="OC60"/>
      <c r="OD60"/>
      <c r="OE60"/>
      <c r="OF60"/>
      <c r="OG60"/>
      <c r="OH60"/>
      <c r="OI60"/>
      <c r="OJ60"/>
      <c r="OK60"/>
      <c r="OL60"/>
      <c r="OM60"/>
      <c r="ON60"/>
      <c r="OO60"/>
      <c r="OP60"/>
      <c r="OQ60"/>
      <c r="OR60"/>
      <c r="OS60"/>
      <c r="OT60"/>
      <c r="OU60"/>
      <c r="OV60"/>
      <c r="OW60"/>
      <c r="OX60"/>
      <c r="OY60"/>
      <c r="OZ60"/>
      <c r="PA60"/>
      <c r="PB60"/>
      <c r="PC60"/>
      <c r="PD60"/>
      <c r="PE60"/>
      <c r="PF60"/>
      <c r="PG60"/>
      <c r="PH60"/>
      <c r="PI60"/>
      <c r="PJ60"/>
      <c r="PK60"/>
      <c r="PL60"/>
      <c r="PM60"/>
      <c r="PN60"/>
      <c r="PO60"/>
      <c r="PP60"/>
      <c r="PQ60"/>
      <c r="PR60"/>
      <c r="PS60"/>
      <c r="PT60"/>
      <c r="PU60"/>
      <c r="PV60"/>
      <c r="PW60"/>
      <c r="PX60"/>
      <c r="PY60"/>
      <c r="PZ60"/>
      <c r="QA60"/>
      <c r="QB60"/>
      <c r="QC60"/>
      <c r="QD60"/>
      <c r="QE60"/>
      <c r="QF60"/>
      <c r="QG60"/>
      <c r="QH60"/>
      <c r="QI60"/>
      <c r="QJ60"/>
      <c r="QK60"/>
      <c r="QL60"/>
      <c r="QM60"/>
      <c r="QN60"/>
      <c r="QO60"/>
      <c r="QP60"/>
      <c r="QQ60"/>
      <c r="QR60"/>
      <c r="QS60"/>
      <c r="QT60"/>
      <c r="QU60"/>
      <c r="QV60"/>
      <c r="QW60"/>
      <c r="QX60"/>
      <c r="QY60"/>
      <c r="QZ60"/>
      <c r="RA60"/>
      <c r="RB60"/>
      <c r="RC60"/>
      <c r="RD60"/>
      <c r="RE60"/>
      <c r="RF60"/>
      <c r="RG60"/>
      <c r="RH60"/>
      <c r="RI60"/>
      <c r="RJ60"/>
      <c r="RK60"/>
      <c r="RL60"/>
      <c r="RM60"/>
      <c r="RN60"/>
      <c r="RO60"/>
      <c r="RP60"/>
      <c r="RQ60"/>
      <c r="RR60"/>
      <c r="RS60"/>
    </row>
    <row r="61" spans="3:487" x14ac:dyDescent="0.25">
      <c r="C61" s="2" t="s">
        <v>292</v>
      </c>
      <c r="D61" s="34">
        <v>2</v>
      </c>
      <c r="F61" s="2" t="s">
        <v>150</v>
      </c>
      <c r="G61" s="34">
        <v>3</v>
      </c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  <c r="CQ61"/>
      <c r="CR61"/>
      <c r="CS61"/>
      <c r="CT61"/>
      <c r="CU61"/>
      <c r="CV61"/>
      <c r="CW61"/>
      <c r="CX61"/>
      <c r="CY61"/>
      <c r="CZ61"/>
      <c r="DA61"/>
      <c r="DB61"/>
      <c r="DC61"/>
      <c r="DD61"/>
      <c r="DE61"/>
      <c r="DF61"/>
      <c r="DG61"/>
      <c r="DH61"/>
      <c r="DI61"/>
      <c r="DJ61"/>
      <c r="DK61"/>
      <c r="DL61"/>
      <c r="DM61"/>
      <c r="DN61"/>
      <c r="DO61"/>
      <c r="DP61"/>
      <c r="DQ61"/>
      <c r="DR61"/>
      <c r="DS61"/>
      <c r="DT61"/>
      <c r="DU61"/>
      <c r="DV61"/>
      <c r="DW61"/>
      <c r="DX61"/>
      <c r="DY61"/>
      <c r="DZ61"/>
      <c r="EA61"/>
      <c r="EB61"/>
      <c r="EC61"/>
      <c r="ED61"/>
      <c r="EE61"/>
      <c r="EF61"/>
      <c r="EG61"/>
      <c r="EH61"/>
      <c r="EI61"/>
      <c r="EJ61"/>
      <c r="EK61"/>
      <c r="EL61"/>
      <c r="EM61"/>
      <c r="EN61"/>
      <c r="EO61"/>
      <c r="EP61"/>
      <c r="EQ61"/>
      <c r="ER61"/>
      <c r="ES61"/>
      <c r="ET61"/>
      <c r="EU61"/>
      <c r="EV61"/>
      <c r="EW61"/>
      <c r="EX61"/>
      <c r="EY61"/>
      <c r="EZ61"/>
      <c r="FA61"/>
      <c r="FB61"/>
      <c r="FC61"/>
      <c r="FD61"/>
      <c r="FE61"/>
      <c r="FF61"/>
      <c r="FG61"/>
      <c r="FH61"/>
      <c r="FI61"/>
      <c r="FJ61"/>
      <c r="FK61"/>
      <c r="FL61"/>
      <c r="FM61"/>
      <c r="FN61"/>
      <c r="FO61"/>
      <c r="FP61"/>
      <c r="FQ61"/>
      <c r="FR61"/>
      <c r="FS61"/>
      <c r="FT61"/>
      <c r="FU61"/>
      <c r="FV61"/>
      <c r="FW61"/>
      <c r="FX61"/>
      <c r="FY61"/>
      <c r="FZ61"/>
      <c r="GA61"/>
      <c r="GB61"/>
      <c r="GC61"/>
      <c r="GD61"/>
      <c r="GE61"/>
      <c r="GF61"/>
      <c r="GG61"/>
      <c r="GH61"/>
      <c r="GI61"/>
      <c r="GJ61"/>
      <c r="GK61"/>
      <c r="GL61"/>
      <c r="GM61"/>
      <c r="GN61"/>
      <c r="GO61"/>
      <c r="GP61"/>
      <c r="GQ61"/>
      <c r="GR61"/>
      <c r="GS61"/>
      <c r="GT61"/>
      <c r="GU61"/>
      <c r="GV61"/>
      <c r="GW61"/>
      <c r="GX61"/>
      <c r="GY61"/>
      <c r="GZ61"/>
      <c r="HA61"/>
      <c r="HB61"/>
      <c r="HC61"/>
      <c r="HD61"/>
      <c r="HE61"/>
      <c r="HF61"/>
      <c r="HG61"/>
      <c r="HH61"/>
      <c r="HI61"/>
      <c r="HJ61"/>
      <c r="HK61"/>
      <c r="HL61"/>
      <c r="HM61"/>
      <c r="HN61"/>
      <c r="HO61"/>
      <c r="HP61"/>
      <c r="HQ61"/>
      <c r="HR61"/>
      <c r="HS61"/>
      <c r="HT61"/>
      <c r="HU61"/>
      <c r="HV61"/>
      <c r="HW61"/>
      <c r="HX61"/>
      <c r="HY61"/>
      <c r="HZ61"/>
      <c r="IA61"/>
      <c r="IB61"/>
      <c r="IC61"/>
      <c r="ID61"/>
      <c r="IE61"/>
      <c r="IF61"/>
      <c r="IG61"/>
      <c r="IH61"/>
      <c r="II61"/>
      <c r="IJ61"/>
      <c r="IK61"/>
      <c r="IL61"/>
      <c r="IM61"/>
      <c r="IN61"/>
      <c r="IO61"/>
      <c r="IP61"/>
      <c r="IQ61"/>
      <c r="IR61"/>
      <c r="IS61"/>
      <c r="IT61"/>
      <c r="IU61"/>
      <c r="IV61"/>
      <c r="IW61"/>
      <c r="IX61"/>
      <c r="IY61"/>
      <c r="IZ61"/>
      <c r="JA61"/>
      <c r="JB61"/>
      <c r="JC61"/>
      <c r="JD61"/>
      <c r="JE61"/>
      <c r="JF61"/>
      <c r="JG61"/>
      <c r="JH61"/>
      <c r="JI61"/>
      <c r="JJ61"/>
      <c r="JK61"/>
      <c r="JL61"/>
      <c r="JM61"/>
      <c r="JN61"/>
      <c r="JO61"/>
      <c r="JP61"/>
      <c r="JQ61"/>
      <c r="JR61"/>
      <c r="JS61"/>
      <c r="JT61"/>
      <c r="JU61"/>
      <c r="JV61"/>
      <c r="JW61"/>
      <c r="JX61"/>
      <c r="JY61"/>
      <c r="JZ61"/>
      <c r="KA61"/>
      <c r="KB61"/>
      <c r="KC61"/>
      <c r="KD61"/>
      <c r="KE61"/>
      <c r="KF61"/>
      <c r="KG61"/>
      <c r="KH61"/>
      <c r="KI61"/>
      <c r="KJ61"/>
      <c r="KK61"/>
      <c r="KL61"/>
      <c r="KM61"/>
      <c r="KN61"/>
      <c r="KO61"/>
      <c r="KP61"/>
      <c r="KQ61"/>
      <c r="KR61"/>
      <c r="KS61"/>
      <c r="KT61"/>
      <c r="KU61"/>
      <c r="KV61"/>
      <c r="KW61"/>
      <c r="KX61"/>
      <c r="KY61"/>
      <c r="KZ61"/>
      <c r="LA61"/>
      <c r="LB61"/>
      <c r="LC61"/>
      <c r="LD61"/>
      <c r="LE61"/>
      <c r="LF61"/>
      <c r="LG61"/>
      <c r="LH61"/>
      <c r="LI61"/>
      <c r="LJ61"/>
      <c r="LK61"/>
      <c r="LL61"/>
      <c r="LM61"/>
      <c r="LN61"/>
      <c r="LO61"/>
      <c r="LP61"/>
      <c r="LQ61"/>
      <c r="LR61"/>
      <c r="LS61"/>
      <c r="LT61"/>
      <c r="LU61"/>
      <c r="LV61"/>
      <c r="LW61"/>
      <c r="LX61"/>
      <c r="LY61"/>
      <c r="LZ61"/>
      <c r="MA61"/>
      <c r="MB61"/>
      <c r="MC61"/>
      <c r="MD61"/>
      <c r="ME61"/>
      <c r="MF61"/>
      <c r="MG61"/>
      <c r="MH61"/>
      <c r="MI61"/>
      <c r="MJ61"/>
      <c r="MK61"/>
      <c r="ML61"/>
      <c r="MM61"/>
      <c r="MN61"/>
      <c r="MO61"/>
      <c r="MP61"/>
      <c r="MQ61"/>
      <c r="MR61"/>
      <c r="MS61"/>
      <c r="MT61"/>
      <c r="MU61"/>
      <c r="MV61"/>
      <c r="MW61"/>
      <c r="MX61"/>
      <c r="MY61"/>
      <c r="MZ61"/>
      <c r="NA61"/>
      <c r="NB61"/>
      <c r="NC61"/>
      <c r="ND61"/>
      <c r="NE61"/>
      <c r="NF61"/>
      <c r="NG61"/>
      <c r="NH61"/>
      <c r="NI61"/>
      <c r="NJ61"/>
      <c r="NK61"/>
      <c r="NL61"/>
      <c r="NM61"/>
      <c r="NN61"/>
      <c r="NO61"/>
      <c r="NP61"/>
      <c r="NQ61"/>
      <c r="NR61"/>
      <c r="NS61"/>
      <c r="NT61"/>
      <c r="NU61"/>
      <c r="NV61"/>
      <c r="NW61"/>
      <c r="NX61"/>
      <c r="NY61"/>
      <c r="NZ61"/>
      <c r="OA61"/>
      <c r="OB61"/>
      <c r="OC61"/>
      <c r="OD61"/>
      <c r="OE61"/>
      <c r="OF61"/>
      <c r="OG61"/>
      <c r="OH61"/>
      <c r="OI61"/>
      <c r="OJ61"/>
      <c r="OK61"/>
      <c r="OL61"/>
      <c r="OM61"/>
      <c r="ON61"/>
      <c r="OO61"/>
      <c r="OP61"/>
      <c r="OQ61"/>
      <c r="OR61"/>
      <c r="OS61"/>
      <c r="OT61"/>
      <c r="OU61"/>
      <c r="OV61"/>
      <c r="OW61"/>
      <c r="OX61"/>
      <c r="OY61"/>
      <c r="OZ61"/>
      <c r="PA61"/>
      <c r="PB61"/>
      <c r="PC61"/>
      <c r="PD61"/>
      <c r="PE61"/>
      <c r="PF61"/>
      <c r="PG61"/>
      <c r="PH61"/>
      <c r="PI61"/>
      <c r="PJ61"/>
      <c r="PK61"/>
      <c r="PL61"/>
      <c r="PM61"/>
      <c r="PN61"/>
      <c r="PO61"/>
      <c r="PP61"/>
      <c r="PQ61"/>
      <c r="PR61"/>
      <c r="PS61"/>
      <c r="PT61"/>
      <c r="PU61"/>
      <c r="PV61"/>
      <c r="PW61"/>
      <c r="PX61"/>
      <c r="PY61"/>
      <c r="PZ61"/>
      <c r="QA61"/>
      <c r="QB61"/>
      <c r="QC61"/>
      <c r="QD61"/>
      <c r="QE61"/>
      <c r="QF61"/>
      <c r="QG61"/>
      <c r="QH61"/>
      <c r="QI61"/>
      <c r="QJ61"/>
      <c r="QK61"/>
      <c r="QL61"/>
      <c r="QM61"/>
      <c r="QN61"/>
      <c r="QO61"/>
      <c r="QP61"/>
      <c r="QQ61"/>
      <c r="QR61"/>
      <c r="QS61"/>
      <c r="QT61"/>
      <c r="QU61"/>
      <c r="QV61"/>
      <c r="QW61"/>
      <c r="QX61"/>
      <c r="QY61"/>
      <c r="QZ61"/>
      <c r="RA61"/>
      <c r="RB61"/>
      <c r="RC61"/>
      <c r="RD61"/>
      <c r="RE61"/>
      <c r="RF61"/>
      <c r="RG61"/>
      <c r="RH61"/>
      <c r="RI61"/>
      <c r="RJ61"/>
      <c r="RK61"/>
      <c r="RL61"/>
      <c r="RM61"/>
      <c r="RN61"/>
      <c r="RO61"/>
      <c r="RP61"/>
      <c r="RQ61"/>
      <c r="RR61"/>
      <c r="RS61"/>
    </row>
    <row r="62" spans="3:487" x14ac:dyDescent="0.25">
      <c r="C62" s="2" t="s">
        <v>115</v>
      </c>
      <c r="D62" s="34">
        <v>2</v>
      </c>
      <c r="F62" s="2" t="s">
        <v>144</v>
      </c>
      <c r="G62" s="34">
        <v>3</v>
      </c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  <c r="CN62"/>
      <c r="CO62"/>
      <c r="CP62"/>
      <c r="CQ62"/>
      <c r="CR62"/>
      <c r="CS62"/>
      <c r="CT62"/>
      <c r="CU62"/>
      <c r="CV62"/>
      <c r="CW62"/>
      <c r="CX62"/>
      <c r="CY62"/>
      <c r="CZ62"/>
      <c r="DA62"/>
      <c r="DB62"/>
      <c r="DC62"/>
      <c r="DD62"/>
      <c r="DE62"/>
      <c r="DF62"/>
      <c r="DG62"/>
      <c r="DH62"/>
      <c r="DI62"/>
      <c r="DJ62"/>
      <c r="DK62"/>
      <c r="DL62"/>
      <c r="DM62"/>
      <c r="DN62"/>
      <c r="DO62"/>
      <c r="DP62"/>
      <c r="DQ62"/>
      <c r="DR62"/>
      <c r="DS62"/>
      <c r="DT62"/>
      <c r="DU62"/>
      <c r="DV62"/>
      <c r="DW62"/>
      <c r="DX62"/>
      <c r="DY62"/>
      <c r="DZ62"/>
      <c r="EA62"/>
      <c r="EB62"/>
      <c r="EC62"/>
      <c r="ED62"/>
      <c r="EE62"/>
      <c r="EF62"/>
      <c r="EG62"/>
      <c r="EH62"/>
      <c r="EI62"/>
      <c r="EJ62"/>
      <c r="EK62"/>
      <c r="EL62"/>
      <c r="EM62"/>
      <c r="EN62"/>
      <c r="EO62"/>
      <c r="EP62"/>
      <c r="EQ62"/>
      <c r="ER62"/>
      <c r="ES62"/>
      <c r="ET62"/>
      <c r="EU62"/>
      <c r="EV62"/>
      <c r="EW62"/>
      <c r="EX62"/>
      <c r="EY62"/>
      <c r="EZ62"/>
      <c r="FA62"/>
      <c r="FB62"/>
      <c r="FC62"/>
      <c r="FD62"/>
      <c r="FE62"/>
      <c r="FF62"/>
      <c r="FG62"/>
      <c r="FH62"/>
      <c r="FI62"/>
      <c r="FJ62"/>
      <c r="FK62"/>
      <c r="FL62"/>
      <c r="FM62"/>
      <c r="FN62"/>
      <c r="FO62"/>
      <c r="FP62"/>
      <c r="FQ62"/>
      <c r="FR62"/>
      <c r="FS62"/>
      <c r="FT62"/>
      <c r="FU62"/>
      <c r="FV62"/>
      <c r="FW62"/>
      <c r="FX62"/>
      <c r="FY62"/>
      <c r="FZ62"/>
      <c r="GA62"/>
      <c r="GB62"/>
      <c r="GC62"/>
      <c r="GD62"/>
      <c r="GE62"/>
      <c r="GF62"/>
      <c r="GG62"/>
      <c r="GH62"/>
      <c r="GI62"/>
      <c r="GJ62"/>
      <c r="GK62"/>
      <c r="GL62"/>
      <c r="GM62"/>
      <c r="GN62"/>
      <c r="GO62"/>
      <c r="GP62"/>
      <c r="GQ62"/>
      <c r="GR62"/>
      <c r="GS62"/>
      <c r="GT62"/>
      <c r="GU62"/>
      <c r="GV62"/>
      <c r="GW62"/>
      <c r="GX62"/>
      <c r="GY62"/>
      <c r="GZ62"/>
      <c r="HA62"/>
      <c r="HB62"/>
      <c r="HC62"/>
      <c r="HD62"/>
      <c r="HE62"/>
      <c r="HF62"/>
      <c r="HG62"/>
      <c r="HH62"/>
      <c r="HI62"/>
      <c r="HJ62"/>
      <c r="HK62"/>
      <c r="HL62"/>
      <c r="HM62"/>
      <c r="HN62"/>
      <c r="HO62"/>
      <c r="HP62"/>
      <c r="HQ62"/>
      <c r="HR62"/>
      <c r="HS62"/>
      <c r="HT62"/>
      <c r="HU62"/>
      <c r="HV62"/>
      <c r="HW62"/>
      <c r="HX62"/>
      <c r="HY62"/>
      <c r="HZ62"/>
      <c r="IA62"/>
      <c r="IB62"/>
      <c r="IC62"/>
      <c r="ID62"/>
      <c r="IE62"/>
      <c r="IF62"/>
      <c r="IG62"/>
      <c r="IH62"/>
      <c r="II62"/>
      <c r="IJ62"/>
      <c r="IK62"/>
      <c r="IL62"/>
      <c r="IM62"/>
      <c r="IN62"/>
      <c r="IO62"/>
      <c r="IP62"/>
      <c r="IQ62"/>
      <c r="IR62"/>
      <c r="IS62"/>
      <c r="IT62"/>
      <c r="IU62"/>
      <c r="IV62"/>
      <c r="IW62"/>
      <c r="IX62"/>
      <c r="IY62"/>
      <c r="IZ62"/>
      <c r="JA62"/>
      <c r="JB62"/>
      <c r="JC62"/>
      <c r="JD62"/>
      <c r="JE62"/>
      <c r="JF62"/>
      <c r="JG62"/>
      <c r="JH62"/>
      <c r="JI62"/>
      <c r="JJ62"/>
      <c r="JK62"/>
      <c r="JL62"/>
      <c r="JM62"/>
      <c r="JN62"/>
      <c r="JO62"/>
      <c r="JP62"/>
      <c r="JQ62"/>
      <c r="JR62"/>
      <c r="JS62"/>
      <c r="JT62"/>
      <c r="JU62"/>
      <c r="JV62"/>
      <c r="JW62"/>
      <c r="JX62"/>
      <c r="JY62"/>
      <c r="JZ62"/>
      <c r="KA62"/>
      <c r="KB62"/>
      <c r="KC62"/>
      <c r="KD62"/>
      <c r="KE62"/>
      <c r="KF62"/>
      <c r="KG62"/>
      <c r="KH62"/>
      <c r="KI62"/>
      <c r="KJ62"/>
      <c r="KK62"/>
      <c r="KL62"/>
      <c r="KM62"/>
      <c r="KN62"/>
      <c r="KO62"/>
      <c r="KP62"/>
      <c r="KQ62"/>
      <c r="KR62"/>
      <c r="KS62"/>
      <c r="KT62"/>
      <c r="KU62"/>
      <c r="KV62"/>
      <c r="KW62"/>
      <c r="KX62"/>
      <c r="KY62"/>
      <c r="KZ62"/>
      <c r="LA62"/>
      <c r="LB62"/>
      <c r="LC62"/>
      <c r="LD62"/>
      <c r="LE62"/>
      <c r="LF62"/>
      <c r="LG62"/>
      <c r="LH62"/>
      <c r="LI62"/>
      <c r="LJ62"/>
      <c r="LK62"/>
      <c r="LL62"/>
      <c r="LM62"/>
      <c r="LN62"/>
      <c r="LO62"/>
      <c r="LP62"/>
      <c r="LQ62"/>
      <c r="LR62"/>
      <c r="LS62"/>
      <c r="LT62"/>
      <c r="LU62"/>
      <c r="LV62"/>
      <c r="LW62"/>
      <c r="LX62"/>
      <c r="LY62"/>
      <c r="LZ62"/>
      <c r="MA62"/>
      <c r="MB62"/>
      <c r="MC62"/>
      <c r="MD62"/>
      <c r="ME62"/>
      <c r="MF62"/>
      <c r="MG62"/>
      <c r="MH62"/>
      <c r="MI62"/>
      <c r="MJ62"/>
      <c r="MK62"/>
      <c r="ML62"/>
      <c r="MM62"/>
      <c r="MN62"/>
      <c r="MO62"/>
      <c r="MP62"/>
      <c r="MQ62"/>
      <c r="MR62"/>
      <c r="MS62"/>
      <c r="MT62"/>
      <c r="MU62"/>
      <c r="MV62"/>
      <c r="MW62"/>
      <c r="MX62"/>
      <c r="MY62"/>
      <c r="MZ62"/>
      <c r="NA62"/>
      <c r="NB62"/>
      <c r="NC62"/>
      <c r="ND62"/>
      <c r="NE62"/>
      <c r="NF62"/>
      <c r="NG62"/>
      <c r="NH62"/>
      <c r="NI62"/>
      <c r="NJ62"/>
      <c r="NK62"/>
      <c r="NL62"/>
      <c r="NM62"/>
      <c r="NN62"/>
      <c r="NO62"/>
      <c r="NP62"/>
      <c r="NQ62"/>
      <c r="NR62"/>
      <c r="NS62"/>
      <c r="NT62"/>
      <c r="NU62"/>
      <c r="NV62"/>
      <c r="NW62"/>
      <c r="NX62"/>
      <c r="NY62"/>
      <c r="NZ62"/>
      <c r="OA62"/>
      <c r="OB62"/>
      <c r="OC62"/>
      <c r="OD62"/>
      <c r="OE62"/>
      <c r="OF62"/>
      <c r="OG62"/>
      <c r="OH62"/>
      <c r="OI62"/>
      <c r="OJ62"/>
      <c r="OK62"/>
      <c r="OL62"/>
      <c r="OM62"/>
      <c r="ON62"/>
      <c r="OO62"/>
      <c r="OP62"/>
      <c r="OQ62"/>
      <c r="OR62"/>
      <c r="OS62"/>
      <c r="OT62"/>
      <c r="OU62"/>
      <c r="OV62"/>
      <c r="OW62"/>
      <c r="OX62"/>
      <c r="OY62"/>
      <c r="OZ62"/>
      <c r="PA62"/>
      <c r="PB62"/>
      <c r="PC62"/>
      <c r="PD62"/>
      <c r="PE62"/>
      <c r="PF62"/>
      <c r="PG62"/>
      <c r="PH62"/>
      <c r="PI62"/>
      <c r="PJ62"/>
      <c r="PK62"/>
      <c r="PL62"/>
      <c r="PM62"/>
      <c r="PN62"/>
      <c r="PO62"/>
      <c r="PP62"/>
      <c r="PQ62"/>
      <c r="PR62"/>
      <c r="PS62"/>
      <c r="PT62"/>
      <c r="PU62"/>
      <c r="PV62"/>
      <c r="PW62"/>
      <c r="PX62"/>
      <c r="PY62"/>
      <c r="PZ62"/>
      <c r="QA62"/>
      <c r="QB62"/>
      <c r="QC62"/>
      <c r="QD62"/>
      <c r="QE62"/>
      <c r="QF62"/>
      <c r="QG62"/>
      <c r="QH62"/>
      <c r="QI62"/>
      <c r="QJ62"/>
      <c r="QK62"/>
      <c r="QL62"/>
      <c r="QM62"/>
      <c r="QN62"/>
      <c r="QO62"/>
      <c r="QP62"/>
      <c r="QQ62"/>
      <c r="QR62"/>
      <c r="QS62"/>
      <c r="QT62"/>
      <c r="QU62"/>
      <c r="QV62"/>
      <c r="QW62"/>
      <c r="QX62"/>
      <c r="QY62"/>
      <c r="QZ62"/>
      <c r="RA62"/>
      <c r="RB62"/>
      <c r="RC62"/>
      <c r="RD62"/>
      <c r="RE62"/>
      <c r="RF62"/>
      <c r="RG62"/>
      <c r="RH62"/>
      <c r="RI62"/>
      <c r="RJ62"/>
      <c r="RK62"/>
      <c r="RL62"/>
      <c r="RM62"/>
      <c r="RN62"/>
      <c r="RO62"/>
      <c r="RP62"/>
      <c r="RQ62"/>
      <c r="RR62"/>
      <c r="RS62"/>
    </row>
    <row r="63" spans="3:487" x14ac:dyDescent="0.25">
      <c r="C63" s="2" t="s">
        <v>70</v>
      </c>
      <c r="D63" s="34">
        <v>2</v>
      </c>
      <c r="F63" s="2" t="s">
        <v>647</v>
      </c>
      <c r="G63" s="34">
        <v>3</v>
      </c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  <c r="CQ63"/>
      <c r="CR63"/>
      <c r="CS63"/>
      <c r="CT63"/>
      <c r="CU63"/>
      <c r="CV63"/>
      <c r="CW63"/>
      <c r="CX63"/>
      <c r="CY63"/>
      <c r="CZ63"/>
      <c r="DA63"/>
      <c r="DB63"/>
      <c r="DC63"/>
      <c r="DD63"/>
      <c r="DE63"/>
      <c r="DF63"/>
      <c r="DG63"/>
      <c r="DH63"/>
      <c r="DI63"/>
      <c r="DJ63"/>
      <c r="DK63"/>
      <c r="DL63"/>
      <c r="DM63"/>
      <c r="DN63"/>
      <c r="DO63"/>
      <c r="DP63"/>
      <c r="DQ63"/>
      <c r="DR63"/>
      <c r="DS63"/>
      <c r="DT63"/>
      <c r="DU63"/>
      <c r="DV63"/>
      <c r="DW63"/>
      <c r="DX63"/>
      <c r="DY63"/>
      <c r="DZ63"/>
      <c r="EA63"/>
      <c r="EB63"/>
      <c r="EC63"/>
      <c r="ED63"/>
      <c r="EE63"/>
      <c r="EF63"/>
      <c r="EG63"/>
      <c r="EH63"/>
      <c r="EI63"/>
      <c r="EJ63"/>
      <c r="EK63"/>
      <c r="EL63"/>
      <c r="EM63"/>
      <c r="EN63"/>
      <c r="EO63"/>
      <c r="EP63"/>
      <c r="EQ63"/>
      <c r="ER63"/>
      <c r="ES63"/>
      <c r="ET63"/>
      <c r="EU63"/>
      <c r="EV63"/>
      <c r="EW63"/>
      <c r="EX63"/>
      <c r="EY63"/>
      <c r="EZ63"/>
      <c r="FA63"/>
      <c r="FB63"/>
      <c r="FC63"/>
      <c r="FD63"/>
      <c r="FE63"/>
      <c r="FF63"/>
      <c r="FG63"/>
      <c r="FH63"/>
      <c r="FI63"/>
      <c r="FJ63"/>
      <c r="FK63"/>
      <c r="FL63"/>
      <c r="FM63"/>
      <c r="FN63"/>
      <c r="FO63"/>
      <c r="FP63"/>
      <c r="FQ63"/>
      <c r="FR63"/>
      <c r="FS63"/>
      <c r="FT63"/>
      <c r="FU63"/>
      <c r="FV63"/>
      <c r="FW63"/>
      <c r="FX63"/>
      <c r="FY63"/>
      <c r="FZ63"/>
      <c r="GA63"/>
      <c r="GB63"/>
      <c r="GC63"/>
      <c r="GD63"/>
      <c r="GE63"/>
      <c r="GF63"/>
      <c r="GG63"/>
      <c r="GH63"/>
      <c r="GI63"/>
      <c r="GJ63"/>
      <c r="GK63"/>
      <c r="GL63"/>
      <c r="GM63"/>
      <c r="GN63"/>
      <c r="GO63"/>
      <c r="GP63"/>
      <c r="GQ63"/>
      <c r="GR63"/>
      <c r="GS63"/>
      <c r="GT63"/>
      <c r="GU63"/>
      <c r="GV63"/>
      <c r="GW63"/>
      <c r="GX63"/>
      <c r="GY63"/>
      <c r="GZ63"/>
      <c r="HA63"/>
      <c r="HB63"/>
      <c r="HC63"/>
      <c r="HD63"/>
      <c r="HE63"/>
      <c r="HF63"/>
      <c r="HG63"/>
      <c r="HH63"/>
      <c r="HI63"/>
      <c r="HJ63"/>
      <c r="HK63"/>
      <c r="HL63"/>
      <c r="HM63"/>
      <c r="HN63"/>
      <c r="HO63"/>
      <c r="HP63"/>
      <c r="HQ63"/>
      <c r="HR63"/>
      <c r="HS63"/>
      <c r="HT63"/>
      <c r="HU63"/>
      <c r="HV63"/>
      <c r="HW63"/>
      <c r="HX63"/>
      <c r="HY63"/>
      <c r="HZ63"/>
      <c r="IA63"/>
      <c r="IB63"/>
      <c r="IC63"/>
      <c r="ID63"/>
      <c r="IE63"/>
      <c r="IF63"/>
      <c r="IG63"/>
      <c r="IH63"/>
      <c r="II63"/>
      <c r="IJ63"/>
      <c r="IK63"/>
      <c r="IL63"/>
      <c r="IM63"/>
      <c r="IN63"/>
      <c r="IO63"/>
      <c r="IP63"/>
      <c r="IQ63"/>
      <c r="IR63"/>
      <c r="IS63"/>
      <c r="IT63"/>
      <c r="IU63"/>
      <c r="IV63"/>
      <c r="IW63"/>
      <c r="IX63"/>
      <c r="IY63"/>
      <c r="IZ63"/>
      <c r="JA63"/>
      <c r="JB63"/>
      <c r="JC63"/>
      <c r="JD63"/>
      <c r="JE63"/>
      <c r="JF63"/>
      <c r="JG63"/>
      <c r="JH63"/>
      <c r="JI63"/>
      <c r="JJ63"/>
      <c r="JK63"/>
      <c r="JL63"/>
      <c r="JM63"/>
      <c r="JN63"/>
      <c r="JO63"/>
      <c r="JP63"/>
      <c r="JQ63"/>
      <c r="JR63"/>
      <c r="JS63"/>
      <c r="JT63"/>
      <c r="JU63"/>
      <c r="JV63"/>
      <c r="JW63"/>
      <c r="JX63"/>
      <c r="JY63"/>
      <c r="JZ63"/>
      <c r="KA63"/>
      <c r="KB63"/>
      <c r="KC63"/>
      <c r="KD63"/>
      <c r="KE63"/>
      <c r="KF63"/>
      <c r="KG63"/>
      <c r="KH63"/>
      <c r="KI63"/>
      <c r="KJ63"/>
      <c r="KK63"/>
      <c r="KL63"/>
      <c r="KM63"/>
      <c r="KN63"/>
      <c r="KO63"/>
      <c r="KP63"/>
      <c r="KQ63"/>
      <c r="KR63"/>
      <c r="KS63"/>
      <c r="KT63"/>
      <c r="KU63"/>
      <c r="KV63"/>
      <c r="KW63"/>
      <c r="KX63"/>
      <c r="KY63"/>
      <c r="KZ63"/>
      <c r="LA63"/>
      <c r="LB63"/>
      <c r="LC63"/>
      <c r="LD63"/>
      <c r="LE63"/>
      <c r="LF63"/>
      <c r="LG63"/>
      <c r="LH63"/>
      <c r="LI63"/>
      <c r="LJ63"/>
      <c r="LK63"/>
      <c r="LL63"/>
      <c r="LM63"/>
      <c r="LN63"/>
      <c r="LO63"/>
      <c r="LP63"/>
      <c r="LQ63"/>
      <c r="LR63"/>
      <c r="LS63"/>
      <c r="LT63"/>
      <c r="LU63"/>
      <c r="LV63"/>
      <c r="LW63"/>
      <c r="LX63"/>
      <c r="LY63"/>
      <c r="LZ63"/>
      <c r="MA63"/>
      <c r="MB63"/>
      <c r="MC63"/>
      <c r="MD63"/>
      <c r="ME63"/>
      <c r="MF63"/>
      <c r="MG63"/>
      <c r="MH63"/>
      <c r="MI63"/>
      <c r="MJ63"/>
      <c r="MK63"/>
      <c r="ML63"/>
      <c r="MM63"/>
      <c r="MN63"/>
      <c r="MO63"/>
      <c r="MP63"/>
      <c r="MQ63"/>
      <c r="MR63"/>
      <c r="MS63"/>
      <c r="MT63"/>
      <c r="MU63"/>
      <c r="MV63"/>
      <c r="MW63"/>
      <c r="MX63"/>
      <c r="MY63"/>
      <c r="MZ63"/>
      <c r="NA63"/>
      <c r="NB63"/>
      <c r="NC63"/>
      <c r="ND63"/>
      <c r="NE63"/>
      <c r="NF63"/>
      <c r="NG63"/>
      <c r="NH63"/>
      <c r="NI63"/>
      <c r="NJ63"/>
      <c r="NK63"/>
      <c r="NL63"/>
      <c r="NM63"/>
      <c r="NN63"/>
      <c r="NO63"/>
      <c r="NP63"/>
      <c r="NQ63"/>
      <c r="NR63"/>
      <c r="NS63"/>
      <c r="NT63"/>
      <c r="NU63"/>
      <c r="NV63"/>
      <c r="NW63"/>
      <c r="NX63"/>
      <c r="NY63"/>
      <c r="NZ63"/>
      <c r="OA63"/>
      <c r="OB63"/>
      <c r="OC63"/>
      <c r="OD63"/>
      <c r="OE63"/>
      <c r="OF63"/>
      <c r="OG63"/>
      <c r="OH63"/>
      <c r="OI63"/>
      <c r="OJ63"/>
      <c r="OK63"/>
      <c r="OL63"/>
      <c r="OM63"/>
      <c r="ON63"/>
      <c r="OO63"/>
      <c r="OP63"/>
      <c r="OQ63"/>
      <c r="OR63"/>
      <c r="OS63"/>
      <c r="OT63"/>
      <c r="OU63"/>
      <c r="OV63"/>
      <c r="OW63"/>
      <c r="OX63"/>
      <c r="OY63"/>
      <c r="OZ63"/>
      <c r="PA63"/>
      <c r="PB63"/>
      <c r="PC63"/>
      <c r="PD63"/>
      <c r="PE63"/>
      <c r="PF63"/>
      <c r="PG63"/>
      <c r="PH63"/>
      <c r="PI63"/>
      <c r="PJ63"/>
      <c r="PK63"/>
      <c r="PL63"/>
      <c r="PM63"/>
      <c r="PN63"/>
      <c r="PO63"/>
      <c r="PP63"/>
      <c r="PQ63"/>
      <c r="PR63"/>
      <c r="PS63"/>
      <c r="PT63"/>
      <c r="PU63"/>
      <c r="PV63"/>
      <c r="PW63"/>
      <c r="PX63"/>
      <c r="PY63"/>
      <c r="PZ63"/>
      <c r="QA63"/>
      <c r="QB63"/>
      <c r="QC63"/>
      <c r="QD63"/>
      <c r="QE63"/>
      <c r="QF63"/>
      <c r="QG63"/>
      <c r="QH63"/>
      <c r="QI63"/>
      <c r="QJ63"/>
      <c r="QK63"/>
      <c r="QL63"/>
      <c r="QM63"/>
      <c r="QN63"/>
      <c r="QO63"/>
      <c r="QP63"/>
      <c r="QQ63"/>
      <c r="QR63"/>
      <c r="QS63"/>
      <c r="QT63"/>
      <c r="QU63"/>
      <c r="QV63"/>
      <c r="QW63"/>
      <c r="QX63"/>
      <c r="QY63"/>
      <c r="QZ63"/>
      <c r="RA63"/>
      <c r="RB63"/>
      <c r="RC63"/>
      <c r="RD63"/>
      <c r="RE63"/>
      <c r="RF63"/>
      <c r="RG63"/>
      <c r="RH63"/>
      <c r="RI63"/>
      <c r="RJ63"/>
      <c r="RK63"/>
      <c r="RL63"/>
      <c r="RM63"/>
      <c r="RN63"/>
      <c r="RO63"/>
      <c r="RP63"/>
      <c r="RQ63"/>
      <c r="RR63"/>
      <c r="RS63"/>
    </row>
    <row r="64" spans="3:487" x14ac:dyDescent="0.25">
      <c r="C64" s="2" t="s">
        <v>3640</v>
      </c>
      <c r="D64" s="34">
        <v>2</v>
      </c>
      <c r="F64" s="2" t="s">
        <v>114</v>
      </c>
      <c r="G64" s="34">
        <v>3</v>
      </c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  <c r="EB64"/>
      <c r="EC64"/>
      <c r="ED64"/>
      <c r="EE64"/>
      <c r="EF64"/>
      <c r="EG64"/>
      <c r="EH64"/>
      <c r="EI64"/>
      <c r="EJ64"/>
      <c r="EK64"/>
      <c r="EL64"/>
      <c r="EM64"/>
      <c r="EN64"/>
      <c r="EO64"/>
      <c r="EP64"/>
      <c r="EQ64"/>
      <c r="ER64"/>
      <c r="ES64"/>
      <c r="ET64"/>
      <c r="EU64"/>
      <c r="EV64"/>
      <c r="EW64"/>
      <c r="EX64"/>
      <c r="EY64"/>
      <c r="EZ64"/>
      <c r="FA64"/>
      <c r="FB64"/>
      <c r="FC64"/>
      <c r="FD64"/>
      <c r="FE64"/>
      <c r="FF64"/>
      <c r="FG64"/>
      <c r="FH64"/>
      <c r="FI64"/>
      <c r="FJ64"/>
      <c r="FK64"/>
      <c r="FL64"/>
      <c r="FM64"/>
      <c r="FN64"/>
      <c r="FO64"/>
      <c r="FP64"/>
      <c r="FQ64"/>
      <c r="FR64"/>
      <c r="FS64"/>
      <c r="FT64"/>
      <c r="FU64"/>
      <c r="FV64"/>
      <c r="FW64"/>
      <c r="FX64"/>
      <c r="FY64"/>
      <c r="FZ64"/>
      <c r="GA64"/>
      <c r="GB64"/>
      <c r="GC64"/>
      <c r="GD64"/>
      <c r="GE64"/>
      <c r="GF64"/>
      <c r="GG64"/>
      <c r="GH64"/>
      <c r="GI64"/>
      <c r="GJ64"/>
      <c r="GK64"/>
      <c r="GL64"/>
      <c r="GM64"/>
      <c r="GN64"/>
      <c r="GO64"/>
      <c r="GP64"/>
      <c r="GQ64"/>
      <c r="GR64"/>
      <c r="GS64"/>
      <c r="GT64"/>
      <c r="GU64"/>
      <c r="GV64"/>
      <c r="GW64"/>
      <c r="GX64"/>
      <c r="GY64"/>
      <c r="GZ64"/>
      <c r="HA64"/>
      <c r="HB64"/>
      <c r="HC64"/>
      <c r="HD64"/>
      <c r="HE64"/>
      <c r="HF64"/>
      <c r="HG64"/>
      <c r="HH64"/>
      <c r="HI64"/>
      <c r="HJ64"/>
      <c r="HK64"/>
      <c r="HL64"/>
      <c r="HM64"/>
      <c r="HN64"/>
      <c r="HO64"/>
      <c r="HP64"/>
      <c r="HQ64"/>
      <c r="HR64"/>
      <c r="HS64"/>
      <c r="HT64"/>
      <c r="HU64"/>
      <c r="HV64"/>
      <c r="HW64"/>
      <c r="HX64"/>
      <c r="HY64"/>
      <c r="HZ64"/>
      <c r="IA64"/>
      <c r="IB64"/>
      <c r="IC64"/>
      <c r="ID64"/>
      <c r="IE64"/>
      <c r="IF64"/>
      <c r="IG64"/>
      <c r="IH64"/>
      <c r="II64"/>
      <c r="IJ64"/>
      <c r="IK64"/>
      <c r="IL64"/>
      <c r="IM64"/>
      <c r="IN64"/>
      <c r="IO64"/>
      <c r="IP64"/>
      <c r="IQ64"/>
      <c r="IR64"/>
      <c r="IS64"/>
      <c r="IT64"/>
      <c r="IU64"/>
      <c r="IV64"/>
      <c r="IW64"/>
      <c r="IX64"/>
      <c r="IY64"/>
      <c r="IZ64"/>
      <c r="JA64"/>
      <c r="JB64"/>
      <c r="JC64"/>
      <c r="JD64"/>
      <c r="JE64"/>
      <c r="JF64"/>
      <c r="JG64"/>
      <c r="JH64"/>
      <c r="JI64"/>
      <c r="JJ64"/>
      <c r="JK64"/>
      <c r="JL64"/>
      <c r="JM64"/>
      <c r="JN64"/>
      <c r="JO64"/>
      <c r="JP64"/>
      <c r="JQ64"/>
      <c r="JR64"/>
      <c r="JS64"/>
      <c r="JT64"/>
      <c r="JU64"/>
      <c r="JV64"/>
      <c r="JW64"/>
      <c r="JX64"/>
      <c r="JY64"/>
      <c r="JZ64"/>
      <c r="KA64"/>
      <c r="KB64"/>
      <c r="KC64"/>
      <c r="KD64"/>
      <c r="KE64"/>
      <c r="KF64"/>
      <c r="KG64"/>
      <c r="KH64"/>
      <c r="KI64"/>
      <c r="KJ64"/>
      <c r="KK64"/>
      <c r="KL64"/>
      <c r="KM64"/>
      <c r="KN64"/>
      <c r="KO64"/>
      <c r="KP64"/>
      <c r="KQ64"/>
      <c r="KR64"/>
      <c r="KS64"/>
      <c r="KT64"/>
      <c r="KU64"/>
      <c r="KV64"/>
      <c r="KW64"/>
      <c r="KX64"/>
      <c r="KY64"/>
      <c r="KZ64"/>
      <c r="LA64"/>
      <c r="LB64"/>
      <c r="LC64"/>
      <c r="LD64"/>
      <c r="LE64"/>
      <c r="LF64"/>
      <c r="LG64"/>
      <c r="LH64"/>
      <c r="LI64"/>
      <c r="LJ64"/>
      <c r="LK64"/>
      <c r="LL64"/>
      <c r="LM64"/>
      <c r="LN64"/>
      <c r="LO64"/>
      <c r="LP64"/>
      <c r="LQ64"/>
      <c r="LR64"/>
      <c r="LS64"/>
      <c r="LT64"/>
      <c r="LU64"/>
      <c r="LV64"/>
      <c r="LW64"/>
      <c r="LX64"/>
      <c r="LY64"/>
      <c r="LZ64"/>
      <c r="MA64"/>
      <c r="MB64"/>
      <c r="MC64"/>
      <c r="MD64"/>
      <c r="ME64"/>
      <c r="MF64"/>
      <c r="MG64"/>
      <c r="MH64"/>
      <c r="MI64"/>
      <c r="MJ64"/>
      <c r="MK64"/>
      <c r="ML64"/>
      <c r="MM64"/>
      <c r="MN64"/>
      <c r="MO64"/>
      <c r="MP64"/>
      <c r="MQ64"/>
      <c r="MR64"/>
      <c r="MS64"/>
      <c r="MT64"/>
      <c r="MU64"/>
      <c r="MV64"/>
      <c r="MW64"/>
      <c r="MX64"/>
      <c r="MY64"/>
      <c r="MZ64"/>
      <c r="NA64"/>
      <c r="NB64"/>
      <c r="NC64"/>
      <c r="ND64"/>
      <c r="NE64"/>
      <c r="NF64"/>
      <c r="NG64"/>
      <c r="NH64"/>
      <c r="NI64"/>
      <c r="NJ64"/>
      <c r="NK64"/>
      <c r="NL64"/>
      <c r="NM64"/>
      <c r="NN64"/>
      <c r="NO64"/>
      <c r="NP64"/>
      <c r="NQ64"/>
      <c r="NR64"/>
      <c r="NS64"/>
      <c r="NT64"/>
      <c r="NU64"/>
      <c r="NV64"/>
      <c r="NW64"/>
      <c r="NX64"/>
      <c r="NY64"/>
      <c r="NZ64"/>
      <c r="OA64"/>
      <c r="OB64"/>
      <c r="OC64"/>
      <c r="OD64"/>
      <c r="OE64"/>
      <c r="OF64"/>
      <c r="OG64"/>
      <c r="OH64"/>
      <c r="OI64"/>
      <c r="OJ64"/>
      <c r="OK64"/>
      <c r="OL64"/>
      <c r="OM64"/>
      <c r="ON64"/>
      <c r="OO64"/>
      <c r="OP64"/>
      <c r="OQ64"/>
      <c r="OR64"/>
      <c r="OS64"/>
      <c r="OT64"/>
      <c r="OU64"/>
      <c r="OV64"/>
      <c r="OW64"/>
      <c r="OX64"/>
      <c r="OY64"/>
      <c r="OZ64"/>
      <c r="PA64"/>
      <c r="PB64"/>
      <c r="PC64"/>
      <c r="PD64"/>
      <c r="PE64"/>
      <c r="PF64"/>
      <c r="PG64"/>
      <c r="PH64"/>
      <c r="PI64"/>
      <c r="PJ64"/>
      <c r="PK64"/>
      <c r="PL64"/>
      <c r="PM64"/>
      <c r="PN64"/>
      <c r="PO64"/>
      <c r="PP64"/>
      <c r="PQ64"/>
      <c r="PR64"/>
      <c r="PS64"/>
      <c r="PT64"/>
      <c r="PU64"/>
      <c r="PV64"/>
      <c r="PW64"/>
      <c r="PX64"/>
      <c r="PY64"/>
      <c r="PZ64"/>
      <c r="QA64"/>
      <c r="QB64"/>
      <c r="QC64"/>
      <c r="QD64"/>
      <c r="QE64"/>
      <c r="QF64"/>
      <c r="QG64"/>
      <c r="QH64"/>
      <c r="QI64"/>
      <c r="QJ64"/>
      <c r="QK64"/>
      <c r="QL64"/>
      <c r="QM64"/>
      <c r="QN64"/>
      <c r="QO64"/>
      <c r="QP64"/>
      <c r="QQ64"/>
      <c r="QR64"/>
      <c r="QS64"/>
      <c r="QT64"/>
      <c r="QU64"/>
      <c r="QV64"/>
      <c r="QW64"/>
      <c r="QX64"/>
      <c r="QY64"/>
      <c r="QZ64"/>
      <c r="RA64"/>
      <c r="RB64"/>
      <c r="RC64"/>
      <c r="RD64"/>
      <c r="RE64"/>
      <c r="RF64"/>
      <c r="RG64"/>
      <c r="RH64"/>
      <c r="RI64"/>
      <c r="RJ64"/>
      <c r="RK64"/>
      <c r="RL64"/>
      <c r="RM64"/>
      <c r="RN64"/>
      <c r="RO64"/>
      <c r="RP64"/>
      <c r="RQ64"/>
      <c r="RR64"/>
      <c r="RS64"/>
    </row>
    <row r="65" spans="3:487" x14ac:dyDescent="0.25">
      <c r="C65" s="2" t="s">
        <v>169</v>
      </c>
      <c r="D65" s="34">
        <v>2</v>
      </c>
      <c r="F65" s="2" t="s">
        <v>199</v>
      </c>
      <c r="G65" s="34">
        <v>3</v>
      </c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  <c r="DK65"/>
      <c r="DL65"/>
      <c r="DM65"/>
      <c r="DN65"/>
      <c r="DO65"/>
      <c r="DP65"/>
      <c r="DQ65"/>
      <c r="DR65"/>
      <c r="DS65"/>
      <c r="DT65"/>
      <c r="DU65"/>
      <c r="DV65"/>
      <c r="DW65"/>
      <c r="DX65"/>
      <c r="DY65"/>
      <c r="DZ65"/>
      <c r="EA65"/>
      <c r="EB65"/>
      <c r="EC65"/>
      <c r="ED65"/>
      <c r="EE65"/>
      <c r="EF65"/>
      <c r="EG65"/>
      <c r="EH65"/>
      <c r="EI65"/>
      <c r="EJ65"/>
      <c r="EK65"/>
      <c r="EL65"/>
      <c r="EM65"/>
      <c r="EN65"/>
      <c r="EO65"/>
      <c r="EP65"/>
      <c r="EQ65"/>
      <c r="ER65"/>
      <c r="ES65"/>
      <c r="ET65"/>
      <c r="EU65"/>
      <c r="EV65"/>
      <c r="EW65"/>
      <c r="EX65"/>
      <c r="EY65"/>
      <c r="EZ65"/>
      <c r="FA65"/>
      <c r="FB65"/>
      <c r="FC65"/>
      <c r="FD65"/>
      <c r="FE65"/>
      <c r="FF65"/>
      <c r="FG65"/>
      <c r="FH65"/>
      <c r="FI65"/>
      <c r="FJ65"/>
      <c r="FK65"/>
      <c r="FL65"/>
      <c r="FM65"/>
      <c r="FN65"/>
      <c r="FO65"/>
      <c r="FP65"/>
      <c r="FQ65"/>
      <c r="FR65"/>
      <c r="FS65"/>
      <c r="FT65"/>
      <c r="FU65"/>
      <c r="FV65"/>
      <c r="FW65"/>
      <c r="FX65"/>
      <c r="FY65"/>
      <c r="FZ65"/>
      <c r="GA65"/>
      <c r="GB65"/>
      <c r="GC65"/>
      <c r="GD65"/>
      <c r="GE65"/>
      <c r="GF65"/>
      <c r="GG65"/>
      <c r="GH65"/>
      <c r="GI65"/>
      <c r="GJ65"/>
      <c r="GK65"/>
      <c r="GL65"/>
      <c r="GM65"/>
      <c r="GN65"/>
      <c r="GO65"/>
      <c r="GP65"/>
      <c r="GQ65"/>
      <c r="GR65"/>
      <c r="GS65"/>
      <c r="GT65"/>
      <c r="GU65"/>
      <c r="GV65"/>
      <c r="GW65"/>
      <c r="GX65"/>
      <c r="GY65"/>
      <c r="GZ65"/>
      <c r="HA65"/>
      <c r="HB65"/>
      <c r="HC65"/>
      <c r="HD65"/>
      <c r="HE65"/>
      <c r="HF65"/>
      <c r="HG65"/>
      <c r="HH65"/>
      <c r="HI65"/>
      <c r="HJ65"/>
      <c r="HK65"/>
      <c r="HL65"/>
      <c r="HM65"/>
      <c r="HN65"/>
      <c r="HO65"/>
      <c r="HP65"/>
      <c r="HQ65"/>
      <c r="HR65"/>
      <c r="HS65"/>
      <c r="HT65"/>
      <c r="HU65"/>
      <c r="HV65"/>
      <c r="HW65"/>
      <c r="HX65"/>
      <c r="HY65"/>
      <c r="HZ65"/>
      <c r="IA65"/>
      <c r="IB65"/>
      <c r="IC65"/>
      <c r="ID65"/>
      <c r="IE65"/>
      <c r="IF65"/>
      <c r="IG65"/>
      <c r="IH65"/>
      <c r="II65"/>
      <c r="IJ65"/>
      <c r="IK65"/>
      <c r="IL65"/>
      <c r="IM65"/>
      <c r="IN65"/>
      <c r="IO65"/>
      <c r="IP65"/>
      <c r="IQ65"/>
      <c r="IR65"/>
      <c r="IS65"/>
      <c r="IT65"/>
      <c r="IU65"/>
      <c r="IV65"/>
      <c r="IW65"/>
      <c r="IX65"/>
      <c r="IY65"/>
      <c r="IZ65"/>
      <c r="JA65"/>
      <c r="JB65"/>
      <c r="JC65"/>
      <c r="JD65"/>
      <c r="JE65"/>
      <c r="JF65"/>
      <c r="JG65"/>
      <c r="JH65"/>
      <c r="JI65"/>
      <c r="JJ65"/>
      <c r="JK65"/>
      <c r="JL65"/>
      <c r="JM65"/>
      <c r="JN65"/>
      <c r="JO65"/>
      <c r="JP65"/>
      <c r="JQ65"/>
      <c r="JR65"/>
      <c r="JS65"/>
      <c r="JT65"/>
      <c r="JU65"/>
      <c r="JV65"/>
      <c r="JW65"/>
      <c r="JX65"/>
      <c r="JY65"/>
      <c r="JZ65"/>
      <c r="KA65"/>
      <c r="KB65"/>
      <c r="KC65"/>
      <c r="KD65"/>
      <c r="KE65"/>
      <c r="KF65"/>
      <c r="KG65"/>
      <c r="KH65"/>
      <c r="KI65"/>
      <c r="KJ65"/>
      <c r="KK65"/>
      <c r="KL65"/>
      <c r="KM65"/>
      <c r="KN65"/>
      <c r="KO65"/>
      <c r="KP65"/>
      <c r="KQ65"/>
      <c r="KR65"/>
      <c r="KS65"/>
      <c r="KT65"/>
      <c r="KU65"/>
      <c r="KV65"/>
      <c r="KW65"/>
      <c r="KX65"/>
      <c r="KY65"/>
      <c r="KZ65"/>
      <c r="LA65"/>
      <c r="LB65"/>
      <c r="LC65"/>
      <c r="LD65"/>
      <c r="LE65"/>
      <c r="LF65"/>
      <c r="LG65"/>
      <c r="LH65"/>
      <c r="LI65"/>
      <c r="LJ65"/>
      <c r="LK65"/>
      <c r="LL65"/>
      <c r="LM65"/>
      <c r="LN65"/>
      <c r="LO65"/>
      <c r="LP65"/>
      <c r="LQ65"/>
      <c r="LR65"/>
      <c r="LS65"/>
      <c r="LT65"/>
      <c r="LU65"/>
      <c r="LV65"/>
      <c r="LW65"/>
      <c r="LX65"/>
      <c r="LY65"/>
      <c r="LZ65"/>
      <c r="MA65"/>
      <c r="MB65"/>
      <c r="MC65"/>
      <c r="MD65"/>
      <c r="ME65"/>
      <c r="MF65"/>
      <c r="MG65"/>
      <c r="MH65"/>
      <c r="MI65"/>
      <c r="MJ65"/>
      <c r="MK65"/>
      <c r="ML65"/>
      <c r="MM65"/>
      <c r="MN65"/>
      <c r="MO65"/>
      <c r="MP65"/>
      <c r="MQ65"/>
      <c r="MR65"/>
      <c r="MS65"/>
      <c r="MT65"/>
      <c r="MU65"/>
      <c r="MV65"/>
      <c r="MW65"/>
      <c r="MX65"/>
      <c r="MY65"/>
      <c r="MZ65"/>
      <c r="NA65"/>
      <c r="NB65"/>
      <c r="NC65"/>
      <c r="ND65"/>
      <c r="NE65"/>
      <c r="NF65"/>
      <c r="NG65"/>
      <c r="NH65"/>
      <c r="NI65"/>
      <c r="NJ65"/>
      <c r="NK65"/>
      <c r="NL65"/>
      <c r="NM65"/>
      <c r="NN65"/>
      <c r="NO65"/>
      <c r="NP65"/>
      <c r="NQ65"/>
      <c r="NR65"/>
      <c r="NS65"/>
      <c r="NT65"/>
      <c r="NU65"/>
      <c r="NV65"/>
      <c r="NW65"/>
      <c r="NX65"/>
      <c r="NY65"/>
      <c r="NZ65"/>
      <c r="OA65"/>
      <c r="OB65"/>
      <c r="OC65"/>
      <c r="OD65"/>
      <c r="OE65"/>
      <c r="OF65"/>
      <c r="OG65"/>
      <c r="OH65"/>
      <c r="OI65"/>
      <c r="OJ65"/>
      <c r="OK65"/>
      <c r="OL65"/>
      <c r="OM65"/>
      <c r="ON65"/>
      <c r="OO65"/>
      <c r="OP65"/>
      <c r="OQ65"/>
      <c r="OR65"/>
      <c r="OS65"/>
      <c r="OT65"/>
      <c r="OU65"/>
      <c r="OV65"/>
      <c r="OW65"/>
      <c r="OX65"/>
      <c r="OY65"/>
      <c r="OZ65"/>
      <c r="PA65"/>
      <c r="PB65"/>
      <c r="PC65"/>
      <c r="PD65"/>
      <c r="PE65"/>
      <c r="PF65"/>
      <c r="PG65"/>
      <c r="PH65"/>
      <c r="PI65"/>
      <c r="PJ65"/>
      <c r="PK65"/>
      <c r="PL65"/>
      <c r="PM65"/>
      <c r="PN65"/>
      <c r="PO65"/>
      <c r="PP65"/>
      <c r="PQ65"/>
      <c r="PR65"/>
      <c r="PS65"/>
      <c r="PT65"/>
      <c r="PU65"/>
      <c r="PV65"/>
      <c r="PW65"/>
      <c r="PX65"/>
      <c r="PY65"/>
      <c r="PZ65"/>
      <c r="QA65"/>
      <c r="QB65"/>
      <c r="QC65"/>
      <c r="QD65"/>
      <c r="QE65"/>
      <c r="QF65"/>
      <c r="QG65"/>
      <c r="QH65"/>
      <c r="QI65"/>
      <c r="QJ65"/>
      <c r="QK65"/>
      <c r="QL65"/>
      <c r="QM65"/>
      <c r="QN65"/>
      <c r="QO65"/>
      <c r="QP65"/>
      <c r="QQ65"/>
      <c r="QR65"/>
      <c r="QS65"/>
      <c r="QT65"/>
      <c r="QU65"/>
      <c r="QV65"/>
      <c r="QW65"/>
      <c r="QX65"/>
      <c r="QY65"/>
      <c r="QZ65"/>
      <c r="RA65"/>
      <c r="RB65"/>
      <c r="RC65"/>
      <c r="RD65"/>
      <c r="RE65"/>
      <c r="RF65"/>
      <c r="RG65"/>
      <c r="RH65"/>
      <c r="RI65"/>
      <c r="RJ65"/>
      <c r="RK65"/>
      <c r="RL65"/>
      <c r="RM65"/>
      <c r="RN65"/>
      <c r="RO65"/>
      <c r="RP65"/>
      <c r="RQ65"/>
      <c r="RR65"/>
      <c r="RS65"/>
    </row>
    <row r="66" spans="3:487" x14ac:dyDescent="0.25">
      <c r="C66" s="2" t="s">
        <v>117</v>
      </c>
      <c r="D66" s="34">
        <v>2</v>
      </c>
      <c r="F66" s="2" t="s">
        <v>102</v>
      </c>
      <c r="G66" s="34">
        <v>2</v>
      </c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  <c r="CN66"/>
      <c r="CO66"/>
      <c r="CP66"/>
      <c r="CQ66"/>
      <c r="CR66"/>
      <c r="CS66"/>
      <c r="CT66"/>
      <c r="CU66"/>
      <c r="CV66"/>
      <c r="CW66"/>
      <c r="CX66"/>
      <c r="CY66"/>
      <c r="CZ66"/>
      <c r="DA66"/>
      <c r="DB66"/>
      <c r="DC66"/>
      <c r="DD66"/>
      <c r="DE66"/>
      <c r="DF66"/>
      <c r="DG66"/>
      <c r="DH66"/>
      <c r="DI66"/>
      <c r="DJ66"/>
      <c r="DK66"/>
      <c r="DL66"/>
      <c r="DM66"/>
      <c r="DN66"/>
      <c r="DO66"/>
      <c r="DP66"/>
      <c r="DQ66"/>
      <c r="DR66"/>
      <c r="DS66"/>
      <c r="DT66"/>
      <c r="DU66"/>
      <c r="DV66"/>
      <c r="DW66"/>
      <c r="DX66"/>
      <c r="DY66"/>
      <c r="DZ66"/>
      <c r="EA66"/>
      <c r="EB66"/>
      <c r="EC66"/>
      <c r="ED66"/>
      <c r="EE66"/>
      <c r="EF66"/>
      <c r="EG66"/>
      <c r="EH66"/>
      <c r="EI66"/>
      <c r="EJ66"/>
      <c r="EK66"/>
      <c r="EL66"/>
      <c r="EM66"/>
      <c r="EN66"/>
      <c r="EO66"/>
      <c r="EP66"/>
      <c r="EQ66"/>
      <c r="ER66"/>
      <c r="ES66"/>
      <c r="ET66"/>
      <c r="EU66"/>
      <c r="EV66"/>
      <c r="EW66"/>
      <c r="EX66"/>
      <c r="EY66"/>
      <c r="EZ66"/>
      <c r="FA66"/>
      <c r="FB66"/>
      <c r="FC66"/>
      <c r="FD66"/>
      <c r="FE66"/>
      <c r="FF66"/>
      <c r="FG66"/>
      <c r="FH66"/>
      <c r="FI66"/>
      <c r="FJ66"/>
      <c r="FK66"/>
      <c r="FL66"/>
      <c r="FM66"/>
      <c r="FN66"/>
      <c r="FO66"/>
      <c r="FP66"/>
      <c r="FQ66"/>
      <c r="FR66"/>
      <c r="FS66"/>
      <c r="FT66"/>
      <c r="FU66"/>
      <c r="FV66"/>
      <c r="FW66"/>
      <c r="FX66"/>
      <c r="FY66"/>
      <c r="FZ66"/>
      <c r="GA66"/>
      <c r="GB66"/>
      <c r="GC66"/>
      <c r="GD66"/>
      <c r="GE66"/>
      <c r="GF66"/>
      <c r="GG66"/>
      <c r="GH66"/>
      <c r="GI66"/>
      <c r="GJ66"/>
      <c r="GK66"/>
      <c r="GL66"/>
      <c r="GM66"/>
      <c r="GN66"/>
      <c r="GO66"/>
      <c r="GP66"/>
      <c r="GQ66"/>
      <c r="GR66"/>
      <c r="GS66"/>
      <c r="GT66"/>
      <c r="GU66"/>
      <c r="GV66"/>
      <c r="GW66"/>
      <c r="GX66"/>
      <c r="GY66"/>
      <c r="GZ66"/>
      <c r="HA66"/>
      <c r="HB66"/>
      <c r="HC66"/>
      <c r="HD66"/>
      <c r="HE66"/>
      <c r="HF66"/>
      <c r="HG66"/>
      <c r="HH66"/>
      <c r="HI66"/>
      <c r="HJ66"/>
      <c r="HK66"/>
      <c r="HL66"/>
      <c r="HM66"/>
      <c r="HN66"/>
      <c r="HO66"/>
      <c r="HP66"/>
      <c r="HQ66"/>
      <c r="HR66"/>
      <c r="HS66"/>
      <c r="HT66"/>
      <c r="HU66"/>
      <c r="HV66"/>
      <c r="HW66"/>
      <c r="HX66"/>
      <c r="HY66"/>
      <c r="HZ66"/>
      <c r="IA66"/>
      <c r="IB66"/>
      <c r="IC66"/>
      <c r="ID66"/>
      <c r="IE66"/>
      <c r="IF66"/>
      <c r="IG66"/>
      <c r="IH66"/>
      <c r="II66"/>
      <c r="IJ66"/>
      <c r="IK66"/>
      <c r="IL66"/>
      <c r="IM66"/>
      <c r="IN66"/>
      <c r="IO66"/>
      <c r="IP66"/>
      <c r="IQ66"/>
      <c r="IR66"/>
      <c r="IS66"/>
      <c r="IT66"/>
      <c r="IU66"/>
      <c r="IV66"/>
      <c r="IW66"/>
      <c r="IX66"/>
      <c r="IY66"/>
      <c r="IZ66"/>
      <c r="JA66"/>
      <c r="JB66"/>
      <c r="JC66"/>
      <c r="JD66"/>
      <c r="JE66"/>
      <c r="JF66"/>
      <c r="JG66"/>
      <c r="JH66"/>
      <c r="JI66"/>
      <c r="JJ66"/>
      <c r="JK66"/>
      <c r="JL66"/>
      <c r="JM66"/>
      <c r="JN66"/>
      <c r="JO66"/>
      <c r="JP66"/>
      <c r="JQ66"/>
      <c r="JR66"/>
      <c r="JS66"/>
      <c r="JT66"/>
      <c r="JU66"/>
      <c r="JV66"/>
      <c r="JW66"/>
      <c r="JX66"/>
      <c r="JY66"/>
      <c r="JZ66"/>
      <c r="KA66"/>
      <c r="KB66"/>
      <c r="KC66"/>
      <c r="KD66"/>
      <c r="KE66"/>
      <c r="KF66"/>
      <c r="KG66"/>
      <c r="KH66"/>
      <c r="KI66"/>
      <c r="KJ66"/>
      <c r="KK66"/>
      <c r="KL66"/>
      <c r="KM66"/>
      <c r="KN66"/>
      <c r="KO66"/>
      <c r="KP66"/>
      <c r="KQ66"/>
      <c r="KR66"/>
      <c r="KS66"/>
      <c r="KT66"/>
      <c r="KU66"/>
      <c r="KV66"/>
      <c r="KW66"/>
      <c r="KX66"/>
      <c r="KY66"/>
      <c r="KZ66"/>
      <c r="LA66"/>
      <c r="LB66"/>
      <c r="LC66"/>
      <c r="LD66"/>
      <c r="LE66"/>
      <c r="LF66"/>
      <c r="LG66"/>
      <c r="LH66"/>
      <c r="LI66"/>
      <c r="LJ66"/>
      <c r="LK66"/>
      <c r="LL66"/>
      <c r="LM66"/>
      <c r="LN66"/>
      <c r="LO66"/>
      <c r="LP66"/>
      <c r="LQ66"/>
      <c r="LR66"/>
      <c r="LS66"/>
      <c r="LT66"/>
      <c r="LU66"/>
      <c r="LV66"/>
      <c r="LW66"/>
      <c r="LX66"/>
      <c r="LY66"/>
      <c r="LZ66"/>
      <c r="MA66"/>
      <c r="MB66"/>
      <c r="MC66"/>
      <c r="MD66"/>
      <c r="ME66"/>
      <c r="MF66"/>
      <c r="MG66"/>
      <c r="MH66"/>
      <c r="MI66"/>
      <c r="MJ66"/>
      <c r="MK66"/>
      <c r="ML66"/>
      <c r="MM66"/>
      <c r="MN66"/>
      <c r="MO66"/>
      <c r="MP66"/>
      <c r="MQ66"/>
      <c r="MR66"/>
      <c r="MS66"/>
      <c r="MT66"/>
      <c r="MU66"/>
      <c r="MV66"/>
      <c r="MW66"/>
      <c r="MX66"/>
      <c r="MY66"/>
      <c r="MZ66"/>
      <c r="NA66"/>
      <c r="NB66"/>
      <c r="NC66"/>
      <c r="ND66"/>
      <c r="NE66"/>
      <c r="NF66"/>
      <c r="NG66"/>
      <c r="NH66"/>
      <c r="NI66"/>
      <c r="NJ66"/>
      <c r="NK66"/>
      <c r="NL66"/>
      <c r="NM66"/>
      <c r="NN66"/>
      <c r="NO66"/>
      <c r="NP66"/>
      <c r="NQ66"/>
      <c r="NR66"/>
      <c r="NS66"/>
      <c r="NT66"/>
      <c r="NU66"/>
      <c r="NV66"/>
      <c r="NW66"/>
      <c r="NX66"/>
      <c r="NY66"/>
      <c r="NZ66"/>
      <c r="OA66"/>
      <c r="OB66"/>
      <c r="OC66"/>
      <c r="OD66"/>
      <c r="OE66"/>
      <c r="OF66"/>
      <c r="OG66"/>
      <c r="OH66"/>
      <c r="OI66"/>
      <c r="OJ66"/>
      <c r="OK66"/>
      <c r="OL66"/>
      <c r="OM66"/>
      <c r="ON66"/>
      <c r="OO66"/>
      <c r="OP66"/>
      <c r="OQ66"/>
      <c r="OR66"/>
      <c r="OS66"/>
      <c r="OT66"/>
      <c r="OU66"/>
      <c r="OV66"/>
      <c r="OW66"/>
      <c r="OX66"/>
      <c r="OY66"/>
      <c r="OZ66"/>
      <c r="PA66"/>
      <c r="PB66"/>
      <c r="PC66"/>
      <c r="PD66"/>
      <c r="PE66"/>
      <c r="PF66"/>
      <c r="PG66"/>
      <c r="PH66"/>
      <c r="PI66"/>
      <c r="PJ66"/>
      <c r="PK66"/>
      <c r="PL66"/>
      <c r="PM66"/>
      <c r="PN66"/>
      <c r="PO66"/>
      <c r="PP66"/>
      <c r="PQ66"/>
      <c r="PR66"/>
      <c r="PS66"/>
      <c r="PT66"/>
      <c r="PU66"/>
      <c r="PV66"/>
      <c r="PW66"/>
      <c r="PX66"/>
      <c r="PY66"/>
      <c r="PZ66"/>
      <c r="QA66"/>
      <c r="QB66"/>
      <c r="QC66"/>
      <c r="QD66"/>
      <c r="QE66"/>
      <c r="QF66"/>
      <c r="QG66"/>
      <c r="QH66"/>
      <c r="QI66"/>
      <c r="QJ66"/>
      <c r="QK66"/>
      <c r="QL66"/>
      <c r="QM66"/>
      <c r="QN66"/>
      <c r="QO66"/>
      <c r="QP66"/>
      <c r="QQ66"/>
      <c r="QR66"/>
      <c r="QS66"/>
      <c r="QT66"/>
      <c r="QU66"/>
      <c r="QV66"/>
      <c r="QW66"/>
      <c r="QX66"/>
      <c r="QY66"/>
      <c r="QZ66"/>
      <c r="RA66"/>
      <c r="RB66"/>
      <c r="RC66"/>
      <c r="RD66"/>
      <c r="RE66"/>
      <c r="RF66"/>
      <c r="RG66"/>
      <c r="RH66"/>
      <c r="RI66"/>
      <c r="RJ66"/>
      <c r="RK66"/>
      <c r="RL66"/>
      <c r="RM66"/>
      <c r="RN66"/>
      <c r="RO66"/>
      <c r="RP66"/>
      <c r="RQ66"/>
      <c r="RR66"/>
      <c r="RS66"/>
    </row>
    <row r="67" spans="3:487" x14ac:dyDescent="0.25">
      <c r="C67" s="2" t="s">
        <v>33</v>
      </c>
      <c r="D67" s="34">
        <v>2</v>
      </c>
      <c r="F67" s="2" t="s">
        <v>92</v>
      </c>
      <c r="G67" s="34">
        <v>2</v>
      </c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  <c r="CR67"/>
      <c r="CS67"/>
      <c r="CT67"/>
      <c r="CU67"/>
      <c r="CV67"/>
      <c r="CW67"/>
      <c r="CX67"/>
      <c r="CY67"/>
      <c r="CZ67"/>
      <c r="DA67"/>
      <c r="DB67"/>
      <c r="DC67"/>
      <c r="DD67"/>
      <c r="DE67"/>
      <c r="DF67"/>
      <c r="DG67"/>
      <c r="DH67"/>
      <c r="DI67"/>
      <c r="DJ67"/>
      <c r="DK67"/>
      <c r="DL67"/>
      <c r="DM67"/>
      <c r="DN67"/>
      <c r="DO67"/>
      <c r="DP67"/>
      <c r="DQ67"/>
      <c r="DR67"/>
      <c r="DS67"/>
      <c r="DT67"/>
      <c r="DU67"/>
      <c r="DV67"/>
      <c r="DW67"/>
      <c r="DX67"/>
      <c r="DY67"/>
      <c r="DZ67"/>
      <c r="EA67"/>
      <c r="EB67"/>
      <c r="EC67"/>
      <c r="ED67"/>
      <c r="EE67"/>
      <c r="EF67"/>
      <c r="EG67"/>
      <c r="EH67"/>
      <c r="EI67"/>
      <c r="EJ67"/>
      <c r="EK67"/>
      <c r="EL67"/>
      <c r="EM67"/>
      <c r="EN67"/>
      <c r="EO67"/>
      <c r="EP67"/>
      <c r="EQ67"/>
      <c r="ER67"/>
      <c r="ES67"/>
      <c r="ET67"/>
      <c r="EU67"/>
      <c r="EV67"/>
      <c r="EW67"/>
      <c r="EX67"/>
      <c r="EY67"/>
      <c r="EZ67"/>
      <c r="FA67"/>
      <c r="FB67"/>
      <c r="FC67"/>
      <c r="FD67"/>
      <c r="FE67"/>
      <c r="FF67"/>
      <c r="FG67"/>
      <c r="FH67"/>
      <c r="FI67"/>
      <c r="FJ67"/>
      <c r="FK67"/>
      <c r="FL67"/>
      <c r="FM67"/>
      <c r="FN67"/>
      <c r="FO67"/>
      <c r="FP67"/>
      <c r="FQ67"/>
      <c r="FR67"/>
      <c r="FS67"/>
      <c r="FT67"/>
      <c r="FU67"/>
      <c r="FV67"/>
      <c r="FW67"/>
      <c r="FX67"/>
      <c r="FY67"/>
      <c r="FZ67"/>
      <c r="GA67"/>
      <c r="GB67"/>
      <c r="GC67"/>
      <c r="GD67"/>
      <c r="GE67"/>
      <c r="GF67"/>
      <c r="GG67"/>
      <c r="GH67"/>
      <c r="GI67"/>
      <c r="GJ67"/>
      <c r="GK67"/>
      <c r="GL67"/>
      <c r="GM67"/>
      <c r="GN67"/>
      <c r="GO67"/>
      <c r="GP67"/>
      <c r="GQ67"/>
      <c r="GR67"/>
      <c r="GS67"/>
      <c r="GT67"/>
      <c r="GU67"/>
      <c r="GV67"/>
      <c r="GW67"/>
      <c r="GX67"/>
      <c r="GY67"/>
      <c r="GZ67"/>
      <c r="HA67"/>
      <c r="HB67"/>
      <c r="HC67"/>
      <c r="HD67"/>
      <c r="HE67"/>
      <c r="HF67"/>
      <c r="HG67"/>
      <c r="HH67"/>
      <c r="HI67"/>
      <c r="HJ67"/>
      <c r="HK67"/>
      <c r="HL67"/>
      <c r="HM67"/>
      <c r="HN67"/>
      <c r="HO67"/>
      <c r="HP67"/>
      <c r="HQ67"/>
      <c r="HR67"/>
      <c r="HS67"/>
      <c r="HT67"/>
      <c r="HU67"/>
      <c r="HV67"/>
      <c r="HW67"/>
      <c r="HX67"/>
      <c r="HY67"/>
      <c r="HZ67"/>
      <c r="IA67"/>
      <c r="IB67"/>
      <c r="IC67"/>
      <c r="ID67"/>
      <c r="IE67"/>
      <c r="IF67"/>
      <c r="IG67"/>
      <c r="IH67"/>
      <c r="II67"/>
      <c r="IJ67"/>
      <c r="IK67"/>
      <c r="IL67"/>
      <c r="IM67"/>
      <c r="IN67"/>
      <c r="IO67"/>
      <c r="IP67"/>
      <c r="IQ67"/>
      <c r="IR67"/>
      <c r="IS67"/>
      <c r="IT67"/>
      <c r="IU67"/>
      <c r="IV67"/>
      <c r="IW67"/>
      <c r="IX67"/>
      <c r="IY67"/>
      <c r="IZ67"/>
      <c r="JA67"/>
      <c r="JB67"/>
      <c r="JC67"/>
      <c r="JD67"/>
      <c r="JE67"/>
      <c r="JF67"/>
      <c r="JG67"/>
      <c r="JH67"/>
      <c r="JI67"/>
      <c r="JJ67"/>
      <c r="JK67"/>
      <c r="JL67"/>
      <c r="JM67"/>
      <c r="JN67"/>
      <c r="JO67"/>
      <c r="JP67"/>
      <c r="JQ67"/>
      <c r="JR67"/>
      <c r="JS67"/>
      <c r="JT67"/>
      <c r="JU67"/>
      <c r="JV67"/>
      <c r="JW67"/>
      <c r="JX67"/>
      <c r="JY67"/>
      <c r="JZ67"/>
      <c r="KA67"/>
      <c r="KB67"/>
      <c r="KC67"/>
      <c r="KD67"/>
      <c r="KE67"/>
      <c r="KF67"/>
      <c r="KG67"/>
      <c r="KH67"/>
      <c r="KI67"/>
      <c r="KJ67"/>
      <c r="KK67"/>
      <c r="KL67"/>
      <c r="KM67"/>
      <c r="KN67"/>
      <c r="KO67"/>
      <c r="KP67"/>
      <c r="KQ67"/>
      <c r="KR67"/>
      <c r="KS67"/>
      <c r="KT67"/>
      <c r="KU67"/>
      <c r="KV67"/>
      <c r="KW67"/>
      <c r="KX67"/>
      <c r="KY67"/>
      <c r="KZ67"/>
      <c r="LA67"/>
      <c r="LB67"/>
      <c r="LC67"/>
      <c r="LD67"/>
      <c r="LE67"/>
      <c r="LF67"/>
      <c r="LG67"/>
      <c r="LH67"/>
      <c r="LI67"/>
      <c r="LJ67"/>
      <c r="LK67"/>
      <c r="LL67"/>
      <c r="LM67"/>
      <c r="LN67"/>
      <c r="LO67"/>
      <c r="LP67"/>
      <c r="LQ67"/>
      <c r="LR67"/>
      <c r="LS67"/>
      <c r="LT67"/>
      <c r="LU67"/>
      <c r="LV67"/>
      <c r="LW67"/>
      <c r="LX67"/>
      <c r="LY67"/>
      <c r="LZ67"/>
      <c r="MA67"/>
      <c r="MB67"/>
      <c r="MC67"/>
      <c r="MD67"/>
      <c r="ME67"/>
      <c r="MF67"/>
      <c r="MG67"/>
      <c r="MH67"/>
      <c r="MI67"/>
      <c r="MJ67"/>
      <c r="MK67"/>
      <c r="ML67"/>
      <c r="MM67"/>
      <c r="MN67"/>
      <c r="MO67"/>
      <c r="MP67"/>
      <c r="MQ67"/>
      <c r="MR67"/>
      <c r="MS67"/>
      <c r="MT67"/>
      <c r="MU67"/>
      <c r="MV67"/>
      <c r="MW67"/>
      <c r="MX67"/>
      <c r="MY67"/>
      <c r="MZ67"/>
      <c r="NA67"/>
      <c r="NB67"/>
      <c r="NC67"/>
      <c r="ND67"/>
      <c r="NE67"/>
      <c r="NF67"/>
      <c r="NG67"/>
      <c r="NH67"/>
      <c r="NI67"/>
      <c r="NJ67"/>
      <c r="NK67"/>
      <c r="NL67"/>
      <c r="NM67"/>
      <c r="NN67"/>
      <c r="NO67"/>
      <c r="NP67"/>
      <c r="NQ67"/>
      <c r="NR67"/>
      <c r="NS67"/>
      <c r="NT67"/>
      <c r="NU67"/>
      <c r="NV67"/>
      <c r="NW67"/>
      <c r="NX67"/>
      <c r="NY67"/>
      <c r="NZ67"/>
      <c r="OA67"/>
      <c r="OB67"/>
      <c r="OC67"/>
      <c r="OD67"/>
      <c r="OE67"/>
      <c r="OF67"/>
      <c r="OG67"/>
      <c r="OH67"/>
      <c r="OI67"/>
      <c r="OJ67"/>
      <c r="OK67"/>
      <c r="OL67"/>
      <c r="OM67"/>
      <c r="ON67"/>
      <c r="OO67"/>
      <c r="OP67"/>
      <c r="OQ67"/>
      <c r="OR67"/>
      <c r="OS67"/>
      <c r="OT67"/>
      <c r="OU67"/>
      <c r="OV67"/>
      <c r="OW67"/>
      <c r="OX67"/>
      <c r="OY67"/>
      <c r="OZ67"/>
      <c r="PA67"/>
      <c r="PB67"/>
      <c r="PC67"/>
      <c r="PD67"/>
      <c r="PE67"/>
      <c r="PF67"/>
      <c r="PG67"/>
      <c r="PH67"/>
      <c r="PI67"/>
      <c r="PJ67"/>
      <c r="PK67"/>
      <c r="PL67"/>
      <c r="PM67"/>
      <c r="PN67"/>
      <c r="PO67"/>
      <c r="PP67"/>
      <c r="PQ67"/>
      <c r="PR67"/>
      <c r="PS67"/>
      <c r="PT67"/>
      <c r="PU67"/>
      <c r="PV67"/>
      <c r="PW67"/>
      <c r="PX67"/>
      <c r="PY67"/>
      <c r="PZ67"/>
      <c r="QA67"/>
      <c r="QB67"/>
      <c r="QC67"/>
      <c r="QD67"/>
      <c r="QE67"/>
      <c r="QF67"/>
      <c r="QG67"/>
      <c r="QH67"/>
      <c r="QI67"/>
      <c r="QJ67"/>
      <c r="QK67"/>
      <c r="QL67"/>
      <c r="QM67"/>
      <c r="QN67"/>
      <c r="QO67"/>
      <c r="QP67"/>
      <c r="QQ67"/>
      <c r="QR67"/>
      <c r="QS67"/>
      <c r="QT67"/>
      <c r="QU67"/>
      <c r="QV67"/>
      <c r="QW67"/>
      <c r="QX67"/>
      <c r="QY67"/>
      <c r="QZ67"/>
      <c r="RA67"/>
      <c r="RB67"/>
      <c r="RC67"/>
      <c r="RD67"/>
      <c r="RE67"/>
      <c r="RF67"/>
      <c r="RG67"/>
      <c r="RH67"/>
      <c r="RI67"/>
      <c r="RJ67"/>
      <c r="RK67"/>
      <c r="RL67"/>
      <c r="RM67"/>
      <c r="RN67"/>
      <c r="RO67"/>
      <c r="RP67"/>
      <c r="RQ67"/>
      <c r="RR67"/>
      <c r="RS67"/>
    </row>
    <row r="68" spans="3:487" x14ac:dyDescent="0.25">
      <c r="C68" s="2" t="s">
        <v>39</v>
      </c>
      <c r="D68" s="34">
        <v>2</v>
      </c>
      <c r="F68" s="2" t="s">
        <v>3531</v>
      </c>
      <c r="G68" s="34">
        <v>2</v>
      </c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  <c r="CQ68"/>
      <c r="CR68"/>
      <c r="CS68"/>
      <c r="CT68"/>
      <c r="CU68"/>
      <c r="CV68"/>
      <c r="CW68"/>
      <c r="CX68"/>
      <c r="CY68"/>
      <c r="CZ68"/>
      <c r="DA68"/>
      <c r="DB68"/>
      <c r="DC68"/>
      <c r="DD68"/>
      <c r="DE68"/>
      <c r="DF68"/>
      <c r="DG68"/>
      <c r="DH68"/>
      <c r="DI68"/>
      <c r="DJ68"/>
      <c r="DK68"/>
      <c r="DL68"/>
      <c r="DM68"/>
      <c r="DN68"/>
      <c r="DO68"/>
      <c r="DP68"/>
      <c r="DQ68"/>
      <c r="DR68"/>
      <c r="DS68"/>
      <c r="DT68"/>
      <c r="DU68"/>
      <c r="DV68"/>
      <c r="DW68"/>
      <c r="DX68"/>
      <c r="DY68"/>
      <c r="DZ68"/>
      <c r="EA68"/>
      <c r="EB68"/>
      <c r="EC68"/>
      <c r="ED68"/>
      <c r="EE68"/>
      <c r="EF68"/>
      <c r="EG68"/>
      <c r="EH68"/>
      <c r="EI68"/>
      <c r="EJ68"/>
      <c r="EK68"/>
      <c r="EL68"/>
      <c r="EM68"/>
      <c r="EN68"/>
      <c r="EO68"/>
      <c r="EP68"/>
      <c r="EQ68"/>
      <c r="ER68"/>
      <c r="ES68"/>
      <c r="ET68"/>
      <c r="EU68"/>
      <c r="EV68"/>
      <c r="EW68"/>
      <c r="EX68"/>
      <c r="EY68"/>
      <c r="EZ68"/>
      <c r="FA68"/>
      <c r="FB68"/>
      <c r="FC68"/>
      <c r="FD68"/>
      <c r="FE68"/>
      <c r="FF68"/>
      <c r="FG68"/>
      <c r="FH68"/>
      <c r="FI68"/>
      <c r="FJ68"/>
      <c r="FK68"/>
      <c r="FL68"/>
      <c r="FM68"/>
      <c r="FN68"/>
      <c r="FO68"/>
      <c r="FP68"/>
      <c r="FQ68"/>
      <c r="FR68"/>
      <c r="FS68"/>
      <c r="FT68"/>
      <c r="FU68"/>
      <c r="FV68"/>
      <c r="FW68"/>
      <c r="FX68"/>
      <c r="FY68"/>
      <c r="FZ68"/>
      <c r="GA68"/>
      <c r="GB68"/>
      <c r="GC68"/>
      <c r="GD68"/>
      <c r="GE68"/>
      <c r="GF68"/>
      <c r="GG68"/>
      <c r="GH68"/>
      <c r="GI68"/>
      <c r="GJ68"/>
      <c r="GK68"/>
      <c r="GL68"/>
      <c r="GM68"/>
      <c r="GN68"/>
      <c r="GO68"/>
      <c r="GP68"/>
      <c r="GQ68"/>
      <c r="GR68"/>
      <c r="GS68"/>
      <c r="GT68"/>
      <c r="GU68"/>
      <c r="GV68"/>
      <c r="GW68"/>
      <c r="GX68"/>
      <c r="GY68"/>
      <c r="GZ68"/>
      <c r="HA68"/>
      <c r="HB68"/>
      <c r="HC68"/>
      <c r="HD68"/>
      <c r="HE68"/>
      <c r="HF68"/>
      <c r="HG68"/>
      <c r="HH68"/>
      <c r="HI68"/>
      <c r="HJ68"/>
      <c r="HK68"/>
      <c r="HL68"/>
      <c r="HM68"/>
      <c r="HN68"/>
      <c r="HO68"/>
      <c r="HP68"/>
      <c r="HQ68"/>
      <c r="HR68"/>
      <c r="HS68"/>
      <c r="HT68"/>
      <c r="HU68"/>
      <c r="HV68"/>
      <c r="HW68"/>
      <c r="HX68"/>
      <c r="HY68"/>
      <c r="HZ68"/>
      <c r="IA68"/>
      <c r="IB68"/>
      <c r="IC68"/>
      <c r="ID68"/>
      <c r="IE68"/>
      <c r="IF68"/>
      <c r="IG68"/>
      <c r="IH68"/>
      <c r="II68"/>
      <c r="IJ68"/>
      <c r="IK68"/>
      <c r="IL68"/>
      <c r="IM68"/>
      <c r="IN68"/>
      <c r="IO68"/>
      <c r="IP68"/>
      <c r="IQ68"/>
      <c r="IR68"/>
      <c r="IS68"/>
      <c r="IT68"/>
      <c r="IU68"/>
      <c r="IV68"/>
      <c r="IW68"/>
      <c r="IX68"/>
      <c r="IY68"/>
      <c r="IZ68"/>
      <c r="JA68"/>
      <c r="JB68"/>
      <c r="JC68"/>
      <c r="JD68"/>
      <c r="JE68"/>
      <c r="JF68"/>
      <c r="JG68"/>
      <c r="JH68"/>
      <c r="JI68"/>
      <c r="JJ68"/>
      <c r="JK68"/>
      <c r="JL68"/>
      <c r="JM68"/>
      <c r="JN68"/>
      <c r="JO68"/>
      <c r="JP68"/>
      <c r="JQ68"/>
      <c r="JR68"/>
      <c r="JS68"/>
      <c r="JT68"/>
      <c r="JU68"/>
      <c r="JV68"/>
      <c r="JW68"/>
      <c r="JX68"/>
      <c r="JY68"/>
      <c r="JZ68"/>
      <c r="KA68"/>
      <c r="KB68"/>
      <c r="KC68"/>
      <c r="KD68"/>
      <c r="KE68"/>
      <c r="KF68"/>
      <c r="KG68"/>
      <c r="KH68"/>
      <c r="KI68"/>
      <c r="KJ68"/>
      <c r="KK68"/>
      <c r="KL68"/>
      <c r="KM68"/>
      <c r="KN68"/>
      <c r="KO68"/>
      <c r="KP68"/>
      <c r="KQ68"/>
      <c r="KR68"/>
      <c r="KS68"/>
      <c r="KT68"/>
      <c r="KU68"/>
      <c r="KV68"/>
      <c r="KW68"/>
      <c r="KX68"/>
      <c r="KY68"/>
      <c r="KZ68"/>
      <c r="LA68"/>
      <c r="LB68"/>
      <c r="LC68"/>
      <c r="LD68"/>
      <c r="LE68"/>
      <c r="LF68"/>
      <c r="LG68"/>
      <c r="LH68"/>
      <c r="LI68"/>
      <c r="LJ68"/>
      <c r="LK68"/>
      <c r="LL68"/>
      <c r="LM68"/>
      <c r="LN68"/>
      <c r="LO68"/>
      <c r="LP68"/>
      <c r="LQ68"/>
      <c r="LR68"/>
      <c r="LS68"/>
      <c r="LT68"/>
      <c r="LU68"/>
      <c r="LV68"/>
      <c r="LW68"/>
      <c r="LX68"/>
      <c r="LY68"/>
      <c r="LZ68"/>
      <c r="MA68"/>
      <c r="MB68"/>
      <c r="MC68"/>
      <c r="MD68"/>
      <c r="ME68"/>
      <c r="MF68"/>
      <c r="MG68"/>
      <c r="MH68"/>
      <c r="MI68"/>
      <c r="MJ68"/>
      <c r="MK68"/>
      <c r="ML68"/>
      <c r="MM68"/>
      <c r="MN68"/>
      <c r="MO68"/>
      <c r="MP68"/>
      <c r="MQ68"/>
      <c r="MR68"/>
      <c r="MS68"/>
      <c r="MT68"/>
      <c r="MU68"/>
      <c r="MV68"/>
      <c r="MW68"/>
      <c r="MX68"/>
      <c r="MY68"/>
      <c r="MZ68"/>
      <c r="NA68"/>
      <c r="NB68"/>
      <c r="NC68"/>
      <c r="ND68"/>
      <c r="NE68"/>
      <c r="NF68"/>
      <c r="NG68"/>
      <c r="NH68"/>
      <c r="NI68"/>
      <c r="NJ68"/>
      <c r="NK68"/>
      <c r="NL68"/>
      <c r="NM68"/>
      <c r="NN68"/>
      <c r="NO68"/>
      <c r="NP68"/>
      <c r="NQ68"/>
      <c r="NR68"/>
      <c r="NS68"/>
      <c r="NT68"/>
      <c r="NU68"/>
      <c r="NV68"/>
      <c r="NW68"/>
      <c r="NX68"/>
      <c r="NY68"/>
      <c r="NZ68"/>
      <c r="OA68"/>
      <c r="OB68"/>
      <c r="OC68"/>
      <c r="OD68"/>
      <c r="OE68"/>
      <c r="OF68"/>
      <c r="OG68"/>
      <c r="OH68"/>
      <c r="OI68"/>
      <c r="OJ68"/>
      <c r="OK68"/>
      <c r="OL68"/>
      <c r="OM68"/>
      <c r="ON68"/>
      <c r="OO68"/>
      <c r="OP68"/>
      <c r="OQ68"/>
      <c r="OR68"/>
      <c r="OS68"/>
      <c r="OT68"/>
      <c r="OU68"/>
      <c r="OV68"/>
      <c r="OW68"/>
      <c r="OX68"/>
      <c r="OY68"/>
      <c r="OZ68"/>
      <c r="PA68"/>
      <c r="PB68"/>
      <c r="PC68"/>
      <c r="PD68"/>
      <c r="PE68"/>
      <c r="PF68"/>
      <c r="PG68"/>
      <c r="PH68"/>
      <c r="PI68"/>
      <c r="PJ68"/>
      <c r="PK68"/>
      <c r="PL68"/>
      <c r="PM68"/>
      <c r="PN68"/>
      <c r="PO68"/>
      <c r="PP68"/>
      <c r="PQ68"/>
      <c r="PR68"/>
      <c r="PS68"/>
      <c r="PT68"/>
      <c r="PU68"/>
      <c r="PV68"/>
      <c r="PW68"/>
      <c r="PX68"/>
      <c r="PY68"/>
      <c r="PZ68"/>
      <c r="QA68"/>
      <c r="QB68"/>
      <c r="QC68"/>
      <c r="QD68"/>
      <c r="QE68"/>
      <c r="QF68"/>
      <c r="QG68"/>
      <c r="QH68"/>
      <c r="QI68"/>
      <c r="QJ68"/>
      <c r="QK68"/>
      <c r="QL68"/>
      <c r="QM68"/>
      <c r="QN68"/>
      <c r="QO68"/>
      <c r="QP68"/>
      <c r="QQ68"/>
      <c r="QR68"/>
      <c r="QS68"/>
      <c r="QT68"/>
      <c r="QU68"/>
      <c r="QV68"/>
      <c r="QW68"/>
      <c r="QX68"/>
      <c r="QY68"/>
      <c r="QZ68"/>
      <c r="RA68"/>
      <c r="RB68"/>
      <c r="RC68"/>
      <c r="RD68"/>
      <c r="RE68"/>
      <c r="RF68"/>
      <c r="RG68"/>
      <c r="RH68"/>
      <c r="RI68"/>
      <c r="RJ68"/>
      <c r="RK68"/>
      <c r="RL68"/>
      <c r="RM68"/>
      <c r="RN68"/>
      <c r="RO68"/>
      <c r="RP68"/>
      <c r="RQ68"/>
      <c r="RR68"/>
      <c r="RS68"/>
    </row>
    <row r="69" spans="3:487" x14ac:dyDescent="0.25">
      <c r="C69" s="2" t="s">
        <v>105</v>
      </c>
      <c r="D69" s="34">
        <v>2</v>
      </c>
      <c r="F69" s="2" t="s">
        <v>77</v>
      </c>
      <c r="G69" s="34">
        <v>2</v>
      </c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  <c r="CN69"/>
      <c r="CO69"/>
      <c r="CP69"/>
      <c r="CQ69"/>
      <c r="CR69"/>
      <c r="CS69"/>
      <c r="CT69"/>
      <c r="CU69"/>
      <c r="CV69"/>
      <c r="CW69"/>
      <c r="CX69"/>
      <c r="CY69"/>
      <c r="CZ69"/>
      <c r="DA69"/>
      <c r="DB69"/>
      <c r="DC69"/>
      <c r="DD69"/>
      <c r="DE69"/>
      <c r="DF69"/>
      <c r="DG69"/>
      <c r="DH69"/>
      <c r="DI69"/>
      <c r="DJ69"/>
      <c r="DK69"/>
      <c r="DL69"/>
      <c r="DM69"/>
      <c r="DN69"/>
      <c r="DO69"/>
      <c r="DP69"/>
      <c r="DQ69"/>
      <c r="DR69"/>
      <c r="DS69"/>
      <c r="DT69"/>
      <c r="DU69"/>
      <c r="DV69"/>
      <c r="DW69"/>
      <c r="DX69"/>
      <c r="DY69"/>
      <c r="DZ69"/>
      <c r="EA69"/>
      <c r="EB69"/>
      <c r="EC69"/>
      <c r="ED69"/>
      <c r="EE69"/>
      <c r="EF69"/>
      <c r="EG69"/>
      <c r="EH69"/>
      <c r="EI69"/>
      <c r="EJ69"/>
      <c r="EK69"/>
      <c r="EL69"/>
      <c r="EM69"/>
      <c r="EN69"/>
      <c r="EO69"/>
      <c r="EP69"/>
      <c r="EQ69"/>
      <c r="ER69"/>
      <c r="ES69"/>
      <c r="ET69"/>
      <c r="EU69"/>
      <c r="EV69"/>
      <c r="EW69"/>
      <c r="EX69"/>
      <c r="EY69"/>
      <c r="EZ69"/>
      <c r="FA69"/>
      <c r="FB69"/>
      <c r="FC69"/>
      <c r="FD69"/>
      <c r="FE69"/>
      <c r="FF69"/>
      <c r="FG69"/>
      <c r="FH69"/>
      <c r="FI69"/>
      <c r="FJ69"/>
      <c r="FK69"/>
      <c r="FL69"/>
      <c r="FM69"/>
      <c r="FN69"/>
      <c r="FO69"/>
      <c r="FP69"/>
      <c r="FQ69"/>
      <c r="FR69"/>
      <c r="FS69"/>
      <c r="FT69"/>
      <c r="FU69"/>
      <c r="FV69"/>
      <c r="FW69"/>
      <c r="FX69"/>
      <c r="FY69"/>
      <c r="FZ69"/>
      <c r="GA69"/>
      <c r="GB69"/>
      <c r="GC69"/>
      <c r="GD69"/>
      <c r="GE69"/>
      <c r="GF69"/>
      <c r="GG69"/>
      <c r="GH69"/>
      <c r="GI69"/>
      <c r="GJ69"/>
      <c r="GK69"/>
      <c r="GL69"/>
      <c r="GM69"/>
      <c r="GN69"/>
      <c r="GO69"/>
      <c r="GP69"/>
      <c r="GQ69"/>
      <c r="GR69"/>
      <c r="GS69"/>
      <c r="GT69"/>
      <c r="GU69"/>
      <c r="GV69"/>
      <c r="GW69"/>
      <c r="GX69"/>
      <c r="GY69"/>
      <c r="GZ69"/>
      <c r="HA69"/>
      <c r="HB69"/>
      <c r="HC69"/>
      <c r="HD69"/>
      <c r="HE69"/>
      <c r="HF69"/>
      <c r="HG69"/>
      <c r="HH69"/>
      <c r="HI69"/>
      <c r="HJ69"/>
      <c r="HK69"/>
      <c r="HL69"/>
      <c r="HM69"/>
      <c r="HN69"/>
      <c r="HO69"/>
      <c r="HP69"/>
      <c r="HQ69"/>
      <c r="HR69"/>
      <c r="HS69"/>
      <c r="HT69"/>
      <c r="HU69"/>
      <c r="HV69"/>
      <c r="HW69"/>
      <c r="HX69"/>
      <c r="HY69"/>
      <c r="HZ69"/>
      <c r="IA69"/>
      <c r="IB69"/>
      <c r="IC69"/>
      <c r="ID69"/>
      <c r="IE69"/>
      <c r="IF69"/>
      <c r="IG69"/>
      <c r="IH69"/>
      <c r="II69"/>
      <c r="IJ69"/>
      <c r="IK69"/>
      <c r="IL69"/>
      <c r="IM69"/>
      <c r="IN69"/>
      <c r="IO69"/>
      <c r="IP69"/>
      <c r="IQ69"/>
      <c r="IR69"/>
      <c r="IS69"/>
      <c r="IT69"/>
      <c r="IU69"/>
      <c r="IV69"/>
      <c r="IW69"/>
      <c r="IX69"/>
      <c r="IY69"/>
      <c r="IZ69"/>
      <c r="JA69"/>
      <c r="JB69"/>
      <c r="JC69"/>
      <c r="JD69"/>
      <c r="JE69"/>
      <c r="JF69"/>
      <c r="JG69"/>
      <c r="JH69"/>
      <c r="JI69"/>
      <c r="JJ69"/>
      <c r="JK69"/>
      <c r="JL69"/>
      <c r="JM69"/>
      <c r="JN69"/>
      <c r="JO69"/>
      <c r="JP69"/>
      <c r="JQ69"/>
      <c r="JR69"/>
      <c r="JS69"/>
      <c r="JT69"/>
      <c r="JU69"/>
      <c r="JV69"/>
      <c r="JW69"/>
      <c r="JX69"/>
      <c r="JY69"/>
      <c r="JZ69"/>
      <c r="KA69"/>
      <c r="KB69"/>
      <c r="KC69"/>
      <c r="KD69"/>
      <c r="KE69"/>
      <c r="KF69"/>
      <c r="KG69"/>
      <c r="KH69"/>
      <c r="KI69"/>
      <c r="KJ69"/>
      <c r="KK69"/>
      <c r="KL69"/>
      <c r="KM69"/>
      <c r="KN69"/>
      <c r="KO69"/>
      <c r="KP69"/>
      <c r="KQ69"/>
      <c r="KR69"/>
      <c r="KS69"/>
      <c r="KT69"/>
      <c r="KU69"/>
      <c r="KV69"/>
      <c r="KW69"/>
      <c r="KX69"/>
      <c r="KY69"/>
      <c r="KZ69"/>
      <c r="LA69"/>
      <c r="LB69"/>
      <c r="LC69"/>
      <c r="LD69"/>
      <c r="LE69"/>
      <c r="LF69"/>
      <c r="LG69"/>
      <c r="LH69"/>
      <c r="LI69"/>
      <c r="LJ69"/>
      <c r="LK69"/>
      <c r="LL69"/>
      <c r="LM69"/>
      <c r="LN69"/>
      <c r="LO69"/>
      <c r="LP69"/>
      <c r="LQ69"/>
      <c r="LR69"/>
      <c r="LS69"/>
      <c r="LT69"/>
      <c r="LU69"/>
      <c r="LV69"/>
      <c r="LW69"/>
      <c r="LX69"/>
      <c r="LY69"/>
      <c r="LZ69"/>
      <c r="MA69"/>
      <c r="MB69"/>
      <c r="MC69"/>
      <c r="MD69"/>
      <c r="ME69"/>
      <c r="MF69"/>
      <c r="MG69"/>
      <c r="MH69"/>
      <c r="MI69"/>
      <c r="MJ69"/>
      <c r="MK69"/>
      <c r="ML69"/>
      <c r="MM69"/>
      <c r="MN69"/>
      <c r="MO69"/>
      <c r="MP69"/>
      <c r="MQ69"/>
      <c r="MR69"/>
      <c r="MS69"/>
      <c r="MT69"/>
      <c r="MU69"/>
      <c r="MV69"/>
      <c r="MW69"/>
      <c r="MX69"/>
      <c r="MY69"/>
      <c r="MZ69"/>
      <c r="NA69"/>
      <c r="NB69"/>
      <c r="NC69"/>
      <c r="ND69"/>
      <c r="NE69"/>
      <c r="NF69"/>
      <c r="NG69"/>
      <c r="NH69"/>
      <c r="NI69"/>
      <c r="NJ69"/>
      <c r="NK69"/>
      <c r="NL69"/>
      <c r="NM69"/>
      <c r="NN69"/>
      <c r="NO69"/>
      <c r="NP69"/>
      <c r="NQ69"/>
      <c r="NR69"/>
      <c r="NS69"/>
      <c r="NT69"/>
      <c r="NU69"/>
      <c r="NV69"/>
      <c r="NW69"/>
      <c r="NX69"/>
      <c r="NY69"/>
      <c r="NZ69"/>
      <c r="OA69"/>
      <c r="OB69"/>
      <c r="OC69"/>
      <c r="OD69"/>
      <c r="OE69"/>
      <c r="OF69"/>
      <c r="OG69"/>
      <c r="OH69"/>
      <c r="OI69"/>
      <c r="OJ69"/>
      <c r="OK69"/>
      <c r="OL69"/>
      <c r="OM69"/>
      <c r="ON69"/>
      <c r="OO69"/>
      <c r="OP69"/>
      <c r="OQ69"/>
      <c r="OR69"/>
      <c r="OS69"/>
      <c r="OT69"/>
      <c r="OU69"/>
      <c r="OV69"/>
      <c r="OW69"/>
      <c r="OX69"/>
      <c r="OY69"/>
      <c r="OZ69"/>
      <c r="PA69"/>
      <c r="PB69"/>
      <c r="PC69"/>
      <c r="PD69"/>
      <c r="PE69"/>
      <c r="PF69"/>
      <c r="PG69"/>
      <c r="PH69"/>
      <c r="PI69"/>
      <c r="PJ69"/>
      <c r="PK69"/>
      <c r="PL69"/>
      <c r="PM69"/>
      <c r="PN69"/>
      <c r="PO69"/>
      <c r="PP69"/>
      <c r="PQ69"/>
      <c r="PR69"/>
      <c r="PS69"/>
      <c r="PT69"/>
      <c r="PU69"/>
      <c r="PV69"/>
      <c r="PW69"/>
      <c r="PX69"/>
      <c r="PY69"/>
      <c r="PZ69"/>
      <c r="QA69"/>
      <c r="QB69"/>
      <c r="QC69"/>
      <c r="QD69"/>
      <c r="QE69"/>
      <c r="QF69"/>
      <c r="QG69"/>
      <c r="QH69"/>
      <c r="QI69"/>
      <c r="QJ69"/>
      <c r="QK69"/>
      <c r="QL69"/>
      <c r="QM69"/>
      <c r="QN69"/>
      <c r="QO69"/>
      <c r="QP69"/>
      <c r="QQ69"/>
      <c r="QR69"/>
      <c r="QS69"/>
      <c r="QT69"/>
      <c r="QU69"/>
      <c r="QV69"/>
      <c r="QW69"/>
      <c r="QX69"/>
      <c r="QY69"/>
      <c r="QZ69"/>
      <c r="RA69"/>
      <c r="RB69"/>
      <c r="RC69"/>
      <c r="RD69"/>
      <c r="RE69"/>
      <c r="RF69"/>
      <c r="RG69"/>
      <c r="RH69"/>
      <c r="RI69"/>
      <c r="RJ69"/>
      <c r="RK69"/>
      <c r="RL69"/>
      <c r="RM69"/>
      <c r="RN69"/>
      <c r="RO69"/>
      <c r="RP69"/>
      <c r="RQ69"/>
      <c r="RR69"/>
      <c r="RS69"/>
    </row>
    <row r="70" spans="3:487" x14ac:dyDescent="0.25">
      <c r="C70" s="2" t="s">
        <v>80</v>
      </c>
      <c r="D70" s="34">
        <v>2</v>
      </c>
      <c r="F70" s="2" t="s">
        <v>207</v>
      </c>
      <c r="G70" s="34">
        <v>2</v>
      </c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  <c r="CN70"/>
      <c r="CO70"/>
      <c r="CP70"/>
      <c r="CQ70"/>
      <c r="CR70"/>
      <c r="CS70"/>
      <c r="CT70"/>
      <c r="CU70"/>
      <c r="CV70"/>
      <c r="CW70"/>
      <c r="CX70"/>
      <c r="CY70"/>
      <c r="CZ70"/>
      <c r="DA70"/>
      <c r="DB70"/>
      <c r="DC70"/>
      <c r="DD70"/>
      <c r="DE70"/>
      <c r="DF70"/>
      <c r="DG70"/>
      <c r="DH70"/>
      <c r="DI70"/>
      <c r="DJ70"/>
      <c r="DK70"/>
      <c r="DL70"/>
      <c r="DM70"/>
      <c r="DN70"/>
      <c r="DO70"/>
      <c r="DP70"/>
      <c r="DQ70"/>
      <c r="DR70"/>
      <c r="DS70"/>
      <c r="DT70"/>
      <c r="DU70"/>
      <c r="DV70"/>
      <c r="DW70"/>
      <c r="DX70"/>
      <c r="DY70"/>
      <c r="DZ70"/>
      <c r="EA70"/>
      <c r="EB70"/>
      <c r="EC70"/>
      <c r="ED70"/>
      <c r="EE70"/>
      <c r="EF70"/>
      <c r="EG70"/>
      <c r="EH70"/>
      <c r="EI70"/>
      <c r="EJ70"/>
      <c r="EK70"/>
      <c r="EL70"/>
      <c r="EM70"/>
      <c r="EN70"/>
      <c r="EO70"/>
      <c r="EP70"/>
      <c r="EQ70"/>
      <c r="ER70"/>
      <c r="ES70"/>
      <c r="ET70"/>
      <c r="EU70"/>
      <c r="EV70"/>
      <c r="EW70"/>
      <c r="EX70"/>
      <c r="EY70"/>
      <c r="EZ70"/>
      <c r="FA70"/>
      <c r="FB70"/>
      <c r="FC70"/>
      <c r="FD70"/>
      <c r="FE70"/>
      <c r="FF70"/>
      <c r="FG70"/>
      <c r="FH70"/>
      <c r="FI70"/>
      <c r="FJ70"/>
      <c r="FK70"/>
      <c r="FL70"/>
      <c r="FM70"/>
      <c r="FN70"/>
      <c r="FO70"/>
      <c r="FP70"/>
      <c r="FQ70"/>
      <c r="FR70"/>
      <c r="FS70"/>
      <c r="FT70"/>
      <c r="FU70"/>
      <c r="FV70"/>
      <c r="FW70"/>
      <c r="FX70"/>
      <c r="FY70"/>
      <c r="FZ70"/>
      <c r="GA70"/>
      <c r="GB70"/>
      <c r="GC70"/>
      <c r="GD70"/>
      <c r="GE70"/>
      <c r="GF70"/>
      <c r="GG70"/>
      <c r="GH70"/>
      <c r="GI70"/>
      <c r="GJ70"/>
      <c r="GK70"/>
      <c r="GL70"/>
      <c r="GM70"/>
      <c r="GN70"/>
      <c r="GO70"/>
      <c r="GP70"/>
      <c r="GQ70"/>
      <c r="GR70"/>
      <c r="GS70"/>
      <c r="GT70"/>
      <c r="GU70"/>
      <c r="GV70"/>
      <c r="GW70"/>
      <c r="GX70"/>
      <c r="GY70"/>
      <c r="GZ70"/>
      <c r="HA70"/>
      <c r="HB70"/>
      <c r="HC70"/>
      <c r="HD70"/>
      <c r="HE70"/>
      <c r="HF70"/>
      <c r="HG70"/>
      <c r="HH70"/>
      <c r="HI70"/>
      <c r="HJ70"/>
      <c r="HK70"/>
      <c r="HL70"/>
      <c r="HM70"/>
      <c r="HN70"/>
      <c r="HO70"/>
      <c r="HP70"/>
      <c r="HQ70"/>
      <c r="HR70"/>
      <c r="HS70"/>
      <c r="HT70"/>
      <c r="HU70"/>
      <c r="HV70"/>
      <c r="HW70"/>
      <c r="HX70"/>
      <c r="HY70"/>
      <c r="HZ70"/>
      <c r="IA70"/>
      <c r="IB70"/>
      <c r="IC70"/>
      <c r="ID70"/>
      <c r="IE70"/>
      <c r="IF70"/>
      <c r="IG70"/>
      <c r="IH70"/>
      <c r="II70"/>
      <c r="IJ70"/>
      <c r="IK70"/>
      <c r="IL70"/>
      <c r="IM70"/>
      <c r="IN70"/>
      <c r="IO70"/>
      <c r="IP70"/>
      <c r="IQ70"/>
      <c r="IR70"/>
      <c r="IS70"/>
      <c r="IT70"/>
      <c r="IU70"/>
      <c r="IV70"/>
      <c r="IW70"/>
      <c r="IX70"/>
      <c r="IY70"/>
      <c r="IZ70"/>
      <c r="JA70"/>
      <c r="JB70"/>
      <c r="JC70"/>
      <c r="JD70"/>
      <c r="JE70"/>
      <c r="JF70"/>
      <c r="JG70"/>
      <c r="JH70"/>
      <c r="JI70"/>
      <c r="JJ70"/>
      <c r="JK70"/>
      <c r="JL70"/>
      <c r="JM70"/>
      <c r="JN70"/>
      <c r="JO70"/>
      <c r="JP70"/>
      <c r="JQ70"/>
      <c r="JR70"/>
      <c r="JS70"/>
      <c r="JT70"/>
      <c r="JU70"/>
      <c r="JV70"/>
      <c r="JW70"/>
      <c r="JX70"/>
      <c r="JY70"/>
      <c r="JZ70"/>
      <c r="KA70"/>
      <c r="KB70"/>
      <c r="KC70"/>
      <c r="KD70"/>
      <c r="KE70"/>
      <c r="KF70"/>
      <c r="KG70"/>
      <c r="KH70"/>
      <c r="KI70"/>
      <c r="KJ70"/>
      <c r="KK70"/>
      <c r="KL70"/>
      <c r="KM70"/>
      <c r="KN70"/>
      <c r="KO70"/>
      <c r="KP70"/>
      <c r="KQ70"/>
      <c r="KR70"/>
      <c r="KS70"/>
      <c r="KT70"/>
      <c r="KU70"/>
      <c r="KV70"/>
      <c r="KW70"/>
      <c r="KX70"/>
      <c r="KY70"/>
      <c r="KZ70"/>
      <c r="LA70"/>
      <c r="LB70"/>
      <c r="LC70"/>
      <c r="LD70"/>
      <c r="LE70"/>
      <c r="LF70"/>
      <c r="LG70"/>
      <c r="LH70"/>
      <c r="LI70"/>
      <c r="LJ70"/>
      <c r="LK70"/>
      <c r="LL70"/>
      <c r="LM70"/>
      <c r="LN70"/>
      <c r="LO70"/>
      <c r="LP70"/>
      <c r="LQ70"/>
      <c r="LR70"/>
      <c r="LS70"/>
      <c r="LT70"/>
      <c r="LU70"/>
      <c r="LV70"/>
      <c r="LW70"/>
      <c r="LX70"/>
      <c r="LY70"/>
      <c r="LZ70"/>
      <c r="MA70"/>
      <c r="MB70"/>
      <c r="MC70"/>
      <c r="MD70"/>
      <c r="ME70"/>
      <c r="MF70"/>
      <c r="MG70"/>
      <c r="MH70"/>
      <c r="MI70"/>
      <c r="MJ70"/>
      <c r="MK70"/>
      <c r="ML70"/>
      <c r="MM70"/>
      <c r="MN70"/>
      <c r="MO70"/>
      <c r="MP70"/>
      <c r="MQ70"/>
      <c r="MR70"/>
      <c r="MS70"/>
      <c r="MT70"/>
      <c r="MU70"/>
      <c r="MV70"/>
      <c r="MW70"/>
      <c r="MX70"/>
      <c r="MY70"/>
      <c r="MZ70"/>
      <c r="NA70"/>
      <c r="NB70"/>
      <c r="NC70"/>
      <c r="ND70"/>
      <c r="NE70"/>
      <c r="NF70"/>
      <c r="NG70"/>
      <c r="NH70"/>
      <c r="NI70"/>
      <c r="NJ70"/>
      <c r="NK70"/>
      <c r="NL70"/>
      <c r="NM70"/>
      <c r="NN70"/>
      <c r="NO70"/>
      <c r="NP70"/>
      <c r="NQ70"/>
      <c r="NR70"/>
      <c r="NS70"/>
      <c r="NT70"/>
      <c r="NU70"/>
      <c r="NV70"/>
      <c r="NW70"/>
      <c r="NX70"/>
      <c r="NY70"/>
      <c r="NZ70"/>
      <c r="OA70"/>
      <c r="OB70"/>
      <c r="OC70"/>
      <c r="OD70"/>
      <c r="OE70"/>
      <c r="OF70"/>
      <c r="OG70"/>
      <c r="OH70"/>
      <c r="OI70"/>
      <c r="OJ70"/>
      <c r="OK70"/>
      <c r="OL70"/>
      <c r="OM70"/>
      <c r="ON70"/>
      <c r="OO70"/>
      <c r="OP70"/>
      <c r="OQ70"/>
      <c r="OR70"/>
      <c r="OS70"/>
      <c r="OT70"/>
      <c r="OU70"/>
      <c r="OV70"/>
      <c r="OW70"/>
      <c r="OX70"/>
      <c r="OY70"/>
      <c r="OZ70"/>
      <c r="PA70"/>
      <c r="PB70"/>
      <c r="PC70"/>
      <c r="PD70"/>
      <c r="PE70"/>
      <c r="PF70"/>
      <c r="PG70"/>
      <c r="PH70"/>
      <c r="PI70"/>
      <c r="PJ70"/>
      <c r="PK70"/>
      <c r="PL70"/>
      <c r="PM70"/>
      <c r="PN70"/>
      <c r="PO70"/>
      <c r="PP70"/>
      <c r="PQ70"/>
      <c r="PR70"/>
      <c r="PS70"/>
      <c r="PT70"/>
      <c r="PU70"/>
      <c r="PV70"/>
      <c r="PW70"/>
      <c r="PX70"/>
      <c r="PY70"/>
      <c r="PZ70"/>
      <c r="QA70"/>
      <c r="QB70"/>
      <c r="QC70"/>
      <c r="QD70"/>
      <c r="QE70"/>
      <c r="QF70"/>
      <c r="QG70"/>
      <c r="QH70"/>
      <c r="QI70"/>
      <c r="QJ70"/>
      <c r="QK70"/>
      <c r="QL70"/>
      <c r="QM70"/>
      <c r="QN70"/>
      <c r="QO70"/>
      <c r="QP70"/>
      <c r="QQ70"/>
      <c r="QR70"/>
      <c r="QS70"/>
      <c r="QT70"/>
      <c r="QU70"/>
      <c r="QV70"/>
      <c r="QW70"/>
      <c r="QX70"/>
      <c r="QY70"/>
      <c r="QZ70"/>
      <c r="RA70"/>
      <c r="RB70"/>
      <c r="RC70"/>
      <c r="RD70"/>
      <c r="RE70"/>
      <c r="RF70"/>
      <c r="RG70"/>
      <c r="RH70"/>
      <c r="RI70"/>
      <c r="RJ70"/>
      <c r="RK70"/>
      <c r="RL70"/>
      <c r="RM70"/>
      <c r="RN70"/>
      <c r="RO70"/>
      <c r="RP70"/>
      <c r="RQ70"/>
      <c r="RR70"/>
      <c r="RS70"/>
    </row>
    <row r="71" spans="3:487" x14ac:dyDescent="0.25">
      <c r="C71" s="2" t="s">
        <v>151</v>
      </c>
      <c r="D71" s="34">
        <v>2</v>
      </c>
      <c r="F71" s="2" t="s">
        <v>116</v>
      </c>
      <c r="G71" s="34">
        <v>2</v>
      </c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CP71"/>
      <c r="CQ71"/>
      <c r="CR71"/>
      <c r="CS71"/>
      <c r="CT71"/>
      <c r="CU71"/>
      <c r="CV71"/>
      <c r="CW71"/>
      <c r="CX71"/>
      <c r="CY71"/>
      <c r="CZ71"/>
      <c r="DA71"/>
      <c r="DB71"/>
      <c r="DC71"/>
      <c r="DD71"/>
      <c r="DE71"/>
      <c r="DF71"/>
      <c r="DG71"/>
      <c r="DH71"/>
      <c r="DI71"/>
      <c r="DJ71"/>
      <c r="DK71"/>
      <c r="DL71"/>
      <c r="DM71"/>
      <c r="DN71"/>
      <c r="DO71"/>
      <c r="DP71"/>
      <c r="DQ71"/>
      <c r="DR71"/>
      <c r="DS71"/>
      <c r="DT71"/>
      <c r="DU71"/>
      <c r="DV71"/>
      <c r="DW71"/>
      <c r="DX71"/>
      <c r="DY71"/>
      <c r="DZ71"/>
      <c r="EA71"/>
      <c r="EB71"/>
      <c r="EC71"/>
      <c r="ED71"/>
      <c r="EE71"/>
      <c r="EF71"/>
      <c r="EG71"/>
      <c r="EH71"/>
      <c r="EI71"/>
      <c r="EJ71"/>
      <c r="EK71"/>
      <c r="EL71"/>
      <c r="EM71"/>
      <c r="EN71"/>
      <c r="EO71"/>
      <c r="EP71"/>
      <c r="EQ71"/>
      <c r="ER71"/>
      <c r="ES71"/>
      <c r="ET71"/>
      <c r="EU71"/>
      <c r="EV71"/>
      <c r="EW71"/>
      <c r="EX71"/>
      <c r="EY71"/>
      <c r="EZ71"/>
      <c r="FA71"/>
      <c r="FB71"/>
      <c r="FC71"/>
      <c r="FD71"/>
      <c r="FE71"/>
      <c r="FF71"/>
      <c r="FG71"/>
      <c r="FH71"/>
      <c r="FI71"/>
      <c r="FJ71"/>
      <c r="FK71"/>
      <c r="FL71"/>
      <c r="FM71"/>
      <c r="FN71"/>
      <c r="FO71"/>
      <c r="FP71"/>
      <c r="FQ71"/>
      <c r="FR71"/>
      <c r="FS71"/>
      <c r="FT71"/>
      <c r="FU71"/>
      <c r="FV71"/>
      <c r="FW71"/>
      <c r="FX71"/>
      <c r="FY71"/>
      <c r="FZ71"/>
      <c r="GA71"/>
      <c r="GB71"/>
      <c r="GC71"/>
      <c r="GD71"/>
      <c r="GE71"/>
      <c r="GF71"/>
      <c r="GG71"/>
      <c r="GH71"/>
      <c r="GI71"/>
      <c r="GJ71"/>
      <c r="GK71"/>
      <c r="GL71"/>
      <c r="GM71"/>
      <c r="GN71"/>
      <c r="GO71"/>
      <c r="GP71"/>
      <c r="GQ71"/>
      <c r="GR71"/>
      <c r="GS71"/>
      <c r="GT71"/>
      <c r="GU71"/>
      <c r="GV71"/>
      <c r="GW71"/>
      <c r="GX71"/>
      <c r="GY71"/>
      <c r="GZ71"/>
      <c r="HA71"/>
      <c r="HB71"/>
      <c r="HC71"/>
      <c r="HD71"/>
      <c r="HE71"/>
      <c r="HF71"/>
      <c r="HG71"/>
      <c r="HH71"/>
      <c r="HI71"/>
      <c r="HJ71"/>
      <c r="HK71"/>
      <c r="HL71"/>
      <c r="HM71"/>
      <c r="HN71"/>
      <c r="HO71"/>
      <c r="HP71"/>
      <c r="HQ71"/>
      <c r="HR71"/>
      <c r="HS71"/>
      <c r="HT71"/>
      <c r="HU71"/>
      <c r="HV71"/>
      <c r="HW71"/>
      <c r="HX71"/>
      <c r="HY71"/>
      <c r="HZ71"/>
      <c r="IA71"/>
      <c r="IB71"/>
      <c r="IC71"/>
      <c r="ID71"/>
      <c r="IE71"/>
      <c r="IF71"/>
      <c r="IG71"/>
      <c r="IH71"/>
      <c r="II71"/>
      <c r="IJ71"/>
      <c r="IK71"/>
      <c r="IL71"/>
      <c r="IM71"/>
      <c r="IN71"/>
      <c r="IO71"/>
      <c r="IP71"/>
      <c r="IQ71"/>
      <c r="IR71"/>
      <c r="IS71"/>
      <c r="IT71"/>
      <c r="IU71"/>
      <c r="IV71"/>
      <c r="IW71"/>
      <c r="IX71"/>
      <c r="IY71"/>
      <c r="IZ71"/>
      <c r="JA71"/>
      <c r="JB71"/>
      <c r="JC71"/>
      <c r="JD71"/>
      <c r="JE71"/>
      <c r="JF71"/>
      <c r="JG71"/>
      <c r="JH71"/>
      <c r="JI71"/>
      <c r="JJ71"/>
      <c r="JK71"/>
      <c r="JL71"/>
      <c r="JM71"/>
      <c r="JN71"/>
      <c r="JO71"/>
      <c r="JP71"/>
      <c r="JQ71"/>
      <c r="JR71"/>
      <c r="JS71"/>
      <c r="JT71"/>
      <c r="JU71"/>
      <c r="JV71"/>
      <c r="JW71"/>
      <c r="JX71"/>
      <c r="JY71"/>
      <c r="JZ71"/>
      <c r="KA71"/>
      <c r="KB71"/>
      <c r="KC71"/>
      <c r="KD71"/>
      <c r="KE71"/>
      <c r="KF71"/>
      <c r="KG71"/>
      <c r="KH71"/>
      <c r="KI71"/>
      <c r="KJ71"/>
      <c r="KK71"/>
      <c r="KL71"/>
      <c r="KM71"/>
      <c r="KN71"/>
      <c r="KO71"/>
      <c r="KP71"/>
      <c r="KQ71"/>
      <c r="KR71"/>
      <c r="KS71"/>
      <c r="KT71"/>
      <c r="KU71"/>
      <c r="KV71"/>
      <c r="KW71"/>
      <c r="KX71"/>
      <c r="KY71"/>
      <c r="KZ71"/>
      <c r="LA71"/>
      <c r="LB71"/>
      <c r="LC71"/>
      <c r="LD71"/>
      <c r="LE71"/>
      <c r="LF71"/>
      <c r="LG71"/>
      <c r="LH71"/>
      <c r="LI71"/>
      <c r="LJ71"/>
      <c r="LK71"/>
      <c r="LL71"/>
      <c r="LM71"/>
      <c r="LN71"/>
      <c r="LO71"/>
      <c r="LP71"/>
      <c r="LQ71"/>
      <c r="LR71"/>
      <c r="LS71"/>
      <c r="LT71"/>
      <c r="LU71"/>
      <c r="LV71"/>
      <c r="LW71"/>
      <c r="LX71"/>
      <c r="LY71"/>
      <c r="LZ71"/>
      <c r="MA71"/>
      <c r="MB71"/>
      <c r="MC71"/>
      <c r="MD71"/>
      <c r="ME71"/>
      <c r="MF71"/>
      <c r="MG71"/>
      <c r="MH71"/>
      <c r="MI71"/>
      <c r="MJ71"/>
      <c r="MK71"/>
      <c r="ML71"/>
      <c r="MM71"/>
      <c r="MN71"/>
      <c r="MO71"/>
      <c r="MP71"/>
      <c r="MQ71"/>
      <c r="MR71"/>
      <c r="MS71"/>
      <c r="MT71"/>
      <c r="MU71"/>
      <c r="MV71"/>
      <c r="MW71"/>
      <c r="MX71"/>
      <c r="MY71"/>
      <c r="MZ71"/>
      <c r="NA71"/>
      <c r="NB71"/>
      <c r="NC71"/>
      <c r="ND71"/>
      <c r="NE71"/>
      <c r="NF71"/>
      <c r="NG71"/>
      <c r="NH71"/>
      <c r="NI71"/>
      <c r="NJ71"/>
      <c r="NK71"/>
      <c r="NL71"/>
      <c r="NM71"/>
      <c r="NN71"/>
      <c r="NO71"/>
      <c r="NP71"/>
      <c r="NQ71"/>
      <c r="NR71"/>
      <c r="NS71"/>
      <c r="NT71"/>
      <c r="NU71"/>
      <c r="NV71"/>
      <c r="NW71"/>
      <c r="NX71"/>
      <c r="NY71"/>
      <c r="NZ71"/>
      <c r="OA71"/>
      <c r="OB71"/>
      <c r="OC71"/>
      <c r="OD71"/>
      <c r="OE71"/>
      <c r="OF71"/>
      <c r="OG71"/>
      <c r="OH71"/>
      <c r="OI71"/>
      <c r="OJ71"/>
      <c r="OK71"/>
      <c r="OL71"/>
      <c r="OM71"/>
      <c r="ON71"/>
      <c r="OO71"/>
      <c r="OP71"/>
      <c r="OQ71"/>
      <c r="OR71"/>
      <c r="OS71"/>
      <c r="OT71"/>
      <c r="OU71"/>
      <c r="OV71"/>
      <c r="OW71"/>
      <c r="OX71"/>
      <c r="OY71"/>
      <c r="OZ71"/>
      <c r="PA71"/>
      <c r="PB71"/>
      <c r="PC71"/>
      <c r="PD71"/>
      <c r="PE71"/>
      <c r="PF71"/>
      <c r="PG71"/>
      <c r="PH71"/>
      <c r="PI71"/>
      <c r="PJ71"/>
      <c r="PK71"/>
      <c r="PL71"/>
      <c r="PM71"/>
      <c r="PN71"/>
      <c r="PO71"/>
      <c r="PP71"/>
      <c r="PQ71"/>
      <c r="PR71"/>
      <c r="PS71"/>
      <c r="PT71"/>
      <c r="PU71"/>
      <c r="PV71"/>
      <c r="PW71"/>
      <c r="PX71"/>
      <c r="PY71"/>
      <c r="PZ71"/>
      <c r="QA71"/>
      <c r="QB71"/>
      <c r="QC71"/>
      <c r="QD71"/>
      <c r="QE71"/>
      <c r="QF71"/>
      <c r="QG71"/>
      <c r="QH71"/>
      <c r="QI71"/>
      <c r="QJ71"/>
      <c r="QK71"/>
      <c r="QL71"/>
      <c r="QM71"/>
      <c r="QN71"/>
      <c r="QO71"/>
      <c r="QP71"/>
      <c r="QQ71"/>
      <c r="QR71"/>
      <c r="QS71"/>
      <c r="QT71"/>
      <c r="QU71"/>
      <c r="QV71"/>
      <c r="QW71"/>
      <c r="QX71"/>
      <c r="QY71"/>
      <c r="QZ71"/>
      <c r="RA71"/>
      <c r="RB71"/>
      <c r="RC71"/>
      <c r="RD71"/>
      <c r="RE71"/>
      <c r="RF71"/>
      <c r="RG71"/>
      <c r="RH71"/>
      <c r="RI71"/>
      <c r="RJ71"/>
      <c r="RK71"/>
      <c r="RL71"/>
      <c r="RM71"/>
      <c r="RN71"/>
      <c r="RO71"/>
      <c r="RP71"/>
      <c r="RQ71"/>
      <c r="RR71"/>
      <c r="RS71"/>
    </row>
    <row r="72" spans="3:487" x14ac:dyDescent="0.25">
      <c r="C72" s="2" t="s">
        <v>78</v>
      </c>
      <c r="D72" s="34">
        <v>2</v>
      </c>
      <c r="F72" s="2" t="s">
        <v>718</v>
      </c>
      <c r="G72" s="34">
        <v>2</v>
      </c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  <c r="CN72"/>
      <c r="CO72"/>
      <c r="CP72"/>
      <c r="CQ72"/>
      <c r="CR72"/>
      <c r="CS72"/>
      <c r="CT72"/>
      <c r="CU72"/>
      <c r="CV72"/>
      <c r="CW72"/>
      <c r="CX72"/>
      <c r="CY72"/>
      <c r="CZ72"/>
      <c r="DA72"/>
      <c r="DB72"/>
      <c r="DC72"/>
      <c r="DD72"/>
      <c r="DE72"/>
      <c r="DF72"/>
      <c r="DG72"/>
      <c r="DH72"/>
      <c r="DI72"/>
      <c r="DJ72"/>
      <c r="DK72"/>
      <c r="DL72"/>
      <c r="DM72"/>
      <c r="DN72"/>
      <c r="DO72"/>
      <c r="DP72"/>
      <c r="DQ72"/>
      <c r="DR72"/>
      <c r="DS72"/>
      <c r="DT72"/>
      <c r="DU72"/>
      <c r="DV72"/>
      <c r="DW72"/>
      <c r="DX72"/>
      <c r="DY72"/>
      <c r="DZ72"/>
      <c r="EA72"/>
      <c r="EB72"/>
      <c r="EC72"/>
      <c r="ED72"/>
      <c r="EE72"/>
      <c r="EF72"/>
      <c r="EG72"/>
      <c r="EH72"/>
      <c r="EI72"/>
      <c r="EJ72"/>
      <c r="EK72"/>
      <c r="EL72"/>
      <c r="EM72"/>
      <c r="EN72"/>
      <c r="EO72"/>
      <c r="EP72"/>
      <c r="EQ72"/>
      <c r="ER72"/>
      <c r="ES72"/>
      <c r="ET72"/>
      <c r="EU72"/>
      <c r="EV72"/>
      <c r="EW72"/>
      <c r="EX72"/>
      <c r="EY72"/>
      <c r="EZ72"/>
      <c r="FA72"/>
      <c r="FB72"/>
      <c r="FC72"/>
      <c r="FD72"/>
      <c r="FE72"/>
      <c r="FF72"/>
      <c r="FG72"/>
      <c r="FH72"/>
      <c r="FI72"/>
      <c r="FJ72"/>
      <c r="FK72"/>
      <c r="FL72"/>
      <c r="FM72"/>
      <c r="FN72"/>
      <c r="FO72"/>
      <c r="FP72"/>
      <c r="FQ72"/>
      <c r="FR72"/>
      <c r="FS72"/>
      <c r="FT72"/>
      <c r="FU72"/>
      <c r="FV72"/>
      <c r="FW72"/>
      <c r="FX72"/>
      <c r="FY72"/>
      <c r="FZ72"/>
      <c r="GA72"/>
      <c r="GB72"/>
      <c r="GC72"/>
      <c r="GD72"/>
      <c r="GE72"/>
      <c r="GF72"/>
      <c r="GG72"/>
      <c r="GH72"/>
      <c r="GI72"/>
      <c r="GJ72"/>
      <c r="GK72"/>
      <c r="GL72"/>
      <c r="GM72"/>
      <c r="GN72"/>
      <c r="GO72"/>
      <c r="GP72"/>
      <c r="GQ72"/>
      <c r="GR72"/>
      <c r="GS72"/>
      <c r="GT72"/>
      <c r="GU72"/>
      <c r="GV72"/>
      <c r="GW72"/>
      <c r="GX72"/>
      <c r="GY72"/>
      <c r="GZ72"/>
      <c r="HA72"/>
      <c r="HB72"/>
      <c r="HC72"/>
      <c r="HD72"/>
      <c r="HE72"/>
      <c r="HF72"/>
      <c r="HG72"/>
      <c r="HH72"/>
      <c r="HI72"/>
      <c r="HJ72"/>
      <c r="HK72"/>
      <c r="HL72"/>
      <c r="HM72"/>
      <c r="HN72"/>
      <c r="HO72"/>
      <c r="HP72"/>
      <c r="HQ72"/>
      <c r="HR72"/>
      <c r="HS72"/>
      <c r="HT72"/>
      <c r="HU72"/>
      <c r="HV72"/>
      <c r="HW72"/>
      <c r="HX72"/>
      <c r="HY72"/>
      <c r="HZ72"/>
      <c r="IA72"/>
      <c r="IB72"/>
      <c r="IC72"/>
      <c r="ID72"/>
      <c r="IE72"/>
      <c r="IF72"/>
      <c r="IG72"/>
      <c r="IH72"/>
      <c r="II72"/>
      <c r="IJ72"/>
      <c r="IK72"/>
      <c r="IL72"/>
      <c r="IM72"/>
      <c r="IN72"/>
      <c r="IO72"/>
      <c r="IP72"/>
      <c r="IQ72"/>
      <c r="IR72"/>
      <c r="IS72"/>
      <c r="IT72"/>
      <c r="IU72"/>
      <c r="IV72"/>
      <c r="IW72"/>
      <c r="IX72"/>
      <c r="IY72"/>
      <c r="IZ72"/>
      <c r="JA72"/>
      <c r="JB72"/>
      <c r="JC72"/>
      <c r="JD72"/>
      <c r="JE72"/>
      <c r="JF72"/>
      <c r="JG72"/>
      <c r="JH72"/>
      <c r="JI72"/>
      <c r="JJ72"/>
      <c r="JK72"/>
      <c r="JL72"/>
      <c r="JM72"/>
      <c r="JN72"/>
      <c r="JO72"/>
      <c r="JP72"/>
      <c r="JQ72"/>
      <c r="JR72"/>
      <c r="JS72"/>
      <c r="JT72"/>
      <c r="JU72"/>
      <c r="JV72"/>
      <c r="JW72"/>
      <c r="JX72"/>
      <c r="JY72"/>
      <c r="JZ72"/>
      <c r="KA72"/>
      <c r="KB72"/>
      <c r="KC72"/>
      <c r="KD72"/>
      <c r="KE72"/>
      <c r="KF72"/>
      <c r="KG72"/>
      <c r="KH72"/>
      <c r="KI72"/>
      <c r="KJ72"/>
      <c r="KK72"/>
      <c r="KL72"/>
      <c r="KM72"/>
      <c r="KN72"/>
      <c r="KO72"/>
      <c r="KP72"/>
      <c r="KQ72"/>
      <c r="KR72"/>
      <c r="KS72"/>
      <c r="KT72"/>
      <c r="KU72"/>
      <c r="KV72"/>
      <c r="KW72"/>
      <c r="KX72"/>
      <c r="KY72"/>
      <c r="KZ72"/>
      <c r="LA72"/>
      <c r="LB72"/>
      <c r="LC72"/>
      <c r="LD72"/>
      <c r="LE72"/>
      <c r="LF72"/>
      <c r="LG72"/>
      <c r="LH72"/>
      <c r="LI72"/>
      <c r="LJ72"/>
      <c r="LK72"/>
      <c r="LL72"/>
      <c r="LM72"/>
      <c r="LN72"/>
      <c r="LO72"/>
      <c r="LP72"/>
      <c r="LQ72"/>
      <c r="LR72"/>
      <c r="LS72"/>
      <c r="LT72"/>
      <c r="LU72"/>
      <c r="LV72"/>
      <c r="LW72"/>
      <c r="LX72"/>
      <c r="LY72"/>
      <c r="LZ72"/>
      <c r="MA72"/>
      <c r="MB72"/>
      <c r="MC72"/>
      <c r="MD72"/>
      <c r="ME72"/>
      <c r="MF72"/>
      <c r="MG72"/>
      <c r="MH72"/>
      <c r="MI72"/>
      <c r="MJ72"/>
      <c r="MK72"/>
      <c r="ML72"/>
      <c r="MM72"/>
      <c r="MN72"/>
      <c r="MO72"/>
      <c r="MP72"/>
      <c r="MQ72"/>
      <c r="MR72"/>
      <c r="MS72"/>
      <c r="MT72"/>
      <c r="MU72"/>
      <c r="MV72"/>
      <c r="MW72"/>
      <c r="MX72"/>
      <c r="MY72"/>
      <c r="MZ72"/>
      <c r="NA72"/>
      <c r="NB72"/>
      <c r="NC72"/>
      <c r="ND72"/>
      <c r="NE72"/>
      <c r="NF72"/>
      <c r="NG72"/>
      <c r="NH72"/>
      <c r="NI72"/>
      <c r="NJ72"/>
      <c r="NK72"/>
      <c r="NL72"/>
      <c r="NM72"/>
      <c r="NN72"/>
      <c r="NO72"/>
      <c r="NP72"/>
      <c r="NQ72"/>
      <c r="NR72"/>
      <c r="NS72"/>
      <c r="NT72"/>
      <c r="NU72"/>
      <c r="NV72"/>
      <c r="NW72"/>
      <c r="NX72"/>
      <c r="NY72"/>
      <c r="NZ72"/>
      <c r="OA72"/>
      <c r="OB72"/>
      <c r="OC72"/>
      <c r="OD72"/>
      <c r="OE72"/>
      <c r="OF72"/>
      <c r="OG72"/>
      <c r="OH72"/>
      <c r="OI72"/>
      <c r="OJ72"/>
      <c r="OK72"/>
      <c r="OL72"/>
      <c r="OM72"/>
      <c r="ON72"/>
      <c r="OO72"/>
      <c r="OP72"/>
      <c r="OQ72"/>
      <c r="OR72"/>
      <c r="OS72"/>
      <c r="OT72"/>
      <c r="OU72"/>
      <c r="OV72"/>
      <c r="OW72"/>
      <c r="OX72"/>
      <c r="OY72"/>
      <c r="OZ72"/>
      <c r="PA72"/>
      <c r="PB72"/>
      <c r="PC72"/>
      <c r="PD72"/>
      <c r="PE72"/>
      <c r="PF72"/>
      <c r="PG72"/>
      <c r="PH72"/>
      <c r="PI72"/>
      <c r="PJ72"/>
      <c r="PK72"/>
      <c r="PL72"/>
      <c r="PM72"/>
      <c r="PN72"/>
      <c r="PO72"/>
      <c r="PP72"/>
      <c r="PQ72"/>
      <c r="PR72"/>
      <c r="PS72"/>
      <c r="PT72"/>
      <c r="PU72"/>
      <c r="PV72"/>
      <c r="PW72"/>
      <c r="PX72"/>
      <c r="PY72"/>
      <c r="PZ72"/>
      <c r="QA72"/>
      <c r="QB72"/>
      <c r="QC72"/>
      <c r="QD72"/>
      <c r="QE72"/>
      <c r="QF72"/>
      <c r="QG72"/>
      <c r="QH72"/>
      <c r="QI72"/>
      <c r="QJ72"/>
      <c r="QK72"/>
      <c r="QL72"/>
      <c r="QM72"/>
      <c r="QN72"/>
      <c r="QO72"/>
      <c r="QP72"/>
      <c r="QQ72"/>
      <c r="QR72"/>
      <c r="QS72"/>
      <c r="QT72"/>
      <c r="QU72"/>
      <c r="QV72"/>
      <c r="QW72"/>
      <c r="QX72"/>
      <c r="QY72"/>
      <c r="QZ72"/>
      <c r="RA72"/>
      <c r="RB72"/>
      <c r="RC72"/>
      <c r="RD72"/>
      <c r="RE72"/>
      <c r="RF72"/>
      <c r="RG72"/>
      <c r="RH72"/>
      <c r="RI72"/>
      <c r="RJ72"/>
      <c r="RK72"/>
      <c r="RL72"/>
      <c r="RM72"/>
      <c r="RN72"/>
      <c r="RO72"/>
      <c r="RP72"/>
      <c r="RQ72"/>
      <c r="RR72"/>
      <c r="RS72"/>
    </row>
    <row r="73" spans="3:487" x14ac:dyDescent="0.25">
      <c r="C73" s="2" t="s">
        <v>109</v>
      </c>
      <c r="D73" s="34">
        <v>2</v>
      </c>
      <c r="F73" s="2" t="s">
        <v>73</v>
      </c>
      <c r="G73" s="34">
        <v>2</v>
      </c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  <c r="CN73"/>
      <c r="CO73"/>
      <c r="CP73"/>
      <c r="CQ73"/>
      <c r="CR73"/>
      <c r="CS73"/>
      <c r="CT73"/>
      <c r="CU73"/>
      <c r="CV73"/>
      <c r="CW73"/>
      <c r="CX73"/>
      <c r="CY73"/>
      <c r="CZ73"/>
      <c r="DA73"/>
      <c r="DB73"/>
      <c r="DC73"/>
      <c r="DD73"/>
      <c r="DE73"/>
      <c r="DF73"/>
      <c r="DG73"/>
      <c r="DH73"/>
      <c r="DI73"/>
      <c r="DJ73"/>
      <c r="DK73"/>
      <c r="DL73"/>
      <c r="DM73"/>
      <c r="DN73"/>
      <c r="DO73"/>
      <c r="DP73"/>
      <c r="DQ73"/>
      <c r="DR73"/>
      <c r="DS73"/>
      <c r="DT73"/>
      <c r="DU73"/>
      <c r="DV73"/>
      <c r="DW73"/>
      <c r="DX73"/>
      <c r="DY73"/>
      <c r="DZ73"/>
      <c r="EA73"/>
      <c r="EB73"/>
      <c r="EC73"/>
      <c r="ED73"/>
      <c r="EE73"/>
      <c r="EF73"/>
      <c r="EG73"/>
      <c r="EH73"/>
      <c r="EI73"/>
      <c r="EJ73"/>
      <c r="EK73"/>
      <c r="EL73"/>
      <c r="EM73"/>
      <c r="EN73"/>
      <c r="EO73"/>
      <c r="EP73"/>
      <c r="EQ73"/>
      <c r="ER73"/>
      <c r="ES73"/>
      <c r="ET73"/>
      <c r="EU73"/>
      <c r="EV73"/>
      <c r="EW73"/>
      <c r="EX73"/>
      <c r="EY73"/>
      <c r="EZ73"/>
      <c r="FA73"/>
      <c r="FB73"/>
      <c r="FC73"/>
      <c r="FD73"/>
      <c r="FE73"/>
      <c r="FF73"/>
      <c r="FG73"/>
      <c r="FH73"/>
      <c r="FI73"/>
      <c r="FJ73"/>
      <c r="FK73"/>
      <c r="FL73"/>
      <c r="FM73"/>
      <c r="FN73"/>
      <c r="FO73"/>
      <c r="FP73"/>
      <c r="FQ73"/>
      <c r="FR73"/>
      <c r="FS73"/>
      <c r="FT73"/>
      <c r="FU73"/>
      <c r="FV73"/>
      <c r="FW73"/>
      <c r="FX73"/>
      <c r="FY73"/>
      <c r="FZ73"/>
      <c r="GA73"/>
      <c r="GB73"/>
      <c r="GC73"/>
      <c r="GD73"/>
      <c r="GE73"/>
      <c r="GF73"/>
      <c r="GG73"/>
      <c r="GH73"/>
      <c r="GI73"/>
      <c r="GJ73"/>
      <c r="GK73"/>
      <c r="GL73"/>
      <c r="GM73"/>
      <c r="GN73"/>
      <c r="GO73"/>
      <c r="GP73"/>
      <c r="GQ73"/>
      <c r="GR73"/>
      <c r="GS73"/>
      <c r="GT73"/>
      <c r="GU73"/>
      <c r="GV73"/>
      <c r="GW73"/>
      <c r="GX73"/>
      <c r="GY73"/>
      <c r="GZ73"/>
      <c r="HA73"/>
      <c r="HB73"/>
      <c r="HC73"/>
      <c r="HD73"/>
      <c r="HE73"/>
      <c r="HF73"/>
      <c r="HG73"/>
      <c r="HH73"/>
      <c r="HI73"/>
      <c r="HJ73"/>
      <c r="HK73"/>
      <c r="HL73"/>
      <c r="HM73"/>
      <c r="HN73"/>
      <c r="HO73"/>
      <c r="HP73"/>
      <c r="HQ73"/>
      <c r="HR73"/>
      <c r="HS73"/>
      <c r="HT73"/>
      <c r="HU73"/>
      <c r="HV73"/>
      <c r="HW73"/>
      <c r="HX73"/>
      <c r="HY73"/>
      <c r="HZ73"/>
      <c r="IA73"/>
      <c r="IB73"/>
      <c r="IC73"/>
      <c r="ID73"/>
      <c r="IE73"/>
      <c r="IF73"/>
      <c r="IG73"/>
      <c r="IH73"/>
      <c r="II73"/>
      <c r="IJ73"/>
      <c r="IK73"/>
      <c r="IL73"/>
      <c r="IM73"/>
      <c r="IN73"/>
      <c r="IO73"/>
      <c r="IP73"/>
      <c r="IQ73"/>
      <c r="IR73"/>
      <c r="IS73"/>
      <c r="IT73"/>
      <c r="IU73"/>
      <c r="IV73"/>
      <c r="IW73"/>
      <c r="IX73"/>
      <c r="IY73"/>
      <c r="IZ73"/>
      <c r="JA73"/>
      <c r="JB73"/>
      <c r="JC73"/>
      <c r="JD73"/>
      <c r="JE73"/>
      <c r="JF73"/>
      <c r="JG73"/>
      <c r="JH73"/>
      <c r="JI73"/>
      <c r="JJ73"/>
      <c r="JK73"/>
      <c r="JL73"/>
      <c r="JM73"/>
      <c r="JN73"/>
      <c r="JO73"/>
      <c r="JP73"/>
      <c r="JQ73"/>
      <c r="JR73"/>
      <c r="JS73"/>
      <c r="JT73"/>
      <c r="JU73"/>
      <c r="JV73"/>
      <c r="JW73"/>
      <c r="JX73"/>
      <c r="JY73"/>
      <c r="JZ73"/>
      <c r="KA73"/>
      <c r="KB73"/>
      <c r="KC73"/>
      <c r="KD73"/>
      <c r="KE73"/>
      <c r="KF73"/>
      <c r="KG73"/>
      <c r="KH73"/>
      <c r="KI73"/>
      <c r="KJ73"/>
      <c r="KK73"/>
      <c r="KL73"/>
      <c r="KM73"/>
      <c r="KN73"/>
      <c r="KO73"/>
      <c r="KP73"/>
      <c r="KQ73"/>
      <c r="KR73"/>
      <c r="KS73"/>
      <c r="KT73"/>
      <c r="KU73"/>
      <c r="KV73"/>
      <c r="KW73"/>
      <c r="KX73"/>
      <c r="KY73"/>
      <c r="KZ73"/>
      <c r="LA73"/>
      <c r="LB73"/>
      <c r="LC73"/>
      <c r="LD73"/>
      <c r="LE73"/>
      <c r="LF73"/>
      <c r="LG73"/>
      <c r="LH73"/>
      <c r="LI73"/>
      <c r="LJ73"/>
      <c r="LK73"/>
      <c r="LL73"/>
      <c r="LM73"/>
      <c r="LN73"/>
      <c r="LO73"/>
      <c r="LP73"/>
      <c r="LQ73"/>
      <c r="LR73"/>
      <c r="LS73"/>
      <c r="LT73"/>
      <c r="LU73"/>
      <c r="LV73"/>
      <c r="LW73"/>
      <c r="LX73"/>
      <c r="LY73"/>
      <c r="LZ73"/>
      <c r="MA73"/>
      <c r="MB73"/>
      <c r="MC73"/>
      <c r="MD73"/>
      <c r="ME73"/>
      <c r="MF73"/>
      <c r="MG73"/>
      <c r="MH73"/>
      <c r="MI73"/>
      <c r="MJ73"/>
      <c r="MK73"/>
      <c r="ML73"/>
      <c r="MM73"/>
      <c r="MN73"/>
      <c r="MO73"/>
      <c r="MP73"/>
      <c r="MQ73"/>
      <c r="MR73"/>
      <c r="MS73"/>
      <c r="MT73"/>
      <c r="MU73"/>
      <c r="MV73"/>
      <c r="MW73"/>
      <c r="MX73"/>
      <c r="MY73"/>
      <c r="MZ73"/>
      <c r="NA73"/>
      <c r="NB73"/>
      <c r="NC73"/>
      <c r="ND73"/>
      <c r="NE73"/>
      <c r="NF73"/>
      <c r="NG73"/>
      <c r="NH73"/>
      <c r="NI73"/>
      <c r="NJ73"/>
      <c r="NK73"/>
      <c r="NL73"/>
      <c r="NM73"/>
      <c r="NN73"/>
      <c r="NO73"/>
      <c r="NP73"/>
      <c r="NQ73"/>
      <c r="NR73"/>
      <c r="NS73"/>
      <c r="NT73"/>
      <c r="NU73"/>
      <c r="NV73"/>
      <c r="NW73"/>
      <c r="NX73"/>
      <c r="NY73"/>
      <c r="NZ73"/>
      <c r="OA73"/>
      <c r="OB73"/>
      <c r="OC73"/>
      <c r="OD73"/>
      <c r="OE73"/>
      <c r="OF73"/>
      <c r="OG73"/>
      <c r="OH73"/>
      <c r="OI73"/>
      <c r="OJ73"/>
      <c r="OK73"/>
      <c r="OL73"/>
      <c r="OM73"/>
      <c r="ON73"/>
      <c r="OO73"/>
      <c r="OP73"/>
      <c r="OQ73"/>
      <c r="OR73"/>
      <c r="OS73"/>
      <c r="OT73"/>
      <c r="OU73"/>
      <c r="OV73"/>
      <c r="OW73"/>
      <c r="OX73"/>
      <c r="OY73"/>
      <c r="OZ73"/>
      <c r="PA73"/>
      <c r="PB73"/>
      <c r="PC73"/>
      <c r="PD73"/>
      <c r="PE73"/>
      <c r="PF73"/>
      <c r="PG73"/>
      <c r="PH73"/>
      <c r="PI73"/>
      <c r="PJ73"/>
      <c r="PK73"/>
      <c r="PL73"/>
      <c r="PM73"/>
      <c r="PN73"/>
      <c r="PO73"/>
      <c r="PP73"/>
      <c r="PQ73"/>
      <c r="PR73"/>
      <c r="PS73"/>
      <c r="PT73"/>
      <c r="PU73"/>
      <c r="PV73"/>
      <c r="PW73"/>
      <c r="PX73"/>
      <c r="PY73"/>
      <c r="PZ73"/>
      <c r="QA73"/>
      <c r="QB73"/>
      <c r="QC73"/>
      <c r="QD73"/>
      <c r="QE73"/>
      <c r="QF73"/>
      <c r="QG73"/>
      <c r="QH73"/>
      <c r="QI73"/>
      <c r="QJ73"/>
      <c r="QK73"/>
      <c r="QL73"/>
      <c r="QM73"/>
      <c r="QN73"/>
      <c r="QO73"/>
      <c r="QP73"/>
      <c r="QQ73"/>
      <c r="QR73"/>
      <c r="QS73"/>
      <c r="QT73"/>
      <c r="QU73"/>
      <c r="QV73"/>
      <c r="QW73"/>
      <c r="QX73"/>
      <c r="QY73"/>
      <c r="QZ73"/>
      <c r="RA73"/>
      <c r="RB73"/>
      <c r="RC73"/>
      <c r="RD73"/>
      <c r="RE73"/>
      <c r="RF73"/>
      <c r="RG73"/>
      <c r="RH73"/>
      <c r="RI73"/>
      <c r="RJ73"/>
      <c r="RK73"/>
      <c r="RL73"/>
      <c r="RM73"/>
      <c r="RN73"/>
      <c r="RO73"/>
      <c r="RP73"/>
      <c r="RQ73"/>
      <c r="RR73"/>
      <c r="RS73"/>
    </row>
    <row r="74" spans="3:487" x14ac:dyDescent="0.25">
      <c r="C74" s="2" t="s">
        <v>60</v>
      </c>
      <c r="D74" s="34">
        <v>2</v>
      </c>
      <c r="F74" s="2" t="s">
        <v>217</v>
      </c>
      <c r="G74" s="34">
        <v>2</v>
      </c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  <c r="CN74"/>
      <c r="CO74"/>
      <c r="CP74"/>
      <c r="CQ74"/>
      <c r="CR74"/>
      <c r="CS74"/>
      <c r="CT74"/>
      <c r="CU74"/>
      <c r="CV74"/>
      <c r="CW74"/>
      <c r="CX74"/>
      <c r="CY74"/>
      <c r="CZ74"/>
      <c r="DA74"/>
      <c r="DB74"/>
      <c r="DC74"/>
      <c r="DD74"/>
      <c r="DE74"/>
      <c r="DF74"/>
      <c r="DG74"/>
      <c r="DH74"/>
      <c r="DI74"/>
      <c r="DJ74"/>
      <c r="DK74"/>
      <c r="DL74"/>
      <c r="DM74"/>
      <c r="DN74"/>
      <c r="DO74"/>
      <c r="DP74"/>
      <c r="DQ74"/>
      <c r="DR74"/>
      <c r="DS74"/>
      <c r="DT74"/>
      <c r="DU74"/>
      <c r="DV74"/>
      <c r="DW74"/>
      <c r="DX74"/>
      <c r="DY74"/>
      <c r="DZ74"/>
      <c r="EA74"/>
      <c r="EB74"/>
      <c r="EC74"/>
      <c r="ED74"/>
      <c r="EE74"/>
      <c r="EF74"/>
      <c r="EG74"/>
      <c r="EH74"/>
      <c r="EI74"/>
      <c r="EJ74"/>
      <c r="EK74"/>
      <c r="EL74"/>
      <c r="EM74"/>
      <c r="EN74"/>
      <c r="EO74"/>
      <c r="EP74"/>
      <c r="EQ74"/>
      <c r="ER74"/>
      <c r="ES74"/>
      <c r="ET74"/>
      <c r="EU74"/>
      <c r="EV74"/>
      <c r="EW74"/>
      <c r="EX74"/>
      <c r="EY74"/>
      <c r="EZ74"/>
      <c r="FA74"/>
      <c r="FB74"/>
      <c r="FC74"/>
      <c r="FD74"/>
      <c r="FE74"/>
      <c r="FF74"/>
      <c r="FG74"/>
      <c r="FH74"/>
      <c r="FI74"/>
      <c r="FJ74"/>
      <c r="FK74"/>
      <c r="FL74"/>
      <c r="FM74"/>
      <c r="FN74"/>
      <c r="FO74"/>
      <c r="FP74"/>
      <c r="FQ74"/>
      <c r="FR74"/>
      <c r="FS74"/>
      <c r="FT74"/>
      <c r="FU74"/>
      <c r="FV74"/>
      <c r="FW74"/>
      <c r="FX74"/>
      <c r="FY74"/>
      <c r="FZ74"/>
      <c r="GA74"/>
      <c r="GB74"/>
      <c r="GC74"/>
      <c r="GD74"/>
      <c r="GE74"/>
      <c r="GF74"/>
      <c r="GG74"/>
      <c r="GH74"/>
      <c r="GI74"/>
      <c r="GJ74"/>
      <c r="GK74"/>
      <c r="GL74"/>
      <c r="GM74"/>
      <c r="GN74"/>
      <c r="GO74"/>
      <c r="GP74"/>
      <c r="GQ74"/>
      <c r="GR74"/>
      <c r="GS74"/>
      <c r="GT74"/>
      <c r="GU74"/>
      <c r="GV74"/>
      <c r="GW74"/>
      <c r="GX74"/>
      <c r="GY74"/>
      <c r="GZ74"/>
      <c r="HA74"/>
      <c r="HB74"/>
      <c r="HC74"/>
      <c r="HD74"/>
      <c r="HE74"/>
      <c r="HF74"/>
      <c r="HG74"/>
      <c r="HH74"/>
      <c r="HI74"/>
      <c r="HJ74"/>
      <c r="HK74"/>
      <c r="HL74"/>
      <c r="HM74"/>
      <c r="HN74"/>
      <c r="HO74"/>
      <c r="HP74"/>
      <c r="HQ74"/>
      <c r="HR74"/>
      <c r="HS74"/>
      <c r="HT74"/>
      <c r="HU74"/>
      <c r="HV74"/>
      <c r="HW74"/>
      <c r="HX74"/>
      <c r="HY74"/>
      <c r="HZ74"/>
      <c r="IA74"/>
      <c r="IB74"/>
      <c r="IC74"/>
      <c r="ID74"/>
      <c r="IE74"/>
      <c r="IF74"/>
      <c r="IG74"/>
      <c r="IH74"/>
      <c r="II74"/>
      <c r="IJ74"/>
      <c r="IK74"/>
      <c r="IL74"/>
      <c r="IM74"/>
      <c r="IN74"/>
      <c r="IO74"/>
      <c r="IP74"/>
      <c r="IQ74"/>
      <c r="IR74"/>
      <c r="IS74"/>
      <c r="IT74"/>
      <c r="IU74"/>
      <c r="IV74"/>
      <c r="IW74"/>
      <c r="IX74"/>
      <c r="IY74"/>
      <c r="IZ74"/>
      <c r="JA74"/>
      <c r="JB74"/>
      <c r="JC74"/>
      <c r="JD74"/>
      <c r="JE74"/>
      <c r="JF74"/>
      <c r="JG74"/>
      <c r="JH74"/>
      <c r="JI74"/>
      <c r="JJ74"/>
      <c r="JK74"/>
      <c r="JL74"/>
      <c r="JM74"/>
      <c r="JN74"/>
      <c r="JO74"/>
      <c r="JP74"/>
      <c r="JQ74"/>
      <c r="JR74"/>
      <c r="JS74"/>
      <c r="JT74"/>
      <c r="JU74"/>
      <c r="JV74"/>
      <c r="JW74"/>
      <c r="JX74"/>
      <c r="JY74"/>
      <c r="JZ74"/>
      <c r="KA74"/>
      <c r="KB74"/>
      <c r="KC74"/>
      <c r="KD74"/>
      <c r="KE74"/>
      <c r="KF74"/>
      <c r="KG74"/>
      <c r="KH74"/>
      <c r="KI74"/>
      <c r="KJ74"/>
      <c r="KK74"/>
      <c r="KL74"/>
      <c r="KM74"/>
      <c r="KN74"/>
      <c r="KO74"/>
      <c r="KP74"/>
      <c r="KQ74"/>
      <c r="KR74"/>
      <c r="KS74"/>
      <c r="KT74"/>
      <c r="KU74"/>
      <c r="KV74"/>
      <c r="KW74"/>
      <c r="KX74"/>
      <c r="KY74"/>
      <c r="KZ74"/>
      <c r="LA74"/>
      <c r="LB74"/>
      <c r="LC74"/>
      <c r="LD74"/>
      <c r="LE74"/>
      <c r="LF74"/>
      <c r="LG74"/>
      <c r="LH74"/>
      <c r="LI74"/>
      <c r="LJ74"/>
      <c r="LK74"/>
      <c r="LL74"/>
      <c r="LM74"/>
      <c r="LN74"/>
      <c r="LO74"/>
      <c r="LP74"/>
      <c r="LQ74"/>
      <c r="LR74"/>
      <c r="LS74"/>
      <c r="LT74"/>
      <c r="LU74"/>
      <c r="LV74"/>
      <c r="LW74"/>
      <c r="LX74"/>
      <c r="LY74"/>
      <c r="LZ74"/>
      <c r="MA74"/>
      <c r="MB74"/>
      <c r="MC74"/>
      <c r="MD74"/>
      <c r="ME74"/>
      <c r="MF74"/>
      <c r="MG74"/>
      <c r="MH74"/>
      <c r="MI74"/>
      <c r="MJ74"/>
      <c r="MK74"/>
      <c r="ML74"/>
      <c r="MM74"/>
      <c r="MN74"/>
      <c r="MO74"/>
      <c r="MP74"/>
      <c r="MQ74"/>
      <c r="MR74"/>
      <c r="MS74"/>
      <c r="MT74"/>
      <c r="MU74"/>
      <c r="MV74"/>
      <c r="MW74"/>
      <c r="MX74"/>
      <c r="MY74"/>
      <c r="MZ74"/>
      <c r="NA74"/>
      <c r="NB74"/>
      <c r="NC74"/>
      <c r="ND74"/>
      <c r="NE74"/>
      <c r="NF74"/>
      <c r="NG74"/>
      <c r="NH74"/>
      <c r="NI74"/>
      <c r="NJ74"/>
      <c r="NK74"/>
      <c r="NL74"/>
      <c r="NM74"/>
      <c r="NN74"/>
      <c r="NO74"/>
      <c r="NP74"/>
      <c r="NQ74"/>
      <c r="NR74"/>
      <c r="NS74"/>
      <c r="NT74"/>
      <c r="NU74"/>
      <c r="NV74"/>
      <c r="NW74"/>
      <c r="NX74"/>
      <c r="NY74"/>
      <c r="NZ74"/>
      <c r="OA74"/>
      <c r="OB74"/>
      <c r="OC74"/>
      <c r="OD74"/>
      <c r="OE74"/>
      <c r="OF74"/>
      <c r="OG74"/>
      <c r="OH74"/>
      <c r="OI74"/>
      <c r="OJ74"/>
      <c r="OK74"/>
      <c r="OL74"/>
      <c r="OM74"/>
      <c r="ON74"/>
      <c r="OO74"/>
      <c r="OP74"/>
      <c r="OQ74"/>
      <c r="OR74"/>
      <c r="OS74"/>
      <c r="OT74"/>
      <c r="OU74"/>
      <c r="OV74"/>
      <c r="OW74"/>
      <c r="OX74"/>
      <c r="OY74"/>
      <c r="OZ74"/>
      <c r="PA74"/>
      <c r="PB74"/>
      <c r="PC74"/>
      <c r="PD74"/>
      <c r="PE74"/>
      <c r="PF74"/>
      <c r="PG74"/>
      <c r="PH74"/>
      <c r="PI74"/>
      <c r="PJ74"/>
      <c r="PK74"/>
      <c r="PL74"/>
      <c r="PM74"/>
      <c r="PN74"/>
      <c r="PO74"/>
      <c r="PP74"/>
      <c r="PQ74"/>
      <c r="PR74"/>
      <c r="PS74"/>
      <c r="PT74"/>
      <c r="PU74"/>
      <c r="PV74"/>
      <c r="PW74"/>
      <c r="PX74"/>
      <c r="PY74"/>
      <c r="PZ74"/>
      <c r="QA74"/>
      <c r="QB74"/>
      <c r="QC74"/>
      <c r="QD74"/>
      <c r="QE74"/>
      <c r="QF74"/>
      <c r="QG74"/>
      <c r="QH74"/>
      <c r="QI74"/>
      <c r="QJ74"/>
      <c r="QK74"/>
      <c r="QL74"/>
      <c r="QM74"/>
      <c r="QN74"/>
      <c r="QO74"/>
      <c r="QP74"/>
      <c r="QQ74"/>
      <c r="QR74"/>
      <c r="QS74"/>
      <c r="QT74"/>
      <c r="QU74"/>
      <c r="QV74"/>
      <c r="QW74"/>
      <c r="QX74"/>
      <c r="QY74"/>
      <c r="QZ74"/>
      <c r="RA74"/>
      <c r="RB74"/>
      <c r="RC74"/>
      <c r="RD74"/>
      <c r="RE74"/>
      <c r="RF74"/>
      <c r="RG74"/>
      <c r="RH74"/>
      <c r="RI74"/>
      <c r="RJ74"/>
      <c r="RK74"/>
      <c r="RL74"/>
      <c r="RM74"/>
      <c r="RN74"/>
      <c r="RO74"/>
      <c r="RP74"/>
      <c r="RQ74"/>
      <c r="RR74"/>
      <c r="RS74"/>
    </row>
    <row r="75" spans="3:487" x14ac:dyDescent="0.25">
      <c r="C75" s="2" t="s">
        <v>318</v>
      </c>
      <c r="D75" s="34">
        <v>2</v>
      </c>
      <c r="F75" s="2" t="s">
        <v>188</v>
      </c>
      <c r="G75" s="34">
        <v>2</v>
      </c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  <c r="CN75"/>
      <c r="CO75"/>
      <c r="CP75"/>
      <c r="CQ75"/>
      <c r="CR75"/>
      <c r="CS75"/>
      <c r="CT75"/>
      <c r="CU75"/>
      <c r="CV75"/>
      <c r="CW75"/>
      <c r="CX75"/>
      <c r="CY75"/>
      <c r="CZ75"/>
      <c r="DA75"/>
      <c r="DB75"/>
      <c r="DC75"/>
      <c r="DD75"/>
      <c r="DE75"/>
      <c r="DF75"/>
      <c r="DG75"/>
      <c r="DH75"/>
      <c r="DI75"/>
      <c r="DJ75"/>
      <c r="DK75"/>
      <c r="DL75"/>
      <c r="DM75"/>
      <c r="DN75"/>
      <c r="DO75"/>
      <c r="DP75"/>
      <c r="DQ75"/>
      <c r="DR75"/>
      <c r="DS75"/>
      <c r="DT75"/>
      <c r="DU75"/>
      <c r="DV75"/>
      <c r="DW75"/>
      <c r="DX75"/>
      <c r="DY75"/>
      <c r="DZ75"/>
      <c r="EA75"/>
      <c r="EB75"/>
      <c r="EC75"/>
      <c r="ED75"/>
      <c r="EE75"/>
      <c r="EF75"/>
      <c r="EG75"/>
      <c r="EH75"/>
      <c r="EI75"/>
      <c r="EJ75"/>
      <c r="EK75"/>
      <c r="EL75"/>
      <c r="EM75"/>
      <c r="EN75"/>
      <c r="EO75"/>
      <c r="EP75"/>
      <c r="EQ75"/>
      <c r="ER75"/>
      <c r="ES75"/>
      <c r="ET75"/>
      <c r="EU75"/>
      <c r="EV75"/>
      <c r="EW75"/>
      <c r="EX75"/>
      <c r="EY75"/>
      <c r="EZ75"/>
      <c r="FA75"/>
      <c r="FB75"/>
      <c r="FC75"/>
      <c r="FD75"/>
      <c r="FE75"/>
      <c r="FF75"/>
      <c r="FG75"/>
      <c r="FH75"/>
      <c r="FI75"/>
      <c r="FJ75"/>
      <c r="FK75"/>
      <c r="FL75"/>
      <c r="FM75"/>
      <c r="FN75"/>
      <c r="FO75"/>
      <c r="FP75"/>
      <c r="FQ75"/>
      <c r="FR75"/>
      <c r="FS75"/>
      <c r="FT75"/>
      <c r="FU75"/>
      <c r="FV75"/>
      <c r="FW75"/>
      <c r="FX75"/>
      <c r="FY75"/>
      <c r="FZ75"/>
      <c r="GA75"/>
      <c r="GB75"/>
      <c r="GC75"/>
      <c r="GD75"/>
      <c r="GE75"/>
      <c r="GF75"/>
      <c r="GG75"/>
      <c r="GH75"/>
      <c r="GI75"/>
      <c r="GJ75"/>
      <c r="GK75"/>
      <c r="GL75"/>
      <c r="GM75"/>
      <c r="GN75"/>
      <c r="GO75"/>
      <c r="GP75"/>
      <c r="GQ75"/>
      <c r="GR75"/>
      <c r="GS75"/>
      <c r="GT75"/>
      <c r="GU75"/>
      <c r="GV75"/>
      <c r="GW75"/>
      <c r="GX75"/>
      <c r="GY75"/>
      <c r="GZ75"/>
      <c r="HA75"/>
      <c r="HB75"/>
      <c r="HC75"/>
      <c r="HD75"/>
      <c r="HE75"/>
      <c r="HF75"/>
      <c r="HG75"/>
      <c r="HH75"/>
      <c r="HI75"/>
      <c r="HJ75"/>
      <c r="HK75"/>
      <c r="HL75"/>
      <c r="HM75"/>
      <c r="HN75"/>
      <c r="HO75"/>
      <c r="HP75"/>
      <c r="HQ75"/>
      <c r="HR75"/>
      <c r="HS75"/>
      <c r="HT75"/>
      <c r="HU75"/>
      <c r="HV75"/>
      <c r="HW75"/>
      <c r="HX75"/>
      <c r="HY75"/>
      <c r="HZ75"/>
      <c r="IA75"/>
      <c r="IB75"/>
      <c r="IC75"/>
      <c r="ID75"/>
      <c r="IE75"/>
      <c r="IF75"/>
      <c r="IG75"/>
      <c r="IH75"/>
      <c r="II75"/>
      <c r="IJ75"/>
      <c r="IK75"/>
      <c r="IL75"/>
      <c r="IM75"/>
      <c r="IN75"/>
      <c r="IO75"/>
      <c r="IP75"/>
      <c r="IQ75"/>
      <c r="IR75"/>
      <c r="IS75"/>
      <c r="IT75"/>
      <c r="IU75"/>
      <c r="IV75"/>
      <c r="IW75"/>
      <c r="IX75"/>
      <c r="IY75"/>
      <c r="IZ75"/>
      <c r="JA75"/>
      <c r="JB75"/>
      <c r="JC75"/>
      <c r="JD75"/>
      <c r="JE75"/>
      <c r="JF75"/>
      <c r="JG75"/>
      <c r="JH75"/>
      <c r="JI75"/>
      <c r="JJ75"/>
      <c r="JK75"/>
      <c r="JL75"/>
      <c r="JM75"/>
      <c r="JN75"/>
      <c r="JO75"/>
      <c r="JP75"/>
      <c r="JQ75"/>
      <c r="JR75"/>
      <c r="JS75"/>
      <c r="JT75"/>
      <c r="JU75"/>
      <c r="JV75"/>
      <c r="JW75"/>
      <c r="JX75"/>
      <c r="JY75"/>
      <c r="JZ75"/>
      <c r="KA75"/>
      <c r="KB75"/>
      <c r="KC75"/>
      <c r="KD75"/>
      <c r="KE75"/>
      <c r="KF75"/>
      <c r="KG75"/>
      <c r="KH75"/>
      <c r="KI75"/>
      <c r="KJ75"/>
      <c r="KK75"/>
      <c r="KL75"/>
      <c r="KM75"/>
      <c r="KN75"/>
      <c r="KO75"/>
      <c r="KP75"/>
      <c r="KQ75"/>
      <c r="KR75"/>
      <c r="KS75"/>
      <c r="KT75"/>
      <c r="KU75"/>
      <c r="KV75"/>
      <c r="KW75"/>
      <c r="KX75"/>
      <c r="KY75"/>
      <c r="KZ75"/>
      <c r="LA75"/>
      <c r="LB75"/>
      <c r="LC75"/>
      <c r="LD75"/>
      <c r="LE75"/>
      <c r="LF75"/>
      <c r="LG75"/>
      <c r="LH75"/>
      <c r="LI75"/>
      <c r="LJ75"/>
      <c r="LK75"/>
      <c r="LL75"/>
      <c r="LM75"/>
      <c r="LN75"/>
      <c r="LO75"/>
      <c r="LP75"/>
      <c r="LQ75"/>
      <c r="LR75"/>
      <c r="LS75"/>
      <c r="LT75"/>
      <c r="LU75"/>
      <c r="LV75"/>
      <c r="LW75"/>
      <c r="LX75"/>
      <c r="LY75"/>
      <c r="LZ75"/>
      <c r="MA75"/>
      <c r="MB75"/>
      <c r="MC75"/>
      <c r="MD75"/>
      <c r="ME75"/>
      <c r="MF75"/>
      <c r="MG75"/>
      <c r="MH75"/>
      <c r="MI75"/>
      <c r="MJ75"/>
      <c r="MK75"/>
      <c r="ML75"/>
      <c r="MM75"/>
      <c r="MN75"/>
      <c r="MO75"/>
      <c r="MP75"/>
      <c r="MQ75"/>
      <c r="MR75"/>
      <c r="MS75"/>
      <c r="MT75"/>
      <c r="MU75"/>
      <c r="MV75"/>
      <c r="MW75"/>
      <c r="MX75"/>
      <c r="MY75"/>
      <c r="MZ75"/>
      <c r="NA75"/>
      <c r="NB75"/>
      <c r="NC75"/>
      <c r="ND75"/>
      <c r="NE75"/>
      <c r="NF75"/>
      <c r="NG75"/>
      <c r="NH75"/>
      <c r="NI75"/>
      <c r="NJ75"/>
      <c r="NK75"/>
      <c r="NL75"/>
      <c r="NM75"/>
      <c r="NN75"/>
      <c r="NO75"/>
      <c r="NP75"/>
      <c r="NQ75"/>
      <c r="NR75"/>
      <c r="NS75"/>
      <c r="NT75"/>
      <c r="NU75"/>
      <c r="NV75"/>
      <c r="NW75"/>
      <c r="NX75"/>
      <c r="NY75"/>
      <c r="NZ75"/>
      <c r="OA75"/>
      <c r="OB75"/>
      <c r="OC75"/>
      <c r="OD75"/>
      <c r="OE75"/>
      <c r="OF75"/>
      <c r="OG75"/>
      <c r="OH75"/>
      <c r="OI75"/>
      <c r="OJ75"/>
      <c r="OK75"/>
      <c r="OL75"/>
      <c r="OM75"/>
      <c r="ON75"/>
      <c r="OO75"/>
      <c r="OP75"/>
      <c r="OQ75"/>
      <c r="OR75"/>
      <c r="OS75"/>
      <c r="OT75"/>
      <c r="OU75"/>
      <c r="OV75"/>
      <c r="OW75"/>
      <c r="OX75"/>
      <c r="OY75"/>
      <c r="OZ75"/>
      <c r="PA75"/>
      <c r="PB75"/>
      <c r="PC75"/>
      <c r="PD75"/>
      <c r="PE75"/>
      <c r="PF75"/>
      <c r="PG75"/>
      <c r="PH75"/>
      <c r="PI75"/>
      <c r="PJ75"/>
      <c r="PK75"/>
      <c r="PL75"/>
      <c r="PM75"/>
      <c r="PN75"/>
      <c r="PO75"/>
      <c r="PP75"/>
      <c r="PQ75"/>
      <c r="PR75"/>
      <c r="PS75"/>
      <c r="PT75"/>
      <c r="PU75"/>
      <c r="PV75"/>
      <c r="PW75"/>
      <c r="PX75"/>
      <c r="PY75"/>
      <c r="PZ75"/>
      <c r="QA75"/>
      <c r="QB75"/>
      <c r="QC75"/>
      <c r="QD75"/>
      <c r="QE75"/>
      <c r="QF75"/>
      <c r="QG75"/>
      <c r="QH75"/>
      <c r="QI75"/>
      <c r="QJ75"/>
      <c r="QK75"/>
      <c r="QL75"/>
      <c r="QM75"/>
      <c r="QN75"/>
      <c r="QO75"/>
      <c r="QP75"/>
      <c r="QQ75"/>
      <c r="QR75"/>
      <c r="QS75"/>
      <c r="QT75"/>
      <c r="QU75"/>
      <c r="QV75"/>
      <c r="QW75"/>
      <c r="QX75"/>
      <c r="QY75"/>
      <c r="QZ75"/>
      <c r="RA75"/>
      <c r="RB75"/>
      <c r="RC75"/>
      <c r="RD75"/>
      <c r="RE75"/>
      <c r="RF75"/>
      <c r="RG75"/>
      <c r="RH75"/>
      <c r="RI75"/>
      <c r="RJ75"/>
      <c r="RK75"/>
      <c r="RL75"/>
      <c r="RM75"/>
      <c r="RN75"/>
      <c r="RO75"/>
      <c r="RP75"/>
      <c r="RQ75"/>
      <c r="RR75"/>
      <c r="RS75"/>
    </row>
    <row r="76" spans="3:487" x14ac:dyDescent="0.25">
      <c r="C76" s="2" t="s">
        <v>125</v>
      </c>
      <c r="D76" s="34">
        <v>2</v>
      </c>
      <c r="F76" s="2" t="s">
        <v>3617</v>
      </c>
      <c r="G76" s="34">
        <v>2</v>
      </c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  <c r="CN76"/>
      <c r="CO76"/>
      <c r="CP76"/>
      <c r="CQ76"/>
      <c r="CR76"/>
      <c r="CS76"/>
      <c r="CT76"/>
      <c r="CU76"/>
      <c r="CV76"/>
      <c r="CW76"/>
      <c r="CX76"/>
      <c r="CY76"/>
      <c r="CZ76"/>
      <c r="DA76"/>
      <c r="DB76"/>
      <c r="DC76"/>
      <c r="DD76"/>
      <c r="DE76"/>
      <c r="DF76"/>
      <c r="DG76"/>
      <c r="DH76"/>
      <c r="DI76"/>
      <c r="DJ76"/>
      <c r="DK76"/>
      <c r="DL76"/>
      <c r="DM76"/>
      <c r="DN76"/>
      <c r="DO76"/>
      <c r="DP76"/>
      <c r="DQ76"/>
      <c r="DR76"/>
      <c r="DS76"/>
      <c r="DT76"/>
      <c r="DU76"/>
      <c r="DV76"/>
      <c r="DW76"/>
      <c r="DX76"/>
      <c r="DY76"/>
      <c r="DZ76"/>
      <c r="EA76"/>
      <c r="EB76"/>
      <c r="EC76"/>
      <c r="ED76"/>
      <c r="EE76"/>
      <c r="EF76"/>
      <c r="EG76"/>
      <c r="EH76"/>
      <c r="EI76"/>
      <c r="EJ76"/>
      <c r="EK76"/>
      <c r="EL76"/>
      <c r="EM76"/>
      <c r="EN76"/>
      <c r="EO76"/>
      <c r="EP76"/>
      <c r="EQ76"/>
      <c r="ER76"/>
      <c r="ES76"/>
      <c r="ET76"/>
      <c r="EU76"/>
      <c r="EV76"/>
      <c r="EW76"/>
      <c r="EX76"/>
      <c r="EY76"/>
      <c r="EZ76"/>
      <c r="FA76"/>
      <c r="FB76"/>
      <c r="FC76"/>
      <c r="FD76"/>
      <c r="FE76"/>
      <c r="FF76"/>
      <c r="FG76"/>
      <c r="FH76"/>
      <c r="FI76"/>
      <c r="FJ76"/>
      <c r="FK76"/>
      <c r="FL76"/>
      <c r="FM76"/>
      <c r="FN76"/>
      <c r="FO76"/>
      <c r="FP76"/>
      <c r="FQ76"/>
      <c r="FR76"/>
      <c r="FS76"/>
      <c r="FT76"/>
      <c r="FU76"/>
      <c r="FV76"/>
      <c r="FW76"/>
      <c r="FX76"/>
      <c r="FY76"/>
      <c r="FZ76"/>
      <c r="GA76"/>
      <c r="GB76"/>
      <c r="GC76"/>
      <c r="GD76"/>
      <c r="GE76"/>
      <c r="GF76"/>
      <c r="GG76"/>
      <c r="GH76"/>
      <c r="GI76"/>
      <c r="GJ76"/>
      <c r="GK76"/>
      <c r="GL76"/>
      <c r="GM76"/>
      <c r="GN76"/>
      <c r="GO76"/>
      <c r="GP76"/>
      <c r="GQ76"/>
      <c r="GR76"/>
      <c r="GS76"/>
      <c r="GT76"/>
      <c r="GU76"/>
      <c r="GV76"/>
      <c r="GW76"/>
      <c r="GX76"/>
      <c r="GY76"/>
      <c r="GZ76"/>
      <c r="HA76"/>
      <c r="HB76"/>
      <c r="HC76"/>
      <c r="HD76"/>
      <c r="HE76"/>
      <c r="HF76"/>
      <c r="HG76"/>
      <c r="HH76"/>
      <c r="HI76"/>
      <c r="HJ76"/>
      <c r="HK76"/>
      <c r="HL76"/>
      <c r="HM76"/>
      <c r="HN76"/>
      <c r="HO76"/>
      <c r="HP76"/>
      <c r="HQ76"/>
      <c r="HR76"/>
      <c r="HS76"/>
      <c r="HT76"/>
      <c r="HU76"/>
      <c r="HV76"/>
      <c r="HW76"/>
      <c r="HX76"/>
      <c r="HY76"/>
      <c r="HZ76"/>
      <c r="IA76"/>
      <c r="IB76"/>
      <c r="IC76"/>
      <c r="ID76"/>
      <c r="IE76"/>
      <c r="IF76"/>
      <c r="IG76"/>
      <c r="IH76"/>
      <c r="II76"/>
      <c r="IJ76"/>
      <c r="IK76"/>
      <c r="IL76"/>
      <c r="IM76"/>
      <c r="IN76"/>
      <c r="IO76"/>
      <c r="IP76"/>
      <c r="IQ76"/>
      <c r="IR76"/>
      <c r="IS76"/>
      <c r="IT76"/>
      <c r="IU76"/>
      <c r="IV76"/>
      <c r="IW76"/>
      <c r="IX76"/>
      <c r="IY76"/>
      <c r="IZ76"/>
      <c r="JA76"/>
      <c r="JB76"/>
      <c r="JC76"/>
      <c r="JD76"/>
      <c r="JE76"/>
      <c r="JF76"/>
      <c r="JG76"/>
      <c r="JH76"/>
      <c r="JI76"/>
      <c r="JJ76"/>
      <c r="JK76"/>
      <c r="JL76"/>
      <c r="JM76"/>
      <c r="JN76"/>
      <c r="JO76"/>
      <c r="JP76"/>
      <c r="JQ76"/>
      <c r="JR76"/>
      <c r="JS76"/>
      <c r="JT76"/>
      <c r="JU76"/>
      <c r="JV76"/>
      <c r="JW76"/>
      <c r="JX76"/>
      <c r="JY76"/>
      <c r="JZ76"/>
      <c r="KA76"/>
      <c r="KB76"/>
      <c r="KC76"/>
      <c r="KD76"/>
      <c r="KE76"/>
      <c r="KF76"/>
      <c r="KG76"/>
      <c r="KH76"/>
      <c r="KI76"/>
      <c r="KJ76"/>
      <c r="KK76"/>
      <c r="KL76"/>
      <c r="KM76"/>
      <c r="KN76"/>
      <c r="KO76"/>
      <c r="KP76"/>
      <c r="KQ76"/>
      <c r="KR76"/>
      <c r="KS76"/>
      <c r="KT76"/>
      <c r="KU76"/>
      <c r="KV76"/>
      <c r="KW76"/>
      <c r="KX76"/>
      <c r="KY76"/>
      <c r="KZ76"/>
      <c r="LA76"/>
      <c r="LB76"/>
      <c r="LC76"/>
      <c r="LD76"/>
      <c r="LE76"/>
      <c r="LF76"/>
      <c r="LG76"/>
      <c r="LH76"/>
      <c r="LI76"/>
      <c r="LJ76"/>
      <c r="LK76"/>
      <c r="LL76"/>
      <c r="LM76"/>
      <c r="LN76"/>
      <c r="LO76"/>
      <c r="LP76"/>
      <c r="LQ76"/>
      <c r="LR76"/>
      <c r="LS76"/>
      <c r="LT76"/>
      <c r="LU76"/>
      <c r="LV76"/>
      <c r="LW76"/>
      <c r="LX76"/>
      <c r="LY76"/>
      <c r="LZ76"/>
      <c r="MA76"/>
      <c r="MB76"/>
      <c r="MC76"/>
      <c r="MD76"/>
      <c r="ME76"/>
      <c r="MF76"/>
      <c r="MG76"/>
      <c r="MH76"/>
      <c r="MI76"/>
      <c r="MJ76"/>
      <c r="MK76"/>
      <c r="ML76"/>
      <c r="MM76"/>
      <c r="MN76"/>
      <c r="MO76"/>
      <c r="MP76"/>
      <c r="MQ76"/>
      <c r="MR76"/>
      <c r="MS76"/>
      <c r="MT76"/>
      <c r="MU76"/>
      <c r="MV76"/>
      <c r="MW76"/>
      <c r="MX76"/>
      <c r="MY76"/>
      <c r="MZ76"/>
      <c r="NA76"/>
      <c r="NB76"/>
      <c r="NC76"/>
      <c r="ND76"/>
      <c r="NE76"/>
      <c r="NF76"/>
      <c r="NG76"/>
      <c r="NH76"/>
      <c r="NI76"/>
      <c r="NJ76"/>
      <c r="NK76"/>
      <c r="NL76"/>
      <c r="NM76"/>
      <c r="NN76"/>
      <c r="NO76"/>
      <c r="NP76"/>
      <c r="NQ76"/>
      <c r="NR76"/>
      <c r="NS76"/>
      <c r="NT76"/>
      <c r="NU76"/>
      <c r="NV76"/>
      <c r="NW76"/>
      <c r="NX76"/>
      <c r="NY76"/>
      <c r="NZ76"/>
      <c r="OA76"/>
      <c r="OB76"/>
      <c r="OC76"/>
      <c r="OD76"/>
      <c r="OE76"/>
      <c r="OF76"/>
      <c r="OG76"/>
      <c r="OH76"/>
      <c r="OI76"/>
      <c r="OJ76"/>
      <c r="OK76"/>
      <c r="OL76"/>
      <c r="OM76"/>
      <c r="ON76"/>
      <c r="OO76"/>
      <c r="OP76"/>
      <c r="OQ76"/>
      <c r="OR76"/>
      <c r="OS76"/>
      <c r="OT76"/>
      <c r="OU76"/>
      <c r="OV76"/>
      <c r="OW76"/>
      <c r="OX76"/>
      <c r="OY76"/>
      <c r="OZ76"/>
      <c r="PA76"/>
      <c r="PB76"/>
      <c r="PC76"/>
      <c r="PD76"/>
      <c r="PE76"/>
      <c r="PF76"/>
      <c r="PG76"/>
      <c r="PH76"/>
      <c r="PI76"/>
      <c r="PJ76"/>
      <c r="PK76"/>
      <c r="PL76"/>
      <c r="PM76"/>
      <c r="PN76"/>
      <c r="PO76"/>
      <c r="PP76"/>
      <c r="PQ76"/>
      <c r="PR76"/>
      <c r="PS76"/>
      <c r="PT76"/>
      <c r="PU76"/>
      <c r="PV76"/>
      <c r="PW76"/>
      <c r="PX76"/>
      <c r="PY76"/>
      <c r="PZ76"/>
      <c r="QA76"/>
      <c r="QB76"/>
      <c r="QC76"/>
      <c r="QD76"/>
      <c r="QE76"/>
      <c r="QF76"/>
      <c r="QG76"/>
      <c r="QH76"/>
      <c r="QI76"/>
      <c r="QJ76"/>
      <c r="QK76"/>
      <c r="QL76"/>
      <c r="QM76"/>
      <c r="QN76"/>
      <c r="QO76"/>
      <c r="QP76"/>
      <c r="QQ76"/>
      <c r="QR76"/>
      <c r="QS76"/>
      <c r="QT76"/>
      <c r="QU76"/>
      <c r="QV76"/>
      <c r="QW76"/>
      <c r="QX76"/>
      <c r="QY76"/>
      <c r="QZ76"/>
      <c r="RA76"/>
      <c r="RB76"/>
      <c r="RC76"/>
      <c r="RD76"/>
      <c r="RE76"/>
      <c r="RF76"/>
      <c r="RG76"/>
      <c r="RH76"/>
      <c r="RI76"/>
      <c r="RJ76"/>
      <c r="RK76"/>
      <c r="RL76"/>
      <c r="RM76"/>
      <c r="RN76"/>
      <c r="RO76"/>
      <c r="RP76"/>
      <c r="RQ76"/>
      <c r="RR76"/>
      <c r="RS76"/>
    </row>
    <row r="77" spans="3:487" x14ac:dyDescent="0.25">
      <c r="C77" s="2" t="s">
        <v>113</v>
      </c>
      <c r="D77" s="34">
        <v>2</v>
      </c>
      <c r="F77" s="2" t="s">
        <v>75</v>
      </c>
      <c r="G77" s="34">
        <v>2</v>
      </c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  <c r="CN77"/>
      <c r="CO77"/>
      <c r="CP77"/>
      <c r="CQ77"/>
      <c r="CR77"/>
      <c r="CS77"/>
      <c r="CT77"/>
      <c r="CU77"/>
      <c r="CV77"/>
      <c r="CW77"/>
      <c r="CX77"/>
      <c r="CY77"/>
      <c r="CZ77"/>
      <c r="DA77"/>
      <c r="DB77"/>
      <c r="DC77"/>
      <c r="DD77"/>
      <c r="DE77"/>
      <c r="DF77"/>
      <c r="DG77"/>
      <c r="DH77"/>
      <c r="DI77"/>
      <c r="DJ77"/>
      <c r="DK77"/>
      <c r="DL77"/>
      <c r="DM77"/>
      <c r="DN77"/>
      <c r="DO77"/>
      <c r="DP77"/>
      <c r="DQ77"/>
      <c r="DR77"/>
      <c r="DS77"/>
      <c r="DT77"/>
      <c r="DU77"/>
      <c r="DV77"/>
      <c r="DW77"/>
      <c r="DX77"/>
      <c r="DY77"/>
      <c r="DZ77"/>
      <c r="EA77"/>
      <c r="EB77"/>
      <c r="EC77"/>
      <c r="ED77"/>
      <c r="EE77"/>
      <c r="EF77"/>
      <c r="EG77"/>
      <c r="EH77"/>
      <c r="EI77"/>
      <c r="EJ77"/>
      <c r="EK77"/>
      <c r="EL77"/>
      <c r="EM77"/>
      <c r="EN77"/>
      <c r="EO77"/>
      <c r="EP77"/>
      <c r="EQ77"/>
      <c r="ER77"/>
      <c r="ES77"/>
      <c r="ET77"/>
      <c r="EU77"/>
      <c r="EV77"/>
      <c r="EW77"/>
      <c r="EX77"/>
      <c r="EY77"/>
      <c r="EZ77"/>
      <c r="FA77"/>
      <c r="FB77"/>
      <c r="FC77"/>
      <c r="FD77"/>
      <c r="FE77"/>
      <c r="FF77"/>
      <c r="FG77"/>
      <c r="FH77"/>
      <c r="FI77"/>
      <c r="FJ77"/>
      <c r="FK77"/>
      <c r="FL77"/>
      <c r="FM77"/>
      <c r="FN77"/>
      <c r="FO77"/>
      <c r="FP77"/>
      <c r="FQ77"/>
      <c r="FR77"/>
      <c r="FS77"/>
      <c r="FT77"/>
      <c r="FU77"/>
      <c r="FV77"/>
      <c r="FW77"/>
      <c r="FX77"/>
      <c r="FY77"/>
      <c r="FZ77"/>
      <c r="GA77"/>
      <c r="GB77"/>
      <c r="GC77"/>
      <c r="GD77"/>
      <c r="GE77"/>
      <c r="GF77"/>
      <c r="GG77"/>
      <c r="GH77"/>
      <c r="GI77"/>
      <c r="GJ77"/>
      <c r="GK77"/>
      <c r="GL77"/>
      <c r="GM77"/>
      <c r="GN77"/>
      <c r="GO77"/>
      <c r="GP77"/>
      <c r="GQ77"/>
      <c r="GR77"/>
      <c r="GS77"/>
      <c r="GT77"/>
      <c r="GU77"/>
      <c r="GV77"/>
      <c r="GW77"/>
      <c r="GX77"/>
      <c r="GY77"/>
      <c r="GZ77"/>
      <c r="HA77"/>
      <c r="HB77"/>
      <c r="HC77"/>
      <c r="HD77"/>
      <c r="HE77"/>
      <c r="HF77"/>
      <c r="HG77"/>
      <c r="HH77"/>
      <c r="HI77"/>
      <c r="HJ77"/>
      <c r="HK77"/>
      <c r="HL77"/>
      <c r="HM77"/>
      <c r="HN77"/>
      <c r="HO77"/>
      <c r="HP77"/>
      <c r="HQ77"/>
      <c r="HR77"/>
      <c r="HS77"/>
      <c r="HT77"/>
      <c r="HU77"/>
      <c r="HV77"/>
      <c r="HW77"/>
      <c r="HX77"/>
      <c r="HY77"/>
      <c r="HZ77"/>
      <c r="IA77"/>
      <c r="IB77"/>
      <c r="IC77"/>
      <c r="ID77"/>
      <c r="IE77"/>
      <c r="IF77"/>
      <c r="IG77"/>
      <c r="IH77"/>
      <c r="II77"/>
      <c r="IJ77"/>
      <c r="IK77"/>
      <c r="IL77"/>
      <c r="IM77"/>
      <c r="IN77"/>
      <c r="IO77"/>
      <c r="IP77"/>
      <c r="IQ77"/>
      <c r="IR77"/>
      <c r="IS77"/>
      <c r="IT77"/>
      <c r="IU77"/>
      <c r="IV77"/>
      <c r="IW77"/>
      <c r="IX77"/>
      <c r="IY77"/>
      <c r="IZ77"/>
      <c r="JA77"/>
      <c r="JB77"/>
      <c r="JC77"/>
      <c r="JD77"/>
      <c r="JE77"/>
      <c r="JF77"/>
      <c r="JG77"/>
      <c r="JH77"/>
      <c r="JI77"/>
      <c r="JJ77"/>
      <c r="JK77"/>
      <c r="JL77"/>
      <c r="JM77"/>
      <c r="JN77"/>
      <c r="JO77"/>
      <c r="JP77"/>
      <c r="JQ77"/>
      <c r="JR77"/>
      <c r="JS77"/>
      <c r="JT77"/>
      <c r="JU77"/>
      <c r="JV77"/>
      <c r="JW77"/>
      <c r="JX77"/>
      <c r="JY77"/>
      <c r="JZ77"/>
      <c r="KA77"/>
      <c r="KB77"/>
      <c r="KC77"/>
      <c r="KD77"/>
      <c r="KE77"/>
      <c r="KF77"/>
      <c r="KG77"/>
      <c r="KH77"/>
      <c r="KI77"/>
      <c r="KJ77"/>
      <c r="KK77"/>
      <c r="KL77"/>
      <c r="KM77"/>
      <c r="KN77"/>
      <c r="KO77"/>
      <c r="KP77"/>
      <c r="KQ77"/>
      <c r="KR77"/>
      <c r="KS77"/>
      <c r="KT77"/>
      <c r="KU77"/>
      <c r="KV77"/>
      <c r="KW77"/>
      <c r="KX77"/>
      <c r="KY77"/>
      <c r="KZ77"/>
      <c r="LA77"/>
      <c r="LB77"/>
      <c r="LC77"/>
      <c r="LD77"/>
      <c r="LE77"/>
      <c r="LF77"/>
      <c r="LG77"/>
      <c r="LH77"/>
      <c r="LI77"/>
      <c r="LJ77"/>
      <c r="LK77"/>
      <c r="LL77"/>
      <c r="LM77"/>
      <c r="LN77"/>
      <c r="LO77"/>
      <c r="LP77"/>
      <c r="LQ77"/>
      <c r="LR77"/>
      <c r="LS77"/>
      <c r="LT77"/>
      <c r="LU77"/>
      <c r="LV77"/>
      <c r="LW77"/>
      <c r="LX77"/>
      <c r="LY77"/>
      <c r="LZ77"/>
      <c r="MA77"/>
      <c r="MB77"/>
      <c r="MC77"/>
      <c r="MD77"/>
      <c r="ME77"/>
      <c r="MF77"/>
      <c r="MG77"/>
      <c r="MH77"/>
      <c r="MI77"/>
      <c r="MJ77"/>
      <c r="MK77"/>
      <c r="ML77"/>
      <c r="MM77"/>
      <c r="MN77"/>
      <c r="MO77"/>
      <c r="MP77"/>
      <c r="MQ77"/>
      <c r="MR77"/>
      <c r="MS77"/>
      <c r="MT77"/>
      <c r="MU77"/>
      <c r="MV77"/>
      <c r="MW77"/>
      <c r="MX77"/>
      <c r="MY77"/>
      <c r="MZ77"/>
      <c r="NA77"/>
      <c r="NB77"/>
      <c r="NC77"/>
      <c r="ND77"/>
      <c r="NE77"/>
      <c r="NF77"/>
      <c r="NG77"/>
      <c r="NH77"/>
      <c r="NI77"/>
      <c r="NJ77"/>
      <c r="NK77"/>
      <c r="NL77"/>
      <c r="NM77"/>
      <c r="NN77"/>
      <c r="NO77"/>
      <c r="NP77"/>
      <c r="NQ77"/>
      <c r="NR77"/>
      <c r="NS77"/>
      <c r="NT77"/>
      <c r="NU77"/>
      <c r="NV77"/>
      <c r="NW77"/>
      <c r="NX77"/>
      <c r="NY77"/>
      <c r="NZ77"/>
      <c r="OA77"/>
      <c r="OB77"/>
      <c r="OC77"/>
      <c r="OD77"/>
      <c r="OE77"/>
      <c r="OF77"/>
      <c r="OG77"/>
      <c r="OH77"/>
      <c r="OI77"/>
      <c r="OJ77"/>
      <c r="OK77"/>
      <c r="OL77"/>
      <c r="OM77"/>
      <c r="ON77"/>
      <c r="OO77"/>
      <c r="OP77"/>
      <c r="OQ77"/>
      <c r="OR77"/>
      <c r="OS77"/>
      <c r="OT77"/>
      <c r="OU77"/>
      <c r="OV77"/>
      <c r="OW77"/>
      <c r="OX77"/>
      <c r="OY77"/>
      <c r="OZ77"/>
      <c r="PA77"/>
      <c r="PB77"/>
      <c r="PC77"/>
      <c r="PD77"/>
      <c r="PE77"/>
      <c r="PF77"/>
      <c r="PG77"/>
      <c r="PH77"/>
      <c r="PI77"/>
      <c r="PJ77"/>
      <c r="PK77"/>
      <c r="PL77"/>
      <c r="PM77"/>
      <c r="PN77"/>
      <c r="PO77"/>
      <c r="PP77"/>
      <c r="PQ77"/>
      <c r="PR77"/>
      <c r="PS77"/>
      <c r="PT77"/>
      <c r="PU77"/>
      <c r="PV77"/>
      <c r="PW77"/>
      <c r="PX77"/>
      <c r="PY77"/>
      <c r="PZ77"/>
      <c r="QA77"/>
      <c r="QB77"/>
      <c r="QC77"/>
      <c r="QD77"/>
      <c r="QE77"/>
      <c r="QF77"/>
      <c r="QG77"/>
      <c r="QH77"/>
      <c r="QI77"/>
      <c r="QJ77"/>
      <c r="QK77"/>
      <c r="QL77"/>
      <c r="QM77"/>
      <c r="QN77"/>
      <c r="QO77"/>
      <c r="QP77"/>
      <c r="QQ77"/>
      <c r="QR77"/>
      <c r="QS77"/>
      <c r="QT77"/>
      <c r="QU77"/>
      <c r="QV77"/>
      <c r="QW77"/>
      <c r="QX77"/>
      <c r="QY77"/>
      <c r="QZ77"/>
      <c r="RA77"/>
      <c r="RB77"/>
      <c r="RC77"/>
      <c r="RD77"/>
      <c r="RE77"/>
      <c r="RF77"/>
      <c r="RG77"/>
      <c r="RH77"/>
      <c r="RI77"/>
      <c r="RJ77"/>
      <c r="RK77"/>
      <c r="RL77"/>
      <c r="RM77"/>
      <c r="RN77"/>
      <c r="RO77"/>
      <c r="RP77"/>
      <c r="RQ77"/>
      <c r="RR77"/>
      <c r="RS77"/>
    </row>
    <row r="78" spans="3:487" x14ac:dyDescent="0.25">
      <c r="C78" s="2" t="s">
        <v>288</v>
      </c>
      <c r="D78" s="34">
        <v>2</v>
      </c>
      <c r="F78" s="2" t="s">
        <v>96</v>
      </c>
      <c r="G78" s="34">
        <v>2</v>
      </c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  <c r="CN78"/>
      <c r="CO78"/>
      <c r="CP78"/>
      <c r="CQ78"/>
      <c r="CR78"/>
      <c r="CS78"/>
      <c r="CT78"/>
      <c r="CU78"/>
      <c r="CV78"/>
      <c r="CW78"/>
      <c r="CX78"/>
      <c r="CY78"/>
      <c r="CZ78"/>
      <c r="DA78"/>
      <c r="DB78"/>
      <c r="DC78"/>
      <c r="DD78"/>
      <c r="DE78"/>
      <c r="DF78"/>
      <c r="DG78"/>
      <c r="DH78"/>
      <c r="DI78"/>
      <c r="DJ78"/>
      <c r="DK78"/>
      <c r="DL78"/>
      <c r="DM78"/>
      <c r="DN78"/>
      <c r="DO78"/>
      <c r="DP78"/>
      <c r="DQ78"/>
      <c r="DR78"/>
      <c r="DS78"/>
      <c r="DT78"/>
      <c r="DU78"/>
      <c r="DV78"/>
      <c r="DW78"/>
      <c r="DX78"/>
      <c r="DY78"/>
      <c r="DZ78"/>
      <c r="EA78"/>
      <c r="EB78"/>
      <c r="EC78"/>
      <c r="ED78"/>
      <c r="EE78"/>
      <c r="EF78"/>
      <c r="EG78"/>
      <c r="EH78"/>
      <c r="EI78"/>
      <c r="EJ78"/>
      <c r="EK78"/>
      <c r="EL78"/>
      <c r="EM78"/>
      <c r="EN78"/>
      <c r="EO78"/>
      <c r="EP78"/>
      <c r="EQ78"/>
      <c r="ER78"/>
      <c r="ES78"/>
      <c r="ET78"/>
      <c r="EU78"/>
      <c r="EV78"/>
      <c r="EW78"/>
      <c r="EX78"/>
      <c r="EY78"/>
      <c r="EZ78"/>
      <c r="FA78"/>
      <c r="FB78"/>
      <c r="FC78"/>
      <c r="FD78"/>
      <c r="FE78"/>
      <c r="FF78"/>
      <c r="FG78"/>
      <c r="FH78"/>
      <c r="FI78"/>
      <c r="FJ78"/>
      <c r="FK78"/>
      <c r="FL78"/>
      <c r="FM78"/>
      <c r="FN78"/>
      <c r="FO78"/>
      <c r="FP78"/>
      <c r="FQ78"/>
      <c r="FR78"/>
      <c r="FS78"/>
      <c r="FT78"/>
      <c r="FU78"/>
      <c r="FV78"/>
      <c r="FW78"/>
      <c r="FX78"/>
      <c r="FY78"/>
      <c r="FZ78"/>
      <c r="GA78"/>
      <c r="GB78"/>
      <c r="GC78"/>
      <c r="GD78"/>
      <c r="GE78"/>
      <c r="GF78"/>
      <c r="GG78"/>
      <c r="GH78"/>
      <c r="GI78"/>
      <c r="GJ78"/>
      <c r="GK78"/>
      <c r="GL78"/>
      <c r="GM78"/>
      <c r="GN78"/>
      <c r="GO78"/>
      <c r="GP78"/>
      <c r="GQ78"/>
      <c r="GR78"/>
      <c r="GS78"/>
      <c r="GT78"/>
      <c r="GU78"/>
      <c r="GV78"/>
      <c r="GW78"/>
      <c r="GX78"/>
      <c r="GY78"/>
      <c r="GZ78"/>
      <c r="HA78"/>
      <c r="HB78"/>
      <c r="HC78"/>
      <c r="HD78"/>
      <c r="HE78"/>
      <c r="HF78"/>
      <c r="HG78"/>
      <c r="HH78"/>
      <c r="HI78"/>
      <c r="HJ78"/>
      <c r="HK78"/>
      <c r="HL78"/>
      <c r="HM78"/>
      <c r="HN78"/>
      <c r="HO78"/>
      <c r="HP78"/>
      <c r="HQ78"/>
      <c r="HR78"/>
      <c r="HS78"/>
      <c r="HT78"/>
      <c r="HU78"/>
      <c r="HV78"/>
      <c r="HW78"/>
      <c r="HX78"/>
      <c r="HY78"/>
      <c r="HZ78"/>
      <c r="IA78"/>
      <c r="IB78"/>
      <c r="IC78"/>
      <c r="ID78"/>
      <c r="IE78"/>
      <c r="IF78"/>
      <c r="IG78"/>
      <c r="IH78"/>
      <c r="II78"/>
      <c r="IJ78"/>
      <c r="IK78"/>
      <c r="IL78"/>
      <c r="IM78"/>
      <c r="IN78"/>
      <c r="IO78"/>
      <c r="IP78"/>
      <c r="IQ78"/>
      <c r="IR78"/>
      <c r="IS78"/>
      <c r="IT78"/>
      <c r="IU78"/>
      <c r="IV78"/>
      <c r="IW78"/>
      <c r="IX78"/>
      <c r="IY78"/>
      <c r="IZ78"/>
      <c r="JA78"/>
      <c r="JB78"/>
      <c r="JC78"/>
      <c r="JD78"/>
      <c r="JE78"/>
      <c r="JF78"/>
      <c r="JG78"/>
      <c r="JH78"/>
      <c r="JI78"/>
      <c r="JJ78"/>
      <c r="JK78"/>
      <c r="JL78"/>
      <c r="JM78"/>
      <c r="JN78"/>
      <c r="JO78"/>
      <c r="JP78"/>
      <c r="JQ78"/>
      <c r="JR78"/>
      <c r="JS78"/>
      <c r="JT78"/>
      <c r="JU78"/>
      <c r="JV78"/>
      <c r="JW78"/>
      <c r="JX78"/>
      <c r="JY78"/>
      <c r="JZ78"/>
      <c r="KA78"/>
      <c r="KB78"/>
      <c r="KC78"/>
      <c r="KD78"/>
      <c r="KE78"/>
      <c r="KF78"/>
      <c r="KG78"/>
      <c r="KH78"/>
      <c r="KI78"/>
      <c r="KJ78"/>
      <c r="KK78"/>
      <c r="KL78"/>
      <c r="KM78"/>
      <c r="KN78"/>
      <c r="KO78"/>
      <c r="KP78"/>
      <c r="KQ78"/>
      <c r="KR78"/>
      <c r="KS78"/>
      <c r="KT78"/>
      <c r="KU78"/>
      <c r="KV78"/>
      <c r="KW78"/>
      <c r="KX78"/>
      <c r="KY78"/>
      <c r="KZ78"/>
      <c r="LA78"/>
      <c r="LB78"/>
      <c r="LC78"/>
      <c r="LD78"/>
      <c r="LE78"/>
      <c r="LF78"/>
      <c r="LG78"/>
      <c r="LH78"/>
      <c r="LI78"/>
      <c r="LJ78"/>
      <c r="LK78"/>
      <c r="LL78"/>
      <c r="LM78"/>
      <c r="LN78"/>
      <c r="LO78"/>
      <c r="LP78"/>
      <c r="LQ78"/>
      <c r="LR78"/>
      <c r="LS78"/>
      <c r="LT78"/>
      <c r="LU78"/>
      <c r="LV78"/>
      <c r="LW78"/>
      <c r="LX78"/>
      <c r="LY78"/>
      <c r="LZ78"/>
      <c r="MA78"/>
      <c r="MB78"/>
      <c r="MC78"/>
      <c r="MD78"/>
      <c r="ME78"/>
      <c r="MF78"/>
      <c r="MG78"/>
      <c r="MH78"/>
      <c r="MI78"/>
      <c r="MJ78"/>
      <c r="MK78"/>
      <c r="ML78"/>
      <c r="MM78"/>
      <c r="MN78"/>
      <c r="MO78"/>
      <c r="MP78"/>
      <c r="MQ78"/>
      <c r="MR78"/>
      <c r="MS78"/>
      <c r="MT78"/>
      <c r="MU78"/>
      <c r="MV78"/>
      <c r="MW78"/>
      <c r="MX78"/>
      <c r="MY78"/>
      <c r="MZ78"/>
      <c r="NA78"/>
      <c r="NB78"/>
      <c r="NC78"/>
      <c r="ND78"/>
      <c r="NE78"/>
      <c r="NF78"/>
      <c r="NG78"/>
      <c r="NH78"/>
      <c r="NI78"/>
      <c r="NJ78"/>
      <c r="NK78"/>
      <c r="NL78"/>
      <c r="NM78"/>
      <c r="NN78"/>
      <c r="NO78"/>
      <c r="NP78"/>
      <c r="NQ78"/>
      <c r="NR78"/>
      <c r="NS78"/>
      <c r="NT78"/>
      <c r="NU78"/>
      <c r="NV78"/>
      <c r="NW78"/>
      <c r="NX78"/>
      <c r="NY78"/>
      <c r="NZ78"/>
      <c r="OA78"/>
      <c r="OB78"/>
      <c r="OC78"/>
      <c r="OD78"/>
      <c r="OE78"/>
      <c r="OF78"/>
      <c r="OG78"/>
      <c r="OH78"/>
      <c r="OI78"/>
      <c r="OJ78"/>
      <c r="OK78"/>
      <c r="OL78"/>
      <c r="OM78"/>
      <c r="ON78"/>
      <c r="OO78"/>
      <c r="OP78"/>
      <c r="OQ78"/>
      <c r="OR78"/>
      <c r="OS78"/>
      <c r="OT78"/>
      <c r="OU78"/>
      <c r="OV78"/>
      <c r="OW78"/>
      <c r="OX78"/>
      <c r="OY78"/>
      <c r="OZ78"/>
      <c r="PA78"/>
      <c r="PB78"/>
      <c r="PC78"/>
      <c r="PD78"/>
      <c r="PE78"/>
      <c r="PF78"/>
      <c r="PG78"/>
      <c r="PH78"/>
      <c r="PI78"/>
      <c r="PJ78"/>
      <c r="PK78"/>
      <c r="PL78"/>
      <c r="PM78"/>
      <c r="PN78"/>
      <c r="PO78"/>
      <c r="PP78"/>
      <c r="PQ78"/>
      <c r="PR78"/>
      <c r="PS78"/>
      <c r="PT78"/>
      <c r="PU78"/>
      <c r="PV78"/>
      <c r="PW78"/>
      <c r="PX78"/>
      <c r="PY78"/>
      <c r="PZ78"/>
      <c r="QA78"/>
      <c r="QB78"/>
      <c r="QC78"/>
      <c r="QD78"/>
      <c r="QE78"/>
      <c r="QF78"/>
      <c r="QG78"/>
      <c r="QH78"/>
      <c r="QI78"/>
      <c r="QJ78"/>
      <c r="QK78"/>
      <c r="QL78"/>
      <c r="QM78"/>
      <c r="QN78"/>
      <c r="QO78"/>
      <c r="QP78"/>
      <c r="QQ78"/>
      <c r="QR78"/>
      <c r="QS78"/>
      <c r="QT78"/>
      <c r="QU78"/>
      <c r="QV78"/>
      <c r="QW78"/>
      <c r="QX78"/>
      <c r="QY78"/>
      <c r="QZ78"/>
      <c r="RA78"/>
      <c r="RB78"/>
      <c r="RC78"/>
      <c r="RD78"/>
      <c r="RE78"/>
      <c r="RF78"/>
      <c r="RG78"/>
      <c r="RH78"/>
      <c r="RI78"/>
      <c r="RJ78"/>
      <c r="RK78"/>
      <c r="RL78"/>
      <c r="RM78"/>
      <c r="RN78"/>
      <c r="RO78"/>
      <c r="RP78"/>
      <c r="RQ78"/>
      <c r="RR78"/>
      <c r="RS78"/>
    </row>
    <row r="79" spans="3:487" x14ac:dyDescent="0.25">
      <c r="C79" s="2" t="s">
        <v>263</v>
      </c>
      <c r="D79" s="34">
        <v>2</v>
      </c>
      <c r="F79" s="2" t="s">
        <v>3607</v>
      </c>
      <c r="G79" s="34">
        <v>2</v>
      </c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  <c r="CN79"/>
      <c r="CO79"/>
      <c r="CP79"/>
      <c r="CQ79"/>
      <c r="CR79"/>
      <c r="CS79"/>
      <c r="CT79"/>
      <c r="CU79"/>
      <c r="CV79"/>
      <c r="CW79"/>
      <c r="CX79"/>
      <c r="CY79"/>
      <c r="CZ79"/>
      <c r="DA79"/>
      <c r="DB79"/>
      <c r="DC79"/>
      <c r="DD79"/>
      <c r="DE79"/>
      <c r="DF79"/>
      <c r="DG79"/>
      <c r="DH79"/>
      <c r="DI79"/>
      <c r="DJ79"/>
      <c r="DK79"/>
      <c r="DL79"/>
      <c r="DM79"/>
      <c r="DN79"/>
      <c r="DO79"/>
      <c r="DP79"/>
      <c r="DQ79"/>
      <c r="DR79"/>
      <c r="DS79"/>
      <c r="DT79"/>
      <c r="DU79"/>
      <c r="DV79"/>
      <c r="DW79"/>
      <c r="DX79"/>
      <c r="DY79"/>
      <c r="DZ79"/>
      <c r="EA79"/>
      <c r="EB79"/>
      <c r="EC79"/>
      <c r="ED79"/>
      <c r="EE79"/>
      <c r="EF79"/>
      <c r="EG79"/>
      <c r="EH79"/>
      <c r="EI79"/>
      <c r="EJ79"/>
      <c r="EK79"/>
      <c r="EL79"/>
      <c r="EM79"/>
      <c r="EN79"/>
      <c r="EO79"/>
      <c r="EP79"/>
      <c r="EQ79"/>
      <c r="ER79"/>
      <c r="ES79"/>
      <c r="ET79"/>
      <c r="EU79"/>
      <c r="EV79"/>
      <c r="EW79"/>
      <c r="EX79"/>
      <c r="EY79"/>
      <c r="EZ79"/>
      <c r="FA79"/>
      <c r="FB79"/>
      <c r="FC79"/>
      <c r="FD79"/>
      <c r="FE79"/>
      <c r="FF79"/>
      <c r="FG79"/>
      <c r="FH79"/>
      <c r="FI79"/>
      <c r="FJ79"/>
      <c r="FK79"/>
      <c r="FL79"/>
      <c r="FM79"/>
      <c r="FN79"/>
      <c r="FO79"/>
      <c r="FP79"/>
      <c r="FQ79"/>
      <c r="FR79"/>
      <c r="FS79"/>
      <c r="FT79"/>
      <c r="FU79"/>
      <c r="FV79"/>
      <c r="FW79"/>
      <c r="FX79"/>
      <c r="FY79"/>
      <c r="FZ79"/>
      <c r="GA79"/>
      <c r="GB79"/>
      <c r="GC79"/>
      <c r="GD79"/>
      <c r="GE79"/>
      <c r="GF79"/>
      <c r="GG79"/>
      <c r="GH79"/>
      <c r="GI79"/>
      <c r="GJ79"/>
      <c r="GK79"/>
      <c r="GL79"/>
      <c r="GM79"/>
      <c r="GN79"/>
      <c r="GO79"/>
      <c r="GP79"/>
      <c r="GQ79"/>
      <c r="GR79"/>
      <c r="GS79"/>
      <c r="GT79"/>
      <c r="GU79"/>
      <c r="GV79"/>
      <c r="GW79"/>
      <c r="GX79"/>
      <c r="GY79"/>
      <c r="GZ79"/>
      <c r="HA79"/>
      <c r="HB79"/>
      <c r="HC79"/>
      <c r="HD79"/>
      <c r="HE79"/>
      <c r="HF79"/>
      <c r="HG79"/>
      <c r="HH79"/>
      <c r="HI79"/>
      <c r="HJ79"/>
      <c r="HK79"/>
      <c r="HL79"/>
      <c r="HM79"/>
      <c r="HN79"/>
      <c r="HO79"/>
      <c r="HP79"/>
      <c r="HQ79"/>
      <c r="HR79"/>
      <c r="HS79"/>
      <c r="HT79"/>
      <c r="HU79"/>
      <c r="HV79"/>
      <c r="HW79"/>
      <c r="HX79"/>
      <c r="HY79"/>
      <c r="HZ79"/>
      <c r="IA79"/>
      <c r="IB79"/>
      <c r="IC79"/>
      <c r="ID79"/>
      <c r="IE79"/>
      <c r="IF79"/>
      <c r="IG79"/>
      <c r="IH79"/>
      <c r="II79"/>
      <c r="IJ79"/>
      <c r="IK79"/>
      <c r="IL79"/>
      <c r="IM79"/>
      <c r="IN79"/>
      <c r="IO79"/>
      <c r="IP79"/>
      <c r="IQ79"/>
      <c r="IR79"/>
      <c r="IS79"/>
      <c r="IT79"/>
      <c r="IU79"/>
      <c r="IV79"/>
      <c r="IW79"/>
      <c r="IX79"/>
      <c r="IY79"/>
      <c r="IZ79"/>
      <c r="JA79"/>
      <c r="JB79"/>
      <c r="JC79"/>
      <c r="JD79"/>
      <c r="JE79"/>
      <c r="JF79"/>
      <c r="JG79"/>
      <c r="JH79"/>
      <c r="JI79"/>
      <c r="JJ79"/>
      <c r="JK79"/>
      <c r="JL79"/>
      <c r="JM79"/>
      <c r="JN79"/>
      <c r="JO79"/>
      <c r="JP79"/>
      <c r="JQ79"/>
      <c r="JR79"/>
      <c r="JS79"/>
      <c r="JT79"/>
      <c r="JU79"/>
      <c r="JV79"/>
      <c r="JW79"/>
      <c r="JX79"/>
      <c r="JY79"/>
      <c r="JZ79"/>
      <c r="KA79"/>
      <c r="KB79"/>
      <c r="KC79"/>
      <c r="KD79"/>
      <c r="KE79"/>
      <c r="KF79"/>
      <c r="KG79"/>
      <c r="KH79"/>
      <c r="KI79"/>
      <c r="KJ79"/>
      <c r="KK79"/>
      <c r="KL79"/>
      <c r="KM79"/>
      <c r="KN79"/>
      <c r="KO79"/>
      <c r="KP79"/>
      <c r="KQ79"/>
      <c r="KR79"/>
      <c r="KS79"/>
      <c r="KT79"/>
      <c r="KU79"/>
      <c r="KV79"/>
      <c r="KW79"/>
      <c r="KX79"/>
      <c r="KY79"/>
      <c r="KZ79"/>
      <c r="LA79"/>
      <c r="LB79"/>
      <c r="LC79"/>
      <c r="LD79"/>
      <c r="LE79"/>
      <c r="LF79"/>
      <c r="LG79"/>
      <c r="LH79"/>
      <c r="LI79"/>
      <c r="LJ79"/>
      <c r="LK79"/>
      <c r="LL79"/>
      <c r="LM79"/>
      <c r="LN79"/>
      <c r="LO79"/>
      <c r="LP79"/>
      <c r="LQ79"/>
      <c r="LR79"/>
      <c r="LS79"/>
      <c r="LT79"/>
      <c r="LU79"/>
      <c r="LV79"/>
      <c r="LW79"/>
      <c r="LX79"/>
      <c r="LY79"/>
      <c r="LZ79"/>
      <c r="MA79"/>
      <c r="MB79"/>
      <c r="MC79"/>
      <c r="MD79"/>
      <c r="ME79"/>
      <c r="MF79"/>
      <c r="MG79"/>
      <c r="MH79"/>
      <c r="MI79"/>
      <c r="MJ79"/>
      <c r="MK79"/>
      <c r="ML79"/>
      <c r="MM79"/>
      <c r="MN79"/>
      <c r="MO79"/>
      <c r="MP79"/>
      <c r="MQ79"/>
      <c r="MR79"/>
      <c r="MS79"/>
      <c r="MT79"/>
      <c r="MU79"/>
      <c r="MV79"/>
      <c r="MW79"/>
      <c r="MX79"/>
      <c r="MY79"/>
      <c r="MZ79"/>
      <c r="NA79"/>
      <c r="NB79"/>
      <c r="NC79"/>
      <c r="ND79"/>
      <c r="NE79"/>
      <c r="NF79"/>
      <c r="NG79"/>
      <c r="NH79"/>
      <c r="NI79"/>
      <c r="NJ79"/>
      <c r="NK79"/>
      <c r="NL79"/>
      <c r="NM79"/>
      <c r="NN79"/>
      <c r="NO79"/>
      <c r="NP79"/>
      <c r="NQ79"/>
      <c r="NR79"/>
      <c r="NS79"/>
      <c r="NT79"/>
      <c r="NU79"/>
      <c r="NV79"/>
      <c r="NW79"/>
      <c r="NX79"/>
      <c r="NY79"/>
      <c r="NZ79"/>
      <c r="OA79"/>
      <c r="OB79"/>
      <c r="OC79"/>
      <c r="OD79"/>
      <c r="OE79"/>
      <c r="OF79"/>
      <c r="OG79"/>
      <c r="OH79"/>
      <c r="OI79"/>
      <c r="OJ79"/>
      <c r="OK79"/>
      <c r="OL79"/>
      <c r="OM79"/>
      <c r="ON79"/>
      <c r="OO79"/>
      <c r="OP79"/>
      <c r="OQ79"/>
      <c r="OR79"/>
      <c r="OS79"/>
      <c r="OT79"/>
      <c r="OU79"/>
      <c r="OV79"/>
      <c r="OW79"/>
      <c r="OX79"/>
      <c r="OY79"/>
      <c r="OZ79"/>
      <c r="PA79"/>
      <c r="PB79"/>
      <c r="PC79"/>
      <c r="PD79"/>
      <c r="PE79"/>
      <c r="PF79"/>
      <c r="PG79"/>
      <c r="PH79"/>
      <c r="PI79"/>
      <c r="PJ79"/>
      <c r="PK79"/>
      <c r="PL79"/>
      <c r="PM79"/>
      <c r="PN79"/>
      <c r="PO79"/>
      <c r="PP79"/>
      <c r="PQ79"/>
      <c r="PR79"/>
      <c r="PS79"/>
      <c r="PT79"/>
      <c r="PU79"/>
      <c r="PV79"/>
      <c r="PW79"/>
      <c r="PX79"/>
      <c r="PY79"/>
      <c r="PZ79"/>
      <c r="QA79"/>
      <c r="QB79"/>
      <c r="QC79"/>
      <c r="QD79"/>
      <c r="QE79"/>
      <c r="QF79"/>
      <c r="QG79"/>
      <c r="QH79"/>
      <c r="QI79"/>
      <c r="QJ79"/>
      <c r="QK79"/>
      <c r="QL79"/>
      <c r="QM79"/>
      <c r="QN79"/>
      <c r="QO79"/>
      <c r="QP79"/>
      <c r="QQ79"/>
      <c r="QR79"/>
      <c r="QS79"/>
      <c r="QT79"/>
      <c r="QU79"/>
      <c r="QV79"/>
      <c r="QW79"/>
      <c r="QX79"/>
      <c r="QY79"/>
      <c r="QZ79"/>
      <c r="RA79"/>
      <c r="RB79"/>
      <c r="RC79"/>
      <c r="RD79"/>
      <c r="RE79"/>
      <c r="RF79"/>
      <c r="RG79"/>
      <c r="RH79"/>
      <c r="RI79"/>
      <c r="RJ79"/>
      <c r="RK79"/>
      <c r="RL79"/>
      <c r="RM79"/>
      <c r="RN79"/>
      <c r="RO79"/>
      <c r="RP79"/>
      <c r="RQ79"/>
      <c r="RR79"/>
      <c r="RS79"/>
    </row>
    <row r="80" spans="3:487" x14ac:dyDescent="0.25">
      <c r="C80" s="2" t="s">
        <v>111</v>
      </c>
      <c r="D80" s="34">
        <v>2</v>
      </c>
      <c r="F80" s="2" t="s">
        <v>468</v>
      </c>
      <c r="G80" s="34">
        <v>2</v>
      </c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  <c r="CN80"/>
      <c r="CO80"/>
      <c r="CP80"/>
      <c r="CQ80"/>
      <c r="CR80"/>
      <c r="CS80"/>
      <c r="CT80"/>
      <c r="CU80"/>
      <c r="CV80"/>
      <c r="CW80"/>
      <c r="CX80"/>
      <c r="CY80"/>
      <c r="CZ80"/>
      <c r="DA80"/>
      <c r="DB80"/>
      <c r="DC80"/>
      <c r="DD80"/>
      <c r="DE80"/>
      <c r="DF80"/>
      <c r="DG80"/>
      <c r="DH80"/>
      <c r="DI80"/>
      <c r="DJ80"/>
      <c r="DK80"/>
      <c r="DL80"/>
      <c r="DM80"/>
      <c r="DN80"/>
      <c r="DO80"/>
      <c r="DP80"/>
      <c r="DQ80"/>
      <c r="DR80"/>
      <c r="DS80"/>
      <c r="DT80"/>
      <c r="DU80"/>
      <c r="DV80"/>
      <c r="DW80"/>
      <c r="DX80"/>
      <c r="DY80"/>
      <c r="DZ80"/>
      <c r="EA80"/>
      <c r="EB80"/>
      <c r="EC80"/>
      <c r="ED80"/>
      <c r="EE80"/>
      <c r="EF80"/>
      <c r="EG80"/>
      <c r="EH80"/>
      <c r="EI80"/>
      <c r="EJ80"/>
      <c r="EK80"/>
      <c r="EL80"/>
      <c r="EM80"/>
      <c r="EN80"/>
      <c r="EO80"/>
      <c r="EP80"/>
      <c r="EQ80"/>
      <c r="ER80"/>
      <c r="ES80"/>
      <c r="ET80"/>
      <c r="EU80"/>
      <c r="EV80"/>
      <c r="EW80"/>
      <c r="EX80"/>
      <c r="EY80"/>
      <c r="EZ80"/>
      <c r="FA80"/>
      <c r="FB80"/>
      <c r="FC80"/>
      <c r="FD80"/>
      <c r="FE80"/>
      <c r="FF80"/>
      <c r="FG80"/>
      <c r="FH80"/>
      <c r="FI80"/>
      <c r="FJ80"/>
      <c r="FK80"/>
      <c r="FL80"/>
      <c r="FM80"/>
      <c r="FN80"/>
      <c r="FO80"/>
      <c r="FP80"/>
      <c r="FQ80"/>
      <c r="FR80"/>
      <c r="FS80"/>
      <c r="FT80"/>
      <c r="FU80"/>
      <c r="FV80"/>
      <c r="FW80"/>
      <c r="FX80"/>
      <c r="FY80"/>
      <c r="FZ80"/>
      <c r="GA80"/>
      <c r="GB80"/>
      <c r="GC80"/>
      <c r="GD80"/>
      <c r="GE80"/>
      <c r="GF80"/>
      <c r="GG80"/>
      <c r="GH80"/>
      <c r="GI80"/>
      <c r="GJ80"/>
      <c r="GK80"/>
      <c r="GL80"/>
      <c r="GM80"/>
      <c r="GN80"/>
      <c r="GO80"/>
      <c r="GP80"/>
      <c r="GQ80"/>
      <c r="GR80"/>
      <c r="GS80"/>
      <c r="GT80"/>
      <c r="GU80"/>
      <c r="GV80"/>
      <c r="GW80"/>
      <c r="GX80"/>
      <c r="GY80"/>
      <c r="GZ80"/>
      <c r="HA80"/>
      <c r="HB80"/>
      <c r="HC80"/>
      <c r="HD80"/>
      <c r="HE80"/>
      <c r="HF80"/>
      <c r="HG80"/>
      <c r="HH80"/>
      <c r="HI80"/>
      <c r="HJ80"/>
      <c r="HK80"/>
      <c r="HL80"/>
      <c r="HM80"/>
      <c r="HN80"/>
      <c r="HO80"/>
      <c r="HP80"/>
      <c r="HQ80"/>
      <c r="HR80"/>
      <c r="HS80"/>
      <c r="HT80"/>
      <c r="HU80"/>
      <c r="HV80"/>
      <c r="HW80"/>
      <c r="HX80"/>
      <c r="HY80"/>
      <c r="HZ80"/>
      <c r="IA80"/>
      <c r="IB80"/>
      <c r="IC80"/>
      <c r="ID80"/>
      <c r="IE80"/>
      <c r="IF80"/>
      <c r="IG80"/>
      <c r="IH80"/>
      <c r="II80"/>
      <c r="IJ80"/>
      <c r="IK80"/>
      <c r="IL80"/>
      <c r="IM80"/>
      <c r="IN80"/>
      <c r="IO80"/>
      <c r="IP80"/>
      <c r="IQ80"/>
      <c r="IR80"/>
      <c r="IS80"/>
      <c r="IT80"/>
      <c r="IU80"/>
      <c r="IV80"/>
      <c r="IW80"/>
      <c r="IX80"/>
      <c r="IY80"/>
      <c r="IZ80"/>
      <c r="JA80"/>
      <c r="JB80"/>
      <c r="JC80"/>
      <c r="JD80"/>
      <c r="JE80"/>
      <c r="JF80"/>
      <c r="JG80"/>
      <c r="JH80"/>
      <c r="JI80"/>
      <c r="JJ80"/>
      <c r="JK80"/>
      <c r="JL80"/>
      <c r="JM80"/>
      <c r="JN80"/>
      <c r="JO80"/>
      <c r="JP80"/>
      <c r="JQ80"/>
      <c r="JR80"/>
      <c r="JS80"/>
      <c r="JT80"/>
      <c r="JU80"/>
      <c r="JV80"/>
      <c r="JW80"/>
      <c r="JX80"/>
      <c r="JY80"/>
      <c r="JZ80"/>
      <c r="KA80"/>
      <c r="KB80"/>
      <c r="KC80"/>
      <c r="KD80"/>
      <c r="KE80"/>
      <c r="KF80"/>
      <c r="KG80"/>
      <c r="KH80"/>
      <c r="KI80"/>
      <c r="KJ80"/>
      <c r="KK80"/>
      <c r="KL80"/>
      <c r="KM80"/>
      <c r="KN80"/>
      <c r="KO80"/>
      <c r="KP80"/>
      <c r="KQ80"/>
      <c r="KR80"/>
      <c r="KS80"/>
      <c r="KT80"/>
      <c r="KU80"/>
      <c r="KV80"/>
      <c r="KW80"/>
      <c r="KX80"/>
      <c r="KY80"/>
      <c r="KZ80"/>
      <c r="LA80"/>
      <c r="LB80"/>
      <c r="LC80"/>
      <c r="LD80"/>
      <c r="LE80"/>
      <c r="LF80"/>
      <c r="LG80"/>
      <c r="LH80"/>
      <c r="LI80"/>
      <c r="LJ80"/>
      <c r="LK80"/>
      <c r="LL80"/>
      <c r="LM80"/>
      <c r="LN80"/>
      <c r="LO80"/>
      <c r="LP80"/>
      <c r="LQ80"/>
      <c r="LR80"/>
      <c r="LS80"/>
      <c r="LT80"/>
      <c r="LU80"/>
      <c r="LV80"/>
      <c r="LW80"/>
      <c r="LX80"/>
      <c r="LY80"/>
      <c r="LZ80"/>
      <c r="MA80"/>
      <c r="MB80"/>
      <c r="MC80"/>
      <c r="MD80"/>
      <c r="ME80"/>
      <c r="MF80"/>
      <c r="MG80"/>
      <c r="MH80"/>
      <c r="MI80"/>
      <c r="MJ80"/>
      <c r="MK80"/>
      <c r="ML80"/>
      <c r="MM80"/>
      <c r="MN80"/>
      <c r="MO80"/>
      <c r="MP80"/>
      <c r="MQ80"/>
      <c r="MR80"/>
      <c r="MS80"/>
      <c r="MT80"/>
      <c r="MU80"/>
      <c r="MV80"/>
      <c r="MW80"/>
      <c r="MX80"/>
      <c r="MY80"/>
      <c r="MZ80"/>
      <c r="NA80"/>
      <c r="NB80"/>
      <c r="NC80"/>
      <c r="ND80"/>
      <c r="NE80"/>
      <c r="NF80"/>
      <c r="NG80"/>
      <c r="NH80"/>
      <c r="NI80"/>
      <c r="NJ80"/>
      <c r="NK80"/>
      <c r="NL80"/>
      <c r="NM80"/>
      <c r="NN80"/>
      <c r="NO80"/>
      <c r="NP80"/>
      <c r="NQ80"/>
      <c r="NR80"/>
      <c r="NS80"/>
      <c r="NT80"/>
      <c r="NU80"/>
      <c r="NV80"/>
      <c r="NW80"/>
      <c r="NX80"/>
      <c r="NY80"/>
      <c r="NZ80"/>
      <c r="OA80"/>
      <c r="OB80"/>
      <c r="OC80"/>
      <c r="OD80"/>
      <c r="OE80"/>
      <c r="OF80"/>
      <c r="OG80"/>
      <c r="OH80"/>
      <c r="OI80"/>
      <c r="OJ80"/>
      <c r="OK80"/>
      <c r="OL80"/>
      <c r="OM80"/>
      <c r="ON80"/>
      <c r="OO80"/>
      <c r="OP80"/>
      <c r="OQ80"/>
      <c r="OR80"/>
      <c r="OS80"/>
      <c r="OT80"/>
      <c r="OU80"/>
      <c r="OV80"/>
      <c r="OW80"/>
      <c r="OX80"/>
      <c r="OY80"/>
      <c r="OZ80"/>
      <c r="PA80"/>
      <c r="PB80"/>
      <c r="PC80"/>
      <c r="PD80"/>
      <c r="PE80"/>
      <c r="PF80"/>
      <c r="PG80"/>
      <c r="PH80"/>
      <c r="PI80"/>
      <c r="PJ80"/>
      <c r="PK80"/>
      <c r="PL80"/>
      <c r="PM80"/>
      <c r="PN80"/>
      <c r="PO80"/>
      <c r="PP80"/>
      <c r="PQ80"/>
      <c r="PR80"/>
      <c r="PS80"/>
      <c r="PT80"/>
      <c r="PU80"/>
      <c r="PV80"/>
      <c r="PW80"/>
      <c r="PX80"/>
      <c r="PY80"/>
      <c r="PZ80"/>
      <c r="QA80"/>
      <c r="QB80"/>
      <c r="QC80"/>
      <c r="QD80"/>
      <c r="QE80"/>
      <c r="QF80"/>
      <c r="QG80"/>
      <c r="QH80"/>
      <c r="QI80"/>
      <c r="QJ80"/>
      <c r="QK80"/>
      <c r="QL80"/>
      <c r="QM80"/>
      <c r="QN80"/>
      <c r="QO80"/>
      <c r="QP80"/>
      <c r="QQ80"/>
      <c r="QR80"/>
      <c r="QS80"/>
      <c r="QT80"/>
      <c r="QU80"/>
      <c r="QV80"/>
      <c r="QW80"/>
      <c r="QX80"/>
      <c r="QY80"/>
      <c r="QZ80"/>
      <c r="RA80"/>
      <c r="RB80"/>
      <c r="RC80"/>
      <c r="RD80"/>
      <c r="RE80"/>
      <c r="RF80"/>
      <c r="RG80"/>
      <c r="RH80"/>
      <c r="RI80"/>
      <c r="RJ80"/>
      <c r="RK80"/>
      <c r="RL80"/>
      <c r="RM80"/>
      <c r="RN80"/>
      <c r="RO80"/>
      <c r="RP80"/>
      <c r="RQ80"/>
      <c r="RR80"/>
      <c r="RS80"/>
    </row>
    <row r="81" spans="3:487" x14ac:dyDescent="0.25">
      <c r="C81" s="2" t="s">
        <v>336</v>
      </c>
      <c r="D81" s="34">
        <v>2</v>
      </c>
      <c r="F81" s="2" t="s">
        <v>108</v>
      </c>
      <c r="G81" s="34">
        <v>2</v>
      </c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  <c r="CN81"/>
      <c r="CO81"/>
      <c r="CP81"/>
      <c r="CQ81"/>
      <c r="CR81"/>
      <c r="CS81"/>
      <c r="CT81"/>
      <c r="CU81"/>
      <c r="CV81"/>
      <c r="CW81"/>
      <c r="CX81"/>
      <c r="CY81"/>
      <c r="CZ81"/>
      <c r="DA81"/>
      <c r="DB81"/>
      <c r="DC81"/>
      <c r="DD81"/>
      <c r="DE81"/>
      <c r="DF81"/>
      <c r="DG81"/>
      <c r="DH81"/>
      <c r="DI81"/>
      <c r="DJ81"/>
      <c r="DK81"/>
      <c r="DL81"/>
      <c r="DM81"/>
      <c r="DN81"/>
      <c r="DO81"/>
      <c r="DP81"/>
      <c r="DQ81"/>
      <c r="DR81"/>
      <c r="DS81"/>
      <c r="DT81"/>
      <c r="DU81"/>
      <c r="DV81"/>
      <c r="DW81"/>
      <c r="DX81"/>
      <c r="DY81"/>
      <c r="DZ81"/>
      <c r="EA81"/>
      <c r="EB81"/>
      <c r="EC81"/>
      <c r="ED81"/>
      <c r="EE81"/>
      <c r="EF81"/>
      <c r="EG81"/>
      <c r="EH81"/>
      <c r="EI81"/>
      <c r="EJ81"/>
      <c r="EK81"/>
      <c r="EL81"/>
      <c r="EM81"/>
      <c r="EN81"/>
      <c r="EO81"/>
      <c r="EP81"/>
      <c r="EQ81"/>
      <c r="ER81"/>
      <c r="ES81"/>
      <c r="ET81"/>
      <c r="EU81"/>
      <c r="EV81"/>
      <c r="EW81"/>
      <c r="EX81"/>
      <c r="EY81"/>
      <c r="EZ81"/>
      <c r="FA81"/>
      <c r="FB81"/>
      <c r="FC81"/>
      <c r="FD81"/>
      <c r="FE81"/>
      <c r="FF81"/>
      <c r="FG81"/>
      <c r="FH81"/>
      <c r="FI81"/>
      <c r="FJ81"/>
      <c r="FK81"/>
      <c r="FL81"/>
      <c r="FM81"/>
      <c r="FN81"/>
      <c r="FO81"/>
      <c r="FP81"/>
      <c r="FQ81"/>
      <c r="FR81"/>
      <c r="FS81"/>
      <c r="FT81"/>
      <c r="FU81"/>
      <c r="FV81"/>
      <c r="FW81"/>
      <c r="FX81"/>
      <c r="FY81"/>
      <c r="FZ81"/>
      <c r="GA81"/>
      <c r="GB81"/>
      <c r="GC81"/>
      <c r="GD81"/>
      <c r="GE81"/>
      <c r="GF81"/>
      <c r="GG81"/>
      <c r="GH81"/>
      <c r="GI81"/>
      <c r="GJ81"/>
      <c r="GK81"/>
      <c r="GL81"/>
      <c r="GM81"/>
      <c r="GN81"/>
      <c r="GO81"/>
      <c r="GP81"/>
      <c r="GQ81"/>
      <c r="GR81"/>
      <c r="GS81"/>
      <c r="GT81"/>
      <c r="GU81"/>
      <c r="GV81"/>
      <c r="GW81"/>
      <c r="GX81"/>
      <c r="GY81"/>
      <c r="GZ81"/>
      <c r="HA81"/>
      <c r="HB81"/>
      <c r="HC81"/>
      <c r="HD81"/>
      <c r="HE81"/>
      <c r="HF81"/>
      <c r="HG81"/>
      <c r="HH81"/>
      <c r="HI81"/>
      <c r="HJ81"/>
      <c r="HK81"/>
      <c r="HL81"/>
      <c r="HM81"/>
      <c r="HN81"/>
      <c r="HO81"/>
      <c r="HP81"/>
      <c r="HQ81"/>
      <c r="HR81"/>
      <c r="HS81"/>
      <c r="HT81"/>
      <c r="HU81"/>
      <c r="HV81"/>
      <c r="HW81"/>
      <c r="HX81"/>
      <c r="HY81"/>
      <c r="HZ81"/>
      <c r="IA81"/>
      <c r="IB81"/>
      <c r="IC81"/>
      <c r="ID81"/>
      <c r="IE81"/>
      <c r="IF81"/>
      <c r="IG81"/>
      <c r="IH81"/>
      <c r="II81"/>
      <c r="IJ81"/>
      <c r="IK81"/>
      <c r="IL81"/>
      <c r="IM81"/>
      <c r="IN81"/>
      <c r="IO81"/>
      <c r="IP81"/>
      <c r="IQ81"/>
      <c r="IR81"/>
      <c r="IS81"/>
      <c r="IT81"/>
      <c r="IU81"/>
      <c r="IV81"/>
      <c r="IW81"/>
      <c r="IX81"/>
      <c r="IY81"/>
      <c r="IZ81"/>
      <c r="JA81"/>
      <c r="JB81"/>
      <c r="JC81"/>
      <c r="JD81"/>
      <c r="JE81"/>
      <c r="JF81"/>
      <c r="JG81"/>
      <c r="JH81"/>
      <c r="JI81"/>
      <c r="JJ81"/>
      <c r="JK81"/>
      <c r="JL81"/>
      <c r="JM81"/>
      <c r="JN81"/>
      <c r="JO81"/>
      <c r="JP81"/>
      <c r="JQ81"/>
      <c r="JR81"/>
      <c r="JS81"/>
      <c r="JT81"/>
      <c r="JU81"/>
      <c r="JV81"/>
      <c r="JW81"/>
      <c r="JX81"/>
      <c r="JY81"/>
      <c r="JZ81"/>
      <c r="KA81"/>
      <c r="KB81"/>
      <c r="KC81"/>
      <c r="KD81"/>
      <c r="KE81"/>
      <c r="KF81"/>
      <c r="KG81"/>
      <c r="KH81"/>
      <c r="KI81"/>
      <c r="KJ81"/>
      <c r="KK81"/>
      <c r="KL81"/>
      <c r="KM81"/>
      <c r="KN81"/>
      <c r="KO81"/>
      <c r="KP81"/>
      <c r="KQ81"/>
      <c r="KR81"/>
      <c r="KS81"/>
      <c r="KT81"/>
      <c r="KU81"/>
      <c r="KV81"/>
      <c r="KW81"/>
      <c r="KX81"/>
      <c r="KY81"/>
      <c r="KZ81"/>
      <c r="LA81"/>
      <c r="LB81"/>
      <c r="LC81"/>
      <c r="LD81"/>
      <c r="LE81"/>
      <c r="LF81"/>
      <c r="LG81"/>
      <c r="LH81"/>
      <c r="LI81"/>
      <c r="LJ81"/>
      <c r="LK81"/>
      <c r="LL81"/>
      <c r="LM81"/>
      <c r="LN81"/>
      <c r="LO81"/>
      <c r="LP81"/>
      <c r="LQ81"/>
      <c r="LR81"/>
      <c r="LS81"/>
      <c r="LT81"/>
      <c r="LU81"/>
      <c r="LV81"/>
      <c r="LW81"/>
      <c r="LX81"/>
      <c r="LY81"/>
      <c r="LZ81"/>
      <c r="MA81"/>
      <c r="MB81"/>
      <c r="MC81"/>
      <c r="MD81"/>
      <c r="ME81"/>
      <c r="MF81"/>
      <c r="MG81"/>
      <c r="MH81"/>
      <c r="MI81"/>
      <c r="MJ81"/>
      <c r="MK81"/>
      <c r="ML81"/>
      <c r="MM81"/>
      <c r="MN81"/>
      <c r="MO81"/>
      <c r="MP81"/>
      <c r="MQ81"/>
      <c r="MR81"/>
      <c r="MS81"/>
      <c r="MT81"/>
      <c r="MU81"/>
      <c r="MV81"/>
      <c r="MW81"/>
      <c r="MX81"/>
      <c r="MY81"/>
      <c r="MZ81"/>
      <c r="NA81"/>
      <c r="NB81"/>
      <c r="NC81"/>
      <c r="ND81"/>
      <c r="NE81"/>
      <c r="NF81"/>
      <c r="NG81"/>
      <c r="NH81"/>
      <c r="NI81"/>
      <c r="NJ81"/>
      <c r="NK81"/>
      <c r="NL81"/>
      <c r="NM81"/>
      <c r="NN81"/>
      <c r="NO81"/>
      <c r="NP81"/>
      <c r="NQ81"/>
      <c r="NR81"/>
      <c r="NS81"/>
      <c r="NT81"/>
      <c r="NU81"/>
      <c r="NV81"/>
      <c r="NW81"/>
      <c r="NX81"/>
      <c r="NY81"/>
      <c r="NZ81"/>
      <c r="OA81"/>
      <c r="OB81"/>
      <c r="OC81"/>
      <c r="OD81"/>
      <c r="OE81"/>
      <c r="OF81"/>
      <c r="OG81"/>
      <c r="OH81"/>
      <c r="OI81"/>
      <c r="OJ81"/>
      <c r="OK81"/>
      <c r="OL81"/>
      <c r="OM81"/>
      <c r="ON81"/>
      <c r="OO81"/>
      <c r="OP81"/>
      <c r="OQ81"/>
      <c r="OR81"/>
      <c r="OS81"/>
      <c r="OT81"/>
      <c r="OU81"/>
      <c r="OV81"/>
      <c r="OW81"/>
      <c r="OX81"/>
      <c r="OY81"/>
      <c r="OZ81"/>
      <c r="PA81"/>
      <c r="PB81"/>
      <c r="PC81"/>
      <c r="PD81"/>
      <c r="PE81"/>
      <c r="PF81"/>
      <c r="PG81"/>
      <c r="PH81"/>
      <c r="PI81"/>
      <c r="PJ81"/>
      <c r="PK81"/>
      <c r="PL81"/>
      <c r="PM81"/>
      <c r="PN81"/>
      <c r="PO81"/>
      <c r="PP81"/>
      <c r="PQ81"/>
      <c r="PR81"/>
      <c r="PS81"/>
      <c r="PT81"/>
      <c r="PU81"/>
      <c r="PV81"/>
      <c r="PW81"/>
      <c r="PX81"/>
      <c r="PY81"/>
      <c r="PZ81"/>
      <c r="QA81"/>
      <c r="QB81"/>
      <c r="QC81"/>
      <c r="QD81"/>
      <c r="QE81"/>
      <c r="QF81"/>
      <c r="QG81"/>
      <c r="QH81"/>
      <c r="QI81"/>
      <c r="QJ81"/>
      <c r="QK81"/>
      <c r="QL81"/>
      <c r="QM81"/>
      <c r="QN81"/>
      <c r="QO81"/>
      <c r="QP81"/>
      <c r="QQ81"/>
      <c r="QR81"/>
      <c r="QS81"/>
      <c r="QT81"/>
      <c r="QU81"/>
      <c r="QV81"/>
      <c r="QW81"/>
      <c r="QX81"/>
      <c r="QY81"/>
      <c r="QZ81"/>
      <c r="RA81"/>
      <c r="RB81"/>
      <c r="RC81"/>
      <c r="RD81"/>
      <c r="RE81"/>
      <c r="RF81"/>
      <c r="RG81"/>
      <c r="RH81"/>
      <c r="RI81"/>
      <c r="RJ81"/>
      <c r="RK81"/>
      <c r="RL81"/>
      <c r="RM81"/>
      <c r="RN81"/>
      <c r="RO81"/>
      <c r="RP81"/>
      <c r="RQ81"/>
      <c r="RR81"/>
      <c r="RS81"/>
    </row>
    <row r="82" spans="3:487" x14ac:dyDescent="0.25">
      <c r="C82" s="2" t="s">
        <v>129</v>
      </c>
      <c r="D82" s="34">
        <v>1</v>
      </c>
      <c r="F82" s="2" t="s">
        <v>3735</v>
      </c>
      <c r="G82" s="34">
        <v>2</v>
      </c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  <c r="CN82"/>
      <c r="CO82"/>
      <c r="CP82"/>
      <c r="CQ82"/>
      <c r="CR82"/>
      <c r="CS82"/>
      <c r="CT82"/>
      <c r="CU82"/>
      <c r="CV82"/>
      <c r="CW82"/>
      <c r="CX82"/>
      <c r="CY82"/>
      <c r="CZ82"/>
      <c r="DA82"/>
      <c r="DB82"/>
      <c r="DC82"/>
      <c r="DD82"/>
      <c r="DE82"/>
      <c r="DF82"/>
      <c r="DG82"/>
      <c r="DH82"/>
      <c r="DI82"/>
      <c r="DJ82"/>
      <c r="DK82"/>
      <c r="DL82"/>
      <c r="DM82"/>
      <c r="DN82"/>
      <c r="DO82"/>
      <c r="DP82"/>
      <c r="DQ82"/>
      <c r="DR82"/>
      <c r="DS82"/>
      <c r="DT82"/>
      <c r="DU82"/>
      <c r="DV82"/>
      <c r="DW82"/>
      <c r="DX82"/>
      <c r="DY82"/>
      <c r="DZ82"/>
      <c r="EA82"/>
      <c r="EB82"/>
      <c r="EC82"/>
      <c r="ED82"/>
      <c r="EE82"/>
      <c r="EF82"/>
      <c r="EG82"/>
      <c r="EH82"/>
      <c r="EI82"/>
      <c r="EJ82"/>
      <c r="EK82"/>
      <c r="EL82"/>
      <c r="EM82"/>
      <c r="EN82"/>
      <c r="EO82"/>
      <c r="EP82"/>
      <c r="EQ82"/>
      <c r="ER82"/>
      <c r="ES82"/>
      <c r="ET82"/>
      <c r="EU82"/>
      <c r="EV82"/>
      <c r="EW82"/>
      <c r="EX82"/>
      <c r="EY82"/>
      <c r="EZ82"/>
      <c r="FA82"/>
      <c r="FB82"/>
      <c r="FC82"/>
      <c r="FD82"/>
      <c r="FE82"/>
      <c r="FF82"/>
      <c r="FG82"/>
      <c r="FH82"/>
      <c r="FI82"/>
      <c r="FJ82"/>
      <c r="FK82"/>
      <c r="FL82"/>
      <c r="FM82"/>
      <c r="FN82"/>
      <c r="FO82"/>
      <c r="FP82"/>
      <c r="FQ82"/>
      <c r="FR82"/>
      <c r="FS82"/>
      <c r="FT82"/>
      <c r="FU82"/>
      <c r="FV82"/>
      <c r="FW82"/>
      <c r="FX82"/>
      <c r="FY82"/>
      <c r="FZ82"/>
      <c r="GA82"/>
      <c r="GB82"/>
      <c r="GC82"/>
      <c r="GD82"/>
      <c r="GE82"/>
      <c r="GF82"/>
      <c r="GG82"/>
      <c r="GH82"/>
      <c r="GI82"/>
      <c r="GJ82"/>
      <c r="GK82"/>
      <c r="GL82"/>
      <c r="GM82"/>
      <c r="GN82"/>
      <c r="GO82"/>
      <c r="GP82"/>
      <c r="GQ82"/>
      <c r="GR82"/>
      <c r="GS82"/>
      <c r="GT82"/>
      <c r="GU82"/>
      <c r="GV82"/>
      <c r="GW82"/>
      <c r="GX82"/>
      <c r="GY82"/>
      <c r="GZ82"/>
      <c r="HA82"/>
      <c r="HB82"/>
      <c r="HC82"/>
      <c r="HD82"/>
      <c r="HE82"/>
      <c r="HF82"/>
      <c r="HG82"/>
      <c r="HH82"/>
      <c r="HI82"/>
      <c r="HJ82"/>
      <c r="HK82"/>
      <c r="HL82"/>
      <c r="HM82"/>
      <c r="HN82"/>
      <c r="HO82"/>
      <c r="HP82"/>
      <c r="HQ82"/>
      <c r="HR82"/>
      <c r="HS82"/>
      <c r="HT82"/>
      <c r="HU82"/>
      <c r="HV82"/>
      <c r="HW82"/>
      <c r="HX82"/>
      <c r="HY82"/>
      <c r="HZ82"/>
      <c r="IA82"/>
      <c r="IB82"/>
      <c r="IC82"/>
      <c r="ID82"/>
      <c r="IE82"/>
      <c r="IF82"/>
      <c r="IG82"/>
      <c r="IH82"/>
      <c r="II82"/>
      <c r="IJ82"/>
      <c r="IK82"/>
      <c r="IL82"/>
      <c r="IM82"/>
      <c r="IN82"/>
      <c r="IO82"/>
      <c r="IP82"/>
      <c r="IQ82"/>
      <c r="IR82"/>
      <c r="IS82"/>
      <c r="IT82"/>
      <c r="IU82"/>
      <c r="IV82"/>
      <c r="IW82"/>
      <c r="IX82"/>
      <c r="IY82"/>
      <c r="IZ82"/>
      <c r="JA82"/>
      <c r="JB82"/>
      <c r="JC82"/>
      <c r="JD82"/>
      <c r="JE82"/>
      <c r="JF82"/>
      <c r="JG82"/>
      <c r="JH82"/>
      <c r="JI82"/>
      <c r="JJ82"/>
      <c r="JK82"/>
      <c r="JL82"/>
      <c r="JM82"/>
      <c r="JN82"/>
      <c r="JO82"/>
      <c r="JP82"/>
      <c r="JQ82"/>
      <c r="JR82"/>
      <c r="JS82"/>
      <c r="JT82"/>
      <c r="JU82"/>
      <c r="JV82"/>
      <c r="JW82"/>
      <c r="JX82"/>
      <c r="JY82"/>
      <c r="JZ82"/>
      <c r="KA82"/>
      <c r="KB82"/>
      <c r="KC82"/>
      <c r="KD82"/>
      <c r="KE82"/>
      <c r="KF82"/>
      <c r="KG82"/>
      <c r="KH82"/>
      <c r="KI82"/>
      <c r="KJ82"/>
      <c r="KK82"/>
      <c r="KL82"/>
      <c r="KM82"/>
      <c r="KN82"/>
      <c r="KO82"/>
      <c r="KP82"/>
      <c r="KQ82"/>
      <c r="KR82"/>
      <c r="KS82"/>
      <c r="KT82"/>
      <c r="KU82"/>
      <c r="KV82"/>
      <c r="KW82"/>
      <c r="KX82"/>
      <c r="KY82"/>
      <c r="KZ82"/>
      <c r="LA82"/>
      <c r="LB82"/>
      <c r="LC82"/>
      <c r="LD82"/>
      <c r="LE82"/>
      <c r="LF82"/>
      <c r="LG82"/>
      <c r="LH82"/>
      <c r="LI82"/>
      <c r="LJ82"/>
      <c r="LK82"/>
      <c r="LL82"/>
      <c r="LM82"/>
      <c r="LN82"/>
      <c r="LO82"/>
      <c r="LP82"/>
      <c r="LQ82"/>
      <c r="LR82"/>
      <c r="LS82"/>
      <c r="LT82"/>
      <c r="LU82"/>
      <c r="LV82"/>
      <c r="LW82"/>
      <c r="LX82"/>
      <c r="LY82"/>
      <c r="LZ82"/>
      <c r="MA82"/>
      <c r="MB82"/>
      <c r="MC82"/>
      <c r="MD82"/>
      <c r="ME82"/>
      <c r="MF82"/>
      <c r="MG82"/>
      <c r="MH82"/>
      <c r="MI82"/>
      <c r="MJ82"/>
      <c r="MK82"/>
      <c r="ML82"/>
      <c r="MM82"/>
      <c r="MN82"/>
      <c r="MO82"/>
      <c r="MP82"/>
      <c r="MQ82"/>
      <c r="MR82"/>
      <c r="MS82"/>
      <c r="MT82"/>
      <c r="MU82"/>
      <c r="MV82"/>
      <c r="MW82"/>
      <c r="MX82"/>
      <c r="MY82"/>
      <c r="MZ82"/>
      <c r="NA82"/>
      <c r="NB82"/>
      <c r="NC82"/>
      <c r="ND82"/>
      <c r="NE82"/>
      <c r="NF82"/>
      <c r="NG82"/>
      <c r="NH82"/>
      <c r="NI82"/>
      <c r="NJ82"/>
      <c r="NK82"/>
      <c r="NL82"/>
      <c r="NM82"/>
      <c r="NN82"/>
      <c r="NO82"/>
      <c r="NP82"/>
      <c r="NQ82"/>
      <c r="NR82"/>
      <c r="NS82"/>
      <c r="NT82"/>
      <c r="NU82"/>
      <c r="NV82"/>
      <c r="NW82"/>
      <c r="NX82"/>
      <c r="NY82"/>
      <c r="NZ82"/>
      <c r="OA82"/>
      <c r="OB82"/>
      <c r="OC82"/>
      <c r="OD82"/>
      <c r="OE82"/>
      <c r="OF82"/>
      <c r="OG82"/>
      <c r="OH82"/>
      <c r="OI82"/>
      <c r="OJ82"/>
      <c r="OK82"/>
      <c r="OL82"/>
      <c r="OM82"/>
      <c r="ON82"/>
      <c r="OO82"/>
      <c r="OP82"/>
      <c r="OQ82"/>
      <c r="OR82"/>
      <c r="OS82"/>
      <c r="OT82"/>
      <c r="OU82"/>
      <c r="OV82"/>
      <c r="OW82"/>
      <c r="OX82"/>
      <c r="OY82"/>
      <c r="OZ82"/>
      <c r="PA82"/>
      <c r="PB82"/>
      <c r="PC82"/>
      <c r="PD82"/>
      <c r="PE82"/>
      <c r="PF82"/>
      <c r="PG82"/>
      <c r="PH82"/>
      <c r="PI82"/>
      <c r="PJ82"/>
      <c r="PK82"/>
      <c r="PL82"/>
      <c r="PM82"/>
      <c r="PN82"/>
      <c r="PO82"/>
      <c r="PP82"/>
      <c r="PQ82"/>
      <c r="PR82"/>
      <c r="PS82"/>
      <c r="PT82"/>
      <c r="PU82"/>
      <c r="PV82"/>
      <c r="PW82"/>
      <c r="PX82"/>
      <c r="PY82"/>
      <c r="PZ82"/>
      <c r="QA82"/>
      <c r="QB82"/>
      <c r="QC82"/>
      <c r="QD82"/>
      <c r="QE82"/>
      <c r="QF82"/>
      <c r="QG82"/>
      <c r="QH82"/>
      <c r="QI82"/>
      <c r="QJ82"/>
      <c r="QK82"/>
      <c r="QL82"/>
      <c r="QM82"/>
      <c r="QN82"/>
      <c r="QO82"/>
      <c r="QP82"/>
      <c r="QQ82"/>
      <c r="QR82"/>
      <c r="QS82"/>
      <c r="QT82"/>
      <c r="QU82"/>
      <c r="QV82"/>
      <c r="QW82"/>
      <c r="QX82"/>
      <c r="QY82"/>
      <c r="QZ82"/>
      <c r="RA82"/>
      <c r="RB82"/>
      <c r="RC82"/>
      <c r="RD82"/>
      <c r="RE82"/>
      <c r="RF82"/>
      <c r="RG82"/>
      <c r="RH82"/>
      <c r="RI82"/>
      <c r="RJ82"/>
      <c r="RK82"/>
      <c r="RL82"/>
      <c r="RM82"/>
      <c r="RN82"/>
      <c r="RO82"/>
      <c r="RP82"/>
      <c r="RQ82"/>
      <c r="RR82"/>
      <c r="RS82"/>
    </row>
    <row r="83" spans="3:487" x14ac:dyDescent="0.25">
      <c r="C83" s="2" t="s">
        <v>286</v>
      </c>
      <c r="D83" s="34">
        <v>1</v>
      </c>
      <c r="F83" s="2" t="s">
        <v>1304</v>
      </c>
      <c r="G83" s="34">
        <v>2</v>
      </c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  <c r="CN83"/>
      <c r="CO83"/>
      <c r="CP83"/>
      <c r="CQ83"/>
      <c r="CR83"/>
      <c r="CS83"/>
      <c r="CT83"/>
      <c r="CU83"/>
      <c r="CV83"/>
      <c r="CW83"/>
      <c r="CX83"/>
      <c r="CY83"/>
      <c r="CZ83"/>
      <c r="DA83"/>
      <c r="DB83"/>
      <c r="DC83"/>
      <c r="DD83"/>
      <c r="DE83"/>
      <c r="DF83"/>
      <c r="DG83"/>
      <c r="DH83"/>
      <c r="DI83"/>
      <c r="DJ83"/>
      <c r="DK83"/>
      <c r="DL83"/>
      <c r="DM83"/>
      <c r="DN83"/>
      <c r="DO83"/>
      <c r="DP83"/>
      <c r="DQ83"/>
      <c r="DR83"/>
      <c r="DS83"/>
      <c r="DT83"/>
      <c r="DU83"/>
      <c r="DV83"/>
      <c r="DW83"/>
      <c r="DX83"/>
      <c r="DY83"/>
      <c r="DZ83"/>
      <c r="EA83"/>
      <c r="EB83"/>
      <c r="EC83"/>
      <c r="ED83"/>
      <c r="EE83"/>
      <c r="EF83"/>
      <c r="EG83"/>
      <c r="EH83"/>
      <c r="EI83"/>
      <c r="EJ83"/>
      <c r="EK83"/>
      <c r="EL83"/>
      <c r="EM83"/>
      <c r="EN83"/>
      <c r="EO83"/>
      <c r="EP83"/>
      <c r="EQ83"/>
      <c r="ER83"/>
      <c r="ES83"/>
      <c r="ET83"/>
      <c r="EU83"/>
      <c r="EV83"/>
      <c r="EW83"/>
      <c r="EX83"/>
      <c r="EY83"/>
      <c r="EZ83"/>
      <c r="FA83"/>
      <c r="FB83"/>
      <c r="FC83"/>
      <c r="FD83"/>
      <c r="FE83"/>
      <c r="FF83"/>
      <c r="FG83"/>
      <c r="FH83"/>
      <c r="FI83"/>
      <c r="FJ83"/>
      <c r="FK83"/>
      <c r="FL83"/>
      <c r="FM83"/>
      <c r="FN83"/>
      <c r="FO83"/>
      <c r="FP83"/>
      <c r="FQ83"/>
      <c r="FR83"/>
      <c r="FS83"/>
      <c r="FT83"/>
      <c r="FU83"/>
      <c r="FV83"/>
      <c r="FW83"/>
      <c r="FX83"/>
      <c r="FY83"/>
      <c r="FZ83"/>
      <c r="GA83"/>
      <c r="GB83"/>
      <c r="GC83"/>
      <c r="GD83"/>
      <c r="GE83"/>
      <c r="GF83"/>
      <c r="GG83"/>
      <c r="GH83"/>
      <c r="GI83"/>
      <c r="GJ83"/>
      <c r="GK83"/>
      <c r="GL83"/>
      <c r="GM83"/>
      <c r="GN83"/>
      <c r="GO83"/>
      <c r="GP83"/>
      <c r="GQ83"/>
      <c r="GR83"/>
      <c r="GS83"/>
      <c r="GT83"/>
      <c r="GU83"/>
      <c r="GV83"/>
      <c r="GW83"/>
      <c r="GX83"/>
      <c r="GY83"/>
      <c r="GZ83"/>
      <c r="HA83"/>
      <c r="HB83"/>
      <c r="HC83"/>
      <c r="HD83"/>
      <c r="HE83"/>
      <c r="HF83"/>
      <c r="HG83"/>
      <c r="HH83"/>
      <c r="HI83"/>
      <c r="HJ83"/>
      <c r="HK83"/>
      <c r="HL83"/>
      <c r="HM83"/>
      <c r="HN83"/>
      <c r="HO83"/>
      <c r="HP83"/>
      <c r="HQ83"/>
      <c r="HR83"/>
      <c r="HS83"/>
      <c r="HT83"/>
      <c r="HU83"/>
      <c r="HV83"/>
      <c r="HW83"/>
      <c r="HX83"/>
      <c r="HY83"/>
      <c r="HZ83"/>
      <c r="IA83"/>
      <c r="IB83"/>
      <c r="IC83"/>
      <c r="ID83"/>
      <c r="IE83"/>
      <c r="IF83"/>
      <c r="IG83"/>
      <c r="IH83"/>
      <c r="II83"/>
      <c r="IJ83"/>
      <c r="IK83"/>
      <c r="IL83"/>
      <c r="IM83"/>
      <c r="IN83"/>
      <c r="IO83"/>
      <c r="IP83"/>
      <c r="IQ83"/>
      <c r="IR83"/>
      <c r="IS83"/>
      <c r="IT83"/>
      <c r="IU83"/>
      <c r="IV83"/>
      <c r="IW83"/>
      <c r="IX83"/>
      <c r="IY83"/>
      <c r="IZ83"/>
      <c r="JA83"/>
      <c r="JB83"/>
      <c r="JC83"/>
      <c r="JD83"/>
      <c r="JE83"/>
      <c r="JF83"/>
      <c r="JG83"/>
      <c r="JH83"/>
      <c r="JI83"/>
      <c r="JJ83"/>
      <c r="JK83"/>
      <c r="JL83"/>
      <c r="JM83"/>
      <c r="JN83"/>
      <c r="JO83"/>
      <c r="JP83"/>
      <c r="JQ83"/>
      <c r="JR83"/>
      <c r="JS83"/>
      <c r="JT83"/>
      <c r="JU83"/>
      <c r="JV83"/>
      <c r="JW83"/>
      <c r="JX83"/>
      <c r="JY83"/>
      <c r="JZ83"/>
      <c r="KA83"/>
      <c r="KB83"/>
      <c r="KC83"/>
      <c r="KD83"/>
      <c r="KE83"/>
      <c r="KF83"/>
      <c r="KG83"/>
      <c r="KH83"/>
      <c r="KI83"/>
      <c r="KJ83"/>
      <c r="KK83"/>
      <c r="KL83"/>
      <c r="KM83"/>
      <c r="KN83"/>
      <c r="KO83"/>
      <c r="KP83"/>
      <c r="KQ83"/>
      <c r="KR83"/>
      <c r="KS83"/>
      <c r="KT83"/>
      <c r="KU83"/>
      <c r="KV83"/>
      <c r="KW83"/>
      <c r="KX83"/>
      <c r="KY83"/>
      <c r="KZ83"/>
      <c r="LA83"/>
      <c r="LB83"/>
      <c r="LC83"/>
      <c r="LD83"/>
      <c r="LE83"/>
      <c r="LF83"/>
      <c r="LG83"/>
      <c r="LH83"/>
      <c r="LI83"/>
      <c r="LJ83"/>
      <c r="LK83"/>
      <c r="LL83"/>
      <c r="LM83"/>
      <c r="LN83"/>
      <c r="LO83"/>
      <c r="LP83"/>
      <c r="LQ83"/>
      <c r="LR83"/>
      <c r="LS83"/>
      <c r="LT83"/>
      <c r="LU83"/>
      <c r="LV83"/>
      <c r="LW83"/>
      <c r="LX83"/>
      <c r="LY83"/>
      <c r="LZ83"/>
      <c r="MA83"/>
      <c r="MB83"/>
      <c r="MC83"/>
      <c r="MD83"/>
      <c r="ME83"/>
      <c r="MF83"/>
      <c r="MG83"/>
      <c r="MH83"/>
      <c r="MI83"/>
      <c r="MJ83"/>
      <c r="MK83"/>
      <c r="ML83"/>
      <c r="MM83"/>
      <c r="MN83"/>
      <c r="MO83"/>
      <c r="MP83"/>
      <c r="MQ83"/>
      <c r="MR83"/>
      <c r="MS83"/>
      <c r="MT83"/>
      <c r="MU83"/>
      <c r="MV83"/>
      <c r="MW83"/>
      <c r="MX83"/>
      <c r="MY83"/>
      <c r="MZ83"/>
      <c r="NA83"/>
      <c r="NB83"/>
      <c r="NC83"/>
      <c r="ND83"/>
      <c r="NE83"/>
      <c r="NF83"/>
      <c r="NG83"/>
      <c r="NH83"/>
      <c r="NI83"/>
      <c r="NJ83"/>
      <c r="NK83"/>
      <c r="NL83"/>
      <c r="NM83"/>
      <c r="NN83"/>
      <c r="NO83"/>
      <c r="NP83"/>
      <c r="NQ83"/>
      <c r="NR83"/>
      <c r="NS83"/>
      <c r="NT83"/>
      <c r="NU83"/>
      <c r="NV83"/>
      <c r="NW83"/>
      <c r="NX83"/>
      <c r="NY83"/>
      <c r="NZ83"/>
      <c r="OA83"/>
      <c r="OB83"/>
      <c r="OC83"/>
      <c r="OD83"/>
      <c r="OE83"/>
      <c r="OF83"/>
      <c r="OG83"/>
      <c r="OH83"/>
      <c r="OI83"/>
      <c r="OJ83"/>
      <c r="OK83"/>
      <c r="OL83"/>
      <c r="OM83"/>
      <c r="ON83"/>
      <c r="OO83"/>
      <c r="OP83"/>
      <c r="OQ83"/>
      <c r="OR83"/>
      <c r="OS83"/>
      <c r="OT83"/>
      <c r="OU83"/>
      <c r="OV83"/>
      <c r="OW83"/>
      <c r="OX83"/>
      <c r="OY83"/>
      <c r="OZ83"/>
      <c r="PA83"/>
      <c r="PB83"/>
      <c r="PC83"/>
      <c r="PD83"/>
      <c r="PE83"/>
      <c r="PF83"/>
      <c r="PG83"/>
      <c r="PH83"/>
      <c r="PI83"/>
      <c r="PJ83"/>
      <c r="PK83"/>
      <c r="PL83"/>
      <c r="PM83"/>
      <c r="PN83"/>
      <c r="PO83"/>
      <c r="PP83"/>
      <c r="PQ83"/>
      <c r="PR83"/>
      <c r="PS83"/>
      <c r="PT83"/>
      <c r="PU83"/>
      <c r="PV83"/>
      <c r="PW83"/>
      <c r="PX83"/>
      <c r="PY83"/>
      <c r="PZ83"/>
      <c r="QA83"/>
      <c r="QB83"/>
      <c r="QC83"/>
      <c r="QD83"/>
      <c r="QE83"/>
      <c r="QF83"/>
      <c r="QG83"/>
      <c r="QH83"/>
      <c r="QI83"/>
      <c r="QJ83"/>
      <c r="QK83"/>
      <c r="QL83"/>
      <c r="QM83"/>
      <c r="QN83"/>
      <c r="QO83"/>
      <c r="QP83"/>
      <c r="QQ83"/>
      <c r="QR83"/>
      <c r="QS83"/>
      <c r="QT83"/>
      <c r="QU83"/>
      <c r="QV83"/>
      <c r="QW83"/>
      <c r="QX83"/>
      <c r="QY83"/>
      <c r="QZ83"/>
      <c r="RA83"/>
      <c r="RB83"/>
      <c r="RC83"/>
      <c r="RD83"/>
      <c r="RE83"/>
      <c r="RF83"/>
      <c r="RG83"/>
      <c r="RH83"/>
      <c r="RI83"/>
      <c r="RJ83"/>
      <c r="RK83"/>
      <c r="RL83"/>
      <c r="RM83"/>
      <c r="RN83"/>
      <c r="RO83"/>
      <c r="RP83"/>
      <c r="RQ83"/>
      <c r="RR83"/>
      <c r="RS83"/>
    </row>
    <row r="84" spans="3:487" x14ac:dyDescent="0.25">
      <c r="C84" s="2" t="s">
        <v>3678</v>
      </c>
      <c r="D84" s="34">
        <v>1</v>
      </c>
      <c r="F84" s="2" t="s">
        <v>85</v>
      </c>
      <c r="G84" s="34">
        <v>2</v>
      </c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  <c r="CN84"/>
      <c r="CO84"/>
      <c r="CP84"/>
      <c r="CQ84"/>
      <c r="CR84"/>
      <c r="CS84"/>
      <c r="CT84"/>
      <c r="CU84"/>
      <c r="CV84"/>
      <c r="CW84"/>
      <c r="CX84"/>
      <c r="CY84"/>
      <c r="CZ84"/>
      <c r="DA84"/>
      <c r="DB84"/>
      <c r="DC84"/>
      <c r="DD84"/>
      <c r="DE84"/>
      <c r="DF84"/>
      <c r="DG84"/>
      <c r="DH84"/>
      <c r="DI84"/>
      <c r="DJ84"/>
      <c r="DK84"/>
      <c r="DL84"/>
      <c r="DM84"/>
      <c r="DN84"/>
      <c r="DO84"/>
      <c r="DP84"/>
      <c r="DQ84"/>
      <c r="DR84"/>
      <c r="DS84"/>
      <c r="DT84"/>
      <c r="DU84"/>
      <c r="DV84"/>
      <c r="DW84"/>
      <c r="DX84"/>
      <c r="DY84"/>
      <c r="DZ84"/>
      <c r="EA84"/>
      <c r="EB84"/>
      <c r="EC84"/>
      <c r="ED84"/>
      <c r="EE84"/>
      <c r="EF84"/>
      <c r="EG84"/>
      <c r="EH84"/>
      <c r="EI84"/>
      <c r="EJ84"/>
      <c r="EK84"/>
      <c r="EL84"/>
      <c r="EM84"/>
      <c r="EN84"/>
      <c r="EO84"/>
      <c r="EP84"/>
      <c r="EQ84"/>
      <c r="ER84"/>
      <c r="ES84"/>
      <c r="ET84"/>
      <c r="EU84"/>
      <c r="EV84"/>
      <c r="EW84"/>
      <c r="EX84"/>
      <c r="EY84"/>
      <c r="EZ84"/>
      <c r="FA84"/>
      <c r="FB84"/>
      <c r="FC84"/>
      <c r="FD84"/>
      <c r="FE84"/>
      <c r="FF84"/>
      <c r="FG84"/>
      <c r="FH84"/>
      <c r="FI84"/>
      <c r="FJ84"/>
      <c r="FK84"/>
      <c r="FL84"/>
      <c r="FM84"/>
      <c r="FN84"/>
      <c r="FO84"/>
      <c r="FP84"/>
      <c r="FQ84"/>
      <c r="FR84"/>
      <c r="FS84"/>
      <c r="FT84"/>
      <c r="FU84"/>
      <c r="FV84"/>
      <c r="FW84"/>
      <c r="FX84"/>
      <c r="FY84"/>
      <c r="FZ84"/>
      <c r="GA84"/>
      <c r="GB84"/>
      <c r="GC84"/>
      <c r="GD84"/>
      <c r="GE84"/>
      <c r="GF84"/>
      <c r="GG84"/>
      <c r="GH84"/>
      <c r="GI84"/>
      <c r="GJ84"/>
      <c r="GK84"/>
      <c r="GL84"/>
      <c r="GM84"/>
      <c r="GN84"/>
      <c r="GO84"/>
      <c r="GP84"/>
      <c r="GQ84"/>
      <c r="GR84"/>
      <c r="GS84"/>
      <c r="GT84"/>
      <c r="GU84"/>
      <c r="GV84"/>
      <c r="GW84"/>
      <c r="GX84"/>
      <c r="GY84"/>
      <c r="GZ84"/>
      <c r="HA84"/>
      <c r="HB84"/>
      <c r="HC84"/>
      <c r="HD84"/>
      <c r="HE84"/>
      <c r="HF84"/>
      <c r="HG84"/>
      <c r="HH84"/>
      <c r="HI84"/>
      <c r="HJ84"/>
      <c r="HK84"/>
      <c r="HL84"/>
      <c r="HM84"/>
      <c r="HN84"/>
      <c r="HO84"/>
      <c r="HP84"/>
      <c r="HQ84"/>
      <c r="HR84"/>
      <c r="HS84"/>
      <c r="HT84"/>
      <c r="HU84"/>
      <c r="HV84"/>
      <c r="HW84"/>
      <c r="HX84"/>
      <c r="HY84"/>
      <c r="HZ84"/>
      <c r="IA84"/>
      <c r="IB84"/>
      <c r="IC84"/>
      <c r="ID84"/>
      <c r="IE84"/>
      <c r="IF84"/>
      <c r="IG84"/>
      <c r="IH84"/>
      <c r="II84"/>
      <c r="IJ84"/>
      <c r="IK84"/>
      <c r="IL84"/>
      <c r="IM84"/>
      <c r="IN84"/>
      <c r="IO84"/>
      <c r="IP84"/>
      <c r="IQ84"/>
      <c r="IR84"/>
      <c r="IS84"/>
      <c r="IT84"/>
      <c r="IU84"/>
      <c r="IV84"/>
      <c r="IW84"/>
      <c r="IX84"/>
      <c r="IY84"/>
      <c r="IZ84"/>
      <c r="JA84"/>
      <c r="JB84"/>
      <c r="JC84"/>
      <c r="JD84"/>
      <c r="JE84"/>
      <c r="JF84"/>
      <c r="JG84"/>
      <c r="JH84"/>
      <c r="JI84"/>
      <c r="JJ84"/>
      <c r="JK84"/>
      <c r="JL84"/>
      <c r="JM84"/>
      <c r="JN84"/>
      <c r="JO84"/>
      <c r="JP84"/>
      <c r="JQ84"/>
      <c r="JR84"/>
      <c r="JS84"/>
      <c r="JT84"/>
      <c r="JU84"/>
      <c r="JV84"/>
      <c r="JW84"/>
      <c r="JX84"/>
      <c r="JY84"/>
      <c r="JZ84"/>
      <c r="KA84"/>
      <c r="KB84"/>
      <c r="KC84"/>
      <c r="KD84"/>
      <c r="KE84"/>
      <c r="KF84"/>
      <c r="KG84"/>
      <c r="KH84"/>
      <c r="KI84"/>
      <c r="KJ84"/>
      <c r="KK84"/>
      <c r="KL84"/>
      <c r="KM84"/>
      <c r="KN84"/>
      <c r="KO84"/>
      <c r="KP84"/>
      <c r="KQ84"/>
      <c r="KR84"/>
      <c r="KS84"/>
      <c r="KT84"/>
      <c r="KU84"/>
      <c r="KV84"/>
      <c r="KW84"/>
      <c r="KX84"/>
      <c r="KY84"/>
      <c r="KZ84"/>
      <c r="LA84"/>
      <c r="LB84"/>
      <c r="LC84"/>
      <c r="LD84"/>
      <c r="LE84"/>
      <c r="LF84"/>
      <c r="LG84"/>
      <c r="LH84"/>
      <c r="LI84"/>
      <c r="LJ84"/>
      <c r="LK84"/>
      <c r="LL84"/>
      <c r="LM84"/>
      <c r="LN84"/>
      <c r="LO84"/>
      <c r="LP84"/>
      <c r="LQ84"/>
      <c r="LR84"/>
      <c r="LS84"/>
      <c r="LT84"/>
      <c r="LU84"/>
      <c r="LV84"/>
      <c r="LW84"/>
      <c r="LX84"/>
      <c r="LY84"/>
      <c r="LZ84"/>
      <c r="MA84"/>
      <c r="MB84"/>
      <c r="MC84"/>
      <c r="MD84"/>
      <c r="ME84"/>
      <c r="MF84"/>
      <c r="MG84"/>
      <c r="MH84"/>
      <c r="MI84"/>
      <c r="MJ84"/>
      <c r="MK84"/>
      <c r="ML84"/>
      <c r="MM84"/>
      <c r="MN84"/>
      <c r="MO84"/>
      <c r="MP84"/>
      <c r="MQ84"/>
      <c r="MR84"/>
      <c r="MS84"/>
      <c r="MT84"/>
      <c r="MU84"/>
      <c r="MV84"/>
      <c r="MW84"/>
      <c r="MX84"/>
      <c r="MY84"/>
      <c r="MZ84"/>
      <c r="NA84"/>
      <c r="NB84"/>
      <c r="NC84"/>
      <c r="ND84"/>
      <c r="NE84"/>
      <c r="NF84"/>
      <c r="NG84"/>
      <c r="NH84"/>
      <c r="NI84"/>
      <c r="NJ84"/>
      <c r="NK84"/>
      <c r="NL84"/>
      <c r="NM84"/>
      <c r="NN84"/>
      <c r="NO84"/>
      <c r="NP84"/>
      <c r="NQ84"/>
      <c r="NR84"/>
      <c r="NS84"/>
      <c r="NT84"/>
      <c r="NU84"/>
      <c r="NV84"/>
      <c r="NW84"/>
      <c r="NX84"/>
      <c r="NY84"/>
      <c r="NZ84"/>
      <c r="OA84"/>
      <c r="OB84"/>
      <c r="OC84"/>
      <c r="OD84"/>
      <c r="OE84"/>
      <c r="OF84"/>
      <c r="OG84"/>
      <c r="OH84"/>
      <c r="OI84"/>
      <c r="OJ84"/>
      <c r="OK84"/>
      <c r="OL84"/>
      <c r="OM84"/>
      <c r="ON84"/>
      <c r="OO84"/>
      <c r="OP84"/>
      <c r="OQ84"/>
      <c r="OR84"/>
      <c r="OS84"/>
      <c r="OT84"/>
      <c r="OU84"/>
      <c r="OV84"/>
      <c r="OW84"/>
      <c r="OX84"/>
      <c r="OY84"/>
      <c r="OZ84"/>
      <c r="PA84"/>
      <c r="PB84"/>
      <c r="PC84"/>
      <c r="PD84"/>
      <c r="PE84"/>
      <c r="PF84"/>
      <c r="PG84"/>
      <c r="PH84"/>
      <c r="PI84"/>
      <c r="PJ84"/>
      <c r="PK84"/>
      <c r="PL84"/>
      <c r="PM84"/>
      <c r="PN84"/>
      <c r="PO84"/>
      <c r="PP84"/>
      <c r="PQ84"/>
      <c r="PR84"/>
      <c r="PS84"/>
      <c r="PT84"/>
      <c r="PU84"/>
      <c r="PV84"/>
      <c r="PW84"/>
      <c r="PX84"/>
      <c r="PY84"/>
      <c r="PZ84"/>
      <c r="QA84"/>
      <c r="QB84"/>
      <c r="QC84"/>
      <c r="QD84"/>
      <c r="QE84"/>
      <c r="QF84"/>
      <c r="QG84"/>
      <c r="QH84"/>
      <c r="QI84"/>
      <c r="QJ84"/>
      <c r="QK84"/>
      <c r="QL84"/>
      <c r="QM84"/>
      <c r="QN84"/>
      <c r="QO84"/>
      <c r="QP84"/>
      <c r="QQ84"/>
      <c r="QR84"/>
      <c r="QS84"/>
      <c r="QT84"/>
      <c r="QU84"/>
      <c r="QV84"/>
      <c r="QW84"/>
      <c r="QX84"/>
      <c r="QY84"/>
      <c r="QZ84"/>
      <c r="RA84"/>
      <c r="RB84"/>
      <c r="RC84"/>
      <c r="RD84"/>
      <c r="RE84"/>
      <c r="RF84"/>
      <c r="RG84"/>
      <c r="RH84"/>
      <c r="RI84"/>
      <c r="RJ84"/>
      <c r="RK84"/>
      <c r="RL84"/>
      <c r="RM84"/>
      <c r="RN84"/>
      <c r="RO84"/>
      <c r="RP84"/>
      <c r="RQ84"/>
      <c r="RR84"/>
      <c r="RS84"/>
    </row>
    <row r="85" spans="3:487" x14ac:dyDescent="0.25">
      <c r="C85" s="2" t="s">
        <v>143</v>
      </c>
      <c r="D85" s="34">
        <v>1</v>
      </c>
      <c r="F85" s="2" t="s">
        <v>215</v>
      </c>
      <c r="G85" s="34">
        <v>2</v>
      </c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  <c r="CN85"/>
      <c r="CO85"/>
      <c r="CP85"/>
      <c r="CQ85"/>
      <c r="CR85"/>
      <c r="CS85"/>
      <c r="CT85"/>
      <c r="CU85"/>
      <c r="CV85"/>
      <c r="CW85"/>
      <c r="CX85"/>
      <c r="CY85"/>
      <c r="CZ85"/>
      <c r="DA85"/>
      <c r="DB85"/>
      <c r="DC85"/>
      <c r="DD85"/>
      <c r="DE85"/>
      <c r="DF85"/>
      <c r="DG85"/>
      <c r="DH85"/>
      <c r="DI85"/>
      <c r="DJ85"/>
      <c r="DK85"/>
      <c r="DL85"/>
      <c r="DM85"/>
      <c r="DN85"/>
      <c r="DO85"/>
      <c r="DP85"/>
      <c r="DQ85"/>
      <c r="DR85"/>
      <c r="DS85"/>
      <c r="DT85"/>
      <c r="DU85"/>
      <c r="DV85"/>
      <c r="DW85"/>
      <c r="DX85"/>
      <c r="DY85"/>
      <c r="DZ85"/>
      <c r="EA85"/>
      <c r="EB85"/>
      <c r="EC85"/>
      <c r="ED85"/>
      <c r="EE85"/>
      <c r="EF85"/>
      <c r="EG85"/>
      <c r="EH85"/>
      <c r="EI85"/>
      <c r="EJ85"/>
      <c r="EK85"/>
      <c r="EL85"/>
      <c r="EM85"/>
      <c r="EN85"/>
      <c r="EO85"/>
      <c r="EP85"/>
      <c r="EQ85"/>
      <c r="ER85"/>
      <c r="ES85"/>
      <c r="ET85"/>
      <c r="EU85"/>
      <c r="EV85"/>
      <c r="EW85"/>
      <c r="EX85"/>
      <c r="EY85"/>
      <c r="EZ85"/>
      <c r="FA85"/>
      <c r="FB85"/>
      <c r="FC85"/>
      <c r="FD85"/>
      <c r="FE85"/>
      <c r="FF85"/>
      <c r="FG85"/>
      <c r="FH85"/>
      <c r="FI85"/>
      <c r="FJ85"/>
      <c r="FK85"/>
      <c r="FL85"/>
      <c r="FM85"/>
      <c r="FN85"/>
      <c r="FO85"/>
      <c r="FP85"/>
      <c r="FQ85"/>
      <c r="FR85"/>
      <c r="FS85"/>
      <c r="FT85"/>
      <c r="FU85"/>
      <c r="FV85"/>
      <c r="FW85"/>
      <c r="FX85"/>
      <c r="FY85"/>
      <c r="FZ85"/>
      <c r="GA85"/>
      <c r="GB85"/>
      <c r="GC85"/>
      <c r="GD85"/>
      <c r="GE85"/>
      <c r="GF85"/>
      <c r="GG85"/>
      <c r="GH85"/>
      <c r="GI85"/>
      <c r="GJ85"/>
      <c r="GK85"/>
      <c r="GL85"/>
      <c r="GM85"/>
      <c r="GN85"/>
      <c r="GO85"/>
      <c r="GP85"/>
      <c r="GQ85"/>
      <c r="GR85"/>
      <c r="GS85"/>
      <c r="GT85"/>
      <c r="GU85"/>
      <c r="GV85"/>
      <c r="GW85"/>
      <c r="GX85"/>
      <c r="GY85"/>
      <c r="GZ85"/>
      <c r="HA85"/>
      <c r="HB85"/>
      <c r="HC85"/>
      <c r="HD85"/>
      <c r="HE85"/>
      <c r="HF85"/>
      <c r="HG85"/>
      <c r="HH85"/>
      <c r="HI85"/>
      <c r="HJ85"/>
      <c r="HK85"/>
      <c r="HL85"/>
      <c r="HM85"/>
      <c r="HN85"/>
      <c r="HO85"/>
      <c r="HP85"/>
      <c r="HQ85"/>
      <c r="HR85"/>
      <c r="HS85"/>
      <c r="HT85"/>
      <c r="HU85"/>
      <c r="HV85"/>
      <c r="HW85"/>
      <c r="HX85"/>
      <c r="HY85"/>
      <c r="HZ85"/>
      <c r="IA85"/>
      <c r="IB85"/>
      <c r="IC85"/>
      <c r="ID85"/>
      <c r="IE85"/>
      <c r="IF85"/>
      <c r="IG85"/>
      <c r="IH85"/>
      <c r="II85"/>
      <c r="IJ85"/>
      <c r="IK85"/>
      <c r="IL85"/>
      <c r="IM85"/>
      <c r="IN85"/>
      <c r="IO85"/>
      <c r="IP85"/>
      <c r="IQ85"/>
      <c r="IR85"/>
      <c r="IS85"/>
      <c r="IT85"/>
      <c r="IU85"/>
      <c r="IV85"/>
      <c r="IW85"/>
      <c r="IX85"/>
      <c r="IY85"/>
      <c r="IZ85"/>
      <c r="JA85"/>
      <c r="JB85"/>
      <c r="JC85"/>
      <c r="JD85"/>
      <c r="JE85"/>
      <c r="JF85"/>
      <c r="JG85"/>
      <c r="JH85"/>
      <c r="JI85"/>
      <c r="JJ85"/>
      <c r="JK85"/>
      <c r="JL85"/>
      <c r="JM85"/>
      <c r="JN85"/>
      <c r="JO85"/>
      <c r="JP85"/>
      <c r="JQ85"/>
      <c r="JR85"/>
      <c r="JS85"/>
      <c r="JT85"/>
      <c r="JU85"/>
      <c r="JV85"/>
      <c r="JW85"/>
      <c r="JX85"/>
      <c r="JY85"/>
      <c r="JZ85"/>
      <c r="KA85"/>
      <c r="KB85"/>
      <c r="KC85"/>
      <c r="KD85"/>
      <c r="KE85"/>
      <c r="KF85"/>
      <c r="KG85"/>
      <c r="KH85"/>
      <c r="KI85"/>
      <c r="KJ85"/>
      <c r="KK85"/>
      <c r="KL85"/>
      <c r="KM85"/>
      <c r="KN85"/>
      <c r="KO85"/>
      <c r="KP85"/>
      <c r="KQ85"/>
      <c r="KR85"/>
      <c r="KS85"/>
      <c r="KT85"/>
      <c r="KU85"/>
      <c r="KV85"/>
      <c r="KW85"/>
      <c r="KX85"/>
      <c r="KY85"/>
      <c r="KZ85"/>
      <c r="LA85"/>
      <c r="LB85"/>
      <c r="LC85"/>
      <c r="LD85"/>
      <c r="LE85"/>
      <c r="LF85"/>
      <c r="LG85"/>
      <c r="LH85"/>
      <c r="LI85"/>
      <c r="LJ85"/>
      <c r="LK85"/>
      <c r="LL85"/>
      <c r="LM85"/>
      <c r="LN85"/>
      <c r="LO85"/>
      <c r="LP85"/>
      <c r="LQ85"/>
      <c r="LR85"/>
      <c r="LS85"/>
      <c r="LT85"/>
      <c r="LU85"/>
      <c r="LV85"/>
      <c r="LW85"/>
      <c r="LX85"/>
      <c r="LY85"/>
      <c r="LZ85"/>
      <c r="MA85"/>
      <c r="MB85"/>
      <c r="MC85"/>
      <c r="MD85"/>
      <c r="ME85"/>
      <c r="MF85"/>
      <c r="MG85"/>
      <c r="MH85"/>
      <c r="MI85"/>
      <c r="MJ85"/>
      <c r="MK85"/>
      <c r="ML85"/>
      <c r="MM85"/>
      <c r="MN85"/>
      <c r="MO85"/>
      <c r="MP85"/>
      <c r="MQ85"/>
      <c r="MR85"/>
      <c r="MS85"/>
      <c r="MT85"/>
      <c r="MU85"/>
      <c r="MV85"/>
      <c r="MW85"/>
      <c r="MX85"/>
      <c r="MY85"/>
      <c r="MZ85"/>
      <c r="NA85"/>
      <c r="NB85"/>
      <c r="NC85"/>
      <c r="ND85"/>
      <c r="NE85"/>
      <c r="NF85"/>
      <c r="NG85"/>
      <c r="NH85"/>
      <c r="NI85"/>
      <c r="NJ85"/>
      <c r="NK85"/>
      <c r="NL85"/>
      <c r="NM85"/>
      <c r="NN85"/>
      <c r="NO85"/>
      <c r="NP85"/>
      <c r="NQ85"/>
      <c r="NR85"/>
      <c r="NS85"/>
      <c r="NT85"/>
      <c r="NU85"/>
      <c r="NV85"/>
      <c r="NW85"/>
      <c r="NX85"/>
      <c r="NY85"/>
      <c r="NZ85"/>
      <c r="OA85"/>
      <c r="OB85"/>
      <c r="OC85"/>
      <c r="OD85"/>
      <c r="OE85"/>
      <c r="OF85"/>
      <c r="OG85"/>
      <c r="OH85"/>
      <c r="OI85"/>
      <c r="OJ85"/>
      <c r="OK85"/>
      <c r="OL85"/>
      <c r="OM85"/>
      <c r="ON85"/>
      <c r="OO85"/>
      <c r="OP85"/>
      <c r="OQ85"/>
      <c r="OR85"/>
      <c r="OS85"/>
      <c r="OT85"/>
      <c r="OU85"/>
      <c r="OV85"/>
      <c r="OW85"/>
      <c r="OX85"/>
      <c r="OY85"/>
      <c r="OZ85"/>
      <c r="PA85"/>
      <c r="PB85"/>
      <c r="PC85"/>
      <c r="PD85"/>
      <c r="PE85"/>
      <c r="PF85"/>
      <c r="PG85"/>
      <c r="PH85"/>
      <c r="PI85"/>
      <c r="PJ85"/>
      <c r="PK85"/>
      <c r="PL85"/>
      <c r="PM85"/>
      <c r="PN85"/>
      <c r="PO85"/>
      <c r="PP85"/>
      <c r="PQ85"/>
      <c r="PR85"/>
      <c r="PS85"/>
      <c r="PT85"/>
      <c r="PU85"/>
      <c r="PV85"/>
      <c r="PW85"/>
      <c r="PX85"/>
      <c r="PY85"/>
      <c r="PZ85"/>
      <c r="QA85"/>
      <c r="QB85"/>
      <c r="QC85"/>
      <c r="QD85"/>
      <c r="QE85"/>
      <c r="QF85"/>
      <c r="QG85"/>
      <c r="QH85"/>
      <c r="QI85"/>
      <c r="QJ85"/>
      <c r="QK85"/>
      <c r="QL85"/>
      <c r="QM85"/>
      <c r="QN85"/>
      <c r="QO85"/>
      <c r="QP85"/>
      <c r="QQ85"/>
      <c r="QR85"/>
      <c r="QS85"/>
      <c r="QT85"/>
      <c r="QU85"/>
      <c r="QV85"/>
      <c r="QW85"/>
      <c r="QX85"/>
      <c r="QY85"/>
      <c r="QZ85"/>
      <c r="RA85"/>
      <c r="RB85"/>
      <c r="RC85"/>
      <c r="RD85"/>
      <c r="RE85"/>
      <c r="RF85"/>
      <c r="RG85"/>
      <c r="RH85"/>
      <c r="RI85"/>
      <c r="RJ85"/>
      <c r="RK85"/>
      <c r="RL85"/>
      <c r="RM85"/>
      <c r="RN85"/>
      <c r="RO85"/>
      <c r="RP85"/>
      <c r="RQ85"/>
      <c r="RR85"/>
      <c r="RS85"/>
    </row>
    <row r="86" spans="3:487" x14ac:dyDescent="0.25">
      <c r="C86" s="2" t="s">
        <v>3669</v>
      </c>
      <c r="D86" s="34">
        <v>1</v>
      </c>
      <c r="F86" s="2" t="s">
        <v>946</v>
      </c>
      <c r="G86" s="34">
        <v>2</v>
      </c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  <c r="CN86"/>
      <c r="CO86"/>
      <c r="CP86"/>
      <c r="CQ86"/>
      <c r="CR86"/>
      <c r="CS86"/>
      <c r="CT86"/>
      <c r="CU86"/>
      <c r="CV86"/>
      <c r="CW86"/>
      <c r="CX86"/>
      <c r="CY86"/>
      <c r="CZ86"/>
      <c r="DA86"/>
      <c r="DB86"/>
      <c r="DC86"/>
      <c r="DD86"/>
      <c r="DE86"/>
      <c r="DF86"/>
      <c r="DG86"/>
      <c r="DH86"/>
      <c r="DI86"/>
      <c r="DJ86"/>
      <c r="DK86"/>
      <c r="DL86"/>
      <c r="DM86"/>
      <c r="DN86"/>
      <c r="DO86"/>
      <c r="DP86"/>
      <c r="DQ86"/>
      <c r="DR86"/>
      <c r="DS86"/>
      <c r="DT86"/>
      <c r="DU86"/>
      <c r="DV86"/>
      <c r="DW86"/>
      <c r="DX86"/>
      <c r="DY86"/>
      <c r="DZ86"/>
      <c r="EA86"/>
      <c r="EB86"/>
      <c r="EC86"/>
      <c r="ED86"/>
      <c r="EE86"/>
      <c r="EF86"/>
      <c r="EG86"/>
      <c r="EH86"/>
      <c r="EI86"/>
      <c r="EJ86"/>
      <c r="EK86"/>
      <c r="EL86"/>
      <c r="EM86"/>
      <c r="EN86"/>
      <c r="EO86"/>
      <c r="EP86"/>
      <c r="EQ86"/>
      <c r="ER86"/>
      <c r="ES86"/>
      <c r="ET86"/>
      <c r="EU86"/>
      <c r="EV86"/>
      <c r="EW86"/>
      <c r="EX86"/>
      <c r="EY86"/>
      <c r="EZ86"/>
      <c r="FA86"/>
      <c r="FB86"/>
      <c r="FC86"/>
      <c r="FD86"/>
      <c r="FE86"/>
      <c r="FF86"/>
      <c r="FG86"/>
      <c r="FH86"/>
      <c r="FI86"/>
      <c r="FJ86"/>
      <c r="FK86"/>
      <c r="FL86"/>
      <c r="FM86"/>
      <c r="FN86"/>
      <c r="FO86"/>
      <c r="FP86"/>
      <c r="FQ86"/>
      <c r="FR86"/>
      <c r="FS86"/>
      <c r="FT86"/>
      <c r="FU86"/>
      <c r="FV86"/>
      <c r="FW86"/>
      <c r="FX86"/>
      <c r="FY86"/>
      <c r="FZ86"/>
      <c r="GA86"/>
      <c r="GB86"/>
      <c r="GC86"/>
      <c r="GD86"/>
      <c r="GE86"/>
      <c r="GF86"/>
      <c r="GG86"/>
      <c r="GH86"/>
      <c r="GI86"/>
      <c r="GJ86"/>
      <c r="GK86"/>
      <c r="GL86"/>
      <c r="GM86"/>
      <c r="GN86"/>
      <c r="GO86"/>
      <c r="GP86"/>
      <c r="GQ86"/>
      <c r="GR86"/>
      <c r="GS86"/>
      <c r="GT86"/>
      <c r="GU86"/>
      <c r="GV86"/>
      <c r="GW86"/>
      <c r="GX86"/>
      <c r="GY86"/>
      <c r="GZ86"/>
      <c r="HA86"/>
      <c r="HB86"/>
      <c r="HC86"/>
      <c r="HD86"/>
      <c r="HE86"/>
      <c r="HF86"/>
      <c r="HG86"/>
      <c r="HH86"/>
      <c r="HI86"/>
      <c r="HJ86"/>
      <c r="HK86"/>
      <c r="HL86"/>
      <c r="HM86"/>
      <c r="HN86"/>
      <c r="HO86"/>
      <c r="HP86"/>
      <c r="HQ86"/>
      <c r="HR86"/>
      <c r="HS86"/>
      <c r="HT86"/>
      <c r="HU86"/>
      <c r="HV86"/>
      <c r="HW86"/>
      <c r="HX86"/>
      <c r="HY86"/>
      <c r="HZ86"/>
      <c r="IA86"/>
      <c r="IB86"/>
      <c r="IC86"/>
      <c r="ID86"/>
      <c r="IE86"/>
      <c r="IF86"/>
      <c r="IG86"/>
      <c r="IH86"/>
      <c r="II86"/>
      <c r="IJ86"/>
      <c r="IK86"/>
      <c r="IL86"/>
      <c r="IM86"/>
      <c r="IN86"/>
      <c r="IO86"/>
      <c r="IP86"/>
      <c r="IQ86"/>
      <c r="IR86"/>
      <c r="IS86"/>
      <c r="IT86"/>
      <c r="IU86"/>
      <c r="IV86"/>
      <c r="IW86"/>
      <c r="IX86"/>
      <c r="IY86"/>
      <c r="IZ86"/>
      <c r="JA86"/>
      <c r="JB86"/>
      <c r="JC86"/>
      <c r="JD86"/>
      <c r="JE86"/>
      <c r="JF86"/>
      <c r="JG86"/>
      <c r="JH86"/>
      <c r="JI86"/>
      <c r="JJ86"/>
      <c r="JK86"/>
      <c r="JL86"/>
      <c r="JM86"/>
      <c r="JN86"/>
      <c r="JO86"/>
      <c r="JP86"/>
      <c r="JQ86"/>
      <c r="JR86"/>
      <c r="JS86"/>
      <c r="JT86"/>
      <c r="JU86"/>
      <c r="JV86"/>
      <c r="JW86"/>
      <c r="JX86"/>
      <c r="JY86"/>
      <c r="JZ86"/>
      <c r="KA86"/>
      <c r="KB86"/>
      <c r="KC86"/>
      <c r="KD86"/>
      <c r="KE86"/>
      <c r="KF86"/>
      <c r="KG86"/>
      <c r="KH86"/>
      <c r="KI86"/>
      <c r="KJ86"/>
      <c r="KK86"/>
      <c r="KL86"/>
      <c r="KM86"/>
      <c r="KN86"/>
      <c r="KO86"/>
      <c r="KP86"/>
      <c r="KQ86"/>
      <c r="KR86"/>
      <c r="KS86"/>
      <c r="KT86"/>
      <c r="KU86"/>
      <c r="KV86"/>
      <c r="KW86"/>
      <c r="KX86"/>
      <c r="KY86"/>
      <c r="KZ86"/>
      <c r="LA86"/>
      <c r="LB86"/>
      <c r="LC86"/>
      <c r="LD86"/>
      <c r="LE86"/>
      <c r="LF86"/>
      <c r="LG86"/>
      <c r="LH86"/>
      <c r="LI86"/>
      <c r="LJ86"/>
      <c r="LK86"/>
      <c r="LL86"/>
      <c r="LM86"/>
      <c r="LN86"/>
      <c r="LO86"/>
      <c r="LP86"/>
      <c r="LQ86"/>
      <c r="LR86"/>
      <c r="LS86"/>
      <c r="LT86"/>
      <c r="LU86"/>
      <c r="LV86"/>
      <c r="LW86"/>
      <c r="LX86"/>
      <c r="LY86"/>
      <c r="LZ86"/>
      <c r="MA86"/>
      <c r="MB86"/>
      <c r="MC86"/>
      <c r="MD86"/>
      <c r="ME86"/>
      <c r="MF86"/>
      <c r="MG86"/>
      <c r="MH86"/>
      <c r="MI86"/>
      <c r="MJ86"/>
      <c r="MK86"/>
      <c r="ML86"/>
      <c r="MM86"/>
      <c r="MN86"/>
      <c r="MO86"/>
      <c r="MP86"/>
      <c r="MQ86"/>
      <c r="MR86"/>
      <c r="MS86"/>
      <c r="MT86"/>
      <c r="MU86"/>
      <c r="MV86"/>
      <c r="MW86"/>
      <c r="MX86"/>
      <c r="MY86"/>
      <c r="MZ86"/>
      <c r="NA86"/>
      <c r="NB86"/>
      <c r="NC86"/>
      <c r="ND86"/>
      <c r="NE86"/>
      <c r="NF86"/>
      <c r="NG86"/>
      <c r="NH86"/>
      <c r="NI86"/>
      <c r="NJ86"/>
      <c r="NK86"/>
      <c r="NL86"/>
      <c r="NM86"/>
      <c r="NN86"/>
      <c r="NO86"/>
      <c r="NP86"/>
      <c r="NQ86"/>
      <c r="NR86"/>
      <c r="NS86"/>
      <c r="NT86"/>
      <c r="NU86"/>
      <c r="NV86"/>
      <c r="NW86"/>
      <c r="NX86"/>
      <c r="NY86"/>
      <c r="NZ86"/>
      <c r="OA86"/>
      <c r="OB86"/>
      <c r="OC86"/>
      <c r="OD86"/>
      <c r="OE86"/>
      <c r="OF86"/>
      <c r="OG86"/>
      <c r="OH86"/>
      <c r="OI86"/>
      <c r="OJ86"/>
      <c r="OK86"/>
      <c r="OL86"/>
      <c r="OM86"/>
      <c r="ON86"/>
      <c r="OO86"/>
      <c r="OP86"/>
      <c r="OQ86"/>
      <c r="OR86"/>
      <c r="OS86"/>
      <c r="OT86"/>
      <c r="OU86"/>
      <c r="OV86"/>
      <c r="OW86"/>
      <c r="OX86"/>
      <c r="OY86"/>
      <c r="OZ86"/>
      <c r="PA86"/>
      <c r="PB86"/>
      <c r="PC86"/>
      <c r="PD86"/>
      <c r="PE86"/>
      <c r="PF86"/>
      <c r="PG86"/>
      <c r="PH86"/>
      <c r="PI86"/>
      <c r="PJ86"/>
      <c r="PK86"/>
      <c r="PL86"/>
      <c r="PM86"/>
      <c r="PN86"/>
      <c r="PO86"/>
      <c r="PP86"/>
      <c r="PQ86"/>
      <c r="PR86"/>
      <c r="PS86"/>
      <c r="PT86"/>
      <c r="PU86"/>
      <c r="PV86"/>
      <c r="PW86"/>
      <c r="PX86"/>
      <c r="PY86"/>
      <c r="PZ86"/>
      <c r="QA86"/>
      <c r="QB86"/>
      <c r="QC86"/>
      <c r="QD86"/>
      <c r="QE86"/>
      <c r="QF86"/>
      <c r="QG86"/>
      <c r="QH86"/>
      <c r="QI86"/>
      <c r="QJ86"/>
      <c r="QK86"/>
      <c r="QL86"/>
      <c r="QM86"/>
      <c r="QN86"/>
      <c r="QO86"/>
      <c r="QP86"/>
      <c r="QQ86"/>
      <c r="QR86"/>
      <c r="QS86"/>
      <c r="QT86"/>
      <c r="QU86"/>
      <c r="QV86"/>
      <c r="QW86"/>
      <c r="QX86"/>
      <c r="QY86"/>
      <c r="QZ86"/>
      <c r="RA86"/>
      <c r="RB86"/>
      <c r="RC86"/>
      <c r="RD86"/>
      <c r="RE86"/>
      <c r="RF86"/>
      <c r="RG86"/>
      <c r="RH86"/>
      <c r="RI86"/>
      <c r="RJ86"/>
      <c r="RK86"/>
      <c r="RL86"/>
      <c r="RM86"/>
      <c r="RN86"/>
      <c r="RO86"/>
      <c r="RP86"/>
      <c r="RQ86"/>
      <c r="RR86"/>
      <c r="RS86"/>
    </row>
    <row r="87" spans="3:487" x14ac:dyDescent="0.25">
      <c r="C87" s="2" t="s">
        <v>147</v>
      </c>
      <c r="D87" s="34">
        <v>1</v>
      </c>
      <c r="F87" s="2" t="s">
        <v>838</v>
      </c>
      <c r="G87" s="34">
        <v>2</v>
      </c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  <c r="CN87"/>
      <c r="CO87"/>
      <c r="CP87"/>
      <c r="CQ87"/>
      <c r="CR87"/>
      <c r="CS87"/>
      <c r="CT87"/>
      <c r="CU87"/>
      <c r="CV87"/>
      <c r="CW87"/>
      <c r="CX87"/>
      <c r="CY87"/>
      <c r="CZ87"/>
      <c r="DA87"/>
      <c r="DB87"/>
      <c r="DC87"/>
      <c r="DD87"/>
      <c r="DE87"/>
      <c r="DF87"/>
      <c r="DG87"/>
      <c r="DH87"/>
      <c r="DI87"/>
      <c r="DJ87"/>
      <c r="DK87"/>
      <c r="DL87"/>
      <c r="DM87"/>
      <c r="DN87"/>
      <c r="DO87"/>
      <c r="DP87"/>
      <c r="DQ87"/>
      <c r="DR87"/>
      <c r="DS87"/>
      <c r="DT87"/>
      <c r="DU87"/>
      <c r="DV87"/>
      <c r="DW87"/>
      <c r="DX87"/>
      <c r="DY87"/>
      <c r="DZ87"/>
      <c r="EA87"/>
      <c r="EB87"/>
      <c r="EC87"/>
      <c r="ED87"/>
      <c r="EE87"/>
      <c r="EF87"/>
      <c r="EG87"/>
      <c r="EH87"/>
      <c r="EI87"/>
      <c r="EJ87"/>
      <c r="EK87"/>
      <c r="EL87"/>
      <c r="EM87"/>
      <c r="EN87"/>
      <c r="EO87"/>
      <c r="EP87"/>
      <c r="EQ87"/>
      <c r="ER87"/>
      <c r="ES87"/>
      <c r="ET87"/>
      <c r="EU87"/>
      <c r="EV87"/>
      <c r="EW87"/>
      <c r="EX87"/>
      <c r="EY87"/>
      <c r="EZ87"/>
      <c r="FA87"/>
      <c r="FB87"/>
      <c r="FC87"/>
      <c r="FD87"/>
      <c r="FE87"/>
      <c r="FF87"/>
      <c r="FG87"/>
      <c r="FH87"/>
      <c r="FI87"/>
      <c r="FJ87"/>
      <c r="FK87"/>
      <c r="FL87"/>
      <c r="FM87"/>
      <c r="FN87"/>
      <c r="FO87"/>
      <c r="FP87"/>
      <c r="FQ87"/>
      <c r="FR87"/>
      <c r="FS87"/>
      <c r="FT87"/>
      <c r="FU87"/>
      <c r="FV87"/>
      <c r="FW87"/>
      <c r="FX87"/>
      <c r="FY87"/>
      <c r="FZ87"/>
      <c r="GA87"/>
      <c r="GB87"/>
      <c r="GC87"/>
      <c r="GD87"/>
      <c r="GE87"/>
      <c r="GF87"/>
      <c r="GG87"/>
      <c r="GH87"/>
      <c r="GI87"/>
      <c r="GJ87"/>
      <c r="GK87"/>
      <c r="GL87"/>
      <c r="GM87"/>
      <c r="GN87"/>
      <c r="GO87"/>
      <c r="GP87"/>
      <c r="GQ87"/>
      <c r="GR87"/>
      <c r="GS87"/>
      <c r="GT87"/>
      <c r="GU87"/>
      <c r="GV87"/>
      <c r="GW87"/>
      <c r="GX87"/>
      <c r="GY87"/>
      <c r="GZ87"/>
      <c r="HA87"/>
      <c r="HB87"/>
      <c r="HC87"/>
      <c r="HD87"/>
      <c r="HE87"/>
      <c r="HF87"/>
      <c r="HG87"/>
      <c r="HH87"/>
      <c r="HI87"/>
      <c r="HJ87"/>
      <c r="HK87"/>
      <c r="HL87"/>
      <c r="HM87"/>
      <c r="HN87"/>
      <c r="HO87"/>
      <c r="HP87"/>
      <c r="HQ87"/>
      <c r="HR87"/>
      <c r="HS87"/>
      <c r="HT87"/>
      <c r="HU87"/>
      <c r="HV87"/>
      <c r="HW87"/>
      <c r="HX87"/>
      <c r="HY87"/>
      <c r="HZ87"/>
      <c r="IA87"/>
      <c r="IB87"/>
      <c r="IC87"/>
      <c r="ID87"/>
      <c r="IE87"/>
      <c r="IF87"/>
      <c r="IG87"/>
      <c r="IH87"/>
      <c r="II87"/>
      <c r="IJ87"/>
      <c r="IK87"/>
      <c r="IL87"/>
      <c r="IM87"/>
      <c r="IN87"/>
      <c r="IO87"/>
      <c r="IP87"/>
      <c r="IQ87"/>
      <c r="IR87"/>
      <c r="IS87"/>
      <c r="IT87"/>
      <c r="IU87"/>
      <c r="IV87"/>
      <c r="IW87"/>
      <c r="IX87"/>
      <c r="IY87"/>
      <c r="IZ87"/>
      <c r="JA87"/>
      <c r="JB87"/>
      <c r="JC87"/>
      <c r="JD87"/>
      <c r="JE87"/>
      <c r="JF87"/>
      <c r="JG87"/>
      <c r="JH87"/>
      <c r="JI87"/>
      <c r="JJ87"/>
      <c r="JK87"/>
      <c r="JL87"/>
      <c r="JM87"/>
      <c r="JN87"/>
      <c r="JO87"/>
      <c r="JP87"/>
      <c r="JQ87"/>
      <c r="JR87"/>
      <c r="JS87"/>
      <c r="JT87"/>
      <c r="JU87"/>
      <c r="JV87"/>
      <c r="JW87"/>
      <c r="JX87"/>
      <c r="JY87"/>
      <c r="JZ87"/>
      <c r="KA87"/>
      <c r="KB87"/>
      <c r="KC87"/>
      <c r="KD87"/>
      <c r="KE87"/>
      <c r="KF87"/>
      <c r="KG87"/>
      <c r="KH87"/>
      <c r="KI87"/>
      <c r="KJ87"/>
      <c r="KK87"/>
      <c r="KL87"/>
      <c r="KM87"/>
      <c r="KN87"/>
      <c r="KO87"/>
      <c r="KP87"/>
      <c r="KQ87"/>
      <c r="KR87"/>
      <c r="KS87"/>
      <c r="KT87"/>
      <c r="KU87"/>
      <c r="KV87"/>
      <c r="KW87"/>
      <c r="KX87"/>
      <c r="KY87"/>
      <c r="KZ87"/>
      <c r="LA87"/>
      <c r="LB87"/>
      <c r="LC87"/>
      <c r="LD87"/>
      <c r="LE87"/>
      <c r="LF87"/>
      <c r="LG87"/>
      <c r="LH87"/>
      <c r="LI87"/>
      <c r="LJ87"/>
      <c r="LK87"/>
      <c r="LL87"/>
      <c r="LM87"/>
      <c r="LN87"/>
      <c r="LO87"/>
      <c r="LP87"/>
      <c r="LQ87"/>
      <c r="LR87"/>
      <c r="LS87"/>
      <c r="LT87"/>
      <c r="LU87"/>
      <c r="LV87"/>
      <c r="LW87"/>
      <c r="LX87"/>
      <c r="LY87"/>
      <c r="LZ87"/>
      <c r="MA87"/>
      <c r="MB87"/>
      <c r="MC87"/>
      <c r="MD87"/>
      <c r="ME87"/>
      <c r="MF87"/>
      <c r="MG87"/>
      <c r="MH87"/>
      <c r="MI87"/>
      <c r="MJ87"/>
      <c r="MK87"/>
      <c r="ML87"/>
      <c r="MM87"/>
      <c r="MN87"/>
      <c r="MO87"/>
      <c r="MP87"/>
      <c r="MQ87"/>
      <c r="MR87"/>
      <c r="MS87"/>
      <c r="MT87"/>
      <c r="MU87"/>
      <c r="MV87"/>
      <c r="MW87"/>
      <c r="MX87"/>
      <c r="MY87"/>
      <c r="MZ87"/>
      <c r="NA87"/>
      <c r="NB87"/>
      <c r="NC87"/>
      <c r="ND87"/>
      <c r="NE87"/>
      <c r="NF87"/>
      <c r="NG87"/>
      <c r="NH87"/>
      <c r="NI87"/>
      <c r="NJ87"/>
      <c r="NK87"/>
      <c r="NL87"/>
      <c r="NM87"/>
      <c r="NN87"/>
      <c r="NO87"/>
      <c r="NP87"/>
      <c r="NQ87"/>
      <c r="NR87"/>
      <c r="NS87"/>
      <c r="NT87"/>
      <c r="NU87"/>
      <c r="NV87"/>
      <c r="NW87"/>
      <c r="NX87"/>
      <c r="NY87"/>
      <c r="NZ87"/>
      <c r="OA87"/>
      <c r="OB87"/>
      <c r="OC87"/>
      <c r="OD87"/>
      <c r="OE87"/>
      <c r="OF87"/>
      <c r="OG87"/>
      <c r="OH87"/>
      <c r="OI87"/>
      <c r="OJ87"/>
      <c r="OK87"/>
      <c r="OL87"/>
      <c r="OM87"/>
      <c r="ON87"/>
      <c r="OO87"/>
      <c r="OP87"/>
      <c r="OQ87"/>
      <c r="OR87"/>
      <c r="OS87"/>
      <c r="OT87"/>
      <c r="OU87"/>
      <c r="OV87"/>
      <c r="OW87"/>
      <c r="OX87"/>
      <c r="OY87"/>
      <c r="OZ87"/>
      <c r="PA87"/>
      <c r="PB87"/>
      <c r="PC87"/>
      <c r="PD87"/>
      <c r="PE87"/>
      <c r="PF87"/>
      <c r="PG87"/>
      <c r="PH87"/>
      <c r="PI87"/>
      <c r="PJ87"/>
      <c r="PK87"/>
      <c r="PL87"/>
      <c r="PM87"/>
      <c r="PN87"/>
      <c r="PO87"/>
      <c r="PP87"/>
      <c r="PQ87"/>
      <c r="PR87"/>
      <c r="PS87"/>
      <c r="PT87"/>
      <c r="PU87"/>
      <c r="PV87"/>
      <c r="PW87"/>
      <c r="PX87"/>
      <c r="PY87"/>
      <c r="PZ87"/>
      <c r="QA87"/>
      <c r="QB87"/>
      <c r="QC87"/>
      <c r="QD87"/>
      <c r="QE87"/>
      <c r="QF87"/>
      <c r="QG87"/>
      <c r="QH87"/>
      <c r="QI87"/>
      <c r="QJ87"/>
      <c r="QK87"/>
      <c r="QL87"/>
      <c r="QM87"/>
      <c r="QN87"/>
      <c r="QO87"/>
      <c r="QP87"/>
      <c r="QQ87"/>
      <c r="QR87"/>
      <c r="QS87"/>
      <c r="QT87"/>
      <c r="QU87"/>
      <c r="QV87"/>
      <c r="QW87"/>
      <c r="QX87"/>
      <c r="QY87"/>
      <c r="QZ87"/>
      <c r="RA87"/>
      <c r="RB87"/>
      <c r="RC87"/>
      <c r="RD87"/>
      <c r="RE87"/>
      <c r="RF87"/>
      <c r="RG87"/>
      <c r="RH87"/>
      <c r="RI87"/>
      <c r="RJ87"/>
      <c r="RK87"/>
      <c r="RL87"/>
      <c r="RM87"/>
      <c r="RN87"/>
      <c r="RO87"/>
      <c r="RP87"/>
      <c r="RQ87"/>
      <c r="RR87"/>
      <c r="RS87"/>
    </row>
    <row r="88" spans="3:487" x14ac:dyDescent="0.25">
      <c r="C88" s="2" t="s">
        <v>131</v>
      </c>
      <c r="D88" s="34">
        <v>1</v>
      </c>
      <c r="F88" s="2" t="s">
        <v>3544</v>
      </c>
      <c r="G88" s="34">
        <v>2</v>
      </c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  <c r="CN88"/>
      <c r="CO88"/>
      <c r="CP88"/>
      <c r="CQ88"/>
      <c r="CR88"/>
      <c r="CS88"/>
      <c r="CT88"/>
      <c r="CU88"/>
      <c r="CV88"/>
      <c r="CW88"/>
      <c r="CX88"/>
      <c r="CY88"/>
      <c r="CZ88"/>
      <c r="DA88"/>
      <c r="DB88"/>
      <c r="DC88"/>
      <c r="DD88"/>
      <c r="DE88"/>
      <c r="DF88"/>
      <c r="DG88"/>
      <c r="DH88"/>
      <c r="DI88"/>
      <c r="DJ88"/>
      <c r="DK88"/>
      <c r="DL88"/>
      <c r="DM88"/>
      <c r="DN88"/>
      <c r="DO88"/>
      <c r="DP88"/>
      <c r="DQ88"/>
      <c r="DR88"/>
      <c r="DS88"/>
      <c r="DT88"/>
      <c r="DU88"/>
      <c r="DV88"/>
      <c r="DW88"/>
      <c r="DX88"/>
      <c r="DY88"/>
      <c r="DZ88"/>
      <c r="EA88"/>
      <c r="EB88"/>
      <c r="EC88"/>
      <c r="ED88"/>
      <c r="EE88"/>
      <c r="EF88"/>
      <c r="EG88"/>
      <c r="EH88"/>
      <c r="EI88"/>
      <c r="EJ88"/>
      <c r="EK88"/>
      <c r="EL88"/>
      <c r="EM88"/>
      <c r="EN88"/>
      <c r="EO88"/>
      <c r="EP88"/>
      <c r="EQ88"/>
      <c r="ER88"/>
      <c r="ES88"/>
      <c r="ET88"/>
      <c r="EU88"/>
      <c r="EV88"/>
      <c r="EW88"/>
      <c r="EX88"/>
      <c r="EY88"/>
      <c r="EZ88"/>
      <c r="FA88"/>
      <c r="FB88"/>
      <c r="FC88"/>
      <c r="FD88"/>
      <c r="FE88"/>
      <c r="FF88"/>
      <c r="FG88"/>
      <c r="FH88"/>
      <c r="FI88"/>
      <c r="FJ88"/>
      <c r="FK88"/>
      <c r="FL88"/>
      <c r="FM88"/>
      <c r="FN88"/>
      <c r="FO88"/>
      <c r="FP88"/>
      <c r="FQ88"/>
      <c r="FR88"/>
      <c r="FS88"/>
      <c r="FT88"/>
      <c r="FU88"/>
      <c r="FV88"/>
      <c r="FW88"/>
      <c r="FX88"/>
      <c r="FY88"/>
      <c r="FZ88"/>
      <c r="GA88"/>
      <c r="GB88"/>
      <c r="GC88"/>
      <c r="GD88"/>
      <c r="GE88"/>
      <c r="GF88"/>
      <c r="GG88"/>
      <c r="GH88"/>
      <c r="GI88"/>
      <c r="GJ88"/>
      <c r="GK88"/>
      <c r="GL88"/>
      <c r="GM88"/>
      <c r="GN88"/>
      <c r="GO88"/>
      <c r="GP88"/>
      <c r="GQ88"/>
      <c r="GR88"/>
      <c r="GS88"/>
      <c r="GT88"/>
      <c r="GU88"/>
      <c r="GV88"/>
      <c r="GW88"/>
      <c r="GX88"/>
      <c r="GY88"/>
      <c r="GZ88"/>
      <c r="HA88"/>
      <c r="HB88"/>
      <c r="HC88"/>
      <c r="HD88"/>
      <c r="HE88"/>
      <c r="HF88"/>
      <c r="HG88"/>
      <c r="HH88"/>
      <c r="HI88"/>
      <c r="HJ88"/>
      <c r="HK88"/>
      <c r="HL88"/>
      <c r="HM88"/>
      <c r="HN88"/>
      <c r="HO88"/>
      <c r="HP88"/>
      <c r="HQ88"/>
      <c r="HR88"/>
      <c r="HS88"/>
      <c r="HT88"/>
      <c r="HU88"/>
      <c r="HV88"/>
      <c r="HW88"/>
      <c r="HX88"/>
      <c r="HY88"/>
      <c r="HZ88"/>
      <c r="IA88"/>
      <c r="IB88"/>
      <c r="IC88"/>
      <c r="ID88"/>
      <c r="IE88"/>
      <c r="IF88"/>
      <c r="IG88"/>
      <c r="IH88"/>
      <c r="II88"/>
      <c r="IJ88"/>
      <c r="IK88"/>
      <c r="IL88"/>
      <c r="IM88"/>
      <c r="IN88"/>
      <c r="IO88"/>
      <c r="IP88"/>
      <c r="IQ88"/>
      <c r="IR88"/>
      <c r="IS88"/>
      <c r="IT88"/>
      <c r="IU88"/>
      <c r="IV88"/>
      <c r="IW88"/>
      <c r="IX88"/>
      <c r="IY88"/>
      <c r="IZ88"/>
      <c r="JA88"/>
      <c r="JB88"/>
      <c r="JC88"/>
      <c r="JD88"/>
      <c r="JE88"/>
      <c r="JF88"/>
      <c r="JG88"/>
      <c r="JH88"/>
      <c r="JI88"/>
      <c r="JJ88"/>
      <c r="JK88"/>
      <c r="JL88"/>
      <c r="JM88"/>
      <c r="JN88"/>
      <c r="JO88"/>
      <c r="JP88"/>
      <c r="JQ88"/>
      <c r="JR88"/>
      <c r="JS88"/>
      <c r="JT88"/>
      <c r="JU88"/>
      <c r="JV88"/>
      <c r="JW88"/>
      <c r="JX88"/>
      <c r="JY88"/>
      <c r="JZ88"/>
      <c r="KA88"/>
      <c r="KB88"/>
      <c r="KC88"/>
      <c r="KD88"/>
      <c r="KE88"/>
      <c r="KF88"/>
      <c r="KG88"/>
      <c r="KH88"/>
      <c r="KI88"/>
      <c r="KJ88"/>
      <c r="KK88"/>
      <c r="KL88"/>
      <c r="KM88"/>
      <c r="KN88"/>
      <c r="KO88"/>
      <c r="KP88"/>
      <c r="KQ88"/>
      <c r="KR88"/>
      <c r="KS88"/>
      <c r="KT88"/>
      <c r="KU88"/>
      <c r="KV88"/>
      <c r="KW88"/>
      <c r="KX88"/>
      <c r="KY88"/>
      <c r="KZ88"/>
      <c r="LA88"/>
      <c r="LB88"/>
      <c r="LC88"/>
      <c r="LD88"/>
      <c r="LE88"/>
      <c r="LF88"/>
      <c r="LG88"/>
      <c r="LH88"/>
      <c r="LI88"/>
      <c r="LJ88"/>
      <c r="LK88"/>
      <c r="LL88"/>
      <c r="LM88"/>
      <c r="LN88"/>
      <c r="LO88"/>
      <c r="LP88"/>
      <c r="LQ88"/>
      <c r="LR88"/>
      <c r="LS88"/>
      <c r="LT88"/>
      <c r="LU88"/>
      <c r="LV88"/>
      <c r="LW88"/>
      <c r="LX88"/>
      <c r="LY88"/>
      <c r="LZ88"/>
      <c r="MA88"/>
      <c r="MB88"/>
      <c r="MC88"/>
      <c r="MD88"/>
      <c r="ME88"/>
      <c r="MF88"/>
      <c r="MG88"/>
      <c r="MH88"/>
      <c r="MI88"/>
      <c r="MJ88"/>
      <c r="MK88"/>
      <c r="ML88"/>
      <c r="MM88"/>
      <c r="MN88"/>
      <c r="MO88"/>
      <c r="MP88"/>
      <c r="MQ88"/>
      <c r="MR88"/>
      <c r="MS88"/>
      <c r="MT88"/>
      <c r="MU88"/>
      <c r="MV88"/>
      <c r="MW88"/>
      <c r="MX88"/>
      <c r="MY88"/>
      <c r="MZ88"/>
      <c r="NA88"/>
      <c r="NB88"/>
      <c r="NC88"/>
      <c r="ND88"/>
      <c r="NE88"/>
      <c r="NF88"/>
      <c r="NG88"/>
      <c r="NH88"/>
      <c r="NI88"/>
      <c r="NJ88"/>
      <c r="NK88"/>
      <c r="NL88"/>
      <c r="NM88"/>
      <c r="NN88"/>
      <c r="NO88"/>
      <c r="NP88"/>
      <c r="NQ88"/>
      <c r="NR88"/>
      <c r="NS88"/>
      <c r="NT88"/>
      <c r="NU88"/>
      <c r="NV88"/>
      <c r="NW88"/>
      <c r="NX88"/>
      <c r="NY88"/>
      <c r="NZ88"/>
      <c r="OA88"/>
      <c r="OB88"/>
      <c r="OC88"/>
      <c r="OD88"/>
      <c r="OE88"/>
      <c r="OF88"/>
      <c r="OG88"/>
      <c r="OH88"/>
      <c r="OI88"/>
      <c r="OJ88"/>
      <c r="OK88"/>
      <c r="OL88"/>
      <c r="OM88"/>
      <c r="ON88"/>
      <c r="OO88"/>
      <c r="OP88"/>
      <c r="OQ88"/>
      <c r="OR88"/>
      <c r="OS88"/>
      <c r="OT88"/>
      <c r="OU88"/>
      <c r="OV88"/>
      <c r="OW88"/>
      <c r="OX88"/>
      <c r="OY88"/>
      <c r="OZ88"/>
      <c r="PA88"/>
      <c r="PB88"/>
      <c r="PC88"/>
      <c r="PD88"/>
      <c r="PE88"/>
      <c r="PF88"/>
      <c r="PG88"/>
      <c r="PH88"/>
      <c r="PI88"/>
      <c r="PJ88"/>
      <c r="PK88"/>
      <c r="PL88"/>
      <c r="PM88"/>
      <c r="PN88"/>
      <c r="PO88"/>
      <c r="PP88"/>
      <c r="PQ88"/>
      <c r="PR88"/>
      <c r="PS88"/>
      <c r="PT88"/>
      <c r="PU88"/>
      <c r="PV88"/>
      <c r="PW88"/>
      <c r="PX88"/>
      <c r="PY88"/>
      <c r="PZ88"/>
      <c r="QA88"/>
      <c r="QB88"/>
      <c r="QC88"/>
      <c r="QD88"/>
      <c r="QE88"/>
      <c r="QF88"/>
      <c r="QG88"/>
      <c r="QH88"/>
      <c r="QI88"/>
      <c r="QJ88"/>
      <c r="QK88"/>
      <c r="QL88"/>
      <c r="QM88"/>
      <c r="QN88"/>
      <c r="QO88"/>
      <c r="QP88"/>
      <c r="QQ88"/>
      <c r="QR88"/>
      <c r="QS88"/>
      <c r="QT88"/>
      <c r="QU88"/>
      <c r="QV88"/>
      <c r="QW88"/>
      <c r="QX88"/>
      <c r="QY88"/>
      <c r="QZ88"/>
      <c r="RA88"/>
      <c r="RB88"/>
      <c r="RC88"/>
      <c r="RD88"/>
      <c r="RE88"/>
      <c r="RF88"/>
      <c r="RG88"/>
      <c r="RH88"/>
      <c r="RI88"/>
      <c r="RJ88"/>
      <c r="RK88"/>
      <c r="RL88"/>
      <c r="RM88"/>
      <c r="RN88"/>
      <c r="RO88"/>
      <c r="RP88"/>
      <c r="RQ88"/>
      <c r="RR88"/>
      <c r="RS88"/>
    </row>
    <row r="89" spans="3:487" x14ac:dyDescent="0.25">
      <c r="C89" s="2" t="s">
        <v>265</v>
      </c>
      <c r="D89" s="34">
        <v>1</v>
      </c>
      <c r="F89" s="2" t="s">
        <v>110</v>
      </c>
      <c r="G89" s="34">
        <v>2</v>
      </c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  <c r="CN89"/>
      <c r="CO89"/>
      <c r="CP89"/>
      <c r="CQ89"/>
      <c r="CR89"/>
      <c r="CS89"/>
      <c r="CT89"/>
      <c r="CU89"/>
      <c r="CV89"/>
      <c r="CW89"/>
      <c r="CX89"/>
      <c r="CY89"/>
      <c r="CZ89"/>
      <c r="DA89"/>
      <c r="DB89"/>
      <c r="DC89"/>
      <c r="DD89"/>
      <c r="DE89"/>
      <c r="DF89"/>
      <c r="DG89"/>
      <c r="DH89"/>
      <c r="DI89"/>
      <c r="DJ89"/>
      <c r="DK89"/>
      <c r="DL89"/>
      <c r="DM89"/>
      <c r="DN89"/>
      <c r="DO89"/>
      <c r="DP89"/>
      <c r="DQ89"/>
      <c r="DR89"/>
      <c r="DS89"/>
      <c r="DT89"/>
      <c r="DU89"/>
      <c r="DV89"/>
      <c r="DW89"/>
      <c r="DX89"/>
      <c r="DY89"/>
      <c r="DZ89"/>
      <c r="EA89"/>
      <c r="EB89"/>
      <c r="EC89"/>
      <c r="ED89"/>
      <c r="EE89"/>
      <c r="EF89"/>
      <c r="EG89"/>
      <c r="EH89"/>
      <c r="EI89"/>
      <c r="EJ89"/>
      <c r="EK89"/>
      <c r="EL89"/>
      <c r="EM89"/>
      <c r="EN89"/>
      <c r="EO89"/>
      <c r="EP89"/>
      <c r="EQ89"/>
      <c r="ER89"/>
      <c r="ES89"/>
      <c r="ET89"/>
      <c r="EU89"/>
      <c r="EV89"/>
      <c r="EW89"/>
      <c r="EX89"/>
      <c r="EY89"/>
      <c r="EZ89"/>
      <c r="FA89"/>
      <c r="FB89"/>
      <c r="FC89"/>
      <c r="FD89"/>
      <c r="FE89"/>
      <c r="FF89"/>
      <c r="FG89"/>
      <c r="FH89"/>
      <c r="FI89"/>
      <c r="FJ89"/>
      <c r="FK89"/>
      <c r="FL89"/>
      <c r="FM89"/>
      <c r="FN89"/>
      <c r="FO89"/>
      <c r="FP89"/>
      <c r="FQ89"/>
      <c r="FR89"/>
      <c r="FS89"/>
      <c r="FT89"/>
      <c r="FU89"/>
      <c r="FV89"/>
      <c r="FW89"/>
      <c r="FX89"/>
      <c r="FY89"/>
      <c r="FZ89"/>
      <c r="GA89"/>
      <c r="GB89"/>
      <c r="GC89"/>
      <c r="GD89"/>
      <c r="GE89"/>
      <c r="GF89"/>
      <c r="GG89"/>
      <c r="GH89"/>
      <c r="GI89"/>
      <c r="GJ89"/>
      <c r="GK89"/>
      <c r="GL89"/>
      <c r="GM89"/>
      <c r="GN89"/>
      <c r="GO89"/>
      <c r="GP89"/>
      <c r="GQ89"/>
      <c r="GR89"/>
      <c r="GS89"/>
      <c r="GT89"/>
      <c r="GU89"/>
      <c r="GV89"/>
      <c r="GW89"/>
      <c r="GX89"/>
      <c r="GY89"/>
      <c r="GZ89"/>
      <c r="HA89"/>
      <c r="HB89"/>
      <c r="HC89"/>
      <c r="HD89"/>
      <c r="HE89"/>
      <c r="HF89"/>
      <c r="HG89"/>
      <c r="HH89"/>
      <c r="HI89"/>
      <c r="HJ89"/>
      <c r="HK89"/>
      <c r="HL89"/>
      <c r="HM89"/>
      <c r="HN89"/>
      <c r="HO89"/>
      <c r="HP89"/>
      <c r="HQ89"/>
      <c r="HR89"/>
      <c r="HS89"/>
      <c r="HT89"/>
      <c r="HU89"/>
      <c r="HV89"/>
      <c r="HW89"/>
      <c r="HX89"/>
      <c r="HY89"/>
      <c r="HZ89"/>
      <c r="IA89"/>
      <c r="IB89"/>
      <c r="IC89"/>
      <c r="ID89"/>
      <c r="IE89"/>
      <c r="IF89"/>
      <c r="IG89"/>
      <c r="IH89"/>
      <c r="II89"/>
      <c r="IJ89"/>
      <c r="IK89"/>
      <c r="IL89"/>
      <c r="IM89"/>
      <c r="IN89"/>
      <c r="IO89"/>
      <c r="IP89"/>
      <c r="IQ89"/>
      <c r="IR89"/>
      <c r="IS89"/>
      <c r="IT89"/>
      <c r="IU89"/>
      <c r="IV89"/>
      <c r="IW89"/>
      <c r="IX89"/>
      <c r="IY89"/>
      <c r="IZ89"/>
      <c r="JA89"/>
      <c r="JB89"/>
      <c r="JC89"/>
      <c r="JD89"/>
      <c r="JE89"/>
      <c r="JF89"/>
      <c r="JG89"/>
      <c r="JH89"/>
      <c r="JI89"/>
      <c r="JJ89"/>
      <c r="JK89"/>
      <c r="JL89"/>
      <c r="JM89"/>
      <c r="JN89"/>
      <c r="JO89"/>
      <c r="JP89"/>
      <c r="JQ89"/>
      <c r="JR89"/>
      <c r="JS89"/>
      <c r="JT89"/>
      <c r="JU89"/>
      <c r="JV89"/>
      <c r="JW89"/>
      <c r="JX89"/>
      <c r="JY89"/>
      <c r="JZ89"/>
      <c r="KA89"/>
      <c r="KB89"/>
      <c r="KC89"/>
      <c r="KD89"/>
      <c r="KE89"/>
      <c r="KF89"/>
      <c r="KG89"/>
      <c r="KH89"/>
      <c r="KI89"/>
      <c r="KJ89"/>
      <c r="KK89"/>
      <c r="KL89"/>
      <c r="KM89"/>
      <c r="KN89"/>
      <c r="KO89"/>
      <c r="KP89"/>
      <c r="KQ89"/>
      <c r="KR89"/>
      <c r="KS89"/>
      <c r="KT89"/>
      <c r="KU89"/>
      <c r="KV89"/>
      <c r="KW89"/>
      <c r="KX89"/>
      <c r="KY89"/>
      <c r="KZ89"/>
      <c r="LA89"/>
      <c r="LB89"/>
      <c r="LC89"/>
      <c r="LD89"/>
      <c r="LE89"/>
      <c r="LF89"/>
      <c r="LG89"/>
      <c r="LH89"/>
      <c r="LI89"/>
      <c r="LJ89"/>
      <c r="LK89"/>
      <c r="LL89"/>
      <c r="LM89"/>
      <c r="LN89"/>
      <c r="LO89"/>
      <c r="LP89"/>
      <c r="LQ89"/>
      <c r="LR89"/>
      <c r="LS89"/>
      <c r="LT89"/>
      <c r="LU89"/>
      <c r="LV89"/>
      <c r="LW89"/>
      <c r="LX89"/>
      <c r="LY89"/>
      <c r="LZ89"/>
      <c r="MA89"/>
      <c r="MB89"/>
      <c r="MC89"/>
      <c r="MD89"/>
      <c r="ME89"/>
      <c r="MF89"/>
      <c r="MG89"/>
      <c r="MH89"/>
      <c r="MI89"/>
      <c r="MJ89"/>
      <c r="MK89"/>
      <c r="ML89"/>
      <c r="MM89"/>
      <c r="MN89"/>
      <c r="MO89"/>
      <c r="MP89"/>
      <c r="MQ89"/>
      <c r="MR89"/>
      <c r="MS89"/>
      <c r="MT89"/>
      <c r="MU89"/>
      <c r="MV89"/>
      <c r="MW89"/>
      <c r="MX89"/>
      <c r="MY89"/>
      <c r="MZ89"/>
      <c r="NA89"/>
      <c r="NB89"/>
      <c r="NC89"/>
      <c r="ND89"/>
      <c r="NE89"/>
      <c r="NF89"/>
      <c r="NG89"/>
      <c r="NH89"/>
      <c r="NI89"/>
      <c r="NJ89"/>
      <c r="NK89"/>
      <c r="NL89"/>
      <c r="NM89"/>
      <c r="NN89"/>
      <c r="NO89"/>
      <c r="NP89"/>
      <c r="NQ89"/>
      <c r="NR89"/>
      <c r="NS89"/>
      <c r="NT89"/>
      <c r="NU89"/>
      <c r="NV89"/>
      <c r="NW89"/>
      <c r="NX89"/>
      <c r="NY89"/>
      <c r="NZ89"/>
      <c r="OA89"/>
      <c r="OB89"/>
      <c r="OC89"/>
      <c r="OD89"/>
      <c r="OE89"/>
      <c r="OF89"/>
      <c r="OG89"/>
      <c r="OH89"/>
      <c r="OI89"/>
      <c r="OJ89"/>
      <c r="OK89"/>
      <c r="OL89"/>
      <c r="OM89"/>
      <c r="ON89"/>
      <c r="OO89"/>
      <c r="OP89"/>
      <c r="OQ89"/>
      <c r="OR89"/>
      <c r="OS89"/>
      <c r="OT89"/>
      <c r="OU89"/>
      <c r="OV89"/>
      <c r="OW89"/>
      <c r="OX89"/>
      <c r="OY89"/>
      <c r="OZ89"/>
      <c r="PA89"/>
      <c r="PB89"/>
      <c r="PC89"/>
      <c r="PD89"/>
      <c r="PE89"/>
      <c r="PF89"/>
      <c r="PG89"/>
      <c r="PH89"/>
      <c r="PI89"/>
      <c r="PJ89"/>
      <c r="PK89"/>
      <c r="PL89"/>
      <c r="PM89"/>
      <c r="PN89"/>
      <c r="PO89"/>
      <c r="PP89"/>
      <c r="PQ89"/>
      <c r="PR89"/>
      <c r="PS89"/>
      <c r="PT89"/>
      <c r="PU89"/>
      <c r="PV89"/>
      <c r="PW89"/>
      <c r="PX89"/>
      <c r="PY89"/>
      <c r="PZ89"/>
      <c r="QA89"/>
      <c r="QB89"/>
      <c r="QC89"/>
      <c r="QD89"/>
      <c r="QE89"/>
      <c r="QF89"/>
      <c r="QG89"/>
      <c r="QH89"/>
      <c r="QI89"/>
      <c r="QJ89"/>
      <c r="QK89"/>
      <c r="QL89"/>
      <c r="QM89"/>
      <c r="QN89"/>
      <c r="QO89"/>
      <c r="QP89"/>
      <c r="QQ89"/>
      <c r="QR89"/>
      <c r="QS89"/>
      <c r="QT89"/>
      <c r="QU89"/>
      <c r="QV89"/>
      <c r="QW89"/>
      <c r="QX89"/>
      <c r="QY89"/>
      <c r="QZ89"/>
      <c r="RA89"/>
      <c r="RB89"/>
      <c r="RC89"/>
      <c r="RD89"/>
      <c r="RE89"/>
      <c r="RF89"/>
      <c r="RG89"/>
      <c r="RH89"/>
      <c r="RI89"/>
      <c r="RJ89"/>
      <c r="RK89"/>
      <c r="RL89"/>
      <c r="RM89"/>
      <c r="RN89"/>
      <c r="RO89"/>
      <c r="RP89"/>
      <c r="RQ89"/>
      <c r="RR89"/>
      <c r="RS89"/>
    </row>
    <row r="90" spans="3:487" x14ac:dyDescent="0.25">
      <c r="C90" s="2" t="s">
        <v>3643</v>
      </c>
      <c r="D90" s="34">
        <v>1</v>
      </c>
      <c r="F90" s="2" t="s">
        <v>83</v>
      </c>
      <c r="G90" s="34">
        <v>2</v>
      </c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  <c r="CN90"/>
      <c r="CO90"/>
      <c r="CP90"/>
      <c r="CQ90"/>
      <c r="CR90"/>
      <c r="CS90"/>
      <c r="CT90"/>
      <c r="CU90"/>
      <c r="CV90"/>
      <c r="CW90"/>
      <c r="CX90"/>
      <c r="CY90"/>
      <c r="CZ90"/>
      <c r="DA90"/>
      <c r="DB90"/>
      <c r="DC90"/>
      <c r="DD90"/>
      <c r="DE90"/>
      <c r="DF90"/>
      <c r="DG90"/>
      <c r="DH90"/>
      <c r="DI90"/>
      <c r="DJ90"/>
      <c r="DK90"/>
      <c r="DL90"/>
      <c r="DM90"/>
      <c r="DN90"/>
      <c r="DO90"/>
      <c r="DP90"/>
      <c r="DQ90"/>
      <c r="DR90"/>
      <c r="DS90"/>
      <c r="DT90"/>
      <c r="DU90"/>
      <c r="DV90"/>
      <c r="DW90"/>
      <c r="DX90"/>
      <c r="DY90"/>
      <c r="DZ90"/>
      <c r="EA90"/>
      <c r="EB90"/>
      <c r="EC90"/>
      <c r="ED90"/>
      <c r="EE90"/>
      <c r="EF90"/>
      <c r="EG90"/>
      <c r="EH90"/>
      <c r="EI90"/>
      <c r="EJ90"/>
      <c r="EK90"/>
      <c r="EL90"/>
      <c r="EM90"/>
      <c r="EN90"/>
      <c r="EO90"/>
      <c r="EP90"/>
      <c r="EQ90"/>
      <c r="ER90"/>
      <c r="ES90"/>
      <c r="ET90"/>
      <c r="EU90"/>
      <c r="EV90"/>
      <c r="EW90"/>
      <c r="EX90"/>
      <c r="EY90"/>
      <c r="EZ90"/>
      <c r="FA90"/>
      <c r="FB90"/>
      <c r="FC90"/>
      <c r="FD90"/>
      <c r="FE90"/>
      <c r="FF90"/>
      <c r="FG90"/>
      <c r="FH90"/>
      <c r="FI90"/>
      <c r="FJ90"/>
      <c r="FK90"/>
      <c r="FL90"/>
      <c r="FM90"/>
      <c r="FN90"/>
      <c r="FO90"/>
      <c r="FP90"/>
      <c r="FQ90"/>
      <c r="FR90"/>
      <c r="FS90"/>
      <c r="FT90"/>
      <c r="FU90"/>
      <c r="FV90"/>
      <c r="FW90"/>
      <c r="FX90"/>
      <c r="FY90"/>
      <c r="FZ90"/>
      <c r="GA90"/>
      <c r="GB90"/>
      <c r="GC90"/>
      <c r="GD90"/>
      <c r="GE90"/>
      <c r="GF90"/>
      <c r="GG90"/>
      <c r="GH90"/>
      <c r="GI90"/>
      <c r="GJ90"/>
      <c r="GK90"/>
      <c r="GL90"/>
      <c r="GM90"/>
      <c r="GN90"/>
      <c r="GO90"/>
      <c r="GP90"/>
      <c r="GQ90"/>
      <c r="GR90"/>
      <c r="GS90"/>
      <c r="GT90"/>
      <c r="GU90"/>
      <c r="GV90"/>
      <c r="GW90"/>
      <c r="GX90"/>
      <c r="GY90"/>
      <c r="GZ90"/>
      <c r="HA90"/>
      <c r="HB90"/>
      <c r="HC90"/>
      <c r="HD90"/>
      <c r="HE90"/>
      <c r="HF90"/>
      <c r="HG90"/>
      <c r="HH90"/>
      <c r="HI90"/>
      <c r="HJ90"/>
      <c r="HK90"/>
      <c r="HL90"/>
      <c r="HM90"/>
      <c r="HN90"/>
      <c r="HO90"/>
      <c r="HP90"/>
      <c r="HQ90"/>
      <c r="HR90"/>
      <c r="HS90"/>
      <c r="HT90"/>
      <c r="HU90"/>
      <c r="HV90"/>
      <c r="HW90"/>
      <c r="HX90"/>
      <c r="HY90"/>
      <c r="HZ90"/>
      <c r="IA90"/>
      <c r="IB90"/>
      <c r="IC90"/>
      <c r="ID90"/>
      <c r="IE90"/>
      <c r="IF90"/>
      <c r="IG90"/>
      <c r="IH90"/>
      <c r="II90"/>
      <c r="IJ90"/>
      <c r="IK90"/>
      <c r="IL90"/>
      <c r="IM90"/>
      <c r="IN90"/>
      <c r="IO90"/>
      <c r="IP90"/>
      <c r="IQ90"/>
      <c r="IR90"/>
      <c r="IS90"/>
      <c r="IT90"/>
      <c r="IU90"/>
      <c r="IV90"/>
      <c r="IW90"/>
      <c r="IX90"/>
      <c r="IY90"/>
      <c r="IZ90"/>
      <c r="JA90"/>
      <c r="JB90"/>
      <c r="JC90"/>
      <c r="JD90"/>
      <c r="JE90"/>
      <c r="JF90"/>
      <c r="JG90"/>
      <c r="JH90"/>
      <c r="JI90"/>
      <c r="JJ90"/>
      <c r="JK90"/>
      <c r="JL90"/>
      <c r="JM90"/>
      <c r="JN90"/>
      <c r="JO90"/>
      <c r="JP90"/>
      <c r="JQ90"/>
      <c r="JR90"/>
      <c r="JS90"/>
      <c r="JT90"/>
      <c r="JU90"/>
      <c r="JV90"/>
      <c r="JW90"/>
      <c r="JX90"/>
      <c r="JY90"/>
      <c r="JZ90"/>
      <c r="KA90"/>
      <c r="KB90"/>
      <c r="KC90"/>
      <c r="KD90"/>
      <c r="KE90"/>
      <c r="KF90"/>
      <c r="KG90"/>
      <c r="KH90"/>
      <c r="KI90"/>
      <c r="KJ90"/>
      <c r="KK90"/>
      <c r="KL90"/>
      <c r="KM90"/>
      <c r="KN90"/>
      <c r="KO90"/>
      <c r="KP90"/>
      <c r="KQ90"/>
      <c r="KR90"/>
      <c r="KS90"/>
      <c r="KT90"/>
      <c r="KU90"/>
      <c r="KV90"/>
      <c r="KW90"/>
      <c r="KX90"/>
      <c r="KY90"/>
      <c r="KZ90"/>
      <c r="LA90"/>
      <c r="LB90"/>
      <c r="LC90"/>
      <c r="LD90"/>
      <c r="LE90"/>
      <c r="LF90"/>
      <c r="LG90"/>
      <c r="LH90"/>
      <c r="LI90"/>
      <c r="LJ90"/>
      <c r="LK90"/>
      <c r="LL90"/>
      <c r="LM90"/>
      <c r="LN90"/>
      <c r="LO90"/>
      <c r="LP90"/>
      <c r="LQ90"/>
      <c r="LR90"/>
      <c r="LS90"/>
      <c r="LT90"/>
      <c r="LU90"/>
      <c r="LV90"/>
      <c r="LW90"/>
      <c r="LX90"/>
      <c r="LY90"/>
      <c r="LZ90"/>
      <c r="MA90"/>
      <c r="MB90"/>
      <c r="MC90"/>
      <c r="MD90"/>
      <c r="ME90"/>
      <c r="MF90"/>
      <c r="MG90"/>
      <c r="MH90"/>
      <c r="MI90"/>
      <c r="MJ90"/>
      <c r="MK90"/>
      <c r="ML90"/>
      <c r="MM90"/>
      <c r="MN90"/>
      <c r="MO90"/>
      <c r="MP90"/>
      <c r="MQ90"/>
      <c r="MR90"/>
      <c r="MS90"/>
      <c r="MT90"/>
      <c r="MU90"/>
      <c r="MV90"/>
      <c r="MW90"/>
      <c r="MX90"/>
      <c r="MY90"/>
      <c r="MZ90"/>
      <c r="NA90"/>
      <c r="NB90"/>
      <c r="NC90"/>
      <c r="ND90"/>
      <c r="NE90"/>
      <c r="NF90"/>
      <c r="NG90"/>
      <c r="NH90"/>
      <c r="NI90"/>
      <c r="NJ90"/>
      <c r="NK90"/>
      <c r="NL90"/>
      <c r="NM90"/>
      <c r="NN90"/>
      <c r="NO90"/>
      <c r="NP90"/>
      <c r="NQ90"/>
      <c r="NR90"/>
      <c r="NS90"/>
      <c r="NT90"/>
      <c r="NU90"/>
      <c r="NV90"/>
      <c r="NW90"/>
      <c r="NX90"/>
      <c r="NY90"/>
      <c r="NZ90"/>
      <c r="OA90"/>
      <c r="OB90"/>
      <c r="OC90"/>
      <c r="OD90"/>
      <c r="OE90"/>
      <c r="OF90"/>
      <c r="OG90"/>
      <c r="OH90"/>
      <c r="OI90"/>
      <c r="OJ90"/>
      <c r="OK90"/>
      <c r="OL90"/>
      <c r="OM90"/>
      <c r="ON90"/>
      <c r="OO90"/>
      <c r="OP90"/>
      <c r="OQ90"/>
      <c r="OR90"/>
      <c r="OS90"/>
      <c r="OT90"/>
      <c r="OU90"/>
      <c r="OV90"/>
      <c r="OW90"/>
      <c r="OX90"/>
      <c r="OY90"/>
      <c r="OZ90"/>
      <c r="PA90"/>
      <c r="PB90"/>
      <c r="PC90"/>
      <c r="PD90"/>
      <c r="PE90"/>
      <c r="PF90"/>
      <c r="PG90"/>
      <c r="PH90"/>
      <c r="PI90"/>
      <c r="PJ90"/>
      <c r="PK90"/>
      <c r="PL90"/>
      <c r="PM90"/>
      <c r="PN90"/>
      <c r="PO90"/>
      <c r="PP90"/>
      <c r="PQ90"/>
      <c r="PR90"/>
      <c r="PS90"/>
      <c r="PT90"/>
      <c r="PU90"/>
      <c r="PV90"/>
      <c r="PW90"/>
      <c r="PX90"/>
      <c r="PY90"/>
      <c r="PZ90"/>
      <c r="QA90"/>
      <c r="QB90"/>
      <c r="QC90"/>
      <c r="QD90"/>
      <c r="QE90"/>
      <c r="QF90"/>
      <c r="QG90"/>
      <c r="QH90"/>
      <c r="QI90"/>
      <c r="QJ90"/>
      <c r="QK90"/>
      <c r="QL90"/>
      <c r="QM90"/>
      <c r="QN90"/>
      <c r="QO90"/>
      <c r="QP90"/>
      <c r="QQ90"/>
      <c r="QR90"/>
      <c r="QS90"/>
      <c r="QT90"/>
      <c r="QU90"/>
      <c r="QV90"/>
      <c r="QW90"/>
      <c r="QX90"/>
      <c r="QY90"/>
      <c r="QZ90"/>
      <c r="RA90"/>
      <c r="RB90"/>
      <c r="RC90"/>
      <c r="RD90"/>
      <c r="RE90"/>
      <c r="RF90"/>
      <c r="RG90"/>
      <c r="RH90"/>
      <c r="RI90"/>
      <c r="RJ90"/>
      <c r="RK90"/>
      <c r="RL90"/>
      <c r="RM90"/>
      <c r="RN90"/>
      <c r="RO90"/>
      <c r="RP90"/>
      <c r="RQ90"/>
      <c r="RR90"/>
      <c r="RS90"/>
    </row>
    <row r="91" spans="3:487" x14ac:dyDescent="0.25">
      <c r="C91" s="2" t="s">
        <v>3679</v>
      </c>
      <c r="D91" s="34">
        <v>1</v>
      </c>
      <c r="F91" s="2" t="s">
        <v>69</v>
      </c>
      <c r="G91" s="34">
        <v>2</v>
      </c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  <c r="CN91"/>
      <c r="CO91"/>
      <c r="CP91"/>
      <c r="CQ91"/>
      <c r="CR91"/>
      <c r="CS91"/>
      <c r="CT91"/>
      <c r="CU91"/>
      <c r="CV91"/>
      <c r="CW91"/>
      <c r="CX91"/>
      <c r="CY91"/>
      <c r="CZ91"/>
      <c r="DA91"/>
      <c r="DB91"/>
      <c r="DC91"/>
      <c r="DD91"/>
      <c r="DE91"/>
      <c r="DF91"/>
      <c r="DG91"/>
      <c r="DH91"/>
      <c r="DI91"/>
      <c r="DJ91"/>
      <c r="DK91"/>
      <c r="DL91"/>
      <c r="DM91"/>
      <c r="DN91"/>
      <c r="DO91"/>
      <c r="DP91"/>
      <c r="DQ91"/>
      <c r="DR91"/>
      <c r="DS91"/>
      <c r="DT91"/>
      <c r="DU91"/>
      <c r="DV91"/>
      <c r="DW91"/>
      <c r="DX91"/>
      <c r="DY91"/>
      <c r="DZ91"/>
      <c r="EA91"/>
      <c r="EB91"/>
      <c r="EC91"/>
      <c r="ED91"/>
      <c r="EE91"/>
      <c r="EF91"/>
      <c r="EG91"/>
      <c r="EH91"/>
      <c r="EI91"/>
      <c r="EJ91"/>
      <c r="EK91"/>
      <c r="EL91"/>
      <c r="EM91"/>
      <c r="EN91"/>
      <c r="EO91"/>
      <c r="EP91"/>
      <c r="EQ91"/>
      <c r="ER91"/>
      <c r="ES91"/>
      <c r="ET91"/>
      <c r="EU91"/>
      <c r="EV91"/>
      <c r="EW91"/>
      <c r="EX91"/>
      <c r="EY91"/>
      <c r="EZ91"/>
      <c r="FA91"/>
      <c r="FB91"/>
      <c r="FC91"/>
      <c r="FD91"/>
      <c r="FE91"/>
      <c r="FF91"/>
      <c r="FG91"/>
      <c r="FH91"/>
      <c r="FI91"/>
      <c r="FJ91"/>
      <c r="FK91"/>
      <c r="FL91"/>
      <c r="FM91"/>
      <c r="FN91"/>
      <c r="FO91"/>
      <c r="FP91"/>
      <c r="FQ91"/>
      <c r="FR91"/>
      <c r="FS91"/>
      <c r="FT91"/>
      <c r="FU91"/>
      <c r="FV91"/>
      <c r="FW91"/>
      <c r="FX91"/>
      <c r="FY91"/>
      <c r="FZ91"/>
      <c r="GA91"/>
      <c r="GB91"/>
      <c r="GC91"/>
      <c r="GD91"/>
      <c r="GE91"/>
      <c r="GF91"/>
      <c r="GG91"/>
      <c r="GH91"/>
      <c r="GI91"/>
      <c r="GJ91"/>
      <c r="GK91"/>
      <c r="GL91"/>
      <c r="GM91"/>
      <c r="GN91"/>
      <c r="GO91"/>
      <c r="GP91"/>
      <c r="GQ91"/>
      <c r="GR91"/>
      <c r="GS91"/>
      <c r="GT91"/>
      <c r="GU91"/>
      <c r="GV91"/>
      <c r="GW91"/>
      <c r="GX91"/>
      <c r="GY91"/>
      <c r="GZ91"/>
      <c r="HA91"/>
      <c r="HB91"/>
      <c r="HC91"/>
      <c r="HD91"/>
      <c r="HE91"/>
      <c r="HF91"/>
      <c r="HG91"/>
      <c r="HH91"/>
      <c r="HI91"/>
      <c r="HJ91"/>
      <c r="HK91"/>
      <c r="HL91"/>
      <c r="HM91"/>
      <c r="HN91"/>
      <c r="HO91"/>
      <c r="HP91"/>
      <c r="HQ91"/>
      <c r="HR91"/>
      <c r="HS91"/>
      <c r="HT91"/>
      <c r="HU91"/>
      <c r="HV91"/>
      <c r="HW91"/>
      <c r="HX91"/>
      <c r="HY91"/>
      <c r="HZ91"/>
      <c r="IA91"/>
      <c r="IB91"/>
      <c r="IC91"/>
      <c r="ID91"/>
      <c r="IE91"/>
      <c r="IF91"/>
      <c r="IG91"/>
      <c r="IH91"/>
      <c r="II91"/>
      <c r="IJ91"/>
      <c r="IK91"/>
      <c r="IL91"/>
      <c r="IM91"/>
      <c r="IN91"/>
      <c r="IO91"/>
      <c r="IP91"/>
      <c r="IQ91"/>
      <c r="IR91"/>
      <c r="IS91"/>
      <c r="IT91"/>
      <c r="IU91"/>
      <c r="IV91"/>
      <c r="IW91"/>
      <c r="IX91"/>
      <c r="IY91"/>
      <c r="IZ91"/>
      <c r="JA91"/>
      <c r="JB91"/>
      <c r="JC91"/>
      <c r="JD91"/>
      <c r="JE91"/>
      <c r="JF91"/>
      <c r="JG91"/>
      <c r="JH91"/>
      <c r="JI91"/>
      <c r="JJ91"/>
      <c r="JK91"/>
      <c r="JL91"/>
      <c r="JM91"/>
      <c r="JN91"/>
      <c r="JO91"/>
      <c r="JP91"/>
      <c r="JQ91"/>
      <c r="JR91"/>
      <c r="JS91"/>
      <c r="JT91"/>
      <c r="JU91"/>
      <c r="JV91"/>
      <c r="JW91"/>
      <c r="JX91"/>
      <c r="JY91"/>
      <c r="JZ91"/>
      <c r="KA91"/>
      <c r="KB91"/>
      <c r="KC91"/>
      <c r="KD91"/>
      <c r="KE91"/>
      <c r="KF91"/>
      <c r="KG91"/>
      <c r="KH91"/>
      <c r="KI91"/>
      <c r="KJ91"/>
      <c r="KK91"/>
      <c r="KL91"/>
      <c r="KM91"/>
      <c r="KN91"/>
      <c r="KO91"/>
      <c r="KP91"/>
      <c r="KQ91"/>
      <c r="KR91"/>
      <c r="KS91"/>
      <c r="KT91"/>
      <c r="KU91"/>
      <c r="KV91"/>
      <c r="KW91"/>
      <c r="KX91"/>
      <c r="KY91"/>
      <c r="KZ91"/>
      <c r="LA91"/>
      <c r="LB91"/>
      <c r="LC91"/>
      <c r="LD91"/>
      <c r="LE91"/>
      <c r="LF91"/>
      <c r="LG91"/>
      <c r="LH91"/>
      <c r="LI91"/>
      <c r="LJ91"/>
      <c r="LK91"/>
      <c r="LL91"/>
      <c r="LM91"/>
      <c r="LN91"/>
      <c r="LO91"/>
      <c r="LP91"/>
      <c r="LQ91"/>
      <c r="LR91"/>
      <c r="LS91"/>
      <c r="LT91"/>
      <c r="LU91"/>
      <c r="LV91"/>
      <c r="LW91"/>
      <c r="LX91"/>
      <c r="LY91"/>
      <c r="LZ91"/>
      <c r="MA91"/>
      <c r="MB91"/>
      <c r="MC91"/>
      <c r="MD91"/>
      <c r="ME91"/>
      <c r="MF91"/>
      <c r="MG91"/>
      <c r="MH91"/>
      <c r="MI91"/>
      <c r="MJ91"/>
      <c r="MK91"/>
      <c r="ML91"/>
      <c r="MM91"/>
      <c r="MN91"/>
      <c r="MO91"/>
      <c r="MP91"/>
      <c r="MQ91"/>
      <c r="MR91"/>
      <c r="MS91"/>
      <c r="MT91"/>
      <c r="MU91"/>
      <c r="MV91"/>
      <c r="MW91"/>
      <c r="MX91"/>
      <c r="MY91"/>
      <c r="MZ91"/>
      <c r="NA91"/>
      <c r="NB91"/>
      <c r="NC91"/>
      <c r="ND91"/>
      <c r="NE91"/>
      <c r="NF91"/>
      <c r="NG91"/>
      <c r="NH91"/>
      <c r="NI91"/>
      <c r="NJ91"/>
      <c r="NK91"/>
      <c r="NL91"/>
      <c r="NM91"/>
      <c r="NN91"/>
      <c r="NO91"/>
      <c r="NP91"/>
      <c r="NQ91"/>
      <c r="NR91"/>
      <c r="NS91"/>
      <c r="NT91"/>
      <c r="NU91"/>
      <c r="NV91"/>
      <c r="NW91"/>
      <c r="NX91"/>
      <c r="NY91"/>
      <c r="NZ91"/>
      <c r="OA91"/>
      <c r="OB91"/>
      <c r="OC91"/>
      <c r="OD91"/>
      <c r="OE91"/>
      <c r="OF91"/>
      <c r="OG91"/>
      <c r="OH91"/>
      <c r="OI91"/>
      <c r="OJ91"/>
      <c r="OK91"/>
      <c r="OL91"/>
      <c r="OM91"/>
      <c r="ON91"/>
      <c r="OO91"/>
      <c r="OP91"/>
      <c r="OQ91"/>
      <c r="OR91"/>
      <c r="OS91"/>
      <c r="OT91"/>
      <c r="OU91"/>
      <c r="OV91"/>
      <c r="OW91"/>
      <c r="OX91"/>
      <c r="OY91"/>
      <c r="OZ91"/>
      <c r="PA91"/>
      <c r="PB91"/>
      <c r="PC91"/>
      <c r="PD91"/>
      <c r="PE91"/>
      <c r="PF91"/>
      <c r="PG91"/>
      <c r="PH91"/>
      <c r="PI91"/>
      <c r="PJ91"/>
      <c r="PK91"/>
      <c r="PL91"/>
      <c r="PM91"/>
      <c r="PN91"/>
      <c r="PO91"/>
      <c r="PP91"/>
      <c r="PQ91"/>
      <c r="PR91"/>
      <c r="PS91"/>
      <c r="PT91"/>
      <c r="PU91"/>
      <c r="PV91"/>
      <c r="PW91"/>
      <c r="PX91"/>
      <c r="PY91"/>
      <c r="PZ91"/>
      <c r="QA91"/>
      <c r="QB91"/>
      <c r="QC91"/>
      <c r="QD91"/>
      <c r="QE91"/>
      <c r="QF91"/>
      <c r="QG91"/>
      <c r="QH91"/>
      <c r="QI91"/>
      <c r="QJ91"/>
      <c r="QK91"/>
      <c r="QL91"/>
      <c r="QM91"/>
      <c r="QN91"/>
      <c r="QO91"/>
      <c r="QP91"/>
      <c r="QQ91"/>
      <c r="QR91"/>
      <c r="QS91"/>
      <c r="QT91"/>
      <c r="QU91"/>
      <c r="QV91"/>
      <c r="QW91"/>
      <c r="QX91"/>
      <c r="QY91"/>
      <c r="QZ91"/>
      <c r="RA91"/>
      <c r="RB91"/>
      <c r="RC91"/>
      <c r="RD91"/>
      <c r="RE91"/>
      <c r="RF91"/>
      <c r="RG91"/>
      <c r="RH91"/>
      <c r="RI91"/>
      <c r="RJ91"/>
      <c r="RK91"/>
      <c r="RL91"/>
      <c r="RM91"/>
      <c r="RN91"/>
      <c r="RO91"/>
      <c r="RP91"/>
      <c r="RQ91"/>
      <c r="RR91"/>
      <c r="RS91"/>
    </row>
    <row r="92" spans="3:487" x14ac:dyDescent="0.25">
      <c r="C92" s="2" t="s">
        <v>294</v>
      </c>
      <c r="D92" s="34">
        <v>1</v>
      </c>
      <c r="F92" s="2" t="s">
        <v>221</v>
      </c>
      <c r="G92" s="34">
        <v>2</v>
      </c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  <c r="CN92"/>
      <c r="CO92"/>
      <c r="CP92"/>
      <c r="CQ92"/>
      <c r="CR92"/>
      <c r="CS92"/>
      <c r="CT92"/>
      <c r="CU92"/>
      <c r="CV92"/>
      <c r="CW92"/>
      <c r="CX92"/>
      <c r="CY92"/>
      <c r="CZ92"/>
      <c r="DA92"/>
      <c r="DB92"/>
      <c r="DC92"/>
      <c r="DD92"/>
      <c r="DE92"/>
      <c r="DF92"/>
      <c r="DG92"/>
      <c r="DH92"/>
      <c r="DI92"/>
      <c r="DJ92"/>
      <c r="DK92"/>
      <c r="DL92"/>
      <c r="DM92"/>
      <c r="DN92"/>
      <c r="DO92"/>
      <c r="DP92"/>
      <c r="DQ92"/>
      <c r="DR92"/>
      <c r="DS92"/>
      <c r="DT92"/>
      <c r="DU92"/>
      <c r="DV92"/>
      <c r="DW92"/>
      <c r="DX92"/>
      <c r="DY92"/>
      <c r="DZ92"/>
      <c r="EA92"/>
      <c r="EB92"/>
      <c r="EC92"/>
      <c r="ED92"/>
      <c r="EE92"/>
      <c r="EF92"/>
      <c r="EG92"/>
      <c r="EH92"/>
      <c r="EI92"/>
      <c r="EJ92"/>
      <c r="EK92"/>
      <c r="EL92"/>
      <c r="EM92"/>
      <c r="EN92"/>
      <c r="EO92"/>
      <c r="EP92"/>
      <c r="EQ92"/>
      <c r="ER92"/>
      <c r="ES92"/>
      <c r="ET92"/>
      <c r="EU92"/>
      <c r="EV92"/>
      <c r="EW92"/>
      <c r="EX92"/>
      <c r="EY92"/>
      <c r="EZ92"/>
      <c r="FA92"/>
      <c r="FB92"/>
      <c r="FC92"/>
      <c r="FD92"/>
      <c r="FE92"/>
      <c r="FF92"/>
      <c r="FG92"/>
      <c r="FH92"/>
      <c r="FI92"/>
      <c r="FJ92"/>
      <c r="FK92"/>
      <c r="FL92"/>
      <c r="FM92"/>
      <c r="FN92"/>
      <c r="FO92"/>
      <c r="FP92"/>
      <c r="FQ92"/>
      <c r="FR92"/>
      <c r="FS92"/>
      <c r="FT92"/>
      <c r="FU92"/>
      <c r="FV92"/>
      <c r="FW92"/>
      <c r="FX92"/>
      <c r="FY92"/>
      <c r="FZ92"/>
      <c r="GA92"/>
      <c r="GB92"/>
      <c r="GC92"/>
      <c r="GD92"/>
      <c r="GE92"/>
      <c r="GF92"/>
      <c r="GG92"/>
      <c r="GH92"/>
      <c r="GI92"/>
      <c r="GJ92"/>
      <c r="GK92"/>
      <c r="GL92"/>
      <c r="GM92"/>
      <c r="GN92"/>
      <c r="GO92"/>
      <c r="GP92"/>
      <c r="GQ92"/>
      <c r="GR92"/>
      <c r="GS92"/>
      <c r="GT92"/>
      <c r="GU92"/>
      <c r="GV92"/>
      <c r="GW92"/>
      <c r="GX92"/>
      <c r="GY92"/>
      <c r="GZ92"/>
      <c r="HA92"/>
      <c r="HB92"/>
      <c r="HC92"/>
      <c r="HD92"/>
      <c r="HE92"/>
      <c r="HF92"/>
      <c r="HG92"/>
      <c r="HH92"/>
      <c r="HI92"/>
      <c r="HJ92"/>
      <c r="HK92"/>
      <c r="HL92"/>
      <c r="HM92"/>
      <c r="HN92"/>
      <c r="HO92"/>
      <c r="HP92"/>
      <c r="HQ92"/>
      <c r="HR92"/>
      <c r="HS92"/>
      <c r="HT92"/>
      <c r="HU92"/>
      <c r="HV92"/>
      <c r="HW92"/>
      <c r="HX92"/>
      <c r="HY92"/>
      <c r="HZ92"/>
      <c r="IA92"/>
      <c r="IB92"/>
      <c r="IC92"/>
      <c r="ID92"/>
      <c r="IE92"/>
      <c r="IF92"/>
      <c r="IG92"/>
      <c r="IH92"/>
      <c r="II92"/>
      <c r="IJ92"/>
      <c r="IK92"/>
      <c r="IL92"/>
      <c r="IM92"/>
      <c r="IN92"/>
      <c r="IO92"/>
      <c r="IP92"/>
      <c r="IQ92"/>
      <c r="IR92"/>
      <c r="IS92"/>
      <c r="IT92"/>
      <c r="IU92"/>
      <c r="IV92"/>
      <c r="IW92"/>
      <c r="IX92"/>
      <c r="IY92"/>
      <c r="IZ92"/>
      <c r="JA92"/>
      <c r="JB92"/>
      <c r="JC92"/>
      <c r="JD92"/>
      <c r="JE92"/>
      <c r="JF92"/>
      <c r="JG92"/>
      <c r="JH92"/>
      <c r="JI92"/>
      <c r="JJ92"/>
      <c r="JK92"/>
      <c r="JL92"/>
      <c r="JM92"/>
      <c r="JN92"/>
      <c r="JO92"/>
      <c r="JP92"/>
      <c r="JQ92"/>
      <c r="JR92"/>
      <c r="JS92"/>
      <c r="JT92"/>
      <c r="JU92"/>
      <c r="JV92"/>
      <c r="JW92"/>
      <c r="JX92"/>
      <c r="JY92"/>
      <c r="JZ92"/>
      <c r="KA92"/>
      <c r="KB92"/>
      <c r="KC92"/>
      <c r="KD92"/>
      <c r="KE92"/>
      <c r="KF92"/>
      <c r="KG92"/>
      <c r="KH92"/>
      <c r="KI92"/>
      <c r="KJ92"/>
      <c r="KK92"/>
      <c r="KL92"/>
      <c r="KM92"/>
      <c r="KN92"/>
      <c r="KO92"/>
      <c r="KP92"/>
      <c r="KQ92"/>
      <c r="KR92"/>
      <c r="KS92"/>
      <c r="KT92"/>
      <c r="KU92"/>
      <c r="KV92"/>
      <c r="KW92"/>
      <c r="KX92"/>
      <c r="KY92"/>
      <c r="KZ92"/>
      <c r="LA92"/>
      <c r="LB92"/>
      <c r="LC92"/>
      <c r="LD92"/>
      <c r="LE92"/>
      <c r="LF92"/>
      <c r="LG92"/>
      <c r="LH92"/>
      <c r="LI92"/>
      <c r="LJ92"/>
      <c r="LK92"/>
      <c r="LL92"/>
      <c r="LM92"/>
      <c r="LN92"/>
      <c r="LO92"/>
      <c r="LP92"/>
      <c r="LQ92"/>
      <c r="LR92"/>
      <c r="LS92"/>
      <c r="LT92"/>
      <c r="LU92"/>
      <c r="LV92"/>
      <c r="LW92"/>
      <c r="LX92"/>
      <c r="LY92"/>
      <c r="LZ92"/>
      <c r="MA92"/>
      <c r="MB92"/>
      <c r="MC92"/>
      <c r="MD92"/>
      <c r="ME92"/>
      <c r="MF92"/>
      <c r="MG92"/>
      <c r="MH92"/>
      <c r="MI92"/>
      <c r="MJ92"/>
      <c r="MK92"/>
      <c r="ML92"/>
      <c r="MM92"/>
      <c r="MN92"/>
      <c r="MO92"/>
      <c r="MP92"/>
      <c r="MQ92"/>
      <c r="MR92"/>
      <c r="MS92"/>
      <c r="MT92"/>
      <c r="MU92"/>
      <c r="MV92"/>
      <c r="MW92"/>
      <c r="MX92"/>
      <c r="MY92"/>
      <c r="MZ92"/>
      <c r="NA92"/>
      <c r="NB92"/>
      <c r="NC92"/>
      <c r="ND92"/>
      <c r="NE92"/>
      <c r="NF92"/>
      <c r="NG92"/>
      <c r="NH92"/>
      <c r="NI92"/>
      <c r="NJ92"/>
      <c r="NK92"/>
      <c r="NL92"/>
      <c r="NM92"/>
      <c r="NN92"/>
      <c r="NO92"/>
      <c r="NP92"/>
      <c r="NQ92"/>
      <c r="NR92"/>
      <c r="NS92"/>
      <c r="NT92"/>
      <c r="NU92"/>
      <c r="NV92"/>
      <c r="NW92"/>
      <c r="NX92"/>
      <c r="NY92"/>
      <c r="NZ92"/>
      <c r="OA92"/>
      <c r="OB92"/>
      <c r="OC92"/>
      <c r="OD92"/>
      <c r="OE92"/>
      <c r="OF92"/>
      <c r="OG92"/>
      <c r="OH92"/>
      <c r="OI92"/>
      <c r="OJ92"/>
      <c r="OK92"/>
      <c r="OL92"/>
      <c r="OM92"/>
      <c r="ON92"/>
      <c r="OO92"/>
      <c r="OP92"/>
      <c r="OQ92"/>
      <c r="OR92"/>
      <c r="OS92"/>
      <c r="OT92"/>
      <c r="OU92"/>
      <c r="OV92"/>
      <c r="OW92"/>
      <c r="OX92"/>
      <c r="OY92"/>
      <c r="OZ92"/>
      <c r="PA92"/>
      <c r="PB92"/>
      <c r="PC92"/>
      <c r="PD92"/>
      <c r="PE92"/>
      <c r="PF92"/>
      <c r="PG92"/>
      <c r="PH92"/>
      <c r="PI92"/>
      <c r="PJ92"/>
      <c r="PK92"/>
      <c r="PL92"/>
      <c r="PM92"/>
      <c r="PN92"/>
      <c r="PO92"/>
      <c r="PP92"/>
      <c r="PQ92"/>
      <c r="PR92"/>
      <c r="PS92"/>
      <c r="PT92"/>
      <c r="PU92"/>
      <c r="PV92"/>
      <c r="PW92"/>
      <c r="PX92"/>
      <c r="PY92"/>
      <c r="PZ92"/>
      <c r="QA92"/>
      <c r="QB92"/>
      <c r="QC92"/>
      <c r="QD92"/>
      <c r="QE92"/>
      <c r="QF92"/>
      <c r="QG92"/>
      <c r="QH92"/>
      <c r="QI92"/>
      <c r="QJ92"/>
      <c r="QK92"/>
      <c r="QL92"/>
      <c r="QM92"/>
      <c r="QN92"/>
      <c r="QO92"/>
      <c r="QP92"/>
      <c r="QQ92"/>
      <c r="QR92"/>
      <c r="QS92"/>
      <c r="QT92"/>
      <c r="QU92"/>
      <c r="QV92"/>
      <c r="QW92"/>
      <c r="QX92"/>
      <c r="QY92"/>
      <c r="QZ92"/>
      <c r="RA92"/>
      <c r="RB92"/>
      <c r="RC92"/>
      <c r="RD92"/>
      <c r="RE92"/>
      <c r="RF92"/>
      <c r="RG92"/>
      <c r="RH92"/>
      <c r="RI92"/>
      <c r="RJ92"/>
      <c r="RK92"/>
      <c r="RL92"/>
      <c r="RM92"/>
      <c r="RN92"/>
      <c r="RO92"/>
      <c r="RP92"/>
      <c r="RQ92"/>
      <c r="RR92"/>
      <c r="RS92"/>
    </row>
    <row r="93" spans="3:487" x14ac:dyDescent="0.25">
      <c r="C93" s="2" t="s">
        <v>155</v>
      </c>
      <c r="D93" s="34">
        <v>1</v>
      </c>
      <c r="F93" s="2" t="s">
        <v>106</v>
      </c>
      <c r="G93" s="34">
        <v>2</v>
      </c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  <c r="CN93"/>
      <c r="CO93"/>
      <c r="CP93"/>
      <c r="CQ93"/>
      <c r="CR93"/>
      <c r="CS93"/>
      <c r="CT93"/>
      <c r="CU93"/>
      <c r="CV93"/>
      <c r="CW93"/>
      <c r="CX93"/>
      <c r="CY93"/>
      <c r="CZ93"/>
      <c r="DA93"/>
      <c r="DB93"/>
      <c r="DC93"/>
      <c r="DD93"/>
      <c r="DE93"/>
      <c r="DF93"/>
      <c r="DG93"/>
      <c r="DH93"/>
      <c r="DI93"/>
      <c r="DJ93"/>
      <c r="DK93"/>
      <c r="DL93"/>
      <c r="DM93"/>
      <c r="DN93"/>
      <c r="DO93"/>
      <c r="DP93"/>
      <c r="DQ93"/>
      <c r="DR93"/>
      <c r="DS93"/>
      <c r="DT93"/>
      <c r="DU93"/>
      <c r="DV93"/>
      <c r="DW93"/>
      <c r="DX93"/>
      <c r="DY93"/>
      <c r="DZ93"/>
      <c r="EA93"/>
      <c r="EB93"/>
      <c r="EC93"/>
      <c r="ED93"/>
      <c r="EE93"/>
      <c r="EF93"/>
      <c r="EG93"/>
      <c r="EH93"/>
      <c r="EI93"/>
      <c r="EJ93"/>
      <c r="EK93"/>
      <c r="EL93"/>
      <c r="EM93"/>
      <c r="EN93"/>
      <c r="EO93"/>
      <c r="EP93"/>
      <c r="EQ93"/>
      <c r="ER93"/>
      <c r="ES93"/>
      <c r="ET93"/>
      <c r="EU93"/>
      <c r="EV93"/>
      <c r="EW93"/>
      <c r="EX93"/>
      <c r="EY93"/>
      <c r="EZ93"/>
      <c r="FA93"/>
      <c r="FB93"/>
      <c r="FC93"/>
      <c r="FD93"/>
      <c r="FE93"/>
      <c r="FF93"/>
      <c r="FG93"/>
      <c r="FH93"/>
      <c r="FI93"/>
      <c r="FJ93"/>
      <c r="FK93"/>
      <c r="FL93"/>
      <c r="FM93"/>
      <c r="FN93"/>
      <c r="FO93"/>
      <c r="FP93"/>
      <c r="FQ93"/>
      <c r="FR93"/>
      <c r="FS93"/>
      <c r="FT93"/>
      <c r="FU93"/>
      <c r="FV93"/>
      <c r="FW93"/>
      <c r="FX93"/>
      <c r="FY93"/>
      <c r="FZ93"/>
      <c r="GA93"/>
      <c r="GB93"/>
      <c r="GC93"/>
      <c r="GD93"/>
      <c r="GE93"/>
      <c r="GF93"/>
      <c r="GG93"/>
      <c r="GH93"/>
      <c r="GI93"/>
      <c r="GJ93"/>
      <c r="GK93"/>
      <c r="GL93"/>
      <c r="GM93"/>
      <c r="GN93"/>
      <c r="GO93"/>
      <c r="GP93"/>
      <c r="GQ93"/>
      <c r="GR93"/>
      <c r="GS93"/>
      <c r="GT93"/>
      <c r="GU93"/>
      <c r="GV93"/>
      <c r="GW93"/>
      <c r="GX93"/>
      <c r="GY93"/>
      <c r="GZ93"/>
      <c r="HA93"/>
      <c r="HB93"/>
      <c r="HC93"/>
      <c r="HD93"/>
      <c r="HE93"/>
      <c r="HF93"/>
      <c r="HG93"/>
      <c r="HH93"/>
      <c r="HI93"/>
      <c r="HJ93"/>
      <c r="HK93"/>
      <c r="HL93"/>
      <c r="HM93"/>
      <c r="HN93"/>
      <c r="HO93"/>
      <c r="HP93"/>
      <c r="HQ93"/>
      <c r="HR93"/>
      <c r="HS93"/>
      <c r="HT93"/>
      <c r="HU93"/>
      <c r="HV93"/>
      <c r="HW93"/>
      <c r="HX93"/>
      <c r="HY93"/>
      <c r="HZ93"/>
      <c r="IA93"/>
      <c r="IB93"/>
      <c r="IC93"/>
      <c r="ID93"/>
      <c r="IE93"/>
      <c r="IF93"/>
      <c r="IG93"/>
      <c r="IH93"/>
      <c r="II93"/>
      <c r="IJ93"/>
      <c r="IK93"/>
      <c r="IL93"/>
      <c r="IM93"/>
      <c r="IN93"/>
      <c r="IO93"/>
      <c r="IP93"/>
      <c r="IQ93"/>
      <c r="IR93"/>
      <c r="IS93"/>
      <c r="IT93"/>
      <c r="IU93"/>
      <c r="IV93"/>
      <c r="IW93"/>
      <c r="IX93"/>
      <c r="IY93"/>
      <c r="IZ93"/>
      <c r="JA93"/>
      <c r="JB93"/>
      <c r="JC93"/>
      <c r="JD93"/>
      <c r="JE93"/>
      <c r="JF93"/>
      <c r="JG93"/>
      <c r="JH93"/>
      <c r="JI93"/>
      <c r="JJ93"/>
      <c r="JK93"/>
      <c r="JL93"/>
      <c r="JM93"/>
      <c r="JN93"/>
      <c r="JO93"/>
      <c r="JP93"/>
      <c r="JQ93"/>
      <c r="JR93"/>
      <c r="JS93"/>
      <c r="JT93"/>
      <c r="JU93"/>
      <c r="JV93"/>
      <c r="JW93"/>
      <c r="JX93"/>
      <c r="JY93"/>
      <c r="JZ93"/>
      <c r="KA93"/>
      <c r="KB93"/>
      <c r="KC93"/>
      <c r="KD93"/>
      <c r="KE93"/>
      <c r="KF93"/>
      <c r="KG93"/>
      <c r="KH93"/>
      <c r="KI93"/>
      <c r="KJ93"/>
      <c r="KK93"/>
      <c r="KL93"/>
      <c r="KM93"/>
      <c r="KN93"/>
      <c r="KO93"/>
      <c r="KP93"/>
      <c r="KQ93"/>
      <c r="KR93"/>
      <c r="KS93"/>
      <c r="KT93"/>
      <c r="KU93"/>
      <c r="KV93"/>
      <c r="KW93"/>
      <c r="KX93"/>
      <c r="KY93"/>
      <c r="KZ93"/>
      <c r="LA93"/>
      <c r="LB93"/>
      <c r="LC93"/>
      <c r="LD93"/>
      <c r="LE93"/>
      <c r="LF93"/>
      <c r="LG93"/>
      <c r="LH93"/>
      <c r="LI93"/>
      <c r="LJ93"/>
      <c r="LK93"/>
      <c r="LL93"/>
      <c r="LM93"/>
      <c r="LN93"/>
      <c r="LO93"/>
      <c r="LP93"/>
      <c r="LQ93"/>
      <c r="LR93"/>
      <c r="LS93"/>
      <c r="LT93"/>
      <c r="LU93"/>
      <c r="LV93"/>
      <c r="LW93"/>
      <c r="LX93"/>
      <c r="LY93"/>
      <c r="LZ93"/>
      <c r="MA93"/>
      <c r="MB93"/>
      <c r="MC93"/>
      <c r="MD93"/>
      <c r="ME93"/>
      <c r="MF93"/>
      <c r="MG93"/>
      <c r="MH93"/>
      <c r="MI93"/>
      <c r="MJ93"/>
      <c r="MK93"/>
      <c r="ML93"/>
      <c r="MM93"/>
      <c r="MN93"/>
      <c r="MO93"/>
      <c r="MP93"/>
      <c r="MQ93"/>
      <c r="MR93"/>
      <c r="MS93"/>
      <c r="MT93"/>
      <c r="MU93"/>
      <c r="MV93"/>
      <c r="MW93"/>
      <c r="MX93"/>
      <c r="MY93"/>
      <c r="MZ93"/>
      <c r="NA93"/>
      <c r="NB93"/>
      <c r="NC93"/>
      <c r="ND93"/>
      <c r="NE93"/>
      <c r="NF93"/>
      <c r="NG93"/>
      <c r="NH93"/>
      <c r="NI93"/>
      <c r="NJ93"/>
      <c r="NK93"/>
      <c r="NL93"/>
      <c r="NM93"/>
      <c r="NN93"/>
      <c r="NO93"/>
      <c r="NP93"/>
      <c r="NQ93"/>
      <c r="NR93"/>
      <c r="NS93"/>
      <c r="NT93"/>
      <c r="NU93"/>
      <c r="NV93"/>
      <c r="NW93"/>
      <c r="NX93"/>
      <c r="NY93"/>
      <c r="NZ93"/>
      <c r="OA93"/>
      <c r="OB93"/>
      <c r="OC93"/>
      <c r="OD93"/>
      <c r="OE93"/>
      <c r="OF93"/>
      <c r="OG93"/>
      <c r="OH93"/>
      <c r="OI93"/>
      <c r="OJ93"/>
      <c r="OK93"/>
      <c r="OL93"/>
      <c r="OM93"/>
      <c r="ON93"/>
      <c r="OO93"/>
      <c r="OP93"/>
      <c r="OQ93"/>
      <c r="OR93"/>
      <c r="OS93"/>
      <c r="OT93"/>
      <c r="OU93"/>
      <c r="OV93"/>
      <c r="OW93"/>
      <c r="OX93"/>
      <c r="OY93"/>
      <c r="OZ93"/>
      <c r="PA93"/>
      <c r="PB93"/>
      <c r="PC93"/>
      <c r="PD93"/>
      <c r="PE93"/>
      <c r="PF93"/>
      <c r="PG93"/>
      <c r="PH93"/>
      <c r="PI93"/>
      <c r="PJ93"/>
      <c r="PK93"/>
      <c r="PL93"/>
      <c r="PM93"/>
      <c r="PN93"/>
      <c r="PO93"/>
      <c r="PP93"/>
      <c r="PQ93"/>
      <c r="PR93"/>
      <c r="PS93"/>
      <c r="PT93"/>
      <c r="PU93"/>
      <c r="PV93"/>
      <c r="PW93"/>
      <c r="PX93"/>
      <c r="PY93"/>
      <c r="PZ93"/>
      <c r="QA93"/>
      <c r="QB93"/>
      <c r="QC93"/>
      <c r="QD93"/>
      <c r="QE93"/>
      <c r="QF93"/>
      <c r="QG93"/>
      <c r="QH93"/>
      <c r="QI93"/>
      <c r="QJ93"/>
      <c r="QK93"/>
      <c r="QL93"/>
      <c r="QM93"/>
      <c r="QN93"/>
      <c r="QO93"/>
      <c r="QP93"/>
      <c r="QQ93"/>
      <c r="QR93"/>
      <c r="QS93"/>
      <c r="QT93"/>
      <c r="QU93"/>
      <c r="QV93"/>
      <c r="QW93"/>
      <c r="QX93"/>
      <c r="QY93"/>
      <c r="QZ93"/>
      <c r="RA93"/>
      <c r="RB93"/>
      <c r="RC93"/>
      <c r="RD93"/>
      <c r="RE93"/>
      <c r="RF93"/>
      <c r="RG93"/>
      <c r="RH93"/>
      <c r="RI93"/>
      <c r="RJ93"/>
      <c r="RK93"/>
      <c r="RL93"/>
      <c r="RM93"/>
      <c r="RN93"/>
      <c r="RO93"/>
      <c r="RP93"/>
      <c r="RQ93"/>
      <c r="RR93"/>
      <c r="RS93"/>
    </row>
    <row r="94" spans="3:487" x14ac:dyDescent="0.25">
      <c r="C94" s="2" t="s">
        <v>304</v>
      </c>
      <c r="D94" s="34">
        <v>1</v>
      </c>
      <c r="F94" s="2" t="s">
        <v>559</v>
      </c>
      <c r="G94" s="34">
        <v>2</v>
      </c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  <c r="CN94"/>
      <c r="CO94"/>
      <c r="CP94"/>
      <c r="CQ94"/>
      <c r="CR94"/>
      <c r="CS94"/>
      <c r="CT94"/>
      <c r="CU94"/>
      <c r="CV94"/>
      <c r="CW94"/>
      <c r="CX94"/>
      <c r="CY94"/>
      <c r="CZ94"/>
      <c r="DA94"/>
      <c r="DB94"/>
      <c r="DC94"/>
      <c r="DD94"/>
      <c r="DE94"/>
      <c r="DF94"/>
      <c r="DG94"/>
      <c r="DH94"/>
      <c r="DI94"/>
      <c r="DJ94"/>
      <c r="DK94"/>
      <c r="DL94"/>
      <c r="DM94"/>
      <c r="DN94"/>
      <c r="DO94"/>
      <c r="DP94"/>
      <c r="DQ94"/>
      <c r="DR94"/>
      <c r="DS94"/>
      <c r="DT94"/>
      <c r="DU94"/>
      <c r="DV94"/>
      <c r="DW94"/>
      <c r="DX94"/>
      <c r="DY94"/>
      <c r="DZ94"/>
      <c r="EA94"/>
      <c r="EB94"/>
      <c r="EC94"/>
      <c r="ED94"/>
      <c r="EE94"/>
      <c r="EF94"/>
      <c r="EG94"/>
      <c r="EH94"/>
      <c r="EI94"/>
      <c r="EJ94"/>
      <c r="EK94"/>
      <c r="EL94"/>
      <c r="EM94"/>
      <c r="EN94"/>
      <c r="EO94"/>
      <c r="EP94"/>
      <c r="EQ94"/>
      <c r="ER94"/>
      <c r="ES94"/>
      <c r="ET94"/>
      <c r="EU94"/>
      <c r="EV94"/>
      <c r="EW94"/>
      <c r="EX94"/>
      <c r="EY94"/>
      <c r="EZ94"/>
      <c r="FA94"/>
      <c r="FB94"/>
      <c r="FC94"/>
      <c r="FD94"/>
      <c r="FE94"/>
      <c r="FF94"/>
      <c r="FG94"/>
      <c r="FH94"/>
      <c r="FI94"/>
      <c r="FJ94"/>
      <c r="FK94"/>
      <c r="FL94"/>
      <c r="FM94"/>
      <c r="FN94"/>
      <c r="FO94"/>
      <c r="FP94"/>
      <c r="FQ94"/>
      <c r="FR94"/>
      <c r="FS94"/>
      <c r="FT94"/>
      <c r="FU94"/>
      <c r="FV94"/>
      <c r="FW94"/>
      <c r="FX94"/>
      <c r="FY94"/>
      <c r="FZ94"/>
      <c r="GA94"/>
      <c r="GB94"/>
      <c r="GC94"/>
      <c r="GD94"/>
      <c r="GE94"/>
      <c r="GF94"/>
      <c r="GG94"/>
      <c r="GH94"/>
      <c r="GI94"/>
      <c r="GJ94"/>
      <c r="GK94"/>
      <c r="GL94"/>
      <c r="GM94"/>
      <c r="GN94"/>
      <c r="GO94"/>
      <c r="GP94"/>
      <c r="GQ94"/>
      <c r="GR94"/>
      <c r="GS94"/>
      <c r="GT94"/>
      <c r="GU94"/>
      <c r="GV94"/>
      <c r="GW94"/>
      <c r="GX94"/>
      <c r="GY94"/>
      <c r="GZ94"/>
      <c r="HA94"/>
      <c r="HB94"/>
      <c r="HC94"/>
      <c r="HD94"/>
      <c r="HE94"/>
      <c r="HF94"/>
      <c r="HG94"/>
      <c r="HH94"/>
      <c r="HI94"/>
      <c r="HJ94"/>
      <c r="HK94"/>
      <c r="HL94"/>
      <c r="HM94"/>
      <c r="HN94"/>
      <c r="HO94"/>
      <c r="HP94"/>
      <c r="HQ94"/>
      <c r="HR94"/>
      <c r="HS94"/>
      <c r="HT94"/>
      <c r="HU94"/>
      <c r="HV94"/>
      <c r="HW94"/>
      <c r="HX94"/>
      <c r="HY94"/>
      <c r="HZ94"/>
      <c r="IA94"/>
      <c r="IB94"/>
      <c r="IC94"/>
      <c r="ID94"/>
      <c r="IE94"/>
      <c r="IF94"/>
      <c r="IG94"/>
      <c r="IH94"/>
      <c r="II94"/>
      <c r="IJ94"/>
      <c r="IK94"/>
      <c r="IL94"/>
      <c r="IM94"/>
      <c r="IN94"/>
      <c r="IO94"/>
      <c r="IP94"/>
      <c r="IQ94"/>
      <c r="IR94"/>
      <c r="IS94"/>
      <c r="IT94"/>
      <c r="IU94"/>
      <c r="IV94"/>
      <c r="IW94"/>
      <c r="IX94"/>
      <c r="IY94"/>
      <c r="IZ94"/>
      <c r="JA94"/>
      <c r="JB94"/>
      <c r="JC94"/>
      <c r="JD94"/>
      <c r="JE94"/>
      <c r="JF94"/>
      <c r="JG94"/>
      <c r="JH94"/>
      <c r="JI94"/>
      <c r="JJ94"/>
      <c r="JK94"/>
      <c r="JL94"/>
      <c r="JM94"/>
      <c r="JN94"/>
      <c r="JO94"/>
      <c r="JP94"/>
      <c r="JQ94"/>
      <c r="JR94"/>
      <c r="JS94"/>
      <c r="JT94"/>
      <c r="JU94"/>
      <c r="JV94"/>
      <c r="JW94"/>
      <c r="JX94"/>
      <c r="JY94"/>
      <c r="JZ94"/>
      <c r="KA94"/>
      <c r="KB94"/>
      <c r="KC94"/>
      <c r="KD94"/>
      <c r="KE94"/>
      <c r="KF94"/>
      <c r="KG94"/>
      <c r="KH94"/>
      <c r="KI94"/>
      <c r="KJ94"/>
      <c r="KK94"/>
      <c r="KL94"/>
      <c r="KM94"/>
      <c r="KN94"/>
      <c r="KO94"/>
      <c r="KP94"/>
      <c r="KQ94"/>
      <c r="KR94"/>
      <c r="KS94"/>
      <c r="KT94"/>
      <c r="KU94"/>
      <c r="KV94"/>
      <c r="KW94"/>
      <c r="KX94"/>
      <c r="KY94"/>
      <c r="KZ94"/>
      <c r="LA94"/>
      <c r="LB94"/>
      <c r="LC94"/>
      <c r="LD94"/>
      <c r="LE94"/>
      <c r="LF94"/>
      <c r="LG94"/>
      <c r="LH94"/>
      <c r="LI94"/>
      <c r="LJ94"/>
      <c r="LK94"/>
      <c r="LL94"/>
      <c r="LM94"/>
      <c r="LN94"/>
      <c r="LO94"/>
      <c r="LP94"/>
      <c r="LQ94"/>
      <c r="LR94"/>
      <c r="LS94"/>
      <c r="LT94"/>
      <c r="LU94"/>
      <c r="LV94"/>
      <c r="LW94"/>
      <c r="LX94"/>
      <c r="LY94"/>
      <c r="LZ94"/>
      <c r="MA94"/>
      <c r="MB94"/>
      <c r="MC94"/>
      <c r="MD94"/>
      <c r="ME94"/>
      <c r="MF94"/>
      <c r="MG94"/>
      <c r="MH94"/>
      <c r="MI94"/>
      <c r="MJ94"/>
      <c r="MK94"/>
      <c r="ML94"/>
      <c r="MM94"/>
      <c r="MN94"/>
      <c r="MO94"/>
      <c r="MP94"/>
      <c r="MQ94"/>
      <c r="MR94"/>
      <c r="MS94"/>
      <c r="MT94"/>
      <c r="MU94"/>
      <c r="MV94"/>
      <c r="MW94"/>
      <c r="MX94"/>
      <c r="MY94"/>
      <c r="MZ94"/>
      <c r="NA94"/>
      <c r="NB94"/>
      <c r="NC94"/>
      <c r="ND94"/>
      <c r="NE94"/>
      <c r="NF94"/>
      <c r="NG94"/>
      <c r="NH94"/>
      <c r="NI94"/>
      <c r="NJ94"/>
      <c r="NK94"/>
      <c r="NL94"/>
      <c r="NM94"/>
      <c r="NN94"/>
      <c r="NO94"/>
      <c r="NP94"/>
      <c r="NQ94"/>
      <c r="NR94"/>
      <c r="NS94"/>
      <c r="NT94"/>
      <c r="NU94"/>
      <c r="NV94"/>
      <c r="NW94"/>
      <c r="NX94"/>
      <c r="NY94"/>
      <c r="NZ94"/>
      <c r="OA94"/>
      <c r="OB94"/>
      <c r="OC94"/>
      <c r="OD94"/>
      <c r="OE94"/>
      <c r="OF94"/>
      <c r="OG94"/>
      <c r="OH94"/>
      <c r="OI94"/>
      <c r="OJ94"/>
      <c r="OK94"/>
      <c r="OL94"/>
      <c r="OM94"/>
      <c r="ON94"/>
      <c r="OO94"/>
      <c r="OP94"/>
      <c r="OQ94"/>
      <c r="OR94"/>
      <c r="OS94"/>
      <c r="OT94"/>
      <c r="OU94"/>
      <c r="OV94"/>
      <c r="OW94"/>
      <c r="OX94"/>
      <c r="OY94"/>
      <c r="OZ94"/>
      <c r="PA94"/>
      <c r="PB94"/>
      <c r="PC94"/>
      <c r="PD94"/>
      <c r="PE94"/>
      <c r="PF94"/>
      <c r="PG94"/>
      <c r="PH94"/>
      <c r="PI94"/>
      <c r="PJ94"/>
      <c r="PK94"/>
      <c r="PL94"/>
      <c r="PM94"/>
      <c r="PN94"/>
      <c r="PO94"/>
      <c r="PP94"/>
      <c r="PQ94"/>
      <c r="PR94"/>
      <c r="PS94"/>
      <c r="PT94"/>
      <c r="PU94"/>
      <c r="PV94"/>
      <c r="PW94"/>
      <c r="PX94"/>
      <c r="PY94"/>
      <c r="PZ94"/>
      <c r="QA94"/>
      <c r="QB94"/>
      <c r="QC94"/>
      <c r="QD94"/>
      <c r="QE94"/>
      <c r="QF94"/>
      <c r="QG94"/>
      <c r="QH94"/>
      <c r="QI94"/>
      <c r="QJ94"/>
      <c r="QK94"/>
      <c r="QL94"/>
      <c r="QM94"/>
      <c r="QN94"/>
      <c r="QO94"/>
      <c r="QP94"/>
      <c r="QQ94"/>
      <c r="QR94"/>
      <c r="QS94"/>
      <c r="QT94"/>
      <c r="QU94"/>
      <c r="QV94"/>
      <c r="QW94"/>
      <c r="QX94"/>
      <c r="QY94"/>
      <c r="QZ94"/>
      <c r="RA94"/>
      <c r="RB94"/>
      <c r="RC94"/>
      <c r="RD94"/>
      <c r="RE94"/>
      <c r="RF94"/>
      <c r="RG94"/>
      <c r="RH94"/>
      <c r="RI94"/>
      <c r="RJ94"/>
      <c r="RK94"/>
      <c r="RL94"/>
      <c r="RM94"/>
      <c r="RN94"/>
      <c r="RO94"/>
      <c r="RP94"/>
      <c r="RQ94"/>
      <c r="RR94"/>
      <c r="RS94"/>
    </row>
    <row r="95" spans="3:487" x14ac:dyDescent="0.25">
      <c r="C95" s="2" t="s">
        <v>291</v>
      </c>
      <c r="D95" s="34">
        <v>1</v>
      </c>
      <c r="F95" s="2" t="s">
        <v>3489</v>
      </c>
      <c r="G95" s="34">
        <v>2</v>
      </c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  <c r="CN95"/>
      <c r="CO95"/>
      <c r="CP95"/>
      <c r="CQ95"/>
      <c r="CR95"/>
      <c r="CS95"/>
      <c r="CT95"/>
      <c r="CU95"/>
      <c r="CV95"/>
      <c r="CW95"/>
      <c r="CX95"/>
      <c r="CY95"/>
      <c r="CZ95"/>
      <c r="DA95"/>
      <c r="DB95"/>
      <c r="DC95"/>
      <c r="DD95"/>
      <c r="DE95"/>
      <c r="DF95"/>
      <c r="DG95"/>
      <c r="DH95"/>
      <c r="DI95"/>
      <c r="DJ95"/>
      <c r="DK95"/>
      <c r="DL95"/>
      <c r="DM95"/>
      <c r="DN95"/>
      <c r="DO95"/>
      <c r="DP95"/>
      <c r="DQ95"/>
      <c r="DR95"/>
      <c r="DS95"/>
      <c r="DT95"/>
      <c r="DU95"/>
      <c r="DV95"/>
      <c r="DW95"/>
      <c r="DX95"/>
      <c r="DY95"/>
      <c r="DZ95"/>
      <c r="EA95"/>
      <c r="EB95"/>
      <c r="EC95"/>
      <c r="ED95"/>
      <c r="EE95"/>
      <c r="EF95"/>
      <c r="EG95"/>
      <c r="EH95"/>
      <c r="EI95"/>
      <c r="EJ95"/>
      <c r="EK95"/>
      <c r="EL95"/>
      <c r="EM95"/>
      <c r="EN95"/>
      <c r="EO95"/>
      <c r="EP95"/>
      <c r="EQ95"/>
      <c r="ER95"/>
      <c r="ES95"/>
      <c r="ET95"/>
      <c r="EU95"/>
      <c r="EV95"/>
      <c r="EW95"/>
      <c r="EX95"/>
      <c r="EY95"/>
      <c r="EZ95"/>
      <c r="FA95"/>
      <c r="FB95"/>
      <c r="FC95"/>
      <c r="FD95"/>
      <c r="FE95"/>
      <c r="FF95"/>
      <c r="FG95"/>
      <c r="FH95"/>
      <c r="FI95"/>
      <c r="FJ95"/>
      <c r="FK95"/>
      <c r="FL95"/>
      <c r="FM95"/>
      <c r="FN95"/>
      <c r="FO95"/>
      <c r="FP95"/>
      <c r="FQ95"/>
      <c r="FR95"/>
      <c r="FS95"/>
      <c r="FT95"/>
      <c r="FU95"/>
      <c r="FV95"/>
      <c r="FW95"/>
      <c r="FX95"/>
      <c r="FY95"/>
      <c r="FZ95"/>
      <c r="GA95"/>
      <c r="GB95"/>
      <c r="GC95"/>
      <c r="GD95"/>
      <c r="GE95"/>
      <c r="GF95"/>
      <c r="GG95"/>
      <c r="GH95"/>
      <c r="GI95"/>
      <c r="GJ95"/>
      <c r="GK95"/>
      <c r="GL95"/>
      <c r="GM95"/>
      <c r="GN95"/>
      <c r="GO95"/>
      <c r="GP95"/>
      <c r="GQ95"/>
      <c r="GR95"/>
      <c r="GS95"/>
      <c r="GT95"/>
      <c r="GU95"/>
      <c r="GV95"/>
      <c r="GW95"/>
      <c r="GX95"/>
      <c r="GY95"/>
      <c r="GZ95"/>
      <c r="HA95"/>
      <c r="HB95"/>
      <c r="HC95"/>
      <c r="HD95"/>
      <c r="HE95"/>
      <c r="HF95"/>
      <c r="HG95"/>
      <c r="HH95"/>
      <c r="HI95"/>
      <c r="HJ95"/>
      <c r="HK95"/>
      <c r="HL95"/>
      <c r="HM95"/>
      <c r="HN95"/>
      <c r="HO95"/>
      <c r="HP95"/>
      <c r="HQ95"/>
      <c r="HR95"/>
      <c r="HS95"/>
      <c r="HT95"/>
      <c r="HU95"/>
      <c r="HV95"/>
      <c r="HW95"/>
      <c r="HX95"/>
      <c r="HY95"/>
      <c r="HZ95"/>
      <c r="IA95"/>
      <c r="IB95"/>
      <c r="IC95"/>
      <c r="ID95"/>
      <c r="IE95"/>
      <c r="IF95"/>
      <c r="IG95"/>
      <c r="IH95"/>
      <c r="II95"/>
      <c r="IJ95"/>
      <c r="IK95"/>
      <c r="IL95"/>
      <c r="IM95"/>
      <c r="IN95"/>
      <c r="IO95"/>
      <c r="IP95"/>
      <c r="IQ95"/>
      <c r="IR95"/>
      <c r="IS95"/>
      <c r="IT95"/>
      <c r="IU95"/>
      <c r="IV95"/>
      <c r="IW95"/>
      <c r="IX95"/>
      <c r="IY95"/>
      <c r="IZ95"/>
      <c r="JA95"/>
      <c r="JB95"/>
      <c r="JC95"/>
      <c r="JD95"/>
      <c r="JE95"/>
      <c r="JF95"/>
      <c r="JG95"/>
      <c r="JH95"/>
      <c r="JI95"/>
      <c r="JJ95"/>
      <c r="JK95"/>
      <c r="JL95"/>
      <c r="JM95"/>
      <c r="JN95"/>
      <c r="JO95"/>
      <c r="JP95"/>
      <c r="JQ95"/>
      <c r="JR95"/>
      <c r="JS95"/>
      <c r="JT95"/>
      <c r="JU95"/>
      <c r="JV95"/>
      <c r="JW95"/>
      <c r="JX95"/>
      <c r="JY95"/>
      <c r="JZ95"/>
      <c r="KA95"/>
      <c r="KB95"/>
      <c r="KC95"/>
      <c r="KD95"/>
      <c r="KE95"/>
      <c r="KF95"/>
      <c r="KG95"/>
      <c r="KH95"/>
      <c r="KI95"/>
      <c r="KJ95"/>
      <c r="KK95"/>
      <c r="KL95"/>
      <c r="KM95"/>
      <c r="KN95"/>
      <c r="KO95"/>
      <c r="KP95"/>
      <c r="KQ95"/>
      <c r="KR95"/>
      <c r="KS95"/>
      <c r="KT95"/>
      <c r="KU95"/>
      <c r="KV95"/>
      <c r="KW95"/>
      <c r="KX95"/>
      <c r="KY95"/>
      <c r="KZ95"/>
      <c r="LA95"/>
      <c r="LB95"/>
      <c r="LC95"/>
      <c r="LD95"/>
      <c r="LE95"/>
      <c r="LF95"/>
      <c r="LG95"/>
      <c r="LH95"/>
      <c r="LI95"/>
      <c r="LJ95"/>
      <c r="LK95"/>
      <c r="LL95"/>
      <c r="LM95"/>
      <c r="LN95"/>
      <c r="LO95"/>
      <c r="LP95"/>
      <c r="LQ95"/>
      <c r="LR95"/>
      <c r="LS95"/>
      <c r="LT95"/>
      <c r="LU95"/>
      <c r="LV95"/>
      <c r="LW95"/>
      <c r="LX95"/>
      <c r="LY95"/>
      <c r="LZ95"/>
      <c r="MA95"/>
      <c r="MB95"/>
      <c r="MC95"/>
      <c r="MD95"/>
      <c r="ME95"/>
      <c r="MF95"/>
      <c r="MG95"/>
      <c r="MH95"/>
      <c r="MI95"/>
      <c r="MJ95"/>
      <c r="MK95"/>
      <c r="ML95"/>
      <c r="MM95"/>
      <c r="MN95"/>
      <c r="MO95"/>
      <c r="MP95"/>
      <c r="MQ95"/>
      <c r="MR95"/>
      <c r="MS95"/>
      <c r="MT95"/>
      <c r="MU95"/>
      <c r="MV95"/>
      <c r="MW95"/>
      <c r="MX95"/>
      <c r="MY95"/>
      <c r="MZ95"/>
      <c r="NA95"/>
      <c r="NB95"/>
      <c r="NC95"/>
      <c r="ND95"/>
      <c r="NE95"/>
      <c r="NF95"/>
      <c r="NG95"/>
      <c r="NH95"/>
      <c r="NI95"/>
      <c r="NJ95"/>
      <c r="NK95"/>
      <c r="NL95"/>
      <c r="NM95"/>
      <c r="NN95"/>
      <c r="NO95"/>
      <c r="NP95"/>
      <c r="NQ95"/>
      <c r="NR95"/>
      <c r="NS95"/>
      <c r="NT95"/>
      <c r="NU95"/>
      <c r="NV95"/>
      <c r="NW95"/>
      <c r="NX95"/>
      <c r="NY95"/>
      <c r="NZ95"/>
      <c r="OA95"/>
      <c r="OB95"/>
      <c r="OC95"/>
      <c r="OD95"/>
      <c r="OE95"/>
      <c r="OF95"/>
      <c r="OG95"/>
      <c r="OH95"/>
      <c r="OI95"/>
      <c r="OJ95"/>
      <c r="OK95"/>
      <c r="OL95"/>
      <c r="OM95"/>
      <c r="ON95"/>
      <c r="OO95"/>
      <c r="OP95"/>
      <c r="OQ95"/>
      <c r="OR95"/>
      <c r="OS95"/>
      <c r="OT95"/>
      <c r="OU95"/>
      <c r="OV95"/>
      <c r="OW95"/>
      <c r="OX95"/>
      <c r="OY95"/>
      <c r="OZ95"/>
      <c r="PA95"/>
      <c r="PB95"/>
      <c r="PC95"/>
      <c r="PD95"/>
      <c r="PE95"/>
      <c r="PF95"/>
      <c r="PG95"/>
      <c r="PH95"/>
      <c r="PI95"/>
      <c r="PJ95"/>
      <c r="PK95"/>
      <c r="PL95"/>
      <c r="PM95"/>
      <c r="PN95"/>
      <c r="PO95"/>
      <c r="PP95"/>
      <c r="PQ95"/>
      <c r="PR95"/>
      <c r="PS95"/>
      <c r="PT95"/>
      <c r="PU95"/>
      <c r="PV95"/>
      <c r="PW95"/>
      <c r="PX95"/>
      <c r="PY95"/>
      <c r="PZ95"/>
      <c r="QA95"/>
      <c r="QB95"/>
      <c r="QC95"/>
      <c r="QD95"/>
      <c r="QE95"/>
      <c r="QF95"/>
      <c r="QG95"/>
      <c r="QH95"/>
      <c r="QI95"/>
      <c r="QJ95"/>
      <c r="QK95"/>
      <c r="QL95"/>
      <c r="QM95"/>
      <c r="QN95"/>
      <c r="QO95"/>
      <c r="QP95"/>
      <c r="QQ95"/>
      <c r="QR95"/>
      <c r="QS95"/>
      <c r="QT95"/>
      <c r="QU95"/>
      <c r="QV95"/>
      <c r="QW95"/>
      <c r="QX95"/>
      <c r="QY95"/>
      <c r="QZ95"/>
      <c r="RA95"/>
      <c r="RB95"/>
      <c r="RC95"/>
      <c r="RD95"/>
      <c r="RE95"/>
      <c r="RF95"/>
      <c r="RG95"/>
      <c r="RH95"/>
      <c r="RI95"/>
      <c r="RJ95"/>
      <c r="RK95"/>
      <c r="RL95"/>
      <c r="RM95"/>
      <c r="RN95"/>
      <c r="RO95"/>
      <c r="RP95"/>
      <c r="RQ95"/>
      <c r="RR95"/>
      <c r="RS95"/>
    </row>
    <row r="96" spans="3:487" x14ac:dyDescent="0.25">
      <c r="C96" s="2" t="s">
        <v>127</v>
      </c>
      <c r="D96" s="34">
        <v>1</v>
      </c>
      <c r="F96" s="2" t="s">
        <v>180</v>
      </c>
      <c r="G96" s="34">
        <v>2</v>
      </c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  <c r="CN96"/>
      <c r="CO96"/>
      <c r="CP96"/>
      <c r="CQ96"/>
      <c r="CR96"/>
      <c r="CS96"/>
      <c r="CT96"/>
      <c r="CU96"/>
      <c r="CV96"/>
      <c r="CW96"/>
      <c r="CX96"/>
      <c r="CY96"/>
      <c r="CZ96"/>
      <c r="DA96"/>
      <c r="DB96"/>
      <c r="DC96"/>
      <c r="DD96"/>
      <c r="DE96"/>
      <c r="DF96"/>
      <c r="DG96"/>
      <c r="DH96"/>
      <c r="DI96"/>
      <c r="DJ96"/>
      <c r="DK96"/>
      <c r="DL96"/>
      <c r="DM96"/>
      <c r="DN96"/>
      <c r="DO96"/>
      <c r="DP96"/>
      <c r="DQ96"/>
      <c r="DR96"/>
      <c r="DS96"/>
      <c r="DT96"/>
      <c r="DU96"/>
      <c r="DV96"/>
      <c r="DW96"/>
      <c r="DX96"/>
      <c r="DY96"/>
      <c r="DZ96"/>
      <c r="EA96"/>
      <c r="EB96"/>
      <c r="EC96"/>
      <c r="ED96"/>
      <c r="EE96"/>
      <c r="EF96"/>
      <c r="EG96"/>
      <c r="EH96"/>
      <c r="EI96"/>
      <c r="EJ96"/>
      <c r="EK96"/>
      <c r="EL96"/>
      <c r="EM96"/>
      <c r="EN96"/>
      <c r="EO96"/>
      <c r="EP96"/>
      <c r="EQ96"/>
      <c r="ER96"/>
      <c r="ES96"/>
      <c r="ET96"/>
      <c r="EU96"/>
      <c r="EV96"/>
      <c r="EW96"/>
      <c r="EX96"/>
      <c r="EY96"/>
      <c r="EZ96"/>
      <c r="FA96"/>
      <c r="FB96"/>
      <c r="FC96"/>
      <c r="FD96"/>
      <c r="FE96"/>
      <c r="FF96"/>
      <c r="FG96"/>
      <c r="FH96"/>
      <c r="FI96"/>
      <c r="FJ96"/>
      <c r="FK96"/>
      <c r="FL96"/>
      <c r="FM96"/>
      <c r="FN96"/>
      <c r="FO96"/>
      <c r="FP96"/>
      <c r="FQ96"/>
      <c r="FR96"/>
      <c r="FS96"/>
      <c r="FT96"/>
      <c r="FU96"/>
      <c r="FV96"/>
      <c r="FW96"/>
      <c r="FX96"/>
      <c r="FY96"/>
      <c r="FZ96"/>
      <c r="GA96"/>
      <c r="GB96"/>
      <c r="GC96"/>
      <c r="GD96"/>
      <c r="GE96"/>
      <c r="GF96"/>
      <c r="GG96"/>
      <c r="GH96"/>
      <c r="GI96"/>
      <c r="GJ96"/>
      <c r="GK96"/>
      <c r="GL96"/>
      <c r="GM96"/>
      <c r="GN96"/>
      <c r="GO96"/>
      <c r="GP96"/>
      <c r="GQ96"/>
      <c r="GR96"/>
      <c r="GS96"/>
      <c r="GT96"/>
      <c r="GU96"/>
      <c r="GV96"/>
      <c r="GW96"/>
      <c r="GX96"/>
      <c r="GY96"/>
      <c r="GZ96"/>
      <c r="HA96"/>
      <c r="HB96"/>
      <c r="HC96"/>
      <c r="HD96"/>
      <c r="HE96"/>
      <c r="HF96"/>
      <c r="HG96"/>
      <c r="HH96"/>
      <c r="HI96"/>
      <c r="HJ96"/>
      <c r="HK96"/>
      <c r="HL96"/>
      <c r="HM96"/>
      <c r="HN96"/>
      <c r="HO96"/>
      <c r="HP96"/>
      <c r="HQ96"/>
      <c r="HR96"/>
      <c r="HS96"/>
      <c r="HT96"/>
      <c r="HU96"/>
      <c r="HV96"/>
      <c r="HW96"/>
      <c r="HX96"/>
      <c r="HY96"/>
      <c r="HZ96"/>
      <c r="IA96"/>
      <c r="IB96"/>
      <c r="IC96"/>
      <c r="ID96"/>
      <c r="IE96"/>
      <c r="IF96"/>
      <c r="IG96"/>
      <c r="IH96"/>
      <c r="II96"/>
      <c r="IJ96"/>
      <c r="IK96"/>
      <c r="IL96"/>
      <c r="IM96"/>
      <c r="IN96"/>
      <c r="IO96"/>
      <c r="IP96"/>
      <c r="IQ96"/>
      <c r="IR96"/>
      <c r="IS96"/>
      <c r="IT96"/>
      <c r="IU96"/>
      <c r="IV96"/>
      <c r="IW96"/>
      <c r="IX96"/>
      <c r="IY96"/>
      <c r="IZ96"/>
      <c r="JA96"/>
      <c r="JB96"/>
      <c r="JC96"/>
      <c r="JD96"/>
      <c r="JE96"/>
      <c r="JF96"/>
      <c r="JG96"/>
      <c r="JH96"/>
      <c r="JI96"/>
      <c r="JJ96"/>
      <c r="JK96"/>
      <c r="JL96"/>
      <c r="JM96"/>
      <c r="JN96"/>
      <c r="JO96"/>
      <c r="JP96"/>
      <c r="JQ96"/>
      <c r="JR96"/>
      <c r="JS96"/>
      <c r="JT96"/>
      <c r="JU96"/>
      <c r="JV96"/>
      <c r="JW96"/>
      <c r="JX96"/>
      <c r="JY96"/>
      <c r="JZ96"/>
      <c r="KA96"/>
      <c r="KB96"/>
      <c r="KC96"/>
      <c r="KD96"/>
      <c r="KE96"/>
      <c r="KF96"/>
      <c r="KG96"/>
      <c r="KH96"/>
      <c r="KI96"/>
      <c r="KJ96"/>
      <c r="KK96"/>
      <c r="KL96"/>
      <c r="KM96"/>
      <c r="KN96"/>
      <c r="KO96"/>
      <c r="KP96"/>
      <c r="KQ96"/>
      <c r="KR96"/>
      <c r="KS96"/>
      <c r="KT96"/>
      <c r="KU96"/>
      <c r="KV96"/>
      <c r="KW96"/>
      <c r="KX96"/>
      <c r="KY96"/>
      <c r="KZ96"/>
      <c r="LA96"/>
      <c r="LB96"/>
      <c r="LC96"/>
      <c r="LD96"/>
      <c r="LE96"/>
      <c r="LF96"/>
      <c r="LG96"/>
      <c r="LH96"/>
      <c r="LI96"/>
      <c r="LJ96"/>
      <c r="LK96"/>
      <c r="LL96"/>
      <c r="LM96"/>
      <c r="LN96"/>
      <c r="LO96"/>
      <c r="LP96"/>
      <c r="LQ96"/>
      <c r="LR96"/>
      <c r="LS96"/>
      <c r="LT96"/>
      <c r="LU96"/>
      <c r="LV96"/>
      <c r="LW96"/>
      <c r="LX96"/>
      <c r="LY96"/>
      <c r="LZ96"/>
      <c r="MA96"/>
      <c r="MB96"/>
      <c r="MC96"/>
      <c r="MD96"/>
      <c r="ME96"/>
      <c r="MF96"/>
      <c r="MG96"/>
      <c r="MH96"/>
      <c r="MI96"/>
      <c r="MJ96"/>
      <c r="MK96"/>
      <c r="ML96"/>
      <c r="MM96"/>
      <c r="MN96"/>
      <c r="MO96"/>
      <c r="MP96"/>
      <c r="MQ96"/>
      <c r="MR96"/>
      <c r="MS96"/>
      <c r="MT96"/>
      <c r="MU96"/>
      <c r="MV96"/>
      <c r="MW96"/>
      <c r="MX96"/>
      <c r="MY96"/>
      <c r="MZ96"/>
      <c r="NA96"/>
      <c r="NB96"/>
      <c r="NC96"/>
      <c r="ND96"/>
      <c r="NE96"/>
      <c r="NF96"/>
      <c r="NG96"/>
      <c r="NH96"/>
      <c r="NI96"/>
      <c r="NJ96"/>
      <c r="NK96"/>
      <c r="NL96"/>
      <c r="NM96"/>
      <c r="NN96"/>
      <c r="NO96"/>
      <c r="NP96"/>
      <c r="NQ96"/>
      <c r="NR96"/>
      <c r="NS96"/>
      <c r="NT96"/>
      <c r="NU96"/>
      <c r="NV96"/>
      <c r="NW96"/>
      <c r="NX96"/>
      <c r="NY96"/>
      <c r="NZ96"/>
      <c r="OA96"/>
      <c r="OB96"/>
      <c r="OC96"/>
      <c r="OD96"/>
      <c r="OE96"/>
      <c r="OF96"/>
      <c r="OG96"/>
      <c r="OH96"/>
      <c r="OI96"/>
      <c r="OJ96"/>
      <c r="OK96"/>
      <c r="OL96"/>
      <c r="OM96"/>
      <c r="ON96"/>
      <c r="OO96"/>
      <c r="OP96"/>
      <c r="OQ96"/>
      <c r="OR96"/>
      <c r="OS96"/>
      <c r="OT96"/>
      <c r="OU96"/>
      <c r="OV96"/>
      <c r="OW96"/>
      <c r="OX96"/>
      <c r="OY96"/>
      <c r="OZ96"/>
      <c r="PA96"/>
      <c r="PB96"/>
      <c r="PC96"/>
      <c r="PD96"/>
      <c r="PE96"/>
      <c r="PF96"/>
      <c r="PG96"/>
      <c r="PH96"/>
      <c r="PI96"/>
      <c r="PJ96"/>
      <c r="PK96"/>
      <c r="PL96"/>
      <c r="PM96"/>
      <c r="PN96"/>
      <c r="PO96"/>
      <c r="PP96"/>
      <c r="PQ96"/>
      <c r="PR96"/>
      <c r="PS96"/>
      <c r="PT96"/>
      <c r="PU96"/>
      <c r="PV96"/>
      <c r="PW96"/>
      <c r="PX96"/>
      <c r="PY96"/>
      <c r="PZ96"/>
      <c r="QA96"/>
      <c r="QB96"/>
      <c r="QC96"/>
      <c r="QD96"/>
      <c r="QE96"/>
      <c r="QF96"/>
      <c r="QG96"/>
      <c r="QH96"/>
      <c r="QI96"/>
      <c r="QJ96"/>
      <c r="QK96"/>
      <c r="QL96"/>
      <c r="QM96"/>
      <c r="QN96"/>
      <c r="QO96"/>
      <c r="QP96"/>
      <c r="QQ96"/>
      <c r="QR96"/>
      <c r="QS96"/>
      <c r="QT96"/>
      <c r="QU96"/>
      <c r="QV96"/>
      <c r="QW96"/>
      <c r="QX96"/>
      <c r="QY96"/>
      <c r="QZ96"/>
      <c r="RA96"/>
      <c r="RB96"/>
      <c r="RC96"/>
      <c r="RD96"/>
      <c r="RE96"/>
      <c r="RF96"/>
      <c r="RG96"/>
      <c r="RH96"/>
      <c r="RI96"/>
      <c r="RJ96"/>
      <c r="RK96"/>
      <c r="RL96"/>
      <c r="RM96"/>
      <c r="RN96"/>
      <c r="RO96"/>
      <c r="RP96"/>
      <c r="RQ96"/>
      <c r="RR96"/>
      <c r="RS96"/>
    </row>
    <row r="97" spans="3:487" x14ac:dyDescent="0.25">
      <c r="C97" s="2" t="s">
        <v>167</v>
      </c>
      <c r="D97" s="34">
        <v>1</v>
      </c>
      <c r="F97" s="2" t="s">
        <v>104</v>
      </c>
      <c r="G97" s="34">
        <v>2</v>
      </c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  <c r="CN97"/>
      <c r="CO97"/>
      <c r="CP97"/>
      <c r="CQ97"/>
      <c r="CR97"/>
      <c r="CS97"/>
      <c r="CT97"/>
      <c r="CU97"/>
      <c r="CV97"/>
      <c r="CW97"/>
      <c r="CX97"/>
      <c r="CY97"/>
      <c r="CZ97"/>
      <c r="DA97"/>
      <c r="DB97"/>
      <c r="DC97"/>
      <c r="DD97"/>
      <c r="DE97"/>
      <c r="DF97"/>
      <c r="DG97"/>
      <c r="DH97"/>
      <c r="DI97"/>
      <c r="DJ97"/>
      <c r="DK97"/>
      <c r="DL97"/>
      <c r="DM97"/>
      <c r="DN97"/>
      <c r="DO97"/>
      <c r="DP97"/>
      <c r="DQ97"/>
      <c r="DR97"/>
      <c r="DS97"/>
      <c r="DT97"/>
      <c r="DU97"/>
      <c r="DV97"/>
      <c r="DW97"/>
      <c r="DX97"/>
      <c r="DY97"/>
      <c r="DZ97"/>
      <c r="EA97"/>
      <c r="EB97"/>
      <c r="EC97"/>
      <c r="ED97"/>
      <c r="EE97"/>
      <c r="EF97"/>
      <c r="EG97"/>
      <c r="EH97"/>
      <c r="EI97"/>
      <c r="EJ97"/>
      <c r="EK97"/>
      <c r="EL97"/>
      <c r="EM97"/>
      <c r="EN97"/>
      <c r="EO97"/>
      <c r="EP97"/>
      <c r="EQ97"/>
      <c r="ER97"/>
      <c r="ES97"/>
      <c r="ET97"/>
      <c r="EU97"/>
      <c r="EV97"/>
      <c r="EW97"/>
      <c r="EX97"/>
      <c r="EY97"/>
      <c r="EZ97"/>
      <c r="FA97"/>
      <c r="FB97"/>
      <c r="FC97"/>
      <c r="FD97"/>
      <c r="FE97"/>
      <c r="FF97"/>
      <c r="FG97"/>
      <c r="FH97"/>
      <c r="FI97"/>
      <c r="FJ97"/>
      <c r="FK97"/>
      <c r="FL97"/>
      <c r="FM97"/>
      <c r="FN97"/>
      <c r="FO97"/>
      <c r="FP97"/>
      <c r="FQ97"/>
      <c r="FR97"/>
      <c r="FS97"/>
      <c r="FT97"/>
      <c r="FU97"/>
      <c r="FV97"/>
      <c r="FW97"/>
      <c r="FX97"/>
      <c r="FY97"/>
      <c r="FZ97"/>
      <c r="GA97"/>
      <c r="GB97"/>
      <c r="GC97"/>
      <c r="GD97"/>
      <c r="GE97"/>
      <c r="GF97"/>
      <c r="GG97"/>
      <c r="GH97"/>
      <c r="GI97"/>
      <c r="GJ97"/>
      <c r="GK97"/>
      <c r="GL97"/>
      <c r="GM97"/>
      <c r="GN97"/>
      <c r="GO97"/>
      <c r="GP97"/>
      <c r="GQ97"/>
      <c r="GR97"/>
      <c r="GS97"/>
      <c r="GT97"/>
      <c r="GU97"/>
      <c r="GV97"/>
      <c r="GW97"/>
      <c r="GX97"/>
      <c r="GY97"/>
      <c r="GZ97"/>
      <c r="HA97"/>
      <c r="HB97"/>
      <c r="HC97"/>
      <c r="HD97"/>
      <c r="HE97"/>
      <c r="HF97"/>
      <c r="HG97"/>
      <c r="HH97"/>
      <c r="HI97"/>
      <c r="HJ97"/>
      <c r="HK97"/>
      <c r="HL97"/>
      <c r="HM97"/>
      <c r="HN97"/>
      <c r="HO97"/>
      <c r="HP97"/>
      <c r="HQ97"/>
      <c r="HR97"/>
      <c r="HS97"/>
      <c r="HT97"/>
      <c r="HU97"/>
      <c r="HV97"/>
      <c r="HW97"/>
      <c r="HX97"/>
      <c r="HY97"/>
      <c r="HZ97"/>
      <c r="IA97"/>
      <c r="IB97"/>
      <c r="IC97"/>
      <c r="ID97"/>
      <c r="IE97"/>
      <c r="IF97"/>
      <c r="IG97"/>
      <c r="IH97"/>
      <c r="II97"/>
      <c r="IJ97"/>
      <c r="IK97"/>
      <c r="IL97"/>
      <c r="IM97"/>
      <c r="IN97"/>
      <c r="IO97"/>
      <c r="IP97"/>
      <c r="IQ97"/>
      <c r="IR97"/>
      <c r="IS97"/>
      <c r="IT97"/>
      <c r="IU97"/>
      <c r="IV97"/>
      <c r="IW97"/>
      <c r="IX97"/>
      <c r="IY97"/>
      <c r="IZ97"/>
      <c r="JA97"/>
      <c r="JB97"/>
      <c r="JC97"/>
      <c r="JD97"/>
      <c r="JE97"/>
      <c r="JF97"/>
      <c r="JG97"/>
      <c r="JH97"/>
      <c r="JI97"/>
      <c r="JJ97"/>
      <c r="JK97"/>
      <c r="JL97"/>
      <c r="JM97"/>
      <c r="JN97"/>
      <c r="JO97"/>
      <c r="JP97"/>
      <c r="JQ97"/>
      <c r="JR97"/>
      <c r="JS97"/>
      <c r="JT97"/>
      <c r="JU97"/>
      <c r="JV97"/>
      <c r="JW97"/>
      <c r="JX97"/>
      <c r="JY97"/>
      <c r="JZ97"/>
      <c r="KA97"/>
      <c r="KB97"/>
      <c r="KC97"/>
      <c r="KD97"/>
      <c r="KE97"/>
      <c r="KF97"/>
      <c r="KG97"/>
      <c r="KH97"/>
      <c r="KI97"/>
      <c r="KJ97"/>
      <c r="KK97"/>
      <c r="KL97"/>
      <c r="KM97"/>
      <c r="KN97"/>
      <c r="KO97"/>
      <c r="KP97"/>
      <c r="KQ97"/>
      <c r="KR97"/>
      <c r="KS97"/>
      <c r="KT97"/>
      <c r="KU97"/>
      <c r="KV97"/>
      <c r="KW97"/>
      <c r="KX97"/>
      <c r="KY97"/>
      <c r="KZ97"/>
      <c r="LA97"/>
      <c r="LB97"/>
      <c r="LC97"/>
      <c r="LD97"/>
      <c r="LE97"/>
      <c r="LF97"/>
      <c r="LG97"/>
      <c r="LH97"/>
      <c r="LI97"/>
      <c r="LJ97"/>
      <c r="LK97"/>
      <c r="LL97"/>
      <c r="LM97"/>
      <c r="LN97"/>
      <c r="LO97"/>
      <c r="LP97"/>
      <c r="LQ97"/>
      <c r="LR97"/>
      <c r="LS97"/>
      <c r="LT97"/>
      <c r="LU97"/>
      <c r="LV97"/>
      <c r="LW97"/>
      <c r="LX97"/>
      <c r="LY97"/>
      <c r="LZ97"/>
      <c r="MA97"/>
      <c r="MB97"/>
      <c r="MC97"/>
      <c r="MD97"/>
      <c r="ME97"/>
      <c r="MF97"/>
      <c r="MG97"/>
      <c r="MH97"/>
      <c r="MI97"/>
      <c r="MJ97"/>
      <c r="MK97"/>
      <c r="ML97"/>
      <c r="MM97"/>
      <c r="MN97"/>
      <c r="MO97"/>
      <c r="MP97"/>
      <c r="MQ97"/>
      <c r="MR97"/>
      <c r="MS97"/>
      <c r="MT97"/>
      <c r="MU97"/>
      <c r="MV97"/>
      <c r="MW97"/>
      <c r="MX97"/>
      <c r="MY97"/>
      <c r="MZ97"/>
      <c r="NA97"/>
      <c r="NB97"/>
      <c r="NC97"/>
      <c r="ND97"/>
      <c r="NE97"/>
      <c r="NF97"/>
      <c r="NG97"/>
      <c r="NH97"/>
      <c r="NI97"/>
      <c r="NJ97"/>
      <c r="NK97"/>
      <c r="NL97"/>
      <c r="NM97"/>
      <c r="NN97"/>
      <c r="NO97"/>
      <c r="NP97"/>
      <c r="NQ97"/>
      <c r="NR97"/>
      <c r="NS97"/>
      <c r="NT97"/>
      <c r="NU97"/>
      <c r="NV97"/>
      <c r="NW97"/>
      <c r="NX97"/>
      <c r="NY97"/>
      <c r="NZ97"/>
      <c r="OA97"/>
      <c r="OB97"/>
      <c r="OC97"/>
      <c r="OD97"/>
      <c r="OE97"/>
      <c r="OF97"/>
      <c r="OG97"/>
      <c r="OH97"/>
      <c r="OI97"/>
      <c r="OJ97"/>
      <c r="OK97"/>
      <c r="OL97"/>
      <c r="OM97"/>
      <c r="ON97"/>
      <c r="OO97"/>
      <c r="OP97"/>
      <c r="OQ97"/>
      <c r="OR97"/>
      <c r="OS97"/>
      <c r="OT97"/>
      <c r="OU97"/>
      <c r="OV97"/>
      <c r="OW97"/>
      <c r="OX97"/>
      <c r="OY97"/>
      <c r="OZ97"/>
      <c r="PA97"/>
      <c r="PB97"/>
      <c r="PC97"/>
      <c r="PD97"/>
      <c r="PE97"/>
      <c r="PF97"/>
      <c r="PG97"/>
      <c r="PH97"/>
      <c r="PI97"/>
      <c r="PJ97"/>
      <c r="PK97"/>
      <c r="PL97"/>
      <c r="PM97"/>
      <c r="PN97"/>
      <c r="PO97"/>
      <c r="PP97"/>
      <c r="PQ97"/>
      <c r="PR97"/>
      <c r="PS97"/>
      <c r="PT97"/>
      <c r="PU97"/>
      <c r="PV97"/>
      <c r="PW97"/>
      <c r="PX97"/>
      <c r="PY97"/>
      <c r="PZ97"/>
      <c r="QA97"/>
      <c r="QB97"/>
      <c r="QC97"/>
      <c r="QD97"/>
      <c r="QE97"/>
      <c r="QF97"/>
      <c r="QG97"/>
      <c r="QH97"/>
      <c r="QI97"/>
      <c r="QJ97"/>
      <c r="QK97"/>
      <c r="QL97"/>
      <c r="QM97"/>
      <c r="QN97"/>
      <c r="QO97"/>
      <c r="QP97"/>
      <c r="QQ97"/>
      <c r="QR97"/>
      <c r="QS97"/>
      <c r="QT97"/>
      <c r="QU97"/>
      <c r="QV97"/>
      <c r="QW97"/>
      <c r="QX97"/>
      <c r="QY97"/>
      <c r="QZ97"/>
      <c r="RA97"/>
      <c r="RB97"/>
      <c r="RC97"/>
      <c r="RD97"/>
      <c r="RE97"/>
      <c r="RF97"/>
      <c r="RG97"/>
      <c r="RH97"/>
      <c r="RI97"/>
      <c r="RJ97"/>
      <c r="RK97"/>
      <c r="RL97"/>
      <c r="RM97"/>
      <c r="RN97"/>
      <c r="RO97"/>
      <c r="RP97"/>
      <c r="RQ97"/>
      <c r="RR97"/>
      <c r="RS97"/>
    </row>
    <row r="98" spans="3:487" x14ac:dyDescent="0.25">
      <c r="C98" s="2" t="s">
        <v>277</v>
      </c>
      <c r="D98" s="34">
        <v>1</v>
      </c>
      <c r="F98" s="2" t="s">
        <v>3483</v>
      </c>
      <c r="G98" s="34">
        <v>2</v>
      </c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  <c r="DH98"/>
      <c r="DI98"/>
      <c r="DJ98"/>
      <c r="DK98"/>
      <c r="DL98"/>
      <c r="DM98"/>
      <c r="DN98"/>
      <c r="DO98"/>
      <c r="DP98"/>
      <c r="DQ98"/>
      <c r="DR98"/>
      <c r="DS98"/>
      <c r="DT98"/>
      <c r="DU98"/>
      <c r="DV98"/>
      <c r="DW98"/>
      <c r="DX98"/>
      <c r="DY98"/>
      <c r="DZ98"/>
      <c r="EA98"/>
      <c r="EB98"/>
      <c r="EC98"/>
      <c r="ED98"/>
      <c r="EE98"/>
      <c r="EF98"/>
      <c r="EG98"/>
      <c r="EH98"/>
      <c r="EI98"/>
      <c r="EJ98"/>
      <c r="EK98"/>
      <c r="EL98"/>
      <c r="EM98"/>
      <c r="EN98"/>
      <c r="EO98"/>
      <c r="EP98"/>
      <c r="EQ98"/>
      <c r="ER98"/>
      <c r="ES98"/>
      <c r="ET98"/>
      <c r="EU98"/>
      <c r="EV98"/>
      <c r="EW98"/>
      <c r="EX98"/>
      <c r="EY98"/>
      <c r="EZ98"/>
      <c r="FA98"/>
      <c r="FB98"/>
      <c r="FC98"/>
      <c r="FD98"/>
      <c r="FE98"/>
      <c r="FF98"/>
      <c r="FG98"/>
      <c r="FH98"/>
      <c r="FI98"/>
      <c r="FJ98"/>
      <c r="FK98"/>
      <c r="FL98"/>
      <c r="FM98"/>
      <c r="FN98"/>
      <c r="FO98"/>
      <c r="FP98"/>
      <c r="FQ98"/>
      <c r="FR98"/>
      <c r="FS98"/>
      <c r="FT98"/>
      <c r="FU98"/>
      <c r="FV98"/>
      <c r="FW98"/>
      <c r="FX98"/>
      <c r="FY98"/>
      <c r="FZ98"/>
      <c r="GA98"/>
      <c r="GB98"/>
      <c r="GC98"/>
      <c r="GD98"/>
      <c r="GE98"/>
      <c r="GF98"/>
      <c r="GG98"/>
      <c r="GH98"/>
      <c r="GI98"/>
      <c r="GJ98"/>
      <c r="GK98"/>
      <c r="GL98"/>
      <c r="GM98"/>
      <c r="GN98"/>
      <c r="GO98"/>
      <c r="GP98"/>
      <c r="GQ98"/>
      <c r="GR98"/>
      <c r="GS98"/>
      <c r="GT98"/>
      <c r="GU98"/>
      <c r="GV98"/>
      <c r="GW98"/>
      <c r="GX98"/>
      <c r="GY98"/>
      <c r="GZ98"/>
      <c r="HA98"/>
      <c r="HB98"/>
      <c r="HC98"/>
      <c r="HD98"/>
      <c r="HE98"/>
      <c r="HF98"/>
      <c r="HG98"/>
      <c r="HH98"/>
      <c r="HI98"/>
      <c r="HJ98"/>
      <c r="HK98"/>
      <c r="HL98"/>
      <c r="HM98"/>
      <c r="HN98"/>
      <c r="HO98"/>
      <c r="HP98"/>
      <c r="HQ98"/>
      <c r="HR98"/>
      <c r="HS98"/>
      <c r="HT98"/>
      <c r="HU98"/>
      <c r="HV98"/>
      <c r="HW98"/>
      <c r="HX98"/>
      <c r="HY98"/>
      <c r="HZ98"/>
      <c r="IA98"/>
      <c r="IB98"/>
      <c r="IC98"/>
      <c r="ID98"/>
      <c r="IE98"/>
      <c r="IF98"/>
      <c r="IG98"/>
      <c r="IH98"/>
      <c r="II98"/>
      <c r="IJ98"/>
      <c r="IK98"/>
      <c r="IL98"/>
      <c r="IM98"/>
      <c r="IN98"/>
      <c r="IO98"/>
      <c r="IP98"/>
      <c r="IQ98"/>
      <c r="IR98"/>
      <c r="IS98"/>
      <c r="IT98"/>
      <c r="IU98"/>
      <c r="IV98"/>
      <c r="IW98"/>
      <c r="IX98"/>
      <c r="IY98"/>
      <c r="IZ98"/>
      <c r="JA98"/>
      <c r="JB98"/>
      <c r="JC98"/>
      <c r="JD98"/>
      <c r="JE98"/>
      <c r="JF98"/>
      <c r="JG98"/>
      <c r="JH98"/>
      <c r="JI98"/>
      <c r="JJ98"/>
      <c r="JK98"/>
      <c r="JL98"/>
      <c r="JM98"/>
      <c r="JN98"/>
      <c r="JO98"/>
      <c r="JP98"/>
      <c r="JQ98"/>
      <c r="JR98"/>
      <c r="JS98"/>
      <c r="JT98"/>
      <c r="JU98"/>
      <c r="JV98"/>
      <c r="JW98"/>
      <c r="JX98"/>
      <c r="JY98"/>
      <c r="JZ98"/>
      <c r="KA98"/>
      <c r="KB98"/>
      <c r="KC98"/>
      <c r="KD98"/>
      <c r="KE98"/>
      <c r="KF98"/>
      <c r="KG98"/>
      <c r="KH98"/>
      <c r="KI98"/>
      <c r="KJ98"/>
      <c r="KK98"/>
      <c r="KL98"/>
      <c r="KM98"/>
      <c r="KN98"/>
      <c r="KO98"/>
      <c r="KP98"/>
      <c r="KQ98"/>
      <c r="KR98"/>
      <c r="KS98"/>
      <c r="KT98"/>
      <c r="KU98"/>
      <c r="KV98"/>
      <c r="KW98"/>
      <c r="KX98"/>
      <c r="KY98"/>
      <c r="KZ98"/>
      <c r="LA98"/>
      <c r="LB98"/>
      <c r="LC98"/>
      <c r="LD98"/>
      <c r="LE98"/>
      <c r="LF98"/>
      <c r="LG98"/>
      <c r="LH98"/>
      <c r="LI98"/>
      <c r="LJ98"/>
      <c r="LK98"/>
      <c r="LL98"/>
      <c r="LM98"/>
      <c r="LN98"/>
      <c r="LO98"/>
      <c r="LP98"/>
      <c r="LQ98"/>
      <c r="LR98"/>
      <c r="LS98"/>
      <c r="LT98"/>
      <c r="LU98"/>
      <c r="LV98"/>
      <c r="LW98"/>
      <c r="LX98"/>
      <c r="LY98"/>
      <c r="LZ98"/>
      <c r="MA98"/>
      <c r="MB98"/>
      <c r="MC98"/>
      <c r="MD98"/>
      <c r="ME98"/>
      <c r="MF98"/>
      <c r="MG98"/>
      <c r="MH98"/>
      <c r="MI98"/>
      <c r="MJ98"/>
      <c r="MK98"/>
      <c r="ML98"/>
      <c r="MM98"/>
      <c r="MN98"/>
      <c r="MO98"/>
      <c r="MP98"/>
      <c r="MQ98"/>
      <c r="MR98"/>
      <c r="MS98"/>
      <c r="MT98"/>
      <c r="MU98"/>
      <c r="MV98"/>
      <c r="MW98"/>
      <c r="MX98"/>
      <c r="MY98"/>
      <c r="MZ98"/>
      <c r="NA98"/>
      <c r="NB98"/>
      <c r="NC98"/>
      <c r="ND98"/>
      <c r="NE98"/>
      <c r="NF98"/>
      <c r="NG98"/>
      <c r="NH98"/>
      <c r="NI98"/>
      <c r="NJ98"/>
      <c r="NK98"/>
      <c r="NL98"/>
      <c r="NM98"/>
      <c r="NN98"/>
      <c r="NO98"/>
      <c r="NP98"/>
      <c r="NQ98"/>
      <c r="NR98"/>
      <c r="NS98"/>
      <c r="NT98"/>
      <c r="NU98"/>
      <c r="NV98"/>
      <c r="NW98"/>
      <c r="NX98"/>
      <c r="NY98"/>
      <c r="NZ98"/>
      <c r="OA98"/>
      <c r="OB98"/>
      <c r="OC98"/>
      <c r="OD98"/>
      <c r="OE98"/>
      <c r="OF98"/>
      <c r="OG98"/>
      <c r="OH98"/>
      <c r="OI98"/>
      <c r="OJ98"/>
      <c r="OK98"/>
      <c r="OL98"/>
      <c r="OM98"/>
      <c r="ON98"/>
      <c r="OO98"/>
      <c r="OP98"/>
      <c r="OQ98"/>
      <c r="OR98"/>
      <c r="OS98"/>
      <c r="OT98"/>
      <c r="OU98"/>
      <c r="OV98"/>
      <c r="OW98"/>
      <c r="OX98"/>
      <c r="OY98"/>
      <c r="OZ98"/>
      <c r="PA98"/>
      <c r="PB98"/>
      <c r="PC98"/>
      <c r="PD98"/>
      <c r="PE98"/>
      <c r="PF98"/>
      <c r="PG98"/>
      <c r="PH98"/>
      <c r="PI98"/>
      <c r="PJ98"/>
      <c r="PK98"/>
      <c r="PL98"/>
      <c r="PM98"/>
      <c r="PN98"/>
      <c r="PO98"/>
      <c r="PP98"/>
      <c r="PQ98"/>
      <c r="PR98"/>
      <c r="PS98"/>
      <c r="PT98"/>
      <c r="PU98"/>
      <c r="PV98"/>
      <c r="PW98"/>
      <c r="PX98"/>
      <c r="PY98"/>
      <c r="PZ98"/>
      <c r="QA98"/>
      <c r="QB98"/>
      <c r="QC98"/>
      <c r="QD98"/>
      <c r="QE98"/>
      <c r="QF98"/>
      <c r="QG98"/>
      <c r="QH98"/>
      <c r="QI98"/>
      <c r="QJ98"/>
      <c r="QK98"/>
      <c r="QL98"/>
      <c r="QM98"/>
      <c r="QN98"/>
      <c r="QO98"/>
      <c r="QP98"/>
      <c r="QQ98"/>
      <c r="QR98"/>
      <c r="QS98"/>
      <c r="QT98"/>
      <c r="QU98"/>
      <c r="QV98"/>
      <c r="QW98"/>
      <c r="QX98"/>
      <c r="QY98"/>
      <c r="QZ98"/>
      <c r="RA98"/>
      <c r="RB98"/>
      <c r="RC98"/>
      <c r="RD98"/>
      <c r="RE98"/>
      <c r="RF98"/>
      <c r="RG98"/>
      <c r="RH98"/>
      <c r="RI98"/>
      <c r="RJ98"/>
      <c r="RK98"/>
      <c r="RL98"/>
      <c r="RM98"/>
      <c r="RN98"/>
      <c r="RO98"/>
      <c r="RP98"/>
      <c r="RQ98"/>
      <c r="RR98"/>
      <c r="RS98"/>
    </row>
    <row r="99" spans="3:487" x14ac:dyDescent="0.25">
      <c r="C99" s="2" t="s">
        <v>171</v>
      </c>
      <c r="D99" s="34">
        <v>1</v>
      </c>
      <c r="F99" s="2" t="s">
        <v>3639</v>
      </c>
      <c r="G99" s="34">
        <v>2</v>
      </c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  <c r="DK99"/>
      <c r="DL99"/>
      <c r="DM99"/>
      <c r="DN99"/>
      <c r="DO99"/>
      <c r="DP99"/>
      <c r="DQ99"/>
      <c r="DR99"/>
      <c r="DS99"/>
      <c r="DT99"/>
      <c r="DU99"/>
      <c r="DV99"/>
      <c r="DW99"/>
      <c r="DX99"/>
      <c r="DY99"/>
      <c r="DZ99"/>
      <c r="EA99"/>
      <c r="EB99"/>
      <c r="EC99"/>
      <c r="ED99"/>
      <c r="EE99"/>
      <c r="EF99"/>
      <c r="EG99"/>
      <c r="EH99"/>
      <c r="EI99"/>
      <c r="EJ99"/>
      <c r="EK99"/>
      <c r="EL99"/>
      <c r="EM99"/>
      <c r="EN99"/>
      <c r="EO99"/>
      <c r="EP99"/>
      <c r="EQ99"/>
      <c r="ER99"/>
      <c r="ES99"/>
      <c r="ET99"/>
      <c r="EU99"/>
      <c r="EV99"/>
      <c r="EW99"/>
      <c r="EX99"/>
      <c r="EY99"/>
      <c r="EZ99"/>
      <c r="FA99"/>
      <c r="FB99"/>
      <c r="FC99"/>
      <c r="FD99"/>
      <c r="FE99"/>
      <c r="FF99"/>
      <c r="FG99"/>
      <c r="FH99"/>
      <c r="FI99"/>
      <c r="FJ99"/>
      <c r="FK99"/>
      <c r="FL99"/>
      <c r="FM99"/>
      <c r="FN99"/>
      <c r="FO99"/>
      <c r="FP99"/>
      <c r="FQ99"/>
      <c r="FR99"/>
      <c r="FS99"/>
      <c r="FT99"/>
      <c r="FU99"/>
      <c r="FV99"/>
      <c r="FW99"/>
      <c r="FX99"/>
      <c r="FY99"/>
      <c r="FZ99"/>
      <c r="GA99"/>
      <c r="GB99"/>
      <c r="GC99"/>
      <c r="GD99"/>
      <c r="GE99"/>
      <c r="GF99"/>
      <c r="GG99"/>
      <c r="GH99"/>
      <c r="GI99"/>
      <c r="GJ99"/>
      <c r="GK99"/>
      <c r="GL99"/>
      <c r="GM99"/>
      <c r="GN99"/>
      <c r="GO99"/>
      <c r="GP99"/>
      <c r="GQ99"/>
      <c r="GR99"/>
      <c r="GS99"/>
      <c r="GT99"/>
      <c r="GU99"/>
      <c r="GV99"/>
      <c r="GW99"/>
      <c r="GX99"/>
      <c r="GY99"/>
      <c r="GZ99"/>
      <c r="HA99"/>
      <c r="HB99"/>
      <c r="HC99"/>
      <c r="HD99"/>
      <c r="HE99"/>
      <c r="HF99"/>
      <c r="HG99"/>
      <c r="HH99"/>
      <c r="HI99"/>
      <c r="HJ99"/>
      <c r="HK99"/>
      <c r="HL99"/>
      <c r="HM99"/>
      <c r="HN99"/>
      <c r="HO99"/>
      <c r="HP99"/>
      <c r="HQ99"/>
      <c r="HR99"/>
      <c r="HS99"/>
      <c r="HT99"/>
      <c r="HU99"/>
      <c r="HV99"/>
      <c r="HW99"/>
      <c r="HX99"/>
      <c r="HY99"/>
      <c r="HZ99"/>
      <c r="IA99"/>
      <c r="IB99"/>
      <c r="IC99"/>
      <c r="ID99"/>
      <c r="IE99"/>
      <c r="IF99"/>
      <c r="IG99"/>
      <c r="IH99"/>
      <c r="II99"/>
      <c r="IJ99"/>
      <c r="IK99"/>
      <c r="IL99"/>
      <c r="IM99"/>
      <c r="IN99"/>
      <c r="IO99"/>
      <c r="IP99"/>
      <c r="IQ99"/>
      <c r="IR99"/>
      <c r="IS99"/>
      <c r="IT99"/>
      <c r="IU99"/>
      <c r="IV99"/>
      <c r="IW99"/>
      <c r="IX99"/>
      <c r="IY99"/>
      <c r="IZ99"/>
      <c r="JA99"/>
      <c r="JB99"/>
      <c r="JC99"/>
      <c r="JD99"/>
      <c r="JE99"/>
      <c r="JF99"/>
      <c r="JG99"/>
      <c r="JH99"/>
      <c r="JI99"/>
      <c r="JJ99"/>
      <c r="JK99"/>
      <c r="JL99"/>
      <c r="JM99"/>
      <c r="JN99"/>
      <c r="JO99"/>
      <c r="JP99"/>
      <c r="JQ99"/>
      <c r="JR99"/>
      <c r="JS99"/>
      <c r="JT99"/>
      <c r="JU99"/>
      <c r="JV99"/>
      <c r="JW99"/>
      <c r="JX99"/>
      <c r="JY99"/>
      <c r="JZ99"/>
      <c r="KA99"/>
      <c r="KB99"/>
      <c r="KC99"/>
      <c r="KD99"/>
      <c r="KE99"/>
      <c r="KF99"/>
      <c r="KG99"/>
      <c r="KH99"/>
      <c r="KI99"/>
      <c r="KJ99"/>
      <c r="KK99"/>
      <c r="KL99"/>
      <c r="KM99"/>
      <c r="KN99"/>
      <c r="KO99"/>
      <c r="KP99"/>
      <c r="KQ99"/>
      <c r="KR99"/>
      <c r="KS99"/>
      <c r="KT99"/>
      <c r="KU99"/>
      <c r="KV99"/>
      <c r="KW99"/>
      <c r="KX99"/>
      <c r="KY99"/>
      <c r="KZ99"/>
      <c r="LA99"/>
      <c r="LB99"/>
      <c r="LC99"/>
      <c r="LD99"/>
      <c r="LE99"/>
      <c r="LF99"/>
      <c r="LG99"/>
      <c r="LH99"/>
      <c r="LI99"/>
      <c r="LJ99"/>
      <c r="LK99"/>
      <c r="LL99"/>
      <c r="LM99"/>
      <c r="LN99"/>
      <c r="LO99"/>
      <c r="LP99"/>
      <c r="LQ99"/>
      <c r="LR99"/>
      <c r="LS99"/>
      <c r="LT99"/>
      <c r="LU99"/>
      <c r="LV99"/>
      <c r="LW99"/>
      <c r="LX99"/>
      <c r="LY99"/>
      <c r="LZ99"/>
      <c r="MA99"/>
      <c r="MB99"/>
      <c r="MC99"/>
      <c r="MD99"/>
      <c r="ME99"/>
      <c r="MF99"/>
      <c r="MG99"/>
      <c r="MH99"/>
      <c r="MI99"/>
      <c r="MJ99"/>
      <c r="MK99"/>
      <c r="ML99"/>
      <c r="MM99"/>
      <c r="MN99"/>
      <c r="MO99"/>
      <c r="MP99"/>
      <c r="MQ99"/>
      <c r="MR99"/>
      <c r="MS99"/>
      <c r="MT99"/>
      <c r="MU99"/>
      <c r="MV99"/>
      <c r="MW99"/>
      <c r="MX99"/>
      <c r="MY99"/>
      <c r="MZ99"/>
      <c r="NA99"/>
      <c r="NB99"/>
      <c r="NC99"/>
      <c r="ND99"/>
      <c r="NE99"/>
      <c r="NF99"/>
      <c r="NG99"/>
      <c r="NH99"/>
      <c r="NI99"/>
      <c r="NJ99"/>
      <c r="NK99"/>
      <c r="NL99"/>
      <c r="NM99"/>
      <c r="NN99"/>
      <c r="NO99"/>
      <c r="NP99"/>
      <c r="NQ99"/>
      <c r="NR99"/>
      <c r="NS99"/>
      <c r="NT99"/>
      <c r="NU99"/>
      <c r="NV99"/>
      <c r="NW99"/>
      <c r="NX99"/>
      <c r="NY99"/>
      <c r="NZ99"/>
      <c r="OA99"/>
      <c r="OB99"/>
      <c r="OC99"/>
      <c r="OD99"/>
      <c r="OE99"/>
      <c r="OF99"/>
      <c r="OG99"/>
      <c r="OH99"/>
      <c r="OI99"/>
      <c r="OJ99"/>
      <c r="OK99"/>
      <c r="OL99"/>
      <c r="OM99"/>
      <c r="ON99"/>
      <c r="OO99"/>
      <c r="OP99"/>
      <c r="OQ99"/>
      <c r="OR99"/>
      <c r="OS99"/>
      <c r="OT99"/>
      <c r="OU99"/>
      <c r="OV99"/>
      <c r="OW99"/>
      <c r="OX99"/>
      <c r="OY99"/>
      <c r="OZ99"/>
      <c r="PA99"/>
      <c r="PB99"/>
      <c r="PC99"/>
      <c r="PD99"/>
      <c r="PE99"/>
      <c r="PF99"/>
      <c r="PG99"/>
      <c r="PH99"/>
      <c r="PI99"/>
      <c r="PJ99"/>
      <c r="PK99"/>
      <c r="PL99"/>
      <c r="PM99"/>
      <c r="PN99"/>
      <c r="PO99"/>
      <c r="PP99"/>
      <c r="PQ99"/>
      <c r="PR99"/>
      <c r="PS99"/>
      <c r="PT99"/>
      <c r="PU99"/>
      <c r="PV99"/>
      <c r="PW99"/>
      <c r="PX99"/>
      <c r="PY99"/>
      <c r="PZ99"/>
      <c r="QA99"/>
      <c r="QB99"/>
      <c r="QC99"/>
      <c r="QD99"/>
      <c r="QE99"/>
      <c r="QF99"/>
      <c r="QG99"/>
      <c r="QH99"/>
      <c r="QI99"/>
      <c r="QJ99"/>
      <c r="QK99"/>
      <c r="QL99"/>
      <c r="QM99"/>
      <c r="QN99"/>
      <c r="QO99"/>
      <c r="QP99"/>
      <c r="QQ99"/>
      <c r="QR99"/>
      <c r="QS99"/>
      <c r="QT99"/>
      <c r="QU99"/>
      <c r="QV99"/>
      <c r="QW99"/>
      <c r="QX99"/>
      <c r="QY99"/>
      <c r="QZ99"/>
      <c r="RA99"/>
      <c r="RB99"/>
      <c r="RC99"/>
      <c r="RD99"/>
      <c r="RE99"/>
      <c r="RF99"/>
      <c r="RG99"/>
      <c r="RH99"/>
      <c r="RI99"/>
      <c r="RJ99"/>
      <c r="RK99"/>
      <c r="RL99"/>
      <c r="RM99"/>
      <c r="RN99"/>
      <c r="RO99"/>
      <c r="RP99"/>
      <c r="RQ99"/>
      <c r="RR99"/>
      <c r="RS99"/>
    </row>
    <row r="100" spans="3:487" x14ac:dyDescent="0.25">
      <c r="C100" s="2" t="s">
        <v>3660</v>
      </c>
      <c r="D100" s="34">
        <v>1</v>
      </c>
      <c r="F100" s="2" t="s">
        <v>266</v>
      </c>
      <c r="G100" s="34">
        <v>2</v>
      </c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  <c r="DU100"/>
      <c r="DV100"/>
      <c r="DW100"/>
      <c r="DX100"/>
      <c r="DY100"/>
      <c r="DZ100"/>
      <c r="EA100"/>
      <c r="EB100"/>
      <c r="EC100"/>
      <c r="ED100"/>
      <c r="EE100"/>
      <c r="EF100"/>
      <c r="EG100"/>
      <c r="EH100"/>
      <c r="EI100"/>
      <c r="EJ100"/>
      <c r="EK100"/>
      <c r="EL100"/>
      <c r="EM100"/>
      <c r="EN100"/>
      <c r="EO100"/>
      <c r="EP100"/>
      <c r="EQ100"/>
      <c r="ER100"/>
      <c r="ES100"/>
      <c r="ET100"/>
      <c r="EU100"/>
      <c r="EV100"/>
      <c r="EW100"/>
      <c r="EX100"/>
      <c r="EY100"/>
      <c r="EZ100"/>
      <c r="FA100"/>
      <c r="FB100"/>
      <c r="FC100"/>
      <c r="FD100"/>
      <c r="FE100"/>
      <c r="FF100"/>
      <c r="FG100"/>
      <c r="FH100"/>
      <c r="FI100"/>
      <c r="FJ100"/>
      <c r="FK100"/>
      <c r="FL100"/>
      <c r="FM100"/>
      <c r="FN100"/>
      <c r="FO100"/>
      <c r="FP100"/>
      <c r="FQ100"/>
      <c r="FR100"/>
      <c r="FS100"/>
      <c r="FT100"/>
      <c r="FU100"/>
      <c r="FV100"/>
      <c r="FW100"/>
      <c r="FX100"/>
      <c r="FY100"/>
      <c r="FZ100"/>
      <c r="GA100"/>
      <c r="GB100"/>
      <c r="GC100"/>
      <c r="GD100"/>
      <c r="GE100"/>
      <c r="GF100"/>
      <c r="GG100"/>
      <c r="GH100"/>
      <c r="GI100"/>
      <c r="GJ100"/>
      <c r="GK100"/>
      <c r="GL100"/>
      <c r="GM100"/>
      <c r="GN100"/>
      <c r="GO100"/>
      <c r="GP100"/>
      <c r="GQ100"/>
      <c r="GR100"/>
      <c r="GS100"/>
      <c r="GT100"/>
      <c r="GU100"/>
      <c r="GV100"/>
      <c r="GW100"/>
      <c r="GX100"/>
      <c r="GY100"/>
      <c r="GZ100"/>
      <c r="HA100"/>
      <c r="HB100"/>
      <c r="HC100"/>
      <c r="HD100"/>
      <c r="HE100"/>
      <c r="HF100"/>
      <c r="HG100"/>
      <c r="HH100"/>
      <c r="HI100"/>
      <c r="HJ100"/>
      <c r="HK100"/>
      <c r="HL100"/>
      <c r="HM100"/>
      <c r="HN100"/>
      <c r="HO100"/>
      <c r="HP100"/>
      <c r="HQ100"/>
      <c r="HR100"/>
      <c r="HS100"/>
      <c r="HT100"/>
      <c r="HU100"/>
      <c r="HV100"/>
      <c r="HW100"/>
      <c r="HX100"/>
      <c r="HY100"/>
      <c r="HZ100"/>
      <c r="IA100"/>
      <c r="IB100"/>
      <c r="IC100"/>
      <c r="ID100"/>
      <c r="IE100"/>
      <c r="IF100"/>
      <c r="IG100"/>
      <c r="IH100"/>
      <c r="II100"/>
      <c r="IJ100"/>
      <c r="IK100"/>
      <c r="IL100"/>
      <c r="IM100"/>
      <c r="IN100"/>
      <c r="IO100"/>
      <c r="IP100"/>
      <c r="IQ100"/>
      <c r="IR100"/>
      <c r="IS100"/>
      <c r="IT100"/>
      <c r="IU100"/>
      <c r="IV100"/>
      <c r="IW100"/>
      <c r="IX100"/>
      <c r="IY100"/>
      <c r="IZ100"/>
      <c r="JA100"/>
      <c r="JB100"/>
      <c r="JC100"/>
      <c r="JD100"/>
      <c r="JE100"/>
      <c r="JF100"/>
      <c r="JG100"/>
      <c r="JH100"/>
      <c r="JI100"/>
      <c r="JJ100"/>
      <c r="JK100"/>
      <c r="JL100"/>
      <c r="JM100"/>
      <c r="JN100"/>
      <c r="JO100"/>
      <c r="JP100"/>
      <c r="JQ100"/>
      <c r="JR100"/>
      <c r="JS100"/>
      <c r="JT100"/>
      <c r="JU100"/>
      <c r="JV100"/>
      <c r="JW100"/>
      <c r="JX100"/>
      <c r="JY100"/>
      <c r="JZ100"/>
      <c r="KA100"/>
      <c r="KB100"/>
      <c r="KC100"/>
      <c r="KD100"/>
      <c r="KE100"/>
      <c r="KF100"/>
      <c r="KG100"/>
      <c r="KH100"/>
      <c r="KI100"/>
      <c r="KJ100"/>
      <c r="KK100"/>
      <c r="KL100"/>
      <c r="KM100"/>
      <c r="KN100"/>
      <c r="KO100"/>
      <c r="KP100"/>
      <c r="KQ100"/>
      <c r="KR100"/>
      <c r="KS100"/>
      <c r="KT100"/>
      <c r="KU100"/>
      <c r="KV100"/>
      <c r="KW100"/>
      <c r="KX100"/>
      <c r="KY100"/>
      <c r="KZ100"/>
      <c r="LA100"/>
      <c r="LB100"/>
      <c r="LC100"/>
      <c r="LD100"/>
      <c r="LE100"/>
      <c r="LF100"/>
      <c r="LG100"/>
      <c r="LH100"/>
      <c r="LI100"/>
      <c r="LJ100"/>
      <c r="LK100"/>
      <c r="LL100"/>
      <c r="LM100"/>
      <c r="LN100"/>
      <c r="LO100"/>
      <c r="LP100"/>
      <c r="LQ100"/>
      <c r="LR100"/>
      <c r="LS100"/>
      <c r="LT100"/>
      <c r="LU100"/>
      <c r="LV100"/>
      <c r="LW100"/>
      <c r="LX100"/>
      <c r="LY100"/>
      <c r="LZ100"/>
      <c r="MA100"/>
      <c r="MB100"/>
      <c r="MC100"/>
      <c r="MD100"/>
      <c r="ME100"/>
      <c r="MF100"/>
      <c r="MG100"/>
      <c r="MH100"/>
      <c r="MI100"/>
      <c r="MJ100"/>
      <c r="MK100"/>
      <c r="ML100"/>
      <c r="MM100"/>
      <c r="MN100"/>
      <c r="MO100"/>
      <c r="MP100"/>
      <c r="MQ100"/>
      <c r="MR100"/>
      <c r="MS100"/>
      <c r="MT100"/>
      <c r="MU100"/>
      <c r="MV100"/>
      <c r="MW100"/>
      <c r="MX100"/>
      <c r="MY100"/>
      <c r="MZ100"/>
      <c r="NA100"/>
      <c r="NB100"/>
      <c r="NC100"/>
      <c r="ND100"/>
      <c r="NE100"/>
      <c r="NF100"/>
      <c r="NG100"/>
      <c r="NH100"/>
      <c r="NI100"/>
      <c r="NJ100"/>
      <c r="NK100"/>
      <c r="NL100"/>
      <c r="NM100"/>
      <c r="NN100"/>
      <c r="NO100"/>
      <c r="NP100"/>
      <c r="NQ100"/>
      <c r="NR100"/>
      <c r="NS100"/>
      <c r="NT100"/>
      <c r="NU100"/>
      <c r="NV100"/>
      <c r="NW100"/>
      <c r="NX100"/>
      <c r="NY100"/>
      <c r="NZ100"/>
      <c r="OA100"/>
      <c r="OB100"/>
      <c r="OC100"/>
      <c r="OD100"/>
      <c r="OE100"/>
      <c r="OF100"/>
      <c r="OG100"/>
      <c r="OH100"/>
      <c r="OI100"/>
      <c r="OJ100"/>
      <c r="OK100"/>
      <c r="OL100"/>
      <c r="OM100"/>
      <c r="ON100"/>
      <c r="OO100"/>
      <c r="OP100"/>
      <c r="OQ100"/>
      <c r="OR100"/>
      <c r="OS100"/>
      <c r="OT100"/>
      <c r="OU100"/>
      <c r="OV100"/>
      <c r="OW100"/>
      <c r="OX100"/>
      <c r="OY100"/>
      <c r="OZ100"/>
      <c r="PA100"/>
      <c r="PB100"/>
      <c r="PC100"/>
      <c r="PD100"/>
      <c r="PE100"/>
      <c r="PF100"/>
      <c r="PG100"/>
      <c r="PH100"/>
      <c r="PI100"/>
      <c r="PJ100"/>
      <c r="PK100"/>
      <c r="PL100"/>
      <c r="PM100"/>
      <c r="PN100"/>
      <c r="PO100"/>
      <c r="PP100"/>
      <c r="PQ100"/>
      <c r="PR100"/>
      <c r="PS100"/>
      <c r="PT100"/>
      <c r="PU100"/>
      <c r="PV100"/>
      <c r="PW100"/>
      <c r="PX100"/>
      <c r="PY100"/>
      <c r="PZ100"/>
      <c r="QA100"/>
      <c r="QB100"/>
      <c r="QC100"/>
      <c r="QD100"/>
      <c r="QE100"/>
      <c r="QF100"/>
      <c r="QG100"/>
      <c r="QH100"/>
      <c r="QI100"/>
      <c r="QJ100"/>
      <c r="QK100"/>
      <c r="QL100"/>
      <c r="QM100"/>
      <c r="QN100"/>
      <c r="QO100"/>
      <c r="QP100"/>
      <c r="QQ100"/>
      <c r="QR100"/>
      <c r="QS100"/>
      <c r="QT100"/>
      <c r="QU100"/>
      <c r="QV100"/>
      <c r="QW100"/>
      <c r="QX100"/>
      <c r="QY100"/>
      <c r="QZ100"/>
      <c r="RA100"/>
      <c r="RB100"/>
      <c r="RC100"/>
      <c r="RD100"/>
      <c r="RE100"/>
      <c r="RF100"/>
      <c r="RG100"/>
      <c r="RH100"/>
      <c r="RI100"/>
      <c r="RJ100"/>
      <c r="RK100"/>
      <c r="RL100"/>
      <c r="RM100"/>
      <c r="RN100"/>
      <c r="RO100"/>
      <c r="RP100"/>
      <c r="RQ100"/>
      <c r="RR100"/>
      <c r="RS100"/>
    </row>
    <row r="101" spans="3:487" x14ac:dyDescent="0.25">
      <c r="C101" s="2" t="s">
        <v>175</v>
      </c>
      <c r="D101" s="34">
        <v>1</v>
      </c>
      <c r="F101" s="2" t="s">
        <v>231</v>
      </c>
      <c r="G101" s="34">
        <v>2</v>
      </c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  <c r="DU101"/>
      <c r="DV101"/>
      <c r="DW101"/>
      <c r="DX101"/>
      <c r="DY101"/>
      <c r="DZ101"/>
      <c r="EA101"/>
      <c r="EB101"/>
      <c r="EC101"/>
      <c r="ED101"/>
      <c r="EE101"/>
      <c r="EF101"/>
      <c r="EG101"/>
      <c r="EH101"/>
      <c r="EI101"/>
      <c r="EJ101"/>
      <c r="EK101"/>
      <c r="EL101"/>
      <c r="EM101"/>
      <c r="EN101"/>
      <c r="EO101"/>
      <c r="EP101"/>
      <c r="EQ101"/>
      <c r="ER101"/>
      <c r="ES101"/>
      <c r="ET101"/>
      <c r="EU101"/>
      <c r="EV101"/>
      <c r="EW101"/>
      <c r="EX101"/>
      <c r="EY101"/>
      <c r="EZ101"/>
      <c r="FA101"/>
      <c r="FB101"/>
      <c r="FC101"/>
      <c r="FD101"/>
      <c r="FE101"/>
      <c r="FF101"/>
      <c r="FG101"/>
      <c r="FH101"/>
      <c r="FI101"/>
      <c r="FJ101"/>
      <c r="FK101"/>
      <c r="FL101"/>
      <c r="FM101"/>
      <c r="FN101"/>
      <c r="FO101"/>
      <c r="FP101"/>
      <c r="FQ101"/>
      <c r="FR101"/>
      <c r="FS101"/>
      <c r="FT101"/>
      <c r="FU101"/>
      <c r="FV101"/>
      <c r="FW101"/>
      <c r="FX101"/>
      <c r="FY101"/>
      <c r="FZ101"/>
      <c r="GA101"/>
      <c r="GB101"/>
      <c r="GC101"/>
      <c r="GD101"/>
      <c r="GE101"/>
      <c r="GF101"/>
      <c r="GG101"/>
      <c r="GH101"/>
      <c r="GI101"/>
      <c r="GJ101"/>
      <c r="GK101"/>
      <c r="GL101"/>
      <c r="GM101"/>
      <c r="GN101"/>
      <c r="GO101"/>
      <c r="GP101"/>
      <c r="GQ101"/>
      <c r="GR101"/>
      <c r="GS101"/>
      <c r="GT101"/>
      <c r="GU101"/>
      <c r="GV101"/>
      <c r="GW101"/>
      <c r="GX101"/>
      <c r="GY101"/>
      <c r="GZ101"/>
      <c r="HA101"/>
      <c r="HB101"/>
      <c r="HC101"/>
      <c r="HD101"/>
      <c r="HE101"/>
      <c r="HF101"/>
      <c r="HG101"/>
      <c r="HH101"/>
      <c r="HI101"/>
      <c r="HJ101"/>
      <c r="HK101"/>
      <c r="HL101"/>
      <c r="HM101"/>
      <c r="HN101"/>
      <c r="HO101"/>
      <c r="HP101"/>
      <c r="HQ101"/>
      <c r="HR101"/>
      <c r="HS101"/>
      <c r="HT101"/>
      <c r="HU101"/>
      <c r="HV101"/>
      <c r="HW101"/>
      <c r="HX101"/>
      <c r="HY101"/>
      <c r="HZ101"/>
      <c r="IA101"/>
      <c r="IB101"/>
      <c r="IC101"/>
      <c r="ID101"/>
      <c r="IE101"/>
      <c r="IF101"/>
      <c r="IG101"/>
      <c r="IH101"/>
      <c r="II101"/>
      <c r="IJ101"/>
      <c r="IK101"/>
      <c r="IL101"/>
      <c r="IM101"/>
      <c r="IN101"/>
      <c r="IO101"/>
      <c r="IP101"/>
      <c r="IQ101"/>
      <c r="IR101"/>
      <c r="IS101"/>
      <c r="IT101"/>
      <c r="IU101"/>
      <c r="IV101"/>
      <c r="IW101"/>
      <c r="IX101"/>
      <c r="IY101"/>
      <c r="IZ101"/>
      <c r="JA101"/>
      <c r="JB101"/>
      <c r="JC101"/>
      <c r="JD101"/>
      <c r="JE101"/>
      <c r="JF101"/>
      <c r="JG101"/>
      <c r="JH101"/>
      <c r="JI101"/>
      <c r="JJ101"/>
      <c r="JK101"/>
      <c r="JL101"/>
      <c r="JM101"/>
      <c r="JN101"/>
      <c r="JO101"/>
      <c r="JP101"/>
      <c r="JQ101"/>
      <c r="JR101"/>
      <c r="JS101"/>
      <c r="JT101"/>
      <c r="JU101"/>
      <c r="JV101"/>
      <c r="JW101"/>
      <c r="JX101"/>
      <c r="JY101"/>
      <c r="JZ101"/>
      <c r="KA101"/>
      <c r="KB101"/>
      <c r="KC101"/>
      <c r="KD101"/>
      <c r="KE101"/>
      <c r="KF101"/>
      <c r="KG101"/>
      <c r="KH101"/>
      <c r="KI101"/>
      <c r="KJ101"/>
      <c r="KK101"/>
      <c r="KL101"/>
      <c r="KM101"/>
      <c r="KN101"/>
      <c r="KO101"/>
      <c r="KP101"/>
      <c r="KQ101"/>
      <c r="KR101"/>
      <c r="KS101"/>
      <c r="KT101"/>
      <c r="KU101"/>
      <c r="KV101"/>
      <c r="KW101"/>
      <c r="KX101"/>
      <c r="KY101"/>
      <c r="KZ101"/>
      <c r="LA101"/>
      <c r="LB101"/>
      <c r="LC101"/>
      <c r="LD101"/>
      <c r="LE101"/>
      <c r="LF101"/>
      <c r="LG101"/>
      <c r="LH101"/>
      <c r="LI101"/>
      <c r="LJ101"/>
      <c r="LK101"/>
      <c r="LL101"/>
      <c r="LM101"/>
      <c r="LN101"/>
      <c r="LO101"/>
      <c r="LP101"/>
      <c r="LQ101"/>
      <c r="LR101"/>
      <c r="LS101"/>
      <c r="LT101"/>
      <c r="LU101"/>
      <c r="LV101"/>
      <c r="LW101"/>
      <c r="LX101"/>
      <c r="LY101"/>
      <c r="LZ101"/>
      <c r="MA101"/>
      <c r="MB101"/>
      <c r="MC101"/>
      <c r="MD101"/>
      <c r="ME101"/>
      <c r="MF101"/>
      <c r="MG101"/>
      <c r="MH101"/>
      <c r="MI101"/>
      <c r="MJ101"/>
      <c r="MK101"/>
      <c r="ML101"/>
      <c r="MM101"/>
      <c r="MN101"/>
      <c r="MO101"/>
      <c r="MP101"/>
      <c r="MQ101"/>
      <c r="MR101"/>
      <c r="MS101"/>
      <c r="MT101"/>
      <c r="MU101"/>
      <c r="MV101"/>
      <c r="MW101"/>
      <c r="MX101"/>
      <c r="MY101"/>
      <c r="MZ101"/>
      <c r="NA101"/>
      <c r="NB101"/>
      <c r="NC101"/>
      <c r="ND101"/>
      <c r="NE101"/>
      <c r="NF101"/>
      <c r="NG101"/>
      <c r="NH101"/>
      <c r="NI101"/>
      <c r="NJ101"/>
      <c r="NK101"/>
      <c r="NL101"/>
      <c r="NM101"/>
      <c r="NN101"/>
      <c r="NO101"/>
      <c r="NP101"/>
      <c r="NQ101"/>
      <c r="NR101"/>
      <c r="NS101"/>
      <c r="NT101"/>
      <c r="NU101"/>
      <c r="NV101"/>
      <c r="NW101"/>
      <c r="NX101"/>
      <c r="NY101"/>
      <c r="NZ101"/>
      <c r="OA101"/>
      <c r="OB101"/>
      <c r="OC101"/>
      <c r="OD101"/>
      <c r="OE101"/>
      <c r="OF101"/>
      <c r="OG101"/>
      <c r="OH101"/>
      <c r="OI101"/>
      <c r="OJ101"/>
      <c r="OK101"/>
      <c r="OL101"/>
      <c r="OM101"/>
      <c r="ON101"/>
      <c r="OO101"/>
      <c r="OP101"/>
      <c r="OQ101"/>
      <c r="OR101"/>
      <c r="OS101"/>
      <c r="OT101"/>
      <c r="OU101"/>
      <c r="OV101"/>
      <c r="OW101"/>
      <c r="OX101"/>
      <c r="OY101"/>
      <c r="OZ101"/>
      <c r="PA101"/>
      <c r="PB101"/>
      <c r="PC101"/>
      <c r="PD101"/>
      <c r="PE101"/>
      <c r="PF101"/>
      <c r="PG101"/>
      <c r="PH101"/>
      <c r="PI101"/>
      <c r="PJ101"/>
      <c r="PK101"/>
      <c r="PL101"/>
      <c r="PM101"/>
      <c r="PN101"/>
      <c r="PO101"/>
      <c r="PP101"/>
      <c r="PQ101"/>
      <c r="PR101"/>
      <c r="PS101"/>
      <c r="PT101"/>
      <c r="PU101"/>
      <c r="PV101"/>
      <c r="PW101"/>
      <c r="PX101"/>
      <c r="PY101"/>
      <c r="PZ101"/>
      <c r="QA101"/>
      <c r="QB101"/>
      <c r="QC101"/>
      <c r="QD101"/>
      <c r="QE101"/>
      <c r="QF101"/>
      <c r="QG101"/>
      <c r="QH101"/>
      <c r="QI101"/>
      <c r="QJ101"/>
      <c r="QK101"/>
      <c r="QL101"/>
      <c r="QM101"/>
      <c r="QN101"/>
      <c r="QO101"/>
      <c r="QP101"/>
      <c r="QQ101"/>
      <c r="QR101"/>
      <c r="QS101"/>
      <c r="QT101"/>
      <c r="QU101"/>
      <c r="QV101"/>
      <c r="QW101"/>
      <c r="QX101"/>
      <c r="QY101"/>
      <c r="QZ101"/>
      <c r="RA101"/>
      <c r="RB101"/>
      <c r="RC101"/>
      <c r="RD101"/>
      <c r="RE101"/>
      <c r="RF101"/>
      <c r="RG101"/>
      <c r="RH101"/>
      <c r="RI101"/>
      <c r="RJ101"/>
      <c r="RK101"/>
      <c r="RL101"/>
      <c r="RM101"/>
      <c r="RN101"/>
      <c r="RO101"/>
      <c r="RP101"/>
      <c r="RQ101"/>
      <c r="RR101"/>
      <c r="RS101"/>
    </row>
    <row r="102" spans="3:487" x14ac:dyDescent="0.25">
      <c r="C102" s="2" t="s">
        <v>282</v>
      </c>
      <c r="D102" s="34">
        <v>1</v>
      </c>
      <c r="F102" s="2" t="s">
        <v>79</v>
      </c>
      <c r="G102" s="34">
        <v>2</v>
      </c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  <c r="DU102"/>
      <c r="DV102"/>
      <c r="DW102"/>
      <c r="DX102"/>
      <c r="DY102"/>
      <c r="DZ102"/>
      <c r="EA102"/>
      <c r="EB102"/>
      <c r="EC102"/>
      <c r="ED102"/>
      <c r="EE102"/>
      <c r="EF102"/>
      <c r="EG102"/>
      <c r="EH102"/>
      <c r="EI102"/>
      <c r="EJ102"/>
      <c r="EK102"/>
      <c r="EL102"/>
      <c r="EM102"/>
      <c r="EN102"/>
      <c r="EO102"/>
      <c r="EP102"/>
      <c r="EQ102"/>
      <c r="ER102"/>
      <c r="ES102"/>
      <c r="ET102"/>
      <c r="EU102"/>
      <c r="EV102"/>
      <c r="EW102"/>
      <c r="EX102"/>
      <c r="EY102"/>
      <c r="EZ102"/>
      <c r="FA102"/>
      <c r="FB102"/>
      <c r="FC102"/>
      <c r="FD102"/>
      <c r="FE102"/>
      <c r="FF102"/>
      <c r="FG102"/>
      <c r="FH102"/>
      <c r="FI102"/>
      <c r="FJ102"/>
      <c r="FK102"/>
      <c r="FL102"/>
      <c r="FM102"/>
      <c r="FN102"/>
      <c r="FO102"/>
      <c r="FP102"/>
      <c r="FQ102"/>
      <c r="FR102"/>
      <c r="FS102"/>
      <c r="FT102"/>
      <c r="FU102"/>
      <c r="FV102"/>
      <c r="FW102"/>
      <c r="FX102"/>
      <c r="FY102"/>
      <c r="FZ102"/>
      <c r="GA102"/>
      <c r="GB102"/>
      <c r="GC102"/>
      <c r="GD102"/>
      <c r="GE102"/>
      <c r="GF102"/>
      <c r="GG102"/>
      <c r="GH102"/>
      <c r="GI102"/>
      <c r="GJ102"/>
      <c r="GK102"/>
      <c r="GL102"/>
      <c r="GM102"/>
      <c r="GN102"/>
      <c r="GO102"/>
      <c r="GP102"/>
      <c r="GQ102"/>
      <c r="GR102"/>
      <c r="GS102"/>
      <c r="GT102"/>
      <c r="GU102"/>
      <c r="GV102"/>
      <c r="GW102"/>
      <c r="GX102"/>
      <c r="GY102"/>
      <c r="GZ102"/>
      <c r="HA102"/>
      <c r="HB102"/>
      <c r="HC102"/>
      <c r="HD102"/>
      <c r="HE102"/>
      <c r="HF102"/>
      <c r="HG102"/>
      <c r="HH102"/>
      <c r="HI102"/>
      <c r="HJ102"/>
      <c r="HK102"/>
      <c r="HL102"/>
      <c r="HM102"/>
      <c r="HN102"/>
      <c r="HO102"/>
      <c r="HP102"/>
      <c r="HQ102"/>
      <c r="HR102"/>
      <c r="HS102"/>
      <c r="HT102"/>
      <c r="HU102"/>
      <c r="HV102"/>
      <c r="HW102"/>
      <c r="HX102"/>
      <c r="HY102"/>
      <c r="HZ102"/>
      <c r="IA102"/>
      <c r="IB102"/>
      <c r="IC102"/>
      <c r="ID102"/>
      <c r="IE102"/>
      <c r="IF102"/>
      <c r="IG102"/>
      <c r="IH102"/>
      <c r="II102"/>
      <c r="IJ102"/>
      <c r="IK102"/>
      <c r="IL102"/>
      <c r="IM102"/>
      <c r="IN102"/>
      <c r="IO102"/>
      <c r="IP102"/>
      <c r="IQ102"/>
      <c r="IR102"/>
      <c r="IS102"/>
      <c r="IT102"/>
      <c r="IU102"/>
      <c r="IV102"/>
      <c r="IW102"/>
      <c r="IX102"/>
      <c r="IY102"/>
      <c r="IZ102"/>
      <c r="JA102"/>
      <c r="JB102"/>
      <c r="JC102"/>
      <c r="JD102"/>
      <c r="JE102"/>
      <c r="JF102"/>
      <c r="JG102"/>
      <c r="JH102"/>
      <c r="JI102"/>
      <c r="JJ102"/>
      <c r="JK102"/>
      <c r="JL102"/>
      <c r="JM102"/>
      <c r="JN102"/>
      <c r="JO102"/>
      <c r="JP102"/>
      <c r="JQ102"/>
      <c r="JR102"/>
      <c r="JS102"/>
      <c r="JT102"/>
      <c r="JU102"/>
      <c r="JV102"/>
      <c r="JW102"/>
      <c r="JX102"/>
      <c r="JY102"/>
      <c r="JZ102"/>
      <c r="KA102"/>
      <c r="KB102"/>
      <c r="KC102"/>
      <c r="KD102"/>
      <c r="KE102"/>
      <c r="KF102"/>
      <c r="KG102"/>
      <c r="KH102"/>
      <c r="KI102"/>
      <c r="KJ102"/>
      <c r="KK102"/>
      <c r="KL102"/>
      <c r="KM102"/>
      <c r="KN102"/>
      <c r="KO102"/>
      <c r="KP102"/>
      <c r="KQ102"/>
      <c r="KR102"/>
      <c r="KS102"/>
      <c r="KT102"/>
      <c r="KU102"/>
      <c r="KV102"/>
      <c r="KW102"/>
      <c r="KX102"/>
      <c r="KY102"/>
      <c r="KZ102"/>
      <c r="LA102"/>
      <c r="LB102"/>
      <c r="LC102"/>
      <c r="LD102"/>
      <c r="LE102"/>
      <c r="LF102"/>
      <c r="LG102"/>
      <c r="LH102"/>
      <c r="LI102"/>
      <c r="LJ102"/>
      <c r="LK102"/>
      <c r="LL102"/>
      <c r="LM102"/>
      <c r="LN102"/>
      <c r="LO102"/>
      <c r="LP102"/>
      <c r="LQ102"/>
      <c r="LR102"/>
      <c r="LS102"/>
      <c r="LT102"/>
      <c r="LU102"/>
      <c r="LV102"/>
      <c r="LW102"/>
      <c r="LX102"/>
      <c r="LY102"/>
      <c r="LZ102"/>
      <c r="MA102"/>
      <c r="MB102"/>
      <c r="MC102"/>
      <c r="MD102"/>
      <c r="ME102"/>
      <c r="MF102"/>
      <c r="MG102"/>
      <c r="MH102"/>
      <c r="MI102"/>
      <c r="MJ102"/>
      <c r="MK102"/>
      <c r="ML102"/>
      <c r="MM102"/>
      <c r="MN102"/>
      <c r="MO102"/>
      <c r="MP102"/>
      <c r="MQ102"/>
      <c r="MR102"/>
      <c r="MS102"/>
      <c r="MT102"/>
      <c r="MU102"/>
      <c r="MV102"/>
      <c r="MW102"/>
      <c r="MX102"/>
      <c r="MY102"/>
      <c r="MZ102"/>
      <c r="NA102"/>
      <c r="NB102"/>
      <c r="NC102"/>
      <c r="ND102"/>
      <c r="NE102"/>
      <c r="NF102"/>
      <c r="NG102"/>
      <c r="NH102"/>
      <c r="NI102"/>
      <c r="NJ102"/>
      <c r="NK102"/>
      <c r="NL102"/>
      <c r="NM102"/>
      <c r="NN102"/>
      <c r="NO102"/>
      <c r="NP102"/>
      <c r="NQ102"/>
      <c r="NR102"/>
      <c r="NS102"/>
      <c r="NT102"/>
      <c r="NU102"/>
      <c r="NV102"/>
      <c r="NW102"/>
      <c r="NX102"/>
      <c r="NY102"/>
      <c r="NZ102"/>
      <c r="OA102"/>
      <c r="OB102"/>
      <c r="OC102"/>
      <c r="OD102"/>
      <c r="OE102"/>
      <c r="OF102"/>
      <c r="OG102"/>
      <c r="OH102"/>
      <c r="OI102"/>
      <c r="OJ102"/>
      <c r="OK102"/>
      <c r="OL102"/>
      <c r="OM102"/>
      <c r="ON102"/>
      <c r="OO102"/>
      <c r="OP102"/>
      <c r="OQ102"/>
      <c r="OR102"/>
      <c r="OS102"/>
      <c r="OT102"/>
      <c r="OU102"/>
      <c r="OV102"/>
      <c r="OW102"/>
      <c r="OX102"/>
      <c r="OY102"/>
      <c r="OZ102"/>
      <c r="PA102"/>
      <c r="PB102"/>
      <c r="PC102"/>
      <c r="PD102"/>
      <c r="PE102"/>
      <c r="PF102"/>
      <c r="PG102"/>
      <c r="PH102"/>
      <c r="PI102"/>
      <c r="PJ102"/>
      <c r="PK102"/>
      <c r="PL102"/>
      <c r="PM102"/>
      <c r="PN102"/>
      <c r="PO102"/>
      <c r="PP102"/>
      <c r="PQ102"/>
      <c r="PR102"/>
      <c r="PS102"/>
      <c r="PT102"/>
      <c r="PU102"/>
      <c r="PV102"/>
      <c r="PW102"/>
      <c r="PX102"/>
      <c r="PY102"/>
      <c r="PZ102"/>
      <c r="QA102"/>
      <c r="QB102"/>
      <c r="QC102"/>
      <c r="QD102"/>
      <c r="QE102"/>
      <c r="QF102"/>
      <c r="QG102"/>
      <c r="QH102"/>
      <c r="QI102"/>
      <c r="QJ102"/>
      <c r="QK102"/>
      <c r="QL102"/>
      <c r="QM102"/>
      <c r="QN102"/>
      <c r="QO102"/>
      <c r="QP102"/>
      <c r="QQ102"/>
      <c r="QR102"/>
      <c r="QS102"/>
      <c r="QT102"/>
      <c r="QU102"/>
      <c r="QV102"/>
      <c r="QW102"/>
      <c r="QX102"/>
      <c r="QY102"/>
      <c r="QZ102"/>
      <c r="RA102"/>
      <c r="RB102"/>
      <c r="RC102"/>
      <c r="RD102"/>
      <c r="RE102"/>
      <c r="RF102"/>
      <c r="RG102"/>
      <c r="RH102"/>
      <c r="RI102"/>
      <c r="RJ102"/>
      <c r="RK102"/>
      <c r="RL102"/>
      <c r="RM102"/>
      <c r="RN102"/>
      <c r="RO102"/>
      <c r="RP102"/>
      <c r="RQ102"/>
      <c r="RR102"/>
      <c r="RS102"/>
    </row>
    <row r="103" spans="3:487" x14ac:dyDescent="0.25">
      <c r="C103" s="2" t="s">
        <v>179</v>
      </c>
      <c r="D103" s="34">
        <v>1</v>
      </c>
      <c r="F103" s="2" t="s">
        <v>158</v>
      </c>
      <c r="G103" s="34">
        <v>1</v>
      </c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  <c r="DU103"/>
      <c r="DV103"/>
      <c r="DW103"/>
      <c r="DX103"/>
      <c r="DY103"/>
      <c r="DZ103"/>
      <c r="EA103"/>
      <c r="EB103"/>
      <c r="EC103"/>
      <c r="ED103"/>
      <c r="EE103"/>
      <c r="EF103"/>
      <c r="EG103"/>
      <c r="EH103"/>
      <c r="EI103"/>
      <c r="EJ103"/>
      <c r="EK103"/>
      <c r="EL103"/>
      <c r="EM103"/>
      <c r="EN103"/>
      <c r="EO103"/>
      <c r="EP103"/>
      <c r="EQ103"/>
      <c r="ER103"/>
      <c r="ES103"/>
      <c r="ET103"/>
      <c r="EU103"/>
      <c r="EV103"/>
      <c r="EW103"/>
      <c r="EX103"/>
      <c r="EY103"/>
      <c r="EZ103"/>
      <c r="FA103"/>
      <c r="FB103"/>
      <c r="FC103"/>
      <c r="FD103"/>
      <c r="FE103"/>
      <c r="FF103"/>
      <c r="FG103"/>
      <c r="FH103"/>
      <c r="FI103"/>
      <c r="FJ103"/>
      <c r="FK103"/>
      <c r="FL103"/>
      <c r="FM103"/>
      <c r="FN103"/>
      <c r="FO103"/>
      <c r="FP103"/>
      <c r="FQ103"/>
      <c r="FR103"/>
      <c r="FS103"/>
      <c r="FT103"/>
      <c r="FU103"/>
      <c r="FV103"/>
      <c r="FW103"/>
      <c r="FX103"/>
      <c r="FY103"/>
      <c r="FZ103"/>
      <c r="GA103"/>
      <c r="GB103"/>
      <c r="GC103"/>
      <c r="GD103"/>
      <c r="GE103"/>
      <c r="GF103"/>
      <c r="GG103"/>
      <c r="GH103"/>
      <c r="GI103"/>
      <c r="GJ103"/>
      <c r="GK103"/>
      <c r="GL103"/>
      <c r="GM103"/>
      <c r="GN103"/>
      <c r="GO103"/>
      <c r="GP103"/>
      <c r="GQ103"/>
      <c r="GR103"/>
      <c r="GS103"/>
      <c r="GT103"/>
      <c r="GU103"/>
      <c r="GV103"/>
      <c r="GW103"/>
      <c r="GX103"/>
      <c r="GY103"/>
      <c r="GZ103"/>
      <c r="HA103"/>
      <c r="HB103"/>
      <c r="HC103"/>
      <c r="HD103"/>
      <c r="HE103"/>
      <c r="HF103"/>
      <c r="HG103"/>
      <c r="HH103"/>
      <c r="HI103"/>
      <c r="HJ103"/>
      <c r="HK103"/>
      <c r="HL103"/>
      <c r="HM103"/>
      <c r="HN103"/>
      <c r="HO103"/>
      <c r="HP103"/>
      <c r="HQ103"/>
      <c r="HR103"/>
      <c r="HS103"/>
      <c r="HT103"/>
      <c r="HU103"/>
      <c r="HV103"/>
      <c r="HW103"/>
      <c r="HX103"/>
      <c r="HY103"/>
      <c r="HZ103"/>
      <c r="IA103"/>
      <c r="IB103"/>
      <c r="IC103"/>
      <c r="ID103"/>
      <c r="IE103"/>
      <c r="IF103"/>
      <c r="IG103"/>
      <c r="IH103"/>
      <c r="II103"/>
      <c r="IJ103"/>
      <c r="IK103"/>
      <c r="IL103"/>
      <c r="IM103"/>
      <c r="IN103"/>
      <c r="IO103"/>
      <c r="IP103"/>
      <c r="IQ103"/>
      <c r="IR103"/>
      <c r="IS103"/>
      <c r="IT103"/>
      <c r="IU103"/>
      <c r="IV103"/>
      <c r="IW103"/>
      <c r="IX103"/>
      <c r="IY103"/>
      <c r="IZ103"/>
      <c r="JA103"/>
      <c r="JB103"/>
      <c r="JC103"/>
      <c r="JD103"/>
      <c r="JE103"/>
      <c r="JF103"/>
      <c r="JG103"/>
      <c r="JH103"/>
      <c r="JI103"/>
      <c r="JJ103"/>
      <c r="JK103"/>
      <c r="JL103"/>
      <c r="JM103"/>
      <c r="JN103"/>
      <c r="JO103"/>
      <c r="JP103"/>
      <c r="JQ103"/>
      <c r="JR103"/>
      <c r="JS103"/>
      <c r="JT103"/>
      <c r="JU103"/>
      <c r="JV103"/>
      <c r="JW103"/>
      <c r="JX103"/>
      <c r="JY103"/>
      <c r="JZ103"/>
      <c r="KA103"/>
      <c r="KB103"/>
      <c r="KC103"/>
      <c r="KD103"/>
      <c r="KE103"/>
      <c r="KF103"/>
      <c r="KG103"/>
      <c r="KH103"/>
      <c r="KI103"/>
      <c r="KJ103"/>
      <c r="KK103"/>
      <c r="KL103"/>
      <c r="KM103"/>
      <c r="KN103"/>
      <c r="KO103"/>
      <c r="KP103"/>
      <c r="KQ103"/>
      <c r="KR103"/>
      <c r="KS103"/>
      <c r="KT103"/>
      <c r="KU103"/>
      <c r="KV103"/>
      <c r="KW103"/>
      <c r="KX103"/>
      <c r="KY103"/>
      <c r="KZ103"/>
      <c r="LA103"/>
      <c r="LB103"/>
      <c r="LC103"/>
      <c r="LD103"/>
      <c r="LE103"/>
      <c r="LF103"/>
      <c r="LG103"/>
      <c r="LH103"/>
      <c r="LI103"/>
      <c r="LJ103"/>
      <c r="LK103"/>
      <c r="LL103"/>
      <c r="LM103"/>
      <c r="LN103"/>
      <c r="LO103"/>
      <c r="LP103"/>
      <c r="LQ103"/>
      <c r="LR103"/>
      <c r="LS103"/>
      <c r="LT103"/>
      <c r="LU103"/>
      <c r="LV103"/>
      <c r="LW103"/>
      <c r="LX103"/>
      <c r="LY103"/>
      <c r="LZ103"/>
      <c r="MA103"/>
      <c r="MB103"/>
      <c r="MC103"/>
      <c r="MD103"/>
      <c r="ME103"/>
      <c r="MF103"/>
      <c r="MG103"/>
      <c r="MH103"/>
      <c r="MI103"/>
      <c r="MJ103"/>
      <c r="MK103"/>
      <c r="ML103"/>
      <c r="MM103"/>
      <c r="MN103"/>
      <c r="MO103"/>
      <c r="MP103"/>
      <c r="MQ103"/>
      <c r="MR103"/>
      <c r="MS103"/>
      <c r="MT103"/>
      <c r="MU103"/>
      <c r="MV103"/>
      <c r="MW103"/>
      <c r="MX103"/>
      <c r="MY103"/>
      <c r="MZ103"/>
      <c r="NA103"/>
      <c r="NB103"/>
      <c r="NC103"/>
      <c r="ND103"/>
      <c r="NE103"/>
      <c r="NF103"/>
      <c r="NG103"/>
      <c r="NH103"/>
      <c r="NI103"/>
      <c r="NJ103"/>
      <c r="NK103"/>
      <c r="NL103"/>
      <c r="NM103"/>
      <c r="NN103"/>
      <c r="NO103"/>
      <c r="NP103"/>
      <c r="NQ103"/>
      <c r="NR103"/>
      <c r="NS103"/>
      <c r="NT103"/>
      <c r="NU103"/>
      <c r="NV103"/>
      <c r="NW103"/>
      <c r="NX103"/>
      <c r="NY103"/>
      <c r="NZ103"/>
      <c r="OA103"/>
      <c r="OB103"/>
      <c r="OC103"/>
      <c r="OD103"/>
      <c r="OE103"/>
      <c r="OF103"/>
      <c r="OG103"/>
      <c r="OH103"/>
      <c r="OI103"/>
      <c r="OJ103"/>
      <c r="OK103"/>
      <c r="OL103"/>
      <c r="OM103"/>
      <c r="ON103"/>
      <c r="OO103"/>
      <c r="OP103"/>
      <c r="OQ103"/>
      <c r="OR103"/>
      <c r="OS103"/>
      <c r="OT103"/>
      <c r="OU103"/>
      <c r="OV103"/>
      <c r="OW103"/>
      <c r="OX103"/>
      <c r="OY103"/>
      <c r="OZ103"/>
      <c r="PA103"/>
      <c r="PB103"/>
      <c r="PC103"/>
      <c r="PD103"/>
      <c r="PE103"/>
      <c r="PF103"/>
      <c r="PG103"/>
      <c r="PH103"/>
      <c r="PI103"/>
      <c r="PJ103"/>
      <c r="PK103"/>
      <c r="PL103"/>
      <c r="PM103"/>
      <c r="PN103"/>
      <c r="PO103"/>
      <c r="PP103"/>
      <c r="PQ103"/>
      <c r="PR103"/>
      <c r="PS103"/>
      <c r="PT103"/>
      <c r="PU103"/>
      <c r="PV103"/>
      <c r="PW103"/>
      <c r="PX103"/>
      <c r="PY103"/>
      <c r="PZ103"/>
      <c r="QA103"/>
      <c r="QB103"/>
      <c r="QC103"/>
      <c r="QD103"/>
      <c r="QE103"/>
      <c r="QF103"/>
      <c r="QG103"/>
      <c r="QH103"/>
      <c r="QI103"/>
      <c r="QJ103"/>
      <c r="QK103"/>
      <c r="QL103"/>
      <c r="QM103"/>
      <c r="QN103"/>
      <c r="QO103"/>
      <c r="QP103"/>
      <c r="QQ103"/>
      <c r="QR103"/>
      <c r="QS103"/>
      <c r="QT103"/>
      <c r="QU103"/>
      <c r="QV103"/>
      <c r="QW103"/>
      <c r="QX103"/>
      <c r="QY103"/>
      <c r="QZ103"/>
      <c r="RA103"/>
      <c r="RB103"/>
      <c r="RC103"/>
      <c r="RD103"/>
      <c r="RE103"/>
      <c r="RF103"/>
      <c r="RG103"/>
      <c r="RH103"/>
      <c r="RI103"/>
      <c r="RJ103"/>
      <c r="RK103"/>
      <c r="RL103"/>
      <c r="RM103"/>
      <c r="RN103"/>
      <c r="RO103"/>
      <c r="RP103"/>
      <c r="RQ103"/>
      <c r="RR103"/>
      <c r="RS103"/>
    </row>
    <row r="104" spans="3:487" x14ac:dyDescent="0.25">
      <c r="C104" s="2" t="s">
        <v>36</v>
      </c>
      <c r="D104" s="34">
        <v>1</v>
      </c>
      <c r="F104" s="2" t="s">
        <v>244</v>
      </c>
      <c r="G104" s="34">
        <v>1</v>
      </c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  <c r="DU104"/>
      <c r="DV104"/>
      <c r="DW104"/>
      <c r="DX104"/>
      <c r="DY104"/>
      <c r="DZ104"/>
      <c r="EA104"/>
      <c r="EB104"/>
      <c r="EC104"/>
      <c r="ED104"/>
      <c r="EE104"/>
      <c r="EF104"/>
      <c r="EG104"/>
      <c r="EH104"/>
      <c r="EI104"/>
      <c r="EJ104"/>
      <c r="EK104"/>
      <c r="EL104"/>
      <c r="EM104"/>
      <c r="EN104"/>
      <c r="EO104"/>
      <c r="EP104"/>
      <c r="EQ104"/>
      <c r="ER104"/>
      <c r="ES104"/>
      <c r="ET104"/>
      <c r="EU104"/>
      <c r="EV104"/>
      <c r="EW104"/>
      <c r="EX104"/>
      <c r="EY104"/>
      <c r="EZ104"/>
      <c r="FA104"/>
      <c r="FB104"/>
      <c r="FC104"/>
      <c r="FD104"/>
      <c r="FE104"/>
      <c r="FF104"/>
      <c r="FG104"/>
      <c r="FH104"/>
      <c r="FI104"/>
      <c r="FJ104"/>
      <c r="FK104"/>
      <c r="FL104"/>
      <c r="FM104"/>
      <c r="FN104"/>
      <c r="FO104"/>
      <c r="FP104"/>
      <c r="FQ104"/>
      <c r="FR104"/>
      <c r="FS104"/>
      <c r="FT104"/>
      <c r="FU104"/>
      <c r="FV104"/>
      <c r="FW104"/>
      <c r="FX104"/>
      <c r="FY104"/>
      <c r="FZ104"/>
      <c r="GA104"/>
      <c r="GB104"/>
      <c r="GC104"/>
      <c r="GD104"/>
      <c r="GE104"/>
      <c r="GF104"/>
      <c r="GG104"/>
      <c r="GH104"/>
      <c r="GI104"/>
      <c r="GJ104"/>
      <c r="GK104"/>
      <c r="GL104"/>
      <c r="GM104"/>
      <c r="GN104"/>
      <c r="GO104"/>
      <c r="GP104"/>
      <c r="GQ104"/>
      <c r="GR104"/>
      <c r="GS104"/>
      <c r="GT104"/>
      <c r="GU104"/>
      <c r="GV104"/>
      <c r="GW104"/>
      <c r="GX104"/>
      <c r="GY104"/>
      <c r="GZ104"/>
      <c r="HA104"/>
      <c r="HB104"/>
      <c r="HC104"/>
      <c r="HD104"/>
      <c r="HE104"/>
      <c r="HF104"/>
      <c r="HG104"/>
      <c r="HH104"/>
      <c r="HI104"/>
      <c r="HJ104"/>
      <c r="HK104"/>
      <c r="HL104"/>
      <c r="HM104"/>
      <c r="HN104"/>
      <c r="HO104"/>
      <c r="HP104"/>
      <c r="HQ104"/>
      <c r="HR104"/>
      <c r="HS104"/>
      <c r="HT104"/>
      <c r="HU104"/>
      <c r="HV104"/>
      <c r="HW104"/>
      <c r="HX104"/>
      <c r="HY104"/>
      <c r="HZ104"/>
      <c r="IA104"/>
      <c r="IB104"/>
      <c r="IC104"/>
      <c r="ID104"/>
      <c r="IE104"/>
      <c r="IF104"/>
      <c r="IG104"/>
      <c r="IH104"/>
      <c r="II104"/>
      <c r="IJ104"/>
      <c r="IK104"/>
      <c r="IL104"/>
      <c r="IM104"/>
      <c r="IN104"/>
      <c r="IO104"/>
      <c r="IP104"/>
      <c r="IQ104"/>
      <c r="IR104"/>
      <c r="IS104"/>
      <c r="IT104"/>
      <c r="IU104"/>
      <c r="IV104"/>
      <c r="IW104"/>
      <c r="IX104"/>
      <c r="IY104"/>
      <c r="IZ104"/>
      <c r="JA104"/>
      <c r="JB104"/>
      <c r="JC104"/>
      <c r="JD104"/>
      <c r="JE104"/>
      <c r="JF104"/>
      <c r="JG104"/>
      <c r="JH104"/>
      <c r="JI104"/>
      <c r="JJ104"/>
      <c r="JK104"/>
      <c r="JL104"/>
      <c r="JM104"/>
      <c r="JN104"/>
      <c r="JO104"/>
      <c r="JP104"/>
      <c r="JQ104"/>
      <c r="JR104"/>
      <c r="JS104"/>
      <c r="JT104"/>
      <c r="JU104"/>
      <c r="JV104"/>
      <c r="JW104"/>
      <c r="JX104"/>
      <c r="JY104"/>
      <c r="JZ104"/>
      <c r="KA104"/>
      <c r="KB104"/>
      <c r="KC104"/>
      <c r="KD104"/>
      <c r="KE104"/>
      <c r="KF104"/>
      <c r="KG104"/>
      <c r="KH104"/>
      <c r="KI104"/>
      <c r="KJ104"/>
      <c r="KK104"/>
      <c r="KL104"/>
      <c r="KM104"/>
      <c r="KN104"/>
      <c r="KO104"/>
      <c r="KP104"/>
      <c r="KQ104"/>
      <c r="KR104"/>
      <c r="KS104"/>
      <c r="KT104"/>
      <c r="KU104"/>
      <c r="KV104"/>
      <c r="KW104"/>
      <c r="KX104"/>
      <c r="KY104"/>
      <c r="KZ104"/>
      <c r="LA104"/>
      <c r="LB104"/>
      <c r="LC104"/>
      <c r="LD104"/>
      <c r="LE104"/>
      <c r="LF104"/>
      <c r="LG104"/>
      <c r="LH104"/>
      <c r="LI104"/>
      <c r="LJ104"/>
      <c r="LK104"/>
      <c r="LL104"/>
      <c r="LM104"/>
      <c r="LN104"/>
      <c r="LO104"/>
      <c r="LP104"/>
      <c r="LQ104"/>
      <c r="LR104"/>
      <c r="LS104"/>
      <c r="LT104"/>
      <c r="LU104"/>
      <c r="LV104"/>
      <c r="LW104"/>
      <c r="LX104"/>
      <c r="LY104"/>
      <c r="LZ104"/>
      <c r="MA104"/>
      <c r="MB104"/>
      <c r="MC104"/>
      <c r="MD104"/>
      <c r="ME104"/>
      <c r="MF104"/>
      <c r="MG104"/>
      <c r="MH104"/>
      <c r="MI104"/>
      <c r="MJ104"/>
      <c r="MK104"/>
      <c r="ML104"/>
      <c r="MM104"/>
      <c r="MN104"/>
      <c r="MO104"/>
      <c r="MP104"/>
      <c r="MQ104"/>
      <c r="MR104"/>
      <c r="MS104"/>
      <c r="MT104"/>
      <c r="MU104"/>
      <c r="MV104"/>
      <c r="MW104"/>
      <c r="MX104"/>
      <c r="MY104"/>
      <c r="MZ104"/>
      <c r="NA104"/>
      <c r="NB104"/>
      <c r="NC104"/>
      <c r="ND104"/>
      <c r="NE104"/>
      <c r="NF104"/>
      <c r="NG104"/>
      <c r="NH104"/>
      <c r="NI104"/>
      <c r="NJ104"/>
      <c r="NK104"/>
      <c r="NL104"/>
      <c r="NM104"/>
      <c r="NN104"/>
      <c r="NO104"/>
      <c r="NP104"/>
      <c r="NQ104"/>
      <c r="NR104"/>
      <c r="NS104"/>
      <c r="NT104"/>
      <c r="NU104"/>
      <c r="NV104"/>
      <c r="NW104"/>
      <c r="NX104"/>
      <c r="NY104"/>
      <c r="NZ104"/>
      <c r="OA104"/>
      <c r="OB104"/>
      <c r="OC104"/>
      <c r="OD104"/>
      <c r="OE104"/>
      <c r="OF104"/>
      <c r="OG104"/>
      <c r="OH104"/>
      <c r="OI104"/>
      <c r="OJ104"/>
      <c r="OK104"/>
      <c r="OL104"/>
      <c r="OM104"/>
      <c r="ON104"/>
      <c r="OO104"/>
      <c r="OP104"/>
      <c r="OQ104"/>
      <c r="OR104"/>
      <c r="OS104"/>
      <c r="OT104"/>
      <c r="OU104"/>
      <c r="OV104"/>
      <c r="OW104"/>
      <c r="OX104"/>
      <c r="OY104"/>
      <c r="OZ104"/>
      <c r="PA104"/>
      <c r="PB104"/>
      <c r="PC104"/>
      <c r="PD104"/>
      <c r="PE104"/>
      <c r="PF104"/>
      <c r="PG104"/>
      <c r="PH104"/>
      <c r="PI104"/>
      <c r="PJ104"/>
      <c r="PK104"/>
      <c r="PL104"/>
      <c r="PM104"/>
      <c r="PN104"/>
      <c r="PO104"/>
      <c r="PP104"/>
      <c r="PQ104"/>
      <c r="PR104"/>
      <c r="PS104"/>
      <c r="PT104"/>
      <c r="PU104"/>
      <c r="PV104"/>
      <c r="PW104"/>
      <c r="PX104"/>
      <c r="PY104"/>
      <c r="PZ104"/>
      <c r="QA104"/>
      <c r="QB104"/>
      <c r="QC104"/>
      <c r="QD104"/>
      <c r="QE104"/>
      <c r="QF104"/>
      <c r="QG104"/>
      <c r="QH104"/>
      <c r="QI104"/>
      <c r="QJ104"/>
      <c r="QK104"/>
      <c r="QL104"/>
      <c r="QM104"/>
      <c r="QN104"/>
      <c r="QO104"/>
      <c r="QP104"/>
      <c r="QQ104"/>
      <c r="QR104"/>
      <c r="QS104"/>
      <c r="QT104"/>
      <c r="QU104"/>
      <c r="QV104"/>
      <c r="QW104"/>
      <c r="QX104"/>
      <c r="QY104"/>
      <c r="QZ104"/>
      <c r="RA104"/>
      <c r="RB104"/>
      <c r="RC104"/>
      <c r="RD104"/>
      <c r="RE104"/>
      <c r="RF104"/>
      <c r="RG104"/>
      <c r="RH104"/>
      <c r="RI104"/>
      <c r="RJ104"/>
      <c r="RK104"/>
      <c r="RL104"/>
      <c r="RM104"/>
      <c r="RN104"/>
      <c r="RO104"/>
      <c r="RP104"/>
      <c r="RQ104"/>
      <c r="RR104"/>
      <c r="RS104"/>
    </row>
    <row r="105" spans="3:487" x14ac:dyDescent="0.25">
      <c r="C105" s="2" t="s">
        <v>183</v>
      </c>
      <c r="D105" s="34">
        <v>1</v>
      </c>
      <c r="F105" s="2" t="s">
        <v>260</v>
      </c>
      <c r="G105" s="34">
        <v>1</v>
      </c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  <c r="DU105"/>
      <c r="DV105"/>
      <c r="DW105"/>
      <c r="DX105"/>
      <c r="DY105"/>
      <c r="DZ105"/>
      <c r="EA105"/>
      <c r="EB105"/>
      <c r="EC105"/>
      <c r="ED105"/>
      <c r="EE105"/>
      <c r="EF105"/>
      <c r="EG105"/>
      <c r="EH105"/>
      <c r="EI105"/>
      <c r="EJ105"/>
      <c r="EK105"/>
      <c r="EL105"/>
      <c r="EM105"/>
      <c r="EN105"/>
      <c r="EO105"/>
      <c r="EP105"/>
      <c r="EQ105"/>
      <c r="ER105"/>
      <c r="ES105"/>
      <c r="ET105"/>
      <c r="EU105"/>
      <c r="EV105"/>
      <c r="EW105"/>
      <c r="EX105"/>
      <c r="EY105"/>
      <c r="EZ105"/>
      <c r="FA105"/>
      <c r="FB105"/>
      <c r="FC105"/>
      <c r="FD105"/>
      <c r="FE105"/>
      <c r="FF105"/>
      <c r="FG105"/>
      <c r="FH105"/>
      <c r="FI105"/>
      <c r="FJ105"/>
      <c r="FK105"/>
      <c r="FL105"/>
      <c r="FM105"/>
      <c r="FN105"/>
      <c r="FO105"/>
      <c r="FP105"/>
      <c r="FQ105"/>
      <c r="FR105"/>
      <c r="FS105"/>
      <c r="FT105"/>
      <c r="FU105"/>
      <c r="FV105"/>
      <c r="FW105"/>
      <c r="FX105"/>
      <c r="FY105"/>
      <c r="FZ105"/>
      <c r="GA105"/>
      <c r="GB105"/>
      <c r="GC105"/>
      <c r="GD105"/>
      <c r="GE105"/>
      <c r="GF105"/>
      <c r="GG105"/>
      <c r="GH105"/>
      <c r="GI105"/>
      <c r="GJ105"/>
      <c r="GK105"/>
      <c r="GL105"/>
      <c r="GM105"/>
      <c r="GN105"/>
      <c r="GO105"/>
      <c r="GP105"/>
      <c r="GQ105"/>
      <c r="GR105"/>
      <c r="GS105"/>
      <c r="GT105"/>
      <c r="GU105"/>
      <c r="GV105"/>
      <c r="GW105"/>
      <c r="GX105"/>
      <c r="GY105"/>
      <c r="GZ105"/>
      <c r="HA105"/>
      <c r="HB105"/>
      <c r="HC105"/>
      <c r="HD105"/>
      <c r="HE105"/>
      <c r="HF105"/>
      <c r="HG105"/>
      <c r="HH105"/>
      <c r="HI105"/>
      <c r="HJ105"/>
      <c r="HK105"/>
      <c r="HL105"/>
      <c r="HM105"/>
      <c r="HN105"/>
      <c r="HO105"/>
      <c r="HP105"/>
      <c r="HQ105"/>
      <c r="HR105"/>
      <c r="HS105"/>
      <c r="HT105"/>
      <c r="HU105"/>
      <c r="HV105"/>
      <c r="HW105"/>
      <c r="HX105"/>
      <c r="HY105"/>
      <c r="HZ105"/>
      <c r="IA105"/>
      <c r="IB105"/>
      <c r="IC105"/>
      <c r="ID105"/>
      <c r="IE105"/>
      <c r="IF105"/>
      <c r="IG105"/>
      <c r="IH105"/>
      <c r="II105"/>
      <c r="IJ105"/>
      <c r="IK105"/>
      <c r="IL105"/>
      <c r="IM105"/>
      <c r="IN105"/>
      <c r="IO105"/>
      <c r="IP105"/>
      <c r="IQ105"/>
      <c r="IR105"/>
      <c r="IS105"/>
      <c r="IT105"/>
      <c r="IU105"/>
      <c r="IV105"/>
      <c r="IW105"/>
      <c r="IX105"/>
      <c r="IY105"/>
      <c r="IZ105"/>
      <c r="JA105"/>
      <c r="JB105"/>
      <c r="JC105"/>
      <c r="JD105"/>
      <c r="JE105"/>
      <c r="JF105"/>
      <c r="JG105"/>
      <c r="JH105"/>
      <c r="JI105"/>
      <c r="JJ105"/>
      <c r="JK105"/>
      <c r="JL105"/>
      <c r="JM105"/>
      <c r="JN105"/>
      <c r="JO105"/>
      <c r="JP105"/>
      <c r="JQ105"/>
      <c r="JR105"/>
      <c r="JS105"/>
      <c r="JT105"/>
      <c r="JU105"/>
      <c r="JV105"/>
      <c r="JW105"/>
      <c r="JX105"/>
      <c r="JY105"/>
      <c r="JZ105"/>
      <c r="KA105"/>
      <c r="KB105"/>
      <c r="KC105"/>
      <c r="KD105"/>
      <c r="KE105"/>
      <c r="KF105"/>
      <c r="KG105"/>
      <c r="KH105"/>
      <c r="KI105"/>
      <c r="KJ105"/>
      <c r="KK105"/>
      <c r="KL105"/>
      <c r="KM105"/>
      <c r="KN105"/>
      <c r="KO105"/>
      <c r="KP105"/>
      <c r="KQ105"/>
      <c r="KR105"/>
      <c r="KS105"/>
      <c r="KT105"/>
      <c r="KU105"/>
      <c r="KV105"/>
      <c r="KW105"/>
      <c r="KX105"/>
      <c r="KY105"/>
      <c r="KZ105"/>
      <c r="LA105"/>
      <c r="LB105"/>
      <c r="LC105"/>
      <c r="LD105"/>
      <c r="LE105"/>
      <c r="LF105"/>
      <c r="LG105"/>
      <c r="LH105"/>
      <c r="LI105"/>
      <c r="LJ105"/>
      <c r="LK105"/>
      <c r="LL105"/>
      <c r="LM105"/>
      <c r="LN105"/>
      <c r="LO105"/>
      <c r="LP105"/>
      <c r="LQ105"/>
      <c r="LR105"/>
      <c r="LS105"/>
      <c r="LT105"/>
      <c r="LU105"/>
      <c r="LV105"/>
      <c r="LW105"/>
      <c r="LX105"/>
      <c r="LY105"/>
      <c r="LZ105"/>
      <c r="MA105"/>
      <c r="MB105"/>
      <c r="MC105"/>
      <c r="MD105"/>
      <c r="ME105"/>
      <c r="MF105"/>
      <c r="MG105"/>
      <c r="MH105"/>
      <c r="MI105"/>
      <c r="MJ105"/>
      <c r="MK105"/>
      <c r="ML105"/>
      <c r="MM105"/>
      <c r="MN105"/>
      <c r="MO105"/>
      <c r="MP105"/>
      <c r="MQ105"/>
      <c r="MR105"/>
      <c r="MS105"/>
      <c r="MT105"/>
      <c r="MU105"/>
      <c r="MV105"/>
      <c r="MW105"/>
      <c r="MX105"/>
      <c r="MY105"/>
      <c r="MZ105"/>
      <c r="NA105"/>
      <c r="NB105"/>
      <c r="NC105"/>
      <c r="ND105"/>
      <c r="NE105"/>
      <c r="NF105"/>
      <c r="NG105"/>
      <c r="NH105"/>
      <c r="NI105"/>
      <c r="NJ105"/>
      <c r="NK105"/>
      <c r="NL105"/>
      <c r="NM105"/>
      <c r="NN105"/>
      <c r="NO105"/>
      <c r="NP105"/>
      <c r="NQ105"/>
      <c r="NR105"/>
      <c r="NS105"/>
      <c r="NT105"/>
      <c r="NU105"/>
      <c r="NV105"/>
      <c r="NW105"/>
      <c r="NX105"/>
      <c r="NY105"/>
      <c r="NZ105"/>
      <c r="OA105"/>
      <c r="OB105"/>
      <c r="OC105"/>
      <c r="OD105"/>
      <c r="OE105"/>
      <c r="OF105"/>
      <c r="OG105"/>
      <c r="OH105"/>
      <c r="OI105"/>
      <c r="OJ105"/>
      <c r="OK105"/>
      <c r="OL105"/>
      <c r="OM105"/>
      <c r="ON105"/>
      <c r="OO105"/>
      <c r="OP105"/>
      <c r="OQ105"/>
      <c r="OR105"/>
      <c r="OS105"/>
      <c r="OT105"/>
      <c r="OU105"/>
      <c r="OV105"/>
      <c r="OW105"/>
      <c r="OX105"/>
      <c r="OY105"/>
      <c r="OZ105"/>
      <c r="PA105"/>
      <c r="PB105"/>
      <c r="PC105"/>
      <c r="PD105"/>
      <c r="PE105"/>
      <c r="PF105"/>
      <c r="PG105"/>
      <c r="PH105"/>
      <c r="PI105"/>
      <c r="PJ105"/>
      <c r="PK105"/>
      <c r="PL105"/>
      <c r="PM105"/>
      <c r="PN105"/>
      <c r="PO105"/>
      <c r="PP105"/>
      <c r="PQ105"/>
      <c r="PR105"/>
      <c r="PS105"/>
      <c r="PT105"/>
      <c r="PU105"/>
      <c r="PV105"/>
      <c r="PW105"/>
      <c r="PX105"/>
      <c r="PY105"/>
      <c r="PZ105"/>
      <c r="QA105"/>
      <c r="QB105"/>
      <c r="QC105"/>
      <c r="QD105"/>
      <c r="QE105"/>
      <c r="QF105"/>
      <c r="QG105"/>
      <c r="QH105"/>
      <c r="QI105"/>
      <c r="QJ105"/>
      <c r="QK105"/>
      <c r="QL105"/>
      <c r="QM105"/>
      <c r="QN105"/>
      <c r="QO105"/>
      <c r="QP105"/>
      <c r="QQ105"/>
      <c r="QR105"/>
      <c r="QS105"/>
      <c r="QT105"/>
      <c r="QU105"/>
      <c r="QV105"/>
      <c r="QW105"/>
      <c r="QX105"/>
      <c r="QY105"/>
      <c r="QZ105"/>
      <c r="RA105"/>
      <c r="RB105"/>
      <c r="RC105"/>
      <c r="RD105"/>
      <c r="RE105"/>
      <c r="RF105"/>
      <c r="RG105"/>
      <c r="RH105"/>
      <c r="RI105"/>
      <c r="RJ105"/>
      <c r="RK105"/>
      <c r="RL105"/>
      <c r="RM105"/>
      <c r="RN105"/>
      <c r="RO105"/>
      <c r="RP105"/>
      <c r="RQ105"/>
      <c r="RR105"/>
      <c r="RS105"/>
    </row>
    <row r="106" spans="3:487" x14ac:dyDescent="0.25">
      <c r="C106" s="2" t="s">
        <v>290</v>
      </c>
      <c r="D106" s="34">
        <v>1</v>
      </c>
      <c r="F106" s="2" t="s">
        <v>140</v>
      </c>
      <c r="G106" s="34">
        <v>1</v>
      </c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  <c r="DU106"/>
      <c r="DV106"/>
      <c r="DW106"/>
      <c r="DX106"/>
      <c r="DY106"/>
      <c r="DZ106"/>
      <c r="EA106"/>
      <c r="EB106"/>
      <c r="EC106"/>
      <c r="ED106"/>
      <c r="EE106"/>
      <c r="EF106"/>
      <c r="EG106"/>
      <c r="EH106"/>
      <c r="EI106"/>
      <c r="EJ106"/>
      <c r="EK106"/>
      <c r="EL106"/>
      <c r="EM106"/>
      <c r="EN106"/>
      <c r="EO106"/>
      <c r="EP106"/>
      <c r="EQ106"/>
      <c r="ER106"/>
      <c r="ES106"/>
      <c r="ET106"/>
      <c r="EU106"/>
      <c r="EV106"/>
      <c r="EW106"/>
      <c r="EX106"/>
      <c r="EY106"/>
      <c r="EZ106"/>
      <c r="FA106"/>
      <c r="FB106"/>
      <c r="FC106"/>
      <c r="FD106"/>
      <c r="FE106"/>
      <c r="FF106"/>
      <c r="FG106"/>
      <c r="FH106"/>
      <c r="FI106"/>
      <c r="FJ106"/>
      <c r="FK106"/>
      <c r="FL106"/>
      <c r="FM106"/>
      <c r="FN106"/>
      <c r="FO106"/>
      <c r="FP106"/>
      <c r="FQ106"/>
      <c r="FR106"/>
      <c r="FS106"/>
      <c r="FT106"/>
      <c r="FU106"/>
      <c r="FV106"/>
      <c r="FW106"/>
      <c r="FX106"/>
      <c r="FY106"/>
      <c r="FZ106"/>
      <c r="GA106"/>
      <c r="GB106"/>
      <c r="GC106"/>
      <c r="GD106"/>
      <c r="GE106"/>
      <c r="GF106"/>
      <c r="GG106"/>
      <c r="GH106"/>
      <c r="GI106"/>
      <c r="GJ106"/>
      <c r="GK106"/>
      <c r="GL106"/>
      <c r="GM106"/>
      <c r="GN106"/>
      <c r="GO106"/>
      <c r="GP106"/>
      <c r="GQ106"/>
      <c r="GR106"/>
      <c r="GS106"/>
      <c r="GT106"/>
      <c r="GU106"/>
      <c r="GV106"/>
      <c r="GW106"/>
      <c r="GX106"/>
      <c r="GY106"/>
      <c r="GZ106"/>
      <c r="HA106"/>
      <c r="HB106"/>
      <c r="HC106"/>
      <c r="HD106"/>
      <c r="HE106"/>
      <c r="HF106"/>
      <c r="HG106"/>
      <c r="HH106"/>
      <c r="HI106"/>
      <c r="HJ106"/>
      <c r="HK106"/>
      <c r="HL106"/>
      <c r="HM106"/>
      <c r="HN106"/>
      <c r="HO106"/>
      <c r="HP106"/>
      <c r="HQ106"/>
      <c r="HR106"/>
      <c r="HS106"/>
      <c r="HT106"/>
      <c r="HU106"/>
      <c r="HV106"/>
      <c r="HW106"/>
      <c r="HX106"/>
      <c r="HY106"/>
      <c r="HZ106"/>
      <c r="IA106"/>
      <c r="IB106"/>
      <c r="IC106"/>
      <c r="ID106"/>
      <c r="IE106"/>
      <c r="IF106"/>
      <c r="IG106"/>
      <c r="IH106"/>
      <c r="II106"/>
      <c r="IJ106"/>
      <c r="IK106"/>
      <c r="IL106"/>
      <c r="IM106"/>
      <c r="IN106"/>
      <c r="IO106"/>
      <c r="IP106"/>
      <c r="IQ106"/>
      <c r="IR106"/>
      <c r="IS106"/>
      <c r="IT106"/>
      <c r="IU106"/>
      <c r="IV106"/>
      <c r="IW106"/>
      <c r="IX106"/>
      <c r="IY106"/>
      <c r="IZ106"/>
      <c r="JA106"/>
      <c r="JB106"/>
      <c r="JC106"/>
      <c r="JD106"/>
      <c r="JE106"/>
      <c r="JF106"/>
      <c r="JG106"/>
      <c r="JH106"/>
      <c r="JI106"/>
      <c r="JJ106"/>
      <c r="JK106"/>
      <c r="JL106"/>
      <c r="JM106"/>
      <c r="JN106"/>
      <c r="JO106"/>
      <c r="JP106"/>
      <c r="JQ106"/>
      <c r="JR106"/>
      <c r="JS106"/>
      <c r="JT106"/>
      <c r="JU106"/>
      <c r="JV106"/>
      <c r="JW106"/>
      <c r="JX106"/>
      <c r="JY106"/>
      <c r="JZ106"/>
      <c r="KA106"/>
      <c r="KB106"/>
      <c r="KC106"/>
      <c r="KD106"/>
      <c r="KE106"/>
      <c r="KF106"/>
      <c r="KG106"/>
      <c r="KH106"/>
      <c r="KI106"/>
      <c r="KJ106"/>
      <c r="KK106"/>
      <c r="KL106"/>
      <c r="KM106"/>
      <c r="KN106"/>
      <c r="KO106"/>
      <c r="KP106"/>
      <c r="KQ106"/>
      <c r="KR106"/>
      <c r="KS106"/>
      <c r="KT106"/>
      <c r="KU106"/>
      <c r="KV106"/>
      <c r="KW106"/>
      <c r="KX106"/>
      <c r="KY106"/>
      <c r="KZ106"/>
      <c r="LA106"/>
      <c r="LB106"/>
      <c r="LC106"/>
      <c r="LD106"/>
      <c r="LE106"/>
      <c r="LF106"/>
      <c r="LG106"/>
      <c r="LH106"/>
      <c r="LI106"/>
      <c r="LJ106"/>
      <c r="LK106"/>
      <c r="LL106"/>
      <c r="LM106"/>
      <c r="LN106"/>
      <c r="LO106"/>
      <c r="LP106"/>
      <c r="LQ106"/>
      <c r="LR106"/>
      <c r="LS106"/>
      <c r="LT106"/>
      <c r="LU106"/>
      <c r="LV106"/>
      <c r="LW106"/>
      <c r="LX106"/>
      <c r="LY106"/>
      <c r="LZ106"/>
      <c r="MA106"/>
      <c r="MB106"/>
      <c r="MC106"/>
      <c r="MD106"/>
      <c r="ME106"/>
      <c r="MF106"/>
      <c r="MG106"/>
      <c r="MH106"/>
      <c r="MI106"/>
      <c r="MJ106"/>
      <c r="MK106"/>
      <c r="ML106"/>
      <c r="MM106"/>
      <c r="MN106"/>
      <c r="MO106"/>
      <c r="MP106"/>
      <c r="MQ106"/>
      <c r="MR106"/>
      <c r="MS106"/>
      <c r="MT106"/>
      <c r="MU106"/>
      <c r="MV106"/>
      <c r="MW106"/>
      <c r="MX106"/>
      <c r="MY106"/>
      <c r="MZ106"/>
      <c r="NA106"/>
      <c r="NB106"/>
      <c r="NC106"/>
      <c r="ND106"/>
      <c r="NE106"/>
      <c r="NF106"/>
      <c r="NG106"/>
      <c r="NH106"/>
      <c r="NI106"/>
      <c r="NJ106"/>
      <c r="NK106"/>
      <c r="NL106"/>
      <c r="NM106"/>
      <c r="NN106"/>
      <c r="NO106"/>
      <c r="NP106"/>
      <c r="NQ106"/>
      <c r="NR106"/>
      <c r="NS106"/>
      <c r="NT106"/>
      <c r="NU106"/>
      <c r="NV106"/>
      <c r="NW106"/>
      <c r="NX106"/>
      <c r="NY106"/>
      <c r="NZ106"/>
      <c r="OA106"/>
      <c r="OB106"/>
      <c r="OC106"/>
      <c r="OD106"/>
      <c r="OE106"/>
      <c r="OF106"/>
      <c r="OG106"/>
      <c r="OH106"/>
      <c r="OI106"/>
      <c r="OJ106"/>
      <c r="OK106"/>
      <c r="OL106"/>
      <c r="OM106"/>
      <c r="ON106"/>
      <c r="OO106"/>
      <c r="OP106"/>
      <c r="OQ106"/>
      <c r="OR106"/>
      <c r="OS106"/>
      <c r="OT106"/>
      <c r="OU106"/>
      <c r="OV106"/>
      <c r="OW106"/>
      <c r="OX106"/>
      <c r="OY106"/>
      <c r="OZ106"/>
      <c r="PA106"/>
      <c r="PB106"/>
      <c r="PC106"/>
      <c r="PD106"/>
      <c r="PE106"/>
      <c r="PF106"/>
      <c r="PG106"/>
      <c r="PH106"/>
      <c r="PI106"/>
      <c r="PJ106"/>
      <c r="PK106"/>
      <c r="PL106"/>
      <c r="PM106"/>
      <c r="PN106"/>
      <c r="PO106"/>
      <c r="PP106"/>
      <c r="PQ106"/>
      <c r="PR106"/>
      <c r="PS106"/>
      <c r="PT106"/>
      <c r="PU106"/>
      <c r="PV106"/>
      <c r="PW106"/>
      <c r="PX106"/>
      <c r="PY106"/>
      <c r="PZ106"/>
      <c r="QA106"/>
      <c r="QB106"/>
      <c r="QC106"/>
      <c r="QD106"/>
      <c r="QE106"/>
      <c r="QF106"/>
      <c r="QG106"/>
      <c r="QH106"/>
      <c r="QI106"/>
      <c r="QJ106"/>
      <c r="QK106"/>
      <c r="QL106"/>
      <c r="QM106"/>
      <c r="QN106"/>
      <c r="QO106"/>
      <c r="QP106"/>
      <c r="QQ106"/>
      <c r="QR106"/>
      <c r="QS106"/>
      <c r="QT106"/>
      <c r="QU106"/>
      <c r="QV106"/>
      <c r="QW106"/>
      <c r="QX106"/>
      <c r="QY106"/>
      <c r="QZ106"/>
      <c r="RA106"/>
      <c r="RB106"/>
      <c r="RC106"/>
      <c r="RD106"/>
      <c r="RE106"/>
      <c r="RF106"/>
      <c r="RG106"/>
      <c r="RH106"/>
      <c r="RI106"/>
      <c r="RJ106"/>
      <c r="RK106"/>
      <c r="RL106"/>
      <c r="RM106"/>
      <c r="RN106"/>
      <c r="RO106"/>
      <c r="RP106"/>
      <c r="RQ106"/>
      <c r="RR106"/>
      <c r="RS106"/>
    </row>
    <row r="107" spans="3:487" x14ac:dyDescent="0.25">
      <c r="C107" s="2" t="s">
        <v>187</v>
      </c>
      <c r="D107" s="34">
        <v>1</v>
      </c>
      <c r="F107" s="2" t="s">
        <v>132</v>
      </c>
      <c r="G107" s="34">
        <v>1</v>
      </c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  <c r="DU107"/>
      <c r="DV107"/>
      <c r="DW107"/>
      <c r="DX107"/>
      <c r="DY107"/>
      <c r="DZ107"/>
      <c r="EA107"/>
      <c r="EB107"/>
      <c r="EC107"/>
      <c r="ED107"/>
      <c r="EE107"/>
      <c r="EF107"/>
      <c r="EG107"/>
      <c r="EH107"/>
      <c r="EI107"/>
      <c r="EJ107"/>
      <c r="EK107"/>
      <c r="EL107"/>
      <c r="EM107"/>
      <c r="EN107"/>
      <c r="EO107"/>
      <c r="EP107"/>
      <c r="EQ107"/>
      <c r="ER107"/>
      <c r="ES107"/>
      <c r="ET107"/>
      <c r="EU107"/>
      <c r="EV107"/>
      <c r="EW107"/>
      <c r="EX107"/>
      <c r="EY107"/>
      <c r="EZ107"/>
      <c r="FA107"/>
      <c r="FB107"/>
      <c r="FC107"/>
      <c r="FD107"/>
      <c r="FE107"/>
      <c r="FF107"/>
      <c r="FG107"/>
      <c r="FH107"/>
      <c r="FI107"/>
      <c r="FJ107"/>
      <c r="FK107"/>
      <c r="FL107"/>
      <c r="FM107"/>
      <c r="FN107"/>
      <c r="FO107"/>
      <c r="FP107"/>
      <c r="FQ107"/>
      <c r="FR107"/>
      <c r="FS107"/>
      <c r="FT107"/>
      <c r="FU107"/>
      <c r="FV107"/>
      <c r="FW107"/>
      <c r="FX107"/>
      <c r="FY107"/>
      <c r="FZ107"/>
      <c r="GA107"/>
      <c r="GB107"/>
      <c r="GC107"/>
      <c r="GD107"/>
      <c r="GE107"/>
      <c r="GF107"/>
      <c r="GG107"/>
      <c r="GH107"/>
      <c r="GI107"/>
      <c r="GJ107"/>
      <c r="GK107"/>
      <c r="GL107"/>
      <c r="GM107"/>
      <c r="GN107"/>
      <c r="GO107"/>
      <c r="GP107"/>
      <c r="GQ107"/>
      <c r="GR107"/>
      <c r="GS107"/>
      <c r="GT107"/>
      <c r="GU107"/>
      <c r="GV107"/>
      <c r="GW107"/>
      <c r="GX107"/>
      <c r="GY107"/>
      <c r="GZ107"/>
      <c r="HA107"/>
      <c r="HB107"/>
      <c r="HC107"/>
      <c r="HD107"/>
      <c r="HE107"/>
      <c r="HF107"/>
      <c r="HG107"/>
      <c r="HH107"/>
      <c r="HI107"/>
      <c r="HJ107"/>
      <c r="HK107"/>
      <c r="HL107"/>
      <c r="HM107"/>
      <c r="HN107"/>
      <c r="HO107"/>
      <c r="HP107"/>
      <c r="HQ107"/>
      <c r="HR107"/>
      <c r="HS107"/>
      <c r="HT107"/>
      <c r="HU107"/>
      <c r="HV107"/>
      <c r="HW107"/>
      <c r="HX107"/>
      <c r="HY107"/>
      <c r="HZ107"/>
      <c r="IA107"/>
      <c r="IB107"/>
      <c r="IC107"/>
      <c r="ID107"/>
      <c r="IE107"/>
      <c r="IF107"/>
      <c r="IG107"/>
      <c r="IH107"/>
      <c r="II107"/>
      <c r="IJ107"/>
      <c r="IK107"/>
      <c r="IL107"/>
      <c r="IM107"/>
      <c r="IN107"/>
      <c r="IO107"/>
      <c r="IP107"/>
      <c r="IQ107"/>
      <c r="IR107"/>
      <c r="IS107"/>
      <c r="IT107"/>
      <c r="IU107"/>
      <c r="IV107"/>
      <c r="IW107"/>
      <c r="IX107"/>
      <c r="IY107"/>
      <c r="IZ107"/>
      <c r="JA107"/>
      <c r="JB107"/>
      <c r="JC107"/>
      <c r="JD107"/>
      <c r="JE107"/>
      <c r="JF107"/>
      <c r="JG107"/>
      <c r="JH107"/>
      <c r="JI107"/>
      <c r="JJ107"/>
      <c r="JK107"/>
      <c r="JL107"/>
      <c r="JM107"/>
      <c r="JN107"/>
      <c r="JO107"/>
      <c r="JP107"/>
      <c r="JQ107"/>
      <c r="JR107"/>
      <c r="JS107"/>
      <c r="JT107"/>
      <c r="JU107"/>
      <c r="JV107"/>
      <c r="JW107"/>
      <c r="JX107"/>
      <c r="JY107"/>
      <c r="JZ107"/>
      <c r="KA107"/>
      <c r="KB107"/>
      <c r="KC107"/>
      <c r="KD107"/>
      <c r="KE107"/>
      <c r="KF107"/>
      <c r="KG107"/>
      <c r="KH107"/>
      <c r="KI107"/>
      <c r="KJ107"/>
      <c r="KK107"/>
      <c r="KL107"/>
      <c r="KM107"/>
      <c r="KN107"/>
      <c r="KO107"/>
      <c r="KP107"/>
      <c r="KQ107"/>
      <c r="KR107"/>
      <c r="KS107"/>
      <c r="KT107"/>
      <c r="KU107"/>
      <c r="KV107"/>
      <c r="KW107"/>
      <c r="KX107"/>
      <c r="KY107"/>
      <c r="KZ107"/>
      <c r="LA107"/>
      <c r="LB107"/>
      <c r="LC107"/>
      <c r="LD107"/>
      <c r="LE107"/>
      <c r="LF107"/>
      <c r="LG107"/>
      <c r="LH107"/>
      <c r="LI107"/>
      <c r="LJ107"/>
      <c r="LK107"/>
      <c r="LL107"/>
      <c r="LM107"/>
      <c r="LN107"/>
      <c r="LO107"/>
      <c r="LP107"/>
      <c r="LQ107"/>
      <c r="LR107"/>
      <c r="LS107"/>
      <c r="LT107"/>
      <c r="LU107"/>
      <c r="LV107"/>
      <c r="LW107"/>
      <c r="LX107"/>
      <c r="LY107"/>
      <c r="LZ107"/>
      <c r="MA107"/>
      <c r="MB107"/>
      <c r="MC107"/>
      <c r="MD107"/>
      <c r="ME107"/>
      <c r="MF107"/>
      <c r="MG107"/>
      <c r="MH107"/>
      <c r="MI107"/>
      <c r="MJ107"/>
      <c r="MK107"/>
      <c r="ML107"/>
      <c r="MM107"/>
      <c r="MN107"/>
      <c r="MO107"/>
      <c r="MP107"/>
      <c r="MQ107"/>
      <c r="MR107"/>
      <c r="MS107"/>
      <c r="MT107"/>
      <c r="MU107"/>
      <c r="MV107"/>
      <c r="MW107"/>
      <c r="MX107"/>
      <c r="MY107"/>
      <c r="MZ107"/>
      <c r="NA107"/>
      <c r="NB107"/>
      <c r="NC107"/>
      <c r="ND107"/>
      <c r="NE107"/>
      <c r="NF107"/>
      <c r="NG107"/>
      <c r="NH107"/>
      <c r="NI107"/>
      <c r="NJ107"/>
      <c r="NK107"/>
      <c r="NL107"/>
      <c r="NM107"/>
      <c r="NN107"/>
      <c r="NO107"/>
      <c r="NP107"/>
      <c r="NQ107"/>
      <c r="NR107"/>
      <c r="NS107"/>
      <c r="NT107"/>
      <c r="NU107"/>
      <c r="NV107"/>
      <c r="NW107"/>
      <c r="NX107"/>
      <c r="NY107"/>
      <c r="NZ107"/>
      <c r="OA107"/>
      <c r="OB107"/>
      <c r="OC107"/>
      <c r="OD107"/>
      <c r="OE107"/>
      <c r="OF107"/>
      <c r="OG107"/>
      <c r="OH107"/>
      <c r="OI107"/>
      <c r="OJ107"/>
      <c r="OK107"/>
      <c r="OL107"/>
      <c r="OM107"/>
      <c r="ON107"/>
      <c r="OO107"/>
      <c r="OP107"/>
      <c r="OQ107"/>
      <c r="OR107"/>
      <c r="OS107"/>
      <c r="OT107"/>
      <c r="OU107"/>
      <c r="OV107"/>
      <c r="OW107"/>
      <c r="OX107"/>
      <c r="OY107"/>
      <c r="OZ107"/>
      <c r="PA107"/>
      <c r="PB107"/>
      <c r="PC107"/>
      <c r="PD107"/>
      <c r="PE107"/>
      <c r="PF107"/>
      <c r="PG107"/>
      <c r="PH107"/>
      <c r="PI107"/>
      <c r="PJ107"/>
      <c r="PK107"/>
      <c r="PL107"/>
      <c r="PM107"/>
      <c r="PN107"/>
      <c r="PO107"/>
      <c r="PP107"/>
      <c r="PQ107"/>
      <c r="PR107"/>
      <c r="PS107"/>
      <c r="PT107"/>
      <c r="PU107"/>
      <c r="PV107"/>
      <c r="PW107"/>
      <c r="PX107"/>
      <c r="PY107"/>
      <c r="PZ107"/>
      <c r="QA107"/>
      <c r="QB107"/>
      <c r="QC107"/>
      <c r="QD107"/>
      <c r="QE107"/>
      <c r="QF107"/>
      <c r="QG107"/>
      <c r="QH107"/>
      <c r="QI107"/>
      <c r="QJ107"/>
      <c r="QK107"/>
      <c r="QL107"/>
      <c r="QM107"/>
      <c r="QN107"/>
      <c r="QO107"/>
      <c r="QP107"/>
      <c r="QQ107"/>
      <c r="QR107"/>
      <c r="QS107"/>
      <c r="QT107"/>
      <c r="QU107"/>
      <c r="QV107"/>
      <c r="QW107"/>
      <c r="QX107"/>
      <c r="QY107"/>
      <c r="QZ107"/>
      <c r="RA107"/>
      <c r="RB107"/>
      <c r="RC107"/>
      <c r="RD107"/>
      <c r="RE107"/>
      <c r="RF107"/>
      <c r="RG107"/>
      <c r="RH107"/>
      <c r="RI107"/>
      <c r="RJ107"/>
      <c r="RK107"/>
      <c r="RL107"/>
      <c r="RM107"/>
      <c r="RN107"/>
      <c r="RO107"/>
      <c r="RP107"/>
      <c r="RQ107"/>
      <c r="RR107"/>
      <c r="RS107"/>
    </row>
    <row r="108" spans="3:487" x14ac:dyDescent="0.25">
      <c r="C108" s="2" t="s">
        <v>306</v>
      </c>
      <c r="D108" s="34">
        <v>1</v>
      </c>
      <c r="F108" s="2" t="s">
        <v>3491</v>
      </c>
      <c r="G108" s="34">
        <v>1</v>
      </c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  <c r="DU108"/>
      <c r="DV108"/>
      <c r="DW108"/>
      <c r="DX108"/>
      <c r="DY108"/>
      <c r="DZ108"/>
      <c r="EA108"/>
      <c r="EB108"/>
      <c r="EC108"/>
      <c r="ED108"/>
      <c r="EE108"/>
      <c r="EF108"/>
      <c r="EG108"/>
      <c r="EH108"/>
      <c r="EI108"/>
      <c r="EJ108"/>
      <c r="EK108"/>
      <c r="EL108"/>
      <c r="EM108"/>
      <c r="EN108"/>
      <c r="EO108"/>
      <c r="EP108"/>
      <c r="EQ108"/>
      <c r="ER108"/>
      <c r="ES108"/>
      <c r="ET108"/>
      <c r="EU108"/>
      <c r="EV108"/>
      <c r="EW108"/>
      <c r="EX108"/>
      <c r="EY108"/>
      <c r="EZ108"/>
      <c r="FA108"/>
      <c r="FB108"/>
      <c r="FC108"/>
      <c r="FD108"/>
      <c r="FE108"/>
      <c r="FF108"/>
      <c r="FG108"/>
      <c r="FH108"/>
      <c r="FI108"/>
      <c r="FJ108"/>
      <c r="FK108"/>
      <c r="FL108"/>
      <c r="FM108"/>
      <c r="FN108"/>
      <c r="FO108"/>
      <c r="FP108"/>
      <c r="FQ108"/>
      <c r="FR108"/>
      <c r="FS108"/>
      <c r="FT108"/>
      <c r="FU108"/>
      <c r="FV108"/>
      <c r="FW108"/>
      <c r="FX108"/>
      <c r="FY108"/>
      <c r="FZ108"/>
      <c r="GA108"/>
      <c r="GB108"/>
      <c r="GC108"/>
      <c r="GD108"/>
      <c r="GE108"/>
      <c r="GF108"/>
      <c r="GG108"/>
      <c r="GH108"/>
      <c r="GI108"/>
      <c r="GJ108"/>
      <c r="GK108"/>
      <c r="GL108"/>
      <c r="GM108"/>
      <c r="GN108"/>
      <c r="GO108"/>
      <c r="GP108"/>
      <c r="GQ108"/>
      <c r="GR108"/>
      <c r="GS108"/>
      <c r="GT108"/>
      <c r="GU108"/>
      <c r="GV108"/>
      <c r="GW108"/>
      <c r="GX108"/>
      <c r="GY108"/>
      <c r="GZ108"/>
      <c r="HA108"/>
      <c r="HB108"/>
      <c r="HC108"/>
      <c r="HD108"/>
      <c r="HE108"/>
      <c r="HF108"/>
      <c r="HG108"/>
      <c r="HH108"/>
      <c r="HI108"/>
      <c r="HJ108"/>
      <c r="HK108"/>
      <c r="HL108"/>
      <c r="HM108"/>
      <c r="HN108"/>
      <c r="HO108"/>
      <c r="HP108"/>
      <c r="HQ108"/>
      <c r="HR108"/>
      <c r="HS108"/>
      <c r="HT108"/>
      <c r="HU108"/>
      <c r="HV108"/>
      <c r="HW108"/>
      <c r="HX108"/>
      <c r="HY108"/>
      <c r="HZ108"/>
      <c r="IA108"/>
      <c r="IB108"/>
      <c r="IC108"/>
      <c r="ID108"/>
      <c r="IE108"/>
      <c r="IF108"/>
      <c r="IG108"/>
      <c r="IH108"/>
      <c r="II108"/>
      <c r="IJ108"/>
      <c r="IK108"/>
      <c r="IL108"/>
      <c r="IM108"/>
      <c r="IN108"/>
      <c r="IO108"/>
      <c r="IP108"/>
      <c r="IQ108"/>
      <c r="IR108"/>
      <c r="IS108"/>
      <c r="IT108"/>
      <c r="IU108"/>
      <c r="IV108"/>
      <c r="IW108"/>
      <c r="IX108"/>
      <c r="IY108"/>
      <c r="IZ108"/>
      <c r="JA108"/>
      <c r="JB108"/>
      <c r="JC108"/>
      <c r="JD108"/>
      <c r="JE108"/>
      <c r="JF108"/>
      <c r="JG108"/>
      <c r="JH108"/>
      <c r="JI108"/>
      <c r="JJ108"/>
      <c r="JK108"/>
      <c r="JL108"/>
      <c r="JM108"/>
      <c r="JN108"/>
      <c r="JO108"/>
      <c r="JP108"/>
      <c r="JQ108"/>
      <c r="JR108"/>
      <c r="JS108"/>
      <c r="JT108"/>
      <c r="JU108"/>
      <c r="JV108"/>
      <c r="JW108"/>
      <c r="JX108"/>
      <c r="JY108"/>
      <c r="JZ108"/>
      <c r="KA108"/>
      <c r="KB108"/>
      <c r="KC108"/>
      <c r="KD108"/>
      <c r="KE108"/>
      <c r="KF108"/>
      <c r="KG108"/>
      <c r="KH108"/>
      <c r="KI108"/>
      <c r="KJ108"/>
      <c r="KK108"/>
      <c r="KL108"/>
      <c r="KM108"/>
      <c r="KN108"/>
      <c r="KO108"/>
      <c r="KP108"/>
      <c r="KQ108"/>
      <c r="KR108"/>
      <c r="KS108"/>
      <c r="KT108"/>
      <c r="KU108"/>
      <c r="KV108"/>
      <c r="KW108"/>
      <c r="KX108"/>
      <c r="KY108"/>
      <c r="KZ108"/>
      <c r="LA108"/>
      <c r="LB108"/>
      <c r="LC108"/>
      <c r="LD108"/>
      <c r="LE108"/>
      <c r="LF108"/>
      <c r="LG108"/>
      <c r="LH108"/>
      <c r="LI108"/>
      <c r="LJ108"/>
      <c r="LK108"/>
      <c r="LL108"/>
      <c r="LM108"/>
      <c r="LN108"/>
      <c r="LO108"/>
      <c r="LP108"/>
      <c r="LQ108"/>
      <c r="LR108"/>
      <c r="LS108"/>
      <c r="LT108"/>
      <c r="LU108"/>
      <c r="LV108"/>
      <c r="LW108"/>
      <c r="LX108"/>
      <c r="LY108"/>
      <c r="LZ108"/>
      <c r="MA108"/>
      <c r="MB108"/>
      <c r="MC108"/>
      <c r="MD108"/>
      <c r="ME108"/>
      <c r="MF108"/>
      <c r="MG108"/>
      <c r="MH108"/>
      <c r="MI108"/>
      <c r="MJ108"/>
      <c r="MK108"/>
      <c r="ML108"/>
      <c r="MM108"/>
      <c r="MN108"/>
      <c r="MO108"/>
      <c r="MP108"/>
      <c r="MQ108"/>
      <c r="MR108"/>
      <c r="MS108"/>
      <c r="MT108"/>
      <c r="MU108"/>
      <c r="MV108"/>
      <c r="MW108"/>
      <c r="MX108"/>
      <c r="MY108"/>
      <c r="MZ108"/>
      <c r="NA108"/>
      <c r="NB108"/>
      <c r="NC108"/>
      <c r="ND108"/>
      <c r="NE108"/>
      <c r="NF108"/>
      <c r="NG108"/>
      <c r="NH108"/>
      <c r="NI108"/>
      <c r="NJ108"/>
      <c r="NK108"/>
      <c r="NL108"/>
      <c r="NM108"/>
      <c r="NN108"/>
      <c r="NO108"/>
      <c r="NP108"/>
      <c r="NQ108"/>
      <c r="NR108"/>
      <c r="NS108"/>
      <c r="NT108"/>
      <c r="NU108"/>
      <c r="NV108"/>
      <c r="NW108"/>
      <c r="NX108"/>
      <c r="NY108"/>
      <c r="NZ108"/>
      <c r="OA108"/>
      <c r="OB108"/>
      <c r="OC108"/>
      <c r="OD108"/>
      <c r="OE108"/>
      <c r="OF108"/>
      <c r="OG108"/>
      <c r="OH108"/>
      <c r="OI108"/>
      <c r="OJ108"/>
      <c r="OK108"/>
      <c r="OL108"/>
      <c r="OM108"/>
      <c r="ON108"/>
      <c r="OO108"/>
      <c r="OP108"/>
      <c r="OQ108"/>
      <c r="OR108"/>
      <c r="OS108"/>
      <c r="OT108"/>
      <c r="OU108"/>
      <c r="OV108"/>
      <c r="OW108"/>
      <c r="OX108"/>
      <c r="OY108"/>
      <c r="OZ108"/>
      <c r="PA108"/>
      <c r="PB108"/>
      <c r="PC108"/>
      <c r="PD108"/>
      <c r="PE108"/>
      <c r="PF108"/>
      <c r="PG108"/>
      <c r="PH108"/>
      <c r="PI108"/>
      <c r="PJ108"/>
      <c r="PK108"/>
      <c r="PL108"/>
      <c r="PM108"/>
      <c r="PN108"/>
      <c r="PO108"/>
      <c r="PP108"/>
      <c r="PQ108"/>
      <c r="PR108"/>
      <c r="PS108"/>
      <c r="PT108"/>
      <c r="PU108"/>
      <c r="PV108"/>
      <c r="PW108"/>
      <c r="PX108"/>
      <c r="PY108"/>
      <c r="PZ108"/>
      <c r="QA108"/>
      <c r="QB108"/>
      <c r="QC108"/>
      <c r="QD108"/>
      <c r="QE108"/>
      <c r="QF108"/>
      <c r="QG108"/>
      <c r="QH108"/>
      <c r="QI108"/>
      <c r="QJ108"/>
      <c r="QK108"/>
      <c r="QL108"/>
      <c r="QM108"/>
      <c r="QN108"/>
      <c r="QO108"/>
      <c r="QP108"/>
      <c r="QQ108"/>
      <c r="QR108"/>
      <c r="QS108"/>
      <c r="QT108"/>
      <c r="QU108"/>
      <c r="QV108"/>
      <c r="QW108"/>
      <c r="QX108"/>
      <c r="QY108"/>
      <c r="QZ108"/>
      <c r="RA108"/>
      <c r="RB108"/>
      <c r="RC108"/>
      <c r="RD108"/>
      <c r="RE108"/>
      <c r="RF108"/>
      <c r="RG108"/>
      <c r="RH108"/>
      <c r="RI108"/>
      <c r="RJ108"/>
      <c r="RK108"/>
      <c r="RL108"/>
      <c r="RM108"/>
      <c r="RN108"/>
      <c r="RO108"/>
      <c r="RP108"/>
      <c r="RQ108"/>
      <c r="RR108"/>
      <c r="RS108"/>
    </row>
    <row r="109" spans="3:487" x14ac:dyDescent="0.25">
      <c r="C109" s="2" t="s">
        <v>191</v>
      </c>
      <c r="D109" s="34">
        <v>1</v>
      </c>
      <c r="F109" s="2" t="s">
        <v>539</v>
      </c>
      <c r="G109" s="34">
        <v>1</v>
      </c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  <c r="DU109"/>
      <c r="DV109"/>
      <c r="DW109"/>
      <c r="DX109"/>
      <c r="DY109"/>
      <c r="DZ109"/>
      <c r="EA109"/>
      <c r="EB109"/>
      <c r="EC109"/>
      <c r="ED109"/>
      <c r="EE109"/>
      <c r="EF109"/>
      <c r="EG109"/>
      <c r="EH109"/>
      <c r="EI109"/>
      <c r="EJ109"/>
      <c r="EK109"/>
      <c r="EL109"/>
      <c r="EM109"/>
      <c r="EN109"/>
      <c r="EO109"/>
      <c r="EP109"/>
      <c r="EQ109"/>
      <c r="ER109"/>
      <c r="ES109"/>
      <c r="ET109"/>
      <c r="EU109"/>
      <c r="EV109"/>
      <c r="EW109"/>
      <c r="EX109"/>
      <c r="EY109"/>
      <c r="EZ109"/>
      <c r="FA109"/>
      <c r="FB109"/>
      <c r="FC109"/>
      <c r="FD109"/>
      <c r="FE109"/>
      <c r="FF109"/>
      <c r="FG109"/>
      <c r="FH109"/>
      <c r="FI109"/>
      <c r="FJ109"/>
      <c r="FK109"/>
      <c r="FL109"/>
      <c r="FM109"/>
      <c r="FN109"/>
      <c r="FO109"/>
      <c r="FP109"/>
      <c r="FQ109"/>
      <c r="FR109"/>
      <c r="FS109"/>
      <c r="FT109"/>
      <c r="FU109"/>
      <c r="FV109"/>
      <c r="FW109"/>
      <c r="FX109"/>
      <c r="FY109"/>
      <c r="FZ109"/>
      <c r="GA109"/>
      <c r="GB109"/>
      <c r="GC109"/>
      <c r="GD109"/>
      <c r="GE109"/>
      <c r="GF109"/>
      <c r="GG109"/>
      <c r="GH109"/>
      <c r="GI109"/>
      <c r="GJ109"/>
      <c r="GK109"/>
      <c r="GL109"/>
      <c r="GM109"/>
      <c r="GN109"/>
      <c r="GO109"/>
      <c r="GP109"/>
      <c r="GQ109"/>
      <c r="GR109"/>
      <c r="GS109"/>
      <c r="GT109"/>
      <c r="GU109"/>
      <c r="GV109"/>
      <c r="GW109"/>
      <c r="GX109"/>
      <c r="GY109"/>
      <c r="GZ109"/>
      <c r="HA109"/>
      <c r="HB109"/>
      <c r="HC109"/>
      <c r="HD109"/>
      <c r="HE109"/>
      <c r="HF109"/>
      <c r="HG109"/>
      <c r="HH109"/>
      <c r="HI109"/>
      <c r="HJ109"/>
      <c r="HK109"/>
      <c r="HL109"/>
      <c r="HM109"/>
      <c r="HN109"/>
      <c r="HO109"/>
      <c r="HP109"/>
      <c r="HQ109"/>
      <c r="HR109"/>
      <c r="HS109"/>
      <c r="HT109"/>
      <c r="HU109"/>
      <c r="HV109"/>
      <c r="HW109"/>
      <c r="HX109"/>
      <c r="HY109"/>
      <c r="HZ109"/>
      <c r="IA109"/>
      <c r="IB109"/>
      <c r="IC109"/>
      <c r="ID109"/>
      <c r="IE109"/>
      <c r="IF109"/>
      <c r="IG109"/>
      <c r="IH109"/>
      <c r="II109"/>
      <c r="IJ109"/>
      <c r="IK109"/>
      <c r="IL109"/>
      <c r="IM109"/>
      <c r="IN109"/>
      <c r="IO109"/>
      <c r="IP109"/>
      <c r="IQ109"/>
      <c r="IR109"/>
      <c r="IS109"/>
      <c r="IT109"/>
      <c r="IU109"/>
      <c r="IV109"/>
      <c r="IW109"/>
      <c r="IX109"/>
      <c r="IY109"/>
      <c r="IZ109"/>
      <c r="JA109"/>
      <c r="JB109"/>
      <c r="JC109"/>
      <c r="JD109"/>
      <c r="JE109"/>
      <c r="JF109"/>
      <c r="JG109"/>
      <c r="JH109"/>
      <c r="JI109"/>
      <c r="JJ109"/>
      <c r="JK109"/>
      <c r="JL109"/>
      <c r="JM109"/>
      <c r="JN109"/>
      <c r="JO109"/>
      <c r="JP109"/>
      <c r="JQ109"/>
      <c r="JR109"/>
      <c r="JS109"/>
      <c r="JT109"/>
      <c r="JU109"/>
      <c r="JV109"/>
      <c r="JW109"/>
      <c r="JX109"/>
      <c r="JY109"/>
      <c r="JZ109"/>
      <c r="KA109"/>
      <c r="KB109"/>
      <c r="KC109"/>
      <c r="KD109"/>
      <c r="KE109"/>
      <c r="KF109"/>
      <c r="KG109"/>
      <c r="KH109"/>
      <c r="KI109"/>
      <c r="KJ109"/>
      <c r="KK109"/>
      <c r="KL109"/>
      <c r="KM109"/>
      <c r="KN109"/>
      <c r="KO109"/>
      <c r="KP109"/>
      <c r="KQ109"/>
      <c r="KR109"/>
      <c r="KS109"/>
      <c r="KT109"/>
      <c r="KU109"/>
      <c r="KV109"/>
      <c r="KW109"/>
      <c r="KX109"/>
      <c r="KY109"/>
      <c r="KZ109"/>
      <c r="LA109"/>
      <c r="LB109"/>
      <c r="LC109"/>
      <c r="LD109"/>
      <c r="LE109"/>
      <c r="LF109"/>
      <c r="LG109"/>
      <c r="LH109"/>
      <c r="LI109"/>
      <c r="LJ109"/>
      <c r="LK109"/>
      <c r="LL109"/>
      <c r="LM109"/>
      <c r="LN109"/>
      <c r="LO109"/>
      <c r="LP109"/>
      <c r="LQ109"/>
      <c r="LR109"/>
      <c r="LS109"/>
      <c r="LT109"/>
      <c r="LU109"/>
      <c r="LV109"/>
      <c r="LW109"/>
      <c r="LX109"/>
      <c r="LY109"/>
      <c r="LZ109"/>
      <c r="MA109"/>
      <c r="MB109"/>
      <c r="MC109"/>
      <c r="MD109"/>
      <c r="ME109"/>
      <c r="MF109"/>
      <c r="MG109"/>
      <c r="MH109"/>
      <c r="MI109"/>
      <c r="MJ109"/>
      <c r="MK109"/>
      <c r="ML109"/>
      <c r="MM109"/>
      <c r="MN109"/>
      <c r="MO109"/>
      <c r="MP109"/>
      <c r="MQ109"/>
      <c r="MR109"/>
      <c r="MS109"/>
      <c r="MT109"/>
      <c r="MU109"/>
      <c r="MV109"/>
      <c r="MW109"/>
      <c r="MX109"/>
      <c r="MY109"/>
      <c r="MZ109"/>
      <c r="NA109"/>
      <c r="NB109"/>
      <c r="NC109"/>
      <c r="ND109"/>
      <c r="NE109"/>
      <c r="NF109"/>
      <c r="NG109"/>
      <c r="NH109"/>
      <c r="NI109"/>
      <c r="NJ109"/>
      <c r="NK109"/>
      <c r="NL109"/>
      <c r="NM109"/>
      <c r="NN109"/>
      <c r="NO109"/>
      <c r="NP109"/>
      <c r="NQ109"/>
      <c r="NR109"/>
      <c r="NS109"/>
      <c r="NT109"/>
      <c r="NU109"/>
      <c r="NV109"/>
      <c r="NW109"/>
      <c r="NX109"/>
      <c r="NY109"/>
      <c r="NZ109"/>
      <c r="OA109"/>
      <c r="OB109"/>
      <c r="OC109"/>
      <c r="OD109"/>
      <c r="OE109"/>
      <c r="OF109"/>
      <c r="OG109"/>
      <c r="OH109"/>
      <c r="OI109"/>
      <c r="OJ109"/>
      <c r="OK109"/>
      <c r="OL109"/>
      <c r="OM109"/>
      <c r="ON109"/>
      <c r="OO109"/>
      <c r="OP109"/>
      <c r="OQ109"/>
      <c r="OR109"/>
      <c r="OS109"/>
      <c r="OT109"/>
      <c r="OU109"/>
      <c r="OV109"/>
      <c r="OW109"/>
      <c r="OX109"/>
      <c r="OY109"/>
      <c r="OZ109"/>
      <c r="PA109"/>
      <c r="PB109"/>
      <c r="PC109"/>
      <c r="PD109"/>
      <c r="PE109"/>
      <c r="PF109"/>
      <c r="PG109"/>
      <c r="PH109"/>
      <c r="PI109"/>
      <c r="PJ109"/>
      <c r="PK109"/>
      <c r="PL109"/>
      <c r="PM109"/>
      <c r="PN109"/>
      <c r="PO109"/>
      <c r="PP109"/>
      <c r="PQ109"/>
      <c r="PR109"/>
      <c r="PS109"/>
      <c r="PT109"/>
      <c r="PU109"/>
      <c r="PV109"/>
      <c r="PW109"/>
      <c r="PX109"/>
      <c r="PY109"/>
      <c r="PZ109"/>
      <c r="QA109"/>
      <c r="QB109"/>
      <c r="QC109"/>
      <c r="QD109"/>
      <c r="QE109"/>
      <c r="QF109"/>
      <c r="QG109"/>
      <c r="QH109"/>
      <c r="QI109"/>
      <c r="QJ109"/>
      <c r="QK109"/>
      <c r="QL109"/>
      <c r="QM109"/>
      <c r="QN109"/>
      <c r="QO109"/>
      <c r="QP109"/>
      <c r="QQ109"/>
      <c r="QR109"/>
      <c r="QS109"/>
      <c r="QT109"/>
      <c r="QU109"/>
      <c r="QV109"/>
      <c r="QW109"/>
      <c r="QX109"/>
      <c r="QY109"/>
      <c r="QZ109"/>
      <c r="RA109"/>
      <c r="RB109"/>
      <c r="RC109"/>
      <c r="RD109"/>
      <c r="RE109"/>
      <c r="RF109"/>
      <c r="RG109"/>
      <c r="RH109"/>
      <c r="RI109"/>
      <c r="RJ109"/>
      <c r="RK109"/>
      <c r="RL109"/>
      <c r="RM109"/>
      <c r="RN109"/>
      <c r="RO109"/>
      <c r="RP109"/>
      <c r="RQ109"/>
      <c r="RR109"/>
      <c r="RS109"/>
    </row>
    <row r="110" spans="3:487" x14ac:dyDescent="0.25">
      <c r="C110" s="2" t="s">
        <v>314</v>
      </c>
      <c r="D110" s="34">
        <v>1</v>
      </c>
      <c r="F110" s="2" t="s">
        <v>1313</v>
      </c>
      <c r="G110" s="34">
        <v>1</v>
      </c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  <c r="DU110"/>
      <c r="DV110"/>
      <c r="DW110"/>
      <c r="DX110"/>
      <c r="DY110"/>
      <c r="DZ110"/>
      <c r="EA110"/>
      <c r="EB110"/>
      <c r="EC110"/>
      <c r="ED110"/>
      <c r="EE110"/>
      <c r="EF110"/>
      <c r="EG110"/>
      <c r="EH110"/>
      <c r="EI110"/>
      <c r="EJ110"/>
      <c r="EK110"/>
      <c r="EL110"/>
      <c r="EM110"/>
      <c r="EN110"/>
      <c r="EO110"/>
      <c r="EP110"/>
      <c r="EQ110"/>
      <c r="ER110"/>
      <c r="ES110"/>
      <c r="ET110"/>
      <c r="EU110"/>
      <c r="EV110"/>
      <c r="EW110"/>
      <c r="EX110"/>
      <c r="EY110"/>
      <c r="EZ110"/>
      <c r="FA110"/>
      <c r="FB110"/>
      <c r="FC110"/>
      <c r="FD110"/>
      <c r="FE110"/>
      <c r="FF110"/>
      <c r="FG110"/>
      <c r="FH110"/>
      <c r="FI110"/>
      <c r="FJ110"/>
      <c r="FK110"/>
      <c r="FL110"/>
      <c r="FM110"/>
      <c r="FN110"/>
      <c r="FO110"/>
      <c r="FP110"/>
      <c r="FQ110"/>
      <c r="FR110"/>
      <c r="FS110"/>
      <c r="FT110"/>
      <c r="FU110"/>
      <c r="FV110"/>
      <c r="FW110"/>
      <c r="FX110"/>
      <c r="FY110"/>
      <c r="FZ110"/>
      <c r="GA110"/>
      <c r="GB110"/>
      <c r="GC110"/>
      <c r="GD110"/>
      <c r="GE110"/>
      <c r="GF110"/>
      <c r="GG110"/>
      <c r="GH110"/>
      <c r="GI110"/>
      <c r="GJ110"/>
      <c r="GK110"/>
      <c r="GL110"/>
      <c r="GM110"/>
      <c r="GN110"/>
      <c r="GO110"/>
      <c r="GP110"/>
      <c r="GQ110"/>
      <c r="GR110"/>
      <c r="GS110"/>
      <c r="GT110"/>
      <c r="GU110"/>
      <c r="GV110"/>
      <c r="GW110"/>
      <c r="GX110"/>
      <c r="GY110"/>
      <c r="GZ110"/>
      <c r="HA110"/>
      <c r="HB110"/>
      <c r="HC110"/>
      <c r="HD110"/>
      <c r="HE110"/>
      <c r="HF110"/>
      <c r="HG110"/>
      <c r="HH110"/>
      <c r="HI110"/>
      <c r="HJ110"/>
      <c r="HK110"/>
      <c r="HL110"/>
      <c r="HM110"/>
      <c r="HN110"/>
      <c r="HO110"/>
      <c r="HP110"/>
      <c r="HQ110"/>
      <c r="HR110"/>
      <c r="HS110"/>
      <c r="HT110"/>
      <c r="HU110"/>
      <c r="HV110"/>
      <c r="HW110"/>
      <c r="HX110"/>
      <c r="HY110"/>
      <c r="HZ110"/>
      <c r="IA110"/>
      <c r="IB110"/>
      <c r="IC110"/>
      <c r="ID110"/>
      <c r="IE110"/>
      <c r="IF110"/>
      <c r="IG110"/>
      <c r="IH110"/>
      <c r="II110"/>
      <c r="IJ110"/>
      <c r="IK110"/>
      <c r="IL110"/>
      <c r="IM110"/>
      <c r="IN110"/>
      <c r="IO110"/>
      <c r="IP110"/>
      <c r="IQ110"/>
      <c r="IR110"/>
      <c r="IS110"/>
      <c r="IT110"/>
      <c r="IU110"/>
      <c r="IV110"/>
      <c r="IW110"/>
      <c r="IX110"/>
      <c r="IY110"/>
      <c r="IZ110"/>
      <c r="JA110"/>
      <c r="JB110"/>
      <c r="JC110"/>
      <c r="JD110"/>
      <c r="JE110"/>
      <c r="JF110"/>
      <c r="JG110"/>
      <c r="JH110"/>
      <c r="JI110"/>
      <c r="JJ110"/>
      <c r="JK110"/>
      <c r="JL110"/>
      <c r="JM110"/>
      <c r="JN110"/>
      <c r="JO110"/>
      <c r="JP110"/>
      <c r="JQ110"/>
      <c r="JR110"/>
      <c r="JS110"/>
      <c r="JT110"/>
      <c r="JU110"/>
      <c r="JV110"/>
      <c r="JW110"/>
      <c r="JX110"/>
      <c r="JY110"/>
      <c r="JZ110"/>
      <c r="KA110"/>
      <c r="KB110"/>
      <c r="KC110"/>
      <c r="KD110"/>
      <c r="KE110"/>
      <c r="KF110"/>
      <c r="KG110"/>
      <c r="KH110"/>
      <c r="KI110"/>
      <c r="KJ110"/>
      <c r="KK110"/>
      <c r="KL110"/>
      <c r="KM110"/>
      <c r="KN110"/>
      <c r="KO110"/>
      <c r="KP110"/>
      <c r="KQ110"/>
      <c r="KR110"/>
      <c r="KS110"/>
      <c r="KT110"/>
      <c r="KU110"/>
      <c r="KV110"/>
      <c r="KW110"/>
      <c r="KX110"/>
      <c r="KY110"/>
      <c r="KZ110"/>
      <c r="LA110"/>
      <c r="LB110"/>
      <c r="LC110"/>
      <c r="LD110"/>
      <c r="LE110"/>
      <c r="LF110"/>
      <c r="LG110"/>
      <c r="LH110"/>
      <c r="LI110"/>
      <c r="LJ110"/>
      <c r="LK110"/>
      <c r="LL110"/>
      <c r="LM110"/>
      <c r="LN110"/>
      <c r="LO110"/>
      <c r="LP110"/>
      <c r="LQ110"/>
      <c r="LR110"/>
      <c r="LS110"/>
      <c r="LT110"/>
      <c r="LU110"/>
      <c r="LV110"/>
      <c r="LW110"/>
      <c r="LX110"/>
      <c r="LY110"/>
      <c r="LZ110"/>
      <c r="MA110"/>
      <c r="MB110"/>
      <c r="MC110"/>
      <c r="MD110"/>
      <c r="ME110"/>
      <c r="MF110"/>
      <c r="MG110"/>
      <c r="MH110"/>
      <c r="MI110"/>
      <c r="MJ110"/>
      <c r="MK110"/>
      <c r="ML110"/>
      <c r="MM110"/>
      <c r="MN110"/>
      <c r="MO110"/>
      <c r="MP110"/>
      <c r="MQ110"/>
      <c r="MR110"/>
      <c r="MS110"/>
      <c r="MT110"/>
      <c r="MU110"/>
      <c r="MV110"/>
      <c r="MW110"/>
      <c r="MX110"/>
      <c r="MY110"/>
      <c r="MZ110"/>
      <c r="NA110"/>
      <c r="NB110"/>
      <c r="NC110"/>
      <c r="ND110"/>
      <c r="NE110"/>
      <c r="NF110"/>
      <c r="NG110"/>
      <c r="NH110"/>
      <c r="NI110"/>
      <c r="NJ110"/>
      <c r="NK110"/>
      <c r="NL110"/>
      <c r="NM110"/>
      <c r="NN110"/>
      <c r="NO110"/>
      <c r="NP110"/>
      <c r="NQ110"/>
      <c r="NR110"/>
      <c r="NS110"/>
      <c r="NT110"/>
      <c r="NU110"/>
      <c r="NV110"/>
      <c r="NW110"/>
      <c r="NX110"/>
      <c r="NY110"/>
      <c r="NZ110"/>
      <c r="OA110"/>
      <c r="OB110"/>
      <c r="OC110"/>
      <c r="OD110"/>
      <c r="OE110"/>
      <c r="OF110"/>
      <c r="OG110"/>
      <c r="OH110"/>
      <c r="OI110"/>
      <c r="OJ110"/>
      <c r="OK110"/>
      <c r="OL110"/>
      <c r="OM110"/>
      <c r="ON110"/>
      <c r="OO110"/>
      <c r="OP110"/>
      <c r="OQ110"/>
      <c r="OR110"/>
      <c r="OS110"/>
      <c r="OT110"/>
      <c r="OU110"/>
      <c r="OV110"/>
      <c r="OW110"/>
      <c r="OX110"/>
      <c r="OY110"/>
      <c r="OZ110"/>
      <c r="PA110"/>
      <c r="PB110"/>
      <c r="PC110"/>
      <c r="PD110"/>
      <c r="PE110"/>
      <c r="PF110"/>
      <c r="PG110"/>
      <c r="PH110"/>
      <c r="PI110"/>
      <c r="PJ110"/>
      <c r="PK110"/>
      <c r="PL110"/>
      <c r="PM110"/>
      <c r="PN110"/>
      <c r="PO110"/>
      <c r="PP110"/>
      <c r="PQ110"/>
      <c r="PR110"/>
      <c r="PS110"/>
      <c r="PT110"/>
      <c r="PU110"/>
      <c r="PV110"/>
      <c r="PW110"/>
      <c r="PX110"/>
      <c r="PY110"/>
      <c r="PZ110"/>
      <c r="QA110"/>
      <c r="QB110"/>
      <c r="QC110"/>
      <c r="QD110"/>
      <c r="QE110"/>
      <c r="QF110"/>
      <c r="QG110"/>
      <c r="QH110"/>
      <c r="QI110"/>
      <c r="QJ110"/>
      <c r="QK110"/>
      <c r="QL110"/>
      <c r="QM110"/>
      <c r="QN110"/>
      <c r="QO110"/>
      <c r="QP110"/>
      <c r="QQ110"/>
      <c r="QR110"/>
      <c r="QS110"/>
      <c r="QT110"/>
      <c r="QU110"/>
      <c r="QV110"/>
      <c r="QW110"/>
      <c r="QX110"/>
      <c r="QY110"/>
      <c r="QZ110"/>
      <c r="RA110"/>
      <c r="RB110"/>
      <c r="RC110"/>
      <c r="RD110"/>
      <c r="RE110"/>
      <c r="RF110"/>
      <c r="RG110"/>
      <c r="RH110"/>
      <c r="RI110"/>
      <c r="RJ110"/>
      <c r="RK110"/>
      <c r="RL110"/>
      <c r="RM110"/>
      <c r="RN110"/>
      <c r="RO110"/>
      <c r="RP110"/>
      <c r="RQ110"/>
      <c r="RR110"/>
      <c r="RS110"/>
    </row>
    <row r="111" spans="3:487" x14ac:dyDescent="0.25">
      <c r="C111" s="2" t="s">
        <v>194</v>
      </c>
      <c r="D111" s="34">
        <v>1</v>
      </c>
      <c r="F111" s="2" t="s">
        <v>174</v>
      </c>
      <c r="G111" s="34">
        <v>1</v>
      </c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  <c r="DU111"/>
      <c r="DV111"/>
      <c r="DW111"/>
      <c r="DX111"/>
      <c r="DY111"/>
      <c r="DZ111"/>
      <c r="EA111"/>
      <c r="EB111"/>
      <c r="EC111"/>
      <c r="ED111"/>
      <c r="EE111"/>
      <c r="EF111"/>
      <c r="EG111"/>
      <c r="EH111"/>
      <c r="EI111"/>
      <c r="EJ111"/>
      <c r="EK111"/>
      <c r="EL111"/>
      <c r="EM111"/>
      <c r="EN111"/>
      <c r="EO111"/>
      <c r="EP111"/>
      <c r="EQ111"/>
      <c r="ER111"/>
      <c r="ES111"/>
      <c r="ET111"/>
      <c r="EU111"/>
      <c r="EV111"/>
      <c r="EW111"/>
      <c r="EX111"/>
      <c r="EY111"/>
      <c r="EZ111"/>
      <c r="FA111"/>
      <c r="FB111"/>
      <c r="FC111"/>
      <c r="FD111"/>
      <c r="FE111"/>
      <c r="FF111"/>
      <c r="FG111"/>
      <c r="FH111"/>
      <c r="FI111"/>
      <c r="FJ111"/>
      <c r="FK111"/>
      <c r="FL111"/>
      <c r="FM111"/>
      <c r="FN111"/>
      <c r="FO111"/>
      <c r="FP111"/>
      <c r="FQ111"/>
      <c r="FR111"/>
      <c r="FS111"/>
      <c r="FT111"/>
      <c r="FU111"/>
      <c r="FV111"/>
      <c r="FW111"/>
      <c r="FX111"/>
      <c r="FY111"/>
      <c r="FZ111"/>
      <c r="GA111"/>
      <c r="GB111"/>
      <c r="GC111"/>
      <c r="GD111"/>
      <c r="GE111"/>
      <c r="GF111"/>
      <c r="GG111"/>
      <c r="GH111"/>
      <c r="GI111"/>
      <c r="GJ111"/>
      <c r="GK111"/>
      <c r="GL111"/>
      <c r="GM111"/>
      <c r="GN111"/>
      <c r="GO111"/>
      <c r="GP111"/>
      <c r="GQ111"/>
      <c r="GR111"/>
      <c r="GS111"/>
      <c r="GT111"/>
      <c r="GU111"/>
      <c r="GV111"/>
      <c r="GW111"/>
      <c r="GX111"/>
      <c r="GY111"/>
      <c r="GZ111"/>
      <c r="HA111"/>
      <c r="HB111"/>
      <c r="HC111"/>
      <c r="HD111"/>
      <c r="HE111"/>
      <c r="HF111"/>
      <c r="HG111"/>
      <c r="HH111"/>
      <c r="HI111"/>
      <c r="HJ111"/>
      <c r="HK111"/>
      <c r="HL111"/>
      <c r="HM111"/>
      <c r="HN111"/>
      <c r="HO111"/>
      <c r="HP111"/>
      <c r="HQ111"/>
      <c r="HR111"/>
      <c r="HS111"/>
      <c r="HT111"/>
      <c r="HU111"/>
      <c r="HV111"/>
      <c r="HW111"/>
      <c r="HX111"/>
      <c r="HY111"/>
      <c r="HZ111"/>
      <c r="IA111"/>
      <c r="IB111"/>
      <c r="IC111"/>
      <c r="ID111"/>
      <c r="IE111"/>
      <c r="IF111"/>
      <c r="IG111"/>
      <c r="IH111"/>
      <c r="II111"/>
      <c r="IJ111"/>
      <c r="IK111"/>
      <c r="IL111"/>
      <c r="IM111"/>
      <c r="IN111"/>
      <c r="IO111"/>
      <c r="IP111"/>
      <c r="IQ111"/>
      <c r="IR111"/>
      <c r="IS111"/>
      <c r="IT111"/>
      <c r="IU111"/>
      <c r="IV111"/>
      <c r="IW111"/>
      <c r="IX111"/>
      <c r="IY111"/>
      <c r="IZ111"/>
      <c r="JA111"/>
      <c r="JB111"/>
      <c r="JC111"/>
      <c r="JD111"/>
      <c r="JE111"/>
      <c r="JF111"/>
      <c r="JG111"/>
      <c r="JH111"/>
      <c r="JI111"/>
      <c r="JJ111"/>
      <c r="JK111"/>
      <c r="JL111"/>
      <c r="JM111"/>
      <c r="JN111"/>
      <c r="JO111"/>
      <c r="JP111"/>
      <c r="JQ111"/>
      <c r="JR111"/>
      <c r="JS111"/>
      <c r="JT111"/>
      <c r="JU111"/>
      <c r="JV111"/>
      <c r="JW111"/>
      <c r="JX111"/>
      <c r="JY111"/>
      <c r="JZ111"/>
      <c r="KA111"/>
      <c r="KB111"/>
      <c r="KC111"/>
      <c r="KD111"/>
      <c r="KE111"/>
      <c r="KF111"/>
      <c r="KG111"/>
      <c r="KH111"/>
      <c r="KI111"/>
      <c r="KJ111"/>
      <c r="KK111"/>
      <c r="KL111"/>
      <c r="KM111"/>
      <c r="KN111"/>
      <c r="KO111"/>
      <c r="KP111"/>
      <c r="KQ111"/>
      <c r="KR111"/>
      <c r="KS111"/>
      <c r="KT111"/>
      <c r="KU111"/>
      <c r="KV111"/>
      <c r="KW111"/>
      <c r="KX111"/>
      <c r="KY111"/>
      <c r="KZ111"/>
      <c r="LA111"/>
      <c r="LB111"/>
      <c r="LC111"/>
      <c r="LD111"/>
      <c r="LE111"/>
      <c r="LF111"/>
      <c r="LG111"/>
      <c r="LH111"/>
      <c r="LI111"/>
      <c r="LJ111"/>
      <c r="LK111"/>
      <c r="LL111"/>
      <c r="LM111"/>
      <c r="LN111"/>
      <c r="LO111"/>
      <c r="LP111"/>
      <c r="LQ111"/>
      <c r="LR111"/>
      <c r="LS111"/>
      <c r="LT111"/>
      <c r="LU111"/>
      <c r="LV111"/>
      <c r="LW111"/>
      <c r="LX111"/>
      <c r="LY111"/>
      <c r="LZ111"/>
      <c r="MA111"/>
      <c r="MB111"/>
      <c r="MC111"/>
      <c r="MD111"/>
      <c r="ME111"/>
      <c r="MF111"/>
      <c r="MG111"/>
      <c r="MH111"/>
      <c r="MI111"/>
      <c r="MJ111"/>
      <c r="MK111"/>
      <c r="ML111"/>
      <c r="MM111"/>
      <c r="MN111"/>
      <c r="MO111"/>
      <c r="MP111"/>
      <c r="MQ111"/>
      <c r="MR111"/>
      <c r="MS111"/>
      <c r="MT111"/>
      <c r="MU111"/>
      <c r="MV111"/>
      <c r="MW111"/>
      <c r="MX111"/>
      <c r="MY111"/>
      <c r="MZ111"/>
      <c r="NA111"/>
      <c r="NB111"/>
      <c r="NC111"/>
      <c r="ND111"/>
      <c r="NE111"/>
      <c r="NF111"/>
      <c r="NG111"/>
      <c r="NH111"/>
      <c r="NI111"/>
      <c r="NJ111"/>
      <c r="NK111"/>
      <c r="NL111"/>
      <c r="NM111"/>
      <c r="NN111"/>
      <c r="NO111"/>
      <c r="NP111"/>
      <c r="NQ111"/>
      <c r="NR111"/>
      <c r="NS111"/>
      <c r="NT111"/>
      <c r="NU111"/>
      <c r="NV111"/>
      <c r="NW111"/>
      <c r="NX111"/>
      <c r="NY111"/>
      <c r="NZ111"/>
      <c r="OA111"/>
      <c r="OB111"/>
      <c r="OC111"/>
      <c r="OD111"/>
      <c r="OE111"/>
      <c r="OF111"/>
      <c r="OG111"/>
      <c r="OH111"/>
      <c r="OI111"/>
      <c r="OJ111"/>
      <c r="OK111"/>
      <c r="OL111"/>
      <c r="OM111"/>
      <c r="ON111"/>
      <c r="OO111"/>
      <c r="OP111"/>
      <c r="OQ111"/>
      <c r="OR111"/>
      <c r="OS111"/>
      <c r="OT111"/>
      <c r="OU111"/>
      <c r="OV111"/>
      <c r="OW111"/>
      <c r="OX111"/>
      <c r="OY111"/>
      <c r="OZ111"/>
      <c r="PA111"/>
      <c r="PB111"/>
      <c r="PC111"/>
      <c r="PD111"/>
      <c r="PE111"/>
      <c r="PF111"/>
      <c r="PG111"/>
      <c r="PH111"/>
      <c r="PI111"/>
      <c r="PJ111"/>
      <c r="PK111"/>
      <c r="PL111"/>
      <c r="PM111"/>
      <c r="PN111"/>
      <c r="PO111"/>
      <c r="PP111"/>
      <c r="PQ111"/>
      <c r="PR111"/>
      <c r="PS111"/>
      <c r="PT111"/>
      <c r="PU111"/>
      <c r="PV111"/>
      <c r="PW111"/>
      <c r="PX111"/>
      <c r="PY111"/>
      <c r="PZ111"/>
      <c r="QA111"/>
      <c r="QB111"/>
      <c r="QC111"/>
      <c r="QD111"/>
      <c r="QE111"/>
      <c r="QF111"/>
      <c r="QG111"/>
      <c r="QH111"/>
      <c r="QI111"/>
      <c r="QJ111"/>
      <c r="QK111"/>
      <c r="QL111"/>
      <c r="QM111"/>
      <c r="QN111"/>
      <c r="QO111"/>
      <c r="QP111"/>
      <c r="QQ111"/>
      <c r="QR111"/>
      <c r="QS111"/>
      <c r="QT111"/>
      <c r="QU111"/>
      <c r="QV111"/>
      <c r="QW111"/>
      <c r="QX111"/>
      <c r="QY111"/>
      <c r="QZ111"/>
      <c r="RA111"/>
      <c r="RB111"/>
      <c r="RC111"/>
      <c r="RD111"/>
      <c r="RE111"/>
      <c r="RF111"/>
      <c r="RG111"/>
      <c r="RH111"/>
      <c r="RI111"/>
      <c r="RJ111"/>
      <c r="RK111"/>
      <c r="RL111"/>
      <c r="RM111"/>
      <c r="RN111"/>
      <c r="RO111"/>
      <c r="RP111"/>
      <c r="RQ111"/>
      <c r="RR111"/>
      <c r="RS111"/>
    </row>
    <row r="112" spans="3:487" x14ac:dyDescent="0.25">
      <c r="C112" s="2" t="s">
        <v>312</v>
      </c>
      <c r="D112" s="34">
        <v>1</v>
      </c>
      <c r="F112" s="2" t="s">
        <v>190</v>
      </c>
      <c r="G112" s="34">
        <v>1</v>
      </c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  <c r="DU112"/>
      <c r="DV112"/>
      <c r="DW112"/>
      <c r="DX112"/>
      <c r="DY112"/>
      <c r="DZ112"/>
      <c r="EA112"/>
      <c r="EB112"/>
      <c r="EC112"/>
      <c r="ED112"/>
      <c r="EE112"/>
      <c r="EF112"/>
      <c r="EG112"/>
      <c r="EH112"/>
      <c r="EI112"/>
      <c r="EJ112"/>
      <c r="EK112"/>
      <c r="EL112"/>
      <c r="EM112"/>
      <c r="EN112"/>
      <c r="EO112"/>
      <c r="EP112"/>
      <c r="EQ112"/>
      <c r="ER112"/>
      <c r="ES112"/>
      <c r="ET112"/>
      <c r="EU112"/>
      <c r="EV112"/>
      <c r="EW112"/>
      <c r="EX112"/>
      <c r="EY112"/>
      <c r="EZ112"/>
      <c r="FA112"/>
      <c r="FB112"/>
      <c r="FC112"/>
      <c r="FD112"/>
      <c r="FE112"/>
      <c r="FF112"/>
      <c r="FG112"/>
      <c r="FH112"/>
      <c r="FI112"/>
      <c r="FJ112"/>
      <c r="FK112"/>
      <c r="FL112"/>
      <c r="FM112"/>
      <c r="FN112"/>
      <c r="FO112"/>
      <c r="FP112"/>
      <c r="FQ112"/>
      <c r="FR112"/>
      <c r="FS112"/>
      <c r="FT112"/>
      <c r="FU112"/>
      <c r="FV112"/>
      <c r="FW112"/>
      <c r="FX112"/>
      <c r="FY112"/>
      <c r="FZ112"/>
      <c r="GA112"/>
      <c r="GB112"/>
      <c r="GC112"/>
      <c r="GD112"/>
      <c r="GE112"/>
      <c r="GF112"/>
      <c r="GG112"/>
      <c r="GH112"/>
      <c r="GI112"/>
      <c r="GJ112"/>
      <c r="GK112"/>
      <c r="GL112"/>
      <c r="GM112"/>
      <c r="GN112"/>
      <c r="GO112"/>
      <c r="GP112"/>
      <c r="GQ112"/>
      <c r="GR112"/>
      <c r="GS112"/>
      <c r="GT112"/>
      <c r="GU112"/>
      <c r="GV112"/>
      <c r="GW112"/>
      <c r="GX112"/>
      <c r="GY112"/>
      <c r="GZ112"/>
      <c r="HA112"/>
      <c r="HB112"/>
      <c r="HC112"/>
      <c r="HD112"/>
      <c r="HE112"/>
      <c r="HF112"/>
      <c r="HG112"/>
      <c r="HH112"/>
      <c r="HI112"/>
      <c r="HJ112"/>
      <c r="HK112"/>
      <c r="HL112"/>
      <c r="HM112"/>
      <c r="HN112"/>
      <c r="HO112"/>
      <c r="HP112"/>
      <c r="HQ112"/>
      <c r="HR112"/>
      <c r="HS112"/>
      <c r="HT112"/>
      <c r="HU112"/>
      <c r="HV112"/>
      <c r="HW112"/>
      <c r="HX112"/>
      <c r="HY112"/>
      <c r="HZ112"/>
      <c r="IA112"/>
      <c r="IB112"/>
      <c r="IC112"/>
      <c r="ID112"/>
      <c r="IE112"/>
      <c r="IF112"/>
      <c r="IG112"/>
      <c r="IH112"/>
      <c r="II112"/>
      <c r="IJ112"/>
      <c r="IK112"/>
      <c r="IL112"/>
      <c r="IM112"/>
      <c r="IN112"/>
      <c r="IO112"/>
      <c r="IP112"/>
      <c r="IQ112"/>
      <c r="IR112"/>
      <c r="IS112"/>
      <c r="IT112"/>
      <c r="IU112"/>
      <c r="IV112"/>
      <c r="IW112"/>
      <c r="IX112"/>
      <c r="IY112"/>
      <c r="IZ112"/>
      <c r="JA112"/>
      <c r="JB112"/>
      <c r="JC112"/>
      <c r="JD112"/>
      <c r="JE112"/>
      <c r="JF112"/>
      <c r="JG112"/>
      <c r="JH112"/>
      <c r="JI112"/>
      <c r="JJ112"/>
      <c r="JK112"/>
      <c r="JL112"/>
      <c r="JM112"/>
      <c r="JN112"/>
      <c r="JO112"/>
      <c r="JP112"/>
      <c r="JQ112"/>
      <c r="JR112"/>
      <c r="JS112"/>
      <c r="JT112"/>
      <c r="JU112"/>
      <c r="JV112"/>
      <c r="JW112"/>
      <c r="JX112"/>
      <c r="JY112"/>
      <c r="JZ112"/>
      <c r="KA112"/>
      <c r="KB112"/>
      <c r="KC112"/>
      <c r="KD112"/>
      <c r="KE112"/>
      <c r="KF112"/>
      <c r="KG112"/>
      <c r="KH112"/>
      <c r="KI112"/>
      <c r="KJ112"/>
      <c r="KK112"/>
      <c r="KL112"/>
      <c r="KM112"/>
      <c r="KN112"/>
      <c r="KO112"/>
      <c r="KP112"/>
      <c r="KQ112"/>
      <c r="KR112"/>
      <c r="KS112"/>
      <c r="KT112"/>
      <c r="KU112"/>
      <c r="KV112"/>
      <c r="KW112"/>
      <c r="KX112"/>
      <c r="KY112"/>
      <c r="KZ112"/>
      <c r="LA112"/>
      <c r="LB112"/>
      <c r="LC112"/>
      <c r="LD112"/>
      <c r="LE112"/>
      <c r="LF112"/>
      <c r="LG112"/>
      <c r="LH112"/>
      <c r="LI112"/>
      <c r="LJ112"/>
      <c r="LK112"/>
      <c r="LL112"/>
      <c r="LM112"/>
      <c r="LN112"/>
      <c r="LO112"/>
      <c r="LP112"/>
      <c r="LQ112"/>
      <c r="LR112"/>
      <c r="LS112"/>
      <c r="LT112"/>
      <c r="LU112"/>
      <c r="LV112"/>
      <c r="LW112"/>
      <c r="LX112"/>
      <c r="LY112"/>
      <c r="LZ112"/>
      <c r="MA112"/>
      <c r="MB112"/>
      <c r="MC112"/>
      <c r="MD112"/>
      <c r="ME112"/>
      <c r="MF112"/>
      <c r="MG112"/>
      <c r="MH112"/>
      <c r="MI112"/>
      <c r="MJ112"/>
      <c r="MK112"/>
      <c r="ML112"/>
      <c r="MM112"/>
      <c r="MN112"/>
      <c r="MO112"/>
      <c r="MP112"/>
      <c r="MQ112"/>
      <c r="MR112"/>
      <c r="MS112"/>
      <c r="MT112"/>
      <c r="MU112"/>
      <c r="MV112"/>
      <c r="MW112"/>
      <c r="MX112"/>
      <c r="MY112"/>
      <c r="MZ112"/>
      <c r="NA112"/>
      <c r="NB112"/>
      <c r="NC112"/>
      <c r="ND112"/>
      <c r="NE112"/>
      <c r="NF112"/>
      <c r="NG112"/>
      <c r="NH112"/>
      <c r="NI112"/>
      <c r="NJ112"/>
      <c r="NK112"/>
      <c r="NL112"/>
      <c r="NM112"/>
      <c r="NN112"/>
      <c r="NO112"/>
      <c r="NP112"/>
      <c r="NQ112"/>
      <c r="NR112"/>
      <c r="NS112"/>
      <c r="NT112"/>
      <c r="NU112"/>
      <c r="NV112"/>
      <c r="NW112"/>
      <c r="NX112"/>
      <c r="NY112"/>
      <c r="NZ112"/>
      <c r="OA112"/>
      <c r="OB112"/>
      <c r="OC112"/>
      <c r="OD112"/>
      <c r="OE112"/>
      <c r="OF112"/>
      <c r="OG112"/>
      <c r="OH112"/>
      <c r="OI112"/>
      <c r="OJ112"/>
      <c r="OK112"/>
      <c r="OL112"/>
      <c r="OM112"/>
      <c r="ON112"/>
      <c r="OO112"/>
      <c r="OP112"/>
      <c r="OQ112"/>
      <c r="OR112"/>
      <c r="OS112"/>
      <c r="OT112"/>
      <c r="OU112"/>
      <c r="OV112"/>
      <c r="OW112"/>
      <c r="OX112"/>
      <c r="OY112"/>
      <c r="OZ112"/>
      <c r="PA112"/>
      <c r="PB112"/>
      <c r="PC112"/>
      <c r="PD112"/>
      <c r="PE112"/>
      <c r="PF112"/>
      <c r="PG112"/>
      <c r="PH112"/>
      <c r="PI112"/>
      <c r="PJ112"/>
      <c r="PK112"/>
      <c r="PL112"/>
      <c r="PM112"/>
      <c r="PN112"/>
      <c r="PO112"/>
      <c r="PP112"/>
      <c r="PQ112"/>
      <c r="PR112"/>
      <c r="PS112"/>
      <c r="PT112"/>
      <c r="PU112"/>
      <c r="PV112"/>
      <c r="PW112"/>
      <c r="PX112"/>
      <c r="PY112"/>
      <c r="PZ112"/>
      <c r="QA112"/>
      <c r="QB112"/>
      <c r="QC112"/>
      <c r="QD112"/>
      <c r="QE112"/>
      <c r="QF112"/>
      <c r="QG112"/>
      <c r="QH112"/>
      <c r="QI112"/>
      <c r="QJ112"/>
      <c r="QK112"/>
      <c r="QL112"/>
      <c r="QM112"/>
      <c r="QN112"/>
      <c r="QO112"/>
      <c r="QP112"/>
      <c r="QQ112"/>
      <c r="QR112"/>
      <c r="QS112"/>
      <c r="QT112"/>
      <c r="QU112"/>
      <c r="QV112"/>
      <c r="QW112"/>
      <c r="QX112"/>
      <c r="QY112"/>
      <c r="QZ112"/>
      <c r="RA112"/>
      <c r="RB112"/>
      <c r="RC112"/>
      <c r="RD112"/>
      <c r="RE112"/>
      <c r="RF112"/>
      <c r="RG112"/>
      <c r="RH112"/>
      <c r="RI112"/>
      <c r="RJ112"/>
      <c r="RK112"/>
      <c r="RL112"/>
      <c r="RM112"/>
      <c r="RN112"/>
      <c r="RO112"/>
      <c r="RP112"/>
      <c r="RQ112"/>
      <c r="RR112"/>
      <c r="RS112"/>
    </row>
    <row r="113" spans="3:487" x14ac:dyDescent="0.25">
      <c r="C113" s="2" t="s">
        <v>198</v>
      </c>
      <c r="D113" s="34">
        <v>1</v>
      </c>
      <c r="F113" s="2" t="s">
        <v>130</v>
      </c>
      <c r="G113" s="34">
        <v>1</v>
      </c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  <c r="DU113"/>
      <c r="DV113"/>
      <c r="DW113"/>
      <c r="DX113"/>
      <c r="DY113"/>
      <c r="DZ113"/>
      <c r="EA113"/>
      <c r="EB113"/>
      <c r="EC113"/>
      <c r="ED113"/>
      <c r="EE113"/>
      <c r="EF113"/>
      <c r="EG113"/>
      <c r="EH113"/>
      <c r="EI113"/>
      <c r="EJ113"/>
      <c r="EK113"/>
      <c r="EL113"/>
      <c r="EM113"/>
      <c r="EN113"/>
      <c r="EO113"/>
      <c r="EP113"/>
      <c r="EQ113"/>
      <c r="ER113"/>
      <c r="ES113"/>
      <c r="ET113"/>
      <c r="EU113"/>
      <c r="EV113"/>
      <c r="EW113"/>
      <c r="EX113"/>
      <c r="EY113"/>
      <c r="EZ113"/>
      <c r="FA113"/>
      <c r="FB113"/>
      <c r="FC113"/>
      <c r="FD113"/>
      <c r="FE113"/>
      <c r="FF113"/>
      <c r="FG113"/>
      <c r="FH113"/>
      <c r="FI113"/>
      <c r="FJ113"/>
      <c r="FK113"/>
      <c r="FL113"/>
      <c r="FM113"/>
      <c r="FN113"/>
      <c r="FO113"/>
      <c r="FP113"/>
      <c r="FQ113"/>
      <c r="FR113"/>
      <c r="FS113"/>
      <c r="FT113"/>
      <c r="FU113"/>
      <c r="FV113"/>
      <c r="FW113"/>
      <c r="FX113"/>
      <c r="FY113"/>
      <c r="FZ113"/>
      <c r="GA113"/>
      <c r="GB113"/>
      <c r="GC113"/>
      <c r="GD113"/>
      <c r="GE113"/>
      <c r="GF113"/>
      <c r="GG113"/>
      <c r="GH113"/>
      <c r="GI113"/>
      <c r="GJ113"/>
      <c r="GK113"/>
      <c r="GL113"/>
      <c r="GM113"/>
      <c r="GN113"/>
      <c r="GO113"/>
      <c r="GP113"/>
      <c r="GQ113"/>
      <c r="GR113"/>
      <c r="GS113"/>
      <c r="GT113"/>
      <c r="GU113"/>
      <c r="GV113"/>
      <c r="GW113"/>
      <c r="GX113"/>
      <c r="GY113"/>
      <c r="GZ113"/>
      <c r="HA113"/>
      <c r="HB113"/>
      <c r="HC113"/>
      <c r="HD113"/>
      <c r="HE113"/>
      <c r="HF113"/>
      <c r="HG113"/>
      <c r="HH113"/>
      <c r="HI113"/>
      <c r="HJ113"/>
      <c r="HK113"/>
      <c r="HL113"/>
      <c r="HM113"/>
      <c r="HN113"/>
      <c r="HO113"/>
      <c r="HP113"/>
      <c r="HQ113"/>
      <c r="HR113"/>
      <c r="HS113"/>
      <c r="HT113"/>
      <c r="HU113"/>
      <c r="HV113"/>
      <c r="HW113"/>
      <c r="HX113"/>
      <c r="HY113"/>
      <c r="HZ113"/>
      <c r="IA113"/>
      <c r="IB113"/>
      <c r="IC113"/>
      <c r="ID113"/>
      <c r="IE113"/>
      <c r="IF113"/>
      <c r="IG113"/>
      <c r="IH113"/>
      <c r="II113"/>
      <c r="IJ113"/>
      <c r="IK113"/>
      <c r="IL113"/>
      <c r="IM113"/>
      <c r="IN113"/>
      <c r="IO113"/>
      <c r="IP113"/>
      <c r="IQ113"/>
      <c r="IR113"/>
      <c r="IS113"/>
      <c r="IT113"/>
      <c r="IU113"/>
      <c r="IV113"/>
      <c r="IW113"/>
      <c r="IX113"/>
      <c r="IY113"/>
      <c r="IZ113"/>
      <c r="JA113"/>
      <c r="JB113"/>
      <c r="JC113"/>
      <c r="JD113"/>
      <c r="JE113"/>
      <c r="JF113"/>
      <c r="JG113"/>
      <c r="JH113"/>
      <c r="JI113"/>
      <c r="JJ113"/>
      <c r="JK113"/>
      <c r="JL113"/>
      <c r="JM113"/>
      <c r="JN113"/>
      <c r="JO113"/>
      <c r="JP113"/>
      <c r="JQ113"/>
      <c r="JR113"/>
      <c r="JS113"/>
      <c r="JT113"/>
      <c r="JU113"/>
      <c r="JV113"/>
      <c r="JW113"/>
      <c r="JX113"/>
      <c r="JY113"/>
      <c r="JZ113"/>
      <c r="KA113"/>
      <c r="KB113"/>
      <c r="KC113"/>
      <c r="KD113"/>
      <c r="KE113"/>
      <c r="KF113"/>
      <c r="KG113"/>
      <c r="KH113"/>
      <c r="KI113"/>
      <c r="KJ113"/>
      <c r="KK113"/>
      <c r="KL113"/>
      <c r="KM113"/>
      <c r="KN113"/>
      <c r="KO113"/>
      <c r="KP113"/>
      <c r="KQ113"/>
      <c r="KR113"/>
      <c r="KS113"/>
      <c r="KT113"/>
      <c r="KU113"/>
      <c r="KV113"/>
      <c r="KW113"/>
      <c r="KX113"/>
      <c r="KY113"/>
      <c r="KZ113"/>
      <c r="LA113"/>
      <c r="LB113"/>
      <c r="LC113"/>
      <c r="LD113"/>
      <c r="LE113"/>
      <c r="LF113"/>
      <c r="LG113"/>
      <c r="LH113"/>
      <c r="LI113"/>
      <c r="LJ113"/>
      <c r="LK113"/>
      <c r="LL113"/>
      <c r="LM113"/>
      <c r="LN113"/>
      <c r="LO113"/>
      <c r="LP113"/>
      <c r="LQ113"/>
      <c r="LR113"/>
      <c r="LS113"/>
      <c r="LT113"/>
      <c r="LU113"/>
      <c r="LV113"/>
      <c r="LW113"/>
      <c r="LX113"/>
      <c r="LY113"/>
      <c r="LZ113"/>
      <c r="MA113"/>
      <c r="MB113"/>
      <c r="MC113"/>
      <c r="MD113"/>
      <c r="ME113"/>
      <c r="MF113"/>
      <c r="MG113"/>
      <c r="MH113"/>
      <c r="MI113"/>
      <c r="MJ113"/>
      <c r="MK113"/>
      <c r="ML113"/>
      <c r="MM113"/>
      <c r="MN113"/>
      <c r="MO113"/>
      <c r="MP113"/>
      <c r="MQ113"/>
      <c r="MR113"/>
      <c r="MS113"/>
      <c r="MT113"/>
      <c r="MU113"/>
      <c r="MV113"/>
      <c r="MW113"/>
      <c r="MX113"/>
      <c r="MY113"/>
      <c r="MZ113"/>
      <c r="NA113"/>
      <c r="NB113"/>
      <c r="NC113"/>
      <c r="ND113"/>
      <c r="NE113"/>
      <c r="NF113"/>
      <c r="NG113"/>
      <c r="NH113"/>
      <c r="NI113"/>
      <c r="NJ113"/>
      <c r="NK113"/>
      <c r="NL113"/>
      <c r="NM113"/>
      <c r="NN113"/>
      <c r="NO113"/>
      <c r="NP113"/>
      <c r="NQ113"/>
      <c r="NR113"/>
      <c r="NS113"/>
      <c r="NT113"/>
      <c r="NU113"/>
      <c r="NV113"/>
      <c r="NW113"/>
      <c r="NX113"/>
      <c r="NY113"/>
      <c r="NZ113"/>
      <c r="OA113"/>
      <c r="OB113"/>
      <c r="OC113"/>
      <c r="OD113"/>
      <c r="OE113"/>
      <c r="OF113"/>
      <c r="OG113"/>
      <c r="OH113"/>
      <c r="OI113"/>
      <c r="OJ113"/>
      <c r="OK113"/>
      <c r="OL113"/>
      <c r="OM113"/>
      <c r="ON113"/>
      <c r="OO113"/>
      <c r="OP113"/>
      <c r="OQ113"/>
      <c r="OR113"/>
      <c r="OS113"/>
      <c r="OT113"/>
      <c r="OU113"/>
      <c r="OV113"/>
      <c r="OW113"/>
      <c r="OX113"/>
      <c r="OY113"/>
      <c r="OZ113"/>
      <c r="PA113"/>
      <c r="PB113"/>
      <c r="PC113"/>
      <c r="PD113"/>
      <c r="PE113"/>
      <c r="PF113"/>
      <c r="PG113"/>
      <c r="PH113"/>
      <c r="PI113"/>
      <c r="PJ113"/>
      <c r="PK113"/>
      <c r="PL113"/>
      <c r="PM113"/>
      <c r="PN113"/>
      <c r="PO113"/>
      <c r="PP113"/>
      <c r="PQ113"/>
      <c r="PR113"/>
      <c r="PS113"/>
      <c r="PT113"/>
      <c r="PU113"/>
      <c r="PV113"/>
      <c r="PW113"/>
      <c r="PX113"/>
      <c r="PY113"/>
      <c r="PZ113"/>
      <c r="QA113"/>
      <c r="QB113"/>
      <c r="QC113"/>
      <c r="QD113"/>
      <c r="QE113"/>
      <c r="QF113"/>
      <c r="QG113"/>
      <c r="QH113"/>
      <c r="QI113"/>
      <c r="QJ113"/>
      <c r="QK113"/>
      <c r="QL113"/>
      <c r="QM113"/>
      <c r="QN113"/>
      <c r="QO113"/>
      <c r="QP113"/>
      <c r="QQ113"/>
      <c r="QR113"/>
      <c r="QS113"/>
      <c r="QT113"/>
      <c r="QU113"/>
      <c r="QV113"/>
      <c r="QW113"/>
      <c r="QX113"/>
      <c r="QY113"/>
      <c r="QZ113"/>
      <c r="RA113"/>
      <c r="RB113"/>
      <c r="RC113"/>
      <c r="RD113"/>
      <c r="RE113"/>
      <c r="RF113"/>
      <c r="RG113"/>
      <c r="RH113"/>
      <c r="RI113"/>
      <c r="RJ113"/>
      <c r="RK113"/>
      <c r="RL113"/>
      <c r="RM113"/>
      <c r="RN113"/>
      <c r="RO113"/>
      <c r="RP113"/>
      <c r="RQ113"/>
      <c r="RR113"/>
      <c r="RS113"/>
    </row>
    <row r="114" spans="3:487" x14ac:dyDescent="0.25">
      <c r="C114" s="2" t="s">
        <v>326</v>
      </c>
      <c r="D114" s="34">
        <v>1</v>
      </c>
      <c r="F114" s="2" t="s">
        <v>1299</v>
      </c>
      <c r="G114" s="34">
        <v>1</v>
      </c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  <c r="DU114"/>
      <c r="DV114"/>
      <c r="DW114"/>
      <c r="DX114"/>
      <c r="DY114"/>
      <c r="DZ114"/>
      <c r="EA114"/>
      <c r="EB114"/>
      <c r="EC114"/>
      <c r="ED114"/>
      <c r="EE114"/>
      <c r="EF114"/>
      <c r="EG114"/>
      <c r="EH114"/>
      <c r="EI114"/>
      <c r="EJ114"/>
      <c r="EK114"/>
      <c r="EL114"/>
      <c r="EM114"/>
      <c r="EN114"/>
      <c r="EO114"/>
      <c r="EP114"/>
      <c r="EQ114"/>
      <c r="ER114"/>
      <c r="ES114"/>
      <c r="ET114"/>
      <c r="EU114"/>
      <c r="EV114"/>
      <c r="EW114"/>
      <c r="EX114"/>
      <c r="EY114"/>
      <c r="EZ114"/>
      <c r="FA114"/>
      <c r="FB114"/>
      <c r="FC114"/>
      <c r="FD114"/>
      <c r="FE114"/>
      <c r="FF114"/>
      <c r="FG114"/>
      <c r="FH114"/>
      <c r="FI114"/>
      <c r="FJ114"/>
      <c r="FK114"/>
      <c r="FL114"/>
      <c r="FM114"/>
      <c r="FN114"/>
      <c r="FO114"/>
      <c r="FP114"/>
      <c r="FQ114"/>
      <c r="FR114"/>
      <c r="FS114"/>
      <c r="FT114"/>
      <c r="FU114"/>
      <c r="FV114"/>
      <c r="FW114"/>
      <c r="FX114"/>
      <c r="FY114"/>
      <c r="FZ114"/>
      <c r="GA114"/>
      <c r="GB114"/>
      <c r="GC114"/>
      <c r="GD114"/>
      <c r="GE114"/>
      <c r="GF114"/>
      <c r="GG114"/>
      <c r="GH114"/>
      <c r="GI114"/>
      <c r="GJ114"/>
      <c r="GK114"/>
      <c r="GL114"/>
      <c r="GM114"/>
      <c r="GN114"/>
      <c r="GO114"/>
      <c r="GP114"/>
      <c r="GQ114"/>
      <c r="GR114"/>
      <c r="GS114"/>
      <c r="GT114"/>
      <c r="GU114"/>
      <c r="GV114"/>
      <c r="GW114"/>
      <c r="GX114"/>
      <c r="GY114"/>
      <c r="GZ114"/>
      <c r="HA114"/>
      <c r="HB114"/>
      <c r="HC114"/>
      <c r="HD114"/>
      <c r="HE114"/>
      <c r="HF114"/>
      <c r="HG114"/>
      <c r="HH114"/>
      <c r="HI114"/>
      <c r="HJ114"/>
      <c r="HK114"/>
      <c r="HL114"/>
      <c r="HM114"/>
      <c r="HN114"/>
      <c r="HO114"/>
      <c r="HP114"/>
      <c r="HQ114"/>
      <c r="HR114"/>
      <c r="HS114"/>
      <c r="HT114"/>
      <c r="HU114"/>
      <c r="HV114"/>
      <c r="HW114"/>
      <c r="HX114"/>
      <c r="HY114"/>
      <c r="HZ114"/>
      <c r="IA114"/>
      <c r="IB114"/>
      <c r="IC114"/>
      <c r="ID114"/>
      <c r="IE114"/>
      <c r="IF114"/>
      <c r="IG114"/>
      <c r="IH114"/>
      <c r="II114"/>
      <c r="IJ114"/>
      <c r="IK114"/>
      <c r="IL114"/>
      <c r="IM114"/>
      <c r="IN114"/>
      <c r="IO114"/>
      <c r="IP114"/>
      <c r="IQ114"/>
      <c r="IR114"/>
      <c r="IS114"/>
      <c r="IT114"/>
      <c r="IU114"/>
      <c r="IV114"/>
      <c r="IW114"/>
      <c r="IX114"/>
      <c r="IY114"/>
      <c r="IZ114"/>
      <c r="JA114"/>
      <c r="JB114"/>
      <c r="JC114"/>
      <c r="JD114"/>
      <c r="JE114"/>
      <c r="JF114"/>
      <c r="JG114"/>
      <c r="JH114"/>
      <c r="JI114"/>
      <c r="JJ114"/>
      <c r="JK114"/>
      <c r="JL114"/>
      <c r="JM114"/>
      <c r="JN114"/>
      <c r="JO114"/>
      <c r="JP114"/>
      <c r="JQ114"/>
      <c r="JR114"/>
      <c r="JS114"/>
      <c r="JT114"/>
      <c r="JU114"/>
      <c r="JV114"/>
      <c r="JW114"/>
      <c r="JX114"/>
      <c r="JY114"/>
      <c r="JZ114"/>
      <c r="KA114"/>
      <c r="KB114"/>
      <c r="KC114"/>
      <c r="KD114"/>
      <c r="KE114"/>
      <c r="KF114"/>
      <c r="KG114"/>
      <c r="KH114"/>
      <c r="KI114"/>
      <c r="KJ114"/>
      <c r="KK114"/>
      <c r="KL114"/>
      <c r="KM114"/>
      <c r="KN114"/>
      <c r="KO114"/>
      <c r="KP114"/>
      <c r="KQ114"/>
      <c r="KR114"/>
      <c r="KS114"/>
      <c r="KT114"/>
      <c r="KU114"/>
      <c r="KV114"/>
      <c r="KW114"/>
      <c r="KX114"/>
      <c r="KY114"/>
      <c r="KZ114"/>
      <c r="LA114"/>
      <c r="LB114"/>
      <c r="LC114"/>
      <c r="LD114"/>
      <c r="LE114"/>
      <c r="LF114"/>
      <c r="LG114"/>
      <c r="LH114"/>
      <c r="LI114"/>
      <c r="LJ114"/>
      <c r="LK114"/>
      <c r="LL114"/>
      <c r="LM114"/>
      <c r="LN114"/>
      <c r="LO114"/>
      <c r="LP114"/>
      <c r="LQ114"/>
      <c r="LR114"/>
      <c r="LS114"/>
      <c r="LT114"/>
      <c r="LU114"/>
      <c r="LV114"/>
      <c r="LW114"/>
      <c r="LX114"/>
      <c r="LY114"/>
      <c r="LZ114"/>
      <c r="MA114"/>
      <c r="MB114"/>
      <c r="MC114"/>
      <c r="MD114"/>
      <c r="ME114"/>
      <c r="MF114"/>
      <c r="MG114"/>
      <c r="MH114"/>
      <c r="MI114"/>
      <c r="MJ114"/>
      <c r="MK114"/>
      <c r="ML114"/>
      <c r="MM114"/>
      <c r="MN114"/>
      <c r="MO114"/>
      <c r="MP114"/>
      <c r="MQ114"/>
      <c r="MR114"/>
      <c r="MS114"/>
      <c r="MT114"/>
      <c r="MU114"/>
      <c r="MV114"/>
      <c r="MW114"/>
      <c r="MX114"/>
      <c r="MY114"/>
      <c r="MZ114"/>
      <c r="NA114"/>
      <c r="NB114"/>
      <c r="NC114"/>
      <c r="ND114"/>
      <c r="NE114"/>
      <c r="NF114"/>
      <c r="NG114"/>
      <c r="NH114"/>
      <c r="NI114"/>
      <c r="NJ114"/>
      <c r="NK114"/>
      <c r="NL114"/>
      <c r="NM114"/>
      <c r="NN114"/>
      <c r="NO114"/>
      <c r="NP114"/>
      <c r="NQ114"/>
      <c r="NR114"/>
      <c r="NS114"/>
      <c r="NT114"/>
      <c r="NU114"/>
      <c r="NV114"/>
      <c r="NW114"/>
      <c r="NX114"/>
      <c r="NY114"/>
      <c r="NZ114"/>
      <c r="OA114"/>
      <c r="OB114"/>
      <c r="OC114"/>
      <c r="OD114"/>
      <c r="OE114"/>
      <c r="OF114"/>
      <c r="OG114"/>
      <c r="OH114"/>
      <c r="OI114"/>
      <c r="OJ114"/>
      <c r="OK114"/>
      <c r="OL114"/>
      <c r="OM114"/>
      <c r="ON114"/>
      <c r="OO114"/>
      <c r="OP114"/>
      <c r="OQ114"/>
      <c r="OR114"/>
      <c r="OS114"/>
      <c r="OT114"/>
      <c r="OU114"/>
      <c r="OV114"/>
      <c r="OW114"/>
      <c r="OX114"/>
      <c r="OY114"/>
      <c r="OZ114"/>
      <c r="PA114"/>
      <c r="PB114"/>
      <c r="PC114"/>
      <c r="PD114"/>
      <c r="PE114"/>
      <c r="PF114"/>
      <c r="PG114"/>
      <c r="PH114"/>
      <c r="PI114"/>
      <c r="PJ114"/>
      <c r="PK114"/>
      <c r="PL114"/>
      <c r="PM114"/>
      <c r="PN114"/>
      <c r="PO114"/>
      <c r="PP114"/>
      <c r="PQ114"/>
      <c r="PR114"/>
      <c r="PS114"/>
      <c r="PT114"/>
      <c r="PU114"/>
      <c r="PV114"/>
      <c r="PW114"/>
      <c r="PX114"/>
      <c r="PY114"/>
      <c r="PZ114"/>
      <c r="QA114"/>
      <c r="QB114"/>
      <c r="QC114"/>
      <c r="QD114"/>
      <c r="QE114"/>
      <c r="QF114"/>
      <c r="QG114"/>
      <c r="QH114"/>
      <c r="QI114"/>
      <c r="QJ114"/>
      <c r="QK114"/>
      <c r="QL114"/>
      <c r="QM114"/>
      <c r="QN114"/>
      <c r="QO114"/>
      <c r="QP114"/>
      <c r="QQ114"/>
      <c r="QR114"/>
      <c r="QS114"/>
      <c r="QT114"/>
      <c r="QU114"/>
      <c r="QV114"/>
      <c r="QW114"/>
      <c r="QX114"/>
      <c r="QY114"/>
      <c r="QZ114"/>
      <c r="RA114"/>
      <c r="RB114"/>
      <c r="RC114"/>
      <c r="RD114"/>
      <c r="RE114"/>
      <c r="RF114"/>
      <c r="RG114"/>
      <c r="RH114"/>
      <c r="RI114"/>
      <c r="RJ114"/>
      <c r="RK114"/>
      <c r="RL114"/>
      <c r="RM114"/>
      <c r="RN114"/>
      <c r="RO114"/>
      <c r="RP114"/>
      <c r="RQ114"/>
      <c r="RR114"/>
      <c r="RS114"/>
    </row>
    <row r="115" spans="3:487" x14ac:dyDescent="0.25">
      <c r="C115" s="2" t="s">
        <v>218</v>
      </c>
      <c r="D115" s="34">
        <v>1</v>
      </c>
      <c r="F115" s="2" t="s">
        <v>154</v>
      </c>
      <c r="G115" s="34">
        <v>1</v>
      </c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  <c r="DU115"/>
      <c r="DV115"/>
      <c r="DW115"/>
      <c r="DX115"/>
      <c r="DY115"/>
      <c r="DZ115"/>
      <c r="EA115"/>
      <c r="EB115"/>
      <c r="EC115"/>
      <c r="ED115"/>
      <c r="EE115"/>
      <c r="EF115"/>
      <c r="EG115"/>
      <c r="EH115"/>
      <c r="EI115"/>
      <c r="EJ115"/>
      <c r="EK115"/>
      <c r="EL115"/>
      <c r="EM115"/>
      <c r="EN115"/>
      <c r="EO115"/>
      <c r="EP115"/>
      <c r="EQ115"/>
      <c r="ER115"/>
      <c r="ES115"/>
      <c r="ET115"/>
      <c r="EU115"/>
      <c r="EV115"/>
      <c r="EW115"/>
      <c r="EX115"/>
      <c r="EY115"/>
      <c r="EZ115"/>
      <c r="FA115"/>
      <c r="FB115"/>
      <c r="FC115"/>
      <c r="FD115"/>
      <c r="FE115"/>
      <c r="FF115"/>
      <c r="FG115"/>
      <c r="FH115"/>
      <c r="FI115"/>
      <c r="FJ115"/>
      <c r="FK115"/>
      <c r="FL115"/>
      <c r="FM115"/>
      <c r="FN115"/>
      <c r="FO115"/>
      <c r="FP115"/>
      <c r="FQ115"/>
      <c r="FR115"/>
      <c r="FS115"/>
      <c r="FT115"/>
      <c r="FU115"/>
      <c r="FV115"/>
      <c r="FW115"/>
      <c r="FX115"/>
      <c r="FY115"/>
      <c r="FZ115"/>
      <c r="GA115"/>
      <c r="GB115"/>
      <c r="GC115"/>
      <c r="GD115"/>
      <c r="GE115"/>
      <c r="GF115"/>
      <c r="GG115"/>
      <c r="GH115"/>
      <c r="GI115"/>
      <c r="GJ115"/>
      <c r="GK115"/>
      <c r="GL115"/>
      <c r="GM115"/>
      <c r="GN115"/>
      <c r="GO115"/>
      <c r="GP115"/>
      <c r="GQ115"/>
      <c r="GR115"/>
      <c r="GS115"/>
      <c r="GT115"/>
      <c r="GU115"/>
      <c r="GV115"/>
      <c r="GW115"/>
      <c r="GX115"/>
      <c r="GY115"/>
      <c r="GZ115"/>
      <c r="HA115"/>
      <c r="HB115"/>
      <c r="HC115"/>
      <c r="HD115"/>
      <c r="HE115"/>
      <c r="HF115"/>
      <c r="HG115"/>
      <c r="HH115"/>
      <c r="HI115"/>
      <c r="HJ115"/>
      <c r="HK115"/>
      <c r="HL115"/>
      <c r="HM115"/>
      <c r="HN115"/>
      <c r="HO115"/>
      <c r="HP115"/>
      <c r="HQ115"/>
      <c r="HR115"/>
      <c r="HS115"/>
      <c r="HT115"/>
      <c r="HU115"/>
      <c r="HV115"/>
      <c r="HW115"/>
      <c r="HX115"/>
      <c r="HY115"/>
      <c r="HZ115"/>
      <c r="IA115"/>
      <c r="IB115"/>
      <c r="IC115"/>
      <c r="ID115"/>
      <c r="IE115"/>
      <c r="IF115"/>
      <c r="IG115"/>
      <c r="IH115"/>
      <c r="II115"/>
      <c r="IJ115"/>
      <c r="IK115"/>
      <c r="IL115"/>
      <c r="IM115"/>
      <c r="IN115"/>
      <c r="IO115"/>
      <c r="IP115"/>
      <c r="IQ115"/>
      <c r="IR115"/>
      <c r="IS115"/>
      <c r="IT115"/>
      <c r="IU115"/>
      <c r="IV115"/>
      <c r="IW115"/>
      <c r="IX115"/>
      <c r="IY115"/>
      <c r="IZ115"/>
      <c r="JA115"/>
      <c r="JB115"/>
      <c r="JC115"/>
      <c r="JD115"/>
      <c r="JE115"/>
      <c r="JF115"/>
      <c r="JG115"/>
      <c r="JH115"/>
      <c r="JI115"/>
      <c r="JJ115"/>
      <c r="JK115"/>
      <c r="JL115"/>
      <c r="JM115"/>
      <c r="JN115"/>
      <c r="JO115"/>
      <c r="JP115"/>
      <c r="JQ115"/>
      <c r="JR115"/>
      <c r="JS115"/>
      <c r="JT115"/>
      <c r="JU115"/>
      <c r="JV115"/>
      <c r="JW115"/>
      <c r="JX115"/>
      <c r="JY115"/>
      <c r="JZ115"/>
      <c r="KA115"/>
      <c r="KB115"/>
      <c r="KC115"/>
      <c r="KD115"/>
      <c r="KE115"/>
      <c r="KF115"/>
      <c r="KG115"/>
      <c r="KH115"/>
      <c r="KI115"/>
      <c r="KJ115"/>
      <c r="KK115"/>
      <c r="KL115"/>
      <c r="KM115"/>
      <c r="KN115"/>
      <c r="KO115"/>
      <c r="KP115"/>
      <c r="KQ115"/>
      <c r="KR115"/>
      <c r="KS115"/>
      <c r="KT115"/>
      <c r="KU115"/>
      <c r="KV115"/>
      <c r="KW115"/>
      <c r="KX115"/>
      <c r="KY115"/>
      <c r="KZ115"/>
      <c r="LA115"/>
      <c r="LB115"/>
      <c r="LC115"/>
      <c r="LD115"/>
      <c r="LE115"/>
      <c r="LF115"/>
      <c r="LG115"/>
      <c r="LH115"/>
      <c r="LI115"/>
      <c r="LJ115"/>
      <c r="LK115"/>
      <c r="LL115"/>
      <c r="LM115"/>
      <c r="LN115"/>
      <c r="LO115"/>
      <c r="LP115"/>
      <c r="LQ115"/>
      <c r="LR115"/>
      <c r="LS115"/>
      <c r="LT115"/>
      <c r="LU115"/>
      <c r="LV115"/>
      <c r="LW115"/>
      <c r="LX115"/>
      <c r="LY115"/>
      <c r="LZ115"/>
      <c r="MA115"/>
      <c r="MB115"/>
      <c r="MC115"/>
      <c r="MD115"/>
      <c r="ME115"/>
      <c r="MF115"/>
      <c r="MG115"/>
      <c r="MH115"/>
      <c r="MI115"/>
      <c r="MJ115"/>
      <c r="MK115"/>
      <c r="ML115"/>
      <c r="MM115"/>
      <c r="MN115"/>
      <c r="MO115"/>
      <c r="MP115"/>
      <c r="MQ115"/>
      <c r="MR115"/>
      <c r="MS115"/>
      <c r="MT115"/>
      <c r="MU115"/>
      <c r="MV115"/>
      <c r="MW115"/>
      <c r="MX115"/>
      <c r="MY115"/>
      <c r="MZ115"/>
      <c r="NA115"/>
      <c r="NB115"/>
      <c r="NC115"/>
      <c r="ND115"/>
      <c r="NE115"/>
      <c r="NF115"/>
      <c r="NG115"/>
      <c r="NH115"/>
      <c r="NI115"/>
      <c r="NJ115"/>
      <c r="NK115"/>
      <c r="NL115"/>
      <c r="NM115"/>
      <c r="NN115"/>
      <c r="NO115"/>
      <c r="NP115"/>
      <c r="NQ115"/>
      <c r="NR115"/>
      <c r="NS115"/>
      <c r="NT115"/>
      <c r="NU115"/>
      <c r="NV115"/>
      <c r="NW115"/>
      <c r="NX115"/>
      <c r="NY115"/>
      <c r="NZ115"/>
      <c r="OA115"/>
      <c r="OB115"/>
      <c r="OC115"/>
      <c r="OD115"/>
      <c r="OE115"/>
      <c r="OF115"/>
      <c r="OG115"/>
      <c r="OH115"/>
      <c r="OI115"/>
      <c r="OJ115"/>
      <c r="OK115"/>
      <c r="OL115"/>
      <c r="OM115"/>
      <c r="ON115"/>
      <c r="OO115"/>
      <c r="OP115"/>
      <c r="OQ115"/>
      <c r="OR115"/>
      <c r="OS115"/>
      <c r="OT115"/>
      <c r="OU115"/>
      <c r="OV115"/>
      <c r="OW115"/>
      <c r="OX115"/>
      <c r="OY115"/>
      <c r="OZ115"/>
      <c r="PA115"/>
      <c r="PB115"/>
      <c r="PC115"/>
      <c r="PD115"/>
      <c r="PE115"/>
      <c r="PF115"/>
      <c r="PG115"/>
      <c r="PH115"/>
      <c r="PI115"/>
      <c r="PJ115"/>
      <c r="PK115"/>
      <c r="PL115"/>
      <c r="PM115"/>
      <c r="PN115"/>
      <c r="PO115"/>
      <c r="PP115"/>
      <c r="PQ115"/>
      <c r="PR115"/>
      <c r="PS115"/>
      <c r="PT115"/>
      <c r="PU115"/>
      <c r="PV115"/>
      <c r="PW115"/>
      <c r="PX115"/>
      <c r="PY115"/>
      <c r="PZ115"/>
      <c r="QA115"/>
      <c r="QB115"/>
      <c r="QC115"/>
      <c r="QD115"/>
      <c r="QE115"/>
      <c r="QF115"/>
      <c r="QG115"/>
      <c r="QH115"/>
      <c r="QI115"/>
      <c r="QJ115"/>
      <c r="QK115"/>
      <c r="QL115"/>
      <c r="QM115"/>
      <c r="QN115"/>
      <c r="QO115"/>
      <c r="QP115"/>
      <c r="QQ115"/>
      <c r="QR115"/>
      <c r="QS115"/>
      <c r="QT115"/>
      <c r="QU115"/>
      <c r="QV115"/>
      <c r="QW115"/>
      <c r="QX115"/>
      <c r="QY115"/>
      <c r="QZ115"/>
      <c r="RA115"/>
      <c r="RB115"/>
      <c r="RC115"/>
      <c r="RD115"/>
      <c r="RE115"/>
      <c r="RF115"/>
      <c r="RG115"/>
      <c r="RH115"/>
      <c r="RI115"/>
      <c r="RJ115"/>
      <c r="RK115"/>
      <c r="RL115"/>
      <c r="RM115"/>
      <c r="RN115"/>
      <c r="RO115"/>
      <c r="RP115"/>
      <c r="RQ115"/>
      <c r="RR115"/>
      <c r="RS115"/>
    </row>
    <row r="116" spans="3:487" x14ac:dyDescent="0.25">
      <c r="C116" s="2" t="s">
        <v>3825</v>
      </c>
      <c r="D116" s="34">
        <v>1</v>
      </c>
      <c r="F116" s="2" t="s">
        <v>148</v>
      </c>
      <c r="G116" s="34">
        <v>1</v>
      </c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  <c r="DU116"/>
      <c r="DV116"/>
      <c r="DW116"/>
      <c r="DX116"/>
      <c r="DY116"/>
      <c r="DZ116"/>
      <c r="EA116"/>
      <c r="EB116"/>
      <c r="EC116"/>
      <c r="ED116"/>
      <c r="EE116"/>
      <c r="EF116"/>
      <c r="EG116"/>
      <c r="EH116"/>
      <c r="EI116"/>
      <c r="EJ116"/>
      <c r="EK116"/>
      <c r="EL116"/>
      <c r="EM116"/>
      <c r="EN116"/>
      <c r="EO116"/>
      <c r="EP116"/>
      <c r="EQ116"/>
      <c r="ER116"/>
      <c r="ES116"/>
      <c r="ET116"/>
      <c r="EU116"/>
      <c r="EV116"/>
      <c r="EW116"/>
      <c r="EX116"/>
      <c r="EY116"/>
      <c r="EZ116"/>
      <c r="FA116"/>
      <c r="FB116"/>
      <c r="FC116"/>
      <c r="FD116"/>
      <c r="FE116"/>
      <c r="FF116"/>
      <c r="FG116"/>
      <c r="FH116"/>
      <c r="FI116"/>
      <c r="FJ116"/>
      <c r="FK116"/>
      <c r="FL116"/>
      <c r="FM116"/>
      <c r="FN116"/>
      <c r="FO116"/>
      <c r="FP116"/>
      <c r="FQ116"/>
      <c r="FR116"/>
      <c r="FS116"/>
      <c r="FT116"/>
      <c r="FU116"/>
      <c r="FV116"/>
      <c r="FW116"/>
      <c r="FX116"/>
      <c r="FY116"/>
      <c r="FZ116"/>
      <c r="GA116"/>
      <c r="GB116"/>
      <c r="GC116"/>
      <c r="GD116"/>
      <c r="GE116"/>
      <c r="GF116"/>
      <c r="GG116"/>
      <c r="GH116"/>
      <c r="GI116"/>
      <c r="GJ116"/>
      <c r="GK116"/>
      <c r="GL116"/>
      <c r="GM116"/>
      <c r="GN116"/>
      <c r="GO116"/>
      <c r="GP116"/>
      <c r="GQ116"/>
      <c r="GR116"/>
      <c r="GS116"/>
      <c r="GT116"/>
      <c r="GU116"/>
      <c r="GV116"/>
      <c r="GW116"/>
      <c r="GX116"/>
      <c r="GY116"/>
      <c r="GZ116"/>
      <c r="HA116"/>
      <c r="HB116"/>
      <c r="HC116"/>
      <c r="HD116"/>
      <c r="HE116"/>
      <c r="HF116"/>
      <c r="HG116"/>
      <c r="HH116"/>
      <c r="HI116"/>
      <c r="HJ116"/>
      <c r="HK116"/>
      <c r="HL116"/>
      <c r="HM116"/>
      <c r="HN116"/>
      <c r="HO116"/>
      <c r="HP116"/>
      <c r="HQ116"/>
      <c r="HR116"/>
      <c r="HS116"/>
      <c r="HT116"/>
      <c r="HU116"/>
      <c r="HV116"/>
      <c r="HW116"/>
      <c r="HX116"/>
      <c r="HY116"/>
      <c r="HZ116"/>
      <c r="IA116"/>
      <c r="IB116"/>
      <c r="IC116"/>
      <c r="ID116"/>
      <c r="IE116"/>
      <c r="IF116"/>
      <c r="IG116"/>
      <c r="IH116"/>
      <c r="II116"/>
      <c r="IJ116"/>
      <c r="IK116"/>
      <c r="IL116"/>
      <c r="IM116"/>
      <c r="IN116"/>
      <c r="IO116"/>
      <c r="IP116"/>
      <c r="IQ116"/>
      <c r="IR116"/>
      <c r="IS116"/>
      <c r="IT116"/>
      <c r="IU116"/>
      <c r="IV116"/>
      <c r="IW116"/>
      <c r="IX116"/>
      <c r="IY116"/>
      <c r="IZ116"/>
      <c r="JA116"/>
      <c r="JB116"/>
      <c r="JC116"/>
      <c r="JD116"/>
      <c r="JE116"/>
      <c r="JF116"/>
      <c r="JG116"/>
      <c r="JH116"/>
      <c r="JI116"/>
      <c r="JJ116"/>
      <c r="JK116"/>
      <c r="JL116"/>
      <c r="JM116"/>
      <c r="JN116"/>
      <c r="JO116"/>
      <c r="JP116"/>
      <c r="JQ116"/>
      <c r="JR116"/>
      <c r="JS116"/>
      <c r="JT116"/>
      <c r="JU116"/>
      <c r="JV116"/>
      <c r="JW116"/>
      <c r="JX116"/>
      <c r="JY116"/>
      <c r="JZ116"/>
      <c r="KA116"/>
      <c r="KB116"/>
      <c r="KC116"/>
      <c r="KD116"/>
      <c r="KE116"/>
      <c r="KF116"/>
      <c r="KG116"/>
      <c r="KH116"/>
      <c r="KI116"/>
      <c r="KJ116"/>
      <c r="KK116"/>
      <c r="KL116"/>
      <c r="KM116"/>
      <c r="KN116"/>
      <c r="KO116"/>
      <c r="KP116"/>
      <c r="KQ116"/>
      <c r="KR116"/>
      <c r="KS116"/>
      <c r="KT116"/>
      <c r="KU116"/>
      <c r="KV116"/>
      <c r="KW116"/>
      <c r="KX116"/>
      <c r="KY116"/>
      <c r="KZ116"/>
      <c r="LA116"/>
      <c r="LB116"/>
      <c r="LC116"/>
      <c r="LD116"/>
      <c r="LE116"/>
      <c r="LF116"/>
      <c r="LG116"/>
      <c r="LH116"/>
      <c r="LI116"/>
      <c r="LJ116"/>
      <c r="LK116"/>
      <c r="LL116"/>
      <c r="LM116"/>
      <c r="LN116"/>
      <c r="LO116"/>
      <c r="LP116"/>
      <c r="LQ116"/>
      <c r="LR116"/>
      <c r="LS116"/>
      <c r="LT116"/>
      <c r="LU116"/>
      <c r="LV116"/>
      <c r="LW116"/>
      <c r="LX116"/>
      <c r="LY116"/>
      <c r="LZ116"/>
      <c r="MA116"/>
      <c r="MB116"/>
      <c r="MC116"/>
      <c r="MD116"/>
      <c r="ME116"/>
      <c r="MF116"/>
      <c r="MG116"/>
      <c r="MH116"/>
      <c r="MI116"/>
      <c r="MJ116"/>
      <c r="MK116"/>
      <c r="ML116"/>
      <c r="MM116"/>
      <c r="MN116"/>
      <c r="MO116"/>
      <c r="MP116"/>
      <c r="MQ116"/>
      <c r="MR116"/>
      <c r="MS116"/>
      <c r="MT116"/>
      <c r="MU116"/>
      <c r="MV116"/>
      <c r="MW116"/>
      <c r="MX116"/>
      <c r="MY116"/>
      <c r="MZ116"/>
      <c r="NA116"/>
      <c r="NB116"/>
      <c r="NC116"/>
      <c r="ND116"/>
      <c r="NE116"/>
      <c r="NF116"/>
      <c r="NG116"/>
      <c r="NH116"/>
      <c r="NI116"/>
      <c r="NJ116"/>
      <c r="NK116"/>
      <c r="NL116"/>
      <c r="NM116"/>
      <c r="NN116"/>
      <c r="NO116"/>
      <c r="NP116"/>
      <c r="NQ116"/>
      <c r="NR116"/>
      <c r="NS116"/>
      <c r="NT116"/>
      <c r="NU116"/>
      <c r="NV116"/>
      <c r="NW116"/>
      <c r="NX116"/>
      <c r="NY116"/>
      <c r="NZ116"/>
      <c r="OA116"/>
      <c r="OB116"/>
      <c r="OC116"/>
      <c r="OD116"/>
      <c r="OE116"/>
      <c r="OF116"/>
      <c r="OG116"/>
      <c r="OH116"/>
      <c r="OI116"/>
      <c r="OJ116"/>
      <c r="OK116"/>
      <c r="OL116"/>
      <c r="OM116"/>
      <c r="ON116"/>
      <c r="OO116"/>
      <c r="OP116"/>
      <c r="OQ116"/>
      <c r="OR116"/>
      <c r="OS116"/>
      <c r="OT116"/>
      <c r="OU116"/>
      <c r="OV116"/>
      <c r="OW116"/>
      <c r="OX116"/>
      <c r="OY116"/>
      <c r="OZ116"/>
      <c r="PA116"/>
      <c r="PB116"/>
      <c r="PC116"/>
      <c r="PD116"/>
      <c r="PE116"/>
      <c r="PF116"/>
      <c r="PG116"/>
      <c r="PH116"/>
      <c r="PI116"/>
      <c r="PJ116"/>
      <c r="PK116"/>
      <c r="PL116"/>
      <c r="PM116"/>
      <c r="PN116"/>
      <c r="PO116"/>
      <c r="PP116"/>
      <c r="PQ116"/>
      <c r="PR116"/>
      <c r="PS116"/>
      <c r="PT116"/>
      <c r="PU116"/>
      <c r="PV116"/>
      <c r="PW116"/>
      <c r="PX116"/>
      <c r="PY116"/>
      <c r="PZ116"/>
      <c r="QA116"/>
      <c r="QB116"/>
      <c r="QC116"/>
      <c r="QD116"/>
      <c r="QE116"/>
      <c r="QF116"/>
      <c r="QG116"/>
      <c r="QH116"/>
      <c r="QI116"/>
      <c r="QJ116"/>
      <c r="QK116"/>
      <c r="QL116"/>
      <c r="QM116"/>
      <c r="QN116"/>
      <c r="QO116"/>
      <c r="QP116"/>
      <c r="QQ116"/>
      <c r="QR116"/>
      <c r="QS116"/>
      <c r="QT116"/>
      <c r="QU116"/>
      <c r="QV116"/>
      <c r="QW116"/>
      <c r="QX116"/>
      <c r="QY116"/>
      <c r="QZ116"/>
      <c r="RA116"/>
      <c r="RB116"/>
      <c r="RC116"/>
      <c r="RD116"/>
      <c r="RE116"/>
      <c r="RF116"/>
      <c r="RG116"/>
      <c r="RH116"/>
      <c r="RI116"/>
      <c r="RJ116"/>
      <c r="RK116"/>
      <c r="RL116"/>
      <c r="RM116"/>
      <c r="RN116"/>
      <c r="RO116"/>
      <c r="RP116"/>
      <c r="RQ116"/>
      <c r="RR116"/>
      <c r="RS116"/>
    </row>
    <row r="117" spans="3:487" x14ac:dyDescent="0.25">
      <c r="C117" s="2" t="s">
        <v>206</v>
      </c>
      <c r="D117" s="34">
        <v>1</v>
      </c>
      <c r="F117" s="2" t="s">
        <v>184</v>
      </c>
      <c r="G117" s="34">
        <v>1</v>
      </c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  <c r="DU117"/>
      <c r="DV117"/>
      <c r="DW117"/>
      <c r="DX117"/>
      <c r="DY117"/>
      <c r="DZ117"/>
      <c r="EA117"/>
      <c r="EB117"/>
      <c r="EC117"/>
      <c r="ED117"/>
      <c r="EE117"/>
      <c r="EF117"/>
      <c r="EG117"/>
      <c r="EH117"/>
      <c r="EI117"/>
      <c r="EJ117"/>
      <c r="EK117"/>
      <c r="EL117"/>
      <c r="EM117"/>
      <c r="EN117"/>
      <c r="EO117"/>
      <c r="EP117"/>
      <c r="EQ117"/>
      <c r="ER117"/>
      <c r="ES117"/>
      <c r="ET117"/>
      <c r="EU117"/>
      <c r="EV117"/>
      <c r="EW117"/>
      <c r="EX117"/>
      <c r="EY117"/>
      <c r="EZ117"/>
      <c r="FA117"/>
      <c r="FB117"/>
      <c r="FC117"/>
      <c r="FD117"/>
      <c r="FE117"/>
      <c r="FF117"/>
      <c r="FG117"/>
      <c r="FH117"/>
      <c r="FI117"/>
      <c r="FJ117"/>
      <c r="FK117"/>
      <c r="FL117"/>
      <c r="FM117"/>
      <c r="FN117"/>
      <c r="FO117"/>
      <c r="FP117"/>
      <c r="FQ117"/>
      <c r="FR117"/>
      <c r="FS117"/>
      <c r="FT117"/>
      <c r="FU117"/>
      <c r="FV117"/>
      <c r="FW117"/>
      <c r="FX117"/>
      <c r="FY117"/>
      <c r="FZ117"/>
      <c r="GA117"/>
      <c r="GB117"/>
      <c r="GC117"/>
      <c r="GD117"/>
      <c r="GE117"/>
      <c r="GF117"/>
      <c r="GG117"/>
      <c r="GH117"/>
      <c r="GI117"/>
      <c r="GJ117"/>
      <c r="GK117"/>
      <c r="GL117"/>
      <c r="GM117"/>
      <c r="GN117"/>
      <c r="GO117"/>
      <c r="GP117"/>
      <c r="GQ117"/>
      <c r="GR117"/>
      <c r="GS117"/>
      <c r="GT117"/>
      <c r="GU117"/>
      <c r="GV117"/>
      <c r="GW117"/>
      <c r="GX117"/>
      <c r="GY117"/>
      <c r="GZ117"/>
      <c r="HA117"/>
      <c r="HB117"/>
      <c r="HC117"/>
      <c r="HD117"/>
      <c r="HE117"/>
      <c r="HF117"/>
      <c r="HG117"/>
      <c r="HH117"/>
      <c r="HI117"/>
      <c r="HJ117"/>
      <c r="HK117"/>
      <c r="HL117"/>
      <c r="HM117"/>
      <c r="HN117"/>
      <c r="HO117"/>
      <c r="HP117"/>
      <c r="HQ117"/>
      <c r="HR117"/>
      <c r="HS117"/>
      <c r="HT117"/>
      <c r="HU117"/>
      <c r="HV117"/>
      <c r="HW117"/>
      <c r="HX117"/>
      <c r="HY117"/>
      <c r="HZ117"/>
      <c r="IA117"/>
      <c r="IB117"/>
      <c r="IC117"/>
      <c r="ID117"/>
      <c r="IE117"/>
      <c r="IF117"/>
      <c r="IG117"/>
      <c r="IH117"/>
      <c r="II117"/>
      <c r="IJ117"/>
      <c r="IK117"/>
      <c r="IL117"/>
      <c r="IM117"/>
      <c r="IN117"/>
      <c r="IO117"/>
      <c r="IP117"/>
      <c r="IQ117"/>
      <c r="IR117"/>
      <c r="IS117"/>
      <c r="IT117"/>
      <c r="IU117"/>
      <c r="IV117"/>
      <c r="IW117"/>
      <c r="IX117"/>
      <c r="IY117"/>
      <c r="IZ117"/>
      <c r="JA117"/>
      <c r="JB117"/>
      <c r="JC117"/>
      <c r="JD117"/>
      <c r="JE117"/>
      <c r="JF117"/>
      <c r="JG117"/>
      <c r="JH117"/>
      <c r="JI117"/>
      <c r="JJ117"/>
      <c r="JK117"/>
      <c r="JL117"/>
      <c r="JM117"/>
      <c r="JN117"/>
      <c r="JO117"/>
      <c r="JP117"/>
      <c r="JQ117"/>
      <c r="JR117"/>
      <c r="JS117"/>
      <c r="JT117"/>
      <c r="JU117"/>
      <c r="JV117"/>
      <c r="JW117"/>
      <c r="JX117"/>
      <c r="JY117"/>
      <c r="JZ117"/>
      <c r="KA117"/>
      <c r="KB117"/>
      <c r="KC117"/>
      <c r="KD117"/>
      <c r="KE117"/>
      <c r="KF117"/>
      <c r="KG117"/>
      <c r="KH117"/>
      <c r="KI117"/>
      <c r="KJ117"/>
      <c r="KK117"/>
      <c r="KL117"/>
      <c r="KM117"/>
      <c r="KN117"/>
      <c r="KO117"/>
      <c r="KP117"/>
      <c r="KQ117"/>
      <c r="KR117"/>
      <c r="KS117"/>
      <c r="KT117"/>
      <c r="KU117"/>
      <c r="KV117"/>
      <c r="KW117"/>
      <c r="KX117"/>
      <c r="KY117"/>
      <c r="KZ117"/>
      <c r="LA117"/>
      <c r="LB117"/>
      <c r="LC117"/>
      <c r="LD117"/>
      <c r="LE117"/>
      <c r="LF117"/>
      <c r="LG117"/>
      <c r="LH117"/>
      <c r="LI117"/>
      <c r="LJ117"/>
      <c r="LK117"/>
      <c r="LL117"/>
      <c r="LM117"/>
      <c r="LN117"/>
      <c r="LO117"/>
      <c r="LP117"/>
      <c r="LQ117"/>
      <c r="LR117"/>
      <c r="LS117"/>
      <c r="LT117"/>
      <c r="LU117"/>
      <c r="LV117"/>
      <c r="LW117"/>
      <c r="LX117"/>
      <c r="LY117"/>
      <c r="LZ117"/>
      <c r="MA117"/>
      <c r="MB117"/>
      <c r="MC117"/>
      <c r="MD117"/>
      <c r="ME117"/>
      <c r="MF117"/>
      <c r="MG117"/>
      <c r="MH117"/>
      <c r="MI117"/>
      <c r="MJ117"/>
      <c r="MK117"/>
      <c r="ML117"/>
      <c r="MM117"/>
      <c r="MN117"/>
      <c r="MO117"/>
      <c r="MP117"/>
      <c r="MQ117"/>
      <c r="MR117"/>
      <c r="MS117"/>
      <c r="MT117"/>
      <c r="MU117"/>
      <c r="MV117"/>
      <c r="MW117"/>
      <c r="MX117"/>
      <c r="MY117"/>
      <c r="MZ117"/>
      <c r="NA117"/>
      <c r="NB117"/>
      <c r="NC117"/>
      <c r="ND117"/>
      <c r="NE117"/>
      <c r="NF117"/>
      <c r="NG117"/>
      <c r="NH117"/>
      <c r="NI117"/>
      <c r="NJ117"/>
      <c r="NK117"/>
      <c r="NL117"/>
      <c r="NM117"/>
      <c r="NN117"/>
      <c r="NO117"/>
      <c r="NP117"/>
      <c r="NQ117"/>
      <c r="NR117"/>
      <c r="NS117"/>
      <c r="NT117"/>
      <c r="NU117"/>
      <c r="NV117"/>
      <c r="NW117"/>
      <c r="NX117"/>
      <c r="NY117"/>
      <c r="NZ117"/>
      <c r="OA117"/>
      <c r="OB117"/>
      <c r="OC117"/>
      <c r="OD117"/>
      <c r="OE117"/>
      <c r="OF117"/>
      <c r="OG117"/>
      <c r="OH117"/>
      <c r="OI117"/>
      <c r="OJ117"/>
      <c r="OK117"/>
      <c r="OL117"/>
      <c r="OM117"/>
      <c r="ON117"/>
      <c r="OO117"/>
      <c r="OP117"/>
      <c r="OQ117"/>
      <c r="OR117"/>
      <c r="OS117"/>
      <c r="OT117"/>
      <c r="OU117"/>
      <c r="OV117"/>
      <c r="OW117"/>
      <c r="OX117"/>
      <c r="OY117"/>
      <c r="OZ117"/>
      <c r="PA117"/>
      <c r="PB117"/>
      <c r="PC117"/>
      <c r="PD117"/>
      <c r="PE117"/>
      <c r="PF117"/>
      <c r="PG117"/>
      <c r="PH117"/>
      <c r="PI117"/>
      <c r="PJ117"/>
      <c r="PK117"/>
      <c r="PL117"/>
      <c r="PM117"/>
      <c r="PN117"/>
      <c r="PO117"/>
      <c r="PP117"/>
      <c r="PQ117"/>
      <c r="PR117"/>
      <c r="PS117"/>
      <c r="PT117"/>
      <c r="PU117"/>
      <c r="PV117"/>
      <c r="PW117"/>
      <c r="PX117"/>
      <c r="PY117"/>
      <c r="PZ117"/>
      <c r="QA117"/>
      <c r="QB117"/>
      <c r="QC117"/>
      <c r="QD117"/>
      <c r="QE117"/>
      <c r="QF117"/>
      <c r="QG117"/>
      <c r="QH117"/>
      <c r="QI117"/>
      <c r="QJ117"/>
      <c r="QK117"/>
      <c r="QL117"/>
      <c r="QM117"/>
      <c r="QN117"/>
      <c r="QO117"/>
      <c r="QP117"/>
      <c r="QQ117"/>
      <c r="QR117"/>
      <c r="QS117"/>
      <c r="QT117"/>
      <c r="QU117"/>
      <c r="QV117"/>
      <c r="QW117"/>
      <c r="QX117"/>
      <c r="QY117"/>
      <c r="QZ117"/>
      <c r="RA117"/>
      <c r="RB117"/>
      <c r="RC117"/>
      <c r="RD117"/>
      <c r="RE117"/>
      <c r="RF117"/>
      <c r="RG117"/>
      <c r="RH117"/>
      <c r="RI117"/>
      <c r="RJ117"/>
      <c r="RK117"/>
      <c r="RL117"/>
      <c r="RM117"/>
      <c r="RN117"/>
      <c r="RO117"/>
      <c r="RP117"/>
      <c r="RQ117"/>
      <c r="RR117"/>
      <c r="RS117"/>
    </row>
    <row r="118" spans="3:487" x14ac:dyDescent="0.25">
      <c r="C118" s="2" t="s">
        <v>315</v>
      </c>
      <c r="D118" s="34">
        <v>1</v>
      </c>
      <c r="F118" s="2" t="s">
        <v>152</v>
      </c>
      <c r="G118" s="34">
        <v>1</v>
      </c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  <c r="DU118"/>
      <c r="DV118"/>
      <c r="DW118"/>
      <c r="DX118"/>
      <c r="DY118"/>
      <c r="DZ118"/>
      <c r="EA118"/>
      <c r="EB118"/>
      <c r="EC118"/>
      <c r="ED118"/>
      <c r="EE118"/>
      <c r="EF118"/>
      <c r="EG118"/>
      <c r="EH118"/>
      <c r="EI118"/>
      <c r="EJ118"/>
      <c r="EK118"/>
      <c r="EL118"/>
      <c r="EM118"/>
      <c r="EN118"/>
      <c r="EO118"/>
      <c r="EP118"/>
      <c r="EQ118"/>
      <c r="ER118"/>
      <c r="ES118"/>
      <c r="ET118"/>
      <c r="EU118"/>
      <c r="EV118"/>
      <c r="EW118"/>
      <c r="EX118"/>
      <c r="EY118"/>
      <c r="EZ118"/>
      <c r="FA118"/>
      <c r="FB118"/>
      <c r="FC118"/>
      <c r="FD118"/>
      <c r="FE118"/>
      <c r="FF118"/>
      <c r="FG118"/>
      <c r="FH118"/>
      <c r="FI118"/>
      <c r="FJ118"/>
      <c r="FK118"/>
      <c r="FL118"/>
      <c r="FM118"/>
      <c r="FN118"/>
      <c r="FO118"/>
      <c r="FP118"/>
      <c r="FQ118"/>
      <c r="FR118"/>
      <c r="FS118"/>
      <c r="FT118"/>
      <c r="FU118"/>
      <c r="FV118"/>
      <c r="FW118"/>
      <c r="FX118"/>
      <c r="FY118"/>
      <c r="FZ118"/>
      <c r="GA118"/>
      <c r="GB118"/>
      <c r="GC118"/>
      <c r="GD118"/>
      <c r="GE118"/>
      <c r="GF118"/>
      <c r="GG118"/>
      <c r="GH118"/>
      <c r="GI118"/>
      <c r="GJ118"/>
      <c r="GK118"/>
      <c r="GL118"/>
      <c r="GM118"/>
      <c r="GN118"/>
      <c r="GO118"/>
      <c r="GP118"/>
      <c r="GQ118"/>
      <c r="GR118"/>
      <c r="GS118"/>
      <c r="GT118"/>
      <c r="GU118"/>
      <c r="GV118"/>
      <c r="GW118"/>
      <c r="GX118"/>
      <c r="GY118"/>
      <c r="GZ118"/>
      <c r="HA118"/>
      <c r="HB118"/>
      <c r="HC118"/>
      <c r="HD118"/>
      <c r="HE118"/>
      <c r="HF118"/>
      <c r="HG118"/>
      <c r="HH118"/>
      <c r="HI118"/>
      <c r="HJ118"/>
      <c r="HK118"/>
      <c r="HL118"/>
      <c r="HM118"/>
      <c r="HN118"/>
      <c r="HO118"/>
      <c r="HP118"/>
      <c r="HQ118"/>
      <c r="HR118"/>
      <c r="HS118"/>
      <c r="HT118"/>
      <c r="HU118"/>
      <c r="HV118"/>
      <c r="HW118"/>
      <c r="HX118"/>
      <c r="HY118"/>
      <c r="HZ118"/>
      <c r="IA118"/>
      <c r="IB118"/>
      <c r="IC118"/>
      <c r="ID118"/>
      <c r="IE118"/>
      <c r="IF118"/>
      <c r="IG118"/>
      <c r="IH118"/>
      <c r="II118"/>
      <c r="IJ118"/>
      <c r="IK118"/>
      <c r="IL118"/>
      <c r="IM118"/>
      <c r="IN118"/>
      <c r="IO118"/>
      <c r="IP118"/>
      <c r="IQ118"/>
      <c r="IR118"/>
      <c r="IS118"/>
      <c r="IT118"/>
      <c r="IU118"/>
      <c r="IV118"/>
      <c r="IW118"/>
      <c r="IX118"/>
      <c r="IY118"/>
      <c r="IZ118"/>
      <c r="JA118"/>
      <c r="JB118"/>
      <c r="JC118"/>
      <c r="JD118"/>
      <c r="JE118"/>
      <c r="JF118"/>
      <c r="JG118"/>
      <c r="JH118"/>
      <c r="JI118"/>
      <c r="JJ118"/>
      <c r="JK118"/>
      <c r="JL118"/>
      <c r="JM118"/>
      <c r="JN118"/>
      <c r="JO118"/>
      <c r="JP118"/>
      <c r="JQ118"/>
      <c r="JR118"/>
      <c r="JS118"/>
      <c r="JT118"/>
      <c r="JU118"/>
      <c r="JV118"/>
      <c r="JW118"/>
      <c r="JX118"/>
      <c r="JY118"/>
      <c r="JZ118"/>
      <c r="KA118"/>
      <c r="KB118"/>
      <c r="KC118"/>
      <c r="KD118"/>
      <c r="KE118"/>
      <c r="KF118"/>
      <c r="KG118"/>
      <c r="KH118"/>
      <c r="KI118"/>
      <c r="KJ118"/>
      <c r="KK118"/>
      <c r="KL118"/>
      <c r="KM118"/>
      <c r="KN118"/>
      <c r="KO118"/>
      <c r="KP118"/>
      <c r="KQ118"/>
      <c r="KR118"/>
      <c r="KS118"/>
      <c r="KT118"/>
      <c r="KU118"/>
      <c r="KV118"/>
      <c r="KW118"/>
      <c r="KX118"/>
      <c r="KY118"/>
      <c r="KZ118"/>
      <c r="LA118"/>
      <c r="LB118"/>
      <c r="LC118"/>
      <c r="LD118"/>
      <c r="LE118"/>
      <c r="LF118"/>
      <c r="LG118"/>
      <c r="LH118"/>
      <c r="LI118"/>
      <c r="LJ118"/>
      <c r="LK118"/>
      <c r="LL118"/>
      <c r="LM118"/>
      <c r="LN118"/>
      <c r="LO118"/>
      <c r="LP118"/>
      <c r="LQ118"/>
      <c r="LR118"/>
      <c r="LS118"/>
      <c r="LT118"/>
      <c r="LU118"/>
      <c r="LV118"/>
      <c r="LW118"/>
      <c r="LX118"/>
      <c r="LY118"/>
      <c r="LZ118"/>
      <c r="MA118"/>
      <c r="MB118"/>
      <c r="MC118"/>
      <c r="MD118"/>
      <c r="ME118"/>
      <c r="MF118"/>
      <c r="MG118"/>
      <c r="MH118"/>
      <c r="MI118"/>
      <c r="MJ118"/>
      <c r="MK118"/>
      <c r="ML118"/>
      <c r="MM118"/>
      <c r="MN118"/>
      <c r="MO118"/>
      <c r="MP118"/>
      <c r="MQ118"/>
      <c r="MR118"/>
      <c r="MS118"/>
      <c r="MT118"/>
      <c r="MU118"/>
      <c r="MV118"/>
      <c r="MW118"/>
      <c r="MX118"/>
      <c r="MY118"/>
      <c r="MZ118"/>
      <c r="NA118"/>
      <c r="NB118"/>
      <c r="NC118"/>
      <c r="ND118"/>
      <c r="NE118"/>
      <c r="NF118"/>
      <c r="NG118"/>
      <c r="NH118"/>
      <c r="NI118"/>
      <c r="NJ118"/>
      <c r="NK118"/>
      <c r="NL118"/>
      <c r="NM118"/>
      <c r="NN118"/>
      <c r="NO118"/>
      <c r="NP118"/>
      <c r="NQ118"/>
      <c r="NR118"/>
      <c r="NS118"/>
      <c r="NT118"/>
      <c r="NU118"/>
      <c r="NV118"/>
      <c r="NW118"/>
      <c r="NX118"/>
      <c r="NY118"/>
      <c r="NZ118"/>
      <c r="OA118"/>
      <c r="OB118"/>
      <c r="OC118"/>
      <c r="OD118"/>
      <c r="OE118"/>
      <c r="OF118"/>
      <c r="OG118"/>
      <c r="OH118"/>
      <c r="OI118"/>
      <c r="OJ118"/>
      <c r="OK118"/>
      <c r="OL118"/>
      <c r="OM118"/>
      <c r="ON118"/>
      <c r="OO118"/>
      <c r="OP118"/>
      <c r="OQ118"/>
      <c r="OR118"/>
      <c r="OS118"/>
      <c r="OT118"/>
      <c r="OU118"/>
      <c r="OV118"/>
      <c r="OW118"/>
      <c r="OX118"/>
      <c r="OY118"/>
      <c r="OZ118"/>
      <c r="PA118"/>
      <c r="PB118"/>
      <c r="PC118"/>
      <c r="PD118"/>
      <c r="PE118"/>
      <c r="PF118"/>
      <c r="PG118"/>
      <c r="PH118"/>
      <c r="PI118"/>
      <c r="PJ118"/>
      <c r="PK118"/>
      <c r="PL118"/>
      <c r="PM118"/>
      <c r="PN118"/>
      <c r="PO118"/>
      <c r="PP118"/>
      <c r="PQ118"/>
      <c r="PR118"/>
      <c r="PS118"/>
      <c r="PT118"/>
      <c r="PU118"/>
      <c r="PV118"/>
      <c r="PW118"/>
      <c r="PX118"/>
      <c r="PY118"/>
      <c r="PZ118"/>
      <c r="QA118"/>
      <c r="QB118"/>
      <c r="QC118"/>
      <c r="QD118"/>
      <c r="QE118"/>
      <c r="QF118"/>
      <c r="QG118"/>
      <c r="QH118"/>
      <c r="QI118"/>
      <c r="QJ118"/>
      <c r="QK118"/>
      <c r="QL118"/>
      <c r="QM118"/>
      <c r="QN118"/>
      <c r="QO118"/>
      <c r="QP118"/>
      <c r="QQ118"/>
      <c r="QR118"/>
      <c r="QS118"/>
      <c r="QT118"/>
      <c r="QU118"/>
      <c r="QV118"/>
      <c r="QW118"/>
      <c r="QX118"/>
      <c r="QY118"/>
      <c r="QZ118"/>
      <c r="RA118"/>
      <c r="RB118"/>
      <c r="RC118"/>
      <c r="RD118"/>
      <c r="RE118"/>
      <c r="RF118"/>
      <c r="RG118"/>
      <c r="RH118"/>
      <c r="RI118"/>
      <c r="RJ118"/>
      <c r="RK118"/>
      <c r="RL118"/>
      <c r="RM118"/>
      <c r="RN118"/>
      <c r="RO118"/>
      <c r="RP118"/>
      <c r="RQ118"/>
      <c r="RR118"/>
      <c r="RS118"/>
    </row>
    <row r="119" spans="3:487" x14ac:dyDescent="0.25">
      <c r="C119" s="2" t="s">
        <v>3646</v>
      </c>
      <c r="D119" s="34">
        <v>1</v>
      </c>
      <c r="F119" s="2" t="s">
        <v>1270</v>
      </c>
      <c r="G119" s="34">
        <v>1</v>
      </c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  <c r="DU119"/>
      <c r="DV119"/>
      <c r="DW119"/>
      <c r="DX119"/>
      <c r="DY119"/>
      <c r="DZ119"/>
      <c r="EA119"/>
      <c r="EB119"/>
      <c r="EC119"/>
      <c r="ED119"/>
      <c r="EE119"/>
      <c r="EF119"/>
      <c r="EG119"/>
      <c r="EH119"/>
      <c r="EI119"/>
      <c r="EJ119"/>
      <c r="EK119"/>
      <c r="EL119"/>
      <c r="EM119"/>
      <c r="EN119"/>
      <c r="EO119"/>
      <c r="EP119"/>
      <c r="EQ119"/>
      <c r="ER119"/>
      <c r="ES119"/>
      <c r="ET119"/>
      <c r="EU119"/>
      <c r="EV119"/>
      <c r="EW119"/>
      <c r="EX119"/>
      <c r="EY119"/>
      <c r="EZ119"/>
      <c r="FA119"/>
      <c r="FB119"/>
      <c r="FC119"/>
      <c r="FD119"/>
      <c r="FE119"/>
      <c r="FF119"/>
      <c r="FG119"/>
      <c r="FH119"/>
      <c r="FI119"/>
      <c r="FJ119"/>
      <c r="FK119"/>
      <c r="FL119"/>
      <c r="FM119"/>
      <c r="FN119"/>
      <c r="FO119"/>
      <c r="FP119"/>
      <c r="FQ119"/>
      <c r="FR119"/>
      <c r="FS119"/>
      <c r="FT119"/>
      <c r="FU119"/>
      <c r="FV119"/>
      <c r="FW119"/>
      <c r="FX119"/>
      <c r="FY119"/>
      <c r="FZ119"/>
      <c r="GA119"/>
      <c r="GB119"/>
      <c r="GC119"/>
      <c r="GD119"/>
      <c r="GE119"/>
      <c r="GF119"/>
      <c r="GG119"/>
      <c r="GH119"/>
      <c r="GI119"/>
      <c r="GJ119"/>
      <c r="GK119"/>
      <c r="GL119"/>
      <c r="GM119"/>
      <c r="GN119"/>
      <c r="GO119"/>
      <c r="GP119"/>
      <c r="GQ119"/>
      <c r="GR119"/>
      <c r="GS119"/>
      <c r="GT119"/>
      <c r="GU119"/>
      <c r="GV119"/>
      <c r="GW119"/>
      <c r="GX119"/>
      <c r="GY119"/>
      <c r="GZ119"/>
      <c r="HA119"/>
      <c r="HB119"/>
      <c r="HC119"/>
      <c r="HD119"/>
      <c r="HE119"/>
      <c r="HF119"/>
      <c r="HG119"/>
      <c r="HH119"/>
      <c r="HI119"/>
      <c r="HJ119"/>
      <c r="HK119"/>
      <c r="HL119"/>
      <c r="HM119"/>
      <c r="HN119"/>
      <c r="HO119"/>
      <c r="HP119"/>
      <c r="HQ119"/>
      <c r="HR119"/>
      <c r="HS119"/>
      <c r="HT119"/>
      <c r="HU119"/>
      <c r="HV119"/>
      <c r="HW119"/>
      <c r="HX119"/>
      <c r="HY119"/>
      <c r="HZ119"/>
      <c r="IA119"/>
      <c r="IB119"/>
      <c r="IC119"/>
      <c r="ID119"/>
      <c r="IE119"/>
      <c r="IF119"/>
      <c r="IG119"/>
      <c r="IH119"/>
      <c r="II119"/>
      <c r="IJ119"/>
      <c r="IK119"/>
      <c r="IL119"/>
      <c r="IM119"/>
      <c r="IN119"/>
      <c r="IO119"/>
      <c r="IP119"/>
      <c r="IQ119"/>
      <c r="IR119"/>
      <c r="IS119"/>
      <c r="IT119"/>
      <c r="IU119"/>
      <c r="IV119"/>
      <c r="IW119"/>
      <c r="IX119"/>
      <c r="IY119"/>
      <c r="IZ119"/>
      <c r="JA119"/>
      <c r="JB119"/>
      <c r="JC119"/>
      <c r="JD119"/>
      <c r="JE119"/>
      <c r="JF119"/>
      <c r="JG119"/>
      <c r="JH119"/>
      <c r="JI119"/>
      <c r="JJ119"/>
      <c r="JK119"/>
      <c r="JL119"/>
      <c r="JM119"/>
      <c r="JN119"/>
      <c r="JO119"/>
      <c r="JP119"/>
      <c r="JQ119"/>
      <c r="JR119"/>
      <c r="JS119"/>
      <c r="JT119"/>
      <c r="JU119"/>
      <c r="JV119"/>
      <c r="JW119"/>
      <c r="JX119"/>
      <c r="JY119"/>
      <c r="JZ119"/>
      <c r="KA119"/>
      <c r="KB119"/>
      <c r="KC119"/>
      <c r="KD119"/>
      <c r="KE119"/>
      <c r="KF119"/>
      <c r="KG119"/>
      <c r="KH119"/>
      <c r="KI119"/>
      <c r="KJ119"/>
      <c r="KK119"/>
      <c r="KL119"/>
      <c r="KM119"/>
      <c r="KN119"/>
      <c r="KO119"/>
      <c r="KP119"/>
      <c r="KQ119"/>
      <c r="KR119"/>
      <c r="KS119"/>
      <c r="KT119"/>
      <c r="KU119"/>
      <c r="KV119"/>
      <c r="KW119"/>
      <c r="KX119"/>
      <c r="KY119"/>
      <c r="KZ119"/>
      <c r="LA119"/>
      <c r="LB119"/>
      <c r="LC119"/>
      <c r="LD119"/>
      <c r="LE119"/>
      <c r="LF119"/>
      <c r="LG119"/>
      <c r="LH119"/>
      <c r="LI119"/>
      <c r="LJ119"/>
      <c r="LK119"/>
      <c r="LL119"/>
      <c r="LM119"/>
      <c r="LN119"/>
      <c r="LO119"/>
      <c r="LP119"/>
      <c r="LQ119"/>
      <c r="LR119"/>
      <c r="LS119"/>
      <c r="LT119"/>
      <c r="LU119"/>
      <c r="LV119"/>
      <c r="LW119"/>
      <c r="LX119"/>
      <c r="LY119"/>
      <c r="LZ119"/>
      <c r="MA119"/>
      <c r="MB119"/>
      <c r="MC119"/>
      <c r="MD119"/>
      <c r="ME119"/>
      <c r="MF119"/>
      <c r="MG119"/>
      <c r="MH119"/>
      <c r="MI119"/>
      <c r="MJ119"/>
      <c r="MK119"/>
      <c r="ML119"/>
      <c r="MM119"/>
      <c r="MN119"/>
      <c r="MO119"/>
      <c r="MP119"/>
      <c r="MQ119"/>
      <c r="MR119"/>
      <c r="MS119"/>
      <c r="MT119"/>
      <c r="MU119"/>
      <c r="MV119"/>
      <c r="MW119"/>
      <c r="MX119"/>
      <c r="MY119"/>
      <c r="MZ119"/>
      <c r="NA119"/>
      <c r="NB119"/>
      <c r="NC119"/>
      <c r="ND119"/>
      <c r="NE119"/>
      <c r="NF119"/>
      <c r="NG119"/>
      <c r="NH119"/>
      <c r="NI119"/>
      <c r="NJ119"/>
      <c r="NK119"/>
      <c r="NL119"/>
      <c r="NM119"/>
      <c r="NN119"/>
      <c r="NO119"/>
      <c r="NP119"/>
      <c r="NQ119"/>
      <c r="NR119"/>
      <c r="NS119"/>
      <c r="NT119"/>
      <c r="NU119"/>
      <c r="NV119"/>
      <c r="NW119"/>
      <c r="NX119"/>
      <c r="NY119"/>
      <c r="NZ119"/>
      <c r="OA119"/>
      <c r="OB119"/>
      <c r="OC119"/>
      <c r="OD119"/>
      <c r="OE119"/>
      <c r="OF119"/>
      <c r="OG119"/>
      <c r="OH119"/>
      <c r="OI119"/>
      <c r="OJ119"/>
      <c r="OK119"/>
      <c r="OL119"/>
      <c r="OM119"/>
      <c r="ON119"/>
      <c r="OO119"/>
      <c r="OP119"/>
      <c r="OQ119"/>
      <c r="OR119"/>
      <c r="OS119"/>
      <c r="OT119"/>
      <c r="OU119"/>
      <c r="OV119"/>
      <c r="OW119"/>
      <c r="OX119"/>
      <c r="OY119"/>
      <c r="OZ119"/>
      <c r="PA119"/>
      <c r="PB119"/>
      <c r="PC119"/>
      <c r="PD119"/>
      <c r="PE119"/>
      <c r="PF119"/>
      <c r="PG119"/>
      <c r="PH119"/>
      <c r="PI119"/>
      <c r="PJ119"/>
      <c r="PK119"/>
      <c r="PL119"/>
      <c r="PM119"/>
      <c r="PN119"/>
      <c r="PO119"/>
      <c r="PP119"/>
      <c r="PQ119"/>
      <c r="PR119"/>
      <c r="PS119"/>
      <c r="PT119"/>
      <c r="PU119"/>
      <c r="PV119"/>
      <c r="PW119"/>
      <c r="PX119"/>
      <c r="PY119"/>
      <c r="PZ119"/>
      <c r="QA119"/>
      <c r="QB119"/>
      <c r="QC119"/>
      <c r="QD119"/>
      <c r="QE119"/>
      <c r="QF119"/>
      <c r="QG119"/>
      <c r="QH119"/>
      <c r="QI119"/>
      <c r="QJ119"/>
      <c r="QK119"/>
      <c r="QL119"/>
      <c r="QM119"/>
      <c r="QN119"/>
      <c r="QO119"/>
      <c r="QP119"/>
      <c r="QQ119"/>
      <c r="QR119"/>
      <c r="QS119"/>
      <c r="QT119"/>
      <c r="QU119"/>
      <c r="QV119"/>
      <c r="QW119"/>
      <c r="QX119"/>
      <c r="QY119"/>
      <c r="QZ119"/>
      <c r="RA119"/>
      <c r="RB119"/>
      <c r="RC119"/>
      <c r="RD119"/>
      <c r="RE119"/>
      <c r="RF119"/>
      <c r="RG119"/>
      <c r="RH119"/>
      <c r="RI119"/>
      <c r="RJ119"/>
      <c r="RK119"/>
      <c r="RL119"/>
      <c r="RM119"/>
      <c r="RN119"/>
      <c r="RO119"/>
      <c r="RP119"/>
      <c r="RQ119"/>
      <c r="RR119"/>
      <c r="RS119"/>
    </row>
    <row r="120" spans="3:487" x14ac:dyDescent="0.25">
      <c r="C120" s="2" t="s">
        <v>325</v>
      </c>
      <c r="D120" s="34">
        <v>1</v>
      </c>
      <c r="F120" s="2" t="s">
        <v>3786</v>
      </c>
      <c r="G120" s="34">
        <v>1</v>
      </c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  <c r="DU120"/>
      <c r="DV120"/>
      <c r="DW120"/>
      <c r="DX120"/>
      <c r="DY120"/>
      <c r="DZ120"/>
      <c r="EA120"/>
      <c r="EB120"/>
      <c r="EC120"/>
      <c r="ED120"/>
      <c r="EE120"/>
      <c r="EF120"/>
      <c r="EG120"/>
      <c r="EH120"/>
      <c r="EI120"/>
      <c r="EJ120"/>
      <c r="EK120"/>
      <c r="EL120"/>
      <c r="EM120"/>
      <c r="EN120"/>
      <c r="EO120"/>
      <c r="EP120"/>
      <c r="EQ120"/>
      <c r="ER120"/>
      <c r="ES120"/>
      <c r="ET120"/>
      <c r="EU120"/>
      <c r="EV120"/>
      <c r="EW120"/>
      <c r="EX120"/>
      <c r="EY120"/>
      <c r="EZ120"/>
      <c r="FA120"/>
      <c r="FB120"/>
      <c r="FC120"/>
      <c r="FD120"/>
      <c r="FE120"/>
      <c r="FF120"/>
      <c r="FG120"/>
      <c r="FH120"/>
      <c r="FI120"/>
      <c r="FJ120"/>
      <c r="FK120"/>
      <c r="FL120"/>
      <c r="FM120"/>
      <c r="FN120"/>
      <c r="FO120"/>
      <c r="FP120"/>
      <c r="FQ120"/>
      <c r="FR120"/>
      <c r="FS120"/>
      <c r="FT120"/>
      <c r="FU120"/>
      <c r="FV120"/>
      <c r="FW120"/>
      <c r="FX120"/>
      <c r="FY120"/>
      <c r="FZ120"/>
      <c r="GA120"/>
      <c r="GB120"/>
      <c r="GC120"/>
      <c r="GD120"/>
      <c r="GE120"/>
      <c r="GF120"/>
      <c r="GG120"/>
      <c r="GH120"/>
      <c r="GI120"/>
      <c r="GJ120"/>
      <c r="GK120"/>
      <c r="GL120"/>
      <c r="GM120"/>
      <c r="GN120"/>
      <c r="GO120"/>
      <c r="GP120"/>
      <c r="GQ120"/>
      <c r="GR120"/>
      <c r="GS120"/>
      <c r="GT120"/>
      <c r="GU120"/>
      <c r="GV120"/>
      <c r="GW120"/>
      <c r="GX120"/>
      <c r="GY120"/>
      <c r="GZ120"/>
      <c r="HA120"/>
      <c r="HB120"/>
      <c r="HC120"/>
      <c r="HD120"/>
      <c r="HE120"/>
      <c r="HF120"/>
      <c r="HG120"/>
      <c r="HH120"/>
      <c r="HI120"/>
      <c r="HJ120"/>
      <c r="HK120"/>
      <c r="HL120"/>
      <c r="HM120"/>
      <c r="HN120"/>
      <c r="HO120"/>
      <c r="HP120"/>
      <c r="HQ120"/>
      <c r="HR120"/>
      <c r="HS120"/>
      <c r="HT120"/>
      <c r="HU120"/>
      <c r="HV120"/>
      <c r="HW120"/>
      <c r="HX120"/>
      <c r="HY120"/>
      <c r="HZ120"/>
      <c r="IA120"/>
      <c r="IB120"/>
      <c r="IC120"/>
      <c r="ID120"/>
      <c r="IE120"/>
      <c r="IF120"/>
      <c r="IG120"/>
      <c r="IH120"/>
      <c r="II120"/>
      <c r="IJ120"/>
      <c r="IK120"/>
      <c r="IL120"/>
      <c r="IM120"/>
      <c r="IN120"/>
      <c r="IO120"/>
      <c r="IP120"/>
      <c r="IQ120"/>
      <c r="IR120"/>
      <c r="IS120"/>
      <c r="IT120"/>
      <c r="IU120"/>
      <c r="IV120"/>
      <c r="IW120"/>
      <c r="IX120"/>
      <c r="IY120"/>
      <c r="IZ120"/>
      <c r="JA120"/>
      <c r="JB120"/>
      <c r="JC120"/>
      <c r="JD120"/>
      <c r="JE120"/>
      <c r="JF120"/>
      <c r="JG120"/>
      <c r="JH120"/>
      <c r="JI120"/>
      <c r="JJ120"/>
      <c r="JK120"/>
      <c r="JL120"/>
      <c r="JM120"/>
      <c r="JN120"/>
      <c r="JO120"/>
      <c r="JP120"/>
      <c r="JQ120"/>
      <c r="JR120"/>
      <c r="JS120"/>
      <c r="JT120"/>
      <c r="JU120"/>
      <c r="JV120"/>
      <c r="JW120"/>
      <c r="JX120"/>
      <c r="JY120"/>
      <c r="JZ120"/>
      <c r="KA120"/>
      <c r="KB120"/>
      <c r="KC120"/>
      <c r="KD120"/>
      <c r="KE120"/>
      <c r="KF120"/>
      <c r="KG120"/>
      <c r="KH120"/>
      <c r="KI120"/>
      <c r="KJ120"/>
      <c r="KK120"/>
      <c r="KL120"/>
      <c r="KM120"/>
      <c r="KN120"/>
      <c r="KO120"/>
      <c r="KP120"/>
      <c r="KQ120"/>
      <c r="KR120"/>
      <c r="KS120"/>
      <c r="KT120"/>
      <c r="KU120"/>
      <c r="KV120"/>
      <c r="KW120"/>
      <c r="KX120"/>
      <c r="KY120"/>
      <c r="KZ120"/>
      <c r="LA120"/>
      <c r="LB120"/>
      <c r="LC120"/>
      <c r="LD120"/>
      <c r="LE120"/>
      <c r="LF120"/>
      <c r="LG120"/>
      <c r="LH120"/>
      <c r="LI120"/>
      <c r="LJ120"/>
      <c r="LK120"/>
      <c r="LL120"/>
      <c r="LM120"/>
      <c r="LN120"/>
      <c r="LO120"/>
      <c r="LP120"/>
      <c r="LQ120"/>
      <c r="LR120"/>
      <c r="LS120"/>
      <c r="LT120"/>
      <c r="LU120"/>
      <c r="LV120"/>
      <c r="LW120"/>
      <c r="LX120"/>
      <c r="LY120"/>
      <c r="LZ120"/>
      <c r="MA120"/>
      <c r="MB120"/>
      <c r="MC120"/>
      <c r="MD120"/>
      <c r="ME120"/>
      <c r="MF120"/>
      <c r="MG120"/>
      <c r="MH120"/>
      <c r="MI120"/>
      <c r="MJ120"/>
      <c r="MK120"/>
      <c r="ML120"/>
      <c r="MM120"/>
      <c r="MN120"/>
      <c r="MO120"/>
      <c r="MP120"/>
      <c r="MQ120"/>
      <c r="MR120"/>
      <c r="MS120"/>
      <c r="MT120"/>
      <c r="MU120"/>
      <c r="MV120"/>
      <c r="MW120"/>
      <c r="MX120"/>
      <c r="MY120"/>
      <c r="MZ120"/>
      <c r="NA120"/>
      <c r="NB120"/>
      <c r="NC120"/>
      <c r="ND120"/>
      <c r="NE120"/>
      <c r="NF120"/>
      <c r="NG120"/>
      <c r="NH120"/>
      <c r="NI120"/>
      <c r="NJ120"/>
      <c r="NK120"/>
      <c r="NL120"/>
      <c r="NM120"/>
      <c r="NN120"/>
      <c r="NO120"/>
      <c r="NP120"/>
      <c r="NQ120"/>
      <c r="NR120"/>
      <c r="NS120"/>
      <c r="NT120"/>
      <c r="NU120"/>
      <c r="NV120"/>
      <c r="NW120"/>
      <c r="NX120"/>
      <c r="NY120"/>
      <c r="NZ120"/>
      <c r="OA120"/>
      <c r="OB120"/>
      <c r="OC120"/>
      <c r="OD120"/>
      <c r="OE120"/>
      <c r="OF120"/>
      <c r="OG120"/>
      <c r="OH120"/>
      <c r="OI120"/>
      <c r="OJ120"/>
      <c r="OK120"/>
      <c r="OL120"/>
      <c r="OM120"/>
      <c r="ON120"/>
      <c r="OO120"/>
      <c r="OP120"/>
      <c r="OQ120"/>
      <c r="OR120"/>
      <c r="OS120"/>
      <c r="OT120"/>
      <c r="OU120"/>
      <c r="OV120"/>
      <c r="OW120"/>
      <c r="OX120"/>
      <c r="OY120"/>
      <c r="OZ120"/>
      <c r="PA120"/>
      <c r="PB120"/>
      <c r="PC120"/>
      <c r="PD120"/>
      <c r="PE120"/>
      <c r="PF120"/>
      <c r="PG120"/>
      <c r="PH120"/>
      <c r="PI120"/>
      <c r="PJ120"/>
      <c r="PK120"/>
      <c r="PL120"/>
      <c r="PM120"/>
      <c r="PN120"/>
      <c r="PO120"/>
      <c r="PP120"/>
      <c r="PQ120"/>
      <c r="PR120"/>
      <c r="PS120"/>
      <c r="PT120"/>
      <c r="PU120"/>
      <c r="PV120"/>
      <c r="PW120"/>
      <c r="PX120"/>
      <c r="PY120"/>
      <c r="PZ120"/>
      <c r="QA120"/>
      <c r="QB120"/>
      <c r="QC120"/>
      <c r="QD120"/>
      <c r="QE120"/>
      <c r="QF120"/>
      <c r="QG120"/>
      <c r="QH120"/>
      <c r="QI120"/>
      <c r="QJ120"/>
      <c r="QK120"/>
      <c r="QL120"/>
      <c r="QM120"/>
      <c r="QN120"/>
      <c r="QO120"/>
      <c r="QP120"/>
      <c r="QQ120"/>
      <c r="QR120"/>
      <c r="QS120"/>
      <c r="QT120"/>
      <c r="QU120"/>
      <c r="QV120"/>
      <c r="QW120"/>
      <c r="QX120"/>
      <c r="QY120"/>
      <c r="QZ120"/>
      <c r="RA120"/>
      <c r="RB120"/>
      <c r="RC120"/>
      <c r="RD120"/>
      <c r="RE120"/>
      <c r="RF120"/>
      <c r="RG120"/>
      <c r="RH120"/>
      <c r="RI120"/>
      <c r="RJ120"/>
      <c r="RK120"/>
      <c r="RL120"/>
      <c r="RM120"/>
      <c r="RN120"/>
      <c r="RO120"/>
      <c r="RP120"/>
      <c r="RQ120"/>
      <c r="RR120"/>
      <c r="RS120"/>
    </row>
    <row r="121" spans="3:487" x14ac:dyDescent="0.25">
      <c r="C121" s="2" t="s">
        <v>237</v>
      </c>
      <c r="D121" s="34">
        <v>1</v>
      </c>
      <c r="F121" s="2" t="s">
        <v>203</v>
      </c>
      <c r="G121" s="34">
        <v>1</v>
      </c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  <c r="DU121"/>
      <c r="DV121"/>
      <c r="DW121"/>
      <c r="DX121"/>
      <c r="DY121"/>
      <c r="DZ121"/>
      <c r="EA121"/>
      <c r="EB121"/>
      <c r="EC121"/>
      <c r="ED121"/>
      <c r="EE121"/>
      <c r="EF121"/>
      <c r="EG121"/>
      <c r="EH121"/>
      <c r="EI121"/>
      <c r="EJ121"/>
      <c r="EK121"/>
      <c r="EL121"/>
      <c r="EM121"/>
      <c r="EN121"/>
      <c r="EO121"/>
      <c r="EP121"/>
      <c r="EQ121"/>
      <c r="ER121"/>
      <c r="ES121"/>
      <c r="ET121"/>
      <c r="EU121"/>
      <c r="EV121"/>
      <c r="EW121"/>
      <c r="EX121"/>
      <c r="EY121"/>
      <c r="EZ121"/>
      <c r="FA121"/>
      <c r="FB121"/>
      <c r="FC121"/>
      <c r="FD121"/>
      <c r="FE121"/>
      <c r="FF121"/>
      <c r="FG121"/>
      <c r="FH121"/>
      <c r="FI121"/>
      <c r="FJ121"/>
      <c r="FK121"/>
      <c r="FL121"/>
      <c r="FM121"/>
      <c r="FN121"/>
      <c r="FO121"/>
      <c r="FP121"/>
      <c r="FQ121"/>
      <c r="FR121"/>
      <c r="FS121"/>
      <c r="FT121"/>
      <c r="FU121"/>
      <c r="FV121"/>
      <c r="FW121"/>
      <c r="FX121"/>
      <c r="FY121"/>
      <c r="FZ121"/>
      <c r="GA121"/>
      <c r="GB121"/>
      <c r="GC121"/>
      <c r="GD121"/>
      <c r="GE121"/>
      <c r="GF121"/>
      <c r="GG121"/>
      <c r="GH121"/>
      <c r="GI121"/>
      <c r="GJ121"/>
      <c r="GK121"/>
      <c r="GL121"/>
      <c r="GM121"/>
      <c r="GN121"/>
      <c r="GO121"/>
      <c r="GP121"/>
      <c r="GQ121"/>
      <c r="GR121"/>
      <c r="GS121"/>
      <c r="GT121"/>
      <c r="GU121"/>
      <c r="GV121"/>
      <c r="GW121"/>
      <c r="GX121"/>
      <c r="GY121"/>
      <c r="GZ121"/>
      <c r="HA121"/>
      <c r="HB121"/>
      <c r="HC121"/>
      <c r="HD121"/>
      <c r="HE121"/>
      <c r="HF121"/>
      <c r="HG121"/>
      <c r="HH121"/>
      <c r="HI121"/>
      <c r="HJ121"/>
      <c r="HK121"/>
      <c r="HL121"/>
      <c r="HM121"/>
      <c r="HN121"/>
      <c r="HO121"/>
      <c r="HP121"/>
      <c r="HQ121"/>
      <c r="HR121"/>
      <c r="HS121"/>
      <c r="HT121"/>
      <c r="HU121"/>
      <c r="HV121"/>
      <c r="HW121"/>
      <c r="HX121"/>
      <c r="HY121"/>
      <c r="HZ121"/>
      <c r="IA121"/>
      <c r="IB121"/>
      <c r="IC121"/>
      <c r="ID121"/>
      <c r="IE121"/>
      <c r="IF121"/>
      <c r="IG121"/>
      <c r="IH121"/>
      <c r="II121"/>
      <c r="IJ121"/>
      <c r="IK121"/>
      <c r="IL121"/>
      <c r="IM121"/>
      <c r="IN121"/>
      <c r="IO121"/>
      <c r="IP121"/>
      <c r="IQ121"/>
      <c r="IR121"/>
      <c r="IS121"/>
      <c r="IT121"/>
      <c r="IU121"/>
      <c r="IV121"/>
      <c r="IW121"/>
      <c r="IX121"/>
      <c r="IY121"/>
      <c r="IZ121"/>
      <c r="JA121"/>
      <c r="JB121"/>
      <c r="JC121"/>
      <c r="JD121"/>
      <c r="JE121"/>
      <c r="JF121"/>
      <c r="JG121"/>
      <c r="JH121"/>
      <c r="JI121"/>
      <c r="JJ121"/>
      <c r="JK121"/>
      <c r="JL121"/>
      <c r="JM121"/>
      <c r="JN121"/>
      <c r="JO121"/>
      <c r="JP121"/>
      <c r="JQ121"/>
      <c r="JR121"/>
      <c r="JS121"/>
      <c r="JT121"/>
      <c r="JU121"/>
      <c r="JV121"/>
      <c r="JW121"/>
      <c r="JX121"/>
      <c r="JY121"/>
      <c r="JZ121"/>
      <c r="KA121"/>
      <c r="KB121"/>
      <c r="KC121"/>
      <c r="KD121"/>
      <c r="KE121"/>
      <c r="KF121"/>
      <c r="KG121"/>
      <c r="KH121"/>
      <c r="KI121"/>
      <c r="KJ121"/>
      <c r="KK121"/>
      <c r="KL121"/>
      <c r="KM121"/>
      <c r="KN121"/>
      <c r="KO121"/>
      <c r="KP121"/>
      <c r="KQ121"/>
      <c r="KR121"/>
      <c r="KS121"/>
      <c r="KT121"/>
      <c r="KU121"/>
      <c r="KV121"/>
      <c r="KW121"/>
      <c r="KX121"/>
      <c r="KY121"/>
      <c r="KZ121"/>
      <c r="LA121"/>
      <c r="LB121"/>
      <c r="LC121"/>
      <c r="LD121"/>
      <c r="LE121"/>
      <c r="LF121"/>
      <c r="LG121"/>
      <c r="LH121"/>
      <c r="LI121"/>
      <c r="LJ121"/>
      <c r="LK121"/>
      <c r="LL121"/>
      <c r="LM121"/>
      <c r="LN121"/>
      <c r="LO121"/>
      <c r="LP121"/>
      <c r="LQ121"/>
      <c r="LR121"/>
      <c r="LS121"/>
      <c r="LT121"/>
      <c r="LU121"/>
      <c r="LV121"/>
      <c r="LW121"/>
      <c r="LX121"/>
      <c r="LY121"/>
      <c r="LZ121"/>
      <c r="MA121"/>
      <c r="MB121"/>
      <c r="MC121"/>
      <c r="MD121"/>
      <c r="ME121"/>
      <c r="MF121"/>
      <c r="MG121"/>
      <c r="MH121"/>
      <c r="MI121"/>
      <c r="MJ121"/>
      <c r="MK121"/>
      <c r="ML121"/>
      <c r="MM121"/>
      <c r="MN121"/>
      <c r="MO121"/>
      <c r="MP121"/>
      <c r="MQ121"/>
      <c r="MR121"/>
      <c r="MS121"/>
      <c r="MT121"/>
      <c r="MU121"/>
      <c r="MV121"/>
      <c r="MW121"/>
      <c r="MX121"/>
      <c r="MY121"/>
      <c r="MZ121"/>
      <c r="NA121"/>
      <c r="NB121"/>
      <c r="NC121"/>
      <c r="ND121"/>
      <c r="NE121"/>
      <c r="NF121"/>
      <c r="NG121"/>
      <c r="NH121"/>
      <c r="NI121"/>
      <c r="NJ121"/>
      <c r="NK121"/>
      <c r="NL121"/>
      <c r="NM121"/>
      <c r="NN121"/>
      <c r="NO121"/>
      <c r="NP121"/>
      <c r="NQ121"/>
      <c r="NR121"/>
      <c r="NS121"/>
      <c r="NT121"/>
      <c r="NU121"/>
      <c r="NV121"/>
      <c r="NW121"/>
      <c r="NX121"/>
      <c r="NY121"/>
      <c r="NZ121"/>
      <c r="OA121"/>
      <c r="OB121"/>
      <c r="OC121"/>
      <c r="OD121"/>
      <c r="OE121"/>
      <c r="OF121"/>
      <c r="OG121"/>
      <c r="OH121"/>
      <c r="OI121"/>
      <c r="OJ121"/>
      <c r="OK121"/>
      <c r="OL121"/>
      <c r="OM121"/>
      <c r="ON121"/>
      <c r="OO121"/>
      <c r="OP121"/>
      <c r="OQ121"/>
      <c r="OR121"/>
      <c r="OS121"/>
      <c r="OT121"/>
      <c r="OU121"/>
      <c r="OV121"/>
      <c r="OW121"/>
      <c r="OX121"/>
      <c r="OY121"/>
      <c r="OZ121"/>
      <c r="PA121"/>
      <c r="PB121"/>
      <c r="PC121"/>
      <c r="PD121"/>
      <c r="PE121"/>
      <c r="PF121"/>
      <c r="PG121"/>
      <c r="PH121"/>
      <c r="PI121"/>
      <c r="PJ121"/>
      <c r="PK121"/>
      <c r="PL121"/>
      <c r="PM121"/>
      <c r="PN121"/>
      <c r="PO121"/>
      <c r="PP121"/>
      <c r="PQ121"/>
      <c r="PR121"/>
      <c r="PS121"/>
      <c r="PT121"/>
      <c r="PU121"/>
      <c r="PV121"/>
      <c r="PW121"/>
      <c r="PX121"/>
      <c r="PY121"/>
      <c r="PZ121"/>
      <c r="QA121"/>
      <c r="QB121"/>
      <c r="QC121"/>
      <c r="QD121"/>
      <c r="QE121"/>
      <c r="QF121"/>
      <c r="QG121"/>
      <c r="QH121"/>
      <c r="QI121"/>
      <c r="QJ121"/>
      <c r="QK121"/>
      <c r="QL121"/>
      <c r="QM121"/>
      <c r="QN121"/>
      <c r="QO121"/>
      <c r="QP121"/>
      <c r="QQ121"/>
      <c r="QR121"/>
      <c r="QS121"/>
      <c r="QT121"/>
      <c r="QU121"/>
      <c r="QV121"/>
      <c r="QW121"/>
      <c r="QX121"/>
      <c r="QY121"/>
      <c r="QZ121"/>
      <c r="RA121"/>
      <c r="RB121"/>
      <c r="RC121"/>
      <c r="RD121"/>
      <c r="RE121"/>
      <c r="RF121"/>
      <c r="RG121"/>
      <c r="RH121"/>
      <c r="RI121"/>
      <c r="RJ121"/>
      <c r="RK121"/>
      <c r="RL121"/>
      <c r="RM121"/>
      <c r="RN121"/>
      <c r="RO121"/>
      <c r="RP121"/>
      <c r="RQ121"/>
      <c r="RR121"/>
      <c r="RS121"/>
    </row>
    <row r="122" spans="3:487" x14ac:dyDescent="0.25">
      <c r="C122" s="2" t="s">
        <v>133</v>
      </c>
      <c r="D122" s="34">
        <v>1</v>
      </c>
      <c r="F122" s="2" t="s">
        <v>156</v>
      </c>
      <c r="G122" s="34">
        <v>1</v>
      </c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  <c r="DU122"/>
      <c r="DV122"/>
      <c r="DW122"/>
      <c r="DX122"/>
      <c r="DY122"/>
      <c r="DZ122"/>
      <c r="EA122"/>
      <c r="EB122"/>
      <c r="EC122"/>
      <c r="ED122"/>
      <c r="EE122"/>
      <c r="EF122"/>
      <c r="EG122"/>
      <c r="EH122"/>
      <c r="EI122"/>
      <c r="EJ122"/>
      <c r="EK122"/>
      <c r="EL122"/>
      <c r="EM122"/>
      <c r="EN122"/>
      <c r="EO122"/>
      <c r="EP122"/>
      <c r="EQ122"/>
      <c r="ER122"/>
      <c r="ES122"/>
      <c r="ET122"/>
      <c r="EU122"/>
      <c r="EV122"/>
      <c r="EW122"/>
      <c r="EX122"/>
      <c r="EY122"/>
      <c r="EZ122"/>
      <c r="FA122"/>
      <c r="FB122"/>
      <c r="FC122"/>
      <c r="FD122"/>
      <c r="FE122"/>
      <c r="FF122"/>
      <c r="FG122"/>
      <c r="FH122"/>
      <c r="FI122"/>
      <c r="FJ122"/>
      <c r="FK122"/>
      <c r="FL122"/>
      <c r="FM122"/>
      <c r="FN122"/>
      <c r="FO122"/>
      <c r="FP122"/>
      <c r="FQ122"/>
      <c r="FR122"/>
      <c r="FS122"/>
      <c r="FT122"/>
      <c r="FU122"/>
      <c r="FV122"/>
      <c r="FW122"/>
      <c r="FX122"/>
      <c r="FY122"/>
      <c r="FZ122"/>
      <c r="GA122"/>
      <c r="GB122"/>
      <c r="GC122"/>
      <c r="GD122"/>
      <c r="GE122"/>
      <c r="GF122"/>
      <c r="GG122"/>
      <c r="GH122"/>
      <c r="GI122"/>
      <c r="GJ122"/>
      <c r="GK122"/>
      <c r="GL122"/>
      <c r="GM122"/>
      <c r="GN122"/>
      <c r="GO122"/>
      <c r="GP122"/>
      <c r="GQ122"/>
      <c r="GR122"/>
      <c r="GS122"/>
      <c r="GT122"/>
      <c r="GU122"/>
      <c r="GV122"/>
      <c r="GW122"/>
      <c r="GX122"/>
      <c r="GY122"/>
      <c r="GZ122"/>
      <c r="HA122"/>
      <c r="HB122"/>
      <c r="HC122"/>
      <c r="HD122"/>
      <c r="HE122"/>
      <c r="HF122"/>
      <c r="HG122"/>
      <c r="HH122"/>
      <c r="HI122"/>
      <c r="HJ122"/>
      <c r="HK122"/>
      <c r="HL122"/>
      <c r="HM122"/>
      <c r="HN122"/>
      <c r="HO122"/>
      <c r="HP122"/>
      <c r="HQ122"/>
      <c r="HR122"/>
      <c r="HS122"/>
      <c r="HT122"/>
      <c r="HU122"/>
      <c r="HV122"/>
      <c r="HW122"/>
      <c r="HX122"/>
      <c r="HY122"/>
      <c r="HZ122"/>
      <c r="IA122"/>
      <c r="IB122"/>
      <c r="IC122"/>
      <c r="ID122"/>
      <c r="IE122"/>
      <c r="IF122"/>
      <c r="IG122"/>
      <c r="IH122"/>
      <c r="II122"/>
      <c r="IJ122"/>
      <c r="IK122"/>
      <c r="IL122"/>
      <c r="IM122"/>
      <c r="IN122"/>
      <c r="IO122"/>
      <c r="IP122"/>
      <c r="IQ122"/>
      <c r="IR122"/>
      <c r="IS122"/>
      <c r="IT122"/>
      <c r="IU122"/>
      <c r="IV122"/>
      <c r="IW122"/>
      <c r="IX122"/>
      <c r="IY122"/>
      <c r="IZ122"/>
      <c r="JA122"/>
      <c r="JB122"/>
      <c r="JC122"/>
      <c r="JD122"/>
      <c r="JE122"/>
      <c r="JF122"/>
      <c r="JG122"/>
      <c r="JH122"/>
      <c r="JI122"/>
      <c r="JJ122"/>
      <c r="JK122"/>
      <c r="JL122"/>
      <c r="JM122"/>
      <c r="JN122"/>
      <c r="JO122"/>
      <c r="JP122"/>
      <c r="JQ122"/>
      <c r="JR122"/>
      <c r="JS122"/>
      <c r="JT122"/>
      <c r="JU122"/>
      <c r="JV122"/>
      <c r="JW122"/>
      <c r="JX122"/>
      <c r="JY122"/>
      <c r="JZ122"/>
      <c r="KA122"/>
      <c r="KB122"/>
      <c r="KC122"/>
      <c r="KD122"/>
      <c r="KE122"/>
      <c r="KF122"/>
      <c r="KG122"/>
      <c r="KH122"/>
      <c r="KI122"/>
      <c r="KJ122"/>
      <c r="KK122"/>
      <c r="KL122"/>
      <c r="KM122"/>
      <c r="KN122"/>
      <c r="KO122"/>
      <c r="KP122"/>
      <c r="KQ122"/>
      <c r="KR122"/>
      <c r="KS122"/>
      <c r="KT122"/>
      <c r="KU122"/>
      <c r="KV122"/>
      <c r="KW122"/>
      <c r="KX122"/>
      <c r="KY122"/>
      <c r="KZ122"/>
      <c r="LA122"/>
      <c r="LB122"/>
      <c r="LC122"/>
      <c r="LD122"/>
      <c r="LE122"/>
      <c r="LF122"/>
      <c r="LG122"/>
      <c r="LH122"/>
      <c r="LI122"/>
      <c r="LJ122"/>
      <c r="LK122"/>
      <c r="LL122"/>
      <c r="LM122"/>
      <c r="LN122"/>
      <c r="LO122"/>
      <c r="LP122"/>
      <c r="LQ122"/>
      <c r="LR122"/>
      <c r="LS122"/>
      <c r="LT122"/>
      <c r="LU122"/>
      <c r="LV122"/>
      <c r="LW122"/>
      <c r="LX122"/>
      <c r="LY122"/>
      <c r="LZ122"/>
      <c r="MA122"/>
      <c r="MB122"/>
      <c r="MC122"/>
      <c r="MD122"/>
      <c r="ME122"/>
      <c r="MF122"/>
      <c r="MG122"/>
      <c r="MH122"/>
      <c r="MI122"/>
      <c r="MJ122"/>
      <c r="MK122"/>
      <c r="ML122"/>
      <c r="MM122"/>
      <c r="MN122"/>
      <c r="MO122"/>
      <c r="MP122"/>
      <c r="MQ122"/>
      <c r="MR122"/>
      <c r="MS122"/>
      <c r="MT122"/>
      <c r="MU122"/>
      <c r="MV122"/>
      <c r="MW122"/>
      <c r="MX122"/>
      <c r="MY122"/>
      <c r="MZ122"/>
      <c r="NA122"/>
      <c r="NB122"/>
      <c r="NC122"/>
      <c r="ND122"/>
      <c r="NE122"/>
      <c r="NF122"/>
      <c r="NG122"/>
      <c r="NH122"/>
      <c r="NI122"/>
      <c r="NJ122"/>
      <c r="NK122"/>
      <c r="NL122"/>
      <c r="NM122"/>
      <c r="NN122"/>
      <c r="NO122"/>
      <c r="NP122"/>
      <c r="NQ122"/>
      <c r="NR122"/>
      <c r="NS122"/>
      <c r="NT122"/>
      <c r="NU122"/>
      <c r="NV122"/>
      <c r="NW122"/>
      <c r="NX122"/>
      <c r="NY122"/>
      <c r="NZ122"/>
      <c r="OA122"/>
      <c r="OB122"/>
      <c r="OC122"/>
      <c r="OD122"/>
      <c r="OE122"/>
      <c r="OF122"/>
      <c r="OG122"/>
      <c r="OH122"/>
      <c r="OI122"/>
      <c r="OJ122"/>
      <c r="OK122"/>
      <c r="OL122"/>
      <c r="OM122"/>
      <c r="ON122"/>
      <c r="OO122"/>
      <c r="OP122"/>
      <c r="OQ122"/>
      <c r="OR122"/>
      <c r="OS122"/>
      <c r="OT122"/>
      <c r="OU122"/>
      <c r="OV122"/>
      <c r="OW122"/>
      <c r="OX122"/>
      <c r="OY122"/>
      <c r="OZ122"/>
      <c r="PA122"/>
      <c r="PB122"/>
      <c r="PC122"/>
      <c r="PD122"/>
      <c r="PE122"/>
      <c r="PF122"/>
      <c r="PG122"/>
      <c r="PH122"/>
      <c r="PI122"/>
      <c r="PJ122"/>
      <c r="PK122"/>
      <c r="PL122"/>
      <c r="PM122"/>
      <c r="PN122"/>
      <c r="PO122"/>
      <c r="PP122"/>
      <c r="PQ122"/>
      <c r="PR122"/>
      <c r="PS122"/>
      <c r="PT122"/>
      <c r="PU122"/>
      <c r="PV122"/>
      <c r="PW122"/>
      <c r="PX122"/>
      <c r="PY122"/>
      <c r="PZ122"/>
      <c r="QA122"/>
      <c r="QB122"/>
      <c r="QC122"/>
      <c r="QD122"/>
      <c r="QE122"/>
      <c r="QF122"/>
      <c r="QG122"/>
      <c r="QH122"/>
      <c r="QI122"/>
      <c r="QJ122"/>
      <c r="QK122"/>
      <c r="QL122"/>
      <c r="QM122"/>
      <c r="QN122"/>
      <c r="QO122"/>
      <c r="QP122"/>
      <c r="QQ122"/>
      <c r="QR122"/>
      <c r="QS122"/>
      <c r="QT122"/>
      <c r="QU122"/>
      <c r="QV122"/>
      <c r="QW122"/>
      <c r="QX122"/>
      <c r="QY122"/>
      <c r="QZ122"/>
      <c r="RA122"/>
      <c r="RB122"/>
      <c r="RC122"/>
      <c r="RD122"/>
      <c r="RE122"/>
      <c r="RF122"/>
      <c r="RG122"/>
      <c r="RH122"/>
      <c r="RI122"/>
      <c r="RJ122"/>
      <c r="RK122"/>
      <c r="RL122"/>
      <c r="RM122"/>
      <c r="RN122"/>
      <c r="RO122"/>
      <c r="RP122"/>
      <c r="RQ122"/>
      <c r="RR122"/>
      <c r="RS122"/>
    </row>
    <row r="123" spans="3:487" x14ac:dyDescent="0.25">
      <c r="C123" s="2" t="s">
        <v>3648</v>
      </c>
      <c r="D123" s="34">
        <v>1</v>
      </c>
      <c r="F123" s="2" t="s">
        <v>240</v>
      </c>
      <c r="G123" s="34">
        <v>1</v>
      </c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  <c r="DU123"/>
      <c r="DV123"/>
      <c r="DW123"/>
      <c r="DX123"/>
      <c r="DY123"/>
      <c r="DZ123"/>
      <c r="EA123"/>
      <c r="EB123"/>
      <c r="EC123"/>
      <c r="ED123"/>
      <c r="EE123"/>
      <c r="EF123"/>
      <c r="EG123"/>
      <c r="EH123"/>
      <c r="EI123"/>
      <c r="EJ123"/>
      <c r="EK123"/>
      <c r="EL123"/>
      <c r="EM123"/>
      <c r="EN123"/>
      <c r="EO123"/>
      <c r="EP123"/>
      <c r="EQ123"/>
      <c r="ER123"/>
      <c r="ES123"/>
      <c r="ET123"/>
      <c r="EU123"/>
      <c r="EV123"/>
      <c r="EW123"/>
      <c r="EX123"/>
      <c r="EY123"/>
      <c r="EZ123"/>
      <c r="FA123"/>
      <c r="FB123"/>
      <c r="FC123"/>
      <c r="FD123"/>
      <c r="FE123"/>
      <c r="FF123"/>
      <c r="FG123"/>
      <c r="FH123"/>
      <c r="FI123"/>
      <c r="FJ123"/>
      <c r="FK123"/>
      <c r="FL123"/>
      <c r="FM123"/>
      <c r="FN123"/>
      <c r="FO123"/>
      <c r="FP123"/>
      <c r="FQ123"/>
      <c r="FR123"/>
      <c r="FS123"/>
      <c r="FT123"/>
      <c r="FU123"/>
      <c r="FV123"/>
      <c r="FW123"/>
      <c r="FX123"/>
      <c r="FY123"/>
      <c r="FZ123"/>
      <c r="GA123"/>
      <c r="GB123"/>
      <c r="GC123"/>
      <c r="GD123"/>
      <c r="GE123"/>
      <c r="GF123"/>
      <c r="GG123"/>
      <c r="GH123"/>
      <c r="GI123"/>
      <c r="GJ123"/>
      <c r="GK123"/>
      <c r="GL123"/>
      <c r="GM123"/>
      <c r="GN123"/>
      <c r="GO123"/>
      <c r="GP123"/>
      <c r="GQ123"/>
      <c r="GR123"/>
      <c r="GS123"/>
      <c r="GT123"/>
      <c r="GU123"/>
      <c r="GV123"/>
      <c r="GW123"/>
      <c r="GX123"/>
      <c r="GY123"/>
      <c r="GZ123"/>
      <c r="HA123"/>
      <c r="HB123"/>
      <c r="HC123"/>
      <c r="HD123"/>
      <c r="HE123"/>
      <c r="HF123"/>
      <c r="HG123"/>
      <c r="HH123"/>
      <c r="HI123"/>
      <c r="HJ123"/>
      <c r="HK123"/>
      <c r="HL123"/>
      <c r="HM123"/>
      <c r="HN123"/>
      <c r="HO123"/>
      <c r="HP123"/>
      <c r="HQ123"/>
      <c r="HR123"/>
      <c r="HS123"/>
      <c r="HT123"/>
      <c r="HU123"/>
      <c r="HV123"/>
      <c r="HW123"/>
      <c r="HX123"/>
      <c r="HY123"/>
      <c r="HZ123"/>
      <c r="IA123"/>
      <c r="IB123"/>
      <c r="IC123"/>
      <c r="ID123"/>
      <c r="IE123"/>
      <c r="IF123"/>
      <c r="IG123"/>
      <c r="IH123"/>
      <c r="II123"/>
      <c r="IJ123"/>
      <c r="IK123"/>
      <c r="IL123"/>
      <c r="IM123"/>
      <c r="IN123"/>
      <c r="IO123"/>
      <c r="IP123"/>
      <c r="IQ123"/>
      <c r="IR123"/>
      <c r="IS123"/>
      <c r="IT123"/>
      <c r="IU123"/>
      <c r="IV123"/>
      <c r="IW123"/>
      <c r="IX123"/>
      <c r="IY123"/>
      <c r="IZ123"/>
      <c r="JA123"/>
      <c r="JB123"/>
      <c r="JC123"/>
      <c r="JD123"/>
      <c r="JE123"/>
      <c r="JF123"/>
      <c r="JG123"/>
      <c r="JH123"/>
      <c r="JI123"/>
      <c r="JJ123"/>
      <c r="JK123"/>
      <c r="JL123"/>
      <c r="JM123"/>
      <c r="JN123"/>
      <c r="JO123"/>
      <c r="JP123"/>
      <c r="JQ123"/>
      <c r="JR123"/>
      <c r="JS123"/>
      <c r="JT123"/>
      <c r="JU123"/>
      <c r="JV123"/>
      <c r="JW123"/>
      <c r="JX123"/>
      <c r="JY123"/>
      <c r="JZ123"/>
      <c r="KA123"/>
      <c r="KB123"/>
      <c r="KC123"/>
      <c r="KD123"/>
      <c r="KE123"/>
      <c r="KF123"/>
      <c r="KG123"/>
      <c r="KH123"/>
      <c r="KI123"/>
      <c r="KJ123"/>
      <c r="KK123"/>
      <c r="KL123"/>
      <c r="KM123"/>
      <c r="KN123"/>
      <c r="KO123"/>
      <c r="KP123"/>
      <c r="KQ123"/>
      <c r="KR123"/>
      <c r="KS123"/>
      <c r="KT123"/>
      <c r="KU123"/>
      <c r="KV123"/>
      <c r="KW123"/>
      <c r="KX123"/>
      <c r="KY123"/>
      <c r="KZ123"/>
      <c r="LA123"/>
      <c r="LB123"/>
      <c r="LC123"/>
      <c r="LD123"/>
      <c r="LE123"/>
      <c r="LF123"/>
      <c r="LG123"/>
      <c r="LH123"/>
      <c r="LI123"/>
      <c r="LJ123"/>
      <c r="LK123"/>
      <c r="LL123"/>
      <c r="LM123"/>
      <c r="LN123"/>
      <c r="LO123"/>
      <c r="LP123"/>
      <c r="LQ123"/>
      <c r="LR123"/>
      <c r="LS123"/>
      <c r="LT123"/>
      <c r="LU123"/>
      <c r="LV123"/>
      <c r="LW123"/>
      <c r="LX123"/>
      <c r="LY123"/>
      <c r="LZ123"/>
      <c r="MA123"/>
      <c r="MB123"/>
      <c r="MC123"/>
      <c r="MD123"/>
      <c r="ME123"/>
      <c r="MF123"/>
      <c r="MG123"/>
      <c r="MH123"/>
      <c r="MI123"/>
      <c r="MJ123"/>
      <c r="MK123"/>
      <c r="ML123"/>
      <c r="MM123"/>
      <c r="MN123"/>
      <c r="MO123"/>
      <c r="MP123"/>
      <c r="MQ123"/>
      <c r="MR123"/>
      <c r="MS123"/>
      <c r="MT123"/>
      <c r="MU123"/>
      <c r="MV123"/>
      <c r="MW123"/>
      <c r="MX123"/>
      <c r="MY123"/>
      <c r="MZ123"/>
      <c r="NA123"/>
      <c r="NB123"/>
      <c r="NC123"/>
      <c r="ND123"/>
      <c r="NE123"/>
      <c r="NF123"/>
      <c r="NG123"/>
      <c r="NH123"/>
      <c r="NI123"/>
      <c r="NJ123"/>
      <c r="NK123"/>
      <c r="NL123"/>
      <c r="NM123"/>
      <c r="NN123"/>
      <c r="NO123"/>
      <c r="NP123"/>
      <c r="NQ123"/>
      <c r="NR123"/>
      <c r="NS123"/>
      <c r="NT123"/>
      <c r="NU123"/>
      <c r="NV123"/>
      <c r="NW123"/>
      <c r="NX123"/>
      <c r="NY123"/>
      <c r="NZ123"/>
      <c r="OA123"/>
      <c r="OB123"/>
      <c r="OC123"/>
      <c r="OD123"/>
      <c r="OE123"/>
      <c r="OF123"/>
      <c r="OG123"/>
      <c r="OH123"/>
      <c r="OI123"/>
      <c r="OJ123"/>
      <c r="OK123"/>
      <c r="OL123"/>
      <c r="OM123"/>
      <c r="ON123"/>
      <c r="OO123"/>
      <c r="OP123"/>
      <c r="OQ123"/>
      <c r="OR123"/>
      <c r="OS123"/>
      <c r="OT123"/>
      <c r="OU123"/>
      <c r="OV123"/>
      <c r="OW123"/>
      <c r="OX123"/>
      <c r="OY123"/>
      <c r="OZ123"/>
      <c r="PA123"/>
      <c r="PB123"/>
      <c r="PC123"/>
      <c r="PD123"/>
      <c r="PE123"/>
      <c r="PF123"/>
      <c r="PG123"/>
      <c r="PH123"/>
      <c r="PI123"/>
      <c r="PJ123"/>
      <c r="PK123"/>
      <c r="PL123"/>
      <c r="PM123"/>
      <c r="PN123"/>
      <c r="PO123"/>
      <c r="PP123"/>
      <c r="PQ123"/>
      <c r="PR123"/>
      <c r="PS123"/>
      <c r="PT123"/>
      <c r="PU123"/>
      <c r="PV123"/>
      <c r="PW123"/>
      <c r="PX123"/>
      <c r="PY123"/>
      <c r="PZ123"/>
      <c r="QA123"/>
      <c r="QB123"/>
      <c r="QC123"/>
      <c r="QD123"/>
      <c r="QE123"/>
      <c r="QF123"/>
      <c r="QG123"/>
      <c r="QH123"/>
      <c r="QI123"/>
      <c r="QJ123"/>
      <c r="QK123"/>
      <c r="QL123"/>
      <c r="QM123"/>
      <c r="QN123"/>
      <c r="QO123"/>
      <c r="QP123"/>
      <c r="QQ123"/>
      <c r="QR123"/>
      <c r="QS123"/>
      <c r="QT123"/>
      <c r="QU123"/>
      <c r="QV123"/>
      <c r="QW123"/>
      <c r="QX123"/>
      <c r="QY123"/>
      <c r="QZ123"/>
      <c r="RA123"/>
      <c r="RB123"/>
      <c r="RC123"/>
      <c r="RD123"/>
      <c r="RE123"/>
      <c r="RF123"/>
      <c r="RG123"/>
      <c r="RH123"/>
      <c r="RI123"/>
      <c r="RJ123"/>
      <c r="RK123"/>
      <c r="RL123"/>
      <c r="RM123"/>
      <c r="RN123"/>
      <c r="RO123"/>
      <c r="RP123"/>
      <c r="RQ123"/>
      <c r="RR123"/>
      <c r="RS123"/>
    </row>
    <row r="124" spans="3:487" x14ac:dyDescent="0.25">
      <c r="C124" s="2" t="s">
        <v>279</v>
      </c>
      <c r="D124" s="34">
        <v>1</v>
      </c>
      <c r="F124" s="2" t="s">
        <v>160</v>
      </c>
      <c r="G124" s="34">
        <v>1</v>
      </c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  <c r="DU124"/>
      <c r="DV124"/>
      <c r="DW124"/>
      <c r="DX124"/>
      <c r="DY124"/>
      <c r="DZ124"/>
      <c r="EA124"/>
      <c r="EB124"/>
      <c r="EC124"/>
      <c r="ED124"/>
      <c r="EE124"/>
      <c r="EF124"/>
      <c r="EG124"/>
      <c r="EH124"/>
      <c r="EI124"/>
      <c r="EJ124"/>
      <c r="EK124"/>
      <c r="EL124"/>
      <c r="EM124"/>
      <c r="EN124"/>
      <c r="EO124"/>
      <c r="EP124"/>
      <c r="EQ124"/>
      <c r="ER124"/>
      <c r="ES124"/>
      <c r="ET124"/>
      <c r="EU124"/>
      <c r="EV124"/>
      <c r="EW124"/>
      <c r="EX124"/>
      <c r="EY124"/>
      <c r="EZ124"/>
      <c r="FA124"/>
      <c r="FB124"/>
      <c r="FC124"/>
      <c r="FD124"/>
      <c r="FE124"/>
      <c r="FF124"/>
      <c r="FG124"/>
      <c r="FH124"/>
      <c r="FI124"/>
      <c r="FJ124"/>
      <c r="FK124"/>
      <c r="FL124"/>
      <c r="FM124"/>
      <c r="FN124"/>
      <c r="FO124"/>
      <c r="FP124"/>
      <c r="FQ124"/>
      <c r="FR124"/>
      <c r="FS124"/>
      <c r="FT124"/>
      <c r="FU124"/>
      <c r="FV124"/>
      <c r="FW124"/>
      <c r="FX124"/>
      <c r="FY124"/>
      <c r="FZ124"/>
      <c r="GA124"/>
      <c r="GB124"/>
      <c r="GC124"/>
      <c r="GD124"/>
      <c r="GE124"/>
      <c r="GF124"/>
      <c r="GG124"/>
      <c r="GH124"/>
      <c r="GI124"/>
      <c r="GJ124"/>
      <c r="GK124"/>
      <c r="GL124"/>
      <c r="GM124"/>
      <c r="GN124"/>
      <c r="GO124"/>
      <c r="GP124"/>
      <c r="GQ124"/>
      <c r="GR124"/>
      <c r="GS124"/>
      <c r="GT124"/>
      <c r="GU124"/>
      <c r="GV124"/>
      <c r="GW124"/>
      <c r="GX124"/>
      <c r="GY124"/>
      <c r="GZ124"/>
      <c r="HA124"/>
      <c r="HB124"/>
      <c r="HC124"/>
      <c r="HD124"/>
      <c r="HE124"/>
      <c r="HF124"/>
      <c r="HG124"/>
      <c r="HH124"/>
      <c r="HI124"/>
      <c r="HJ124"/>
      <c r="HK124"/>
      <c r="HL124"/>
      <c r="HM124"/>
      <c r="HN124"/>
      <c r="HO124"/>
      <c r="HP124"/>
      <c r="HQ124"/>
      <c r="HR124"/>
      <c r="HS124"/>
      <c r="HT124"/>
      <c r="HU124"/>
      <c r="HV124"/>
      <c r="HW124"/>
      <c r="HX124"/>
      <c r="HY124"/>
      <c r="HZ124"/>
      <c r="IA124"/>
      <c r="IB124"/>
      <c r="IC124"/>
      <c r="ID124"/>
      <c r="IE124"/>
      <c r="IF124"/>
      <c r="IG124"/>
      <c r="IH124"/>
      <c r="II124"/>
      <c r="IJ124"/>
      <c r="IK124"/>
      <c r="IL124"/>
      <c r="IM124"/>
      <c r="IN124"/>
      <c r="IO124"/>
      <c r="IP124"/>
      <c r="IQ124"/>
      <c r="IR124"/>
      <c r="IS124"/>
      <c r="IT124"/>
      <c r="IU124"/>
      <c r="IV124"/>
      <c r="IW124"/>
      <c r="IX124"/>
      <c r="IY124"/>
      <c r="IZ124"/>
      <c r="JA124"/>
      <c r="JB124"/>
      <c r="JC124"/>
      <c r="JD124"/>
      <c r="JE124"/>
      <c r="JF124"/>
      <c r="JG124"/>
      <c r="JH124"/>
      <c r="JI124"/>
      <c r="JJ124"/>
      <c r="JK124"/>
      <c r="JL124"/>
      <c r="JM124"/>
      <c r="JN124"/>
      <c r="JO124"/>
      <c r="JP124"/>
      <c r="JQ124"/>
      <c r="JR124"/>
      <c r="JS124"/>
      <c r="JT124"/>
      <c r="JU124"/>
      <c r="JV124"/>
      <c r="JW124"/>
      <c r="JX124"/>
      <c r="JY124"/>
      <c r="JZ124"/>
      <c r="KA124"/>
      <c r="KB124"/>
      <c r="KC124"/>
      <c r="KD124"/>
      <c r="KE124"/>
      <c r="KF124"/>
      <c r="KG124"/>
      <c r="KH124"/>
      <c r="KI124"/>
      <c r="KJ124"/>
      <c r="KK124"/>
      <c r="KL124"/>
      <c r="KM124"/>
      <c r="KN124"/>
      <c r="KO124"/>
      <c r="KP124"/>
      <c r="KQ124"/>
      <c r="KR124"/>
      <c r="KS124"/>
      <c r="KT124"/>
      <c r="KU124"/>
      <c r="KV124"/>
      <c r="KW124"/>
      <c r="KX124"/>
      <c r="KY124"/>
      <c r="KZ124"/>
      <c r="LA124"/>
      <c r="LB124"/>
      <c r="LC124"/>
      <c r="LD124"/>
      <c r="LE124"/>
      <c r="LF124"/>
      <c r="LG124"/>
      <c r="LH124"/>
      <c r="LI124"/>
      <c r="LJ124"/>
      <c r="LK124"/>
      <c r="LL124"/>
      <c r="LM124"/>
      <c r="LN124"/>
      <c r="LO124"/>
      <c r="LP124"/>
      <c r="LQ124"/>
      <c r="LR124"/>
      <c r="LS124"/>
      <c r="LT124"/>
      <c r="LU124"/>
      <c r="LV124"/>
      <c r="LW124"/>
      <c r="LX124"/>
      <c r="LY124"/>
      <c r="LZ124"/>
      <c r="MA124"/>
      <c r="MB124"/>
      <c r="MC124"/>
      <c r="MD124"/>
      <c r="ME124"/>
      <c r="MF124"/>
      <c r="MG124"/>
      <c r="MH124"/>
      <c r="MI124"/>
      <c r="MJ124"/>
      <c r="MK124"/>
      <c r="ML124"/>
      <c r="MM124"/>
      <c r="MN124"/>
      <c r="MO124"/>
      <c r="MP124"/>
      <c r="MQ124"/>
      <c r="MR124"/>
      <c r="MS124"/>
      <c r="MT124"/>
      <c r="MU124"/>
      <c r="MV124"/>
      <c r="MW124"/>
      <c r="MX124"/>
      <c r="MY124"/>
      <c r="MZ124"/>
      <c r="NA124"/>
      <c r="NB124"/>
      <c r="NC124"/>
      <c r="ND124"/>
      <c r="NE124"/>
      <c r="NF124"/>
      <c r="NG124"/>
      <c r="NH124"/>
      <c r="NI124"/>
      <c r="NJ124"/>
      <c r="NK124"/>
      <c r="NL124"/>
      <c r="NM124"/>
      <c r="NN124"/>
      <c r="NO124"/>
      <c r="NP124"/>
      <c r="NQ124"/>
      <c r="NR124"/>
      <c r="NS124"/>
      <c r="NT124"/>
      <c r="NU124"/>
      <c r="NV124"/>
      <c r="NW124"/>
      <c r="NX124"/>
      <c r="NY124"/>
      <c r="NZ124"/>
      <c r="OA124"/>
      <c r="OB124"/>
      <c r="OC124"/>
      <c r="OD124"/>
      <c r="OE124"/>
      <c r="OF124"/>
      <c r="OG124"/>
      <c r="OH124"/>
      <c r="OI124"/>
      <c r="OJ124"/>
      <c r="OK124"/>
      <c r="OL124"/>
      <c r="OM124"/>
      <c r="ON124"/>
      <c r="OO124"/>
      <c r="OP124"/>
      <c r="OQ124"/>
      <c r="OR124"/>
      <c r="OS124"/>
      <c r="OT124"/>
      <c r="OU124"/>
      <c r="OV124"/>
      <c r="OW124"/>
      <c r="OX124"/>
      <c r="OY124"/>
      <c r="OZ124"/>
      <c r="PA124"/>
      <c r="PB124"/>
      <c r="PC124"/>
      <c r="PD124"/>
      <c r="PE124"/>
      <c r="PF124"/>
      <c r="PG124"/>
      <c r="PH124"/>
      <c r="PI124"/>
      <c r="PJ124"/>
      <c r="PK124"/>
      <c r="PL124"/>
      <c r="PM124"/>
      <c r="PN124"/>
      <c r="PO124"/>
      <c r="PP124"/>
      <c r="PQ124"/>
      <c r="PR124"/>
      <c r="PS124"/>
      <c r="PT124"/>
      <c r="PU124"/>
      <c r="PV124"/>
      <c r="PW124"/>
      <c r="PX124"/>
      <c r="PY124"/>
      <c r="PZ124"/>
      <c r="QA124"/>
      <c r="QB124"/>
      <c r="QC124"/>
      <c r="QD124"/>
      <c r="QE124"/>
      <c r="QF124"/>
      <c r="QG124"/>
      <c r="QH124"/>
      <c r="QI124"/>
      <c r="QJ124"/>
      <c r="QK124"/>
      <c r="QL124"/>
      <c r="QM124"/>
      <c r="QN124"/>
      <c r="QO124"/>
      <c r="QP124"/>
      <c r="QQ124"/>
      <c r="QR124"/>
      <c r="QS124"/>
      <c r="QT124"/>
      <c r="QU124"/>
      <c r="QV124"/>
      <c r="QW124"/>
      <c r="QX124"/>
      <c r="QY124"/>
      <c r="QZ124"/>
      <c r="RA124"/>
      <c r="RB124"/>
      <c r="RC124"/>
      <c r="RD124"/>
      <c r="RE124"/>
      <c r="RF124"/>
      <c r="RG124"/>
      <c r="RH124"/>
      <c r="RI124"/>
      <c r="RJ124"/>
      <c r="RK124"/>
      <c r="RL124"/>
      <c r="RM124"/>
      <c r="RN124"/>
      <c r="RO124"/>
      <c r="RP124"/>
      <c r="RQ124"/>
      <c r="RR124"/>
      <c r="RS124"/>
    </row>
    <row r="125" spans="3:487" x14ac:dyDescent="0.25">
      <c r="C125" s="2" t="s">
        <v>3649</v>
      </c>
      <c r="D125" s="34">
        <v>1</v>
      </c>
      <c r="F125" s="2" t="s">
        <v>3710</v>
      </c>
      <c r="G125" s="34">
        <v>1</v>
      </c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  <c r="DU125"/>
      <c r="DV125"/>
      <c r="DW125"/>
      <c r="DX125"/>
      <c r="DY125"/>
      <c r="DZ125"/>
      <c r="EA125"/>
      <c r="EB125"/>
      <c r="EC125"/>
      <c r="ED125"/>
      <c r="EE125"/>
      <c r="EF125"/>
      <c r="EG125"/>
      <c r="EH125"/>
      <c r="EI125"/>
      <c r="EJ125"/>
      <c r="EK125"/>
      <c r="EL125"/>
      <c r="EM125"/>
      <c r="EN125"/>
      <c r="EO125"/>
      <c r="EP125"/>
      <c r="EQ125"/>
      <c r="ER125"/>
      <c r="ES125"/>
      <c r="ET125"/>
      <c r="EU125"/>
      <c r="EV125"/>
      <c r="EW125"/>
      <c r="EX125"/>
      <c r="EY125"/>
      <c r="EZ125"/>
      <c r="FA125"/>
      <c r="FB125"/>
      <c r="FC125"/>
      <c r="FD125"/>
      <c r="FE125"/>
      <c r="FF125"/>
      <c r="FG125"/>
      <c r="FH125"/>
      <c r="FI125"/>
      <c r="FJ125"/>
      <c r="FK125"/>
      <c r="FL125"/>
      <c r="FM125"/>
      <c r="FN125"/>
      <c r="FO125"/>
      <c r="FP125"/>
      <c r="FQ125"/>
      <c r="FR125"/>
      <c r="FS125"/>
      <c r="FT125"/>
      <c r="FU125"/>
      <c r="FV125"/>
      <c r="FW125"/>
      <c r="FX125"/>
      <c r="FY125"/>
      <c r="FZ125"/>
      <c r="GA125"/>
      <c r="GB125"/>
      <c r="GC125"/>
      <c r="GD125"/>
      <c r="GE125"/>
      <c r="GF125"/>
      <c r="GG125"/>
      <c r="GH125"/>
      <c r="GI125"/>
      <c r="GJ125"/>
      <c r="GK125"/>
      <c r="GL125"/>
      <c r="GM125"/>
      <c r="GN125"/>
      <c r="GO125"/>
      <c r="GP125"/>
      <c r="GQ125"/>
      <c r="GR125"/>
      <c r="GS125"/>
      <c r="GT125"/>
      <c r="GU125"/>
      <c r="GV125"/>
      <c r="GW125"/>
      <c r="GX125"/>
      <c r="GY125"/>
      <c r="GZ125"/>
      <c r="HA125"/>
      <c r="HB125"/>
      <c r="HC125"/>
      <c r="HD125"/>
      <c r="HE125"/>
      <c r="HF125"/>
      <c r="HG125"/>
      <c r="HH125"/>
      <c r="HI125"/>
      <c r="HJ125"/>
      <c r="HK125"/>
      <c r="HL125"/>
      <c r="HM125"/>
      <c r="HN125"/>
      <c r="HO125"/>
      <c r="HP125"/>
      <c r="HQ125"/>
      <c r="HR125"/>
      <c r="HS125"/>
      <c r="HT125"/>
      <c r="HU125"/>
      <c r="HV125"/>
      <c r="HW125"/>
      <c r="HX125"/>
      <c r="HY125"/>
      <c r="HZ125"/>
      <c r="IA125"/>
      <c r="IB125"/>
      <c r="IC125"/>
      <c r="ID125"/>
      <c r="IE125"/>
      <c r="IF125"/>
      <c r="IG125"/>
      <c r="IH125"/>
      <c r="II125"/>
      <c r="IJ125"/>
      <c r="IK125"/>
      <c r="IL125"/>
      <c r="IM125"/>
      <c r="IN125"/>
      <c r="IO125"/>
      <c r="IP125"/>
      <c r="IQ125"/>
      <c r="IR125"/>
      <c r="IS125"/>
      <c r="IT125"/>
      <c r="IU125"/>
      <c r="IV125"/>
      <c r="IW125"/>
      <c r="IX125"/>
      <c r="IY125"/>
      <c r="IZ125"/>
      <c r="JA125"/>
      <c r="JB125"/>
      <c r="JC125"/>
      <c r="JD125"/>
      <c r="JE125"/>
      <c r="JF125"/>
      <c r="JG125"/>
      <c r="JH125"/>
      <c r="JI125"/>
      <c r="JJ125"/>
      <c r="JK125"/>
      <c r="JL125"/>
      <c r="JM125"/>
      <c r="JN125"/>
      <c r="JO125"/>
      <c r="JP125"/>
      <c r="JQ125"/>
      <c r="JR125"/>
      <c r="JS125"/>
      <c r="JT125"/>
      <c r="JU125"/>
      <c r="JV125"/>
      <c r="JW125"/>
      <c r="JX125"/>
      <c r="JY125"/>
      <c r="JZ125"/>
      <c r="KA125"/>
      <c r="KB125"/>
      <c r="KC125"/>
      <c r="KD125"/>
      <c r="KE125"/>
      <c r="KF125"/>
      <c r="KG125"/>
      <c r="KH125"/>
      <c r="KI125"/>
      <c r="KJ125"/>
      <c r="KK125"/>
      <c r="KL125"/>
      <c r="KM125"/>
      <c r="KN125"/>
      <c r="KO125"/>
      <c r="KP125"/>
      <c r="KQ125"/>
      <c r="KR125"/>
      <c r="KS125"/>
      <c r="KT125"/>
      <c r="KU125"/>
      <c r="KV125"/>
      <c r="KW125"/>
      <c r="KX125"/>
      <c r="KY125"/>
      <c r="KZ125"/>
      <c r="LA125"/>
      <c r="LB125"/>
      <c r="LC125"/>
      <c r="LD125"/>
      <c r="LE125"/>
      <c r="LF125"/>
      <c r="LG125"/>
      <c r="LH125"/>
      <c r="LI125"/>
      <c r="LJ125"/>
      <c r="LK125"/>
      <c r="LL125"/>
      <c r="LM125"/>
      <c r="LN125"/>
      <c r="LO125"/>
      <c r="LP125"/>
      <c r="LQ125"/>
      <c r="LR125"/>
      <c r="LS125"/>
      <c r="LT125"/>
      <c r="LU125"/>
      <c r="LV125"/>
      <c r="LW125"/>
      <c r="LX125"/>
      <c r="LY125"/>
      <c r="LZ125"/>
      <c r="MA125"/>
      <c r="MB125"/>
      <c r="MC125"/>
      <c r="MD125"/>
      <c r="ME125"/>
      <c r="MF125"/>
      <c r="MG125"/>
      <c r="MH125"/>
      <c r="MI125"/>
      <c r="MJ125"/>
      <c r="MK125"/>
      <c r="ML125"/>
      <c r="MM125"/>
      <c r="MN125"/>
      <c r="MO125"/>
      <c r="MP125"/>
      <c r="MQ125"/>
      <c r="MR125"/>
      <c r="MS125"/>
      <c r="MT125"/>
      <c r="MU125"/>
      <c r="MV125"/>
      <c r="MW125"/>
      <c r="MX125"/>
      <c r="MY125"/>
      <c r="MZ125"/>
      <c r="NA125"/>
      <c r="NB125"/>
      <c r="NC125"/>
      <c r="ND125"/>
      <c r="NE125"/>
      <c r="NF125"/>
      <c r="NG125"/>
      <c r="NH125"/>
      <c r="NI125"/>
      <c r="NJ125"/>
      <c r="NK125"/>
      <c r="NL125"/>
      <c r="NM125"/>
      <c r="NN125"/>
      <c r="NO125"/>
      <c r="NP125"/>
      <c r="NQ125"/>
      <c r="NR125"/>
      <c r="NS125"/>
      <c r="NT125"/>
      <c r="NU125"/>
      <c r="NV125"/>
      <c r="NW125"/>
      <c r="NX125"/>
      <c r="NY125"/>
      <c r="NZ125"/>
      <c r="OA125"/>
      <c r="OB125"/>
      <c r="OC125"/>
      <c r="OD125"/>
      <c r="OE125"/>
      <c r="OF125"/>
      <c r="OG125"/>
      <c r="OH125"/>
      <c r="OI125"/>
      <c r="OJ125"/>
      <c r="OK125"/>
      <c r="OL125"/>
      <c r="OM125"/>
      <c r="ON125"/>
      <c r="OO125"/>
      <c r="OP125"/>
      <c r="OQ125"/>
      <c r="OR125"/>
      <c r="OS125"/>
      <c r="OT125"/>
      <c r="OU125"/>
      <c r="OV125"/>
      <c r="OW125"/>
      <c r="OX125"/>
      <c r="OY125"/>
      <c r="OZ125"/>
      <c r="PA125"/>
      <c r="PB125"/>
      <c r="PC125"/>
      <c r="PD125"/>
      <c r="PE125"/>
      <c r="PF125"/>
      <c r="PG125"/>
      <c r="PH125"/>
      <c r="PI125"/>
      <c r="PJ125"/>
      <c r="PK125"/>
      <c r="PL125"/>
      <c r="PM125"/>
      <c r="PN125"/>
      <c r="PO125"/>
      <c r="PP125"/>
      <c r="PQ125"/>
      <c r="PR125"/>
      <c r="PS125"/>
      <c r="PT125"/>
      <c r="PU125"/>
      <c r="PV125"/>
      <c r="PW125"/>
      <c r="PX125"/>
      <c r="PY125"/>
      <c r="PZ125"/>
      <c r="QA125"/>
      <c r="QB125"/>
      <c r="QC125"/>
      <c r="QD125"/>
      <c r="QE125"/>
      <c r="QF125"/>
      <c r="QG125"/>
      <c r="QH125"/>
      <c r="QI125"/>
      <c r="QJ125"/>
      <c r="QK125"/>
      <c r="QL125"/>
      <c r="QM125"/>
      <c r="QN125"/>
      <c r="QO125"/>
      <c r="QP125"/>
      <c r="QQ125"/>
      <c r="QR125"/>
      <c r="QS125"/>
      <c r="QT125"/>
      <c r="QU125"/>
      <c r="QV125"/>
      <c r="QW125"/>
      <c r="QX125"/>
      <c r="QY125"/>
      <c r="QZ125"/>
      <c r="RA125"/>
      <c r="RB125"/>
      <c r="RC125"/>
      <c r="RD125"/>
      <c r="RE125"/>
      <c r="RF125"/>
      <c r="RG125"/>
      <c r="RH125"/>
      <c r="RI125"/>
      <c r="RJ125"/>
      <c r="RK125"/>
      <c r="RL125"/>
      <c r="RM125"/>
      <c r="RN125"/>
      <c r="RO125"/>
      <c r="RP125"/>
      <c r="RQ125"/>
      <c r="RR125"/>
      <c r="RS125"/>
    </row>
    <row r="126" spans="3:487" x14ac:dyDescent="0.25">
      <c r="C126" s="2" t="s">
        <v>284</v>
      </c>
      <c r="D126" s="34">
        <v>1</v>
      </c>
      <c r="F126" s="2" t="s">
        <v>164</v>
      </c>
      <c r="G126" s="34">
        <v>1</v>
      </c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  <c r="DU126"/>
      <c r="DV126"/>
      <c r="DW126"/>
      <c r="DX126"/>
      <c r="DY126"/>
      <c r="DZ126"/>
      <c r="EA126"/>
      <c r="EB126"/>
      <c r="EC126"/>
      <c r="ED126"/>
      <c r="EE126"/>
      <c r="EF126"/>
      <c r="EG126"/>
      <c r="EH126"/>
      <c r="EI126"/>
      <c r="EJ126"/>
      <c r="EK126"/>
      <c r="EL126"/>
      <c r="EM126"/>
      <c r="EN126"/>
      <c r="EO126"/>
      <c r="EP126"/>
      <c r="EQ126"/>
      <c r="ER126"/>
      <c r="ES126"/>
      <c r="ET126"/>
      <c r="EU126"/>
      <c r="EV126"/>
      <c r="EW126"/>
      <c r="EX126"/>
      <c r="EY126"/>
      <c r="EZ126"/>
      <c r="FA126"/>
      <c r="FB126"/>
      <c r="FC126"/>
      <c r="FD126"/>
      <c r="FE126"/>
      <c r="FF126"/>
      <c r="FG126"/>
      <c r="FH126"/>
      <c r="FI126"/>
      <c r="FJ126"/>
      <c r="FK126"/>
      <c r="FL126"/>
      <c r="FM126"/>
      <c r="FN126"/>
      <c r="FO126"/>
      <c r="FP126"/>
      <c r="FQ126"/>
      <c r="FR126"/>
      <c r="FS126"/>
      <c r="FT126"/>
      <c r="FU126"/>
      <c r="FV126"/>
      <c r="FW126"/>
      <c r="FX126"/>
      <c r="FY126"/>
      <c r="FZ126"/>
      <c r="GA126"/>
      <c r="GB126"/>
      <c r="GC126"/>
      <c r="GD126"/>
      <c r="GE126"/>
      <c r="GF126"/>
      <c r="GG126"/>
      <c r="GH126"/>
      <c r="GI126"/>
      <c r="GJ126"/>
      <c r="GK126"/>
      <c r="GL126"/>
      <c r="GM126"/>
      <c r="GN126"/>
      <c r="GO126"/>
      <c r="GP126"/>
      <c r="GQ126"/>
      <c r="GR126"/>
      <c r="GS126"/>
      <c r="GT126"/>
      <c r="GU126"/>
      <c r="GV126"/>
      <c r="GW126"/>
      <c r="GX126"/>
      <c r="GY126"/>
      <c r="GZ126"/>
      <c r="HA126"/>
      <c r="HB126"/>
      <c r="HC126"/>
      <c r="HD126"/>
      <c r="HE126"/>
      <c r="HF126"/>
      <c r="HG126"/>
      <c r="HH126"/>
      <c r="HI126"/>
      <c r="HJ126"/>
      <c r="HK126"/>
      <c r="HL126"/>
      <c r="HM126"/>
      <c r="HN126"/>
      <c r="HO126"/>
      <c r="HP126"/>
      <c r="HQ126"/>
      <c r="HR126"/>
      <c r="HS126"/>
      <c r="HT126"/>
      <c r="HU126"/>
      <c r="HV126"/>
      <c r="HW126"/>
      <c r="HX126"/>
      <c r="HY126"/>
      <c r="HZ126"/>
      <c r="IA126"/>
      <c r="IB126"/>
      <c r="IC126"/>
      <c r="ID126"/>
      <c r="IE126"/>
      <c r="IF126"/>
      <c r="IG126"/>
      <c r="IH126"/>
      <c r="II126"/>
      <c r="IJ126"/>
      <c r="IK126"/>
      <c r="IL126"/>
      <c r="IM126"/>
      <c r="IN126"/>
      <c r="IO126"/>
      <c r="IP126"/>
      <c r="IQ126"/>
      <c r="IR126"/>
      <c r="IS126"/>
      <c r="IT126"/>
      <c r="IU126"/>
      <c r="IV126"/>
      <c r="IW126"/>
      <c r="IX126"/>
      <c r="IY126"/>
      <c r="IZ126"/>
      <c r="JA126"/>
      <c r="JB126"/>
      <c r="JC126"/>
      <c r="JD126"/>
      <c r="JE126"/>
      <c r="JF126"/>
      <c r="JG126"/>
      <c r="JH126"/>
      <c r="JI126"/>
      <c r="JJ126"/>
      <c r="JK126"/>
      <c r="JL126"/>
      <c r="JM126"/>
      <c r="JN126"/>
      <c r="JO126"/>
      <c r="JP126"/>
      <c r="JQ126"/>
      <c r="JR126"/>
      <c r="JS126"/>
      <c r="JT126"/>
      <c r="JU126"/>
      <c r="JV126"/>
      <c r="JW126"/>
      <c r="JX126"/>
      <c r="JY126"/>
      <c r="JZ126"/>
      <c r="KA126"/>
      <c r="KB126"/>
      <c r="KC126"/>
      <c r="KD126"/>
      <c r="KE126"/>
      <c r="KF126"/>
      <c r="KG126"/>
      <c r="KH126"/>
      <c r="KI126"/>
      <c r="KJ126"/>
      <c r="KK126"/>
      <c r="KL126"/>
      <c r="KM126"/>
      <c r="KN126"/>
      <c r="KO126"/>
      <c r="KP126"/>
      <c r="KQ126"/>
      <c r="KR126"/>
      <c r="KS126"/>
      <c r="KT126"/>
      <c r="KU126"/>
      <c r="KV126"/>
      <c r="KW126"/>
      <c r="KX126"/>
      <c r="KY126"/>
      <c r="KZ126"/>
      <c r="LA126"/>
      <c r="LB126"/>
      <c r="LC126"/>
      <c r="LD126"/>
      <c r="LE126"/>
      <c r="LF126"/>
      <c r="LG126"/>
      <c r="LH126"/>
      <c r="LI126"/>
      <c r="LJ126"/>
      <c r="LK126"/>
      <c r="LL126"/>
      <c r="LM126"/>
      <c r="LN126"/>
      <c r="LO126"/>
      <c r="LP126"/>
      <c r="LQ126"/>
      <c r="LR126"/>
      <c r="LS126"/>
      <c r="LT126"/>
      <c r="LU126"/>
      <c r="LV126"/>
      <c r="LW126"/>
      <c r="LX126"/>
      <c r="LY126"/>
      <c r="LZ126"/>
      <c r="MA126"/>
      <c r="MB126"/>
      <c r="MC126"/>
      <c r="MD126"/>
      <c r="ME126"/>
      <c r="MF126"/>
      <c r="MG126"/>
      <c r="MH126"/>
      <c r="MI126"/>
      <c r="MJ126"/>
      <c r="MK126"/>
      <c r="ML126"/>
      <c r="MM126"/>
      <c r="MN126"/>
      <c r="MO126"/>
      <c r="MP126"/>
      <c r="MQ126"/>
      <c r="MR126"/>
      <c r="MS126"/>
      <c r="MT126"/>
      <c r="MU126"/>
      <c r="MV126"/>
      <c r="MW126"/>
      <c r="MX126"/>
      <c r="MY126"/>
      <c r="MZ126"/>
      <c r="NA126"/>
      <c r="NB126"/>
      <c r="NC126"/>
      <c r="ND126"/>
      <c r="NE126"/>
      <c r="NF126"/>
      <c r="NG126"/>
      <c r="NH126"/>
      <c r="NI126"/>
      <c r="NJ126"/>
      <c r="NK126"/>
      <c r="NL126"/>
      <c r="NM126"/>
      <c r="NN126"/>
      <c r="NO126"/>
      <c r="NP126"/>
      <c r="NQ126"/>
      <c r="NR126"/>
      <c r="NS126"/>
      <c r="NT126"/>
      <c r="NU126"/>
      <c r="NV126"/>
      <c r="NW126"/>
      <c r="NX126"/>
      <c r="NY126"/>
      <c r="NZ126"/>
      <c r="OA126"/>
      <c r="OB126"/>
      <c r="OC126"/>
      <c r="OD126"/>
      <c r="OE126"/>
      <c r="OF126"/>
      <c r="OG126"/>
      <c r="OH126"/>
      <c r="OI126"/>
      <c r="OJ126"/>
      <c r="OK126"/>
      <c r="OL126"/>
      <c r="OM126"/>
      <c r="ON126"/>
      <c r="OO126"/>
      <c r="OP126"/>
      <c r="OQ126"/>
      <c r="OR126"/>
      <c r="OS126"/>
      <c r="OT126"/>
      <c r="OU126"/>
      <c r="OV126"/>
      <c r="OW126"/>
      <c r="OX126"/>
      <c r="OY126"/>
      <c r="OZ126"/>
      <c r="PA126"/>
      <c r="PB126"/>
      <c r="PC126"/>
      <c r="PD126"/>
      <c r="PE126"/>
      <c r="PF126"/>
      <c r="PG126"/>
      <c r="PH126"/>
      <c r="PI126"/>
      <c r="PJ126"/>
      <c r="PK126"/>
      <c r="PL126"/>
      <c r="PM126"/>
      <c r="PN126"/>
      <c r="PO126"/>
      <c r="PP126"/>
      <c r="PQ126"/>
      <c r="PR126"/>
      <c r="PS126"/>
      <c r="PT126"/>
      <c r="PU126"/>
      <c r="PV126"/>
      <c r="PW126"/>
      <c r="PX126"/>
      <c r="PY126"/>
      <c r="PZ126"/>
      <c r="QA126"/>
      <c r="QB126"/>
      <c r="QC126"/>
      <c r="QD126"/>
      <c r="QE126"/>
      <c r="QF126"/>
      <c r="QG126"/>
      <c r="QH126"/>
      <c r="QI126"/>
      <c r="QJ126"/>
      <c r="QK126"/>
      <c r="QL126"/>
      <c r="QM126"/>
      <c r="QN126"/>
      <c r="QO126"/>
      <c r="QP126"/>
      <c r="QQ126"/>
      <c r="QR126"/>
      <c r="QS126"/>
      <c r="QT126"/>
      <c r="QU126"/>
      <c r="QV126"/>
      <c r="QW126"/>
      <c r="QX126"/>
      <c r="QY126"/>
      <c r="QZ126"/>
      <c r="RA126"/>
      <c r="RB126"/>
      <c r="RC126"/>
      <c r="RD126"/>
      <c r="RE126"/>
      <c r="RF126"/>
      <c r="RG126"/>
      <c r="RH126"/>
      <c r="RI126"/>
      <c r="RJ126"/>
      <c r="RK126"/>
      <c r="RL126"/>
      <c r="RM126"/>
      <c r="RN126"/>
      <c r="RO126"/>
      <c r="RP126"/>
      <c r="RQ126"/>
      <c r="RR126"/>
      <c r="RS126"/>
    </row>
    <row r="127" spans="3:487" x14ac:dyDescent="0.25">
      <c r="C127" s="2" t="s">
        <v>214</v>
      </c>
      <c r="D127" s="34">
        <v>1</v>
      </c>
      <c r="F127" s="2" t="s">
        <v>3745</v>
      </c>
      <c r="G127" s="34">
        <v>1</v>
      </c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  <c r="DU127"/>
      <c r="DV127"/>
      <c r="DW127"/>
      <c r="DX127"/>
      <c r="DY127"/>
      <c r="DZ127"/>
      <c r="EA127"/>
      <c r="EB127"/>
      <c r="EC127"/>
      <c r="ED127"/>
      <c r="EE127"/>
      <c r="EF127"/>
      <c r="EG127"/>
      <c r="EH127"/>
      <c r="EI127"/>
      <c r="EJ127"/>
      <c r="EK127"/>
      <c r="EL127"/>
      <c r="EM127"/>
      <c r="EN127"/>
      <c r="EO127"/>
      <c r="EP127"/>
      <c r="EQ127"/>
      <c r="ER127"/>
      <c r="ES127"/>
      <c r="ET127"/>
      <c r="EU127"/>
      <c r="EV127"/>
      <c r="EW127"/>
      <c r="EX127"/>
      <c r="EY127"/>
      <c r="EZ127"/>
      <c r="FA127"/>
      <c r="FB127"/>
      <c r="FC127"/>
      <c r="FD127"/>
      <c r="FE127"/>
      <c r="FF127"/>
      <c r="FG127"/>
      <c r="FH127"/>
      <c r="FI127"/>
      <c r="FJ127"/>
      <c r="FK127"/>
      <c r="FL127"/>
      <c r="FM127"/>
      <c r="FN127"/>
      <c r="FO127"/>
      <c r="FP127"/>
      <c r="FQ127"/>
      <c r="FR127"/>
      <c r="FS127"/>
      <c r="FT127"/>
      <c r="FU127"/>
      <c r="FV127"/>
      <c r="FW127"/>
      <c r="FX127"/>
      <c r="FY127"/>
      <c r="FZ127"/>
      <c r="GA127"/>
      <c r="GB127"/>
      <c r="GC127"/>
      <c r="GD127"/>
      <c r="GE127"/>
      <c r="GF127"/>
      <c r="GG127"/>
      <c r="GH127"/>
      <c r="GI127"/>
      <c r="GJ127"/>
      <c r="GK127"/>
      <c r="GL127"/>
      <c r="GM127"/>
      <c r="GN127"/>
      <c r="GO127"/>
      <c r="GP127"/>
      <c r="GQ127"/>
      <c r="GR127"/>
      <c r="GS127"/>
      <c r="GT127"/>
      <c r="GU127"/>
      <c r="GV127"/>
      <c r="GW127"/>
      <c r="GX127"/>
      <c r="GY127"/>
      <c r="GZ127"/>
      <c r="HA127"/>
      <c r="HB127"/>
      <c r="HC127"/>
      <c r="HD127"/>
      <c r="HE127"/>
      <c r="HF127"/>
      <c r="HG127"/>
      <c r="HH127"/>
      <c r="HI127"/>
      <c r="HJ127"/>
      <c r="HK127"/>
      <c r="HL127"/>
      <c r="HM127"/>
      <c r="HN127"/>
      <c r="HO127"/>
      <c r="HP127"/>
      <c r="HQ127"/>
      <c r="HR127"/>
      <c r="HS127"/>
      <c r="HT127"/>
      <c r="HU127"/>
      <c r="HV127"/>
      <c r="HW127"/>
      <c r="HX127"/>
      <c r="HY127"/>
      <c r="HZ127"/>
      <c r="IA127"/>
      <c r="IB127"/>
      <c r="IC127"/>
      <c r="ID127"/>
      <c r="IE127"/>
      <c r="IF127"/>
      <c r="IG127"/>
      <c r="IH127"/>
      <c r="II127"/>
      <c r="IJ127"/>
      <c r="IK127"/>
      <c r="IL127"/>
      <c r="IM127"/>
      <c r="IN127"/>
      <c r="IO127"/>
      <c r="IP127"/>
      <c r="IQ127"/>
      <c r="IR127"/>
      <c r="IS127"/>
      <c r="IT127"/>
      <c r="IU127"/>
      <c r="IV127"/>
      <c r="IW127"/>
      <c r="IX127"/>
      <c r="IY127"/>
      <c r="IZ127"/>
      <c r="JA127"/>
      <c r="JB127"/>
      <c r="JC127"/>
      <c r="JD127"/>
      <c r="JE127"/>
      <c r="JF127"/>
      <c r="JG127"/>
      <c r="JH127"/>
      <c r="JI127"/>
      <c r="JJ127"/>
      <c r="JK127"/>
      <c r="JL127"/>
      <c r="JM127"/>
      <c r="JN127"/>
      <c r="JO127"/>
      <c r="JP127"/>
      <c r="JQ127"/>
      <c r="JR127"/>
      <c r="JS127"/>
      <c r="JT127"/>
      <c r="JU127"/>
      <c r="JV127"/>
      <c r="JW127"/>
      <c r="JX127"/>
      <c r="JY127"/>
      <c r="JZ127"/>
      <c r="KA127"/>
      <c r="KB127"/>
      <c r="KC127"/>
      <c r="KD127"/>
      <c r="KE127"/>
      <c r="KF127"/>
      <c r="KG127"/>
      <c r="KH127"/>
      <c r="KI127"/>
      <c r="KJ127"/>
      <c r="KK127"/>
      <c r="KL127"/>
      <c r="KM127"/>
      <c r="KN127"/>
      <c r="KO127"/>
      <c r="KP127"/>
      <c r="KQ127"/>
      <c r="KR127"/>
      <c r="KS127"/>
      <c r="KT127"/>
      <c r="KU127"/>
      <c r="KV127"/>
      <c r="KW127"/>
      <c r="KX127"/>
      <c r="KY127"/>
      <c r="KZ127"/>
      <c r="LA127"/>
      <c r="LB127"/>
      <c r="LC127"/>
      <c r="LD127"/>
      <c r="LE127"/>
      <c r="LF127"/>
      <c r="LG127"/>
      <c r="LH127"/>
      <c r="LI127"/>
      <c r="LJ127"/>
      <c r="LK127"/>
      <c r="LL127"/>
      <c r="LM127"/>
      <c r="LN127"/>
      <c r="LO127"/>
      <c r="LP127"/>
      <c r="LQ127"/>
      <c r="LR127"/>
      <c r="LS127"/>
      <c r="LT127"/>
      <c r="LU127"/>
      <c r="LV127"/>
      <c r="LW127"/>
      <c r="LX127"/>
      <c r="LY127"/>
      <c r="LZ127"/>
      <c r="MA127"/>
      <c r="MB127"/>
      <c r="MC127"/>
      <c r="MD127"/>
      <c r="ME127"/>
      <c r="MF127"/>
      <c r="MG127"/>
      <c r="MH127"/>
      <c r="MI127"/>
      <c r="MJ127"/>
      <c r="MK127"/>
      <c r="ML127"/>
      <c r="MM127"/>
      <c r="MN127"/>
      <c r="MO127"/>
      <c r="MP127"/>
      <c r="MQ127"/>
      <c r="MR127"/>
      <c r="MS127"/>
      <c r="MT127"/>
      <c r="MU127"/>
      <c r="MV127"/>
      <c r="MW127"/>
      <c r="MX127"/>
      <c r="MY127"/>
      <c r="MZ127"/>
      <c r="NA127"/>
      <c r="NB127"/>
      <c r="NC127"/>
      <c r="ND127"/>
      <c r="NE127"/>
      <c r="NF127"/>
      <c r="NG127"/>
      <c r="NH127"/>
      <c r="NI127"/>
      <c r="NJ127"/>
      <c r="NK127"/>
      <c r="NL127"/>
      <c r="NM127"/>
      <c r="NN127"/>
      <c r="NO127"/>
      <c r="NP127"/>
      <c r="NQ127"/>
      <c r="NR127"/>
      <c r="NS127"/>
      <c r="NT127"/>
      <c r="NU127"/>
      <c r="NV127"/>
      <c r="NW127"/>
      <c r="NX127"/>
      <c r="NY127"/>
      <c r="NZ127"/>
      <c r="OA127"/>
      <c r="OB127"/>
      <c r="OC127"/>
      <c r="OD127"/>
      <c r="OE127"/>
      <c r="OF127"/>
      <c r="OG127"/>
      <c r="OH127"/>
      <c r="OI127"/>
      <c r="OJ127"/>
      <c r="OK127"/>
      <c r="OL127"/>
      <c r="OM127"/>
      <c r="ON127"/>
      <c r="OO127"/>
      <c r="OP127"/>
      <c r="OQ127"/>
      <c r="OR127"/>
      <c r="OS127"/>
      <c r="OT127"/>
      <c r="OU127"/>
      <c r="OV127"/>
      <c r="OW127"/>
      <c r="OX127"/>
      <c r="OY127"/>
      <c r="OZ127"/>
      <c r="PA127"/>
      <c r="PB127"/>
      <c r="PC127"/>
      <c r="PD127"/>
      <c r="PE127"/>
      <c r="PF127"/>
      <c r="PG127"/>
      <c r="PH127"/>
      <c r="PI127"/>
      <c r="PJ127"/>
      <c r="PK127"/>
      <c r="PL127"/>
      <c r="PM127"/>
      <c r="PN127"/>
      <c r="PO127"/>
      <c r="PP127"/>
      <c r="PQ127"/>
      <c r="PR127"/>
      <c r="PS127"/>
      <c r="PT127"/>
      <c r="PU127"/>
      <c r="PV127"/>
      <c r="PW127"/>
      <c r="PX127"/>
      <c r="PY127"/>
      <c r="PZ127"/>
      <c r="QA127"/>
      <c r="QB127"/>
      <c r="QC127"/>
      <c r="QD127"/>
      <c r="QE127"/>
      <c r="QF127"/>
      <c r="QG127"/>
      <c r="QH127"/>
      <c r="QI127"/>
      <c r="QJ127"/>
      <c r="QK127"/>
      <c r="QL127"/>
      <c r="QM127"/>
      <c r="QN127"/>
      <c r="QO127"/>
      <c r="QP127"/>
      <c r="QQ127"/>
      <c r="QR127"/>
      <c r="QS127"/>
      <c r="QT127"/>
      <c r="QU127"/>
      <c r="QV127"/>
      <c r="QW127"/>
      <c r="QX127"/>
      <c r="QY127"/>
      <c r="QZ127"/>
      <c r="RA127"/>
      <c r="RB127"/>
      <c r="RC127"/>
      <c r="RD127"/>
      <c r="RE127"/>
      <c r="RF127"/>
      <c r="RG127"/>
      <c r="RH127"/>
      <c r="RI127"/>
      <c r="RJ127"/>
      <c r="RK127"/>
      <c r="RL127"/>
      <c r="RM127"/>
      <c r="RN127"/>
      <c r="RO127"/>
      <c r="RP127"/>
      <c r="RQ127"/>
      <c r="RR127"/>
      <c r="RS127"/>
    </row>
    <row r="128" spans="3:487" x14ac:dyDescent="0.25">
      <c r="C128" s="2" t="s">
        <v>259</v>
      </c>
      <c r="D128" s="34">
        <v>1</v>
      </c>
      <c r="F128" s="2" t="s">
        <v>709</v>
      </c>
      <c r="G128" s="34">
        <v>1</v>
      </c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  <c r="DU128"/>
      <c r="DV128"/>
      <c r="DW128"/>
      <c r="DX128"/>
      <c r="DY128"/>
      <c r="DZ128"/>
      <c r="EA128"/>
      <c r="EB128"/>
      <c r="EC128"/>
      <c r="ED128"/>
      <c r="EE128"/>
      <c r="EF128"/>
      <c r="EG128"/>
      <c r="EH128"/>
      <c r="EI128"/>
      <c r="EJ128"/>
      <c r="EK128"/>
      <c r="EL128"/>
      <c r="EM128"/>
      <c r="EN128"/>
      <c r="EO128"/>
      <c r="EP128"/>
      <c r="EQ128"/>
      <c r="ER128"/>
      <c r="ES128"/>
      <c r="ET128"/>
      <c r="EU128"/>
      <c r="EV128"/>
      <c r="EW128"/>
      <c r="EX128"/>
      <c r="EY128"/>
      <c r="EZ128"/>
      <c r="FA128"/>
      <c r="FB128"/>
      <c r="FC128"/>
      <c r="FD128"/>
      <c r="FE128"/>
      <c r="FF128"/>
      <c r="FG128"/>
      <c r="FH128"/>
      <c r="FI128"/>
      <c r="FJ128"/>
      <c r="FK128"/>
      <c r="FL128"/>
      <c r="FM128"/>
      <c r="FN128"/>
      <c r="FO128"/>
      <c r="FP128"/>
      <c r="FQ128"/>
      <c r="FR128"/>
      <c r="FS128"/>
      <c r="FT128"/>
      <c r="FU128"/>
      <c r="FV128"/>
      <c r="FW128"/>
      <c r="FX128"/>
      <c r="FY128"/>
      <c r="FZ128"/>
      <c r="GA128"/>
      <c r="GB128"/>
      <c r="GC128"/>
      <c r="GD128"/>
      <c r="GE128"/>
      <c r="GF128"/>
      <c r="GG128"/>
      <c r="GH128"/>
      <c r="GI128"/>
      <c r="GJ128"/>
      <c r="GK128"/>
      <c r="GL128"/>
      <c r="GM128"/>
      <c r="GN128"/>
      <c r="GO128"/>
      <c r="GP128"/>
      <c r="GQ128"/>
      <c r="GR128"/>
      <c r="GS128"/>
      <c r="GT128"/>
      <c r="GU128"/>
      <c r="GV128"/>
      <c r="GW128"/>
      <c r="GX128"/>
      <c r="GY128"/>
      <c r="GZ128"/>
      <c r="HA128"/>
      <c r="HB128"/>
      <c r="HC128"/>
      <c r="HD128"/>
      <c r="HE128"/>
      <c r="HF128"/>
      <c r="HG128"/>
      <c r="HH128"/>
      <c r="HI128"/>
      <c r="HJ128"/>
      <c r="HK128"/>
      <c r="HL128"/>
      <c r="HM128"/>
      <c r="HN128"/>
      <c r="HO128"/>
      <c r="HP128"/>
      <c r="HQ128"/>
      <c r="HR128"/>
      <c r="HS128"/>
      <c r="HT128"/>
      <c r="HU128"/>
      <c r="HV128"/>
      <c r="HW128"/>
      <c r="HX128"/>
      <c r="HY128"/>
      <c r="HZ128"/>
      <c r="IA128"/>
      <c r="IB128"/>
      <c r="IC128"/>
      <c r="ID128"/>
      <c r="IE128"/>
      <c r="IF128"/>
      <c r="IG128"/>
      <c r="IH128"/>
      <c r="II128"/>
      <c r="IJ128"/>
      <c r="IK128"/>
      <c r="IL128"/>
      <c r="IM128"/>
      <c r="IN128"/>
      <c r="IO128"/>
      <c r="IP128"/>
      <c r="IQ128"/>
      <c r="IR128"/>
      <c r="IS128"/>
      <c r="IT128"/>
      <c r="IU128"/>
      <c r="IV128"/>
      <c r="IW128"/>
      <c r="IX128"/>
      <c r="IY128"/>
      <c r="IZ128"/>
      <c r="JA128"/>
      <c r="JB128"/>
      <c r="JC128"/>
      <c r="JD128"/>
      <c r="JE128"/>
      <c r="JF128"/>
      <c r="JG128"/>
      <c r="JH128"/>
      <c r="JI128"/>
      <c r="JJ128"/>
      <c r="JK128"/>
      <c r="JL128"/>
      <c r="JM128"/>
      <c r="JN128"/>
      <c r="JO128"/>
      <c r="JP128"/>
      <c r="JQ128"/>
      <c r="JR128"/>
      <c r="JS128"/>
      <c r="JT128"/>
      <c r="JU128"/>
      <c r="JV128"/>
      <c r="JW128"/>
      <c r="JX128"/>
      <c r="JY128"/>
      <c r="JZ128"/>
      <c r="KA128"/>
      <c r="KB128"/>
      <c r="KC128"/>
      <c r="KD128"/>
      <c r="KE128"/>
      <c r="KF128"/>
      <c r="KG128"/>
      <c r="KH128"/>
      <c r="KI128"/>
      <c r="KJ128"/>
      <c r="KK128"/>
      <c r="KL128"/>
      <c r="KM128"/>
      <c r="KN128"/>
      <c r="KO128"/>
      <c r="KP128"/>
      <c r="KQ128"/>
      <c r="KR128"/>
      <c r="KS128"/>
      <c r="KT128"/>
      <c r="KU128"/>
      <c r="KV128"/>
      <c r="KW128"/>
      <c r="KX128"/>
      <c r="KY128"/>
      <c r="KZ128"/>
      <c r="LA128"/>
      <c r="LB128"/>
      <c r="LC128"/>
      <c r="LD128"/>
      <c r="LE128"/>
      <c r="LF128"/>
      <c r="LG128"/>
      <c r="LH128"/>
      <c r="LI128"/>
      <c r="LJ128"/>
      <c r="LK128"/>
      <c r="LL128"/>
      <c r="LM128"/>
      <c r="LN128"/>
      <c r="LO128"/>
      <c r="LP128"/>
      <c r="LQ128"/>
      <c r="LR128"/>
      <c r="LS128"/>
      <c r="LT128"/>
      <c r="LU128"/>
      <c r="LV128"/>
      <c r="LW128"/>
      <c r="LX128"/>
      <c r="LY128"/>
      <c r="LZ128"/>
      <c r="MA128"/>
      <c r="MB128"/>
      <c r="MC128"/>
      <c r="MD128"/>
      <c r="ME128"/>
      <c r="MF128"/>
      <c r="MG128"/>
      <c r="MH128"/>
      <c r="MI128"/>
      <c r="MJ128"/>
      <c r="MK128"/>
      <c r="ML128"/>
      <c r="MM128"/>
      <c r="MN128"/>
      <c r="MO128"/>
      <c r="MP128"/>
      <c r="MQ128"/>
      <c r="MR128"/>
      <c r="MS128"/>
      <c r="MT128"/>
      <c r="MU128"/>
      <c r="MV128"/>
      <c r="MW128"/>
      <c r="MX128"/>
      <c r="MY128"/>
      <c r="MZ128"/>
      <c r="NA128"/>
      <c r="NB128"/>
      <c r="NC128"/>
      <c r="ND128"/>
      <c r="NE128"/>
      <c r="NF128"/>
      <c r="NG128"/>
      <c r="NH128"/>
      <c r="NI128"/>
      <c r="NJ128"/>
      <c r="NK128"/>
      <c r="NL128"/>
      <c r="NM128"/>
      <c r="NN128"/>
      <c r="NO128"/>
      <c r="NP128"/>
      <c r="NQ128"/>
      <c r="NR128"/>
      <c r="NS128"/>
      <c r="NT128"/>
      <c r="NU128"/>
      <c r="NV128"/>
      <c r="NW128"/>
      <c r="NX128"/>
      <c r="NY128"/>
      <c r="NZ128"/>
      <c r="OA128"/>
      <c r="OB128"/>
      <c r="OC128"/>
      <c r="OD128"/>
      <c r="OE128"/>
      <c r="OF128"/>
      <c r="OG128"/>
      <c r="OH128"/>
      <c r="OI128"/>
      <c r="OJ128"/>
      <c r="OK128"/>
      <c r="OL128"/>
      <c r="OM128"/>
      <c r="ON128"/>
      <c r="OO128"/>
      <c r="OP128"/>
      <c r="OQ128"/>
      <c r="OR128"/>
      <c r="OS128"/>
      <c r="OT128"/>
      <c r="OU128"/>
      <c r="OV128"/>
      <c r="OW128"/>
      <c r="OX128"/>
      <c r="OY128"/>
      <c r="OZ128"/>
      <c r="PA128"/>
      <c r="PB128"/>
      <c r="PC128"/>
      <c r="PD128"/>
      <c r="PE128"/>
      <c r="PF128"/>
      <c r="PG128"/>
      <c r="PH128"/>
      <c r="PI128"/>
      <c r="PJ128"/>
      <c r="PK128"/>
      <c r="PL128"/>
      <c r="PM128"/>
      <c r="PN128"/>
      <c r="PO128"/>
      <c r="PP128"/>
      <c r="PQ128"/>
      <c r="PR128"/>
      <c r="PS128"/>
      <c r="PT128"/>
      <c r="PU128"/>
      <c r="PV128"/>
      <c r="PW128"/>
      <c r="PX128"/>
      <c r="PY128"/>
      <c r="PZ128"/>
      <c r="QA128"/>
      <c r="QB128"/>
      <c r="QC128"/>
      <c r="QD128"/>
      <c r="QE128"/>
      <c r="QF128"/>
      <c r="QG128"/>
      <c r="QH128"/>
      <c r="QI128"/>
      <c r="QJ128"/>
      <c r="QK128"/>
      <c r="QL128"/>
      <c r="QM128"/>
      <c r="QN128"/>
      <c r="QO128"/>
      <c r="QP128"/>
      <c r="QQ128"/>
      <c r="QR128"/>
      <c r="QS128"/>
      <c r="QT128"/>
      <c r="QU128"/>
      <c r="QV128"/>
      <c r="QW128"/>
      <c r="QX128"/>
      <c r="QY128"/>
      <c r="QZ128"/>
      <c r="RA128"/>
      <c r="RB128"/>
      <c r="RC128"/>
      <c r="RD128"/>
      <c r="RE128"/>
      <c r="RF128"/>
      <c r="RG128"/>
      <c r="RH128"/>
      <c r="RI128"/>
      <c r="RJ128"/>
      <c r="RK128"/>
      <c r="RL128"/>
      <c r="RM128"/>
      <c r="RN128"/>
      <c r="RO128"/>
      <c r="RP128"/>
      <c r="RQ128"/>
      <c r="RR128"/>
      <c r="RS128"/>
    </row>
    <row r="129" spans="3:487" x14ac:dyDescent="0.25">
      <c r="C129" s="2" t="s">
        <v>3645</v>
      </c>
      <c r="D129" s="34">
        <v>1</v>
      </c>
      <c r="F129" s="2" t="s">
        <v>3751</v>
      </c>
      <c r="G129" s="34">
        <v>1</v>
      </c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  <c r="DU129"/>
      <c r="DV129"/>
      <c r="DW129"/>
      <c r="DX129"/>
      <c r="DY129"/>
      <c r="DZ129"/>
      <c r="EA129"/>
      <c r="EB129"/>
      <c r="EC129"/>
      <c r="ED129"/>
      <c r="EE129"/>
      <c r="EF129"/>
      <c r="EG129"/>
      <c r="EH129"/>
      <c r="EI129"/>
      <c r="EJ129"/>
      <c r="EK129"/>
      <c r="EL129"/>
      <c r="EM129"/>
      <c r="EN129"/>
      <c r="EO129"/>
      <c r="EP129"/>
      <c r="EQ129"/>
      <c r="ER129"/>
      <c r="ES129"/>
      <c r="ET129"/>
      <c r="EU129"/>
      <c r="EV129"/>
      <c r="EW129"/>
      <c r="EX129"/>
      <c r="EY129"/>
      <c r="EZ129"/>
      <c r="FA129"/>
      <c r="FB129"/>
      <c r="FC129"/>
      <c r="FD129"/>
      <c r="FE129"/>
      <c r="FF129"/>
      <c r="FG129"/>
      <c r="FH129"/>
      <c r="FI129"/>
      <c r="FJ129"/>
      <c r="FK129"/>
      <c r="FL129"/>
      <c r="FM129"/>
      <c r="FN129"/>
      <c r="FO129"/>
      <c r="FP129"/>
      <c r="FQ129"/>
      <c r="FR129"/>
      <c r="FS129"/>
      <c r="FT129"/>
      <c r="FU129"/>
      <c r="FV129"/>
      <c r="FW129"/>
      <c r="FX129"/>
      <c r="FY129"/>
      <c r="FZ129"/>
      <c r="GA129"/>
      <c r="GB129"/>
      <c r="GC129"/>
      <c r="GD129"/>
      <c r="GE129"/>
      <c r="GF129"/>
      <c r="GG129"/>
      <c r="GH129"/>
      <c r="GI129"/>
      <c r="GJ129"/>
      <c r="GK129"/>
      <c r="GL129"/>
      <c r="GM129"/>
      <c r="GN129"/>
      <c r="GO129"/>
      <c r="GP129"/>
      <c r="GQ129"/>
      <c r="GR129"/>
      <c r="GS129"/>
      <c r="GT129"/>
      <c r="GU129"/>
      <c r="GV129"/>
      <c r="GW129"/>
      <c r="GX129"/>
      <c r="GY129"/>
      <c r="GZ129"/>
      <c r="HA129"/>
      <c r="HB129"/>
      <c r="HC129"/>
      <c r="HD129"/>
      <c r="HE129"/>
      <c r="HF129"/>
      <c r="HG129"/>
      <c r="HH129"/>
      <c r="HI129"/>
      <c r="HJ129"/>
      <c r="HK129"/>
      <c r="HL129"/>
      <c r="HM129"/>
      <c r="HN129"/>
      <c r="HO129"/>
      <c r="HP129"/>
      <c r="HQ129"/>
      <c r="HR129"/>
      <c r="HS129"/>
      <c r="HT129"/>
      <c r="HU129"/>
      <c r="HV129"/>
      <c r="HW129"/>
      <c r="HX129"/>
      <c r="HY129"/>
      <c r="HZ129"/>
      <c r="IA129"/>
      <c r="IB129"/>
      <c r="IC129"/>
      <c r="ID129"/>
      <c r="IE129"/>
      <c r="IF129"/>
      <c r="IG129"/>
      <c r="IH129"/>
      <c r="II129"/>
      <c r="IJ129"/>
      <c r="IK129"/>
      <c r="IL129"/>
      <c r="IM129"/>
      <c r="IN129"/>
      <c r="IO129"/>
      <c r="IP129"/>
      <c r="IQ129"/>
      <c r="IR129"/>
      <c r="IS129"/>
      <c r="IT129"/>
      <c r="IU129"/>
      <c r="IV129"/>
      <c r="IW129"/>
      <c r="IX129"/>
      <c r="IY129"/>
      <c r="IZ129"/>
      <c r="JA129"/>
      <c r="JB129"/>
      <c r="JC129"/>
      <c r="JD129"/>
      <c r="JE129"/>
      <c r="JF129"/>
      <c r="JG129"/>
      <c r="JH129"/>
      <c r="JI129"/>
      <c r="JJ129"/>
      <c r="JK129"/>
      <c r="JL129"/>
      <c r="JM129"/>
      <c r="JN129"/>
      <c r="JO129"/>
      <c r="JP129"/>
      <c r="JQ129"/>
      <c r="JR129"/>
      <c r="JS129"/>
      <c r="JT129"/>
      <c r="JU129"/>
      <c r="JV129"/>
      <c r="JW129"/>
      <c r="JX129"/>
      <c r="JY129"/>
      <c r="JZ129"/>
      <c r="KA129"/>
      <c r="KB129"/>
      <c r="KC129"/>
      <c r="KD129"/>
      <c r="KE129"/>
      <c r="KF129"/>
      <c r="KG129"/>
      <c r="KH129"/>
      <c r="KI129"/>
      <c r="KJ129"/>
      <c r="KK129"/>
      <c r="KL129"/>
      <c r="KM129"/>
      <c r="KN129"/>
      <c r="KO129"/>
      <c r="KP129"/>
      <c r="KQ129"/>
      <c r="KR129"/>
      <c r="KS129"/>
      <c r="KT129"/>
      <c r="KU129"/>
      <c r="KV129"/>
      <c r="KW129"/>
      <c r="KX129"/>
      <c r="KY129"/>
      <c r="KZ129"/>
      <c r="LA129"/>
      <c r="LB129"/>
      <c r="LC129"/>
      <c r="LD129"/>
      <c r="LE129"/>
      <c r="LF129"/>
      <c r="LG129"/>
      <c r="LH129"/>
      <c r="LI129"/>
      <c r="LJ129"/>
      <c r="LK129"/>
      <c r="LL129"/>
      <c r="LM129"/>
      <c r="LN129"/>
      <c r="LO129"/>
      <c r="LP129"/>
      <c r="LQ129"/>
      <c r="LR129"/>
      <c r="LS129"/>
      <c r="LT129"/>
      <c r="LU129"/>
      <c r="LV129"/>
      <c r="LW129"/>
      <c r="LX129"/>
      <c r="LY129"/>
      <c r="LZ129"/>
      <c r="MA129"/>
      <c r="MB129"/>
      <c r="MC129"/>
      <c r="MD129"/>
      <c r="ME129"/>
      <c r="MF129"/>
      <c r="MG129"/>
      <c r="MH129"/>
      <c r="MI129"/>
      <c r="MJ129"/>
      <c r="MK129"/>
      <c r="ML129"/>
      <c r="MM129"/>
      <c r="MN129"/>
      <c r="MO129"/>
      <c r="MP129"/>
      <c r="MQ129"/>
      <c r="MR129"/>
      <c r="MS129"/>
      <c r="MT129"/>
      <c r="MU129"/>
      <c r="MV129"/>
      <c r="MW129"/>
      <c r="MX129"/>
      <c r="MY129"/>
      <c r="MZ129"/>
      <c r="NA129"/>
      <c r="NB129"/>
      <c r="NC129"/>
      <c r="ND129"/>
      <c r="NE129"/>
      <c r="NF129"/>
      <c r="NG129"/>
      <c r="NH129"/>
      <c r="NI129"/>
      <c r="NJ129"/>
      <c r="NK129"/>
      <c r="NL129"/>
      <c r="NM129"/>
      <c r="NN129"/>
      <c r="NO129"/>
      <c r="NP129"/>
      <c r="NQ129"/>
      <c r="NR129"/>
      <c r="NS129"/>
      <c r="NT129"/>
      <c r="NU129"/>
      <c r="NV129"/>
      <c r="NW129"/>
      <c r="NX129"/>
      <c r="NY129"/>
      <c r="NZ129"/>
      <c r="OA129"/>
      <c r="OB129"/>
      <c r="OC129"/>
      <c r="OD129"/>
      <c r="OE129"/>
      <c r="OF129"/>
      <c r="OG129"/>
      <c r="OH129"/>
      <c r="OI129"/>
      <c r="OJ129"/>
      <c r="OK129"/>
      <c r="OL129"/>
      <c r="OM129"/>
      <c r="ON129"/>
      <c r="OO129"/>
      <c r="OP129"/>
      <c r="OQ129"/>
      <c r="OR129"/>
      <c r="OS129"/>
      <c r="OT129"/>
      <c r="OU129"/>
      <c r="OV129"/>
      <c r="OW129"/>
      <c r="OX129"/>
      <c r="OY129"/>
      <c r="OZ129"/>
      <c r="PA129"/>
      <c r="PB129"/>
      <c r="PC129"/>
      <c r="PD129"/>
      <c r="PE129"/>
      <c r="PF129"/>
      <c r="PG129"/>
      <c r="PH129"/>
      <c r="PI129"/>
      <c r="PJ129"/>
      <c r="PK129"/>
      <c r="PL129"/>
      <c r="PM129"/>
      <c r="PN129"/>
      <c r="PO129"/>
      <c r="PP129"/>
      <c r="PQ129"/>
      <c r="PR129"/>
      <c r="PS129"/>
      <c r="PT129"/>
      <c r="PU129"/>
      <c r="PV129"/>
      <c r="PW129"/>
      <c r="PX129"/>
      <c r="PY129"/>
      <c r="PZ129"/>
      <c r="QA129"/>
      <c r="QB129"/>
      <c r="QC129"/>
      <c r="QD129"/>
      <c r="QE129"/>
      <c r="QF129"/>
      <c r="QG129"/>
      <c r="QH129"/>
      <c r="QI129"/>
      <c r="QJ129"/>
      <c r="QK129"/>
      <c r="QL129"/>
      <c r="QM129"/>
      <c r="QN129"/>
      <c r="QO129"/>
      <c r="QP129"/>
      <c r="QQ129"/>
      <c r="QR129"/>
      <c r="QS129"/>
      <c r="QT129"/>
      <c r="QU129"/>
      <c r="QV129"/>
      <c r="QW129"/>
      <c r="QX129"/>
      <c r="QY129"/>
      <c r="QZ129"/>
      <c r="RA129"/>
      <c r="RB129"/>
      <c r="RC129"/>
      <c r="RD129"/>
      <c r="RE129"/>
      <c r="RF129"/>
      <c r="RG129"/>
      <c r="RH129"/>
      <c r="RI129"/>
      <c r="RJ129"/>
      <c r="RK129"/>
      <c r="RL129"/>
      <c r="RM129"/>
      <c r="RN129"/>
      <c r="RO129"/>
      <c r="RP129"/>
      <c r="RQ129"/>
      <c r="RR129"/>
      <c r="RS129"/>
    </row>
    <row r="130" spans="3:487" x14ac:dyDescent="0.25">
      <c r="C130" s="2" t="s">
        <v>267</v>
      </c>
      <c r="D130" s="34">
        <v>1</v>
      </c>
      <c r="F130" s="2" t="s">
        <v>1302</v>
      </c>
      <c r="G130" s="34">
        <v>1</v>
      </c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  <c r="DU130"/>
      <c r="DV130"/>
      <c r="DW130"/>
      <c r="DX130"/>
      <c r="DY130"/>
      <c r="DZ130"/>
      <c r="EA130"/>
      <c r="EB130"/>
      <c r="EC130"/>
      <c r="ED130"/>
      <c r="EE130"/>
      <c r="EF130"/>
      <c r="EG130"/>
      <c r="EH130"/>
      <c r="EI130"/>
      <c r="EJ130"/>
      <c r="EK130"/>
      <c r="EL130"/>
      <c r="EM130"/>
      <c r="EN130"/>
      <c r="EO130"/>
      <c r="EP130"/>
      <c r="EQ130"/>
      <c r="ER130"/>
      <c r="ES130"/>
      <c r="ET130"/>
      <c r="EU130"/>
      <c r="EV130"/>
      <c r="EW130"/>
      <c r="EX130"/>
      <c r="EY130"/>
      <c r="EZ130"/>
      <c r="FA130"/>
      <c r="FB130"/>
      <c r="FC130"/>
      <c r="FD130"/>
      <c r="FE130"/>
      <c r="FF130"/>
      <c r="FG130"/>
      <c r="FH130"/>
      <c r="FI130"/>
      <c r="FJ130"/>
      <c r="FK130"/>
      <c r="FL130"/>
      <c r="FM130"/>
      <c r="FN130"/>
      <c r="FO130"/>
      <c r="FP130"/>
      <c r="FQ130"/>
      <c r="FR130"/>
      <c r="FS130"/>
      <c r="FT130"/>
      <c r="FU130"/>
      <c r="FV130"/>
      <c r="FW130"/>
      <c r="FX130"/>
      <c r="FY130"/>
      <c r="FZ130"/>
      <c r="GA130"/>
      <c r="GB130"/>
      <c r="GC130"/>
      <c r="GD130"/>
      <c r="GE130"/>
      <c r="GF130"/>
      <c r="GG130"/>
      <c r="GH130"/>
      <c r="GI130"/>
      <c r="GJ130"/>
      <c r="GK130"/>
      <c r="GL130"/>
      <c r="GM130"/>
      <c r="GN130"/>
      <c r="GO130"/>
      <c r="GP130"/>
      <c r="GQ130"/>
      <c r="GR130"/>
      <c r="GS130"/>
      <c r="GT130"/>
      <c r="GU130"/>
      <c r="GV130"/>
      <c r="GW130"/>
      <c r="GX130"/>
      <c r="GY130"/>
      <c r="GZ130"/>
      <c r="HA130"/>
      <c r="HB130"/>
      <c r="HC130"/>
      <c r="HD130"/>
      <c r="HE130"/>
      <c r="HF130"/>
      <c r="HG130"/>
      <c r="HH130"/>
      <c r="HI130"/>
      <c r="HJ130"/>
      <c r="HK130"/>
      <c r="HL130"/>
      <c r="HM130"/>
      <c r="HN130"/>
      <c r="HO130"/>
      <c r="HP130"/>
      <c r="HQ130"/>
      <c r="HR130"/>
      <c r="HS130"/>
      <c r="HT130"/>
      <c r="HU130"/>
      <c r="HV130"/>
      <c r="HW130"/>
      <c r="HX130"/>
      <c r="HY130"/>
      <c r="HZ130"/>
      <c r="IA130"/>
      <c r="IB130"/>
      <c r="IC130"/>
      <c r="ID130"/>
      <c r="IE130"/>
      <c r="IF130"/>
      <c r="IG130"/>
      <c r="IH130"/>
      <c r="II130"/>
      <c r="IJ130"/>
      <c r="IK130"/>
      <c r="IL130"/>
      <c r="IM130"/>
      <c r="IN130"/>
      <c r="IO130"/>
      <c r="IP130"/>
      <c r="IQ130"/>
      <c r="IR130"/>
      <c r="IS130"/>
      <c r="IT130"/>
      <c r="IU130"/>
      <c r="IV130"/>
      <c r="IW130"/>
      <c r="IX130"/>
      <c r="IY130"/>
      <c r="IZ130"/>
      <c r="JA130"/>
      <c r="JB130"/>
      <c r="JC130"/>
      <c r="JD130"/>
      <c r="JE130"/>
      <c r="JF130"/>
      <c r="JG130"/>
      <c r="JH130"/>
      <c r="JI130"/>
      <c r="JJ130"/>
      <c r="JK130"/>
      <c r="JL130"/>
      <c r="JM130"/>
      <c r="JN130"/>
      <c r="JO130"/>
      <c r="JP130"/>
      <c r="JQ130"/>
      <c r="JR130"/>
      <c r="JS130"/>
      <c r="JT130"/>
      <c r="JU130"/>
      <c r="JV130"/>
      <c r="JW130"/>
      <c r="JX130"/>
      <c r="JY130"/>
      <c r="JZ130"/>
      <c r="KA130"/>
      <c r="KB130"/>
      <c r="KC130"/>
      <c r="KD130"/>
      <c r="KE130"/>
      <c r="KF130"/>
      <c r="KG130"/>
      <c r="KH130"/>
      <c r="KI130"/>
      <c r="KJ130"/>
      <c r="KK130"/>
      <c r="KL130"/>
      <c r="KM130"/>
      <c r="KN130"/>
      <c r="KO130"/>
      <c r="KP130"/>
      <c r="KQ130"/>
      <c r="KR130"/>
      <c r="KS130"/>
      <c r="KT130"/>
      <c r="KU130"/>
      <c r="KV130"/>
      <c r="KW130"/>
      <c r="KX130"/>
      <c r="KY130"/>
      <c r="KZ130"/>
      <c r="LA130"/>
      <c r="LB130"/>
      <c r="LC130"/>
      <c r="LD130"/>
      <c r="LE130"/>
      <c r="LF130"/>
      <c r="LG130"/>
      <c r="LH130"/>
      <c r="LI130"/>
      <c r="LJ130"/>
      <c r="LK130"/>
      <c r="LL130"/>
      <c r="LM130"/>
      <c r="LN130"/>
      <c r="LO130"/>
      <c r="LP130"/>
      <c r="LQ130"/>
      <c r="LR130"/>
      <c r="LS130"/>
      <c r="LT130"/>
      <c r="LU130"/>
      <c r="LV130"/>
      <c r="LW130"/>
      <c r="LX130"/>
      <c r="LY130"/>
      <c r="LZ130"/>
      <c r="MA130"/>
      <c r="MB130"/>
      <c r="MC130"/>
      <c r="MD130"/>
      <c r="ME130"/>
      <c r="MF130"/>
      <c r="MG130"/>
      <c r="MH130"/>
      <c r="MI130"/>
      <c r="MJ130"/>
      <c r="MK130"/>
      <c r="ML130"/>
      <c r="MM130"/>
      <c r="MN130"/>
      <c r="MO130"/>
      <c r="MP130"/>
      <c r="MQ130"/>
      <c r="MR130"/>
      <c r="MS130"/>
      <c r="MT130"/>
      <c r="MU130"/>
      <c r="MV130"/>
      <c r="MW130"/>
      <c r="MX130"/>
      <c r="MY130"/>
      <c r="MZ130"/>
      <c r="NA130"/>
      <c r="NB130"/>
      <c r="NC130"/>
      <c r="ND130"/>
      <c r="NE130"/>
      <c r="NF130"/>
      <c r="NG130"/>
      <c r="NH130"/>
      <c r="NI130"/>
      <c r="NJ130"/>
      <c r="NK130"/>
      <c r="NL130"/>
      <c r="NM130"/>
      <c r="NN130"/>
      <c r="NO130"/>
      <c r="NP130"/>
      <c r="NQ130"/>
      <c r="NR130"/>
      <c r="NS130"/>
      <c r="NT130"/>
      <c r="NU130"/>
      <c r="NV130"/>
      <c r="NW130"/>
      <c r="NX130"/>
      <c r="NY130"/>
      <c r="NZ130"/>
      <c r="OA130"/>
      <c r="OB130"/>
      <c r="OC130"/>
      <c r="OD130"/>
      <c r="OE130"/>
      <c r="OF130"/>
      <c r="OG130"/>
      <c r="OH130"/>
      <c r="OI130"/>
      <c r="OJ130"/>
      <c r="OK130"/>
      <c r="OL130"/>
      <c r="OM130"/>
      <c r="ON130"/>
      <c r="OO130"/>
      <c r="OP130"/>
      <c r="OQ130"/>
      <c r="OR130"/>
      <c r="OS130"/>
      <c r="OT130"/>
      <c r="OU130"/>
      <c r="OV130"/>
      <c r="OW130"/>
      <c r="OX130"/>
      <c r="OY130"/>
      <c r="OZ130"/>
      <c r="PA130"/>
      <c r="PB130"/>
      <c r="PC130"/>
      <c r="PD130"/>
      <c r="PE130"/>
      <c r="PF130"/>
      <c r="PG130"/>
      <c r="PH130"/>
      <c r="PI130"/>
      <c r="PJ130"/>
      <c r="PK130"/>
      <c r="PL130"/>
      <c r="PM130"/>
      <c r="PN130"/>
      <c r="PO130"/>
      <c r="PP130"/>
      <c r="PQ130"/>
      <c r="PR130"/>
      <c r="PS130"/>
      <c r="PT130"/>
      <c r="PU130"/>
      <c r="PV130"/>
      <c r="PW130"/>
      <c r="PX130"/>
      <c r="PY130"/>
      <c r="PZ130"/>
      <c r="QA130"/>
      <c r="QB130"/>
      <c r="QC130"/>
      <c r="QD130"/>
      <c r="QE130"/>
      <c r="QF130"/>
      <c r="QG130"/>
      <c r="QH130"/>
      <c r="QI130"/>
      <c r="QJ130"/>
      <c r="QK130"/>
      <c r="QL130"/>
      <c r="QM130"/>
      <c r="QN130"/>
      <c r="QO130"/>
      <c r="QP130"/>
      <c r="QQ130"/>
      <c r="QR130"/>
      <c r="QS130"/>
      <c r="QT130"/>
      <c r="QU130"/>
      <c r="QV130"/>
      <c r="QW130"/>
      <c r="QX130"/>
      <c r="QY130"/>
      <c r="QZ130"/>
      <c r="RA130"/>
      <c r="RB130"/>
      <c r="RC130"/>
      <c r="RD130"/>
      <c r="RE130"/>
      <c r="RF130"/>
      <c r="RG130"/>
      <c r="RH130"/>
      <c r="RI130"/>
      <c r="RJ130"/>
      <c r="RK130"/>
      <c r="RL130"/>
      <c r="RM130"/>
      <c r="RN130"/>
      <c r="RO130"/>
      <c r="RP130"/>
      <c r="RQ130"/>
      <c r="RR130"/>
      <c r="RS130"/>
    </row>
    <row r="131" spans="3:487" x14ac:dyDescent="0.25">
      <c r="C131" s="2" t="s">
        <v>3650</v>
      </c>
      <c r="D131" s="34">
        <v>1</v>
      </c>
      <c r="F131" s="2" t="s">
        <v>134</v>
      </c>
      <c r="G131" s="34">
        <v>1</v>
      </c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  <c r="DU131"/>
      <c r="DV131"/>
      <c r="DW131"/>
      <c r="DX131"/>
      <c r="DY131"/>
      <c r="DZ131"/>
      <c r="EA131"/>
      <c r="EB131"/>
      <c r="EC131"/>
      <c r="ED131"/>
      <c r="EE131"/>
      <c r="EF131"/>
      <c r="EG131"/>
      <c r="EH131"/>
      <c r="EI131"/>
      <c r="EJ131"/>
      <c r="EK131"/>
      <c r="EL131"/>
      <c r="EM131"/>
      <c r="EN131"/>
      <c r="EO131"/>
      <c r="EP131"/>
      <c r="EQ131"/>
      <c r="ER131"/>
      <c r="ES131"/>
      <c r="ET131"/>
      <c r="EU131"/>
      <c r="EV131"/>
      <c r="EW131"/>
      <c r="EX131"/>
      <c r="EY131"/>
      <c r="EZ131"/>
      <c r="FA131"/>
      <c r="FB131"/>
      <c r="FC131"/>
      <c r="FD131"/>
      <c r="FE131"/>
      <c r="FF131"/>
      <c r="FG131"/>
      <c r="FH131"/>
      <c r="FI131"/>
      <c r="FJ131"/>
      <c r="FK131"/>
      <c r="FL131"/>
      <c r="FM131"/>
      <c r="FN131"/>
      <c r="FO131"/>
      <c r="FP131"/>
      <c r="FQ131"/>
      <c r="FR131"/>
      <c r="FS131"/>
      <c r="FT131"/>
      <c r="FU131"/>
      <c r="FV131"/>
      <c r="FW131"/>
      <c r="FX131"/>
      <c r="FY131"/>
      <c r="FZ131"/>
      <c r="GA131"/>
      <c r="GB131"/>
      <c r="GC131"/>
      <c r="GD131"/>
      <c r="GE131"/>
      <c r="GF131"/>
      <c r="GG131"/>
      <c r="GH131"/>
      <c r="GI131"/>
      <c r="GJ131"/>
      <c r="GK131"/>
      <c r="GL131"/>
      <c r="GM131"/>
      <c r="GN131"/>
      <c r="GO131"/>
      <c r="GP131"/>
      <c r="GQ131"/>
      <c r="GR131"/>
      <c r="GS131"/>
      <c r="GT131"/>
      <c r="GU131"/>
      <c r="GV131"/>
      <c r="GW131"/>
      <c r="GX131"/>
      <c r="GY131"/>
      <c r="GZ131"/>
      <c r="HA131"/>
      <c r="HB131"/>
      <c r="HC131"/>
      <c r="HD131"/>
      <c r="HE131"/>
      <c r="HF131"/>
      <c r="HG131"/>
      <c r="HH131"/>
      <c r="HI131"/>
      <c r="HJ131"/>
      <c r="HK131"/>
      <c r="HL131"/>
      <c r="HM131"/>
      <c r="HN131"/>
      <c r="HO131"/>
      <c r="HP131"/>
      <c r="HQ131"/>
      <c r="HR131"/>
      <c r="HS131"/>
      <c r="HT131"/>
      <c r="HU131"/>
      <c r="HV131"/>
      <c r="HW131"/>
      <c r="HX131"/>
      <c r="HY131"/>
      <c r="HZ131"/>
      <c r="IA131"/>
      <c r="IB131"/>
      <c r="IC131"/>
      <c r="ID131"/>
      <c r="IE131"/>
      <c r="IF131"/>
      <c r="IG131"/>
      <c r="IH131"/>
      <c r="II131"/>
      <c r="IJ131"/>
      <c r="IK131"/>
      <c r="IL131"/>
      <c r="IM131"/>
      <c r="IN131"/>
      <c r="IO131"/>
      <c r="IP131"/>
      <c r="IQ131"/>
      <c r="IR131"/>
      <c r="IS131"/>
      <c r="IT131"/>
      <c r="IU131"/>
      <c r="IV131"/>
      <c r="IW131"/>
      <c r="IX131"/>
      <c r="IY131"/>
      <c r="IZ131"/>
      <c r="JA131"/>
      <c r="JB131"/>
      <c r="JC131"/>
      <c r="JD131"/>
      <c r="JE131"/>
      <c r="JF131"/>
      <c r="JG131"/>
      <c r="JH131"/>
      <c r="JI131"/>
      <c r="JJ131"/>
      <c r="JK131"/>
      <c r="JL131"/>
      <c r="JM131"/>
      <c r="JN131"/>
      <c r="JO131"/>
      <c r="JP131"/>
      <c r="JQ131"/>
      <c r="JR131"/>
      <c r="JS131"/>
      <c r="JT131"/>
      <c r="JU131"/>
      <c r="JV131"/>
      <c r="JW131"/>
      <c r="JX131"/>
      <c r="JY131"/>
      <c r="JZ131"/>
      <c r="KA131"/>
      <c r="KB131"/>
      <c r="KC131"/>
      <c r="KD131"/>
      <c r="KE131"/>
      <c r="KF131"/>
      <c r="KG131"/>
      <c r="KH131"/>
      <c r="KI131"/>
      <c r="KJ131"/>
      <c r="KK131"/>
      <c r="KL131"/>
      <c r="KM131"/>
      <c r="KN131"/>
      <c r="KO131"/>
      <c r="KP131"/>
      <c r="KQ131"/>
      <c r="KR131"/>
      <c r="KS131"/>
      <c r="KT131"/>
      <c r="KU131"/>
      <c r="KV131"/>
      <c r="KW131"/>
      <c r="KX131"/>
      <c r="KY131"/>
      <c r="KZ131"/>
      <c r="LA131"/>
      <c r="LB131"/>
      <c r="LC131"/>
      <c r="LD131"/>
      <c r="LE131"/>
      <c r="LF131"/>
      <c r="LG131"/>
      <c r="LH131"/>
      <c r="LI131"/>
      <c r="LJ131"/>
      <c r="LK131"/>
      <c r="LL131"/>
      <c r="LM131"/>
      <c r="LN131"/>
      <c r="LO131"/>
      <c r="LP131"/>
      <c r="LQ131"/>
      <c r="LR131"/>
      <c r="LS131"/>
      <c r="LT131"/>
      <c r="LU131"/>
      <c r="LV131"/>
      <c r="LW131"/>
      <c r="LX131"/>
      <c r="LY131"/>
      <c r="LZ131"/>
      <c r="MA131"/>
      <c r="MB131"/>
      <c r="MC131"/>
      <c r="MD131"/>
      <c r="ME131"/>
      <c r="MF131"/>
      <c r="MG131"/>
      <c r="MH131"/>
      <c r="MI131"/>
      <c r="MJ131"/>
      <c r="MK131"/>
      <c r="ML131"/>
      <c r="MM131"/>
      <c r="MN131"/>
      <c r="MO131"/>
      <c r="MP131"/>
      <c r="MQ131"/>
      <c r="MR131"/>
      <c r="MS131"/>
      <c r="MT131"/>
      <c r="MU131"/>
      <c r="MV131"/>
      <c r="MW131"/>
      <c r="MX131"/>
      <c r="MY131"/>
      <c r="MZ131"/>
      <c r="NA131"/>
      <c r="NB131"/>
      <c r="NC131"/>
      <c r="ND131"/>
      <c r="NE131"/>
      <c r="NF131"/>
      <c r="NG131"/>
      <c r="NH131"/>
      <c r="NI131"/>
      <c r="NJ131"/>
      <c r="NK131"/>
      <c r="NL131"/>
      <c r="NM131"/>
      <c r="NN131"/>
      <c r="NO131"/>
      <c r="NP131"/>
      <c r="NQ131"/>
      <c r="NR131"/>
      <c r="NS131"/>
      <c r="NT131"/>
      <c r="NU131"/>
      <c r="NV131"/>
      <c r="NW131"/>
      <c r="NX131"/>
      <c r="NY131"/>
      <c r="NZ131"/>
      <c r="OA131"/>
      <c r="OB131"/>
      <c r="OC131"/>
      <c r="OD131"/>
      <c r="OE131"/>
      <c r="OF131"/>
      <c r="OG131"/>
      <c r="OH131"/>
      <c r="OI131"/>
      <c r="OJ131"/>
      <c r="OK131"/>
      <c r="OL131"/>
      <c r="OM131"/>
      <c r="ON131"/>
      <c r="OO131"/>
      <c r="OP131"/>
      <c r="OQ131"/>
      <c r="OR131"/>
      <c r="OS131"/>
      <c r="OT131"/>
      <c r="OU131"/>
      <c r="OV131"/>
      <c r="OW131"/>
      <c r="OX131"/>
      <c r="OY131"/>
      <c r="OZ131"/>
      <c r="PA131"/>
      <c r="PB131"/>
      <c r="PC131"/>
      <c r="PD131"/>
      <c r="PE131"/>
      <c r="PF131"/>
      <c r="PG131"/>
      <c r="PH131"/>
      <c r="PI131"/>
      <c r="PJ131"/>
      <c r="PK131"/>
      <c r="PL131"/>
      <c r="PM131"/>
      <c r="PN131"/>
      <c r="PO131"/>
      <c r="PP131"/>
      <c r="PQ131"/>
      <c r="PR131"/>
      <c r="PS131"/>
      <c r="PT131"/>
      <c r="PU131"/>
      <c r="PV131"/>
      <c r="PW131"/>
      <c r="PX131"/>
      <c r="PY131"/>
      <c r="PZ131"/>
      <c r="QA131"/>
      <c r="QB131"/>
      <c r="QC131"/>
      <c r="QD131"/>
      <c r="QE131"/>
      <c r="QF131"/>
      <c r="QG131"/>
      <c r="QH131"/>
      <c r="QI131"/>
      <c r="QJ131"/>
      <c r="QK131"/>
      <c r="QL131"/>
      <c r="QM131"/>
      <c r="QN131"/>
      <c r="QO131"/>
      <c r="QP131"/>
      <c r="QQ131"/>
      <c r="QR131"/>
      <c r="QS131"/>
      <c r="QT131"/>
      <c r="QU131"/>
      <c r="QV131"/>
      <c r="QW131"/>
      <c r="QX131"/>
      <c r="QY131"/>
      <c r="QZ131"/>
      <c r="RA131"/>
      <c r="RB131"/>
      <c r="RC131"/>
      <c r="RD131"/>
      <c r="RE131"/>
      <c r="RF131"/>
      <c r="RG131"/>
      <c r="RH131"/>
      <c r="RI131"/>
      <c r="RJ131"/>
      <c r="RK131"/>
      <c r="RL131"/>
      <c r="RM131"/>
      <c r="RN131"/>
      <c r="RO131"/>
      <c r="RP131"/>
      <c r="RQ131"/>
      <c r="RR131"/>
      <c r="RS131"/>
    </row>
    <row r="132" spans="3:487" x14ac:dyDescent="0.25">
      <c r="C132" s="2" t="s">
        <v>212</v>
      </c>
      <c r="D132" s="34">
        <v>1</v>
      </c>
      <c r="F132" s="2" t="s">
        <v>3635</v>
      </c>
      <c r="G132" s="34">
        <v>1</v>
      </c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  <c r="DU132"/>
      <c r="DV132"/>
      <c r="DW132"/>
      <c r="DX132"/>
      <c r="DY132"/>
      <c r="DZ132"/>
      <c r="EA132"/>
      <c r="EB132"/>
      <c r="EC132"/>
      <c r="ED132"/>
      <c r="EE132"/>
      <c r="EF132"/>
      <c r="EG132"/>
      <c r="EH132"/>
      <c r="EI132"/>
      <c r="EJ132"/>
      <c r="EK132"/>
      <c r="EL132"/>
      <c r="EM132"/>
      <c r="EN132"/>
      <c r="EO132"/>
      <c r="EP132"/>
      <c r="EQ132"/>
      <c r="ER132"/>
      <c r="ES132"/>
      <c r="ET132"/>
      <c r="EU132"/>
      <c r="EV132"/>
      <c r="EW132"/>
      <c r="EX132"/>
      <c r="EY132"/>
      <c r="EZ132"/>
      <c r="FA132"/>
      <c r="FB132"/>
      <c r="FC132"/>
      <c r="FD132"/>
      <c r="FE132"/>
      <c r="FF132"/>
      <c r="FG132"/>
      <c r="FH132"/>
      <c r="FI132"/>
      <c r="FJ132"/>
      <c r="FK132"/>
      <c r="FL132"/>
      <c r="FM132"/>
      <c r="FN132"/>
      <c r="FO132"/>
      <c r="FP132"/>
      <c r="FQ132"/>
      <c r="FR132"/>
      <c r="FS132"/>
      <c r="FT132"/>
      <c r="FU132"/>
      <c r="FV132"/>
      <c r="FW132"/>
      <c r="FX132"/>
      <c r="FY132"/>
      <c r="FZ132"/>
      <c r="GA132"/>
      <c r="GB132"/>
      <c r="GC132"/>
      <c r="GD132"/>
      <c r="GE132"/>
      <c r="GF132"/>
      <c r="GG132"/>
      <c r="GH132"/>
      <c r="GI132"/>
      <c r="GJ132"/>
      <c r="GK132"/>
      <c r="GL132"/>
      <c r="GM132"/>
      <c r="GN132"/>
      <c r="GO132"/>
      <c r="GP132"/>
      <c r="GQ132"/>
      <c r="GR132"/>
      <c r="GS132"/>
      <c r="GT132"/>
      <c r="GU132"/>
      <c r="GV132"/>
      <c r="GW132"/>
      <c r="GX132"/>
      <c r="GY132"/>
      <c r="GZ132"/>
      <c r="HA132"/>
      <c r="HB132"/>
      <c r="HC132"/>
      <c r="HD132"/>
      <c r="HE132"/>
      <c r="HF132"/>
      <c r="HG132"/>
      <c r="HH132"/>
      <c r="HI132"/>
      <c r="HJ132"/>
      <c r="HK132"/>
      <c r="HL132"/>
      <c r="HM132"/>
      <c r="HN132"/>
      <c r="HO132"/>
      <c r="HP132"/>
      <c r="HQ132"/>
      <c r="HR132"/>
      <c r="HS132"/>
      <c r="HT132"/>
      <c r="HU132"/>
      <c r="HV132"/>
      <c r="HW132"/>
      <c r="HX132"/>
      <c r="HY132"/>
      <c r="HZ132"/>
      <c r="IA132"/>
      <c r="IB132"/>
      <c r="IC132"/>
      <c r="ID132"/>
      <c r="IE132"/>
      <c r="IF132"/>
      <c r="IG132"/>
      <c r="IH132"/>
      <c r="II132"/>
      <c r="IJ132"/>
      <c r="IK132"/>
      <c r="IL132"/>
      <c r="IM132"/>
      <c r="IN132"/>
      <c r="IO132"/>
      <c r="IP132"/>
      <c r="IQ132"/>
      <c r="IR132"/>
      <c r="IS132"/>
      <c r="IT132"/>
      <c r="IU132"/>
      <c r="IV132"/>
      <c r="IW132"/>
      <c r="IX132"/>
      <c r="IY132"/>
      <c r="IZ132"/>
      <c r="JA132"/>
      <c r="JB132"/>
      <c r="JC132"/>
      <c r="JD132"/>
      <c r="JE132"/>
      <c r="JF132"/>
      <c r="JG132"/>
      <c r="JH132"/>
      <c r="JI132"/>
      <c r="JJ132"/>
      <c r="JK132"/>
      <c r="JL132"/>
      <c r="JM132"/>
      <c r="JN132"/>
      <c r="JO132"/>
      <c r="JP132"/>
      <c r="JQ132"/>
      <c r="JR132"/>
      <c r="JS132"/>
      <c r="JT132"/>
      <c r="JU132"/>
      <c r="JV132"/>
      <c r="JW132"/>
      <c r="JX132"/>
      <c r="JY132"/>
      <c r="JZ132"/>
      <c r="KA132"/>
      <c r="KB132"/>
      <c r="KC132"/>
      <c r="KD132"/>
      <c r="KE132"/>
      <c r="KF132"/>
      <c r="KG132"/>
      <c r="KH132"/>
      <c r="KI132"/>
      <c r="KJ132"/>
      <c r="KK132"/>
      <c r="KL132"/>
      <c r="KM132"/>
      <c r="KN132"/>
      <c r="KO132"/>
      <c r="KP132"/>
      <c r="KQ132"/>
      <c r="KR132"/>
      <c r="KS132"/>
      <c r="KT132"/>
      <c r="KU132"/>
      <c r="KV132"/>
      <c r="KW132"/>
      <c r="KX132"/>
      <c r="KY132"/>
      <c r="KZ132"/>
      <c r="LA132"/>
      <c r="LB132"/>
      <c r="LC132"/>
      <c r="LD132"/>
      <c r="LE132"/>
      <c r="LF132"/>
      <c r="LG132"/>
      <c r="LH132"/>
      <c r="LI132"/>
      <c r="LJ132"/>
      <c r="LK132"/>
      <c r="LL132"/>
      <c r="LM132"/>
      <c r="LN132"/>
      <c r="LO132"/>
      <c r="LP132"/>
      <c r="LQ132"/>
      <c r="LR132"/>
      <c r="LS132"/>
      <c r="LT132"/>
      <c r="LU132"/>
      <c r="LV132"/>
      <c r="LW132"/>
      <c r="LX132"/>
      <c r="LY132"/>
      <c r="LZ132"/>
      <c r="MA132"/>
      <c r="MB132"/>
      <c r="MC132"/>
      <c r="MD132"/>
      <c r="ME132"/>
      <c r="MF132"/>
      <c r="MG132"/>
      <c r="MH132"/>
      <c r="MI132"/>
      <c r="MJ132"/>
      <c r="MK132"/>
      <c r="ML132"/>
      <c r="MM132"/>
      <c r="MN132"/>
      <c r="MO132"/>
      <c r="MP132"/>
      <c r="MQ132"/>
      <c r="MR132"/>
      <c r="MS132"/>
      <c r="MT132"/>
      <c r="MU132"/>
      <c r="MV132"/>
      <c r="MW132"/>
      <c r="MX132"/>
      <c r="MY132"/>
      <c r="MZ132"/>
      <c r="NA132"/>
      <c r="NB132"/>
      <c r="NC132"/>
      <c r="ND132"/>
      <c r="NE132"/>
      <c r="NF132"/>
      <c r="NG132"/>
      <c r="NH132"/>
      <c r="NI132"/>
      <c r="NJ132"/>
      <c r="NK132"/>
      <c r="NL132"/>
      <c r="NM132"/>
      <c r="NN132"/>
      <c r="NO132"/>
      <c r="NP132"/>
      <c r="NQ132"/>
      <c r="NR132"/>
      <c r="NS132"/>
      <c r="NT132"/>
      <c r="NU132"/>
      <c r="NV132"/>
      <c r="NW132"/>
      <c r="NX132"/>
      <c r="NY132"/>
      <c r="NZ132"/>
      <c r="OA132"/>
      <c r="OB132"/>
      <c r="OC132"/>
      <c r="OD132"/>
      <c r="OE132"/>
      <c r="OF132"/>
      <c r="OG132"/>
      <c r="OH132"/>
      <c r="OI132"/>
      <c r="OJ132"/>
      <c r="OK132"/>
      <c r="OL132"/>
      <c r="OM132"/>
      <c r="ON132"/>
      <c r="OO132"/>
      <c r="OP132"/>
      <c r="OQ132"/>
      <c r="OR132"/>
      <c r="OS132"/>
      <c r="OT132"/>
      <c r="OU132"/>
      <c r="OV132"/>
      <c r="OW132"/>
      <c r="OX132"/>
      <c r="OY132"/>
      <c r="OZ132"/>
      <c r="PA132"/>
      <c r="PB132"/>
      <c r="PC132"/>
      <c r="PD132"/>
      <c r="PE132"/>
      <c r="PF132"/>
      <c r="PG132"/>
      <c r="PH132"/>
      <c r="PI132"/>
      <c r="PJ132"/>
      <c r="PK132"/>
      <c r="PL132"/>
      <c r="PM132"/>
      <c r="PN132"/>
      <c r="PO132"/>
      <c r="PP132"/>
      <c r="PQ132"/>
      <c r="PR132"/>
      <c r="PS132"/>
      <c r="PT132"/>
      <c r="PU132"/>
      <c r="PV132"/>
      <c r="PW132"/>
      <c r="PX132"/>
      <c r="PY132"/>
      <c r="PZ132"/>
      <c r="QA132"/>
      <c r="QB132"/>
      <c r="QC132"/>
      <c r="QD132"/>
      <c r="QE132"/>
      <c r="QF132"/>
      <c r="QG132"/>
      <c r="QH132"/>
      <c r="QI132"/>
      <c r="QJ132"/>
      <c r="QK132"/>
      <c r="QL132"/>
      <c r="QM132"/>
      <c r="QN132"/>
      <c r="QO132"/>
      <c r="QP132"/>
      <c r="QQ132"/>
      <c r="QR132"/>
      <c r="QS132"/>
      <c r="QT132"/>
      <c r="QU132"/>
      <c r="QV132"/>
      <c r="QW132"/>
      <c r="QX132"/>
      <c r="QY132"/>
      <c r="QZ132"/>
      <c r="RA132"/>
      <c r="RB132"/>
      <c r="RC132"/>
      <c r="RD132"/>
      <c r="RE132"/>
      <c r="RF132"/>
      <c r="RG132"/>
      <c r="RH132"/>
      <c r="RI132"/>
      <c r="RJ132"/>
      <c r="RK132"/>
      <c r="RL132"/>
      <c r="RM132"/>
      <c r="RN132"/>
      <c r="RO132"/>
      <c r="RP132"/>
      <c r="RQ132"/>
      <c r="RR132"/>
      <c r="RS132"/>
    </row>
    <row r="133" spans="3:487" x14ac:dyDescent="0.25">
      <c r="C133" s="2" t="s">
        <v>222</v>
      </c>
      <c r="D133" s="34">
        <v>1</v>
      </c>
      <c r="F133" s="2" t="s">
        <v>3800</v>
      </c>
      <c r="G133" s="34">
        <v>1</v>
      </c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  <c r="DU133"/>
      <c r="DV133"/>
      <c r="DW133"/>
      <c r="DX133"/>
      <c r="DY133"/>
      <c r="DZ133"/>
      <c r="EA133"/>
      <c r="EB133"/>
      <c r="EC133"/>
      <c r="ED133"/>
      <c r="EE133"/>
      <c r="EF133"/>
      <c r="EG133"/>
      <c r="EH133"/>
      <c r="EI133"/>
      <c r="EJ133"/>
      <c r="EK133"/>
      <c r="EL133"/>
      <c r="EM133"/>
      <c r="EN133"/>
      <c r="EO133"/>
      <c r="EP133"/>
      <c r="EQ133"/>
      <c r="ER133"/>
      <c r="ES133"/>
      <c r="ET133"/>
      <c r="EU133"/>
      <c r="EV133"/>
      <c r="EW133"/>
      <c r="EX133"/>
      <c r="EY133"/>
      <c r="EZ133"/>
      <c r="FA133"/>
      <c r="FB133"/>
      <c r="FC133"/>
      <c r="FD133"/>
      <c r="FE133"/>
      <c r="FF133"/>
      <c r="FG133"/>
      <c r="FH133"/>
      <c r="FI133"/>
      <c r="FJ133"/>
      <c r="FK133"/>
      <c r="FL133"/>
      <c r="FM133"/>
      <c r="FN133"/>
      <c r="FO133"/>
      <c r="FP133"/>
      <c r="FQ133"/>
      <c r="FR133"/>
      <c r="FS133"/>
      <c r="FT133"/>
      <c r="FU133"/>
      <c r="FV133"/>
      <c r="FW133"/>
      <c r="FX133"/>
      <c r="FY133"/>
      <c r="FZ133"/>
      <c r="GA133"/>
      <c r="GB133"/>
      <c r="GC133"/>
      <c r="GD133"/>
      <c r="GE133"/>
      <c r="GF133"/>
      <c r="GG133"/>
      <c r="GH133"/>
      <c r="GI133"/>
      <c r="GJ133"/>
      <c r="GK133"/>
      <c r="GL133"/>
      <c r="GM133"/>
      <c r="GN133"/>
      <c r="GO133"/>
      <c r="GP133"/>
      <c r="GQ133"/>
      <c r="GR133"/>
      <c r="GS133"/>
      <c r="GT133"/>
      <c r="GU133"/>
      <c r="GV133"/>
      <c r="GW133"/>
      <c r="GX133"/>
      <c r="GY133"/>
      <c r="GZ133"/>
      <c r="HA133"/>
      <c r="HB133"/>
      <c r="HC133"/>
      <c r="HD133"/>
      <c r="HE133"/>
      <c r="HF133"/>
      <c r="HG133"/>
      <c r="HH133"/>
      <c r="HI133"/>
      <c r="HJ133"/>
      <c r="HK133"/>
      <c r="HL133"/>
      <c r="HM133"/>
      <c r="HN133"/>
      <c r="HO133"/>
      <c r="HP133"/>
      <c r="HQ133"/>
      <c r="HR133"/>
      <c r="HS133"/>
      <c r="HT133"/>
      <c r="HU133"/>
      <c r="HV133"/>
      <c r="HW133"/>
      <c r="HX133"/>
      <c r="HY133"/>
      <c r="HZ133"/>
      <c r="IA133"/>
      <c r="IB133"/>
      <c r="IC133"/>
      <c r="ID133"/>
      <c r="IE133"/>
      <c r="IF133"/>
      <c r="IG133"/>
      <c r="IH133"/>
      <c r="II133"/>
      <c r="IJ133"/>
      <c r="IK133"/>
      <c r="IL133"/>
      <c r="IM133"/>
      <c r="IN133"/>
      <c r="IO133"/>
      <c r="IP133"/>
      <c r="IQ133"/>
      <c r="IR133"/>
      <c r="IS133"/>
      <c r="IT133"/>
      <c r="IU133"/>
      <c r="IV133"/>
      <c r="IW133"/>
      <c r="IX133"/>
      <c r="IY133"/>
      <c r="IZ133"/>
      <c r="JA133"/>
      <c r="JB133"/>
      <c r="JC133"/>
      <c r="JD133"/>
      <c r="JE133"/>
      <c r="JF133"/>
      <c r="JG133"/>
      <c r="JH133"/>
      <c r="JI133"/>
      <c r="JJ133"/>
      <c r="JK133"/>
      <c r="JL133"/>
      <c r="JM133"/>
      <c r="JN133"/>
      <c r="JO133"/>
      <c r="JP133"/>
      <c r="JQ133"/>
      <c r="JR133"/>
      <c r="JS133"/>
      <c r="JT133"/>
      <c r="JU133"/>
      <c r="JV133"/>
      <c r="JW133"/>
      <c r="JX133"/>
      <c r="JY133"/>
      <c r="JZ133"/>
      <c r="KA133"/>
      <c r="KB133"/>
      <c r="KC133"/>
      <c r="KD133"/>
      <c r="KE133"/>
      <c r="KF133"/>
      <c r="KG133"/>
      <c r="KH133"/>
      <c r="KI133"/>
      <c r="KJ133"/>
      <c r="KK133"/>
      <c r="KL133"/>
      <c r="KM133"/>
      <c r="KN133"/>
      <c r="KO133"/>
      <c r="KP133"/>
      <c r="KQ133"/>
      <c r="KR133"/>
      <c r="KS133"/>
      <c r="KT133"/>
      <c r="KU133"/>
      <c r="KV133"/>
      <c r="KW133"/>
      <c r="KX133"/>
      <c r="KY133"/>
      <c r="KZ133"/>
      <c r="LA133"/>
      <c r="LB133"/>
      <c r="LC133"/>
      <c r="LD133"/>
      <c r="LE133"/>
      <c r="LF133"/>
      <c r="LG133"/>
      <c r="LH133"/>
      <c r="LI133"/>
      <c r="LJ133"/>
      <c r="LK133"/>
      <c r="LL133"/>
      <c r="LM133"/>
      <c r="LN133"/>
      <c r="LO133"/>
      <c r="LP133"/>
      <c r="LQ133"/>
      <c r="LR133"/>
      <c r="LS133"/>
      <c r="LT133"/>
      <c r="LU133"/>
      <c r="LV133"/>
      <c r="LW133"/>
      <c r="LX133"/>
      <c r="LY133"/>
      <c r="LZ133"/>
      <c r="MA133"/>
      <c r="MB133"/>
      <c r="MC133"/>
      <c r="MD133"/>
      <c r="ME133"/>
      <c r="MF133"/>
      <c r="MG133"/>
      <c r="MH133"/>
      <c r="MI133"/>
      <c r="MJ133"/>
      <c r="MK133"/>
      <c r="ML133"/>
      <c r="MM133"/>
      <c r="MN133"/>
      <c r="MO133"/>
      <c r="MP133"/>
      <c r="MQ133"/>
      <c r="MR133"/>
      <c r="MS133"/>
      <c r="MT133"/>
      <c r="MU133"/>
      <c r="MV133"/>
      <c r="MW133"/>
      <c r="MX133"/>
      <c r="MY133"/>
      <c r="MZ133"/>
      <c r="NA133"/>
      <c r="NB133"/>
      <c r="NC133"/>
      <c r="ND133"/>
      <c r="NE133"/>
      <c r="NF133"/>
      <c r="NG133"/>
      <c r="NH133"/>
      <c r="NI133"/>
      <c r="NJ133"/>
      <c r="NK133"/>
      <c r="NL133"/>
      <c r="NM133"/>
      <c r="NN133"/>
      <c r="NO133"/>
      <c r="NP133"/>
      <c r="NQ133"/>
      <c r="NR133"/>
      <c r="NS133"/>
      <c r="NT133"/>
      <c r="NU133"/>
      <c r="NV133"/>
      <c r="NW133"/>
      <c r="NX133"/>
      <c r="NY133"/>
      <c r="NZ133"/>
      <c r="OA133"/>
      <c r="OB133"/>
      <c r="OC133"/>
      <c r="OD133"/>
      <c r="OE133"/>
      <c r="OF133"/>
      <c r="OG133"/>
      <c r="OH133"/>
      <c r="OI133"/>
      <c r="OJ133"/>
      <c r="OK133"/>
      <c r="OL133"/>
      <c r="OM133"/>
      <c r="ON133"/>
      <c r="OO133"/>
      <c r="OP133"/>
      <c r="OQ133"/>
      <c r="OR133"/>
      <c r="OS133"/>
      <c r="OT133"/>
      <c r="OU133"/>
      <c r="OV133"/>
      <c r="OW133"/>
      <c r="OX133"/>
      <c r="OY133"/>
      <c r="OZ133"/>
      <c r="PA133"/>
      <c r="PB133"/>
      <c r="PC133"/>
      <c r="PD133"/>
      <c r="PE133"/>
      <c r="PF133"/>
      <c r="PG133"/>
      <c r="PH133"/>
      <c r="PI133"/>
      <c r="PJ133"/>
      <c r="PK133"/>
      <c r="PL133"/>
      <c r="PM133"/>
      <c r="PN133"/>
      <c r="PO133"/>
      <c r="PP133"/>
      <c r="PQ133"/>
      <c r="PR133"/>
      <c r="PS133"/>
      <c r="PT133"/>
      <c r="PU133"/>
      <c r="PV133"/>
      <c r="PW133"/>
      <c r="PX133"/>
      <c r="PY133"/>
      <c r="PZ133"/>
      <c r="QA133"/>
      <c r="QB133"/>
      <c r="QC133"/>
      <c r="QD133"/>
      <c r="QE133"/>
      <c r="QF133"/>
      <c r="QG133"/>
      <c r="QH133"/>
      <c r="QI133"/>
      <c r="QJ133"/>
      <c r="QK133"/>
      <c r="QL133"/>
      <c r="QM133"/>
      <c r="QN133"/>
      <c r="QO133"/>
      <c r="QP133"/>
      <c r="QQ133"/>
      <c r="QR133"/>
      <c r="QS133"/>
      <c r="QT133"/>
      <c r="QU133"/>
      <c r="QV133"/>
      <c r="QW133"/>
      <c r="QX133"/>
      <c r="QY133"/>
      <c r="QZ133"/>
      <c r="RA133"/>
      <c r="RB133"/>
      <c r="RC133"/>
      <c r="RD133"/>
      <c r="RE133"/>
      <c r="RF133"/>
      <c r="RG133"/>
      <c r="RH133"/>
      <c r="RI133"/>
      <c r="RJ133"/>
      <c r="RK133"/>
      <c r="RL133"/>
      <c r="RM133"/>
      <c r="RN133"/>
      <c r="RO133"/>
      <c r="RP133"/>
      <c r="RQ133"/>
      <c r="RR133"/>
      <c r="RS133"/>
    </row>
    <row r="134" spans="3:487" x14ac:dyDescent="0.25">
      <c r="C134" s="2" t="s">
        <v>208</v>
      </c>
      <c r="D134" s="34">
        <v>1</v>
      </c>
      <c r="F134" s="2" t="s">
        <v>278</v>
      </c>
      <c r="G134" s="34">
        <v>1</v>
      </c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  <c r="DU134"/>
      <c r="DV134"/>
      <c r="DW134"/>
      <c r="DX134"/>
      <c r="DY134"/>
      <c r="DZ134"/>
      <c r="EA134"/>
      <c r="EB134"/>
      <c r="EC134"/>
      <c r="ED134"/>
      <c r="EE134"/>
      <c r="EF134"/>
      <c r="EG134"/>
      <c r="EH134"/>
      <c r="EI134"/>
      <c r="EJ134"/>
      <c r="EK134"/>
      <c r="EL134"/>
      <c r="EM134"/>
      <c r="EN134"/>
      <c r="EO134"/>
      <c r="EP134"/>
      <c r="EQ134"/>
      <c r="ER134"/>
      <c r="ES134"/>
      <c r="ET134"/>
      <c r="EU134"/>
      <c r="EV134"/>
      <c r="EW134"/>
      <c r="EX134"/>
      <c r="EY134"/>
      <c r="EZ134"/>
      <c r="FA134"/>
      <c r="FB134"/>
      <c r="FC134"/>
      <c r="FD134"/>
      <c r="FE134"/>
      <c r="FF134"/>
      <c r="FG134"/>
      <c r="FH134"/>
      <c r="FI134"/>
      <c r="FJ134"/>
      <c r="FK134"/>
      <c r="FL134"/>
      <c r="FM134"/>
      <c r="FN134"/>
      <c r="FO134"/>
      <c r="FP134"/>
      <c r="FQ134"/>
      <c r="FR134"/>
      <c r="FS134"/>
      <c r="FT134"/>
      <c r="FU134"/>
      <c r="FV134"/>
      <c r="FW134"/>
      <c r="FX134"/>
      <c r="FY134"/>
      <c r="FZ134"/>
      <c r="GA134"/>
      <c r="GB134"/>
      <c r="GC134"/>
      <c r="GD134"/>
      <c r="GE134"/>
      <c r="GF134"/>
      <c r="GG134"/>
      <c r="GH134"/>
      <c r="GI134"/>
      <c r="GJ134"/>
      <c r="GK134"/>
      <c r="GL134"/>
      <c r="GM134"/>
      <c r="GN134"/>
      <c r="GO134"/>
      <c r="GP134"/>
      <c r="GQ134"/>
      <c r="GR134"/>
      <c r="GS134"/>
      <c r="GT134"/>
      <c r="GU134"/>
      <c r="GV134"/>
      <c r="GW134"/>
      <c r="GX134"/>
      <c r="GY134"/>
      <c r="GZ134"/>
      <c r="HA134"/>
      <c r="HB134"/>
      <c r="HC134"/>
      <c r="HD134"/>
      <c r="HE134"/>
      <c r="HF134"/>
      <c r="HG134"/>
      <c r="HH134"/>
      <c r="HI134"/>
      <c r="HJ134"/>
      <c r="HK134"/>
      <c r="HL134"/>
      <c r="HM134"/>
      <c r="HN134"/>
      <c r="HO134"/>
      <c r="HP134"/>
      <c r="HQ134"/>
      <c r="HR134"/>
      <c r="HS134"/>
      <c r="HT134"/>
      <c r="HU134"/>
      <c r="HV134"/>
      <c r="HW134"/>
      <c r="HX134"/>
      <c r="HY134"/>
      <c r="HZ134"/>
      <c r="IA134"/>
      <c r="IB134"/>
      <c r="IC134"/>
      <c r="ID134"/>
      <c r="IE134"/>
      <c r="IF134"/>
      <c r="IG134"/>
      <c r="IH134"/>
      <c r="II134"/>
      <c r="IJ134"/>
      <c r="IK134"/>
      <c r="IL134"/>
      <c r="IM134"/>
      <c r="IN134"/>
      <c r="IO134"/>
      <c r="IP134"/>
      <c r="IQ134"/>
      <c r="IR134"/>
      <c r="IS134"/>
      <c r="IT134"/>
      <c r="IU134"/>
      <c r="IV134"/>
      <c r="IW134"/>
      <c r="IX134"/>
      <c r="IY134"/>
      <c r="IZ134"/>
      <c r="JA134"/>
      <c r="JB134"/>
      <c r="JC134"/>
      <c r="JD134"/>
      <c r="JE134"/>
      <c r="JF134"/>
      <c r="JG134"/>
      <c r="JH134"/>
      <c r="JI134"/>
      <c r="JJ134"/>
      <c r="JK134"/>
      <c r="JL134"/>
      <c r="JM134"/>
      <c r="JN134"/>
      <c r="JO134"/>
      <c r="JP134"/>
      <c r="JQ134"/>
      <c r="JR134"/>
      <c r="JS134"/>
      <c r="JT134"/>
      <c r="JU134"/>
      <c r="JV134"/>
      <c r="JW134"/>
      <c r="JX134"/>
      <c r="JY134"/>
      <c r="JZ134"/>
      <c r="KA134"/>
      <c r="KB134"/>
      <c r="KC134"/>
      <c r="KD134"/>
      <c r="KE134"/>
      <c r="KF134"/>
      <c r="KG134"/>
      <c r="KH134"/>
      <c r="KI134"/>
      <c r="KJ134"/>
      <c r="KK134"/>
      <c r="KL134"/>
      <c r="KM134"/>
      <c r="KN134"/>
      <c r="KO134"/>
      <c r="KP134"/>
      <c r="KQ134"/>
      <c r="KR134"/>
      <c r="KS134"/>
      <c r="KT134"/>
      <c r="KU134"/>
      <c r="KV134"/>
      <c r="KW134"/>
      <c r="KX134"/>
      <c r="KY134"/>
      <c r="KZ134"/>
      <c r="LA134"/>
      <c r="LB134"/>
      <c r="LC134"/>
      <c r="LD134"/>
      <c r="LE134"/>
      <c r="LF134"/>
      <c r="LG134"/>
      <c r="LH134"/>
      <c r="LI134"/>
      <c r="LJ134"/>
      <c r="LK134"/>
      <c r="LL134"/>
      <c r="LM134"/>
      <c r="LN134"/>
      <c r="LO134"/>
      <c r="LP134"/>
      <c r="LQ134"/>
      <c r="LR134"/>
      <c r="LS134"/>
      <c r="LT134"/>
      <c r="LU134"/>
      <c r="LV134"/>
      <c r="LW134"/>
      <c r="LX134"/>
      <c r="LY134"/>
      <c r="LZ134"/>
      <c r="MA134"/>
      <c r="MB134"/>
      <c r="MC134"/>
      <c r="MD134"/>
      <c r="ME134"/>
      <c r="MF134"/>
      <c r="MG134"/>
      <c r="MH134"/>
      <c r="MI134"/>
      <c r="MJ134"/>
      <c r="MK134"/>
      <c r="ML134"/>
      <c r="MM134"/>
      <c r="MN134"/>
      <c r="MO134"/>
      <c r="MP134"/>
      <c r="MQ134"/>
      <c r="MR134"/>
      <c r="MS134"/>
      <c r="MT134"/>
      <c r="MU134"/>
      <c r="MV134"/>
      <c r="MW134"/>
      <c r="MX134"/>
      <c r="MY134"/>
      <c r="MZ134"/>
      <c r="NA134"/>
      <c r="NB134"/>
      <c r="NC134"/>
      <c r="ND134"/>
      <c r="NE134"/>
      <c r="NF134"/>
      <c r="NG134"/>
      <c r="NH134"/>
      <c r="NI134"/>
      <c r="NJ134"/>
      <c r="NK134"/>
      <c r="NL134"/>
      <c r="NM134"/>
      <c r="NN134"/>
      <c r="NO134"/>
      <c r="NP134"/>
      <c r="NQ134"/>
      <c r="NR134"/>
      <c r="NS134"/>
      <c r="NT134"/>
      <c r="NU134"/>
      <c r="NV134"/>
      <c r="NW134"/>
      <c r="NX134"/>
      <c r="NY134"/>
      <c r="NZ134"/>
      <c r="OA134"/>
      <c r="OB134"/>
      <c r="OC134"/>
      <c r="OD134"/>
      <c r="OE134"/>
      <c r="OF134"/>
      <c r="OG134"/>
      <c r="OH134"/>
      <c r="OI134"/>
      <c r="OJ134"/>
      <c r="OK134"/>
      <c r="OL134"/>
      <c r="OM134"/>
      <c r="ON134"/>
      <c r="OO134"/>
      <c r="OP134"/>
      <c r="OQ134"/>
      <c r="OR134"/>
      <c r="OS134"/>
      <c r="OT134"/>
      <c r="OU134"/>
      <c r="OV134"/>
      <c r="OW134"/>
      <c r="OX134"/>
      <c r="OY134"/>
      <c r="OZ134"/>
      <c r="PA134"/>
      <c r="PB134"/>
      <c r="PC134"/>
      <c r="PD134"/>
      <c r="PE134"/>
      <c r="PF134"/>
      <c r="PG134"/>
      <c r="PH134"/>
      <c r="PI134"/>
      <c r="PJ134"/>
      <c r="PK134"/>
      <c r="PL134"/>
      <c r="PM134"/>
      <c r="PN134"/>
      <c r="PO134"/>
      <c r="PP134"/>
      <c r="PQ134"/>
      <c r="PR134"/>
      <c r="PS134"/>
      <c r="PT134"/>
      <c r="PU134"/>
      <c r="PV134"/>
      <c r="PW134"/>
      <c r="PX134"/>
      <c r="PY134"/>
      <c r="PZ134"/>
      <c r="QA134"/>
      <c r="QB134"/>
      <c r="QC134"/>
      <c r="QD134"/>
      <c r="QE134"/>
      <c r="QF134"/>
      <c r="QG134"/>
      <c r="QH134"/>
      <c r="QI134"/>
      <c r="QJ134"/>
      <c r="QK134"/>
      <c r="QL134"/>
      <c r="QM134"/>
      <c r="QN134"/>
      <c r="QO134"/>
      <c r="QP134"/>
      <c r="QQ134"/>
      <c r="QR134"/>
      <c r="QS134"/>
      <c r="QT134"/>
      <c r="QU134"/>
      <c r="QV134"/>
      <c r="QW134"/>
      <c r="QX134"/>
      <c r="QY134"/>
      <c r="QZ134"/>
      <c r="RA134"/>
      <c r="RB134"/>
      <c r="RC134"/>
      <c r="RD134"/>
      <c r="RE134"/>
      <c r="RF134"/>
      <c r="RG134"/>
      <c r="RH134"/>
      <c r="RI134"/>
      <c r="RJ134"/>
      <c r="RK134"/>
      <c r="RL134"/>
      <c r="RM134"/>
      <c r="RN134"/>
      <c r="RO134"/>
      <c r="RP134"/>
      <c r="RQ134"/>
      <c r="RR134"/>
      <c r="RS134"/>
    </row>
    <row r="135" spans="3:487" x14ac:dyDescent="0.25">
      <c r="C135" s="2" t="s">
        <v>226</v>
      </c>
      <c r="D135" s="34">
        <v>1</v>
      </c>
      <c r="F135" s="2" t="s">
        <v>3749</v>
      </c>
      <c r="G135" s="34">
        <v>1</v>
      </c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  <c r="DU135"/>
      <c r="DV135"/>
      <c r="DW135"/>
      <c r="DX135"/>
      <c r="DY135"/>
      <c r="DZ135"/>
      <c r="EA135"/>
      <c r="EB135"/>
      <c r="EC135"/>
      <c r="ED135"/>
      <c r="EE135"/>
      <c r="EF135"/>
      <c r="EG135"/>
      <c r="EH135"/>
      <c r="EI135"/>
      <c r="EJ135"/>
      <c r="EK135"/>
      <c r="EL135"/>
      <c r="EM135"/>
      <c r="EN135"/>
      <c r="EO135"/>
      <c r="EP135"/>
      <c r="EQ135"/>
      <c r="ER135"/>
      <c r="ES135"/>
      <c r="ET135"/>
      <c r="EU135"/>
      <c r="EV135"/>
      <c r="EW135"/>
      <c r="EX135"/>
      <c r="EY135"/>
      <c r="EZ135"/>
      <c r="FA135"/>
      <c r="FB135"/>
      <c r="FC135"/>
      <c r="FD135"/>
      <c r="FE135"/>
      <c r="FF135"/>
      <c r="FG135"/>
      <c r="FH135"/>
      <c r="FI135"/>
      <c r="FJ135"/>
      <c r="FK135"/>
      <c r="FL135"/>
      <c r="FM135"/>
      <c r="FN135"/>
      <c r="FO135"/>
      <c r="FP135"/>
      <c r="FQ135"/>
      <c r="FR135"/>
      <c r="FS135"/>
      <c r="FT135"/>
      <c r="FU135"/>
      <c r="FV135"/>
      <c r="FW135"/>
      <c r="FX135"/>
      <c r="FY135"/>
      <c r="FZ135"/>
      <c r="GA135"/>
      <c r="GB135"/>
      <c r="GC135"/>
      <c r="GD135"/>
      <c r="GE135"/>
      <c r="GF135"/>
      <c r="GG135"/>
      <c r="GH135"/>
      <c r="GI135"/>
      <c r="GJ135"/>
      <c r="GK135"/>
      <c r="GL135"/>
      <c r="GM135"/>
      <c r="GN135"/>
      <c r="GO135"/>
      <c r="GP135"/>
      <c r="GQ135"/>
      <c r="GR135"/>
      <c r="GS135"/>
      <c r="GT135"/>
      <c r="GU135"/>
      <c r="GV135"/>
      <c r="GW135"/>
      <c r="GX135"/>
      <c r="GY135"/>
      <c r="GZ135"/>
      <c r="HA135"/>
      <c r="HB135"/>
      <c r="HC135"/>
      <c r="HD135"/>
      <c r="HE135"/>
      <c r="HF135"/>
      <c r="HG135"/>
      <c r="HH135"/>
      <c r="HI135"/>
      <c r="HJ135"/>
      <c r="HK135"/>
      <c r="HL135"/>
      <c r="HM135"/>
      <c r="HN135"/>
      <c r="HO135"/>
      <c r="HP135"/>
      <c r="HQ135"/>
      <c r="HR135"/>
      <c r="HS135"/>
      <c r="HT135"/>
      <c r="HU135"/>
      <c r="HV135"/>
      <c r="HW135"/>
      <c r="HX135"/>
      <c r="HY135"/>
      <c r="HZ135"/>
      <c r="IA135"/>
      <c r="IB135"/>
      <c r="IC135"/>
      <c r="ID135"/>
      <c r="IE135"/>
      <c r="IF135"/>
      <c r="IG135"/>
      <c r="IH135"/>
      <c r="II135"/>
      <c r="IJ135"/>
      <c r="IK135"/>
      <c r="IL135"/>
      <c r="IM135"/>
      <c r="IN135"/>
      <c r="IO135"/>
      <c r="IP135"/>
      <c r="IQ135"/>
      <c r="IR135"/>
      <c r="IS135"/>
      <c r="IT135"/>
      <c r="IU135"/>
      <c r="IV135"/>
      <c r="IW135"/>
      <c r="IX135"/>
      <c r="IY135"/>
      <c r="IZ135"/>
      <c r="JA135"/>
      <c r="JB135"/>
      <c r="JC135"/>
      <c r="JD135"/>
      <c r="JE135"/>
      <c r="JF135"/>
      <c r="JG135"/>
      <c r="JH135"/>
      <c r="JI135"/>
      <c r="JJ135"/>
      <c r="JK135"/>
      <c r="JL135"/>
      <c r="JM135"/>
      <c r="JN135"/>
      <c r="JO135"/>
      <c r="JP135"/>
      <c r="JQ135"/>
      <c r="JR135"/>
      <c r="JS135"/>
      <c r="JT135"/>
      <c r="JU135"/>
      <c r="JV135"/>
      <c r="JW135"/>
      <c r="JX135"/>
      <c r="JY135"/>
      <c r="JZ135"/>
      <c r="KA135"/>
      <c r="KB135"/>
      <c r="KC135"/>
      <c r="KD135"/>
      <c r="KE135"/>
      <c r="KF135"/>
      <c r="KG135"/>
      <c r="KH135"/>
      <c r="KI135"/>
      <c r="KJ135"/>
      <c r="KK135"/>
      <c r="KL135"/>
      <c r="KM135"/>
      <c r="KN135"/>
      <c r="KO135"/>
      <c r="KP135"/>
      <c r="KQ135"/>
      <c r="KR135"/>
      <c r="KS135"/>
      <c r="KT135"/>
      <c r="KU135"/>
      <c r="KV135"/>
      <c r="KW135"/>
      <c r="KX135"/>
      <c r="KY135"/>
      <c r="KZ135"/>
      <c r="LA135"/>
      <c r="LB135"/>
      <c r="LC135"/>
      <c r="LD135"/>
      <c r="LE135"/>
      <c r="LF135"/>
      <c r="LG135"/>
      <c r="LH135"/>
      <c r="LI135"/>
      <c r="LJ135"/>
      <c r="LK135"/>
      <c r="LL135"/>
      <c r="LM135"/>
      <c r="LN135"/>
      <c r="LO135"/>
      <c r="LP135"/>
      <c r="LQ135"/>
      <c r="LR135"/>
      <c r="LS135"/>
      <c r="LT135"/>
      <c r="LU135"/>
      <c r="LV135"/>
      <c r="LW135"/>
      <c r="LX135"/>
      <c r="LY135"/>
      <c r="LZ135"/>
      <c r="MA135"/>
      <c r="MB135"/>
      <c r="MC135"/>
      <c r="MD135"/>
      <c r="ME135"/>
      <c r="MF135"/>
      <c r="MG135"/>
      <c r="MH135"/>
      <c r="MI135"/>
      <c r="MJ135"/>
      <c r="MK135"/>
      <c r="ML135"/>
      <c r="MM135"/>
      <c r="MN135"/>
      <c r="MO135"/>
      <c r="MP135"/>
      <c r="MQ135"/>
      <c r="MR135"/>
      <c r="MS135"/>
      <c r="MT135"/>
      <c r="MU135"/>
      <c r="MV135"/>
      <c r="MW135"/>
      <c r="MX135"/>
      <c r="MY135"/>
      <c r="MZ135"/>
      <c r="NA135"/>
      <c r="NB135"/>
      <c r="NC135"/>
      <c r="ND135"/>
      <c r="NE135"/>
      <c r="NF135"/>
      <c r="NG135"/>
      <c r="NH135"/>
      <c r="NI135"/>
      <c r="NJ135"/>
      <c r="NK135"/>
      <c r="NL135"/>
      <c r="NM135"/>
      <c r="NN135"/>
      <c r="NO135"/>
      <c r="NP135"/>
      <c r="NQ135"/>
      <c r="NR135"/>
      <c r="NS135"/>
      <c r="NT135"/>
      <c r="NU135"/>
      <c r="NV135"/>
      <c r="NW135"/>
      <c r="NX135"/>
      <c r="NY135"/>
      <c r="NZ135"/>
      <c r="OA135"/>
      <c r="OB135"/>
      <c r="OC135"/>
      <c r="OD135"/>
      <c r="OE135"/>
      <c r="OF135"/>
      <c r="OG135"/>
      <c r="OH135"/>
      <c r="OI135"/>
      <c r="OJ135"/>
      <c r="OK135"/>
      <c r="OL135"/>
      <c r="OM135"/>
      <c r="ON135"/>
      <c r="OO135"/>
      <c r="OP135"/>
      <c r="OQ135"/>
      <c r="OR135"/>
      <c r="OS135"/>
      <c r="OT135"/>
      <c r="OU135"/>
      <c r="OV135"/>
      <c r="OW135"/>
      <c r="OX135"/>
      <c r="OY135"/>
      <c r="OZ135"/>
      <c r="PA135"/>
      <c r="PB135"/>
      <c r="PC135"/>
      <c r="PD135"/>
      <c r="PE135"/>
      <c r="PF135"/>
      <c r="PG135"/>
      <c r="PH135"/>
      <c r="PI135"/>
      <c r="PJ135"/>
      <c r="PK135"/>
      <c r="PL135"/>
      <c r="PM135"/>
      <c r="PN135"/>
      <c r="PO135"/>
      <c r="PP135"/>
      <c r="PQ135"/>
      <c r="PR135"/>
      <c r="PS135"/>
      <c r="PT135"/>
      <c r="PU135"/>
      <c r="PV135"/>
      <c r="PW135"/>
      <c r="PX135"/>
      <c r="PY135"/>
      <c r="PZ135"/>
      <c r="QA135"/>
      <c r="QB135"/>
      <c r="QC135"/>
      <c r="QD135"/>
      <c r="QE135"/>
      <c r="QF135"/>
      <c r="QG135"/>
      <c r="QH135"/>
      <c r="QI135"/>
      <c r="QJ135"/>
      <c r="QK135"/>
      <c r="QL135"/>
      <c r="QM135"/>
      <c r="QN135"/>
      <c r="QO135"/>
      <c r="QP135"/>
      <c r="QQ135"/>
      <c r="QR135"/>
      <c r="QS135"/>
      <c r="QT135"/>
      <c r="QU135"/>
      <c r="QV135"/>
      <c r="QW135"/>
      <c r="QX135"/>
      <c r="QY135"/>
      <c r="QZ135"/>
      <c r="RA135"/>
      <c r="RB135"/>
      <c r="RC135"/>
      <c r="RD135"/>
      <c r="RE135"/>
      <c r="RF135"/>
      <c r="RG135"/>
      <c r="RH135"/>
      <c r="RI135"/>
      <c r="RJ135"/>
      <c r="RK135"/>
      <c r="RL135"/>
      <c r="RM135"/>
      <c r="RN135"/>
      <c r="RO135"/>
      <c r="RP135"/>
      <c r="RQ135"/>
      <c r="RR135"/>
      <c r="RS135"/>
    </row>
    <row r="136" spans="3:487" x14ac:dyDescent="0.25">
      <c r="C136" s="2" t="s">
        <v>123</v>
      </c>
      <c r="D136" s="34">
        <v>1</v>
      </c>
      <c r="F136" s="2" t="s">
        <v>1311</v>
      </c>
      <c r="G136" s="34">
        <v>1</v>
      </c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  <c r="DU136"/>
      <c r="DV136"/>
      <c r="DW136"/>
      <c r="DX136"/>
      <c r="DY136"/>
      <c r="DZ136"/>
      <c r="EA136"/>
      <c r="EB136"/>
      <c r="EC136"/>
      <c r="ED136"/>
      <c r="EE136"/>
      <c r="EF136"/>
      <c r="EG136"/>
      <c r="EH136"/>
      <c r="EI136"/>
      <c r="EJ136"/>
      <c r="EK136"/>
      <c r="EL136"/>
      <c r="EM136"/>
      <c r="EN136"/>
      <c r="EO136"/>
      <c r="EP136"/>
      <c r="EQ136"/>
      <c r="ER136"/>
      <c r="ES136"/>
      <c r="ET136"/>
      <c r="EU136"/>
      <c r="EV136"/>
      <c r="EW136"/>
      <c r="EX136"/>
      <c r="EY136"/>
      <c r="EZ136"/>
      <c r="FA136"/>
      <c r="FB136"/>
      <c r="FC136"/>
      <c r="FD136"/>
      <c r="FE136"/>
      <c r="FF136"/>
      <c r="FG136"/>
      <c r="FH136"/>
      <c r="FI136"/>
      <c r="FJ136"/>
      <c r="FK136"/>
      <c r="FL136"/>
      <c r="FM136"/>
      <c r="FN136"/>
      <c r="FO136"/>
      <c r="FP136"/>
      <c r="FQ136"/>
      <c r="FR136"/>
      <c r="FS136"/>
      <c r="FT136"/>
      <c r="FU136"/>
      <c r="FV136"/>
      <c r="FW136"/>
      <c r="FX136"/>
      <c r="FY136"/>
      <c r="FZ136"/>
      <c r="GA136"/>
      <c r="GB136"/>
      <c r="GC136"/>
      <c r="GD136"/>
      <c r="GE136"/>
      <c r="GF136"/>
      <c r="GG136"/>
      <c r="GH136"/>
      <c r="GI136"/>
      <c r="GJ136"/>
      <c r="GK136"/>
      <c r="GL136"/>
      <c r="GM136"/>
      <c r="GN136"/>
      <c r="GO136"/>
      <c r="GP136"/>
      <c r="GQ136"/>
      <c r="GR136"/>
      <c r="GS136"/>
      <c r="GT136"/>
      <c r="GU136"/>
      <c r="GV136"/>
      <c r="GW136"/>
      <c r="GX136"/>
      <c r="GY136"/>
      <c r="GZ136"/>
      <c r="HA136"/>
      <c r="HB136"/>
      <c r="HC136"/>
      <c r="HD136"/>
      <c r="HE136"/>
      <c r="HF136"/>
      <c r="HG136"/>
      <c r="HH136"/>
      <c r="HI136"/>
      <c r="HJ136"/>
      <c r="HK136"/>
      <c r="HL136"/>
      <c r="HM136"/>
      <c r="HN136"/>
      <c r="HO136"/>
      <c r="HP136"/>
      <c r="HQ136"/>
      <c r="HR136"/>
      <c r="HS136"/>
      <c r="HT136"/>
      <c r="HU136"/>
      <c r="HV136"/>
      <c r="HW136"/>
      <c r="HX136"/>
      <c r="HY136"/>
      <c r="HZ136"/>
      <c r="IA136"/>
      <c r="IB136"/>
      <c r="IC136"/>
      <c r="ID136"/>
      <c r="IE136"/>
      <c r="IF136"/>
      <c r="IG136"/>
      <c r="IH136"/>
      <c r="II136"/>
      <c r="IJ136"/>
      <c r="IK136"/>
      <c r="IL136"/>
      <c r="IM136"/>
      <c r="IN136"/>
      <c r="IO136"/>
      <c r="IP136"/>
      <c r="IQ136"/>
      <c r="IR136"/>
      <c r="IS136"/>
      <c r="IT136"/>
      <c r="IU136"/>
      <c r="IV136"/>
      <c r="IW136"/>
      <c r="IX136"/>
      <c r="IY136"/>
      <c r="IZ136"/>
      <c r="JA136"/>
      <c r="JB136"/>
      <c r="JC136"/>
      <c r="JD136"/>
      <c r="JE136"/>
      <c r="JF136"/>
      <c r="JG136"/>
      <c r="JH136"/>
      <c r="JI136"/>
      <c r="JJ136"/>
      <c r="JK136"/>
      <c r="JL136"/>
      <c r="JM136"/>
      <c r="JN136"/>
      <c r="JO136"/>
      <c r="JP136"/>
      <c r="JQ136"/>
      <c r="JR136"/>
      <c r="JS136"/>
      <c r="JT136"/>
      <c r="JU136"/>
      <c r="JV136"/>
      <c r="JW136"/>
      <c r="JX136"/>
      <c r="JY136"/>
      <c r="JZ136"/>
      <c r="KA136"/>
      <c r="KB136"/>
      <c r="KC136"/>
      <c r="KD136"/>
      <c r="KE136"/>
      <c r="KF136"/>
      <c r="KG136"/>
      <c r="KH136"/>
      <c r="KI136"/>
      <c r="KJ136"/>
      <c r="KK136"/>
      <c r="KL136"/>
      <c r="KM136"/>
      <c r="KN136"/>
      <c r="KO136"/>
      <c r="KP136"/>
      <c r="KQ136"/>
      <c r="KR136"/>
      <c r="KS136"/>
      <c r="KT136"/>
      <c r="KU136"/>
      <c r="KV136"/>
      <c r="KW136"/>
      <c r="KX136"/>
      <c r="KY136"/>
      <c r="KZ136"/>
      <c r="LA136"/>
      <c r="LB136"/>
      <c r="LC136"/>
      <c r="LD136"/>
      <c r="LE136"/>
      <c r="LF136"/>
      <c r="LG136"/>
      <c r="LH136"/>
      <c r="LI136"/>
      <c r="LJ136"/>
      <c r="LK136"/>
      <c r="LL136"/>
      <c r="LM136"/>
      <c r="LN136"/>
      <c r="LO136"/>
      <c r="LP136"/>
      <c r="LQ136"/>
      <c r="LR136"/>
      <c r="LS136"/>
      <c r="LT136"/>
      <c r="LU136"/>
      <c r="LV136"/>
      <c r="LW136"/>
      <c r="LX136"/>
      <c r="LY136"/>
      <c r="LZ136"/>
      <c r="MA136"/>
      <c r="MB136"/>
      <c r="MC136"/>
      <c r="MD136"/>
      <c r="ME136"/>
      <c r="MF136"/>
      <c r="MG136"/>
      <c r="MH136"/>
      <c r="MI136"/>
      <c r="MJ136"/>
      <c r="MK136"/>
      <c r="ML136"/>
      <c r="MM136"/>
      <c r="MN136"/>
      <c r="MO136"/>
      <c r="MP136"/>
      <c r="MQ136"/>
      <c r="MR136"/>
      <c r="MS136"/>
      <c r="MT136"/>
      <c r="MU136"/>
      <c r="MV136"/>
      <c r="MW136"/>
      <c r="MX136"/>
      <c r="MY136"/>
      <c r="MZ136"/>
      <c r="NA136"/>
      <c r="NB136"/>
      <c r="NC136"/>
      <c r="ND136"/>
      <c r="NE136"/>
      <c r="NF136"/>
      <c r="NG136"/>
      <c r="NH136"/>
      <c r="NI136"/>
      <c r="NJ136"/>
      <c r="NK136"/>
      <c r="NL136"/>
      <c r="NM136"/>
      <c r="NN136"/>
      <c r="NO136"/>
      <c r="NP136"/>
      <c r="NQ136"/>
      <c r="NR136"/>
      <c r="NS136"/>
      <c r="NT136"/>
      <c r="NU136"/>
      <c r="NV136"/>
      <c r="NW136"/>
      <c r="NX136"/>
      <c r="NY136"/>
      <c r="NZ136"/>
      <c r="OA136"/>
      <c r="OB136"/>
      <c r="OC136"/>
      <c r="OD136"/>
      <c r="OE136"/>
      <c r="OF136"/>
      <c r="OG136"/>
      <c r="OH136"/>
      <c r="OI136"/>
      <c r="OJ136"/>
      <c r="OK136"/>
      <c r="OL136"/>
      <c r="OM136"/>
      <c r="ON136"/>
      <c r="OO136"/>
      <c r="OP136"/>
      <c r="OQ136"/>
      <c r="OR136"/>
      <c r="OS136"/>
      <c r="OT136"/>
      <c r="OU136"/>
      <c r="OV136"/>
      <c r="OW136"/>
      <c r="OX136"/>
      <c r="OY136"/>
      <c r="OZ136"/>
      <c r="PA136"/>
      <c r="PB136"/>
      <c r="PC136"/>
      <c r="PD136"/>
      <c r="PE136"/>
      <c r="PF136"/>
      <c r="PG136"/>
      <c r="PH136"/>
      <c r="PI136"/>
      <c r="PJ136"/>
      <c r="PK136"/>
      <c r="PL136"/>
      <c r="PM136"/>
      <c r="PN136"/>
      <c r="PO136"/>
      <c r="PP136"/>
      <c r="PQ136"/>
      <c r="PR136"/>
      <c r="PS136"/>
      <c r="PT136"/>
      <c r="PU136"/>
      <c r="PV136"/>
      <c r="PW136"/>
      <c r="PX136"/>
      <c r="PY136"/>
      <c r="PZ136"/>
      <c r="QA136"/>
      <c r="QB136"/>
      <c r="QC136"/>
      <c r="QD136"/>
      <c r="QE136"/>
      <c r="QF136"/>
      <c r="QG136"/>
      <c r="QH136"/>
      <c r="QI136"/>
      <c r="QJ136"/>
      <c r="QK136"/>
      <c r="QL136"/>
      <c r="QM136"/>
      <c r="QN136"/>
      <c r="QO136"/>
      <c r="QP136"/>
      <c r="QQ136"/>
      <c r="QR136"/>
      <c r="QS136"/>
      <c r="QT136"/>
      <c r="QU136"/>
      <c r="QV136"/>
      <c r="QW136"/>
      <c r="QX136"/>
      <c r="QY136"/>
      <c r="QZ136"/>
      <c r="RA136"/>
      <c r="RB136"/>
      <c r="RC136"/>
      <c r="RD136"/>
      <c r="RE136"/>
      <c r="RF136"/>
      <c r="RG136"/>
      <c r="RH136"/>
      <c r="RI136"/>
      <c r="RJ136"/>
      <c r="RK136"/>
      <c r="RL136"/>
      <c r="RM136"/>
      <c r="RN136"/>
      <c r="RO136"/>
      <c r="RP136"/>
      <c r="RQ136"/>
      <c r="RR136"/>
      <c r="RS136"/>
    </row>
    <row r="137" spans="3:487" x14ac:dyDescent="0.25">
      <c r="C137" s="2" t="s">
        <v>230</v>
      </c>
      <c r="D137" s="34">
        <v>1</v>
      </c>
      <c r="F137" s="2" t="s">
        <v>236</v>
      </c>
      <c r="G137" s="34">
        <v>1</v>
      </c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  <c r="DU137"/>
      <c r="DV137"/>
      <c r="DW137"/>
      <c r="DX137"/>
      <c r="DY137"/>
      <c r="DZ137"/>
      <c r="EA137"/>
      <c r="EB137"/>
      <c r="EC137"/>
      <c r="ED137"/>
      <c r="EE137"/>
      <c r="EF137"/>
      <c r="EG137"/>
      <c r="EH137"/>
      <c r="EI137"/>
      <c r="EJ137"/>
      <c r="EK137"/>
      <c r="EL137"/>
      <c r="EM137"/>
      <c r="EN137"/>
      <c r="EO137"/>
      <c r="EP137"/>
      <c r="EQ137"/>
      <c r="ER137"/>
      <c r="ES137"/>
      <c r="ET137"/>
      <c r="EU137"/>
      <c r="EV137"/>
      <c r="EW137"/>
      <c r="EX137"/>
      <c r="EY137"/>
      <c r="EZ137"/>
      <c r="FA137"/>
      <c r="FB137"/>
      <c r="FC137"/>
      <c r="FD137"/>
      <c r="FE137"/>
      <c r="FF137"/>
      <c r="FG137"/>
      <c r="FH137"/>
      <c r="FI137"/>
      <c r="FJ137"/>
      <c r="FK137"/>
      <c r="FL137"/>
      <c r="FM137"/>
      <c r="FN137"/>
      <c r="FO137"/>
      <c r="FP137"/>
      <c r="FQ137"/>
      <c r="FR137"/>
      <c r="FS137"/>
      <c r="FT137"/>
      <c r="FU137"/>
      <c r="FV137"/>
      <c r="FW137"/>
      <c r="FX137"/>
      <c r="FY137"/>
      <c r="FZ137"/>
      <c r="GA137"/>
      <c r="GB137"/>
      <c r="GC137"/>
      <c r="GD137"/>
      <c r="GE137"/>
      <c r="GF137"/>
      <c r="GG137"/>
      <c r="GH137"/>
      <c r="GI137"/>
      <c r="GJ137"/>
      <c r="GK137"/>
      <c r="GL137"/>
      <c r="GM137"/>
      <c r="GN137"/>
      <c r="GO137"/>
      <c r="GP137"/>
      <c r="GQ137"/>
      <c r="GR137"/>
      <c r="GS137"/>
      <c r="GT137"/>
      <c r="GU137"/>
      <c r="GV137"/>
      <c r="GW137"/>
      <c r="GX137"/>
      <c r="GY137"/>
      <c r="GZ137"/>
      <c r="HA137"/>
      <c r="HB137"/>
      <c r="HC137"/>
      <c r="HD137"/>
      <c r="HE137"/>
      <c r="HF137"/>
      <c r="HG137"/>
      <c r="HH137"/>
      <c r="HI137"/>
      <c r="HJ137"/>
      <c r="HK137"/>
      <c r="HL137"/>
      <c r="HM137"/>
      <c r="HN137"/>
      <c r="HO137"/>
      <c r="HP137"/>
      <c r="HQ137"/>
      <c r="HR137"/>
      <c r="HS137"/>
      <c r="HT137"/>
      <c r="HU137"/>
      <c r="HV137"/>
      <c r="HW137"/>
      <c r="HX137"/>
      <c r="HY137"/>
      <c r="HZ137"/>
      <c r="IA137"/>
      <c r="IB137"/>
      <c r="IC137"/>
      <c r="ID137"/>
      <c r="IE137"/>
      <c r="IF137"/>
      <c r="IG137"/>
      <c r="IH137"/>
      <c r="II137"/>
      <c r="IJ137"/>
      <c r="IK137"/>
      <c r="IL137"/>
      <c r="IM137"/>
      <c r="IN137"/>
      <c r="IO137"/>
      <c r="IP137"/>
      <c r="IQ137"/>
      <c r="IR137"/>
      <c r="IS137"/>
      <c r="IT137"/>
      <c r="IU137"/>
      <c r="IV137"/>
      <c r="IW137"/>
      <c r="IX137"/>
      <c r="IY137"/>
      <c r="IZ137"/>
      <c r="JA137"/>
      <c r="JB137"/>
      <c r="JC137"/>
      <c r="JD137"/>
      <c r="JE137"/>
      <c r="JF137"/>
      <c r="JG137"/>
      <c r="JH137"/>
      <c r="JI137"/>
      <c r="JJ137"/>
      <c r="JK137"/>
      <c r="JL137"/>
      <c r="JM137"/>
      <c r="JN137"/>
      <c r="JO137"/>
      <c r="JP137"/>
      <c r="JQ137"/>
      <c r="JR137"/>
      <c r="JS137"/>
      <c r="JT137"/>
      <c r="JU137"/>
      <c r="JV137"/>
      <c r="JW137"/>
      <c r="JX137"/>
      <c r="JY137"/>
      <c r="JZ137"/>
      <c r="KA137"/>
      <c r="KB137"/>
      <c r="KC137"/>
      <c r="KD137"/>
      <c r="KE137"/>
      <c r="KF137"/>
      <c r="KG137"/>
      <c r="KH137"/>
      <c r="KI137"/>
      <c r="KJ137"/>
      <c r="KK137"/>
      <c r="KL137"/>
      <c r="KM137"/>
      <c r="KN137"/>
      <c r="KO137"/>
      <c r="KP137"/>
      <c r="KQ137"/>
      <c r="KR137"/>
      <c r="KS137"/>
      <c r="KT137"/>
      <c r="KU137"/>
      <c r="KV137"/>
      <c r="KW137"/>
      <c r="KX137"/>
      <c r="KY137"/>
      <c r="KZ137"/>
      <c r="LA137"/>
      <c r="LB137"/>
      <c r="LC137"/>
      <c r="LD137"/>
      <c r="LE137"/>
      <c r="LF137"/>
      <c r="LG137"/>
      <c r="LH137"/>
      <c r="LI137"/>
      <c r="LJ137"/>
      <c r="LK137"/>
      <c r="LL137"/>
      <c r="LM137"/>
      <c r="LN137"/>
      <c r="LO137"/>
      <c r="LP137"/>
      <c r="LQ137"/>
      <c r="LR137"/>
      <c r="LS137"/>
      <c r="LT137"/>
      <c r="LU137"/>
      <c r="LV137"/>
      <c r="LW137"/>
      <c r="LX137"/>
      <c r="LY137"/>
      <c r="LZ137"/>
      <c r="MA137"/>
      <c r="MB137"/>
      <c r="MC137"/>
      <c r="MD137"/>
      <c r="ME137"/>
      <c r="MF137"/>
      <c r="MG137"/>
      <c r="MH137"/>
      <c r="MI137"/>
      <c r="MJ137"/>
      <c r="MK137"/>
      <c r="ML137"/>
      <c r="MM137"/>
      <c r="MN137"/>
      <c r="MO137"/>
      <c r="MP137"/>
      <c r="MQ137"/>
      <c r="MR137"/>
      <c r="MS137"/>
      <c r="MT137"/>
      <c r="MU137"/>
      <c r="MV137"/>
      <c r="MW137"/>
      <c r="MX137"/>
      <c r="MY137"/>
      <c r="MZ137"/>
      <c r="NA137"/>
      <c r="NB137"/>
      <c r="NC137"/>
      <c r="ND137"/>
      <c r="NE137"/>
      <c r="NF137"/>
      <c r="NG137"/>
      <c r="NH137"/>
      <c r="NI137"/>
      <c r="NJ137"/>
      <c r="NK137"/>
      <c r="NL137"/>
      <c r="NM137"/>
      <c r="NN137"/>
      <c r="NO137"/>
      <c r="NP137"/>
      <c r="NQ137"/>
      <c r="NR137"/>
      <c r="NS137"/>
      <c r="NT137"/>
      <c r="NU137"/>
      <c r="NV137"/>
      <c r="NW137"/>
      <c r="NX137"/>
      <c r="NY137"/>
      <c r="NZ137"/>
      <c r="OA137"/>
      <c r="OB137"/>
      <c r="OC137"/>
      <c r="OD137"/>
      <c r="OE137"/>
      <c r="OF137"/>
      <c r="OG137"/>
      <c r="OH137"/>
      <c r="OI137"/>
      <c r="OJ137"/>
      <c r="OK137"/>
      <c r="OL137"/>
      <c r="OM137"/>
      <c r="ON137"/>
      <c r="OO137"/>
      <c r="OP137"/>
      <c r="OQ137"/>
      <c r="OR137"/>
      <c r="OS137"/>
      <c r="OT137"/>
      <c r="OU137"/>
      <c r="OV137"/>
      <c r="OW137"/>
      <c r="OX137"/>
      <c r="OY137"/>
      <c r="OZ137"/>
      <c r="PA137"/>
      <c r="PB137"/>
      <c r="PC137"/>
      <c r="PD137"/>
      <c r="PE137"/>
      <c r="PF137"/>
      <c r="PG137"/>
      <c r="PH137"/>
      <c r="PI137"/>
      <c r="PJ137"/>
      <c r="PK137"/>
      <c r="PL137"/>
      <c r="PM137"/>
      <c r="PN137"/>
      <c r="PO137"/>
      <c r="PP137"/>
      <c r="PQ137"/>
      <c r="PR137"/>
      <c r="PS137"/>
      <c r="PT137"/>
      <c r="PU137"/>
      <c r="PV137"/>
      <c r="PW137"/>
      <c r="PX137"/>
      <c r="PY137"/>
      <c r="PZ137"/>
      <c r="QA137"/>
      <c r="QB137"/>
      <c r="QC137"/>
      <c r="QD137"/>
      <c r="QE137"/>
      <c r="QF137"/>
      <c r="QG137"/>
      <c r="QH137"/>
      <c r="QI137"/>
      <c r="QJ137"/>
      <c r="QK137"/>
      <c r="QL137"/>
      <c r="QM137"/>
      <c r="QN137"/>
      <c r="QO137"/>
      <c r="QP137"/>
      <c r="QQ137"/>
      <c r="QR137"/>
      <c r="QS137"/>
      <c r="QT137"/>
      <c r="QU137"/>
      <c r="QV137"/>
      <c r="QW137"/>
      <c r="QX137"/>
      <c r="QY137"/>
      <c r="QZ137"/>
      <c r="RA137"/>
      <c r="RB137"/>
      <c r="RC137"/>
      <c r="RD137"/>
      <c r="RE137"/>
      <c r="RF137"/>
      <c r="RG137"/>
      <c r="RH137"/>
      <c r="RI137"/>
      <c r="RJ137"/>
      <c r="RK137"/>
      <c r="RL137"/>
      <c r="RM137"/>
      <c r="RN137"/>
      <c r="RO137"/>
      <c r="RP137"/>
      <c r="RQ137"/>
      <c r="RR137"/>
      <c r="RS137"/>
    </row>
    <row r="138" spans="3:487" x14ac:dyDescent="0.25">
      <c r="C138" s="2" t="s">
        <v>224</v>
      </c>
      <c r="D138" s="34">
        <v>1</v>
      </c>
      <c r="F138" s="2" t="s">
        <v>514</v>
      </c>
      <c r="G138" s="34">
        <v>1</v>
      </c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  <c r="DU138"/>
      <c r="DV138"/>
      <c r="DW138"/>
      <c r="DX138"/>
      <c r="DY138"/>
      <c r="DZ138"/>
      <c r="EA138"/>
      <c r="EB138"/>
      <c r="EC138"/>
      <c r="ED138"/>
      <c r="EE138"/>
      <c r="EF138"/>
      <c r="EG138"/>
      <c r="EH138"/>
      <c r="EI138"/>
      <c r="EJ138"/>
      <c r="EK138"/>
      <c r="EL138"/>
      <c r="EM138"/>
      <c r="EN138"/>
      <c r="EO138"/>
      <c r="EP138"/>
      <c r="EQ138"/>
      <c r="ER138"/>
      <c r="ES138"/>
      <c r="ET138"/>
      <c r="EU138"/>
      <c r="EV138"/>
      <c r="EW138"/>
      <c r="EX138"/>
      <c r="EY138"/>
      <c r="EZ138"/>
      <c r="FA138"/>
      <c r="FB138"/>
      <c r="FC138"/>
      <c r="FD138"/>
      <c r="FE138"/>
      <c r="FF138"/>
      <c r="FG138"/>
      <c r="FH138"/>
      <c r="FI138"/>
      <c r="FJ138"/>
      <c r="FK138"/>
      <c r="FL138"/>
      <c r="FM138"/>
      <c r="FN138"/>
      <c r="FO138"/>
      <c r="FP138"/>
      <c r="FQ138"/>
      <c r="FR138"/>
      <c r="FS138"/>
      <c r="FT138"/>
      <c r="FU138"/>
      <c r="FV138"/>
      <c r="FW138"/>
      <c r="FX138"/>
      <c r="FY138"/>
      <c r="FZ138"/>
      <c r="GA138"/>
      <c r="GB138"/>
      <c r="GC138"/>
      <c r="GD138"/>
      <c r="GE138"/>
      <c r="GF138"/>
      <c r="GG138"/>
      <c r="GH138"/>
      <c r="GI138"/>
      <c r="GJ138"/>
      <c r="GK138"/>
      <c r="GL138"/>
      <c r="GM138"/>
      <c r="GN138"/>
      <c r="GO138"/>
      <c r="GP138"/>
      <c r="GQ138"/>
      <c r="GR138"/>
      <c r="GS138"/>
      <c r="GT138"/>
      <c r="GU138"/>
      <c r="GV138"/>
      <c r="GW138"/>
      <c r="GX138"/>
      <c r="GY138"/>
      <c r="GZ138"/>
      <c r="HA138"/>
      <c r="HB138"/>
      <c r="HC138"/>
      <c r="HD138"/>
      <c r="HE138"/>
      <c r="HF138"/>
      <c r="HG138"/>
      <c r="HH138"/>
      <c r="HI138"/>
      <c r="HJ138"/>
      <c r="HK138"/>
      <c r="HL138"/>
      <c r="HM138"/>
      <c r="HN138"/>
      <c r="HO138"/>
      <c r="HP138"/>
      <c r="HQ138"/>
      <c r="HR138"/>
      <c r="HS138"/>
      <c r="HT138"/>
      <c r="HU138"/>
      <c r="HV138"/>
      <c r="HW138"/>
      <c r="HX138"/>
      <c r="HY138"/>
      <c r="HZ138"/>
      <c r="IA138"/>
      <c r="IB138"/>
      <c r="IC138"/>
      <c r="ID138"/>
      <c r="IE138"/>
      <c r="IF138"/>
      <c r="IG138"/>
      <c r="IH138"/>
      <c r="II138"/>
      <c r="IJ138"/>
      <c r="IK138"/>
      <c r="IL138"/>
      <c r="IM138"/>
      <c r="IN138"/>
      <c r="IO138"/>
      <c r="IP138"/>
      <c r="IQ138"/>
      <c r="IR138"/>
      <c r="IS138"/>
      <c r="IT138"/>
      <c r="IU138"/>
      <c r="IV138"/>
      <c r="IW138"/>
      <c r="IX138"/>
      <c r="IY138"/>
      <c r="IZ138"/>
      <c r="JA138"/>
      <c r="JB138"/>
      <c r="JC138"/>
      <c r="JD138"/>
      <c r="JE138"/>
      <c r="JF138"/>
      <c r="JG138"/>
      <c r="JH138"/>
      <c r="JI138"/>
      <c r="JJ138"/>
      <c r="JK138"/>
      <c r="JL138"/>
      <c r="JM138"/>
      <c r="JN138"/>
      <c r="JO138"/>
      <c r="JP138"/>
      <c r="JQ138"/>
      <c r="JR138"/>
      <c r="JS138"/>
      <c r="JT138"/>
      <c r="JU138"/>
      <c r="JV138"/>
      <c r="JW138"/>
      <c r="JX138"/>
      <c r="JY138"/>
      <c r="JZ138"/>
      <c r="KA138"/>
      <c r="KB138"/>
      <c r="KC138"/>
      <c r="KD138"/>
      <c r="KE138"/>
      <c r="KF138"/>
      <c r="KG138"/>
      <c r="KH138"/>
      <c r="KI138"/>
      <c r="KJ138"/>
      <c r="KK138"/>
      <c r="KL138"/>
      <c r="KM138"/>
      <c r="KN138"/>
      <c r="KO138"/>
      <c r="KP138"/>
      <c r="KQ138"/>
      <c r="KR138"/>
      <c r="KS138"/>
      <c r="KT138"/>
      <c r="KU138"/>
      <c r="KV138"/>
      <c r="KW138"/>
      <c r="KX138"/>
      <c r="KY138"/>
      <c r="KZ138"/>
      <c r="LA138"/>
      <c r="LB138"/>
      <c r="LC138"/>
      <c r="LD138"/>
      <c r="LE138"/>
      <c r="LF138"/>
      <c r="LG138"/>
      <c r="LH138"/>
      <c r="LI138"/>
      <c r="LJ138"/>
      <c r="LK138"/>
      <c r="LL138"/>
      <c r="LM138"/>
      <c r="LN138"/>
      <c r="LO138"/>
      <c r="LP138"/>
      <c r="LQ138"/>
      <c r="LR138"/>
      <c r="LS138"/>
      <c r="LT138"/>
      <c r="LU138"/>
      <c r="LV138"/>
      <c r="LW138"/>
      <c r="LX138"/>
      <c r="LY138"/>
      <c r="LZ138"/>
      <c r="MA138"/>
      <c r="MB138"/>
      <c r="MC138"/>
      <c r="MD138"/>
      <c r="ME138"/>
      <c r="MF138"/>
      <c r="MG138"/>
      <c r="MH138"/>
      <c r="MI138"/>
      <c r="MJ138"/>
      <c r="MK138"/>
      <c r="ML138"/>
      <c r="MM138"/>
      <c r="MN138"/>
      <c r="MO138"/>
      <c r="MP138"/>
      <c r="MQ138"/>
      <c r="MR138"/>
      <c r="MS138"/>
      <c r="MT138"/>
      <c r="MU138"/>
      <c r="MV138"/>
      <c r="MW138"/>
      <c r="MX138"/>
      <c r="MY138"/>
      <c r="MZ138"/>
      <c r="NA138"/>
      <c r="NB138"/>
      <c r="NC138"/>
      <c r="ND138"/>
      <c r="NE138"/>
      <c r="NF138"/>
      <c r="NG138"/>
      <c r="NH138"/>
      <c r="NI138"/>
      <c r="NJ138"/>
      <c r="NK138"/>
      <c r="NL138"/>
      <c r="NM138"/>
      <c r="NN138"/>
      <c r="NO138"/>
      <c r="NP138"/>
      <c r="NQ138"/>
      <c r="NR138"/>
      <c r="NS138"/>
      <c r="NT138"/>
      <c r="NU138"/>
      <c r="NV138"/>
      <c r="NW138"/>
      <c r="NX138"/>
      <c r="NY138"/>
      <c r="NZ138"/>
      <c r="OA138"/>
      <c r="OB138"/>
      <c r="OC138"/>
      <c r="OD138"/>
      <c r="OE138"/>
      <c r="OF138"/>
      <c r="OG138"/>
      <c r="OH138"/>
      <c r="OI138"/>
      <c r="OJ138"/>
      <c r="OK138"/>
      <c r="OL138"/>
      <c r="OM138"/>
      <c r="ON138"/>
      <c r="OO138"/>
      <c r="OP138"/>
      <c r="OQ138"/>
      <c r="OR138"/>
      <c r="OS138"/>
      <c r="OT138"/>
      <c r="OU138"/>
      <c r="OV138"/>
      <c r="OW138"/>
      <c r="OX138"/>
      <c r="OY138"/>
      <c r="OZ138"/>
      <c r="PA138"/>
      <c r="PB138"/>
      <c r="PC138"/>
      <c r="PD138"/>
      <c r="PE138"/>
      <c r="PF138"/>
      <c r="PG138"/>
      <c r="PH138"/>
      <c r="PI138"/>
      <c r="PJ138"/>
      <c r="PK138"/>
      <c r="PL138"/>
      <c r="PM138"/>
      <c r="PN138"/>
      <c r="PO138"/>
      <c r="PP138"/>
      <c r="PQ138"/>
      <c r="PR138"/>
      <c r="PS138"/>
      <c r="PT138"/>
      <c r="PU138"/>
      <c r="PV138"/>
      <c r="PW138"/>
      <c r="PX138"/>
      <c r="PY138"/>
      <c r="PZ138"/>
      <c r="QA138"/>
      <c r="QB138"/>
      <c r="QC138"/>
      <c r="QD138"/>
      <c r="QE138"/>
      <c r="QF138"/>
      <c r="QG138"/>
      <c r="QH138"/>
      <c r="QI138"/>
      <c r="QJ138"/>
      <c r="QK138"/>
      <c r="QL138"/>
      <c r="QM138"/>
      <c r="QN138"/>
      <c r="QO138"/>
      <c r="QP138"/>
      <c r="QQ138"/>
      <c r="QR138"/>
      <c r="QS138"/>
      <c r="QT138"/>
      <c r="QU138"/>
      <c r="QV138"/>
      <c r="QW138"/>
      <c r="QX138"/>
      <c r="QY138"/>
      <c r="QZ138"/>
      <c r="RA138"/>
      <c r="RB138"/>
      <c r="RC138"/>
      <c r="RD138"/>
      <c r="RE138"/>
      <c r="RF138"/>
      <c r="RG138"/>
      <c r="RH138"/>
      <c r="RI138"/>
      <c r="RJ138"/>
      <c r="RK138"/>
      <c r="RL138"/>
      <c r="RM138"/>
      <c r="RN138"/>
      <c r="RO138"/>
      <c r="RP138"/>
      <c r="RQ138"/>
      <c r="RR138"/>
      <c r="RS138"/>
    </row>
    <row r="139" spans="3:487" x14ac:dyDescent="0.25">
      <c r="C139" s="2" t="s">
        <v>3647</v>
      </c>
      <c r="D139" s="34">
        <v>1</v>
      </c>
      <c r="F139" s="2" t="s">
        <v>3739</v>
      </c>
      <c r="G139" s="34">
        <v>1</v>
      </c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  <c r="DU139"/>
      <c r="DV139"/>
      <c r="DW139"/>
      <c r="DX139"/>
      <c r="DY139"/>
      <c r="DZ139"/>
      <c r="EA139"/>
      <c r="EB139"/>
      <c r="EC139"/>
      <c r="ED139"/>
      <c r="EE139"/>
      <c r="EF139"/>
      <c r="EG139"/>
      <c r="EH139"/>
      <c r="EI139"/>
      <c r="EJ139"/>
      <c r="EK139"/>
      <c r="EL139"/>
      <c r="EM139"/>
      <c r="EN139"/>
      <c r="EO139"/>
      <c r="EP139"/>
      <c r="EQ139"/>
      <c r="ER139"/>
      <c r="ES139"/>
      <c r="ET139"/>
      <c r="EU139"/>
      <c r="EV139"/>
      <c r="EW139"/>
      <c r="EX139"/>
      <c r="EY139"/>
      <c r="EZ139"/>
      <c r="FA139"/>
      <c r="FB139"/>
      <c r="FC139"/>
      <c r="FD139"/>
      <c r="FE139"/>
      <c r="FF139"/>
      <c r="FG139"/>
      <c r="FH139"/>
      <c r="FI139"/>
      <c r="FJ139"/>
      <c r="FK139"/>
      <c r="FL139"/>
      <c r="FM139"/>
      <c r="FN139"/>
      <c r="FO139"/>
      <c r="FP139"/>
      <c r="FQ139"/>
      <c r="FR139"/>
      <c r="FS139"/>
      <c r="FT139"/>
      <c r="FU139"/>
      <c r="FV139"/>
      <c r="FW139"/>
      <c r="FX139"/>
      <c r="FY139"/>
      <c r="FZ139"/>
      <c r="GA139"/>
      <c r="GB139"/>
      <c r="GC139"/>
      <c r="GD139"/>
      <c r="GE139"/>
      <c r="GF139"/>
      <c r="GG139"/>
      <c r="GH139"/>
      <c r="GI139"/>
      <c r="GJ139"/>
      <c r="GK139"/>
      <c r="GL139"/>
      <c r="GM139"/>
      <c r="GN139"/>
      <c r="GO139"/>
      <c r="GP139"/>
      <c r="GQ139"/>
      <c r="GR139"/>
      <c r="GS139"/>
      <c r="GT139"/>
      <c r="GU139"/>
      <c r="GV139"/>
      <c r="GW139"/>
      <c r="GX139"/>
      <c r="GY139"/>
      <c r="GZ139"/>
      <c r="HA139"/>
      <c r="HB139"/>
      <c r="HC139"/>
      <c r="HD139"/>
      <c r="HE139"/>
      <c r="HF139"/>
      <c r="HG139"/>
      <c r="HH139"/>
      <c r="HI139"/>
      <c r="HJ139"/>
      <c r="HK139"/>
      <c r="HL139"/>
      <c r="HM139"/>
      <c r="HN139"/>
      <c r="HO139"/>
      <c r="HP139"/>
      <c r="HQ139"/>
      <c r="HR139"/>
      <c r="HS139"/>
      <c r="HT139"/>
      <c r="HU139"/>
      <c r="HV139"/>
      <c r="HW139"/>
      <c r="HX139"/>
      <c r="HY139"/>
      <c r="HZ139"/>
      <c r="IA139"/>
      <c r="IB139"/>
      <c r="IC139"/>
      <c r="ID139"/>
      <c r="IE139"/>
      <c r="IF139"/>
      <c r="IG139"/>
      <c r="IH139"/>
      <c r="II139"/>
      <c r="IJ139"/>
      <c r="IK139"/>
      <c r="IL139"/>
      <c r="IM139"/>
      <c r="IN139"/>
      <c r="IO139"/>
      <c r="IP139"/>
      <c r="IQ139"/>
      <c r="IR139"/>
      <c r="IS139"/>
      <c r="IT139"/>
      <c r="IU139"/>
      <c r="IV139"/>
      <c r="IW139"/>
      <c r="IX139"/>
      <c r="IY139"/>
      <c r="IZ139"/>
      <c r="JA139"/>
      <c r="JB139"/>
      <c r="JC139"/>
      <c r="JD139"/>
      <c r="JE139"/>
      <c r="JF139"/>
      <c r="JG139"/>
      <c r="JH139"/>
      <c r="JI139"/>
      <c r="JJ139"/>
      <c r="JK139"/>
      <c r="JL139"/>
      <c r="JM139"/>
      <c r="JN139"/>
      <c r="JO139"/>
      <c r="JP139"/>
      <c r="JQ139"/>
      <c r="JR139"/>
      <c r="JS139"/>
      <c r="JT139"/>
      <c r="JU139"/>
      <c r="JV139"/>
      <c r="JW139"/>
      <c r="JX139"/>
      <c r="JY139"/>
      <c r="JZ139"/>
      <c r="KA139"/>
      <c r="KB139"/>
      <c r="KC139"/>
      <c r="KD139"/>
      <c r="KE139"/>
      <c r="KF139"/>
      <c r="KG139"/>
      <c r="KH139"/>
      <c r="KI139"/>
      <c r="KJ139"/>
      <c r="KK139"/>
      <c r="KL139"/>
      <c r="KM139"/>
      <c r="KN139"/>
      <c r="KO139"/>
      <c r="KP139"/>
      <c r="KQ139"/>
      <c r="KR139"/>
      <c r="KS139"/>
      <c r="KT139"/>
      <c r="KU139"/>
      <c r="KV139"/>
      <c r="KW139"/>
      <c r="KX139"/>
      <c r="KY139"/>
      <c r="KZ139"/>
      <c r="LA139"/>
      <c r="LB139"/>
      <c r="LC139"/>
      <c r="LD139"/>
      <c r="LE139"/>
      <c r="LF139"/>
      <c r="LG139"/>
      <c r="LH139"/>
      <c r="LI139"/>
      <c r="LJ139"/>
      <c r="LK139"/>
      <c r="LL139"/>
      <c r="LM139"/>
      <c r="LN139"/>
      <c r="LO139"/>
      <c r="LP139"/>
      <c r="LQ139"/>
      <c r="LR139"/>
      <c r="LS139"/>
      <c r="LT139"/>
      <c r="LU139"/>
      <c r="LV139"/>
      <c r="LW139"/>
      <c r="LX139"/>
      <c r="LY139"/>
      <c r="LZ139"/>
      <c r="MA139"/>
      <c r="MB139"/>
      <c r="MC139"/>
      <c r="MD139"/>
      <c r="ME139"/>
      <c r="MF139"/>
      <c r="MG139"/>
      <c r="MH139"/>
      <c r="MI139"/>
      <c r="MJ139"/>
      <c r="MK139"/>
      <c r="ML139"/>
      <c r="MM139"/>
      <c r="MN139"/>
      <c r="MO139"/>
      <c r="MP139"/>
      <c r="MQ139"/>
      <c r="MR139"/>
      <c r="MS139"/>
      <c r="MT139"/>
      <c r="MU139"/>
      <c r="MV139"/>
      <c r="MW139"/>
      <c r="MX139"/>
      <c r="MY139"/>
      <c r="MZ139"/>
      <c r="NA139"/>
      <c r="NB139"/>
      <c r="NC139"/>
      <c r="ND139"/>
      <c r="NE139"/>
      <c r="NF139"/>
      <c r="NG139"/>
      <c r="NH139"/>
      <c r="NI139"/>
      <c r="NJ139"/>
      <c r="NK139"/>
      <c r="NL139"/>
      <c r="NM139"/>
      <c r="NN139"/>
      <c r="NO139"/>
      <c r="NP139"/>
      <c r="NQ139"/>
      <c r="NR139"/>
      <c r="NS139"/>
      <c r="NT139"/>
      <c r="NU139"/>
      <c r="NV139"/>
      <c r="NW139"/>
      <c r="NX139"/>
      <c r="NY139"/>
      <c r="NZ139"/>
      <c r="OA139"/>
      <c r="OB139"/>
      <c r="OC139"/>
      <c r="OD139"/>
      <c r="OE139"/>
      <c r="OF139"/>
      <c r="OG139"/>
      <c r="OH139"/>
      <c r="OI139"/>
      <c r="OJ139"/>
      <c r="OK139"/>
      <c r="OL139"/>
      <c r="OM139"/>
      <c r="ON139"/>
      <c r="OO139"/>
      <c r="OP139"/>
      <c r="OQ139"/>
      <c r="OR139"/>
      <c r="OS139"/>
      <c r="OT139"/>
      <c r="OU139"/>
      <c r="OV139"/>
      <c r="OW139"/>
      <c r="OX139"/>
      <c r="OY139"/>
      <c r="OZ139"/>
      <c r="PA139"/>
      <c r="PB139"/>
      <c r="PC139"/>
      <c r="PD139"/>
      <c r="PE139"/>
      <c r="PF139"/>
      <c r="PG139"/>
      <c r="PH139"/>
      <c r="PI139"/>
      <c r="PJ139"/>
      <c r="PK139"/>
      <c r="PL139"/>
      <c r="PM139"/>
      <c r="PN139"/>
      <c r="PO139"/>
      <c r="PP139"/>
      <c r="PQ139"/>
      <c r="PR139"/>
      <c r="PS139"/>
      <c r="PT139"/>
      <c r="PU139"/>
      <c r="PV139"/>
      <c r="PW139"/>
      <c r="PX139"/>
      <c r="PY139"/>
      <c r="PZ139"/>
      <c r="QA139"/>
      <c r="QB139"/>
      <c r="QC139"/>
      <c r="QD139"/>
      <c r="QE139"/>
      <c r="QF139"/>
      <c r="QG139"/>
      <c r="QH139"/>
      <c r="QI139"/>
      <c r="QJ139"/>
      <c r="QK139"/>
      <c r="QL139"/>
      <c r="QM139"/>
      <c r="QN139"/>
      <c r="QO139"/>
      <c r="QP139"/>
      <c r="QQ139"/>
      <c r="QR139"/>
      <c r="QS139"/>
      <c r="QT139"/>
      <c r="QU139"/>
      <c r="QV139"/>
      <c r="QW139"/>
      <c r="QX139"/>
      <c r="QY139"/>
      <c r="QZ139"/>
      <c r="RA139"/>
      <c r="RB139"/>
      <c r="RC139"/>
      <c r="RD139"/>
      <c r="RE139"/>
      <c r="RF139"/>
      <c r="RG139"/>
      <c r="RH139"/>
      <c r="RI139"/>
      <c r="RJ139"/>
      <c r="RK139"/>
      <c r="RL139"/>
      <c r="RM139"/>
      <c r="RN139"/>
      <c r="RO139"/>
      <c r="RP139"/>
      <c r="RQ139"/>
      <c r="RR139"/>
      <c r="RS139"/>
    </row>
    <row r="140" spans="3:487" x14ac:dyDescent="0.25">
      <c r="C140" s="2" t="s">
        <v>310</v>
      </c>
      <c r="D140" s="34">
        <v>1</v>
      </c>
      <c r="F140" s="2" t="s">
        <v>796</v>
      </c>
      <c r="G140" s="34">
        <v>1</v>
      </c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  <c r="DU140"/>
      <c r="DV140"/>
      <c r="DW140"/>
      <c r="DX140"/>
      <c r="DY140"/>
      <c r="DZ140"/>
      <c r="EA140"/>
      <c r="EB140"/>
      <c r="EC140"/>
      <c r="ED140"/>
      <c r="EE140"/>
      <c r="EF140"/>
      <c r="EG140"/>
      <c r="EH140"/>
      <c r="EI140"/>
      <c r="EJ140"/>
      <c r="EK140"/>
      <c r="EL140"/>
      <c r="EM140"/>
      <c r="EN140"/>
      <c r="EO140"/>
      <c r="EP140"/>
      <c r="EQ140"/>
      <c r="ER140"/>
      <c r="ES140"/>
      <c r="ET140"/>
      <c r="EU140"/>
      <c r="EV140"/>
      <c r="EW140"/>
      <c r="EX140"/>
      <c r="EY140"/>
      <c r="EZ140"/>
      <c r="FA140"/>
      <c r="FB140"/>
      <c r="FC140"/>
      <c r="FD140"/>
      <c r="FE140"/>
      <c r="FF140"/>
      <c r="FG140"/>
      <c r="FH140"/>
      <c r="FI140"/>
      <c r="FJ140"/>
      <c r="FK140"/>
      <c r="FL140"/>
      <c r="FM140"/>
      <c r="FN140"/>
      <c r="FO140"/>
      <c r="FP140"/>
      <c r="FQ140"/>
      <c r="FR140"/>
      <c r="FS140"/>
      <c r="FT140"/>
      <c r="FU140"/>
      <c r="FV140"/>
      <c r="FW140"/>
      <c r="FX140"/>
      <c r="FY140"/>
      <c r="FZ140"/>
      <c r="GA140"/>
      <c r="GB140"/>
      <c r="GC140"/>
      <c r="GD140"/>
      <c r="GE140"/>
      <c r="GF140"/>
      <c r="GG140"/>
      <c r="GH140"/>
      <c r="GI140"/>
      <c r="GJ140"/>
      <c r="GK140"/>
      <c r="GL140"/>
      <c r="GM140"/>
      <c r="GN140"/>
      <c r="GO140"/>
      <c r="GP140"/>
      <c r="GQ140"/>
      <c r="GR140"/>
      <c r="GS140"/>
      <c r="GT140"/>
      <c r="GU140"/>
      <c r="GV140"/>
      <c r="GW140"/>
      <c r="GX140"/>
      <c r="GY140"/>
      <c r="GZ140"/>
      <c r="HA140"/>
      <c r="HB140"/>
      <c r="HC140"/>
      <c r="HD140"/>
      <c r="HE140"/>
      <c r="HF140"/>
      <c r="HG140"/>
      <c r="HH140"/>
      <c r="HI140"/>
      <c r="HJ140"/>
      <c r="HK140"/>
      <c r="HL140"/>
      <c r="HM140"/>
      <c r="HN140"/>
      <c r="HO140"/>
      <c r="HP140"/>
      <c r="HQ140"/>
      <c r="HR140"/>
      <c r="HS140"/>
      <c r="HT140"/>
      <c r="HU140"/>
      <c r="HV140"/>
      <c r="HW140"/>
      <c r="HX140"/>
      <c r="HY140"/>
      <c r="HZ140"/>
      <c r="IA140"/>
      <c r="IB140"/>
      <c r="IC140"/>
      <c r="ID140"/>
      <c r="IE140"/>
      <c r="IF140"/>
      <c r="IG140"/>
      <c r="IH140"/>
      <c r="II140"/>
      <c r="IJ140"/>
      <c r="IK140"/>
      <c r="IL140"/>
      <c r="IM140"/>
      <c r="IN140"/>
      <c r="IO140"/>
      <c r="IP140"/>
      <c r="IQ140"/>
      <c r="IR140"/>
      <c r="IS140"/>
      <c r="IT140"/>
      <c r="IU140"/>
      <c r="IV140"/>
      <c r="IW140"/>
      <c r="IX140"/>
      <c r="IY140"/>
      <c r="IZ140"/>
      <c r="JA140"/>
      <c r="JB140"/>
      <c r="JC140"/>
      <c r="JD140"/>
      <c r="JE140"/>
      <c r="JF140"/>
      <c r="JG140"/>
      <c r="JH140"/>
      <c r="JI140"/>
      <c r="JJ140"/>
      <c r="JK140"/>
      <c r="JL140"/>
      <c r="JM140"/>
      <c r="JN140"/>
      <c r="JO140"/>
      <c r="JP140"/>
      <c r="JQ140"/>
      <c r="JR140"/>
      <c r="JS140"/>
      <c r="JT140"/>
      <c r="JU140"/>
      <c r="JV140"/>
      <c r="JW140"/>
      <c r="JX140"/>
      <c r="JY140"/>
      <c r="JZ140"/>
      <c r="KA140"/>
      <c r="KB140"/>
      <c r="KC140"/>
      <c r="KD140"/>
      <c r="KE140"/>
      <c r="KF140"/>
      <c r="KG140"/>
      <c r="KH140"/>
      <c r="KI140"/>
      <c r="KJ140"/>
      <c r="KK140"/>
      <c r="KL140"/>
      <c r="KM140"/>
      <c r="KN140"/>
      <c r="KO140"/>
      <c r="KP140"/>
      <c r="KQ140"/>
      <c r="KR140"/>
      <c r="KS140"/>
      <c r="KT140"/>
      <c r="KU140"/>
      <c r="KV140"/>
      <c r="KW140"/>
      <c r="KX140"/>
      <c r="KY140"/>
      <c r="KZ140"/>
      <c r="LA140"/>
      <c r="LB140"/>
      <c r="LC140"/>
      <c r="LD140"/>
      <c r="LE140"/>
      <c r="LF140"/>
      <c r="LG140"/>
      <c r="LH140"/>
      <c r="LI140"/>
      <c r="LJ140"/>
      <c r="LK140"/>
      <c r="LL140"/>
      <c r="LM140"/>
      <c r="LN140"/>
      <c r="LO140"/>
      <c r="LP140"/>
      <c r="LQ140"/>
      <c r="LR140"/>
      <c r="LS140"/>
      <c r="LT140"/>
      <c r="LU140"/>
      <c r="LV140"/>
      <c r="LW140"/>
      <c r="LX140"/>
      <c r="LY140"/>
      <c r="LZ140"/>
      <c r="MA140"/>
      <c r="MB140"/>
      <c r="MC140"/>
      <c r="MD140"/>
      <c r="ME140"/>
      <c r="MF140"/>
      <c r="MG140"/>
      <c r="MH140"/>
      <c r="MI140"/>
      <c r="MJ140"/>
      <c r="MK140"/>
      <c r="ML140"/>
      <c r="MM140"/>
      <c r="MN140"/>
      <c r="MO140"/>
      <c r="MP140"/>
      <c r="MQ140"/>
      <c r="MR140"/>
      <c r="MS140"/>
      <c r="MT140"/>
      <c r="MU140"/>
      <c r="MV140"/>
      <c r="MW140"/>
      <c r="MX140"/>
      <c r="MY140"/>
      <c r="MZ140"/>
      <c r="NA140"/>
      <c r="NB140"/>
      <c r="NC140"/>
      <c r="ND140"/>
      <c r="NE140"/>
      <c r="NF140"/>
      <c r="NG140"/>
      <c r="NH140"/>
      <c r="NI140"/>
      <c r="NJ140"/>
      <c r="NK140"/>
      <c r="NL140"/>
      <c r="NM140"/>
      <c r="NN140"/>
      <c r="NO140"/>
      <c r="NP140"/>
      <c r="NQ140"/>
      <c r="NR140"/>
      <c r="NS140"/>
      <c r="NT140"/>
      <c r="NU140"/>
      <c r="NV140"/>
      <c r="NW140"/>
      <c r="NX140"/>
      <c r="NY140"/>
      <c r="NZ140"/>
      <c r="OA140"/>
      <c r="OB140"/>
      <c r="OC140"/>
      <c r="OD140"/>
      <c r="OE140"/>
      <c r="OF140"/>
      <c r="OG140"/>
      <c r="OH140"/>
      <c r="OI140"/>
      <c r="OJ140"/>
      <c r="OK140"/>
      <c r="OL140"/>
      <c r="OM140"/>
      <c r="ON140"/>
      <c r="OO140"/>
      <c r="OP140"/>
      <c r="OQ140"/>
      <c r="OR140"/>
      <c r="OS140"/>
      <c r="OT140"/>
      <c r="OU140"/>
      <c r="OV140"/>
      <c r="OW140"/>
      <c r="OX140"/>
      <c r="OY140"/>
      <c r="OZ140"/>
      <c r="PA140"/>
      <c r="PB140"/>
      <c r="PC140"/>
      <c r="PD140"/>
      <c r="PE140"/>
      <c r="PF140"/>
      <c r="PG140"/>
      <c r="PH140"/>
      <c r="PI140"/>
      <c r="PJ140"/>
      <c r="PK140"/>
      <c r="PL140"/>
      <c r="PM140"/>
      <c r="PN140"/>
      <c r="PO140"/>
      <c r="PP140"/>
      <c r="PQ140"/>
      <c r="PR140"/>
      <c r="PS140"/>
      <c r="PT140"/>
      <c r="PU140"/>
      <c r="PV140"/>
      <c r="PW140"/>
      <c r="PX140"/>
      <c r="PY140"/>
      <c r="PZ140"/>
      <c r="QA140"/>
      <c r="QB140"/>
      <c r="QC140"/>
      <c r="QD140"/>
      <c r="QE140"/>
      <c r="QF140"/>
      <c r="QG140"/>
      <c r="QH140"/>
      <c r="QI140"/>
      <c r="QJ140"/>
      <c r="QK140"/>
      <c r="QL140"/>
      <c r="QM140"/>
      <c r="QN140"/>
      <c r="QO140"/>
      <c r="QP140"/>
      <c r="QQ140"/>
      <c r="QR140"/>
      <c r="QS140"/>
      <c r="QT140"/>
      <c r="QU140"/>
      <c r="QV140"/>
      <c r="QW140"/>
      <c r="QX140"/>
      <c r="QY140"/>
      <c r="QZ140"/>
      <c r="RA140"/>
      <c r="RB140"/>
      <c r="RC140"/>
      <c r="RD140"/>
      <c r="RE140"/>
      <c r="RF140"/>
      <c r="RG140"/>
      <c r="RH140"/>
      <c r="RI140"/>
      <c r="RJ140"/>
      <c r="RK140"/>
      <c r="RL140"/>
      <c r="RM140"/>
      <c r="RN140"/>
      <c r="RO140"/>
      <c r="RP140"/>
      <c r="RQ140"/>
      <c r="RR140"/>
      <c r="RS140"/>
    </row>
    <row r="141" spans="3:487" x14ac:dyDescent="0.25">
      <c r="C141" s="2" t="s">
        <v>253</v>
      </c>
      <c r="D141" s="34">
        <v>1</v>
      </c>
      <c r="F141" s="2" t="s">
        <v>225</v>
      </c>
      <c r="G141" s="34">
        <v>1</v>
      </c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  <c r="DU141"/>
      <c r="DV141"/>
      <c r="DW141"/>
      <c r="DX141"/>
      <c r="DY141"/>
      <c r="DZ141"/>
      <c r="EA141"/>
      <c r="EB141"/>
      <c r="EC141"/>
      <c r="ED141"/>
      <c r="EE141"/>
      <c r="EF141"/>
      <c r="EG141"/>
      <c r="EH141"/>
      <c r="EI141"/>
      <c r="EJ141"/>
      <c r="EK141"/>
      <c r="EL141"/>
      <c r="EM141"/>
      <c r="EN141"/>
      <c r="EO141"/>
      <c r="EP141"/>
      <c r="EQ141"/>
      <c r="ER141"/>
      <c r="ES141"/>
      <c r="ET141"/>
      <c r="EU141"/>
      <c r="EV141"/>
      <c r="EW141"/>
      <c r="EX141"/>
      <c r="EY141"/>
      <c r="EZ141"/>
      <c r="FA141"/>
      <c r="FB141"/>
      <c r="FC141"/>
      <c r="FD141"/>
      <c r="FE141"/>
      <c r="FF141"/>
      <c r="FG141"/>
      <c r="FH141"/>
      <c r="FI141"/>
      <c r="FJ141"/>
      <c r="FK141"/>
      <c r="FL141"/>
      <c r="FM141"/>
      <c r="FN141"/>
      <c r="FO141"/>
      <c r="FP141"/>
      <c r="FQ141"/>
      <c r="FR141"/>
      <c r="FS141"/>
      <c r="FT141"/>
      <c r="FU141"/>
      <c r="FV141"/>
      <c r="FW141"/>
      <c r="FX141"/>
      <c r="FY141"/>
      <c r="FZ141"/>
      <c r="GA141"/>
      <c r="GB141"/>
      <c r="GC141"/>
      <c r="GD141"/>
      <c r="GE141"/>
      <c r="GF141"/>
      <c r="GG141"/>
      <c r="GH141"/>
      <c r="GI141"/>
      <c r="GJ141"/>
      <c r="GK141"/>
      <c r="GL141"/>
      <c r="GM141"/>
      <c r="GN141"/>
      <c r="GO141"/>
      <c r="GP141"/>
      <c r="GQ141"/>
      <c r="GR141"/>
      <c r="GS141"/>
      <c r="GT141"/>
      <c r="GU141"/>
      <c r="GV141"/>
      <c r="GW141"/>
      <c r="GX141"/>
      <c r="GY141"/>
      <c r="GZ141"/>
      <c r="HA141"/>
      <c r="HB141"/>
      <c r="HC141"/>
      <c r="HD141"/>
      <c r="HE141"/>
      <c r="HF141"/>
      <c r="HG141"/>
      <c r="HH141"/>
      <c r="HI141"/>
      <c r="HJ141"/>
      <c r="HK141"/>
      <c r="HL141"/>
      <c r="HM141"/>
      <c r="HN141"/>
      <c r="HO141"/>
      <c r="HP141"/>
      <c r="HQ141"/>
      <c r="HR141"/>
      <c r="HS141"/>
      <c r="HT141"/>
      <c r="HU141"/>
      <c r="HV141"/>
      <c r="HW141"/>
      <c r="HX141"/>
      <c r="HY141"/>
      <c r="HZ141"/>
      <c r="IA141"/>
      <c r="IB141"/>
      <c r="IC141"/>
      <c r="ID141"/>
      <c r="IE141"/>
      <c r="IF141"/>
      <c r="IG141"/>
      <c r="IH141"/>
      <c r="II141"/>
      <c r="IJ141"/>
      <c r="IK141"/>
      <c r="IL141"/>
      <c r="IM141"/>
      <c r="IN141"/>
      <c r="IO141"/>
      <c r="IP141"/>
      <c r="IQ141"/>
      <c r="IR141"/>
      <c r="IS141"/>
      <c r="IT141"/>
      <c r="IU141"/>
      <c r="IV141"/>
      <c r="IW141"/>
      <c r="IX141"/>
      <c r="IY141"/>
      <c r="IZ141"/>
      <c r="JA141"/>
      <c r="JB141"/>
      <c r="JC141"/>
      <c r="JD141"/>
      <c r="JE141"/>
      <c r="JF141"/>
      <c r="JG141"/>
      <c r="JH141"/>
      <c r="JI141"/>
      <c r="JJ141"/>
      <c r="JK141"/>
      <c r="JL141"/>
      <c r="JM141"/>
      <c r="JN141"/>
      <c r="JO141"/>
      <c r="JP141"/>
      <c r="JQ141"/>
      <c r="JR141"/>
      <c r="JS141"/>
      <c r="JT141"/>
      <c r="JU141"/>
      <c r="JV141"/>
      <c r="JW141"/>
      <c r="JX141"/>
      <c r="JY141"/>
      <c r="JZ141"/>
      <c r="KA141"/>
      <c r="KB141"/>
      <c r="KC141"/>
      <c r="KD141"/>
      <c r="KE141"/>
      <c r="KF141"/>
      <c r="KG141"/>
      <c r="KH141"/>
      <c r="KI141"/>
      <c r="KJ141"/>
      <c r="KK141"/>
      <c r="KL141"/>
      <c r="KM141"/>
      <c r="KN141"/>
      <c r="KO141"/>
      <c r="KP141"/>
      <c r="KQ141"/>
      <c r="KR141"/>
      <c r="KS141"/>
      <c r="KT141"/>
      <c r="KU141"/>
      <c r="KV141"/>
      <c r="KW141"/>
      <c r="KX141"/>
      <c r="KY141"/>
      <c r="KZ141"/>
      <c r="LA141"/>
      <c r="LB141"/>
      <c r="LC141"/>
      <c r="LD141"/>
      <c r="LE141"/>
      <c r="LF141"/>
      <c r="LG141"/>
      <c r="LH141"/>
      <c r="LI141"/>
      <c r="LJ141"/>
      <c r="LK141"/>
      <c r="LL141"/>
      <c r="LM141"/>
      <c r="LN141"/>
      <c r="LO141"/>
      <c r="LP141"/>
      <c r="LQ141"/>
      <c r="LR141"/>
      <c r="LS141"/>
      <c r="LT141"/>
      <c r="LU141"/>
      <c r="LV141"/>
      <c r="LW141"/>
      <c r="LX141"/>
      <c r="LY141"/>
      <c r="LZ141"/>
      <c r="MA141"/>
      <c r="MB141"/>
      <c r="MC141"/>
      <c r="MD141"/>
      <c r="ME141"/>
      <c r="MF141"/>
      <c r="MG141"/>
      <c r="MH141"/>
      <c r="MI141"/>
      <c r="MJ141"/>
      <c r="MK141"/>
      <c r="ML141"/>
      <c r="MM141"/>
      <c r="MN141"/>
      <c r="MO141"/>
      <c r="MP141"/>
      <c r="MQ141"/>
      <c r="MR141"/>
      <c r="MS141"/>
      <c r="MT141"/>
      <c r="MU141"/>
      <c r="MV141"/>
      <c r="MW141"/>
      <c r="MX141"/>
      <c r="MY141"/>
      <c r="MZ141"/>
      <c r="NA141"/>
      <c r="NB141"/>
      <c r="NC141"/>
      <c r="ND141"/>
      <c r="NE141"/>
      <c r="NF141"/>
      <c r="NG141"/>
      <c r="NH141"/>
      <c r="NI141"/>
      <c r="NJ141"/>
      <c r="NK141"/>
      <c r="NL141"/>
      <c r="NM141"/>
      <c r="NN141"/>
      <c r="NO141"/>
      <c r="NP141"/>
      <c r="NQ141"/>
      <c r="NR141"/>
      <c r="NS141"/>
      <c r="NT141"/>
      <c r="NU141"/>
      <c r="NV141"/>
      <c r="NW141"/>
      <c r="NX141"/>
      <c r="NY141"/>
      <c r="NZ141"/>
      <c r="OA141"/>
      <c r="OB141"/>
      <c r="OC141"/>
      <c r="OD141"/>
      <c r="OE141"/>
      <c r="OF141"/>
      <c r="OG141"/>
      <c r="OH141"/>
      <c r="OI141"/>
      <c r="OJ141"/>
      <c r="OK141"/>
      <c r="OL141"/>
      <c r="OM141"/>
      <c r="ON141"/>
      <c r="OO141"/>
      <c r="OP141"/>
      <c r="OQ141"/>
      <c r="OR141"/>
      <c r="OS141"/>
      <c r="OT141"/>
      <c r="OU141"/>
      <c r="OV141"/>
      <c r="OW141"/>
      <c r="OX141"/>
      <c r="OY141"/>
      <c r="OZ141"/>
      <c r="PA141"/>
      <c r="PB141"/>
      <c r="PC141"/>
      <c r="PD141"/>
      <c r="PE141"/>
      <c r="PF141"/>
      <c r="PG141"/>
      <c r="PH141"/>
      <c r="PI141"/>
      <c r="PJ141"/>
      <c r="PK141"/>
      <c r="PL141"/>
      <c r="PM141"/>
      <c r="PN141"/>
      <c r="PO141"/>
      <c r="PP141"/>
      <c r="PQ141"/>
      <c r="PR141"/>
      <c r="PS141"/>
      <c r="PT141"/>
      <c r="PU141"/>
      <c r="PV141"/>
      <c r="PW141"/>
      <c r="PX141"/>
      <c r="PY141"/>
      <c r="PZ141"/>
      <c r="QA141"/>
      <c r="QB141"/>
      <c r="QC141"/>
      <c r="QD141"/>
      <c r="QE141"/>
      <c r="QF141"/>
      <c r="QG141"/>
      <c r="QH141"/>
      <c r="QI141"/>
      <c r="QJ141"/>
      <c r="QK141"/>
      <c r="QL141"/>
      <c r="QM141"/>
      <c r="QN141"/>
      <c r="QO141"/>
      <c r="QP141"/>
      <c r="QQ141"/>
      <c r="QR141"/>
      <c r="QS141"/>
      <c r="QT141"/>
      <c r="QU141"/>
      <c r="QV141"/>
      <c r="QW141"/>
      <c r="QX141"/>
      <c r="QY141"/>
      <c r="QZ141"/>
      <c r="RA141"/>
      <c r="RB141"/>
      <c r="RC141"/>
      <c r="RD141"/>
      <c r="RE141"/>
      <c r="RF141"/>
      <c r="RG141"/>
      <c r="RH141"/>
      <c r="RI141"/>
      <c r="RJ141"/>
      <c r="RK141"/>
      <c r="RL141"/>
      <c r="RM141"/>
      <c r="RN141"/>
      <c r="RO141"/>
      <c r="RP141"/>
      <c r="RQ141"/>
      <c r="RR141"/>
      <c r="RS141"/>
    </row>
    <row r="142" spans="3:487" x14ac:dyDescent="0.25">
      <c r="C142" s="2" t="s">
        <v>3671</v>
      </c>
      <c r="D142" s="34">
        <v>1</v>
      </c>
      <c r="F142" s="2" t="s">
        <v>3478</v>
      </c>
      <c r="G142" s="34">
        <v>1</v>
      </c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  <c r="DU142"/>
      <c r="DV142"/>
      <c r="DW142"/>
      <c r="DX142"/>
      <c r="DY142"/>
      <c r="DZ142"/>
      <c r="EA142"/>
      <c r="EB142"/>
      <c r="EC142"/>
      <c r="ED142"/>
      <c r="EE142"/>
      <c r="EF142"/>
      <c r="EG142"/>
      <c r="EH142"/>
      <c r="EI142"/>
      <c r="EJ142"/>
      <c r="EK142"/>
      <c r="EL142"/>
      <c r="EM142"/>
      <c r="EN142"/>
      <c r="EO142"/>
      <c r="EP142"/>
      <c r="EQ142"/>
      <c r="ER142"/>
      <c r="ES142"/>
      <c r="ET142"/>
      <c r="EU142"/>
      <c r="EV142"/>
      <c r="EW142"/>
      <c r="EX142"/>
      <c r="EY142"/>
      <c r="EZ142"/>
      <c r="FA142"/>
      <c r="FB142"/>
      <c r="FC142"/>
      <c r="FD142"/>
      <c r="FE142"/>
      <c r="FF142"/>
      <c r="FG142"/>
      <c r="FH142"/>
      <c r="FI142"/>
      <c r="FJ142"/>
      <c r="FK142"/>
      <c r="FL142"/>
      <c r="FM142"/>
      <c r="FN142"/>
      <c r="FO142"/>
      <c r="FP142"/>
      <c r="FQ142"/>
      <c r="FR142"/>
      <c r="FS142"/>
      <c r="FT142"/>
      <c r="FU142"/>
      <c r="FV142"/>
      <c r="FW142"/>
      <c r="FX142"/>
      <c r="FY142"/>
      <c r="FZ142"/>
      <c r="GA142"/>
      <c r="GB142"/>
      <c r="GC142"/>
      <c r="GD142"/>
      <c r="GE142"/>
      <c r="GF142"/>
      <c r="GG142"/>
      <c r="GH142"/>
      <c r="GI142"/>
      <c r="GJ142"/>
      <c r="GK142"/>
      <c r="GL142"/>
      <c r="GM142"/>
      <c r="GN142"/>
      <c r="GO142"/>
      <c r="GP142"/>
      <c r="GQ142"/>
      <c r="GR142"/>
      <c r="GS142"/>
      <c r="GT142"/>
      <c r="GU142"/>
      <c r="GV142"/>
      <c r="GW142"/>
      <c r="GX142"/>
      <c r="GY142"/>
      <c r="GZ142"/>
      <c r="HA142"/>
      <c r="HB142"/>
      <c r="HC142"/>
      <c r="HD142"/>
      <c r="HE142"/>
      <c r="HF142"/>
      <c r="HG142"/>
      <c r="HH142"/>
      <c r="HI142"/>
      <c r="HJ142"/>
      <c r="HK142"/>
      <c r="HL142"/>
      <c r="HM142"/>
      <c r="HN142"/>
      <c r="HO142"/>
      <c r="HP142"/>
      <c r="HQ142"/>
      <c r="HR142"/>
      <c r="HS142"/>
      <c r="HT142"/>
      <c r="HU142"/>
      <c r="HV142"/>
      <c r="HW142"/>
      <c r="HX142"/>
      <c r="HY142"/>
      <c r="HZ142"/>
      <c r="IA142"/>
      <c r="IB142"/>
      <c r="IC142"/>
      <c r="ID142"/>
      <c r="IE142"/>
      <c r="IF142"/>
      <c r="IG142"/>
      <c r="IH142"/>
      <c r="II142"/>
      <c r="IJ142"/>
      <c r="IK142"/>
      <c r="IL142"/>
      <c r="IM142"/>
      <c r="IN142"/>
      <c r="IO142"/>
      <c r="IP142"/>
      <c r="IQ142"/>
      <c r="IR142"/>
      <c r="IS142"/>
      <c r="IT142"/>
      <c r="IU142"/>
      <c r="IV142"/>
      <c r="IW142"/>
      <c r="IX142"/>
      <c r="IY142"/>
      <c r="IZ142"/>
      <c r="JA142"/>
      <c r="JB142"/>
      <c r="JC142"/>
      <c r="JD142"/>
      <c r="JE142"/>
      <c r="JF142"/>
      <c r="JG142"/>
      <c r="JH142"/>
      <c r="JI142"/>
      <c r="JJ142"/>
      <c r="JK142"/>
      <c r="JL142"/>
      <c r="JM142"/>
      <c r="JN142"/>
      <c r="JO142"/>
      <c r="JP142"/>
      <c r="JQ142"/>
      <c r="JR142"/>
      <c r="JS142"/>
      <c r="JT142"/>
      <c r="JU142"/>
      <c r="JV142"/>
      <c r="JW142"/>
      <c r="JX142"/>
      <c r="JY142"/>
      <c r="JZ142"/>
      <c r="KA142"/>
      <c r="KB142"/>
      <c r="KC142"/>
      <c r="KD142"/>
      <c r="KE142"/>
      <c r="KF142"/>
      <c r="KG142"/>
      <c r="KH142"/>
      <c r="KI142"/>
      <c r="KJ142"/>
      <c r="KK142"/>
      <c r="KL142"/>
      <c r="KM142"/>
      <c r="KN142"/>
      <c r="KO142"/>
      <c r="KP142"/>
      <c r="KQ142"/>
      <c r="KR142"/>
      <c r="KS142"/>
      <c r="KT142"/>
      <c r="KU142"/>
      <c r="KV142"/>
      <c r="KW142"/>
      <c r="KX142"/>
      <c r="KY142"/>
      <c r="KZ142"/>
      <c r="LA142"/>
      <c r="LB142"/>
      <c r="LC142"/>
      <c r="LD142"/>
      <c r="LE142"/>
      <c r="LF142"/>
      <c r="LG142"/>
      <c r="LH142"/>
      <c r="LI142"/>
      <c r="LJ142"/>
      <c r="LK142"/>
      <c r="LL142"/>
      <c r="LM142"/>
      <c r="LN142"/>
      <c r="LO142"/>
      <c r="LP142"/>
      <c r="LQ142"/>
      <c r="LR142"/>
      <c r="LS142"/>
      <c r="LT142"/>
      <c r="LU142"/>
      <c r="LV142"/>
      <c r="LW142"/>
      <c r="LX142"/>
      <c r="LY142"/>
      <c r="LZ142"/>
      <c r="MA142"/>
      <c r="MB142"/>
      <c r="MC142"/>
      <c r="MD142"/>
      <c r="ME142"/>
      <c r="MF142"/>
      <c r="MG142"/>
      <c r="MH142"/>
      <c r="MI142"/>
      <c r="MJ142"/>
      <c r="MK142"/>
      <c r="ML142"/>
      <c r="MM142"/>
      <c r="MN142"/>
      <c r="MO142"/>
      <c r="MP142"/>
      <c r="MQ142"/>
      <c r="MR142"/>
      <c r="MS142"/>
      <c r="MT142"/>
      <c r="MU142"/>
      <c r="MV142"/>
      <c r="MW142"/>
      <c r="MX142"/>
      <c r="MY142"/>
      <c r="MZ142"/>
      <c r="NA142"/>
      <c r="NB142"/>
      <c r="NC142"/>
      <c r="ND142"/>
      <c r="NE142"/>
      <c r="NF142"/>
      <c r="NG142"/>
      <c r="NH142"/>
      <c r="NI142"/>
      <c r="NJ142"/>
      <c r="NK142"/>
      <c r="NL142"/>
      <c r="NM142"/>
      <c r="NN142"/>
      <c r="NO142"/>
      <c r="NP142"/>
      <c r="NQ142"/>
      <c r="NR142"/>
      <c r="NS142"/>
      <c r="NT142"/>
      <c r="NU142"/>
      <c r="NV142"/>
      <c r="NW142"/>
      <c r="NX142"/>
      <c r="NY142"/>
      <c r="NZ142"/>
      <c r="OA142"/>
      <c r="OB142"/>
      <c r="OC142"/>
      <c r="OD142"/>
      <c r="OE142"/>
      <c r="OF142"/>
      <c r="OG142"/>
      <c r="OH142"/>
      <c r="OI142"/>
      <c r="OJ142"/>
      <c r="OK142"/>
      <c r="OL142"/>
      <c r="OM142"/>
      <c r="ON142"/>
      <c r="OO142"/>
      <c r="OP142"/>
      <c r="OQ142"/>
      <c r="OR142"/>
      <c r="OS142"/>
      <c r="OT142"/>
      <c r="OU142"/>
      <c r="OV142"/>
      <c r="OW142"/>
      <c r="OX142"/>
      <c r="OY142"/>
      <c r="OZ142"/>
      <c r="PA142"/>
      <c r="PB142"/>
      <c r="PC142"/>
      <c r="PD142"/>
      <c r="PE142"/>
      <c r="PF142"/>
      <c r="PG142"/>
      <c r="PH142"/>
      <c r="PI142"/>
      <c r="PJ142"/>
      <c r="PK142"/>
      <c r="PL142"/>
      <c r="PM142"/>
      <c r="PN142"/>
      <c r="PO142"/>
      <c r="PP142"/>
      <c r="PQ142"/>
      <c r="PR142"/>
      <c r="PS142"/>
      <c r="PT142"/>
      <c r="PU142"/>
      <c r="PV142"/>
      <c r="PW142"/>
      <c r="PX142"/>
      <c r="PY142"/>
      <c r="PZ142"/>
      <c r="QA142"/>
      <c r="QB142"/>
      <c r="QC142"/>
      <c r="QD142"/>
      <c r="QE142"/>
      <c r="QF142"/>
      <c r="QG142"/>
      <c r="QH142"/>
      <c r="QI142"/>
      <c r="QJ142"/>
      <c r="QK142"/>
      <c r="QL142"/>
      <c r="QM142"/>
      <c r="QN142"/>
      <c r="QO142"/>
      <c r="QP142"/>
      <c r="QQ142"/>
      <c r="QR142"/>
      <c r="QS142"/>
      <c r="QT142"/>
      <c r="QU142"/>
      <c r="QV142"/>
      <c r="QW142"/>
      <c r="QX142"/>
      <c r="QY142"/>
      <c r="QZ142"/>
      <c r="RA142"/>
      <c r="RB142"/>
      <c r="RC142"/>
      <c r="RD142"/>
      <c r="RE142"/>
      <c r="RF142"/>
      <c r="RG142"/>
      <c r="RH142"/>
      <c r="RI142"/>
      <c r="RJ142"/>
      <c r="RK142"/>
      <c r="RL142"/>
      <c r="RM142"/>
      <c r="RN142"/>
      <c r="RO142"/>
      <c r="RP142"/>
      <c r="RQ142"/>
      <c r="RR142"/>
      <c r="RS142"/>
    </row>
    <row r="143" spans="3:487" x14ac:dyDescent="0.25">
      <c r="C143" s="2" t="s">
        <v>241</v>
      </c>
      <c r="D143" s="34">
        <v>1</v>
      </c>
      <c r="F143" s="2" t="s">
        <v>142</v>
      </c>
      <c r="G143" s="34">
        <v>1</v>
      </c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  <c r="DU143"/>
      <c r="DV143"/>
      <c r="DW143"/>
      <c r="DX143"/>
      <c r="DY143"/>
      <c r="DZ143"/>
      <c r="EA143"/>
      <c r="EB143"/>
      <c r="EC143"/>
      <c r="ED143"/>
      <c r="EE143"/>
      <c r="EF143"/>
      <c r="EG143"/>
      <c r="EH143"/>
      <c r="EI143"/>
      <c r="EJ143"/>
      <c r="EK143"/>
      <c r="EL143"/>
      <c r="EM143"/>
      <c r="EN143"/>
      <c r="EO143"/>
      <c r="EP143"/>
      <c r="EQ143"/>
      <c r="ER143"/>
      <c r="ES143"/>
      <c r="ET143"/>
      <c r="EU143"/>
      <c r="EV143"/>
      <c r="EW143"/>
      <c r="EX143"/>
      <c r="EY143"/>
      <c r="EZ143"/>
      <c r="FA143"/>
      <c r="FB143"/>
      <c r="FC143"/>
      <c r="FD143"/>
      <c r="FE143"/>
      <c r="FF143"/>
      <c r="FG143"/>
      <c r="FH143"/>
      <c r="FI143"/>
      <c r="FJ143"/>
      <c r="FK143"/>
      <c r="FL143"/>
      <c r="FM143"/>
      <c r="FN143"/>
      <c r="FO143"/>
      <c r="FP143"/>
      <c r="FQ143"/>
      <c r="FR143"/>
      <c r="FS143"/>
      <c r="FT143"/>
      <c r="FU143"/>
      <c r="FV143"/>
      <c r="FW143"/>
      <c r="FX143"/>
      <c r="FY143"/>
      <c r="FZ143"/>
      <c r="GA143"/>
      <c r="GB143"/>
      <c r="GC143"/>
      <c r="GD143"/>
      <c r="GE143"/>
      <c r="GF143"/>
      <c r="GG143"/>
      <c r="GH143"/>
      <c r="GI143"/>
      <c r="GJ143"/>
      <c r="GK143"/>
      <c r="GL143"/>
      <c r="GM143"/>
      <c r="GN143"/>
      <c r="GO143"/>
      <c r="GP143"/>
      <c r="GQ143"/>
      <c r="GR143"/>
      <c r="GS143"/>
      <c r="GT143"/>
      <c r="GU143"/>
      <c r="GV143"/>
      <c r="GW143"/>
      <c r="GX143"/>
      <c r="GY143"/>
      <c r="GZ143"/>
      <c r="HA143"/>
      <c r="HB143"/>
      <c r="HC143"/>
      <c r="HD143"/>
      <c r="HE143"/>
      <c r="HF143"/>
      <c r="HG143"/>
      <c r="HH143"/>
      <c r="HI143"/>
      <c r="HJ143"/>
      <c r="HK143"/>
      <c r="HL143"/>
      <c r="HM143"/>
      <c r="HN143"/>
      <c r="HO143"/>
      <c r="HP143"/>
      <c r="HQ143"/>
      <c r="HR143"/>
      <c r="HS143"/>
      <c r="HT143"/>
      <c r="HU143"/>
      <c r="HV143"/>
      <c r="HW143"/>
      <c r="HX143"/>
      <c r="HY143"/>
      <c r="HZ143"/>
      <c r="IA143"/>
      <c r="IB143"/>
      <c r="IC143"/>
      <c r="ID143"/>
      <c r="IE143"/>
      <c r="IF143"/>
      <c r="IG143"/>
      <c r="IH143"/>
      <c r="II143"/>
      <c r="IJ143"/>
      <c r="IK143"/>
      <c r="IL143"/>
      <c r="IM143"/>
      <c r="IN143"/>
      <c r="IO143"/>
      <c r="IP143"/>
      <c r="IQ143"/>
      <c r="IR143"/>
      <c r="IS143"/>
      <c r="IT143"/>
      <c r="IU143"/>
      <c r="IV143"/>
      <c r="IW143"/>
      <c r="IX143"/>
      <c r="IY143"/>
      <c r="IZ143"/>
      <c r="JA143"/>
      <c r="JB143"/>
      <c r="JC143"/>
      <c r="JD143"/>
      <c r="JE143"/>
      <c r="JF143"/>
      <c r="JG143"/>
      <c r="JH143"/>
      <c r="JI143"/>
      <c r="JJ143"/>
      <c r="JK143"/>
      <c r="JL143"/>
      <c r="JM143"/>
      <c r="JN143"/>
      <c r="JO143"/>
      <c r="JP143"/>
      <c r="JQ143"/>
      <c r="JR143"/>
      <c r="JS143"/>
      <c r="JT143"/>
      <c r="JU143"/>
      <c r="JV143"/>
      <c r="JW143"/>
      <c r="JX143"/>
      <c r="JY143"/>
      <c r="JZ143"/>
      <c r="KA143"/>
      <c r="KB143"/>
      <c r="KC143"/>
      <c r="KD143"/>
      <c r="KE143"/>
      <c r="KF143"/>
      <c r="KG143"/>
      <c r="KH143"/>
      <c r="KI143"/>
      <c r="KJ143"/>
      <c r="KK143"/>
      <c r="KL143"/>
      <c r="KM143"/>
      <c r="KN143"/>
      <c r="KO143"/>
      <c r="KP143"/>
      <c r="KQ143"/>
      <c r="KR143"/>
      <c r="KS143"/>
      <c r="KT143"/>
      <c r="KU143"/>
      <c r="KV143"/>
      <c r="KW143"/>
      <c r="KX143"/>
      <c r="KY143"/>
      <c r="KZ143"/>
      <c r="LA143"/>
      <c r="LB143"/>
      <c r="LC143"/>
      <c r="LD143"/>
      <c r="LE143"/>
      <c r="LF143"/>
      <c r="LG143"/>
      <c r="LH143"/>
      <c r="LI143"/>
      <c r="LJ143"/>
      <c r="LK143"/>
      <c r="LL143"/>
      <c r="LM143"/>
      <c r="LN143"/>
      <c r="LO143"/>
      <c r="LP143"/>
      <c r="LQ143"/>
      <c r="LR143"/>
      <c r="LS143"/>
      <c r="LT143"/>
      <c r="LU143"/>
      <c r="LV143"/>
      <c r="LW143"/>
      <c r="LX143"/>
      <c r="LY143"/>
      <c r="LZ143"/>
      <c r="MA143"/>
      <c r="MB143"/>
      <c r="MC143"/>
      <c r="MD143"/>
      <c r="ME143"/>
      <c r="MF143"/>
      <c r="MG143"/>
      <c r="MH143"/>
      <c r="MI143"/>
      <c r="MJ143"/>
      <c r="MK143"/>
      <c r="ML143"/>
      <c r="MM143"/>
      <c r="MN143"/>
      <c r="MO143"/>
      <c r="MP143"/>
      <c r="MQ143"/>
      <c r="MR143"/>
      <c r="MS143"/>
      <c r="MT143"/>
      <c r="MU143"/>
      <c r="MV143"/>
      <c r="MW143"/>
      <c r="MX143"/>
      <c r="MY143"/>
      <c r="MZ143"/>
      <c r="NA143"/>
      <c r="NB143"/>
      <c r="NC143"/>
      <c r="ND143"/>
      <c r="NE143"/>
      <c r="NF143"/>
      <c r="NG143"/>
      <c r="NH143"/>
      <c r="NI143"/>
      <c r="NJ143"/>
      <c r="NK143"/>
      <c r="NL143"/>
      <c r="NM143"/>
      <c r="NN143"/>
      <c r="NO143"/>
      <c r="NP143"/>
      <c r="NQ143"/>
      <c r="NR143"/>
      <c r="NS143"/>
      <c r="NT143"/>
      <c r="NU143"/>
      <c r="NV143"/>
      <c r="NW143"/>
      <c r="NX143"/>
      <c r="NY143"/>
      <c r="NZ143"/>
      <c r="OA143"/>
      <c r="OB143"/>
      <c r="OC143"/>
      <c r="OD143"/>
      <c r="OE143"/>
      <c r="OF143"/>
      <c r="OG143"/>
      <c r="OH143"/>
      <c r="OI143"/>
      <c r="OJ143"/>
      <c r="OK143"/>
      <c r="OL143"/>
      <c r="OM143"/>
      <c r="ON143"/>
      <c r="OO143"/>
      <c r="OP143"/>
      <c r="OQ143"/>
      <c r="OR143"/>
      <c r="OS143"/>
      <c r="OT143"/>
      <c r="OU143"/>
      <c r="OV143"/>
      <c r="OW143"/>
      <c r="OX143"/>
      <c r="OY143"/>
      <c r="OZ143"/>
      <c r="PA143"/>
      <c r="PB143"/>
      <c r="PC143"/>
      <c r="PD143"/>
      <c r="PE143"/>
      <c r="PF143"/>
      <c r="PG143"/>
      <c r="PH143"/>
      <c r="PI143"/>
      <c r="PJ143"/>
      <c r="PK143"/>
      <c r="PL143"/>
      <c r="PM143"/>
      <c r="PN143"/>
      <c r="PO143"/>
      <c r="PP143"/>
      <c r="PQ143"/>
      <c r="PR143"/>
      <c r="PS143"/>
      <c r="PT143"/>
      <c r="PU143"/>
      <c r="PV143"/>
      <c r="PW143"/>
      <c r="PX143"/>
      <c r="PY143"/>
      <c r="PZ143"/>
      <c r="QA143"/>
      <c r="QB143"/>
      <c r="QC143"/>
      <c r="QD143"/>
      <c r="QE143"/>
      <c r="QF143"/>
      <c r="QG143"/>
      <c r="QH143"/>
      <c r="QI143"/>
      <c r="QJ143"/>
      <c r="QK143"/>
      <c r="QL143"/>
      <c r="QM143"/>
      <c r="QN143"/>
      <c r="QO143"/>
      <c r="QP143"/>
      <c r="QQ143"/>
      <c r="QR143"/>
      <c r="QS143"/>
      <c r="QT143"/>
      <c r="QU143"/>
      <c r="QV143"/>
      <c r="QW143"/>
      <c r="QX143"/>
      <c r="QY143"/>
      <c r="QZ143"/>
      <c r="RA143"/>
      <c r="RB143"/>
      <c r="RC143"/>
      <c r="RD143"/>
      <c r="RE143"/>
      <c r="RF143"/>
      <c r="RG143"/>
      <c r="RH143"/>
      <c r="RI143"/>
      <c r="RJ143"/>
      <c r="RK143"/>
      <c r="RL143"/>
      <c r="RM143"/>
      <c r="RN143"/>
      <c r="RO143"/>
      <c r="RP143"/>
      <c r="RQ143"/>
      <c r="RR143"/>
      <c r="RS143"/>
    </row>
    <row r="144" spans="3:487" x14ac:dyDescent="0.25">
      <c r="C144" s="2" t="s">
        <v>316</v>
      </c>
      <c r="D144" s="34">
        <v>1</v>
      </c>
      <c r="F144" s="2" t="s">
        <v>280</v>
      </c>
      <c r="G144" s="34">
        <v>1</v>
      </c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  <c r="DU144"/>
      <c r="DV144"/>
      <c r="DW144"/>
      <c r="DX144"/>
      <c r="DY144"/>
      <c r="DZ144"/>
      <c r="EA144"/>
      <c r="EB144"/>
      <c r="EC144"/>
      <c r="ED144"/>
      <c r="EE144"/>
      <c r="EF144"/>
      <c r="EG144"/>
      <c r="EH144"/>
      <c r="EI144"/>
      <c r="EJ144"/>
      <c r="EK144"/>
      <c r="EL144"/>
      <c r="EM144"/>
      <c r="EN144"/>
      <c r="EO144"/>
      <c r="EP144"/>
      <c r="EQ144"/>
      <c r="ER144"/>
      <c r="ES144"/>
      <c r="ET144"/>
      <c r="EU144"/>
      <c r="EV144"/>
      <c r="EW144"/>
      <c r="EX144"/>
      <c r="EY144"/>
      <c r="EZ144"/>
      <c r="FA144"/>
      <c r="FB144"/>
      <c r="FC144"/>
      <c r="FD144"/>
      <c r="FE144"/>
      <c r="FF144"/>
      <c r="FG144"/>
      <c r="FH144"/>
      <c r="FI144"/>
      <c r="FJ144"/>
      <c r="FK144"/>
      <c r="FL144"/>
      <c r="FM144"/>
      <c r="FN144"/>
      <c r="FO144"/>
      <c r="FP144"/>
      <c r="FQ144"/>
      <c r="FR144"/>
      <c r="FS144"/>
      <c r="FT144"/>
      <c r="FU144"/>
      <c r="FV144"/>
      <c r="FW144"/>
      <c r="FX144"/>
      <c r="FY144"/>
      <c r="FZ144"/>
      <c r="GA144"/>
      <c r="GB144"/>
      <c r="GC144"/>
      <c r="GD144"/>
      <c r="GE144"/>
      <c r="GF144"/>
      <c r="GG144"/>
      <c r="GH144"/>
      <c r="GI144"/>
      <c r="GJ144"/>
      <c r="GK144"/>
      <c r="GL144"/>
      <c r="GM144"/>
      <c r="GN144"/>
      <c r="GO144"/>
      <c r="GP144"/>
      <c r="GQ144"/>
      <c r="GR144"/>
      <c r="GS144"/>
      <c r="GT144"/>
      <c r="GU144"/>
      <c r="GV144"/>
      <c r="GW144"/>
      <c r="GX144"/>
      <c r="GY144"/>
      <c r="GZ144"/>
      <c r="HA144"/>
      <c r="HB144"/>
      <c r="HC144"/>
      <c r="HD144"/>
      <c r="HE144"/>
      <c r="HF144"/>
      <c r="HG144"/>
      <c r="HH144"/>
      <c r="HI144"/>
      <c r="HJ144"/>
      <c r="HK144"/>
      <c r="HL144"/>
      <c r="HM144"/>
      <c r="HN144"/>
      <c r="HO144"/>
      <c r="HP144"/>
      <c r="HQ144"/>
      <c r="HR144"/>
      <c r="HS144"/>
      <c r="HT144"/>
      <c r="HU144"/>
      <c r="HV144"/>
      <c r="HW144"/>
      <c r="HX144"/>
      <c r="HY144"/>
      <c r="HZ144"/>
      <c r="IA144"/>
      <c r="IB144"/>
      <c r="IC144"/>
      <c r="ID144"/>
      <c r="IE144"/>
      <c r="IF144"/>
      <c r="IG144"/>
      <c r="IH144"/>
      <c r="II144"/>
      <c r="IJ144"/>
      <c r="IK144"/>
      <c r="IL144"/>
      <c r="IM144"/>
      <c r="IN144"/>
      <c r="IO144"/>
      <c r="IP144"/>
      <c r="IQ144"/>
      <c r="IR144"/>
      <c r="IS144"/>
      <c r="IT144"/>
      <c r="IU144"/>
      <c r="IV144"/>
      <c r="IW144"/>
      <c r="IX144"/>
      <c r="IY144"/>
      <c r="IZ144"/>
      <c r="JA144"/>
      <c r="JB144"/>
      <c r="JC144"/>
      <c r="JD144"/>
      <c r="JE144"/>
      <c r="JF144"/>
      <c r="JG144"/>
      <c r="JH144"/>
      <c r="JI144"/>
      <c r="JJ144"/>
      <c r="JK144"/>
      <c r="JL144"/>
      <c r="JM144"/>
      <c r="JN144"/>
      <c r="JO144"/>
      <c r="JP144"/>
      <c r="JQ144"/>
      <c r="JR144"/>
      <c r="JS144"/>
      <c r="JT144"/>
      <c r="JU144"/>
      <c r="JV144"/>
      <c r="JW144"/>
      <c r="JX144"/>
      <c r="JY144"/>
      <c r="JZ144"/>
      <c r="KA144"/>
      <c r="KB144"/>
      <c r="KC144"/>
      <c r="KD144"/>
      <c r="KE144"/>
      <c r="KF144"/>
      <c r="KG144"/>
      <c r="KH144"/>
      <c r="KI144"/>
      <c r="KJ144"/>
      <c r="KK144"/>
      <c r="KL144"/>
      <c r="KM144"/>
      <c r="KN144"/>
      <c r="KO144"/>
      <c r="KP144"/>
      <c r="KQ144"/>
      <c r="KR144"/>
      <c r="KS144"/>
      <c r="KT144"/>
      <c r="KU144"/>
      <c r="KV144"/>
      <c r="KW144"/>
      <c r="KX144"/>
      <c r="KY144"/>
      <c r="KZ144"/>
      <c r="LA144"/>
      <c r="LB144"/>
      <c r="LC144"/>
      <c r="LD144"/>
      <c r="LE144"/>
      <c r="LF144"/>
      <c r="LG144"/>
      <c r="LH144"/>
      <c r="LI144"/>
      <c r="LJ144"/>
      <c r="LK144"/>
      <c r="LL144"/>
      <c r="LM144"/>
      <c r="LN144"/>
      <c r="LO144"/>
      <c r="LP144"/>
      <c r="LQ144"/>
      <c r="LR144"/>
      <c r="LS144"/>
      <c r="LT144"/>
      <c r="LU144"/>
      <c r="LV144"/>
      <c r="LW144"/>
      <c r="LX144"/>
      <c r="LY144"/>
      <c r="LZ144"/>
      <c r="MA144"/>
      <c r="MB144"/>
      <c r="MC144"/>
      <c r="MD144"/>
      <c r="ME144"/>
      <c r="MF144"/>
      <c r="MG144"/>
      <c r="MH144"/>
      <c r="MI144"/>
      <c r="MJ144"/>
      <c r="MK144"/>
      <c r="ML144"/>
      <c r="MM144"/>
      <c r="MN144"/>
      <c r="MO144"/>
      <c r="MP144"/>
      <c r="MQ144"/>
      <c r="MR144"/>
      <c r="MS144"/>
      <c r="MT144"/>
      <c r="MU144"/>
      <c r="MV144"/>
      <c r="MW144"/>
      <c r="MX144"/>
      <c r="MY144"/>
      <c r="MZ144"/>
      <c r="NA144"/>
      <c r="NB144"/>
      <c r="NC144"/>
      <c r="ND144"/>
      <c r="NE144"/>
      <c r="NF144"/>
      <c r="NG144"/>
      <c r="NH144"/>
      <c r="NI144"/>
      <c r="NJ144"/>
      <c r="NK144"/>
      <c r="NL144"/>
      <c r="NM144"/>
      <c r="NN144"/>
      <c r="NO144"/>
      <c r="NP144"/>
      <c r="NQ144"/>
      <c r="NR144"/>
      <c r="NS144"/>
      <c r="NT144"/>
      <c r="NU144"/>
      <c r="NV144"/>
      <c r="NW144"/>
      <c r="NX144"/>
      <c r="NY144"/>
      <c r="NZ144"/>
      <c r="OA144"/>
      <c r="OB144"/>
      <c r="OC144"/>
      <c r="OD144"/>
      <c r="OE144"/>
      <c r="OF144"/>
      <c r="OG144"/>
      <c r="OH144"/>
      <c r="OI144"/>
      <c r="OJ144"/>
      <c r="OK144"/>
      <c r="OL144"/>
      <c r="OM144"/>
      <c r="ON144"/>
      <c r="OO144"/>
      <c r="OP144"/>
      <c r="OQ144"/>
      <c r="OR144"/>
      <c r="OS144"/>
      <c r="OT144"/>
      <c r="OU144"/>
      <c r="OV144"/>
      <c r="OW144"/>
      <c r="OX144"/>
      <c r="OY144"/>
      <c r="OZ144"/>
      <c r="PA144"/>
      <c r="PB144"/>
      <c r="PC144"/>
      <c r="PD144"/>
      <c r="PE144"/>
      <c r="PF144"/>
      <c r="PG144"/>
      <c r="PH144"/>
      <c r="PI144"/>
      <c r="PJ144"/>
      <c r="PK144"/>
      <c r="PL144"/>
      <c r="PM144"/>
      <c r="PN144"/>
      <c r="PO144"/>
      <c r="PP144"/>
      <c r="PQ144"/>
      <c r="PR144"/>
      <c r="PS144"/>
      <c r="PT144"/>
      <c r="PU144"/>
      <c r="PV144"/>
      <c r="PW144"/>
      <c r="PX144"/>
      <c r="PY144"/>
      <c r="PZ144"/>
      <c r="QA144"/>
      <c r="QB144"/>
      <c r="QC144"/>
      <c r="QD144"/>
      <c r="QE144"/>
      <c r="QF144"/>
      <c r="QG144"/>
      <c r="QH144"/>
      <c r="QI144"/>
      <c r="QJ144"/>
      <c r="QK144"/>
      <c r="QL144"/>
      <c r="QM144"/>
      <c r="QN144"/>
      <c r="QO144"/>
      <c r="QP144"/>
      <c r="QQ144"/>
      <c r="QR144"/>
      <c r="QS144"/>
      <c r="QT144"/>
      <c r="QU144"/>
      <c r="QV144"/>
      <c r="QW144"/>
      <c r="QX144"/>
      <c r="QY144"/>
      <c r="QZ144"/>
      <c r="RA144"/>
      <c r="RB144"/>
      <c r="RC144"/>
      <c r="RD144"/>
      <c r="RE144"/>
      <c r="RF144"/>
      <c r="RG144"/>
      <c r="RH144"/>
      <c r="RI144"/>
      <c r="RJ144"/>
      <c r="RK144"/>
      <c r="RL144"/>
      <c r="RM144"/>
      <c r="RN144"/>
      <c r="RO144"/>
      <c r="RP144"/>
      <c r="RQ144"/>
      <c r="RR144"/>
      <c r="RS144"/>
    </row>
    <row r="145" spans="3:487" x14ac:dyDescent="0.25">
      <c r="C145" s="2" t="s">
        <v>301</v>
      </c>
      <c r="D145" s="34">
        <v>1</v>
      </c>
      <c r="F145" s="2" t="s">
        <v>1319</v>
      </c>
      <c r="G145" s="34">
        <v>1</v>
      </c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  <c r="DU145"/>
      <c r="DV145"/>
      <c r="DW145"/>
      <c r="DX145"/>
      <c r="DY145"/>
      <c r="DZ145"/>
      <c r="EA145"/>
      <c r="EB145"/>
      <c r="EC145"/>
      <c r="ED145"/>
      <c r="EE145"/>
      <c r="EF145"/>
      <c r="EG145"/>
      <c r="EH145"/>
      <c r="EI145"/>
      <c r="EJ145"/>
      <c r="EK145"/>
      <c r="EL145"/>
      <c r="EM145"/>
      <c r="EN145"/>
      <c r="EO145"/>
      <c r="EP145"/>
      <c r="EQ145"/>
      <c r="ER145"/>
      <c r="ES145"/>
      <c r="ET145"/>
      <c r="EU145"/>
      <c r="EV145"/>
      <c r="EW145"/>
      <c r="EX145"/>
      <c r="EY145"/>
      <c r="EZ145"/>
      <c r="FA145"/>
      <c r="FB145"/>
      <c r="FC145"/>
      <c r="FD145"/>
      <c r="FE145"/>
      <c r="FF145"/>
      <c r="FG145"/>
      <c r="FH145"/>
      <c r="FI145"/>
      <c r="FJ145"/>
      <c r="FK145"/>
      <c r="FL145"/>
      <c r="FM145"/>
      <c r="FN145"/>
      <c r="FO145"/>
      <c r="FP145"/>
      <c r="FQ145"/>
      <c r="FR145"/>
      <c r="FS145"/>
      <c r="FT145"/>
      <c r="FU145"/>
      <c r="FV145"/>
      <c r="FW145"/>
      <c r="FX145"/>
      <c r="FY145"/>
      <c r="FZ145"/>
      <c r="GA145"/>
      <c r="GB145"/>
      <c r="GC145"/>
      <c r="GD145"/>
      <c r="GE145"/>
      <c r="GF145"/>
      <c r="GG145"/>
      <c r="GH145"/>
      <c r="GI145"/>
      <c r="GJ145"/>
      <c r="GK145"/>
      <c r="GL145"/>
      <c r="GM145"/>
      <c r="GN145"/>
      <c r="GO145"/>
      <c r="GP145"/>
      <c r="GQ145"/>
      <c r="GR145"/>
      <c r="GS145"/>
      <c r="GT145"/>
      <c r="GU145"/>
      <c r="GV145"/>
      <c r="GW145"/>
      <c r="GX145"/>
      <c r="GY145"/>
      <c r="GZ145"/>
      <c r="HA145"/>
      <c r="HB145"/>
      <c r="HC145"/>
      <c r="HD145"/>
      <c r="HE145"/>
      <c r="HF145"/>
      <c r="HG145"/>
      <c r="HH145"/>
      <c r="HI145"/>
      <c r="HJ145"/>
      <c r="HK145"/>
      <c r="HL145"/>
      <c r="HM145"/>
      <c r="HN145"/>
      <c r="HO145"/>
      <c r="HP145"/>
      <c r="HQ145"/>
      <c r="HR145"/>
      <c r="HS145"/>
      <c r="HT145"/>
      <c r="HU145"/>
      <c r="HV145"/>
      <c r="HW145"/>
      <c r="HX145"/>
      <c r="HY145"/>
      <c r="HZ145"/>
      <c r="IA145"/>
      <c r="IB145"/>
      <c r="IC145"/>
      <c r="ID145"/>
      <c r="IE145"/>
      <c r="IF145"/>
      <c r="IG145"/>
      <c r="IH145"/>
      <c r="II145"/>
      <c r="IJ145"/>
      <c r="IK145"/>
      <c r="IL145"/>
      <c r="IM145"/>
      <c r="IN145"/>
      <c r="IO145"/>
      <c r="IP145"/>
      <c r="IQ145"/>
      <c r="IR145"/>
      <c r="IS145"/>
      <c r="IT145"/>
      <c r="IU145"/>
      <c r="IV145"/>
      <c r="IW145"/>
      <c r="IX145"/>
      <c r="IY145"/>
      <c r="IZ145"/>
      <c r="JA145"/>
      <c r="JB145"/>
      <c r="JC145"/>
      <c r="JD145"/>
      <c r="JE145"/>
      <c r="JF145"/>
      <c r="JG145"/>
      <c r="JH145"/>
      <c r="JI145"/>
      <c r="JJ145"/>
      <c r="JK145"/>
      <c r="JL145"/>
      <c r="JM145"/>
      <c r="JN145"/>
      <c r="JO145"/>
      <c r="JP145"/>
      <c r="JQ145"/>
      <c r="JR145"/>
      <c r="JS145"/>
      <c r="JT145"/>
      <c r="JU145"/>
      <c r="JV145"/>
      <c r="JW145"/>
      <c r="JX145"/>
      <c r="JY145"/>
      <c r="JZ145"/>
      <c r="KA145"/>
      <c r="KB145"/>
      <c r="KC145"/>
      <c r="KD145"/>
      <c r="KE145"/>
      <c r="KF145"/>
      <c r="KG145"/>
      <c r="KH145"/>
      <c r="KI145"/>
      <c r="KJ145"/>
      <c r="KK145"/>
      <c r="KL145"/>
      <c r="KM145"/>
      <c r="KN145"/>
      <c r="KO145"/>
      <c r="KP145"/>
      <c r="KQ145"/>
      <c r="KR145"/>
      <c r="KS145"/>
      <c r="KT145"/>
      <c r="KU145"/>
      <c r="KV145"/>
      <c r="KW145"/>
      <c r="KX145"/>
      <c r="KY145"/>
      <c r="KZ145"/>
      <c r="LA145"/>
      <c r="LB145"/>
      <c r="LC145"/>
      <c r="LD145"/>
      <c r="LE145"/>
      <c r="LF145"/>
      <c r="LG145"/>
      <c r="LH145"/>
      <c r="LI145"/>
      <c r="LJ145"/>
      <c r="LK145"/>
      <c r="LL145"/>
      <c r="LM145"/>
      <c r="LN145"/>
      <c r="LO145"/>
      <c r="LP145"/>
      <c r="LQ145"/>
      <c r="LR145"/>
      <c r="LS145"/>
      <c r="LT145"/>
      <c r="LU145"/>
      <c r="LV145"/>
      <c r="LW145"/>
      <c r="LX145"/>
      <c r="LY145"/>
      <c r="LZ145"/>
      <c r="MA145"/>
      <c r="MB145"/>
      <c r="MC145"/>
      <c r="MD145"/>
      <c r="ME145"/>
      <c r="MF145"/>
      <c r="MG145"/>
      <c r="MH145"/>
      <c r="MI145"/>
      <c r="MJ145"/>
      <c r="MK145"/>
      <c r="ML145"/>
      <c r="MM145"/>
      <c r="MN145"/>
      <c r="MO145"/>
      <c r="MP145"/>
      <c r="MQ145"/>
      <c r="MR145"/>
      <c r="MS145"/>
      <c r="MT145"/>
      <c r="MU145"/>
      <c r="MV145"/>
      <c r="MW145"/>
      <c r="MX145"/>
      <c r="MY145"/>
      <c r="MZ145"/>
      <c r="NA145"/>
      <c r="NB145"/>
      <c r="NC145"/>
      <c r="ND145"/>
      <c r="NE145"/>
      <c r="NF145"/>
      <c r="NG145"/>
      <c r="NH145"/>
      <c r="NI145"/>
      <c r="NJ145"/>
      <c r="NK145"/>
      <c r="NL145"/>
      <c r="NM145"/>
      <c r="NN145"/>
      <c r="NO145"/>
      <c r="NP145"/>
      <c r="NQ145"/>
      <c r="NR145"/>
      <c r="NS145"/>
      <c r="NT145"/>
      <c r="NU145"/>
      <c r="NV145"/>
      <c r="NW145"/>
      <c r="NX145"/>
      <c r="NY145"/>
      <c r="NZ145"/>
      <c r="OA145"/>
      <c r="OB145"/>
      <c r="OC145"/>
      <c r="OD145"/>
      <c r="OE145"/>
      <c r="OF145"/>
      <c r="OG145"/>
      <c r="OH145"/>
      <c r="OI145"/>
      <c r="OJ145"/>
      <c r="OK145"/>
      <c r="OL145"/>
      <c r="OM145"/>
      <c r="ON145"/>
      <c r="OO145"/>
      <c r="OP145"/>
      <c r="OQ145"/>
      <c r="OR145"/>
      <c r="OS145"/>
      <c r="OT145"/>
      <c r="OU145"/>
      <c r="OV145"/>
      <c r="OW145"/>
      <c r="OX145"/>
      <c r="OY145"/>
      <c r="OZ145"/>
      <c r="PA145"/>
      <c r="PB145"/>
      <c r="PC145"/>
      <c r="PD145"/>
      <c r="PE145"/>
      <c r="PF145"/>
      <c r="PG145"/>
      <c r="PH145"/>
      <c r="PI145"/>
      <c r="PJ145"/>
      <c r="PK145"/>
      <c r="PL145"/>
      <c r="PM145"/>
      <c r="PN145"/>
      <c r="PO145"/>
      <c r="PP145"/>
      <c r="PQ145"/>
      <c r="PR145"/>
      <c r="PS145"/>
      <c r="PT145"/>
      <c r="PU145"/>
      <c r="PV145"/>
      <c r="PW145"/>
      <c r="PX145"/>
      <c r="PY145"/>
      <c r="PZ145"/>
      <c r="QA145"/>
      <c r="QB145"/>
      <c r="QC145"/>
      <c r="QD145"/>
      <c r="QE145"/>
      <c r="QF145"/>
      <c r="QG145"/>
      <c r="QH145"/>
      <c r="QI145"/>
      <c r="QJ145"/>
      <c r="QK145"/>
      <c r="QL145"/>
      <c r="QM145"/>
      <c r="QN145"/>
      <c r="QO145"/>
      <c r="QP145"/>
      <c r="QQ145"/>
      <c r="QR145"/>
      <c r="QS145"/>
      <c r="QT145"/>
      <c r="QU145"/>
      <c r="QV145"/>
      <c r="QW145"/>
      <c r="QX145"/>
      <c r="QY145"/>
      <c r="QZ145"/>
      <c r="RA145"/>
      <c r="RB145"/>
      <c r="RC145"/>
      <c r="RD145"/>
      <c r="RE145"/>
      <c r="RF145"/>
      <c r="RG145"/>
      <c r="RH145"/>
      <c r="RI145"/>
      <c r="RJ145"/>
      <c r="RK145"/>
      <c r="RL145"/>
      <c r="RM145"/>
      <c r="RN145"/>
      <c r="RO145"/>
      <c r="RP145"/>
      <c r="RQ145"/>
      <c r="RR145"/>
      <c r="RS145"/>
    </row>
    <row r="146" spans="3:487" x14ac:dyDescent="0.25">
      <c r="C146" s="2" t="s">
        <v>247</v>
      </c>
      <c r="D146" s="34">
        <v>1</v>
      </c>
      <c r="F146" s="2" t="s">
        <v>186</v>
      </c>
      <c r="G146" s="34">
        <v>1</v>
      </c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  <c r="DU146"/>
      <c r="DV146"/>
      <c r="DW146"/>
      <c r="DX146"/>
      <c r="DY146"/>
      <c r="DZ146"/>
      <c r="EA146"/>
      <c r="EB146"/>
      <c r="EC146"/>
      <c r="ED146"/>
      <c r="EE146"/>
      <c r="EF146"/>
      <c r="EG146"/>
      <c r="EH146"/>
      <c r="EI146"/>
      <c r="EJ146"/>
      <c r="EK146"/>
      <c r="EL146"/>
      <c r="EM146"/>
      <c r="EN146"/>
      <c r="EO146"/>
      <c r="EP146"/>
      <c r="EQ146"/>
      <c r="ER146"/>
      <c r="ES146"/>
      <c r="ET146"/>
      <c r="EU146"/>
      <c r="EV146"/>
      <c r="EW146"/>
      <c r="EX146"/>
      <c r="EY146"/>
      <c r="EZ146"/>
      <c r="FA146"/>
      <c r="FB146"/>
      <c r="FC146"/>
      <c r="FD146"/>
      <c r="FE146"/>
      <c r="FF146"/>
      <c r="FG146"/>
      <c r="FH146"/>
      <c r="FI146"/>
      <c r="FJ146"/>
      <c r="FK146"/>
      <c r="FL146"/>
      <c r="FM146"/>
      <c r="FN146"/>
      <c r="FO146"/>
      <c r="FP146"/>
      <c r="FQ146"/>
      <c r="FR146"/>
      <c r="FS146"/>
      <c r="FT146"/>
      <c r="FU146"/>
      <c r="FV146"/>
      <c r="FW146"/>
      <c r="FX146"/>
      <c r="FY146"/>
      <c r="FZ146"/>
      <c r="GA146"/>
      <c r="GB146"/>
      <c r="GC146"/>
      <c r="GD146"/>
      <c r="GE146"/>
      <c r="GF146"/>
      <c r="GG146"/>
      <c r="GH146"/>
      <c r="GI146"/>
      <c r="GJ146"/>
      <c r="GK146"/>
      <c r="GL146"/>
      <c r="GM146"/>
      <c r="GN146"/>
      <c r="GO146"/>
      <c r="GP146"/>
      <c r="GQ146"/>
      <c r="GR146"/>
      <c r="GS146"/>
      <c r="GT146"/>
      <c r="GU146"/>
      <c r="GV146"/>
      <c r="GW146"/>
      <c r="GX146"/>
      <c r="GY146"/>
      <c r="GZ146"/>
      <c r="HA146"/>
      <c r="HB146"/>
      <c r="HC146"/>
      <c r="HD146"/>
      <c r="HE146"/>
      <c r="HF146"/>
      <c r="HG146"/>
      <c r="HH146"/>
      <c r="HI146"/>
      <c r="HJ146"/>
      <c r="HK146"/>
      <c r="HL146"/>
      <c r="HM146"/>
      <c r="HN146"/>
      <c r="HO146"/>
      <c r="HP146"/>
      <c r="HQ146"/>
      <c r="HR146"/>
      <c r="HS146"/>
      <c r="HT146"/>
      <c r="HU146"/>
      <c r="HV146"/>
      <c r="HW146"/>
      <c r="HX146"/>
      <c r="HY146"/>
      <c r="HZ146"/>
      <c r="IA146"/>
      <c r="IB146"/>
      <c r="IC146"/>
      <c r="ID146"/>
      <c r="IE146"/>
      <c r="IF146"/>
      <c r="IG146"/>
      <c r="IH146"/>
      <c r="II146"/>
      <c r="IJ146"/>
      <c r="IK146"/>
      <c r="IL146"/>
      <c r="IM146"/>
      <c r="IN146"/>
      <c r="IO146"/>
      <c r="IP146"/>
      <c r="IQ146"/>
      <c r="IR146"/>
      <c r="IS146"/>
      <c r="IT146"/>
      <c r="IU146"/>
      <c r="IV146"/>
      <c r="IW146"/>
      <c r="IX146"/>
      <c r="IY146"/>
      <c r="IZ146"/>
      <c r="JA146"/>
      <c r="JB146"/>
      <c r="JC146"/>
      <c r="JD146"/>
      <c r="JE146"/>
      <c r="JF146"/>
      <c r="JG146"/>
      <c r="JH146"/>
      <c r="JI146"/>
      <c r="JJ146"/>
      <c r="JK146"/>
      <c r="JL146"/>
      <c r="JM146"/>
      <c r="JN146"/>
      <c r="JO146"/>
      <c r="JP146"/>
      <c r="JQ146"/>
      <c r="JR146"/>
      <c r="JS146"/>
      <c r="JT146"/>
      <c r="JU146"/>
      <c r="JV146"/>
      <c r="JW146"/>
      <c r="JX146"/>
      <c r="JY146"/>
      <c r="JZ146"/>
      <c r="KA146"/>
      <c r="KB146"/>
      <c r="KC146"/>
      <c r="KD146"/>
      <c r="KE146"/>
      <c r="KF146"/>
      <c r="KG146"/>
      <c r="KH146"/>
      <c r="KI146"/>
      <c r="KJ146"/>
      <c r="KK146"/>
      <c r="KL146"/>
      <c r="KM146"/>
      <c r="KN146"/>
      <c r="KO146"/>
      <c r="KP146"/>
      <c r="KQ146"/>
      <c r="KR146"/>
      <c r="KS146"/>
      <c r="KT146"/>
      <c r="KU146"/>
      <c r="KV146"/>
      <c r="KW146"/>
      <c r="KX146"/>
      <c r="KY146"/>
      <c r="KZ146"/>
      <c r="LA146"/>
      <c r="LB146"/>
      <c r="LC146"/>
      <c r="LD146"/>
      <c r="LE146"/>
      <c r="LF146"/>
      <c r="LG146"/>
      <c r="LH146"/>
      <c r="LI146"/>
      <c r="LJ146"/>
      <c r="LK146"/>
      <c r="LL146"/>
      <c r="LM146"/>
      <c r="LN146"/>
      <c r="LO146"/>
      <c r="LP146"/>
      <c r="LQ146"/>
      <c r="LR146"/>
      <c r="LS146"/>
      <c r="LT146"/>
      <c r="LU146"/>
      <c r="LV146"/>
      <c r="LW146"/>
      <c r="LX146"/>
      <c r="LY146"/>
      <c r="LZ146"/>
      <c r="MA146"/>
      <c r="MB146"/>
      <c r="MC146"/>
      <c r="MD146"/>
      <c r="ME146"/>
      <c r="MF146"/>
      <c r="MG146"/>
      <c r="MH146"/>
      <c r="MI146"/>
      <c r="MJ146"/>
      <c r="MK146"/>
      <c r="ML146"/>
      <c r="MM146"/>
      <c r="MN146"/>
      <c r="MO146"/>
      <c r="MP146"/>
      <c r="MQ146"/>
      <c r="MR146"/>
      <c r="MS146"/>
      <c r="MT146"/>
      <c r="MU146"/>
      <c r="MV146"/>
      <c r="MW146"/>
      <c r="MX146"/>
      <c r="MY146"/>
      <c r="MZ146"/>
      <c r="NA146"/>
      <c r="NB146"/>
      <c r="NC146"/>
      <c r="ND146"/>
      <c r="NE146"/>
      <c r="NF146"/>
      <c r="NG146"/>
      <c r="NH146"/>
      <c r="NI146"/>
      <c r="NJ146"/>
      <c r="NK146"/>
      <c r="NL146"/>
      <c r="NM146"/>
      <c r="NN146"/>
      <c r="NO146"/>
      <c r="NP146"/>
      <c r="NQ146"/>
      <c r="NR146"/>
      <c r="NS146"/>
      <c r="NT146"/>
      <c r="NU146"/>
      <c r="NV146"/>
      <c r="NW146"/>
      <c r="NX146"/>
      <c r="NY146"/>
      <c r="NZ146"/>
      <c r="OA146"/>
      <c r="OB146"/>
      <c r="OC146"/>
      <c r="OD146"/>
      <c r="OE146"/>
      <c r="OF146"/>
      <c r="OG146"/>
      <c r="OH146"/>
      <c r="OI146"/>
      <c r="OJ146"/>
      <c r="OK146"/>
      <c r="OL146"/>
      <c r="OM146"/>
      <c r="ON146"/>
      <c r="OO146"/>
      <c r="OP146"/>
      <c r="OQ146"/>
      <c r="OR146"/>
      <c r="OS146"/>
      <c r="OT146"/>
      <c r="OU146"/>
      <c r="OV146"/>
      <c r="OW146"/>
      <c r="OX146"/>
      <c r="OY146"/>
      <c r="OZ146"/>
      <c r="PA146"/>
      <c r="PB146"/>
      <c r="PC146"/>
      <c r="PD146"/>
      <c r="PE146"/>
      <c r="PF146"/>
      <c r="PG146"/>
      <c r="PH146"/>
      <c r="PI146"/>
      <c r="PJ146"/>
      <c r="PK146"/>
      <c r="PL146"/>
      <c r="PM146"/>
      <c r="PN146"/>
      <c r="PO146"/>
      <c r="PP146"/>
      <c r="PQ146"/>
      <c r="PR146"/>
      <c r="PS146"/>
      <c r="PT146"/>
      <c r="PU146"/>
      <c r="PV146"/>
      <c r="PW146"/>
      <c r="PX146"/>
      <c r="PY146"/>
      <c r="PZ146"/>
      <c r="QA146"/>
      <c r="QB146"/>
      <c r="QC146"/>
      <c r="QD146"/>
      <c r="QE146"/>
      <c r="QF146"/>
      <c r="QG146"/>
      <c r="QH146"/>
      <c r="QI146"/>
      <c r="QJ146"/>
      <c r="QK146"/>
      <c r="QL146"/>
      <c r="QM146"/>
      <c r="QN146"/>
      <c r="QO146"/>
      <c r="QP146"/>
      <c r="QQ146"/>
      <c r="QR146"/>
      <c r="QS146"/>
      <c r="QT146"/>
      <c r="QU146"/>
      <c r="QV146"/>
      <c r="QW146"/>
      <c r="QX146"/>
      <c r="QY146"/>
      <c r="QZ146"/>
      <c r="RA146"/>
      <c r="RB146"/>
      <c r="RC146"/>
      <c r="RD146"/>
      <c r="RE146"/>
      <c r="RF146"/>
      <c r="RG146"/>
      <c r="RH146"/>
      <c r="RI146"/>
      <c r="RJ146"/>
      <c r="RK146"/>
      <c r="RL146"/>
      <c r="RM146"/>
      <c r="RN146"/>
      <c r="RO146"/>
      <c r="RP146"/>
      <c r="RQ146"/>
      <c r="RR146"/>
      <c r="RS146"/>
    </row>
    <row r="147" spans="3:487" x14ac:dyDescent="0.25">
      <c r="C147" s="2" t="s">
        <v>249</v>
      </c>
      <c r="D147" s="34">
        <v>1</v>
      </c>
      <c r="F147" s="2" t="s">
        <v>178</v>
      </c>
      <c r="G147" s="34">
        <v>1</v>
      </c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  <c r="DU147"/>
      <c r="DV147"/>
      <c r="DW147"/>
      <c r="DX147"/>
      <c r="DY147"/>
      <c r="DZ147"/>
      <c r="EA147"/>
      <c r="EB147"/>
      <c r="EC147"/>
      <c r="ED147"/>
      <c r="EE147"/>
      <c r="EF147"/>
      <c r="EG147"/>
      <c r="EH147"/>
      <c r="EI147"/>
      <c r="EJ147"/>
      <c r="EK147"/>
      <c r="EL147"/>
      <c r="EM147"/>
      <c r="EN147"/>
      <c r="EO147"/>
      <c r="EP147"/>
      <c r="EQ147"/>
      <c r="ER147"/>
      <c r="ES147"/>
      <c r="ET147"/>
      <c r="EU147"/>
      <c r="EV147"/>
      <c r="EW147"/>
      <c r="EX147"/>
      <c r="EY147"/>
      <c r="EZ147"/>
      <c r="FA147"/>
      <c r="FB147"/>
      <c r="FC147"/>
      <c r="FD147"/>
      <c r="FE147"/>
      <c r="FF147"/>
      <c r="FG147"/>
      <c r="FH147"/>
      <c r="FI147"/>
      <c r="FJ147"/>
      <c r="FK147"/>
      <c r="FL147"/>
      <c r="FM147"/>
      <c r="FN147"/>
      <c r="FO147"/>
      <c r="FP147"/>
      <c r="FQ147"/>
      <c r="FR147"/>
      <c r="FS147"/>
      <c r="FT147"/>
      <c r="FU147"/>
      <c r="FV147"/>
      <c r="FW147"/>
      <c r="FX147"/>
      <c r="FY147"/>
      <c r="FZ147"/>
      <c r="GA147"/>
      <c r="GB147"/>
      <c r="GC147"/>
      <c r="GD147"/>
      <c r="GE147"/>
      <c r="GF147"/>
      <c r="GG147"/>
      <c r="GH147"/>
      <c r="GI147"/>
      <c r="GJ147"/>
      <c r="GK147"/>
      <c r="GL147"/>
      <c r="GM147"/>
      <c r="GN147"/>
      <c r="GO147"/>
      <c r="GP147"/>
      <c r="GQ147"/>
      <c r="GR147"/>
      <c r="GS147"/>
      <c r="GT147"/>
      <c r="GU147"/>
      <c r="GV147"/>
      <c r="GW147"/>
      <c r="GX147"/>
      <c r="GY147"/>
      <c r="GZ147"/>
      <c r="HA147"/>
      <c r="HB147"/>
      <c r="HC147"/>
      <c r="HD147"/>
      <c r="HE147"/>
      <c r="HF147"/>
      <c r="HG147"/>
      <c r="HH147"/>
      <c r="HI147"/>
      <c r="HJ147"/>
      <c r="HK147"/>
      <c r="HL147"/>
      <c r="HM147"/>
      <c r="HN147"/>
      <c r="HO147"/>
      <c r="HP147"/>
      <c r="HQ147"/>
      <c r="HR147"/>
      <c r="HS147"/>
      <c r="HT147"/>
      <c r="HU147"/>
      <c r="HV147"/>
      <c r="HW147"/>
      <c r="HX147"/>
      <c r="HY147"/>
      <c r="HZ147"/>
      <c r="IA147"/>
      <c r="IB147"/>
      <c r="IC147"/>
      <c r="ID147"/>
      <c r="IE147"/>
      <c r="IF147"/>
      <c r="IG147"/>
      <c r="IH147"/>
      <c r="II147"/>
      <c r="IJ147"/>
      <c r="IK147"/>
      <c r="IL147"/>
      <c r="IM147"/>
      <c r="IN147"/>
      <c r="IO147"/>
      <c r="IP147"/>
      <c r="IQ147"/>
      <c r="IR147"/>
      <c r="IS147"/>
      <c r="IT147"/>
      <c r="IU147"/>
      <c r="IV147"/>
      <c r="IW147"/>
      <c r="IX147"/>
      <c r="IY147"/>
      <c r="IZ147"/>
      <c r="JA147"/>
      <c r="JB147"/>
      <c r="JC147"/>
      <c r="JD147"/>
      <c r="JE147"/>
      <c r="JF147"/>
      <c r="JG147"/>
      <c r="JH147"/>
      <c r="JI147"/>
      <c r="JJ147"/>
      <c r="JK147"/>
      <c r="JL147"/>
      <c r="JM147"/>
      <c r="JN147"/>
      <c r="JO147"/>
      <c r="JP147"/>
      <c r="JQ147"/>
      <c r="JR147"/>
      <c r="JS147"/>
      <c r="JT147"/>
      <c r="JU147"/>
      <c r="JV147"/>
      <c r="JW147"/>
      <c r="JX147"/>
      <c r="JY147"/>
      <c r="JZ147"/>
      <c r="KA147"/>
      <c r="KB147"/>
      <c r="KC147"/>
      <c r="KD147"/>
      <c r="KE147"/>
      <c r="KF147"/>
      <c r="KG147"/>
      <c r="KH147"/>
      <c r="KI147"/>
      <c r="KJ147"/>
      <c r="KK147"/>
      <c r="KL147"/>
      <c r="KM147"/>
      <c r="KN147"/>
      <c r="KO147"/>
      <c r="KP147"/>
      <c r="KQ147"/>
      <c r="KR147"/>
      <c r="KS147"/>
      <c r="KT147"/>
      <c r="KU147"/>
      <c r="KV147"/>
      <c r="KW147"/>
      <c r="KX147"/>
      <c r="KY147"/>
      <c r="KZ147"/>
      <c r="LA147"/>
      <c r="LB147"/>
      <c r="LC147"/>
      <c r="LD147"/>
      <c r="LE147"/>
      <c r="LF147"/>
      <c r="LG147"/>
      <c r="LH147"/>
      <c r="LI147"/>
      <c r="LJ147"/>
      <c r="LK147"/>
      <c r="LL147"/>
      <c r="LM147"/>
      <c r="LN147"/>
      <c r="LO147"/>
      <c r="LP147"/>
      <c r="LQ147"/>
      <c r="LR147"/>
      <c r="LS147"/>
      <c r="LT147"/>
      <c r="LU147"/>
      <c r="LV147"/>
      <c r="LW147"/>
      <c r="LX147"/>
      <c r="LY147"/>
      <c r="LZ147"/>
      <c r="MA147"/>
      <c r="MB147"/>
      <c r="MC147"/>
      <c r="MD147"/>
      <c r="ME147"/>
      <c r="MF147"/>
      <c r="MG147"/>
      <c r="MH147"/>
      <c r="MI147"/>
      <c r="MJ147"/>
      <c r="MK147"/>
      <c r="ML147"/>
      <c r="MM147"/>
      <c r="MN147"/>
      <c r="MO147"/>
      <c r="MP147"/>
      <c r="MQ147"/>
      <c r="MR147"/>
      <c r="MS147"/>
      <c r="MT147"/>
      <c r="MU147"/>
      <c r="MV147"/>
      <c r="MW147"/>
      <c r="MX147"/>
      <c r="MY147"/>
      <c r="MZ147"/>
      <c r="NA147"/>
      <c r="NB147"/>
      <c r="NC147"/>
      <c r="ND147"/>
      <c r="NE147"/>
      <c r="NF147"/>
      <c r="NG147"/>
      <c r="NH147"/>
      <c r="NI147"/>
      <c r="NJ147"/>
      <c r="NK147"/>
      <c r="NL147"/>
      <c r="NM147"/>
      <c r="NN147"/>
      <c r="NO147"/>
      <c r="NP147"/>
      <c r="NQ147"/>
      <c r="NR147"/>
      <c r="NS147"/>
      <c r="NT147"/>
      <c r="NU147"/>
      <c r="NV147"/>
      <c r="NW147"/>
      <c r="NX147"/>
      <c r="NY147"/>
      <c r="NZ147"/>
      <c r="OA147"/>
      <c r="OB147"/>
      <c r="OC147"/>
      <c r="OD147"/>
      <c r="OE147"/>
      <c r="OF147"/>
      <c r="OG147"/>
      <c r="OH147"/>
      <c r="OI147"/>
      <c r="OJ147"/>
      <c r="OK147"/>
      <c r="OL147"/>
      <c r="OM147"/>
      <c r="ON147"/>
      <c r="OO147"/>
      <c r="OP147"/>
      <c r="OQ147"/>
      <c r="OR147"/>
      <c r="OS147"/>
      <c r="OT147"/>
      <c r="OU147"/>
      <c r="OV147"/>
      <c r="OW147"/>
      <c r="OX147"/>
      <c r="OY147"/>
      <c r="OZ147"/>
      <c r="PA147"/>
      <c r="PB147"/>
      <c r="PC147"/>
      <c r="PD147"/>
      <c r="PE147"/>
      <c r="PF147"/>
      <c r="PG147"/>
      <c r="PH147"/>
      <c r="PI147"/>
      <c r="PJ147"/>
      <c r="PK147"/>
      <c r="PL147"/>
      <c r="PM147"/>
      <c r="PN147"/>
      <c r="PO147"/>
      <c r="PP147"/>
      <c r="PQ147"/>
      <c r="PR147"/>
      <c r="PS147"/>
      <c r="PT147"/>
      <c r="PU147"/>
      <c r="PV147"/>
      <c r="PW147"/>
      <c r="PX147"/>
      <c r="PY147"/>
      <c r="PZ147"/>
      <c r="QA147"/>
      <c r="QB147"/>
      <c r="QC147"/>
      <c r="QD147"/>
      <c r="QE147"/>
      <c r="QF147"/>
      <c r="QG147"/>
      <c r="QH147"/>
      <c r="QI147"/>
      <c r="QJ147"/>
      <c r="QK147"/>
      <c r="QL147"/>
      <c r="QM147"/>
      <c r="QN147"/>
      <c r="QO147"/>
      <c r="QP147"/>
      <c r="QQ147"/>
      <c r="QR147"/>
      <c r="QS147"/>
      <c r="QT147"/>
      <c r="QU147"/>
      <c r="QV147"/>
      <c r="QW147"/>
      <c r="QX147"/>
      <c r="QY147"/>
      <c r="QZ147"/>
      <c r="RA147"/>
      <c r="RB147"/>
      <c r="RC147"/>
      <c r="RD147"/>
      <c r="RE147"/>
      <c r="RF147"/>
      <c r="RG147"/>
      <c r="RH147"/>
      <c r="RI147"/>
      <c r="RJ147"/>
      <c r="RK147"/>
      <c r="RL147"/>
      <c r="RM147"/>
      <c r="RN147"/>
      <c r="RO147"/>
      <c r="RP147"/>
      <c r="RQ147"/>
      <c r="RR147"/>
      <c r="RS147"/>
    </row>
    <row r="148" spans="3:487" x14ac:dyDescent="0.25">
      <c r="C148" s="2" t="s">
        <v>324</v>
      </c>
      <c r="D148" s="34">
        <v>1</v>
      </c>
      <c r="F148" s="2" t="s">
        <v>219</v>
      </c>
      <c r="G148" s="34">
        <v>1</v>
      </c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  <c r="DU148"/>
      <c r="DV148"/>
      <c r="DW148"/>
      <c r="DX148"/>
      <c r="DY148"/>
      <c r="DZ148"/>
      <c r="EA148"/>
      <c r="EB148"/>
      <c r="EC148"/>
      <c r="ED148"/>
      <c r="EE148"/>
      <c r="EF148"/>
      <c r="EG148"/>
      <c r="EH148"/>
      <c r="EI148"/>
      <c r="EJ148"/>
      <c r="EK148"/>
      <c r="EL148"/>
      <c r="EM148"/>
      <c r="EN148"/>
      <c r="EO148"/>
      <c r="EP148"/>
      <c r="EQ148"/>
      <c r="ER148"/>
      <c r="ES148"/>
      <c r="ET148"/>
      <c r="EU148"/>
      <c r="EV148"/>
      <c r="EW148"/>
      <c r="EX148"/>
      <c r="EY148"/>
      <c r="EZ148"/>
      <c r="FA148"/>
      <c r="FB148"/>
      <c r="FC148"/>
      <c r="FD148"/>
      <c r="FE148"/>
      <c r="FF148"/>
      <c r="FG148"/>
      <c r="FH148"/>
      <c r="FI148"/>
      <c r="FJ148"/>
      <c r="FK148"/>
      <c r="FL148"/>
      <c r="FM148"/>
      <c r="FN148"/>
      <c r="FO148"/>
      <c r="FP148"/>
      <c r="FQ148"/>
      <c r="FR148"/>
      <c r="FS148"/>
      <c r="FT148"/>
      <c r="FU148"/>
      <c r="FV148"/>
      <c r="FW148"/>
      <c r="FX148"/>
      <c r="FY148"/>
      <c r="FZ148"/>
      <c r="GA148"/>
      <c r="GB148"/>
      <c r="GC148"/>
      <c r="GD148"/>
      <c r="GE148"/>
      <c r="GF148"/>
      <c r="GG148"/>
      <c r="GH148"/>
      <c r="GI148"/>
      <c r="GJ148"/>
      <c r="GK148"/>
      <c r="GL148"/>
      <c r="GM148"/>
      <c r="GN148"/>
      <c r="GO148"/>
      <c r="GP148"/>
      <c r="GQ148"/>
      <c r="GR148"/>
      <c r="GS148"/>
      <c r="GT148"/>
      <c r="GU148"/>
      <c r="GV148"/>
      <c r="GW148"/>
      <c r="GX148"/>
      <c r="GY148"/>
      <c r="GZ148"/>
      <c r="HA148"/>
      <c r="HB148"/>
      <c r="HC148"/>
      <c r="HD148"/>
      <c r="HE148"/>
      <c r="HF148"/>
      <c r="HG148"/>
      <c r="HH148"/>
      <c r="HI148"/>
      <c r="HJ148"/>
      <c r="HK148"/>
      <c r="HL148"/>
      <c r="HM148"/>
      <c r="HN148"/>
      <c r="HO148"/>
      <c r="HP148"/>
      <c r="HQ148"/>
      <c r="HR148"/>
      <c r="HS148"/>
      <c r="HT148"/>
      <c r="HU148"/>
      <c r="HV148"/>
      <c r="HW148"/>
      <c r="HX148"/>
      <c r="HY148"/>
      <c r="HZ148"/>
      <c r="IA148"/>
      <c r="IB148"/>
      <c r="IC148"/>
      <c r="ID148"/>
      <c r="IE148"/>
      <c r="IF148"/>
      <c r="IG148"/>
      <c r="IH148"/>
      <c r="II148"/>
      <c r="IJ148"/>
      <c r="IK148"/>
      <c r="IL148"/>
      <c r="IM148"/>
      <c r="IN148"/>
      <c r="IO148"/>
      <c r="IP148"/>
      <c r="IQ148"/>
      <c r="IR148"/>
      <c r="IS148"/>
      <c r="IT148"/>
      <c r="IU148"/>
      <c r="IV148"/>
      <c r="IW148"/>
      <c r="IX148"/>
      <c r="IY148"/>
      <c r="IZ148"/>
      <c r="JA148"/>
      <c r="JB148"/>
      <c r="JC148"/>
      <c r="JD148"/>
      <c r="JE148"/>
      <c r="JF148"/>
      <c r="JG148"/>
      <c r="JH148"/>
      <c r="JI148"/>
      <c r="JJ148"/>
      <c r="JK148"/>
      <c r="JL148"/>
      <c r="JM148"/>
      <c r="JN148"/>
      <c r="JO148"/>
      <c r="JP148"/>
      <c r="JQ148"/>
      <c r="JR148"/>
      <c r="JS148"/>
      <c r="JT148"/>
      <c r="JU148"/>
      <c r="JV148"/>
      <c r="JW148"/>
      <c r="JX148"/>
      <c r="JY148"/>
      <c r="JZ148"/>
      <c r="KA148"/>
      <c r="KB148"/>
      <c r="KC148"/>
      <c r="KD148"/>
      <c r="KE148"/>
      <c r="KF148"/>
      <c r="KG148"/>
      <c r="KH148"/>
      <c r="KI148"/>
      <c r="KJ148"/>
      <c r="KK148"/>
      <c r="KL148"/>
      <c r="KM148"/>
      <c r="KN148"/>
      <c r="KO148"/>
      <c r="KP148"/>
      <c r="KQ148"/>
      <c r="KR148"/>
      <c r="KS148"/>
      <c r="KT148"/>
      <c r="KU148"/>
      <c r="KV148"/>
      <c r="KW148"/>
      <c r="KX148"/>
      <c r="KY148"/>
      <c r="KZ148"/>
      <c r="LA148"/>
      <c r="LB148"/>
      <c r="LC148"/>
      <c r="LD148"/>
      <c r="LE148"/>
      <c r="LF148"/>
      <c r="LG148"/>
      <c r="LH148"/>
      <c r="LI148"/>
      <c r="LJ148"/>
      <c r="LK148"/>
      <c r="LL148"/>
      <c r="LM148"/>
      <c r="LN148"/>
      <c r="LO148"/>
      <c r="LP148"/>
      <c r="LQ148"/>
      <c r="LR148"/>
      <c r="LS148"/>
      <c r="LT148"/>
      <c r="LU148"/>
      <c r="LV148"/>
      <c r="LW148"/>
      <c r="LX148"/>
      <c r="LY148"/>
      <c r="LZ148"/>
      <c r="MA148"/>
      <c r="MB148"/>
      <c r="MC148"/>
      <c r="MD148"/>
      <c r="ME148"/>
      <c r="MF148"/>
      <c r="MG148"/>
      <c r="MH148"/>
      <c r="MI148"/>
      <c r="MJ148"/>
      <c r="MK148"/>
      <c r="ML148"/>
      <c r="MM148"/>
      <c r="MN148"/>
      <c r="MO148"/>
      <c r="MP148"/>
      <c r="MQ148"/>
      <c r="MR148"/>
      <c r="MS148"/>
      <c r="MT148"/>
      <c r="MU148"/>
      <c r="MV148"/>
      <c r="MW148"/>
      <c r="MX148"/>
      <c r="MY148"/>
      <c r="MZ148"/>
      <c r="NA148"/>
      <c r="NB148"/>
      <c r="NC148"/>
      <c r="ND148"/>
      <c r="NE148"/>
      <c r="NF148"/>
      <c r="NG148"/>
      <c r="NH148"/>
      <c r="NI148"/>
      <c r="NJ148"/>
      <c r="NK148"/>
      <c r="NL148"/>
      <c r="NM148"/>
      <c r="NN148"/>
      <c r="NO148"/>
      <c r="NP148"/>
      <c r="NQ148"/>
      <c r="NR148"/>
      <c r="NS148"/>
      <c r="NT148"/>
      <c r="NU148"/>
      <c r="NV148"/>
      <c r="NW148"/>
      <c r="NX148"/>
      <c r="NY148"/>
      <c r="NZ148"/>
      <c r="OA148"/>
      <c r="OB148"/>
      <c r="OC148"/>
      <c r="OD148"/>
      <c r="OE148"/>
      <c r="OF148"/>
      <c r="OG148"/>
      <c r="OH148"/>
      <c r="OI148"/>
      <c r="OJ148"/>
      <c r="OK148"/>
      <c r="OL148"/>
      <c r="OM148"/>
      <c r="ON148"/>
      <c r="OO148"/>
      <c r="OP148"/>
      <c r="OQ148"/>
      <c r="OR148"/>
      <c r="OS148"/>
      <c r="OT148"/>
      <c r="OU148"/>
      <c r="OV148"/>
      <c r="OW148"/>
      <c r="OX148"/>
      <c r="OY148"/>
      <c r="OZ148"/>
      <c r="PA148"/>
      <c r="PB148"/>
      <c r="PC148"/>
      <c r="PD148"/>
      <c r="PE148"/>
      <c r="PF148"/>
      <c r="PG148"/>
      <c r="PH148"/>
      <c r="PI148"/>
      <c r="PJ148"/>
      <c r="PK148"/>
      <c r="PL148"/>
      <c r="PM148"/>
      <c r="PN148"/>
      <c r="PO148"/>
      <c r="PP148"/>
      <c r="PQ148"/>
      <c r="PR148"/>
      <c r="PS148"/>
      <c r="PT148"/>
      <c r="PU148"/>
      <c r="PV148"/>
      <c r="PW148"/>
      <c r="PX148"/>
      <c r="PY148"/>
      <c r="PZ148"/>
      <c r="QA148"/>
      <c r="QB148"/>
      <c r="QC148"/>
      <c r="QD148"/>
      <c r="QE148"/>
      <c r="QF148"/>
      <c r="QG148"/>
      <c r="QH148"/>
      <c r="QI148"/>
      <c r="QJ148"/>
      <c r="QK148"/>
      <c r="QL148"/>
      <c r="QM148"/>
      <c r="QN148"/>
      <c r="QO148"/>
      <c r="QP148"/>
      <c r="QQ148"/>
      <c r="QR148"/>
      <c r="QS148"/>
      <c r="QT148"/>
      <c r="QU148"/>
      <c r="QV148"/>
      <c r="QW148"/>
      <c r="QX148"/>
      <c r="QY148"/>
      <c r="QZ148"/>
      <c r="RA148"/>
      <c r="RB148"/>
      <c r="RC148"/>
      <c r="RD148"/>
      <c r="RE148"/>
      <c r="RF148"/>
      <c r="RG148"/>
      <c r="RH148"/>
      <c r="RI148"/>
      <c r="RJ148"/>
      <c r="RK148"/>
      <c r="RL148"/>
      <c r="RM148"/>
      <c r="RN148"/>
      <c r="RO148"/>
      <c r="RP148"/>
      <c r="RQ148"/>
      <c r="RR148"/>
      <c r="RS148"/>
    </row>
    <row r="149" spans="3:487" x14ac:dyDescent="0.25">
      <c r="C149" s="2" t="s">
        <v>257</v>
      </c>
      <c r="D149" s="34">
        <v>1</v>
      </c>
      <c r="F149" s="2" t="s">
        <v>3708</v>
      </c>
      <c r="G149" s="34">
        <v>1</v>
      </c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  <c r="CN149"/>
      <c r="CO149"/>
      <c r="CP149"/>
      <c r="CQ149"/>
      <c r="CR149"/>
      <c r="CS149"/>
      <c r="CT149"/>
      <c r="CU149"/>
      <c r="CV149"/>
      <c r="CW149"/>
      <c r="CX149"/>
      <c r="CY149"/>
      <c r="CZ149"/>
      <c r="DA149"/>
      <c r="DB149"/>
      <c r="DC149"/>
      <c r="DD149"/>
      <c r="DE149"/>
      <c r="DF149"/>
      <c r="DG149"/>
      <c r="DH149"/>
      <c r="DI149"/>
      <c r="DJ149"/>
      <c r="DK149"/>
      <c r="DL149"/>
      <c r="DM149"/>
      <c r="DN149"/>
      <c r="DO149"/>
      <c r="DP149"/>
      <c r="DQ149"/>
      <c r="DR149"/>
      <c r="DS149"/>
      <c r="DT149"/>
      <c r="DU149"/>
      <c r="DV149"/>
      <c r="DW149"/>
      <c r="DX149"/>
      <c r="DY149"/>
      <c r="DZ149"/>
      <c r="EA149"/>
      <c r="EB149"/>
      <c r="EC149"/>
      <c r="ED149"/>
      <c r="EE149"/>
      <c r="EF149"/>
      <c r="EG149"/>
      <c r="EH149"/>
      <c r="EI149"/>
      <c r="EJ149"/>
      <c r="EK149"/>
      <c r="EL149"/>
      <c r="EM149"/>
      <c r="EN149"/>
      <c r="EO149"/>
      <c r="EP149"/>
      <c r="EQ149"/>
      <c r="ER149"/>
      <c r="ES149"/>
      <c r="ET149"/>
      <c r="EU149"/>
      <c r="EV149"/>
      <c r="EW149"/>
      <c r="EX149"/>
      <c r="EY149"/>
      <c r="EZ149"/>
      <c r="FA149"/>
      <c r="FB149"/>
      <c r="FC149"/>
      <c r="FD149"/>
      <c r="FE149"/>
      <c r="FF149"/>
      <c r="FG149"/>
      <c r="FH149"/>
      <c r="FI149"/>
      <c r="FJ149"/>
      <c r="FK149"/>
      <c r="FL149"/>
      <c r="FM149"/>
      <c r="FN149"/>
      <c r="FO149"/>
      <c r="FP149"/>
      <c r="FQ149"/>
      <c r="FR149"/>
      <c r="FS149"/>
      <c r="FT149"/>
      <c r="FU149"/>
      <c r="FV149"/>
      <c r="FW149"/>
      <c r="FX149"/>
      <c r="FY149"/>
      <c r="FZ149"/>
      <c r="GA149"/>
      <c r="GB149"/>
      <c r="GC149"/>
      <c r="GD149"/>
      <c r="GE149"/>
      <c r="GF149"/>
      <c r="GG149"/>
      <c r="GH149"/>
      <c r="GI149"/>
      <c r="GJ149"/>
      <c r="GK149"/>
      <c r="GL149"/>
      <c r="GM149"/>
      <c r="GN149"/>
      <c r="GO149"/>
      <c r="GP149"/>
      <c r="GQ149"/>
      <c r="GR149"/>
      <c r="GS149"/>
      <c r="GT149"/>
      <c r="GU149"/>
      <c r="GV149"/>
      <c r="GW149"/>
      <c r="GX149"/>
      <c r="GY149"/>
      <c r="GZ149"/>
      <c r="HA149"/>
      <c r="HB149"/>
      <c r="HC149"/>
      <c r="HD149"/>
      <c r="HE149"/>
      <c r="HF149"/>
      <c r="HG149"/>
      <c r="HH149"/>
      <c r="HI149"/>
      <c r="HJ149"/>
      <c r="HK149"/>
      <c r="HL149"/>
      <c r="HM149"/>
      <c r="HN149"/>
      <c r="HO149"/>
      <c r="HP149"/>
      <c r="HQ149"/>
      <c r="HR149"/>
      <c r="HS149"/>
      <c r="HT149"/>
      <c r="HU149"/>
      <c r="HV149"/>
      <c r="HW149"/>
      <c r="HX149"/>
      <c r="HY149"/>
      <c r="HZ149"/>
      <c r="IA149"/>
      <c r="IB149"/>
      <c r="IC149"/>
      <c r="ID149"/>
      <c r="IE149"/>
      <c r="IF149"/>
      <c r="IG149"/>
      <c r="IH149"/>
      <c r="II149"/>
      <c r="IJ149"/>
      <c r="IK149"/>
      <c r="IL149"/>
      <c r="IM149"/>
      <c r="IN149"/>
      <c r="IO149"/>
      <c r="IP149"/>
      <c r="IQ149"/>
      <c r="IR149"/>
      <c r="IS149"/>
      <c r="IT149"/>
      <c r="IU149"/>
      <c r="IV149"/>
      <c r="IW149"/>
      <c r="IX149"/>
      <c r="IY149"/>
      <c r="IZ149"/>
      <c r="JA149"/>
      <c r="JB149"/>
      <c r="JC149"/>
      <c r="JD149"/>
      <c r="JE149"/>
      <c r="JF149"/>
      <c r="JG149"/>
      <c r="JH149"/>
      <c r="JI149"/>
      <c r="JJ149"/>
      <c r="JK149"/>
      <c r="JL149"/>
      <c r="JM149"/>
      <c r="JN149"/>
      <c r="JO149"/>
      <c r="JP149"/>
      <c r="JQ149"/>
      <c r="JR149"/>
      <c r="JS149"/>
      <c r="JT149"/>
      <c r="JU149"/>
      <c r="JV149"/>
      <c r="JW149"/>
      <c r="JX149"/>
      <c r="JY149"/>
      <c r="JZ149"/>
      <c r="KA149"/>
      <c r="KB149"/>
      <c r="KC149"/>
      <c r="KD149"/>
      <c r="KE149"/>
      <c r="KF149"/>
      <c r="KG149"/>
      <c r="KH149"/>
      <c r="KI149"/>
      <c r="KJ149"/>
      <c r="KK149"/>
      <c r="KL149"/>
      <c r="KM149"/>
      <c r="KN149"/>
      <c r="KO149"/>
      <c r="KP149"/>
      <c r="KQ149"/>
      <c r="KR149"/>
      <c r="KS149"/>
      <c r="KT149"/>
      <c r="KU149"/>
      <c r="KV149"/>
      <c r="KW149"/>
      <c r="KX149"/>
      <c r="KY149"/>
      <c r="KZ149"/>
      <c r="LA149"/>
      <c r="LB149"/>
      <c r="LC149"/>
      <c r="LD149"/>
      <c r="LE149"/>
      <c r="LF149"/>
      <c r="LG149"/>
      <c r="LH149"/>
      <c r="LI149"/>
      <c r="LJ149"/>
      <c r="LK149"/>
      <c r="LL149"/>
      <c r="LM149"/>
      <c r="LN149"/>
      <c r="LO149"/>
      <c r="LP149"/>
      <c r="LQ149"/>
      <c r="LR149"/>
      <c r="LS149"/>
      <c r="LT149"/>
      <c r="LU149"/>
      <c r="LV149"/>
      <c r="LW149"/>
      <c r="LX149"/>
      <c r="LY149"/>
      <c r="LZ149"/>
      <c r="MA149"/>
      <c r="MB149"/>
      <c r="MC149"/>
      <c r="MD149"/>
      <c r="ME149"/>
      <c r="MF149"/>
      <c r="MG149"/>
      <c r="MH149"/>
      <c r="MI149"/>
      <c r="MJ149"/>
      <c r="MK149"/>
      <c r="ML149"/>
      <c r="MM149"/>
      <c r="MN149"/>
      <c r="MO149"/>
      <c r="MP149"/>
      <c r="MQ149"/>
      <c r="MR149"/>
      <c r="MS149"/>
      <c r="MT149"/>
      <c r="MU149"/>
      <c r="MV149"/>
      <c r="MW149"/>
      <c r="MX149"/>
      <c r="MY149"/>
      <c r="MZ149"/>
      <c r="NA149"/>
      <c r="NB149"/>
      <c r="NC149"/>
      <c r="ND149"/>
      <c r="NE149"/>
      <c r="NF149"/>
      <c r="NG149"/>
      <c r="NH149"/>
      <c r="NI149"/>
      <c r="NJ149"/>
      <c r="NK149"/>
      <c r="NL149"/>
      <c r="NM149"/>
      <c r="NN149"/>
      <c r="NO149"/>
      <c r="NP149"/>
      <c r="NQ149"/>
      <c r="NR149"/>
      <c r="NS149"/>
      <c r="NT149"/>
      <c r="NU149"/>
      <c r="NV149"/>
      <c r="NW149"/>
      <c r="NX149"/>
      <c r="NY149"/>
      <c r="NZ149"/>
      <c r="OA149"/>
      <c r="OB149"/>
      <c r="OC149"/>
      <c r="OD149"/>
      <c r="OE149"/>
      <c r="OF149"/>
      <c r="OG149"/>
      <c r="OH149"/>
      <c r="OI149"/>
      <c r="OJ149"/>
      <c r="OK149"/>
      <c r="OL149"/>
      <c r="OM149"/>
      <c r="ON149"/>
      <c r="OO149"/>
      <c r="OP149"/>
      <c r="OQ149"/>
      <c r="OR149"/>
      <c r="OS149"/>
      <c r="OT149"/>
      <c r="OU149"/>
      <c r="OV149"/>
      <c r="OW149"/>
      <c r="OX149"/>
      <c r="OY149"/>
      <c r="OZ149"/>
      <c r="PA149"/>
      <c r="PB149"/>
      <c r="PC149"/>
      <c r="PD149"/>
      <c r="PE149"/>
      <c r="PF149"/>
      <c r="PG149"/>
      <c r="PH149"/>
      <c r="PI149"/>
      <c r="PJ149"/>
      <c r="PK149"/>
      <c r="PL149"/>
      <c r="PM149"/>
      <c r="PN149"/>
      <c r="PO149"/>
      <c r="PP149"/>
      <c r="PQ149"/>
      <c r="PR149"/>
      <c r="PS149"/>
      <c r="PT149"/>
      <c r="PU149"/>
      <c r="PV149"/>
      <c r="PW149"/>
      <c r="PX149"/>
      <c r="PY149"/>
      <c r="PZ149"/>
      <c r="QA149"/>
      <c r="QB149"/>
      <c r="QC149"/>
      <c r="QD149"/>
      <c r="QE149"/>
      <c r="QF149"/>
      <c r="QG149"/>
      <c r="QH149"/>
      <c r="QI149"/>
      <c r="QJ149"/>
      <c r="QK149"/>
      <c r="QL149"/>
      <c r="QM149"/>
      <c r="QN149"/>
      <c r="QO149"/>
      <c r="QP149"/>
      <c r="QQ149"/>
      <c r="QR149"/>
      <c r="QS149"/>
      <c r="QT149"/>
      <c r="QU149"/>
      <c r="QV149"/>
      <c r="QW149"/>
      <c r="QX149"/>
      <c r="QY149"/>
      <c r="QZ149"/>
      <c r="RA149"/>
      <c r="RB149"/>
      <c r="RC149"/>
      <c r="RD149"/>
      <c r="RE149"/>
      <c r="RF149"/>
      <c r="RG149"/>
      <c r="RH149"/>
      <c r="RI149"/>
      <c r="RJ149"/>
      <c r="RK149"/>
      <c r="RL149"/>
      <c r="RM149"/>
      <c r="RN149"/>
      <c r="RO149"/>
      <c r="RP149"/>
      <c r="RQ149"/>
      <c r="RR149"/>
      <c r="RS149"/>
    </row>
    <row r="150" spans="3:487" x14ac:dyDescent="0.25">
      <c r="C150" s="2" t="s">
        <v>243</v>
      </c>
      <c r="D150" s="34">
        <v>1</v>
      </c>
      <c r="F150" s="2" t="s">
        <v>250</v>
      </c>
      <c r="G150" s="34">
        <v>1</v>
      </c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  <c r="DU150"/>
      <c r="DV150"/>
      <c r="DW150"/>
      <c r="DX150"/>
      <c r="DY150"/>
      <c r="DZ150"/>
      <c r="EA150"/>
      <c r="EB150"/>
      <c r="EC150"/>
      <c r="ED150"/>
      <c r="EE150"/>
      <c r="EF150"/>
      <c r="EG150"/>
      <c r="EH150"/>
      <c r="EI150"/>
      <c r="EJ150"/>
      <c r="EK150"/>
      <c r="EL150"/>
      <c r="EM150"/>
      <c r="EN150"/>
      <c r="EO150"/>
      <c r="EP150"/>
      <c r="EQ150"/>
      <c r="ER150"/>
      <c r="ES150"/>
      <c r="ET150"/>
      <c r="EU150"/>
      <c r="EV150"/>
      <c r="EW150"/>
      <c r="EX150"/>
      <c r="EY150"/>
      <c r="EZ150"/>
      <c r="FA150"/>
      <c r="FB150"/>
      <c r="FC150"/>
      <c r="FD150"/>
      <c r="FE150"/>
      <c r="FF150"/>
      <c r="FG150"/>
      <c r="FH150"/>
      <c r="FI150"/>
      <c r="FJ150"/>
      <c r="FK150"/>
      <c r="FL150"/>
      <c r="FM150"/>
      <c r="FN150"/>
      <c r="FO150"/>
      <c r="FP150"/>
      <c r="FQ150"/>
      <c r="FR150"/>
      <c r="FS150"/>
      <c r="FT150"/>
      <c r="FU150"/>
      <c r="FV150"/>
      <c r="FW150"/>
      <c r="FX150"/>
      <c r="FY150"/>
      <c r="FZ150"/>
      <c r="GA150"/>
      <c r="GB150"/>
      <c r="GC150"/>
      <c r="GD150"/>
      <c r="GE150"/>
      <c r="GF150"/>
      <c r="GG150"/>
      <c r="GH150"/>
      <c r="GI150"/>
      <c r="GJ150"/>
      <c r="GK150"/>
      <c r="GL150"/>
      <c r="GM150"/>
      <c r="GN150"/>
      <c r="GO150"/>
      <c r="GP150"/>
      <c r="GQ150"/>
      <c r="GR150"/>
      <c r="GS150"/>
      <c r="GT150"/>
      <c r="GU150"/>
      <c r="GV150"/>
      <c r="GW150"/>
      <c r="GX150"/>
      <c r="GY150"/>
      <c r="GZ150"/>
      <c r="HA150"/>
      <c r="HB150"/>
      <c r="HC150"/>
      <c r="HD150"/>
      <c r="HE150"/>
      <c r="HF150"/>
      <c r="HG150"/>
      <c r="HH150"/>
      <c r="HI150"/>
      <c r="HJ150"/>
      <c r="HK150"/>
      <c r="HL150"/>
      <c r="HM150"/>
      <c r="HN150"/>
      <c r="HO150"/>
      <c r="HP150"/>
      <c r="HQ150"/>
      <c r="HR150"/>
      <c r="HS150"/>
      <c r="HT150"/>
      <c r="HU150"/>
      <c r="HV150"/>
      <c r="HW150"/>
      <c r="HX150"/>
      <c r="HY150"/>
      <c r="HZ150"/>
      <c r="IA150"/>
      <c r="IB150"/>
      <c r="IC150"/>
      <c r="ID150"/>
      <c r="IE150"/>
      <c r="IF150"/>
      <c r="IG150"/>
      <c r="IH150"/>
      <c r="II150"/>
      <c r="IJ150"/>
      <c r="IK150"/>
      <c r="IL150"/>
      <c r="IM150"/>
      <c r="IN150"/>
      <c r="IO150"/>
      <c r="IP150"/>
      <c r="IQ150"/>
      <c r="IR150"/>
      <c r="IS150"/>
      <c r="IT150"/>
      <c r="IU150"/>
      <c r="IV150"/>
      <c r="IW150"/>
      <c r="IX150"/>
      <c r="IY150"/>
      <c r="IZ150"/>
      <c r="JA150"/>
      <c r="JB150"/>
      <c r="JC150"/>
      <c r="JD150"/>
      <c r="JE150"/>
      <c r="JF150"/>
      <c r="JG150"/>
      <c r="JH150"/>
      <c r="JI150"/>
      <c r="JJ150"/>
      <c r="JK150"/>
      <c r="JL150"/>
      <c r="JM150"/>
      <c r="JN150"/>
      <c r="JO150"/>
      <c r="JP150"/>
      <c r="JQ150"/>
      <c r="JR150"/>
      <c r="JS150"/>
      <c r="JT150"/>
      <c r="JU150"/>
      <c r="JV150"/>
      <c r="JW150"/>
      <c r="JX150"/>
      <c r="JY150"/>
      <c r="JZ150"/>
      <c r="KA150"/>
      <c r="KB150"/>
      <c r="KC150"/>
      <c r="KD150"/>
      <c r="KE150"/>
      <c r="KF150"/>
      <c r="KG150"/>
      <c r="KH150"/>
      <c r="KI150"/>
      <c r="KJ150"/>
      <c r="KK150"/>
      <c r="KL150"/>
      <c r="KM150"/>
      <c r="KN150"/>
      <c r="KO150"/>
      <c r="KP150"/>
      <c r="KQ150"/>
      <c r="KR150"/>
      <c r="KS150"/>
      <c r="KT150"/>
      <c r="KU150"/>
      <c r="KV150"/>
      <c r="KW150"/>
      <c r="KX150"/>
      <c r="KY150"/>
      <c r="KZ150"/>
      <c r="LA150"/>
      <c r="LB150"/>
      <c r="LC150"/>
      <c r="LD150"/>
      <c r="LE150"/>
      <c r="LF150"/>
      <c r="LG150"/>
      <c r="LH150"/>
      <c r="LI150"/>
      <c r="LJ150"/>
      <c r="LK150"/>
      <c r="LL150"/>
      <c r="LM150"/>
      <c r="LN150"/>
      <c r="LO150"/>
      <c r="LP150"/>
      <c r="LQ150"/>
      <c r="LR150"/>
      <c r="LS150"/>
      <c r="LT150"/>
      <c r="LU150"/>
      <c r="LV150"/>
      <c r="LW150"/>
      <c r="LX150"/>
      <c r="LY150"/>
      <c r="LZ150"/>
      <c r="MA150"/>
      <c r="MB150"/>
      <c r="MC150"/>
      <c r="MD150"/>
      <c r="ME150"/>
      <c r="MF150"/>
      <c r="MG150"/>
      <c r="MH150"/>
      <c r="MI150"/>
      <c r="MJ150"/>
      <c r="MK150"/>
      <c r="ML150"/>
      <c r="MM150"/>
      <c r="MN150"/>
      <c r="MO150"/>
      <c r="MP150"/>
      <c r="MQ150"/>
      <c r="MR150"/>
      <c r="MS150"/>
      <c r="MT150"/>
      <c r="MU150"/>
      <c r="MV150"/>
      <c r="MW150"/>
      <c r="MX150"/>
      <c r="MY150"/>
      <c r="MZ150"/>
      <c r="NA150"/>
      <c r="NB150"/>
      <c r="NC150"/>
      <c r="ND150"/>
      <c r="NE150"/>
      <c r="NF150"/>
      <c r="NG150"/>
      <c r="NH150"/>
      <c r="NI150"/>
      <c r="NJ150"/>
      <c r="NK150"/>
      <c r="NL150"/>
      <c r="NM150"/>
      <c r="NN150"/>
      <c r="NO150"/>
      <c r="NP150"/>
      <c r="NQ150"/>
      <c r="NR150"/>
      <c r="NS150"/>
      <c r="NT150"/>
      <c r="NU150"/>
      <c r="NV150"/>
      <c r="NW150"/>
      <c r="NX150"/>
      <c r="NY150"/>
      <c r="NZ150"/>
      <c r="OA150"/>
      <c r="OB150"/>
      <c r="OC150"/>
      <c r="OD150"/>
      <c r="OE150"/>
      <c r="OF150"/>
      <c r="OG150"/>
      <c r="OH150"/>
      <c r="OI150"/>
      <c r="OJ150"/>
      <c r="OK150"/>
      <c r="OL150"/>
      <c r="OM150"/>
      <c r="ON150"/>
      <c r="OO150"/>
      <c r="OP150"/>
      <c r="OQ150"/>
      <c r="OR150"/>
      <c r="OS150"/>
      <c r="OT150"/>
      <c r="OU150"/>
      <c r="OV150"/>
      <c r="OW150"/>
      <c r="OX150"/>
      <c r="OY150"/>
      <c r="OZ150"/>
      <c r="PA150"/>
      <c r="PB150"/>
      <c r="PC150"/>
      <c r="PD150"/>
      <c r="PE150"/>
      <c r="PF150"/>
      <c r="PG150"/>
      <c r="PH150"/>
      <c r="PI150"/>
      <c r="PJ150"/>
      <c r="PK150"/>
      <c r="PL150"/>
      <c r="PM150"/>
      <c r="PN150"/>
      <c r="PO150"/>
      <c r="PP150"/>
      <c r="PQ150"/>
      <c r="PR150"/>
      <c r="PS150"/>
      <c r="PT150"/>
      <c r="PU150"/>
      <c r="PV150"/>
      <c r="PW150"/>
      <c r="PX150"/>
      <c r="PY150"/>
      <c r="PZ150"/>
      <c r="QA150"/>
      <c r="QB150"/>
      <c r="QC150"/>
      <c r="QD150"/>
      <c r="QE150"/>
      <c r="QF150"/>
      <c r="QG150"/>
      <c r="QH150"/>
      <c r="QI150"/>
      <c r="QJ150"/>
      <c r="QK150"/>
      <c r="QL150"/>
      <c r="QM150"/>
      <c r="QN150"/>
      <c r="QO150"/>
      <c r="QP150"/>
      <c r="QQ150"/>
      <c r="QR150"/>
      <c r="QS150"/>
      <c r="QT150"/>
      <c r="QU150"/>
      <c r="QV150"/>
      <c r="QW150"/>
      <c r="QX150"/>
      <c r="QY150"/>
      <c r="QZ150"/>
      <c r="RA150"/>
      <c r="RB150"/>
      <c r="RC150"/>
      <c r="RD150"/>
      <c r="RE150"/>
      <c r="RF150"/>
      <c r="RG150"/>
      <c r="RH150"/>
      <c r="RI150"/>
      <c r="RJ150"/>
      <c r="RK150"/>
      <c r="RL150"/>
      <c r="RM150"/>
      <c r="RN150"/>
      <c r="RO150"/>
      <c r="RP150"/>
      <c r="RQ150"/>
      <c r="RR150"/>
      <c r="RS150"/>
    </row>
    <row r="151" spans="3:487" x14ac:dyDescent="0.25">
      <c r="C151" s="2" t="s">
        <v>261</v>
      </c>
      <c r="D151" s="34">
        <v>1</v>
      </c>
      <c r="F151" s="2" t="s">
        <v>182</v>
      </c>
      <c r="G151" s="34">
        <v>1</v>
      </c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  <c r="CN151"/>
      <c r="CO151"/>
      <c r="CP151"/>
      <c r="CQ151"/>
      <c r="CR151"/>
      <c r="CS151"/>
      <c r="CT151"/>
      <c r="CU151"/>
      <c r="CV151"/>
      <c r="CW151"/>
      <c r="CX151"/>
      <c r="CY151"/>
      <c r="CZ151"/>
      <c r="DA151"/>
      <c r="DB151"/>
      <c r="DC151"/>
      <c r="DD151"/>
      <c r="DE151"/>
      <c r="DF151"/>
      <c r="DG151"/>
      <c r="DH151"/>
      <c r="DI151"/>
      <c r="DJ151"/>
      <c r="DK151"/>
      <c r="DL151"/>
      <c r="DM151"/>
      <c r="DN151"/>
      <c r="DO151"/>
      <c r="DP151"/>
      <c r="DQ151"/>
      <c r="DR151"/>
      <c r="DS151"/>
      <c r="DT151"/>
      <c r="DU151"/>
      <c r="DV151"/>
      <c r="DW151"/>
      <c r="DX151"/>
      <c r="DY151"/>
      <c r="DZ151"/>
      <c r="EA151"/>
      <c r="EB151"/>
      <c r="EC151"/>
      <c r="ED151"/>
      <c r="EE151"/>
      <c r="EF151"/>
      <c r="EG151"/>
      <c r="EH151"/>
      <c r="EI151"/>
      <c r="EJ151"/>
      <c r="EK151"/>
      <c r="EL151"/>
      <c r="EM151"/>
      <c r="EN151"/>
      <c r="EO151"/>
      <c r="EP151"/>
      <c r="EQ151"/>
      <c r="ER151"/>
      <c r="ES151"/>
      <c r="ET151"/>
      <c r="EU151"/>
      <c r="EV151"/>
      <c r="EW151"/>
      <c r="EX151"/>
      <c r="EY151"/>
      <c r="EZ151"/>
      <c r="FA151"/>
      <c r="FB151"/>
      <c r="FC151"/>
      <c r="FD151"/>
      <c r="FE151"/>
      <c r="FF151"/>
      <c r="FG151"/>
      <c r="FH151"/>
      <c r="FI151"/>
      <c r="FJ151"/>
      <c r="FK151"/>
      <c r="FL151"/>
      <c r="FM151"/>
      <c r="FN151"/>
      <c r="FO151"/>
      <c r="FP151"/>
      <c r="FQ151"/>
      <c r="FR151"/>
      <c r="FS151"/>
      <c r="FT151"/>
      <c r="FU151"/>
      <c r="FV151"/>
      <c r="FW151"/>
      <c r="FX151"/>
      <c r="FY151"/>
      <c r="FZ151"/>
      <c r="GA151"/>
      <c r="GB151"/>
      <c r="GC151"/>
      <c r="GD151"/>
      <c r="GE151"/>
      <c r="GF151"/>
      <c r="GG151"/>
      <c r="GH151"/>
      <c r="GI151"/>
      <c r="GJ151"/>
      <c r="GK151"/>
      <c r="GL151"/>
      <c r="GM151"/>
      <c r="GN151"/>
      <c r="GO151"/>
      <c r="GP151"/>
      <c r="GQ151"/>
      <c r="GR151"/>
      <c r="GS151"/>
      <c r="GT151"/>
      <c r="GU151"/>
      <c r="GV151"/>
      <c r="GW151"/>
      <c r="GX151"/>
      <c r="GY151"/>
      <c r="GZ151"/>
      <c r="HA151"/>
      <c r="HB151"/>
      <c r="HC151"/>
      <c r="HD151"/>
      <c r="HE151"/>
      <c r="HF151"/>
      <c r="HG151"/>
      <c r="HH151"/>
      <c r="HI151"/>
      <c r="HJ151"/>
      <c r="HK151"/>
      <c r="HL151"/>
      <c r="HM151"/>
      <c r="HN151"/>
      <c r="HO151"/>
      <c r="HP151"/>
      <c r="HQ151"/>
      <c r="HR151"/>
      <c r="HS151"/>
      <c r="HT151"/>
      <c r="HU151"/>
      <c r="HV151"/>
      <c r="HW151"/>
      <c r="HX151"/>
      <c r="HY151"/>
      <c r="HZ151"/>
      <c r="IA151"/>
      <c r="IB151"/>
      <c r="IC151"/>
      <c r="ID151"/>
      <c r="IE151"/>
      <c r="IF151"/>
      <c r="IG151"/>
      <c r="IH151"/>
      <c r="II151"/>
      <c r="IJ151"/>
      <c r="IK151"/>
      <c r="IL151"/>
      <c r="IM151"/>
      <c r="IN151"/>
      <c r="IO151"/>
      <c r="IP151"/>
      <c r="IQ151"/>
      <c r="IR151"/>
      <c r="IS151"/>
      <c r="IT151"/>
      <c r="IU151"/>
      <c r="IV151"/>
      <c r="IW151"/>
      <c r="IX151"/>
      <c r="IY151"/>
      <c r="IZ151"/>
      <c r="JA151"/>
      <c r="JB151"/>
      <c r="JC151"/>
      <c r="JD151"/>
      <c r="JE151"/>
      <c r="JF151"/>
      <c r="JG151"/>
      <c r="JH151"/>
      <c r="JI151"/>
      <c r="JJ151"/>
      <c r="JK151"/>
      <c r="JL151"/>
      <c r="JM151"/>
      <c r="JN151"/>
      <c r="JO151"/>
      <c r="JP151"/>
      <c r="JQ151"/>
      <c r="JR151"/>
      <c r="JS151"/>
      <c r="JT151"/>
      <c r="JU151"/>
      <c r="JV151"/>
      <c r="JW151"/>
      <c r="JX151"/>
      <c r="JY151"/>
      <c r="JZ151"/>
      <c r="KA151"/>
      <c r="KB151"/>
      <c r="KC151"/>
      <c r="KD151"/>
      <c r="KE151"/>
      <c r="KF151"/>
      <c r="KG151"/>
      <c r="KH151"/>
      <c r="KI151"/>
      <c r="KJ151"/>
      <c r="KK151"/>
      <c r="KL151"/>
      <c r="KM151"/>
      <c r="KN151"/>
      <c r="KO151"/>
      <c r="KP151"/>
      <c r="KQ151"/>
      <c r="KR151"/>
      <c r="KS151"/>
      <c r="KT151"/>
      <c r="KU151"/>
      <c r="KV151"/>
      <c r="KW151"/>
      <c r="KX151"/>
      <c r="KY151"/>
      <c r="KZ151"/>
      <c r="LA151"/>
      <c r="LB151"/>
      <c r="LC151"/>
      <c r="LD151"/>
      <c r="LE151"/>
      <c r="LF151"/>
      <c r="LG151"/>
      <c r="LH151"/>
      <c r="LI151"/>
      <c r="LJ151"/>
      <c r="LK151"/>
      <c r="LL151"/>
      <c r="LM151"/>
      <c r="LN151"/>
      <c r="LO151"/>
      <c r="LP151"/>
      <c r="LQ151"/>
      <c r="LR151"/>
      <c r="LS151"/>
      <c r="LT151"/>
      <c r="LU151"/>
      <c r="LV151"/>
      <c r="LW151"/>
      <c r="LX151"/>
      <c r="LY151"/>
      <c r="LZ151"/>
      <c r="MA151"/>
      <c r="MB151"/>
      <c r="MC151"/>
      <c r="MD151"/>
      <c r="ME151"/>
      <c r="MF151"/>
      <c r="MG151"/>
      <c r="MH151"/>
      <c r="MI151"/>
      <c r="MJ151"/>
      <c r="MK151"/>
      <c r="ML151"/>
      <c r="MM151"/>
      <c r="MN151"/>
      <c r="MO151"/>
      <c r="MP151"/>
      <c r="MQ151"/>
      <c r="MR151"/>
      <c r="MS151"/>
      <c r="MT151"/>
      <c r="MU151"/>
      <c r="MV151"/>
      <c r="MW151"/>
      <c r="MX151"/>
      <c r="MY151"/>
      <c r="MZ151"/>
      <c r="NA151"/>
      <c r="NB151"/>
      <c r="NC151"/>
      <c r="ND151"/>
      <c r="NE151"/>
      <c r="NF151"/>
      <c r="NG151"/>
      <c r="NH151"/>
      <c r="NI151"/>
      <c r="NJ151"/>
      <c r="NK151"/>
      <c r="NL151"/>
      <c r="NM151"/>
      <c r="NN151"/>
      <c r="NO151"/>
      <c r="NP151"/>
      <c r="NQ151"/>
      <c r="NR151"/>
      <c r="NS151"/>
      <c r="NT151"/>
      <c r="NU151"/>
      <c r="NV151"/>
      <c r="NW151"/>
      <c r="NX151"/>
      <c r="NY151"/>
      <c r="NZ151"/>
      <c r="OA151"/>
      <c r="OB151"/>
      <c r="OC151"/>
      <c r="OD151"/>
      <c r="OE151"/>
      <c r="OF151"/>
      <c r="OG151"/>
      <c r="OH151"/>
      <c r="OI151"/>
      <c r="OJ151"/>
      <c r="OK151"/>
      <c r="OL151"/>
      <c r="OM151"/>
      <c r="ON151"/>
      <c r="OO151"/>
      <c r="OP151"/>
      <c r="OQ151"/>
      <c r="OR151"/>
      <c r="OS151"/>
      <c r="OT151"/>
      <c r="OU151"/>
      <c r="OV151"/>
      <c r="OW151"/>
      <c r="OX151"/>
      <c r="OY151"/>
      <c r="OZ151"/>
      <c r="PA151"/>
      <c r="PB151"/>
      <c r="PC151"/>
      <c r="PD151"/>
      <c r="PE151"/>
      <c r="PF151"/>
      <c r="PG151"/>
      <c r="PH151"/>
      <c r="PI151"/>
      <c r="PJ151"/>
      <c r="PK151"/>
      <c r="PL151"/>
      <c r="PM151"/>
      <c r="PN151"/>
      <c r="PO151"/>
      <c r="PP151"/>
      <c r="PQ151"/>
      <c r="PR151"/>
      <c r="PS151"/>
      <c r="PT151"/>
      <c r="PU151"/>
      <c r="PV151"/>
      <c r="PW151"/>
      <c r="PX151"/>
      <c r="PY151"/>
      <c r="PZ151"/>
      <c r="QA151"/>
      <c r="QB151"/>
      <c r="QC151"/>
      <c r="QD151"/>
      <c r="QE151"/>
      <c r="QF151"/>
      <c r="QG151"/>
      <c r="QH151"/>
      <c r="QI151"/>
      <c r="QJ151"/>
      <c r="QK151"/>
      <c r="QL151"/>
      <c r="QM151"/>
      <c r="QN151"/>
      <c r="QO151"/>
      <c r="QP151"/>
      <c r="QQ151"/>
      <c r="QR151"/>
      <c r="QS151"/>
      <c r="QT151"/>
      <c r="QU151"/>
      <c r="QV151"/>
      <c r="QW151"/>
      <c r="QX151"/>
      <c r="QY151"/>
      <c r="QZ151"/>
      <c r="RA151"/>
      <c r="RB151"/>
      <c r="RC151"/>
      <c r="RD151"/>
      <c r="RE151"/>
      <c r="RF151"/>
      <c r="RG151"/>
      <c r="RH151"/>
      <c r="RI151"/>
      <c r="RJ151"/>
      <c r="RK151"/>
      <c r="RL151"/>
      <c r="RM151"/>
      <c r="RN151"/>
      <c r="RO151"/>
      <c r="RP151"/>
      <c r="RQ151"/>
      <c r="RR151"/>
      <c r="RS151"/>
    </row>
    <row r="152" spans="3:487" x14ac:dyDescent="0.25">
      <c r="C152" s="2" t="s">
        <v>3821</v>
      </c>
      <c r="D152" s="34">
        <v>1</v>
      </c>
      <c r="F152" s="2" t="s">
        <v>195</v>
      </c>
      <c r="G152" s="34">
        <v>1</v>
      </c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  <c r="DU152"/>
      <c r="DV152"/>
      <c r="DW152"/>
      <c r="DX152"/>
      <c r="DY152"/>
      <c r="DZ152"/>
      <c r="EA152"/>
      <c r="EB152"/>
      <c r="EC152"/>
      <c r="ED152"/>
      <c r="EE152"/>
      <c r="EF152"/>
      <c r="EG152"/>
      <c r="EH152"/>
      <c r="EI152"/>
      <c r="EJ152"/>
      <c r="EK152"/>
      <c r="EL152"/>
      <c r="EM152"/>
      <c r="EN152"/>
      <c r="EO152"/>
      <c r="EP152"/>
      <c r="EQ152"/>
      <c r="ER152"/>
      <c r="ES152"/>
      <c r="ET152"/>
      <c r="EU152"/>
      <c r="EV152"/>
      <c r="EW152"/>
      <c r="EX152"/>
      <c r="EY152"/>
      <c r="EZ152"/>
      <c r="FA152"/>
      <c r="FB152"/>
      <c r="FC152"/>
      <c r="FD152"/>
      <c r="FE152"/>
      <c r="FF152"/>
      <c r="FG152"/>
      <c r="FH152"/>
      <c r="FI152"/>
      <c r="FJ152"/>
      <c r="FK152"/>
      <c r="FL152"/>
      <c r="FM152"/>
      <c r="FN152"/>
      <c r="FO152"/>
      <c r="FP152"/>
      <c r="FQ152"/>
      <c r="FR152"/>
      <c r="FS152"/>
      <c r="FT152"/>
      <c r="FU152"/>
      <c r="FV152"/>
      <c r="FW152"/>
      <c r="FX152"/>
      <c r="FY152"/>
      <c r="FZ152"/>
      <c r="GA152"/>
      <c r="GB152"/>
      <c r="GC152"/>
      <c r="GD152"/>
      <c r="GE152"/>
      <c r="GF152"/>
      <c r="GG152"/>
      <c r="GH152"/>
      <c r="GI152"/>
      <c r="GJ152"/>
      <c r="GK152"/>
      <c r="GL152"/>
      <c r="GM152"/>
      <c r="GN152"/>
      <c r="GO152"/>
      <c r="GP152"/>
      <c r="GQ152"/>
      <c r="GR152"/>
      <c r="GS152"/>
      <c r="GT152"/>
      <c r="GU152"/>
      <c r="GV152"/>
      <c r="GW152"/>
      <c r="GX152"/>
      <c r="GY152"/>
      <c r="GZ152"/>
      <c r="HA152"/>
      <c r="HB152"/>
      <c r="HC152"/>
      <c r="HD152"/>
      <c r="HE152"/>
      <c r="HF152"/>
      <c r="HG152"/>
      <c r="HH152"/>
      <c r="HI152"/>
      <c r="HJ152"/>
      <c r="HK152"/>
      <c r="HL152"/>
      <c r="HM152"/>
      <c r="HN152"/>
      <c r="HO152"/>
      <c r="HP152"/>
      <c r="HQ152"/>
      <c r="HR152"/>
      <c r="HS152"/>
      <c r="HT152"/>
      <c r="HU152"/>
      <c r="HV152"/>
      <c r="HW152"/>
      <c r="HX152"/>
      <c r="HY152"/>
      <c r="HZ152"/>
      <c r="IA152"/>
      <c r="IB152"/>
      <c r="IC152"/>
      <c r="ID152"/>
      <c r="IE152"/>
      <c r="IF152"/>
      <c r="IG152"/>
      <c r="IH152"/>
      <c r="II152"/>
      <c r="IJ152"/>
      <c r="IK152"/>
      <c r="IL152"/>
      <c r="IM152"/>
      <c r="IN152"/>
      <c r="IO152"/>
      <c r="IP152"/>
      <c r="IQ152"/>
      <c r="IR152"/>
      <c r="IS152"/>
      <c r="IT152"/>
      <c r="IU152"/>
      <c r="IV152"/>
      <c r="IW152"/>
      <c r="IX152"/>
      <c r="IY152"/>
      <c r="IZ152"/>
      <c r="JA152"/>
      <c r="JB152"/>
      <c r="JC152"/>
      <c r="JD152"/>
      <c r="JE152"/>
      <c r="JF152"/>
      <c r="JG152"/>
      <c r="JH152"/>
      <c r="JI152"/>
      <c r="JJ152"/>
      <c r="JK152"/>
      <c r="JL152"/>
      <c r="JM152"/>
      <c r="JN152"/>
      <c r="JO152"/>
      <c r="JP152"/>
      <c r="JQ152"/>
      <c r="JR152"/>
      <c r="JS152"/>
      <c r="JT152"/>
      <c r="JU152"/>
      <c r="JV152"/>
      <c r="JW152"/>
      <c r="JX152"/>
      <c r="JY152"/>
      <c r="JZ152"/>
      <c r="KA152"/>
      <c r="KB152"/>
      <c r="KC152"/>
      <c r="KD152"/>
      <c r="KE152"/>
      <c r="KF152"/>
      <c r="KG152"/>
      <c r="KH152"/>
      <c r="KI152"/>
      <c r="KJ152"/>
      <c r="KK152"/>
      <c r="KL152"/>
      <c r="KM152"/>
      <c r="KN152"/>
      <c r="KO152"/>
      <c r="KP152"/>
      <c r="KQ152"/>
      <c r="KR152"/>
      <c r="KS152"/>
      <c r="KT152"/>
      <c r="KU152"/>
      <c r="KV152"/>
      <c r="KW152"/>
      <c r="KX152"/>
      <c r="KY152"/>
      <c r="KZ152"/>
      <c r="LA152"/>
      <c r="LB152"/>
      <c r="LC152"/>
      <c r="LD152"/>
      <c r="LE152"/>
      <c r="LF152"/>
      <c r="LG152"/>
      <c r="LH152"/>
      <c r="LI152"/>
      <c r="LJ152"/>
      <c r="LK152"/>
      <c r="LL152"/>
      <c r="LM152"/>
      <c r="LN152"/>
      <c r="LO152"/>
      <c r="LP152"/>
      <c r="LQ152"/>
      <c r="LR152"/>
      <c r="LS152"/>
      <c r="LT152"/>
      <c r="LU152"/>
      <c r="LV152"/>
      <c r="LW152"/>
      <c r="LX152"/>
      <c r="LY152"/>
      <c r="LZ152"/>
      <c r="MA152"/>
      <c r="MB152"/>
      <c r="MC152"/>
      <c r="MD152"/>
      <c r="ME152"/>
      <c r="MF152"/>
      <c r="MG152"/>
      <c r="MH152"/>
      <c r="MI152"/>
      <c r="MJ152"/>
      <c r="MK152"/>
      <c r="ML152"/>
      <c r="MM152"/>
      <c r="MN152"/>
      <c r="MO152"/>
      <c r="MP152"/>
      <c r="MQ152"/>
      <c r="MR152"/>
      <c r="MS152"/>
      <c r="MT152"/>
      <c r="MU152"/>
      <c r="MV152"/>
      <c r="MW152"/>
      <c r="MX152"/>
      <c r="MY152"/>
      <c r="MZ152"/>
      <c r="NA152"/>
      <c r="NB152"/>
      <c r="NC152"/>
      <c r="ND152"/>
      <c r="NE152"/>
      <c r="NF152"/>
      <c r="NG152"/>
      <c r="NH152"/>
      <c r="NI152"/>
      <c r="NJ152"/>
      <c r="NK152"/>
      <c r="NL152"/>
      <c r="NM152"/>
      <c r="NN152"/>
      <c r="NO152"/>
      <c r="NP152"/>
      <c r="NQ152"/>
      <c r="NR152"/>
      <c r="NS152"/>
      <c r="NT152"/>
      <c r="NU152"/>
      <c r="NV152"/>
      <c r="NW152"/>
      <c r="NX152"/>
      <c r="NY152"/>
      <c r="NZ152"/>
      <c r="OA152"/>
      <c r="OB152"/>
      <c r="OC152"/>
      <c r="OD152"/>
      <c r="OE152"/>
      <c r="OF152"/>
      <c r="OG152"/>
      <c r="OH152"/>
      <c r="OI152"/>
      <c r="OJ152"/>
      <c r="OK152"/>
      <c r="OL152"/>
      <c r="OM152"/>
      <c r="ON152"/>
      <c r="OO152"/>
      <c r="OP152"/>
      <c r="OQ152"/>
      <c r="OR152"/>
      <c r="OS152"/>
      <c r="OT152"/>
      <c r="OU152"/>
      <c r="OV152"/>
      <c r="OW152"/>
      <c r="OX152"/>
      <c r="OY152"/>
      <c r="OZ152"/>
      <c r="PA152"/>
      <c r="PB152"/>
      <c r="PC152"/>
      <c r="PD152"/>
      <c r="PE152"/>
      <c r="PF152"/>
      <c r="PG152"/>
      <c r="PH152"/>
      <c r="PI152"/>
      <c r="PJ152"/>
      <c r="PK152"/>
      <c r="PL152"/>
      <c r="PM152"/>
      <c r="PN152"/>
      <c r="PO152"/>
      <c r="PP152"/>
      <c r="PQ152"/>
      <c r="PR152"/>
      <c r="PS152"/>
      <c r="PT152"/>
      <c r="PU152"/>
      <c r="PV152"/>
      <c r="PW152"/>
      <c r="PX152"/>
      <c r="PY152"/>
      <c r="PZ152"/>
      <c r="QA152"/>
      <c r="QB152"/>
      <c r="QC152"/>
      <c r="QD152"/>
      <c r="QE152"/>
      <c r="QF152"/>
      <c r="QG152"/>
      <c r="QH152"/>
      <c r="QI152"/>
      <c r="QJ152"/>
      <c r="QK152"/>
      <c r="QL152"/>
      <c r="QM152"/>
      <c r="QN152"/>
      <c r="QO152"/>
      <c r="QP152"/>
      <c r="QQ152"/>
      <c r="QR152"/>
      <c r="QS152"/>
      <c r="QT152"/>
      <c r="QU152"/>
      <c r="QV152"/>
      <c r="QW152"/>
      <c r="QX152"/>
      <c r="QY152"/>
      <c r="QZ152"/>
      <c r="RA152"/>
      <c r="RB152"/>
      <c r="RC152"/>
      <c r="RD152"/>
      <c r="RE152"/>
      <c r="RF152"/>
      <c r="RG152"/>
      <c r="RH152"/>
      <c r="RI152"/>
      <c r="RJ152"/>
      <c r="RK152"/>
      <c r="RL152"/>
      <c r="RM152"/>
      <c r="RN152"/>
      <c r="RO152"/>
      <c r="RP152"/>
      <c r="RQ152"/>
      <c r="RR152"/>
      <c r="RS152"/>
    </row>
    <row r="153" spans="3:487" x14ac:dyDescent="0.25">
      <c r="C153" s="2" t="s">
        <v>3654</v>
      </c>
      <c r="D153" s="34">
        <v>1</v>
      </c>
      <c r="F153" s="2" t="s">
        <v>498</v>
      </c>
      <c r="G153" s="34">
        <v>1</v>
      </c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  <c r="DU153"/>
      <c r="DV153"/>
      <c r="DW153"/>
      <c r="DX153"/>
      <c r="DY153"/>
      <c r="DZ153"/>
      <c r="EA153"/>
      <c r="EB153"/>
      <c r="EC153"/>
      <c r="ED153"/>
      <c r="EE153"/>
      <c r="EF153"/>
      <c r="EG153"/>
      <c r="EH153"/>
      <c r="EI153"/>
      <c r="EJ153"/>
      <c r="EK153"/>
      <c r="EL153"/>
      <c r="EM153"/>
      <c r="EN153"/>
      <c r="EO153"/>
      <c r="EP153"/>
      <c r="EQ153"/>
      <c r="ER153"/>
      <c r="ES153"/>
      <c r="ET153"/>
      <c r="EU153"/>
      <c r="EV153"/>
      <c r="EW153"/>
      <c r="EX153"/>
      <c r="EY153"/>
      <c r="EZ153"/>
      <c r="FA153"/>
      <c r="FB153"/>
      <c r="FC153"/>
      <c r="FD153"/>
      <c r="FE153"/>
      <c r="FF153"/>
      <c r="FG153"/>
      <c r="FH153"/>
      <c r="FI153"/>
      <c r="FJ153"/>
      <c r="FK153"/>
      <c r="FL153"/>
      <c r="FM153"/>
      <c r="FN153"/>
      <c r="FO153"/>
      <c r="FP153"/>
      <c r="FQ153"/>
      <c r="FR153"/>
      <c r="FS153"/>
      <c r="FT153"/>
      <c r="FU153"/>
      <c r="FV153"/>
      <c r="FW153"/>
      <c r="FX153"/>
      <c r="FY153"/>
      <c r="FZ153"/>
      <c r="GA153"/>
      <c r="GB153"/>
      <c r="GC153"/>
      <c r="GD153"/>
      <c r="GE153"/>
      <c r="GF153"/>
      <c r="GG153"/>
      <c r="GH153"/>
      <c r="GI153"/>
      <c r="GJ153"/>
      <c r="GK153"/>
      <c r="GL153"/>
      <c r="GM153"/>
      <c r="GN153"/>
      <c r="GO153"/>
      <c r="GP153"/>
      <c r="GQ153"/>
      <c r="GR153"/>
      <c r="GS153"/>
      <c r="GT153"/>
      <c r="GU153"/>
      <c r="GV153"/>
      <c r="GW153"/>
      <c r="GX153"/>
      <c r="GY153"/>
      <c r="GZ153"/>
      <c r="HA153"/>
      <c r="HB153"/>
      <c r="HC153"/>
      <c r="HD153"/>
      <c r="HE153"/>
      <c r="HF153"/>
      <c r="HG153"/>
      <c r="HH153"/>
      <c r="HI153"/>
      <c r="HJ153"/>
      <c r="HK153"/>
      <c r="HL153"/>
      <c r="HM153"/>
      <c r="HN153"/>
      <c r="HO153"/>
      <c r="HP153"/>
      <c r="HQ153"/>
      <c r="HR153"/>
      <c r="HS153"/>
      <c r="HT153"/>
      <c r="HU153"/>
      <c r="HV153"/>
      <c r="HW153"/>
      <c r="HX153"/>
      <c r="HY153"/>
      <c r="HZ153"/>
      <c r="IA153"/>
      <c r="IB153"/>
      <c r="IC153"/>
      <c r="ID153"/>
      <c r="IE153"/>
      <c r="IF153"/>
      <c r="IG153"/>
      <c r="IH153"/>
      <c r="II153"/>
      <c r="IJ153"/>
      <c r="IK153"/>
      <c r="IL153"/>
      <c r="IM153"/>
      <c r="IN153"/>
      <c r="IO153"/>
      <c r="IP153"/>
      <c r="IQ153"/>
      <c r="IR153"/>
      <c r="IS153"/>
      <c r="IT153"/>
      <c r="IU153"/>
      <c r="IV153"/>
      <c r="IW153"/>
      <c r="IX153"/>
      <c r="IY153"/>
      <c r="IZ153"/>
      <c r="JA153"/>
      <c r="JB153"/>
      <c r="JC153"/>
      <c r="JD153"/>
      <c r="JE153"/>
      <c r="JF153"/>
      <c r="JG153"/>
      <c r="JH153"/>
      <c r="JI153"/>
      <c r="JJ153"/>
      <c r="JK153"/>
      <c r="JL153"/>
      <c r="JM153"/>
      <c r="JN153"/>
      <c r="JO153"/>
      <c r="JP153"/>
      <c r="JQ153"/>
      <c r="JR153"/>
      <c r="JS153"/>
      <c r="JT153"/>
      <c r="JU153"/>
      <c r="JV153"/>
      <c r="JW153"/>
      <c r="JX153"/>
      <c r="JY153"/>
      <c r="JZ153"/>
      <c r="KA153"/>
      <c r="KB153"/>
      <c r="KC153"/>
      <c r="KD153"/>
      <c r="KE153"/>
      <c r="KF153"/>
      <c r="KG153"/>
      <c r="KH153"/>
      <c r="KI153"/>
      <c r="KJ153"/>
      <c r="KK153"/>
      <c r="KL153"/>
      <c r="KM153"/>
      <c r="KN153"/>
      <c r="KO153"/>
      <c r="KP153"/>
      <c r="KQ153"/>
      <c r="KR153"/>
      <c r="KS153"/>
      <c r="KT153"/>
      <c r="KU153"/>
      <c r="KV153"/>
      <c r="KW153"/>
      <c r="KX153"/>
      <c r="KY153"/>
      <c r="KZ153"/>
      <c r="LA153"/>
      <c r="LB153"/>
      <c r="LC153"/>
      <c r="LD153"/>
      <c r="LE153"/>
      <c r="LF153"/>
      <c r="LG153"/>
      <c r="LH153"/>
      <c r="LI153"/>
      <c r="LJ153"/>
      <c r="LK153"/>
      <c r="LL153"/>
      <c r="LM153"/>
      <c r="LN153"/>
      <c r="LO153"/>
      <c r="LP153"/>
      <c r="LQ153"/>
      <c r="LR153"/>
      <c r="LS153"/>
      <c r="LT153"/>
      <c r="LU153"/>
      <c r="LV153"/>
      <c r="LW153"/>
      <c r="LX153"/>
      <c r="LY153"/>
      <c r="LZ153"/>
      <c r="MA153"/>
      <c r="MB153"/>
      <c r="MC153"/>
      <c r="MD153"/>
      <c r="ME153"/>
      <c r="MF153"/>
      <c r="MG153"/>
      <c r="MH153"/>
      <c r="MI153"/>
      <c r="MJ153"/>
      <c r="MK153"/>
      <c r="ML153"/>
      <c r="MM153"/>
      <c r="MN153"/>
      <c r="MO153"/>
      <c r="MP153"/>
      <c r="MQ153"/>
      <c r="MR153"/>
      <c r="MS153"/>
      <c r="MT153"/>
      <c r="MU153"/>
      <c r="MV153"/>
      <c r="MW153"/>
      <c r="MX153"/>
      <c r="MY153"/>
      <c r="MZ153"/>
      <c r="NA153"/>
      <c r="NB153"/>
      <c r="NC153"/>
      <c r="ND153"/>
      <c r="NE153"/>
      <c r="NF153"/>
      <c r="NG153"/>
      <c r="NH153"/>
      <c r="NI153"/>
      <c r="NJ153"/>
      <c r="NK153"/>
      <c r="NL153"/>
      <c r="NM153"/>
      <c r="NN153"/>
      <c r="NO153"/>
      <c r="NP153"/>
      <c r="NQ153"/>
      <c r="NR153"/>
      <c r="NS153"/>
      <c r="NT153"/>
      <c r="NU153"/>
      <c r="NV153"/>
      <c r="NW153"/>
      <c r="NX153"/>
      <c r="NY153"/>
      <c r="NZ153"/>
      <c r="OA153"/>
      <c r="OB153"/>
      <c r="OC153"/>
      <c r="OD153"/>
      <c r="OE153"/>
      <c r="OF153"/>
      <c r="OG153"/>
      <c r="OH153"/>
      <c r="OI153"/>
      <c r="OJ153"/>
      <c r="OK153"/>
      <c r="OL153"/>
      <c r="OM153"/>
      <c r="ON153"/>
      <c r="OO153"/>
      <c r="OP153"/>
      <c r="OQ153"/>
      <c r="OR153"/>
      <c r="OS153"/>
      <c r="OT153"/>
      <c r="OU153"/>
      <c r="OV153"/>
      <c r="OW153"/>
      <c r="OX153"/>
      <c r="OY153"/>
      <c r="OZ153"/>
      <c r="PA153"/>
      <c r="PB153"/>
      <c r="PC153"/>
      <c r="PD153"/>
      <c r="PE153"/>
      <c r="PF153"/>
      <c r="PG153"/>
      <c r="PH153"/>
      <c r="PI153"/>
      <c r="PJ153"/>
      <c r="PK153"/>
      <c r="PL153"/>
      <c r="PM153"/>
      <c r="PN153"/>
      <c r="PO153"/>
      <c r="PP153"/>
      <c r="PQ153"/>
      <c r="PR153"/>
      <c r="PS153"/>
      <c r="PT153"/>
      <c r="PU153"/>
      <c r="PV153"/>
      <c r="PW153"/>
      <c r="PX153"/>
      <c r="PY153"/>
      <c r="PZ153"/>
      <c r="QA153"/>
      <c r="QB153"/>
      <c r="QC153"/>
      <c r="QD153"/>
      <c r="QE153"/>
      <c r="QF153"/>
      <c r="QG153"/>
      <c r="QH153"/>
      <c r="QI153"/>
      <c r="QJ153"/>
      <c r="QK153"/>
      <c r="QL153"/>
      <c r="QM153"/>
      <c r="QN153"/>
      <c r="QO153"/>
      <c r="QP153"/>
      <c r="QQ153"/>
      <c r="QR153"/>
      <c r="QS153"/>
      <c r="QT153"/>
      <c r="QU153"/>
      <c r="QV153"/>
      <c r="QW153"/>
      <c r="QX153"/>
      <c r="QY153"/>
      <c r="QZ153"/>
      <c r="RA153"/>
      <c r="RB153"/>
      <c r="RC153"/>
      <c r="RD153"/>
      <c r="RE153"/>
      <c r="RF153"/>
      <c r="RG153"/>
      <c r="RH153"/>
      <c r="RI153"/>
      <c r="RJ153"/>
      <c r="RK153"/>
      <c r="RL153"/>
      <c r="RM153"/>
      <c r="RN153"/>
      <c r="RO153"/>
      <c r="RP153"/>
      <c r="RQ153"/>
      <c r="RR153"/>
      <c r="RS153"/>
    </row>
    <row r="154" spans="3:487" x14ac:dyDescent="0.25">
      <c r="C154" s="2" t="s">
        <v>181</v>
      </c>
      <c r="D154" s="34">
        <v>1</v>
      </c>
      <c r="F154" s="2" t="s">
        <v>264</v>
      </c>
      <c r="G154" s="34">
        <v>1</v>
      </c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  <c r="DU154"/>
      <c r="DV154"/>
      <c r="DW154"/>
      <c r="DX154"/>
      <c r="DY154"/>
      <c r="DZ154"/>
      <c r="EA154"/>
      <c r="EB154"/>
      <c r="EC154"/>
      <c r="ED154"/>
      <c r="EE154"/>
      <c r="EF154"/>
      <c r="EG154"/>
      <c r="EH154"/>
      <c r="EI154"/>
      <c r="EJ154"/>
      <c r="EK154"/>
      <c r="EL154"/>
      <c r="EM154"/>
      <c r="EN154"/>
      <c r="EO154"/>
      <c r="EP154"/>
      <c r="EQ154"/>
      <c r="ER154"/>
      <c r="ES154"/>
      <c r="ET154"/>
      <c r="EU154"/>
      <c r="EV154"/>
      <c r="EW154"/>
      <c r="EX154"/>
      <c r="EY154"/>
      <c r="EZ154"/>
      <c r="FA154"/>
      <c r="FB154"/>
      <c r="FC154"/>
      <c r="FD154"/>
      <c r="FE154"/>
      <c r="FF154"/>
      <c r="FG154"/>
      <c r="FH154"/>
      <c r="FI154"/>
      <c r="FJ154"/>
      <c r="FK154"/>
      <c r="FL154"/>
      <c r="FM154"/>
      <c r="FN154"/>
      <c r="FO154"/>
      <c r="FP154"/>
      <c r="FQ154"/>
      <c r="FR154"/>
      <c r="FS154"/>
      <c r="FT154"/>
      <c r="FU154"/>
      <c r="FV154"/>
      <c r="FW154"/>
      <c r="FX154"/>
      <c r="FY154"/>
      <c r="FZ154"/>
      <c r="GA154"/>
      <c r="GB154"/>
      <c r="GC154"/>
      <c r="GD154"/>
      <c r="GE154"/>
      <c r="GF154"/>
      <c r="GG154"/>
      <c r="GH154"/>
      <c r="GI154"/>
      <c r="GJ154"/>
      <c r="GK154"/>
      <c r="GL154"/>
      <c r="GM154"/>
      <c r="GN154"/>
      <c r="GO154"/>
      <c r="GP154"/>
      <c r="GQ154"/>
      <c r="GR154"/>
      <c r="GS154"/>
      <c r="GT154"/>
      <c r="GU154"/>
      <c r="GV154"/>
      <c r="GW154"/>
      <c r="GX154"/>
      <c r="GY154"/>
      <c r="GZ154"/>
      <c r="HA154"/>
      <c r="HB154"/>
      <c r="HC154"/>
      <c r="HD154"/>
      <c r="HE154"/>
      <c r="HF154"/>
      <c r="HG154"/>
      <c r="HH154"/>
      <c r="HI154"/>
      <c r="HJ154"/>
      <c r="HK154"/>
      <c r="HL154"/>
      <c r="HM154"/>
      <c r="HN154"/>
      <c r="HO154"/>
      <c r="HP154"/>
      <c r="HQ154"/>
      <c r="HR154"/>
      <c r="HS154"/>
      <c r="HT154"/>
      <c r="HU154"/>
      <c r="HV154"/>
      <c r="HW154"/>
      <c r="HX154"/>
      <c r="HY154"/>
      <c r="HZ154"/>
      <c r="IA154"/>
      <c r="IB154"/>
      <c r="IC154"/>
      <c r="ID154"/>
      <c r="IE154"/>
      <c r="IF154"/>
      <c r="IG154"/>
      <c r="IH154"/>
      <c r="II154"/>
      <c r="IJ154"/>
      <c r="IK154"/>
      <c r="IL154"/>
      <c r="IM154"/>
      <c r="IN154"/>
      <c r="IO154"/>
      <c r="IP154"/>
      <c r="IQ154"/>
      <c r="IR154"/>
      <c r="IS154"/>
      <c r="IT154"/>
      <c r="IU154"/>
      <c r="IV154"/>
      <c r="IW154"/>
      <c r="IX154"/>
      <c r="IY154"/>
      <c r="IZ154"/>
      <c r="JA154"/>
      <c r="JB154"/>
      <c r="JC154"/>
      <c r="JD154"/>
      <c r="JE154"/>
      <c r="JF154"/>
      <c r="JG154"/>
      <c r="JH154"/>
      <c r="JI154"/>
      <c r="JJ154"/>
      <c r="JK154"/>
      <c r="JL154"/>
      <c r="JM154"/>
      <c r="JN154"/>
      <c r="JO154"/>
      <c r="JP154"/>
      <c r="JQ154"/>
      <c r="JR154"/>
      <c r="JS154"/>
      <c r="JT154"/>
      <c r="JU154"/>
      <c r="JV154"/>
      <c r="JW154"/>
      <c r="JX154"/>
      <c r="JY154"/>
      <c r="JZ154"/>
      <c r="KA154"/>
      <c r="KB154"/>
      <c r="KC154"/>
      <c r="KD154"/>
      <c r="KE154"/>
      <c r="KF154"/>
      <c r="KG154"/>
      <c r="KH154"/>
      <c r="KI154"/>
      <c r="KJ154"/>
      <c r="KK154"/>
      <c r="KL154"/>
      <c r="KM154"/>
      <c r="KN154"/>
      <c r="KO154"/>
      <c r="KP154"/>
      <c r="KQ154"/>
      <c r="KR154"/>
      <c r="KS154"/>
      <c r="KT154"/>
      <c r="KU154"/>
      <c r="KV154"/>
      <c r="KW154"/>
      <c r="KX154"/>
      <c r="KY154"/>
      <c r="KZ154"/>
      <c r="LA154"/>
      <c r="LB154"/>
      <c r="LC154"/>
      <c r="LD154"/>
      <c r="LE154"/>
      <c r="LF154"/>
      <c r="LG154"/>
      <c r="LH154"/>
      <c r="LI154"/>
      <c r="LJ154"/>
      <c r="LK154"/>
      <c r="LL154"/>
      <c r="LM154"/>
      <c r="LN154"/>
      <c r="LO154"/>
      <c r="LP154"/>
      <c r="LQ154"/>
      <c r="LR154"/>
      <c r="LS154"/>
      <c r="LT154"/>
      <c r="LU154"/>
      <c r="LV154"/>
      <c r="LW154"/>
      <c r="LX154"/>
      <c r="LY154"/>
      <c r="LZ154"/>
      <c r="MA154"/>
      <c r="MB154"/>
      <c r="MC154"/>
      <c r="MD154"/>
      <c r="ME154"/>
      <c r="MF154"/>
      <c r="MG154"/>
      <c r="MH154"/>
      <c r="MI154"/>
      <c r="MJ154"/>
      <c r="MK154"/>
      <c r="ML154"/>
      <c r="MM154"/>
      <c r="MN154"/>
      <c r="MO154"/>
      <c r="MP154"/>
      <c r="MQ154"/>
      <c r="MR154"/>
      <c r="MS154"/>
      <c r="MT154"/>
      <c r="MU154"/>
      <c r="MV154"/>
      <c r="MW154"/>
      <c r="MX154"/>
      <c r="MY154"/>
      <c r="MZ154"/>
      <c r="NA154"/>
      <c r="NB154"/>
      <c r="NC154"/>
      <c r="ND154"/>
      <c r="NE154"/>
      <c r="NF154"/>
      <c r="NG154"/>
      <c r="NH154"/>
      <c r="NI154"/>
      <c r="NJ154"/>
      <c r="NK154"/>
      <c r="NL154"/>
      <c r="NM154"/>
      <c r="NN154"/>
      <c r="NO154"/>
      <c r="NP154"/>
      <c r="NQ154"/>
      <c r="NR154"/>
      <c r="NS154"/>
      <c r="NT154"/>
      <c r="NU154"/>
      <c r="NV154"/>
      <c r="NW154"/>
      <c r="NX154"/>
      <c r="NY154"/>
      <c r="NZ154"/>
      <c r="OA154"/>
      <c r="OB154"/>
      <c r="OC154"/>
      <c r="OD154"/>
      <c r="OE154"/>
      <c r="OF154"/>
      <c r="OG154"/>
      <c r="OH154"/>
      <c r="OI154"/>
      <c r="OJ154"/>
      <c r="OK154"/>
      <c r="OL154"/>
      <c r="OM154"/>
      <c r="ON154"/>
      <c r="OO154"/>
      <c r="OP154"/>
      <c r="OQ154"/>
      <c r="OR154"/>
      <c r="OS154"/>
      <c r="OT154"/>
      <c r="OU154"/>
      <c r="OV154"/>
      <c r="OW154"/>
      <c r="OX154"/>
      <c r="OY154"/>
      <c r="OZ154"/>
      <c r="PA154"/>
      <c r="PB154"/>
      <c r="PC154"/>
      <c r="PD154"/>
      <c r="PE154"/>
      <c r="PF154"/>
      <c r="PG154"/>
      <c r="PH154"/>
      <c r="PI154"/>
      <c r="PJ154"/>
      <c r="PK154"/>
      <c r="PL154"/>
      <c r="PM154"/>
      <c r="PN154"/>
      <c r="PO154"/>
      <c r="PP154"/>
      <c r="PQ154"/>
      <c r="PR154"/>
      <c r="PS154"/>
      <c r="PT154"/>
      <c r="PU154"/>
      <c r="PV154"/>
      <c r="PW154"/>
      <c r="PX154"/>
      <c r="PY154"/>
      <c r="PZ154"/>
      <c r="QA154"/>
      <c r="QB154"/>
      <c r="QC154"/>
      <c r="QD154"/>
      <c r="QE154"/>
      <c r="QF154"/>
      <c r="QG154"/>
      <c r="QH154"/>
      <c r="QI154"/>
      <c r="QJ154"/>
      <c r="QK154"/>
      <c r="QL154"/>
      <c r="QM154"/>
      <c r="QN154"/>
      <c r="QO154"/>
      <c r="QP154"/>
      <c r="QQ154"/>
      <c r="QR154"/>
      <c r="QS154"/>
      <c r="QT154"/>
      <c r="QU154"/>
      <c r="QV154"/>
      <c r="QW154"/>
      <c r="QX154"/>
      <c r="QY154"/>
      <c r="QZ154"/>
      <c r="RA154"/>
      <c r="RB154"/>
      <c r="RC154"/>
      <c r="RD154"/>
      <c r="RE154"/>
      <c r="RF154"/>
      <c r="RG154"/>
      <c r="RH154"/>
      <c r="RI154"/>
      <c r="RJ154"/>
      <c r="RK154"/>
      <c r="RL154"/>
      <c r="RM154"/>
      <c r="RN154"/>
      <c r="RO154"/>
      <c r="RP154"/>
      <c r="RQ154"/>
      <c r="RR154"/>
      <c r="RS154"/>
    </row>
    <row r="155" spans="3:487" x14ac:dyDescent="0.25">
      <c r="C155" s="2" t="s">
        <v>269</v>
      </c>
      <c r="D155" s="34">
        <v>1</v>
      </c>
      <c r="F155" s="2" t="s">
        <v>3779</v>
      </c>
      <c r="G155" s="34">
        <v>1</v>
      </c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  <c r="CN155"/>
      <c r="CO155"/>
      <c r="CP155"/>
      <c r="CQ155"/>
      <c r="CR155"/>
      <c r="CS155"/>
      <c r="CT155"/>
      <c r="CU155"/>
      <c r="CV155"/>
      <c r="CW155"/>
      <c r="CX155"/>
      <c r="CY155"/>
      <c r="CZ155"/>
      <c r="DA155"/>
      <c r="DB155"/>
      <c r="DC155"/>
      <c r="DD155"/>
      <c r="DE155"/>
      <c r="DF155"/>
      <c r="DG155"/>
      <c r="DH155"/>
      <c r="DI155"/>
      <c r="DJ155"/>
      <c r="DK155"/>
      <c r="DL155"/>
      <c r="DM155"/>
      <c r="DN155"/>
      <c r="DO155"/>
      <c r="DP155"/>
      <c r="DQ155"/>
      <c r="DR155"/>
      <c r="DS155"/>
      <c r="DT155"/>
      <c r="DU155"/>
      <c r="DV155"/>
      <c r="DW155"/>
      <c r="DX155"/>
      <c r="DY155"/>
      <c r="DZ155"/>
      <c r="EA155"/>
      <c r="EB155"/>
      <c r="EC155"/>
      <c r="ED155"/>
      <c r="EE155"/>
      <c r="EF155"/>
      <c r="EG155"/>
      <c r="EH155"/>
      <c r="EI155"/>
      <c r="EJ155"/>
      <c r="EK155"/>
      <c r="EL155"/>
      <c r="EM155"/>
      <c r="EN155"/>
      <c r="EO155"/>
      <c r="EP155"/>
      <c r="EQ155"/>
      <c r="ER155"/>
      <c r="ES155"/>
      <c r="ET155"/>
      <c r="EU155"/>
      <c r="EV155"/>
      <c r="EW155"/>
      <c r="EX155"/>
      <c r="EY155"/>
      <c r="EZ155"/>
      <c r="FA155"/>
      <c r="FB155"/>
      <c r="FC155"/>
      <c r="FD155"/>
      <c r="FE155"/>
      <c r="FF155"/>
      <c r="FG155"/>
      <c r="FH155"/>
      <c r="FI155"/>
      <c r="FJ155"/>
      <c r="FK155"/>
      <c r="FL155"/>
      <c r="FM155"/>
      <c r="FN155"/>
      <c r="FO155"/>
      <c r="FP155"/>
      <c r="FQ155"/>
      <c r="FR155"/>
      <c r="FS155"/>
      <c r="FT155"/>
      <c r="FU155"/>
      <c r="FV155"/>
      <c r="FW155"/>
      <c r="FX155"/>
      <c r="FY155"/>
      <c r="FZ155"/>
      <c r="GA155"/>
      <c r="GB155"/>
      <c r="GC155"/>
      <c r="GD155"/>
      <c r="GE155"/>
      <c r="GF155"/>
      <c r="GG155"/>
      <c r="GH155"/>
      <c r="GI155"/>
      <c r="GJ155"/>
      <c r="GK155"/>
      <c r="GL155"/>
      <c r="GM155"/>
      <c r="GN155"/>
      <c r="GO155"/>
      <c r="GP155"/>
      <c r="GQ155"/>
      <c r="GR155"/>
      <c r="GS155"/>
      <c r="GT155"/>
      <c r="GU155"/>
      <c r="GV155"/>
      <c r="GW155"/>
      <c r="GX155"/>
      <c r="GY155"/>
      <c r="GZ155"/>
      <c r="HA155"/>
      <c r="HB155"/>
      <c r="HC155"/>
      <c r="HD155"/>
      <c r="HE155"/>
      <c r="HF155"/>
      <c r="HG155"/>
      <c r="HH155"/>
      <c r="HI155"/>
      <c r="HJ155"/>
      <c r="HK155"/>
      <c r="HL155"/>
      <c r="HM155"/>
      <c r="HN155"/>
      <c r="HO155"/>
      <c r="HP155"/>
      <c r="HQ155"/>
      <c r="HR155"/>
      <c r="HS155"/>
      <c r="HT155"/>
      <c r="HU155"/>
      <c r="HV155"/>
      <c r="HW155"/>
      <c r="HX155"/>
      <c r="HY155"/>
      <c r="HZ155"/>
      <c r="IA155"/>
      <c r="IB155"/>
      <c r="IC155"/>
      <c r="ID155"/>
      <c r="IE155"/>
      <c r="IF155"/>
      <c r="IG155"/>
      <c r="IH155"/>
      <c r="II155"/>
      <c r="IJ155"/>
      <c r="IK155"/>
      <c r="IL155"/>
      <c r="IM155"/>
      <c r="IN155"/>
      <c r="IO155"/>
      <c r="IP155"/>
      <c r="IQ155"/>
      <c r="IR155"/>
      <c r="IS155"/>
      <c r="IT155"/>
      <c r="IU155"/>
      <c r="IV155"/>
      <c r="IW155"/>
      <c r="IX155"/>
      <c r="IY155"/>
      <c r="IZ155"/>
      <c r="JA155"/>
      <c r="JB155"/>
      <c r="JC155"/>
      <c r="JD155"/>
      <c r="JE155"/>
      <c r="JF155"/>
      <c r="JG155"/>
      <c r="JH155"/>
      <c r="JI155"/>
      <c r="JJ155"/>
      <c r="JK155"/>
      <c r="JL155"/>
      <c r="JM155"/>
      <c r="JN155"/>
      <c r="JO155"/>
      <c r="JP155"/>
      <c r="JQ155"/>
      <c r="JR155"/>
      <c r="JS155"/>
      <c r="JT155"/>
      <c r="JU155"/>
      <c r="JV155"/>
      <c r="JW155"/>
      <c r="JX155"/>
      <c r="JY155"/>
      <c r="JZ155"/>
      <c r="KA155"/>
      <c r="KB155"/>
      <c r="KC155"/>
      <c r="KD155"/>
      <c r="KE155"/>
      <c r="KF155"/>
      <c r="KG155"/>
      <c r="KH155"/>
      <c r="KI155"/>
      <c r="KJ155"/>
      <c r="KK155"/>
      <c r="KL155"/>
      <c r="KM155"/>
      <c r="KN155"/>
      <c r="KO155"/>
      <c r="KP155"/>
      <c r="KQ155"/>
      <c r="KR155"/>
      <c r="KS155"/>
      <c r="KT155"/>
      <c r="KU155"/>
      <c r="KV155"/>
      <c r="KW155"/>
      <c r="KX155"/>
      <c r="KY155"/>
      <c r="KZ155"/>
      <c r="LA155"/>
      <c r="LB155"/>
      <c r="LC155"/>
      <c r="LD155"/>
      <c r="LE155"/>
      <c r="LF155"/>
      <c r="LG155"/>
      <c r="LH155"/>
      <c r="LI155"/>
      <c r="LJ155"/>
      <c r="LK155"/>
      <c r="LL155"/>
      <c r="LM155"/>
      <c r="LN155"/>
      <c r="LO155"/>
      <c r="LP155"/>
      <c r="LQ155"/>
      <c r="LR155"/>
      <c r="LS155"/>
      <c r="LT155"/>
      <c r="LU155"/>
      <c r="LV155"/>
      <c r="LW155"/>
      <c r="LX155"/>
      <c r="LY155"/>
      <c r="LZ155"/>
      <c r="MA155"/>
      <c r="MB155"/>
      <c r="MC155"/>
      <c r="MD155"/>
      <c r="ME155"/>
      <c r="MF155"/>
      <c r="MG155"/>
      <c r="MH155"/>
      <c r="MI155"/>
      <c r="MJ155"/>
      <c r="MK155"/>
      <c r="ML155"/>
      <c r="MM155"/>
      <c r="MN155"/>
      <c r="MO155"/>
      <c r="MP155"/>
      <c r="MQ155"/>
      <c r="MR155"/>
      <c r="MS155"/>
      <c r="MT155"/>
      <c r="MU155"/>
      <c r="MV155"/>
      <c r="MW155"/>
      <c r="MX155"/>
      <c r="MY155"/>
      <c r="MZ155"/>
      <c r="NA155"/>
      <c r="NB155"/>
      <c r="NC155"/>
      <c r="ND155"/>
      <c r="NE155"/>
      <c r="NF155"/>
      <c r="NG155"/>
      <c r="NH155"/>
      <c r="NI155"/>
      <c r="NJ155"/>
      <c r="NK155"/>
      <c r="NL155"/>
      <c r="NM155"/>
      <c r="NN155"/>
      <c r="NO155"/>
      <c r="NP155"/>
      <c r="NQ155"/>
      <c r="NR155"/>
      <c r="NS155"/>
      <c r="NT155"/>
      <c r="NU155"/>
      <c r="NV155"/>
      <c r="NW155"/>
      <c r="NX155"/>
      <c r="NY155"/>
      <c r="NZ155"/>
      <c r="OA155"/>
      <c r="OB155"/>
      <c r="OC155"/>
      <c r="OD155"/>
      <c r="OE155"/>
      <c r="OF155"/>
      <c r="OG155"/>
      <c r="OH155"/>
      <c r="OI155"/>
      <c r="OJ155"/>
      <c r="OK155"/>
      <c r="OL155"/>
      <c r="OM155"/>
      <c r="ON155"/>
      <c r="OO155"/>
      <c r="OP155"/>
      <c r="OQ155"/>
      <c r="OR155"/>
      <c r="OS155"/>
      <c r="OT155"/>
      <c r="OU155"/>
      <c r="OV155"/>
      <c r="OW155"/>
      <c r="OX155"/>
      <c r="OY155"/>
      <c r="OZ155"/>
      <c r="PA155"/>
      <c r="PB155"/>
      <c r="PC155"/>
      <c r="PD155"/>
      <c r="PE155"/>
      <c r="PF155"/>
      <c r="PG155"/>
      <c r="PH155"/>
      <c r="PI155"/>
      <c r="PJ155"/>
      <c r="PK155"/>
      <c r="PL155"/>
      <c r="PM155"/>
      <c r="PN155"/>
      <c r="PO155"/>
      <c r="PP155"/>
      <c r="PQ155"/>
      <c r="PR155"/>
      <c r="PS155"/>
      <c r="PT155"/>
      <c r="PU155"/>
      <c r="PV155"/>
      <c r="PW155"/>
      <c r="PX155"/>
      <c r="PY155"/>
      <c r="PZ155"/>
      <c r="QA155"/>
      <c r="QB155"/>
      <c r="QC155"/>
      <c r="QD155"/>
      <c r="QE155"/>
      <c r="QF155"/>
      <c r="QG155"/>
      <c r="QH155"/>
      <c r="QI155"/>
      <c r="QJ155"/>
      <c r="QK155"/>
      <c r="QL155"/>
      <c r="QM155"/>
      <c r="QN155"/>
      <c r="QO155"/>
      <c r="QP155"/>
      <c r="QQ155"/>
      <c r="QR155"/>
      <c r="QS155"/>
      <c r="QT155"/>
      <c r="QU155"/>
      <c r="QV155"/>
      <c r="QW155"/>
      <c r="QX155"/>
      <c r="QY155"/>
      <c r="QZ155"/>
      <c r="RA155"/>
      <c r="RB155"/>
      <c r="RC155"/>
      <c r="RD155"/>
      <c r="RE155"/>
      <c r="RF155"/>
      <c r="RG155"/>
      <c r="RH155"/>
      <c r="RI155"/>
      <c r="RJ155"/>
      <c r="RK155"/>
      <c r="RL155"/>
      <c r="RM155"/>
      <c r="RN155"/>
      <c r="RO155"/>
      <c r="RP155"/>
      <c r="RQ155"/>
      <c r="RR155"/>
      <c r="RS155"/>
    </row>
    <row r="156" spans="3:487" x14ac:dyDescent="0.25">
      <c r="C156" s="2" t="s">
        <v>139</v>
      </c>
      <c r="D156" s="34">
        <v>1</v>
      </c>
      <c r="F156" s="2" t="s">
        <v>3728</v>
      </c>
      <c r="G156" s="34">
        <v>1</v>
      </c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  <c r="CN156"/>
      <c r="CO156"/>
      <c r="CP156"/>
      <c r="CQ156"/>
      <c r="CR156"/>
      <c r="CS156"/>
      <c r="CT156"/>
      <c r="CU156"/>
      <c r="CV156"/>
      <c r="CW156"/>
      <c r="CX156"/>
      <c r="CY156"/>
      <c r="CZ156"/>
      <c r="DA156"/>
      <c r="DB156"/>
      <c r="DC156"/>
      <c r="DD156"/>
      <c r="DE156"/>
      <c r="DF156"/>
      <c r="DG156"/>
      <c r="DH156"/>
      <c r="DI156"/>
      <c r="DJ156"/>
      <c r="DK156"/>
      <c r="DL156"/>
      <c r="DM156"/>
      <c r="DN156"/>
      <c r="DO156"/>
      <c r="DP156"/>
      <c r="DQ156"/>
      <c r="DR156"/>
      <c r="DS156"/>
      <c r="DT156"/>
      <c r="DU156"/>
      <c r="DV156"/>
      <c r="DW156"/>
      <c r="DX156"/>
      <c r="DY156"/>
      <c r="DZ156"/>
      <c r="EA156"/>
      <c r="EB156"/>
      <c r="EC156"/>
      <c r="ED156"/>
      <c r="EE156"/>
      <c r="EF156"/>
      <c r="EG156"/>
      <c r="EH156"/>
      <c r="EI156"/>
      <c r="EJ156"/>
      <c r="EK156"/>
      <c r="EL156"/>
      <c r="EM156"/>
      <c r="EN156"/>
      <c r="EO156"/>
      <c r="EP156"/>
      <c r="EQ156"/>
      <c r="ER156"/>
      <c r="ES156"/>
      <c r="ET156"/>
      <c r="EU156"/>
      <c r="EV156"/>
      <c r="EW156"/>
      <c r="EX156"/>
      <c r="EY156"/>
      <c r="EZ156"/>
      <c r="FA156"/>
      <c r="FB156"/>
      <c r="FC156"/>
      <c r="FD156"/>
      <c r="FE156"/>
      <c r="FF156"/>
      <c r="FG156"/>
      <c r="FH156"/>
      <c r="FI156"/>
      <c r="FJ156"/>
      <c r="FK156"/>
      <c r="FL156"/>
      <c r="FM156"/>
      <c r="FN156"/>
      <c r="FO156"/>
      <c r="FP156"/>
      <c r="FQ156"/>
      <c r="FR156"/>
      <c r="FS156"/>
      <c r="FT156"/>
      <c r="FU156"/>
      <c r="FV156"/>
      <c r="FW156"/>
      <c r="FX156"/>
      <c r="FY156"/>
      <c r="FZ156"/>
      <c r="GA156"/>
      <c r="GB156"/>
      <c r="GC156"/>
      <c r="GD156"/>
      <c r="GE156"/>
      <c r="GF156"/>
      <c r="GG156"/>
      <c r="GH156"/>
      <c r="GI156"/>
      <c r="GJ156"/>
      <c r="GK156"/>
      <c r="GL156"/>
      <c r="GM156"/>
      <c r="GN156"/>
      <c r="GO156"/>
      <c r="GP156"/>
      <c r="GQ156"/>
      <c r="GR156"/>
      <c r="GS156"/>
      <c r="GT156"/>
      <c r="GU156"/>
      <c r="GV156"/>
      <c r="GW156"/>
      <c r="GX156"/>
      <c r="GY156"/>
      <c r="GZ156"/>
      <c r="HA156"/>
      <c r="HB156"/>
      <c r="HC156"/>
      <c r="HD156"/>
      <c r="HE156"/>
      <c r="HF156"/>
      <c r="HG156"/>
      <c r="HH156"/>
      <c r="HI156"/>
      <c r="HJ156"/>
      <c r="HK156"/>
      <c r="HL156"/>
      <c r="HM156"/>
      <c r="HN156"/>
      <c r="HO156"/>
      <c r="HP156"/>
      <c r="HQ156"/>
      <c r="HR156"/>
      <c r="HS156"/>
      <c r="HT156"/>
      <c r="HU156"/>
      <c r="HV156"/>
      <c r="HW156"/>
      <c r="HX156"/>
      <c r="HY156"/>
      <c r="HZ156"/>
      <c r="IA156"/>
      <c r="IB156"/>
      <c r="IC156"/>
      <c r="ID156"/>
      <c r="IE156"/>
      <c r="IF156"/>
      <c r="IG156"/>
      <c r="IH156"/>
      <c r="II156"/>
      <c r="IJ156"/>
      <c r="IK156"/>
      <c r="IL156"/>
      <c r="IM156"/>
      <c r="IN156"/>
      <c r="IO156"/>
      <c r="IP156"/>
      <c r="IQ156"/>
      <c r="IR156"/>
      <c r="IS156"/>
      <c r="IT156"/>
      <c r="IU156"/>
      <c r="IV156"/>
      <c r="IW156"/>
      <c r="IX156"/>
      <c r="IY156"/>
      <c r="IZ156"/>
      <c r="JA156"/>
      <c r="JB156"/>
      <c r="JC156"/>
      <c r="JD156"/>
      <c r="JE156"/>
      <c r="JF156"/>
      <c r="JG156"/>
      <c r="JH156"/>
      <c r="JI156"/>
      <c r="JJ156"/>
      <c r="JK156"/>
      <c r="JL156"/>
      <c r="JM156"/>
      <c r="JN156"/>
      <c r="JO156"/>
      <c r="JP156"/>
      <c r="JQ156"/>
      <c r="JR156"/>
      <c r="JS156"/>
      <c r="JT156"/>
      <c r="JU156"/>
      <c r="JV156"/>
      <c r="JW156"/>
      <c r="JX156"/>
      <c r="JY156"/>
      <c r="JZ156"/>
      <c r="KA156"/>
      <c r="KB156"/>
      <c r="KC156"/>
      <c r="KD156"/>
      <c r="KE156"/>
      <c r="KF156"/>
      <c r="KG156"/>
      <c r="KH156"/>
      <c r="KI156"/>
      <c r="KJ156"/>
      <c r="KK156"/>
      <c r="KL156"/>
      <c r="KM156"/>
      <c r="KN156"/>
      <c r="KO156"/>
      <c r="KP156"/>
      <c r="KQ156"/>
      <c r="KR156"/>
      <c r="KS156"/>
      <c r="KT156"/>
      <c r="KU156"/>
      <c r="KV156"/>
      <c r="KW156"/>
      <c r="KX156"/>
      <c r="KY156"/>
      <c r="KZ156"/>
      <c r="LA156"/>
      <c r="LB156"/>
      <c r="LC156"/>
      <c r="LD156"/>
      <c r="LE156"/>
      <c r="LF156"/>
      <c r="LG156"/>
      <c r="LH156"/>
      <c r="LI156"/>
      <c r="LJ156"/>
      <c r="LK156"/>
      <c r="LL156"/>
      <c r="LM156"/>
      <c r="LN156"/>
      <c r="LO156"/>
      <c r="LP156"/>
      <c r="LQ156"/>
      <c r="LR156"/>
      <c r="LS156"/>
      <c r="LT156"/>
      <c r="LU156"/>
      <c r="LV156"/>
      <c r="LW156"/>
      <c r="LX156"/>
      <c r="LY156"/>
      <c r="LZ156"/>
      <c r="MA156"/>
      <c r="MB156"/>
      <c r="MC156"/>
      <c r="MD156"/>
      <c r="ME156"/>
      <c r="MF156"/>
      <c r="MG156"/>
      <c r="MH156"/>
      <c r="MI156"/>
      <c r="MJ156"/>
      <c r="MK156"/>
      <c r="ML156"/>
      <c r="MM156"/>
      <c r="MN156"/>
      <c r="MO156"/>
      <c r="MP156"/>
      <c r="MQ156"/>
      <c r="MR156"/>
      <c r="MS156"/>
      <c r="MT156"/>
      <c r="MU156"/>
      <c r="MV156"/>
      <c r="MW156"/>
      <c r="MX156"/>
      <c r="MY156"/>
      <c r="MZ156"/>
      <c r="NA156"/>
      <c r="NB156"/>
      <c r="NC156"/>
      <c r="ND156"/>
      <c r="NE156"/>
      <c r="NF156"/>
      <c r="NG156"/>
      <c r="NH156"/>
      <c r="NI156"/>
      <c r="NJ156"/>
      <c r="NK156"/>
      <c r="NL156"/>
      <c r="NM156"/>
      <c r="NN156"/>
      <c r="NO156"/>
      <c r="NP156"/>
      <c r="NQ156"/>
      <c r="NR156"/>
      <c r="NS156"/>
      <c r="NT156"/>
      <c r="NU156"/>
      <c r="NV156"/>
      <c r="NW156"/>
      <c r="NX156"/>
      <c r="NY156"/>
      <c r="NZ156"/>
      <c r="OA156"/>
      <c r="OB156"/>
      <c r="OC156"/>
      <c r="OD156"/>
      <c r="OE156"/>
      <c r="OF156"/>
      <c r="OG156"/>
      <c r="OH156"/>
      <c r="OI156"/>
      <c r="OJ156"/>
      <c r="OK156"/>
      <c r="OL156"/>
      <c r="OM156"/>
      <c r="ON156"/>
      <c r="OO156"/>
      <c r="OP156"/>
      <c r="OQ156"/>
      <c r="OR156"/>
      <c r="OS156"/>
      <c r="OT156"/>
      <c r="OU156"/>
      <c r="OV156"/>
      <c r="OW156"/>
      <c r="OX156"/>
      <c r="OY156"/>
      <c r="OZ156"/>
      <c r="PA156"/>
      <c r="PB156"/>
      <c r="PC156"/>
      <c r="PD156"/>
      <c r="PE156"/>
      <c r="PF156"/>
      <c r="PG156"/>
      <c r="PH156"/>
      <c r="PI156"/>
      <c r="PJ156"/>
      <c r="PK156"/>
      <c r="PL156"/>
      <c r="PM156"/>
      <c r="PN156"/>
      <c r="PO156"/>
      <c r="PP156"/>
      <c r="PQ156"/>
      <c r="PR156"/>
      <c r="PS156"/>
      <c r="PT156"/>
      <c r="PU156"/>
      <c r="PV156"/>
      <c r="PW156"/>
      <c r="PX156"/>
      <c r="PY156"/>
      <c r="PZ156"/>
      <c r="QA156"/>
      <c r="QB156"/>
      <c r="QC156"/>
      <c r="QD156"/>
      <c r="QE156"/>
      <c r="QF156"/>
      <c r="QG156"/>
      <c r="QH156"/>
      <c r="QI156"/>
      <c r="QJ156"/>
      <c r="QK156"/>
      <c r="QL156"/>
      <c r="QM156"/>
      <c r="QN156"/>
      <c r="QO156"/>
      <c r="QP156"/>
      <c r="QQ156"/>
      <c r="QR156"/>
      <c r="QS156"/>
      <c r="QT156"/>
      <c r="QU156"/>
      <c r="QV156"/>
      <c r="QW156"/>
      <c r="QX156"/>
      <c r="QY156"/>
      <c r="QZ156"/>
      <c r="RA156"/>
      <c r="RB156"/>
      <c r="RC156"/>
      <c r="RD156"/>
      <c r="RE156"/>
      <c r="RF156"/>
      <c r="RG156"/>
      <c r="RH156"/>
      <c r="RI156"/>
      <c r="RJ156"/>
      <c r="RK156"/>
      <c r="RL156"/>
      <c r="RM156"/>
      <c r="RN156"/>
      <c r="RO156"/>
      <c r="RP156"/>
      <c r="RQ156"/>
      <c r="RR156"/>
      <c r="RS156"/>
    </row>
    <row r="157" spans="3:487" x14ac:dyDescent="0.25">
      <c r="C157" s="2" t="s">
        <v>273</v>
      </c>
      <c r="D157" s="34">
        <v>1</v>
      </c>
      <c r="F157" s="2" t="s">
        <v>3732</v>
      </c>
      <c r="G157" s="34">
        <v>1</v>
      </c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  <c r="CN157"/>
      <c r="CO157"/>
      <c r="CP157"/>
      <c r="CQ157"/>
      <c r="CR157"/>
      <c r="CS157"/>
      <c r="CT157"/>
      <c r="CU157"/>
      <c r="CV157"/>
      <c r="CW157"/>
      <c r="CX157"/>
      <c r="CY157"/>
      <c r="CZ157"/>
      <c r="DA157"/>
      <c r="DB157"/>
      <c r="DC157"/>
      <c r="DD157"/>
      <c r="DE157"/>
      <c r="DF157"/>
      <c r="DG157"/>
      <c r="DH157"/>
      <c r="DI157"/>
      <c r="DJ157"/>
      <c r="DK157"/>
      <c r="DL157"/>
      <c r="DM157"/>
      <c r="DN157"/>
      <c r="DO157"/>
      <c r="DP157"/>
      <c r="DQ157"/>
      <c r="DR157"/>
      <c r="DS157"/>
      <c r="DT157"/>
      <c r="DU157"/>
      <c r="DV157"/>
      <c r="DW157"/>
      <c r="DX157"/>
      <c r="DY157"/>
      <c r="DZ157"/>
      <c r="EA157"/>
      <c r="EB157"/>
      <c r="EC157"/>
      <c r="ED157"/>
      <c r="EE157"/>
      <c r="EF157"/>
      <c r="EG157"/>
      <c r="EH157"/>
      <c r="EI157"/>
      <c r="EJ157"/>
      <c r="EK157"/>
      <c r="EL157"/>
      <c r="EM157"/>
      <c r="EN157"/>
      <c r="EO157"/>
      <c r="EP157"/>
      <c r="EQ157"/>
      <c r="ER157"/>
      <c r="ES157"/>
      <c r="ET157"/>
      <c r="EU157"/>
      <c r="EV157"/>
      <c r="EW157"/>
      <c r="EX157"/>
      <c r="EY157"/>
      <c r="EZ157"/>
      <c r="FA157"/>
      <c r="FB157"/>
      <c r="FC157"/>
      <c r="FD157"/>
      <c r="FE157"/>
      <c r="FF157"/>
      <c r="FG157"/>
      <c r="FH157"/>
      <c r="FI157"/>
      <c r="FJ157"/>
      <c r="FK157"/>
      <c r="FL157"/>
      <c r="FM157"/>
      <c r="FN157"/>
      <c r="FO157"/>
      <c r="FP157"/>
      <c r="FQ157"/>
      <c r="FR157"/>
      <c r="FS157"/>
      <c r="FT157"/>
      <c r="FU157"/>
      <c r="FV157"/>
      <c r="FW157"/>
      <c r="FX157"/>
      <c r="FY157"/>
      <c r="FZ157"/>
      <c r="GA157"/>
      <c r="GB157"/>
      <c r="GC157"/>
      <c r="GD157"/>
      <c r="GE157"/>
      <c r="GF157"/>
      <c r="GG157"/>
      <c r="GH157"/>
      <c r="GI157"/>
      <c r="GJ157"/>
      <c r="GK157"/>
      <c r="GL157"/>
      <c r="GM157"/>
      <c r="GN157"/>
      <c r="GO157"/>
      <c r="GP157"/>
      <c r="GQ157"/>
      <c r="GR157"/>
      <c r="GS157"/>
      <c r="GT157"/>
      <c r="GU157"/>
      <c r="GV157"/>
      <c r="GW157"/>
      <c r="GX157"/>
      <c r="GY157"/>
      <c r="GZ157"/>
      <c r="HA157"/>
      <c r="HB157"/>
      <c r="HC157"/>
      <c r="HD157"/>
      <c r="HE157"/>
      <c r="HF157"/>
      <c r="HG157"/>
      <c r="HH157"/>
      <c r="HI157"/>
      <c r="HJ157"/>
      <c r="HK157"/>
      <c r="HL157"/>
      <c r="HM157"/>
      <c r="HN157"/>
      <c r="HO157"/>
      <c r="HP157"/>
      <c r="HQ157"/>
      <c r="HR157"/>
      <c r="HS157"/>
      <c r="HT157"/>
      <c r="HU157"/>
      <c r="HV157"/>
      <c r="HW157"/>
      <c r="HX157"/>
      <c r="HY157"/>
      <c r="HZ157"/>
      <c r="IA157"/>
      <c r="IB157"/>
      <c r="IC157"/>
      <c r="ID157"/>
      <c r="IE157"/>
      <c r="IF157"/>
      <c r="IG157"/>
      <c r="IH157"/>
      <c r="II157"/>
      <c r="IJ157"/>
      <c r="IK157"/>
      <c r="IL157"/>
      <c r="IM157"/>
      <c r="IN157"/>
      <c r="IO157"/>
      <c r="IP157"/>
      <c r="IQ157"/>
      <c r="IR157"/>
      <c r="IS157"/>
      <c r="IT157"/>
      <c r="IU157"/>
      <c r="IV157"/>
      <c r="IW157"/>
      <c r="IX157"/>
      <c r="IY157"/>
      <c r="IZ157"/>
      <c r="JA157"/>
      <c r="JB157"/>
      <c r="JC157"/>
      <c r="JD157"/>
      <c r="JE157"/>
      <c r="JF157"/>
      <c r="JG157"/>
      <c r="JH157"/>
      <c r="JI157"/>
      <c r="JJ157"/>
      <c r="JK157"/>
      <c r="JL157"/>
      <c r="JM157"/>
      <c r="JN157"/>
      <c r="JO157"/>
      <c r="JP157"/>
      <c r="JQ157"/>
      <c r="JR157"/>
      <c r="JS157"/>
      <c r="JT157"/>
      <c r="JU157"/>
      <c r="JV157"/>
      <c r="JW157"/>
      <c r="JX157"/>
      <c r="JY157"/>
      <c r="JZ157"/>
      <c r="KA157"/>
      <c r="KB157"/>
      <c r="KC157"/>
      <c r="KD157"/>
      <c r="KE157"/>
      <c r="KF157"/>
      <c r="KG157"/>
      <c r="KH157"/>
      <c r="KI157"/>
      <c r="KJ157"/>
      <c r="KK157"/>
      <c r="KL157"/>
      <c r="KM157"/>
      <c r="KN157"/>
      <c r="KO157"/>
      <c r="KP157"/>
      <c r="KQ157"/>
      <c r="KR157"/>
      <c r="KS157"/>
      <c r="KT157"/>
      <c r="KU157"/>
      <c r="KV157"/>
      <c r="KW157"/>
      <c r="KX157"/>
      <c r="KY157"/>
      <c r="KZ157"/>
      <c r="LA157"/>
      <c r="LB157"/>
      <c r="LC157"/>
      <c r="LD157"/>
      <c r="LE157"/>
      <c r="LF157"/>
      <c r="LG157"/>
      <c r="LH157"/>
      <c r="LI157"/>
      <c r="LJ157"/>
      <c r="LK157"/>
      <c r="LL157"/>
      <c r="LM157"/>
      <c r="LN157"/>
      <c r="LO157"/>
      <c r="LP157"/>
      <c r="LQ157"/>
      <c r="LR157"/>
      <c r="LS157"/>
      <c r="LT157"/>
      <c r="LU157"/>
      <c r="LV157"/>
      <c r="LW157"/>
      <c r="LX157"/>
      <c r="LY157"/>
      <c r="LZ157"/>
      <c r="MA157"/>
      <c r="MB157"/>
      <c r="MC157"/>
      <c r="MD157"/>
      <c r="ME157"/>
      <c r="MF157"/>
      <c r="MG157"/>
      <c r="MH157"/>
      <c r="MI157"/>
      <c r="MJ157"/>
      <c r="MK157"/>
      <c r="ML157"/>
      <c r="MM157"/>
      <c r="MN157"/>
      <c r="MO157"/>
      <c r="MP157"/>
      <c r="MQ157"/>
      <c r="MR157"/>
      <c r="MS157"/>
      <c r="MT157"/>
      <c r="MU157"/>
      <c r="MV157"/>
      <c r="MW157"/>
      <c r="MX157"/>
      <c r="MY157"/>
      <c r="MZ157"/>
      <c r="NA157"/>
      <c r="NB157"/>
      <c r="NC157"/>
      <c r="ND157"/>
      <c r="NE157"/>
      <c r="NF157"/>
      <c r="NG157"/>
      <c r="NH157"/>
      <c r="NI157"/>
      <c r="NJ157"/>
      <c r="NK157"/>
      <c r="NL157"/>
      <c r="NM157"/>
      <c r="NN157"/>
      <c r="NO157"/>
      <c r="NP157"/>
      <c r="NQ157"/>
      <c r="NR157"/>
      <c r="NS157"/>
      <c r="NT157"/>
      <c r="NU157"/>
      <c r="NV157"/>
      <c r="NW157"/>
      <c r="NX157"/>
      <c r="NY157"/>
      <c r="NZ157"/>
      <c r="OA157"/>
      <c r="OB157"/>
      <c r="OC157"/>
      <c r="OD157"/>
      <c r="OE157"/>
      <c r="OF157"/>
      <c r="OG157"/>
      <c r="OH157"/>
      <c r="OI157"/>
      <c r="OJ157"/>
      <c r="OK157"/>
      <c r="OL157"/>
      <c r="OM157"/>
      <c r="ON157"/>
      <c r="OO157"/>
      <c r="OP157"/>
      <c r="OQ157"/>
      <c r="OR157"/>
      <c r="OS157"/>
      <c r="OT157"/>
      <c r="OU157"/>
      <c r="OV157"/>
      <c r="OW157"/>
      <c r="OX157"/>
      <c r="OY157"/>
      <c r="OZ157"/>
      <c r="PA157"/>
      <c r="PB157"/>
      <c r="PC157"/>
      <c r="PD157"/>
      <c r="PE157"/>
      <c r="PF157"/>
      <c r="PG157"/>
      <c r="PH157"/>
      <c r="PI157"/>
      <c r="PJ157"/>
      <c r="PK157"/>
      <c r="PL157"/>
      <c r="PM157"/>
      <c r="PN157"/>
      <c r="PO157"/>
      <c r="PP157"/>
      <c r="PQ157"/>
      <c r="PR157"/>
      <c r="PS157"/>
      <c r="PT157"/>
      <c r="PU157"/>
      <c r="PV157"/>
      <c r="PW157"/>
      <c r="PX157"/>
      <c r="PY157"/>
      <c r="PZ157"/>
      <c r="QA157"/>
      <c r="QB157"/>
      <c r="QC157"/>
      <c r="QD157"/>
      <c r="QE157"/>
      <c r="QF157"/>
      <c r="QG157"/>
      <c r="QH157"/>
      <c r="QI157"/>
      <c r="QJ157"/>
      <c r="QK157"/>
      <c r="QL157"/>
      <c r="QM157"/>
      <c r="QN157"/>
      <c r="QO157"/>
      <c r="QP157"/>
      <c r="QQ157"/>
      <c r="QR157"/>
      <c r="QS157"/>
      <c r="QT157"/>
      <c r="QU157"/>
      <c r="QV157"/>
      <c r="QW157"/>
      <c r="QX157"/>
      <c r="QY157"/>
      <c r="QZ157"/>
      <c r="RA157"/>
      <c r="RB157"/>
      <c r="RC157"/>
      <c r="RD157"/>
      <c r="RE157"/>
      <c r="RF157"/>
      <c r="RG157"/>
      <c r="RH157"/>
      <c r="RI157"/>
      <c r="RJ157"/>
      <c r="RK157"/>
      <c r="RL157"/>
      <c r="RM157"/>
      <c r="RN157"/>
      <c r="RO157"/>
      <c r="RP157"/>
      <c r="RQ157"/>
      <c r="RR157"/>
      <c r="RS157"/>
    </row>
    <row r="158" spans="3:487" x14ac:dyDescent="0.25">
      <c r="C158" s="2" t="s">
        <v>3680</v>
      </c>
      <c r="D158" s="34">
        <v>1</v>
      </c>
      <c r="F158" s="2" t="s">
        <v>168</v>
      </c>
      <c r="G158" s="34">
        <v>1</v>
      </c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  <c r="CN158"/>
      <c r="CO158"/>
      <c r="CP158"/>
      <c r="CQ158"/>
      <c r="CR158"/>
      <c r="CS158"/>
      <c r="CT158"/>
      <c r="CU158"/>
      <c r="CV158"/>
      <c r="CW158"/>
      <c r="CX158"/>
      <c r="CY158"/>
      <c r="CZ158"/>
      <c r="DA158"/>
      <c r="DB158"/>
      <c r="DC158"/>
      <c r="DD158"/>
      <c r="DE158"/>
      <c r="DF158"/>
      <c r="DG158"/>
      <c r="DH158"/>
      <c r="DI158"/>
      <c r="DJ158"/>
      <c r="DK158"/>
      <c r="DL158"/>
      <c r="DM158"/>
      <c r="DN158"/>
      <c r="DO158"/>
      <c r="DP158"/>
      <c r="DQ158"/>
      <c r="DR158"/>
      <c r="DS158"/>
      <c r="DT158"/>
      <c r="DU158"/>
      <c r="DV158"/>
      <c r="DW158"/>
      <c r="DX158"/>
      <c r="DY158"/>
      <c r="DZ158"/>
      <c r="EA158"/>
      <c r="EB158"/>
      <c r="EC158"/>
      <c r="ED158"/>
      <c r="EE158"/>
      <c r="EF158"/>
      <c r="EG158"/>
      <c r="EH158"/>
      <c r="EI158"/>
      <c r="EJ158"/>
      <c r="EK158"/>
      <c r="EL158"/>
      <c r="EM158"/>
      <c r="EN158"/>
      <c r="EO158"/>
      <c r="EP158"/>
      <c r="EQ158"/>
      <c r="ER158"/>
      <c r="ES158"/>
      <c r="ET158"/>
      <c r="EU158"/>
      <c r="EV158"/>
      <c r="EW158"/>
      <c r="EX158"/>
      <c r="EY158"/>
      <c r="EZ158"/>
      <c r="FA158"/>
      <c r="FB158"/>
      <c r="FC158"/>
      <c r="FD158"/>
      <c r="FE158"/>
      <c r="FF158"/>
      <c r="FG158"/>
      <c r="FH158"/>
      <c r="FI158"/>
      <c r="FJ158"/>
      <c r="FK158"/>
      <c r="FL158"/>
      <c r="FM158"/>
      <c r="FN158"/>
      <c r="FO158"/>
      <c r="FP158"/>
      <c r="FQ158"/>
      <c r="FR158"/>
      <c r="FS158"/>
      <c r="FT158"/>
      <c r="FU158"/>
      <c r="FV158"/>
      <c r="FW158"/>
      <c r="FX158"/>
      <c r="FY158"/>
      <c r="FZ158"/>
      <c r="GA158"/>
      <c r="GB158"/>
      <c r="GC158"/>
      <c r="GD158"/>
      <c r="GE158"/>
      <c r="GF158"/>
      <c r="GG158"/>
      <c r="GH158"/>
      <c r="GI158"/>
      <c r="GJ158"/>
      <c r="GK158"/>
      <c r="GL158"/>
      <c r="GM158"/>
      <c r="GN158"/>
      <c r="GO158"/>
      <c r="GP158"/>
      <c r="GQ158"/>
      <c r="GR158"/>
      <c r="GS158"/>
      <c r="GT158"/>
      <c r="GU158"/>
      <c r="GV158"/>
      <c r="GW158"/>
      <c r="GX158"/>
      <c r="GY158"/>
      <c r="GZ158"/>
      <c r="HA158"/>
      <c r="HB158"/>
      <c r="HC158"/>
      <c r="HD158"/>
      <c r="HE158"/>
      <c r="HF158"/>
      <c r="HG158"/>
      <c r="HH158"/>
      <c r="HI158"/>
      <c r="HJ158"/>
      <c r="HK158"/>
      <c r="HL158"/>
      <c r="HM158"/>
      <c r="HN158"/>
      <c r="HO158"/>
      <c r="HP158"/>
      <c r="HQ158"/>
      <c r="HR158"/>
      <c r="HS158"/>
      <c r="HT158"/>
      <c r="HU158"/>
      <c r="HV158"/>
      <c r="HW158"/>
      <c r="HX158"/>
      <c r="HY158"/>
      <c r="HZ158"/>
      <c r="IA158"/>
      <c r="IB158"/>
      <c r="IC158"/>
      <c r="ID158"/>
      <c r="IE158"/>
      <c r="IF158"/>
      <c r="IG158"/>
      <c r="IH158"/>
      <c r="II158"/>
      <c r="IJ158"/>
      <c r="IK158"/>
      <c r="IL158"/>
      <c r="IM158"/>
      <c r="IN158"/>
      <c r="IO158"/>
      <c r="IP158"/>
      <c r="IQ158"/>
      <c r="IR158"/>
      <c r="IS158"/>
      <c r="IT158"/>
      <c r="IU158"/>
      <c r="IV158"/>
      <c r="IW158"/>
      <c r="IX158"/>
      <c r="IY158"/>
      <c r="IZ158"/>
      <c r="JA158"/>
      <c r="JB158"/>
      <c r="JC158"/>
      <c r="JD158"/>
      <c r="JE158"/>
      <c r="JF158"/>
      <c r="JG158"/>
      <c r="JH158"/>
      <c r="JI158"/>
      <c r="JJ158"/>
      <c r="JK158"/>
      <c r="JL158"/>
      <c r="JM158"/>
      <c r="JN158"/>
      <c r="JO158"/>
      <c r="JP158"/>
      <c r="JQ158"/>
      <c r="JR158"/>
      <c r="JS158"/>
      <c r="JT158"/>
      <c r="JU158"/>
      <c r="JV158"/>
      <c r="JW158"/>
      <c r="JX158"/>
      <c r="JY158"/>
      <c r="JZ158"/>
      <c r="KA158"/>
      <c r="KB158"/>
      <c r="KC158"/>
      <c r="KD158"/>
      <c r="KE158"/>
      <c r="KF158"/>
      <c r="KG158"/>
      <c r="KH158"/>
      <c r="KI158"/>
      <c r="KJ158"/>
      <c r="KK158"/>
      <c r="KL158"/>
      <c r="KM158"/>
      <c r="KN158"/>
      <c r="KO158"/>
      <c r="KP158"/>
      <c r="KQ158"/>
      <c r="KR158"/>
      <c r="KS158"/>
      <c r="KT158"/>
      <c r="KU158"/>
      <c r="KV158"/>
      <c r="KW158"/>
      <c r="KX158"/>
      <c r="KY158"/>
      <c r="KZ158"/>
      <c r="LA158"/>
      <c r="LB158"/>
      <c r="LC158"/>
      <c r="LD158"/>
      <c r="LE158"/>
      <c r="LF158"/>
      <c r="LG158"/>
      <c r="LH158"/>
      <c r="LI158"/>
      <c r="LJ158"/>
      <c r="LK158"/>
      <c r="LL158"/>
      <c r="LM158"/>
      <c r="LN158"/>
      <c r="LO158"/>
      <c r="LP158"/>
      <c r="LQ158"/>
      <c r="LR158"/>
      <c r="LS158"/>
      <c r="LT158"/>
      <c r="LU158"/>
      <c r="LV158"/>
      <c r="LW158"/>
      <c r="LX158"/>
      <c r="LY158"/>
      <c r="LZ158"/>
      <c r="MA158"/>
      <c r="MB158"/>
      <c r="MC158"/>
      <c r="MD158"/>
      <c r="ME158"/>
      <c r="MF158"/>
      <c r="MG158"/>
      <c r="MH158"/>
      <c r="MI158"/>
      <c r="MJ158"/>
      <c r="MK158"/>
      <c r="ML158"/>
      <c r="MM158"/>
      <c r="MN158"/>
      <c r="MO158"/>
      <c r="MP158"/>
      <c r="MQ158"/>
      <c r="MR158"/>
      <c r="MS158"/>
      <c r="MT158"/>
      <c r="MU158"/>
      <c r="MV158"/>
      <c r="MW158"/>
      <c r="MX158"/>
      <c r="MY158"/>
      <c r="MZ158"/>
      <c r="NA158"/>
      <c r="NB158"/>
      <c r="NC158"/>
      <c r="ND158"/>
      <c r="NE158"/>
      <c r="NF158"/>
      <c r="NG158"/>
      <c r="NH158"/>
      <c r="NI158"/>
      <c r="NJ158"/>
      <c r="NK158"/>
      <c r="NL158"/>
      <c r="NM158"/>
      <c r="NN158"/>
      <c r="NO158"/>
      <c r="NP158"/>
      <c r="NQ158"/>
      <c r="NR158"/>
      <c r="NS158"/>
      <c r="NT158"/>
      <c r="NU158"/>
      <c r="NV158"/>
      <c r="NW158"/>
      <c r="NX158"/>
      <c r="NY158"/>
      <c r="NZ158"/>
      <c r="OA158"/>
      <c r="OB158"/>
      <c r="OC158"/>
      <c r="OD158"/>
      <c r="OE158"/>
      <c r="OF158"/>
      <c r="OG158"/>
      <c r="OH158"/>
      <c r="OI158"/>
      <c r="OJ158"/>
      <c r="OK158"/>
      <c r="OL158"/>
      <c r="OM158"/>
      <c r="ON158"/>
      <c r="OO158"/>
      <c r="OP158"/>
      <c r="OQ158"/>
      <c r="OR158"/>
      <c r="OS158"/>
      <c r="OT158"/>
      <c r="OU158"/>
      <c r="OV158"/>
      <c r="OW158"/>
      <c r="OX158"/>
      <c r="OY158"/>
      <c r="OZ158"/>
      <c r="PA158"/>
      <c r="PB158"/>
      <c r="PC158"/>
      <c r="PD158"/>
      <c r="PE158"/>
      <c r="PF158"/>
      <c r="PG158"/>
      <c r="PH158"/>
      <c r="PI158"/>
      <c r="PJ158"/>
      <c r="PK158"/>
      <c r="PL158"/>
      <c r="PM158"/>
      <c r="PN158"/>
      <c r="PO158"/>
      <c r="PP158"/>
      <c r="PQ158"/>
      <c r="PR158"/>
      <c r="PS158"/>
      <c r="PT158"/>
      <c r="PU158"/>
      <c r="PV158"/>
      <c r="PW158"/>
      <c r="PX158"/>
      <c r="PY158"/>
      <c r="PZ158"/>
      <c r="QA158"/>
      <c r="QB158"/>
      <c r="QC158"/>
      <c r="QD158"/>
      <c r="QE158"/>
      <c r="QF158"/>
      <c r="QG158"/>
      <c r="QH158"/>
      <c r="QI158"/>
      <c r="QJ158"/>
      <c r="QK158"/>
      <c r="QL158"/>
      <c r="QM158"/>
      <c r="QN158"/>
      <c r="QO158"/>
      <c r="QP158"/>
      <c r="QQ158"/>
      <c r="QR158"/>
      <c r="QS158"/>
      <c r="QT158"/>
      <c r="QU158"/>
      <c r="QV158"/>
      <c r="QW158"/>
      <c r="QX158"/>
      <c r="QY158"/>
      <c r="QZ158"/>
      <c r="RA158"/>
      <c r="RB158"/>
      <c r="RC158"/>
      <c r="RD158"/>
      <c r="RE158"/>
      <c r="RF158"/>
      <c r="RG158"/>
      <c r="RH158"/>
      <c r="RI158"/>
      <c r="RJ158"/>
      <c r="RK158"/>
      <c r="RL158"/>
      <c r="RM158"/>
      <c r="RN158"/>
      <c r="RO158"/>
      <c r="RP158"/>
      <c r="RQ158"/>
      <c r="RR158"/>
      <c r="RS158"/>
    </row>
    <row r="159" spans="3:487" x14ac:dyDescent="0.25">
      <c r="C159" s="2" t="s">
        <v>3657</v>
      </c>
      <c r="D159" s="34">
        <v>1</v>
      </c>
      <c r="F159" s="2" t="s">
        <v>276</v>
      </c>
      <c r="G159" s="34">
        <v>1</v>
      </c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  <c r="DU159"/>
      <c r="DV159"/>
      <c r="DW159"/>
      <c r="DX159"/>
      <c r="DY159"/>
      <c r="DZ159"/>
      <c r="EA159"/>
      <c r="EB159"/>
      <c r="EC159"/>
      <c r="ED159"/>
      <c r="EE159"/>
      <c r="EF159"/>
      <c r="EG159"/>
      <c r="EH159"/>
      <c r="EI159"/>
      <c r="EJ159"/>
      <c r="EK159"/>
      <c r="EL159"/>
      <c r="EM159"/>
      <c r="EN159"/>
      <c r="EO159"/>
      <c r="EP159"/>
      <c r="EQ159"/>
      <c r="ER159"/>
      <c r="ES159"/>
      <c r="ET159"/>
      <c r="EU159"/>
      <c r="EV159"/>
      <c r="EW159"/>
      <c r="EX159"/>
      <c r="EY159"/>
      <c r="EZ159"/>
      <c r="FA159"/>
      <c r="FB159"/>
      <c r="FC159"/>
      <c r="FD159"/>
      <c r="FE159"/>
      <c r="FF159"/>
      <c r="FG159"/>
      <c r="FH159"/>
      <c r="FI159"/>
      <c r="FJ159"/>
      <c r="FK159"/>
      <c r="FL159"/>
      <c r="FM159"/>
      <c r="FN159"/>
      <c r="FO159"/>
      <c r="FP159"/>
      <c r="FQ159"/>
      <c r="FR159"/>
      <c r="FS159"/>
      <c r="FT159"/>
      <c r="FU159"/>
      <c r="FV159"/>
      <c r="FW159"/>
      <c r="FX159"/>
      <c r="FY159"/>
      <c r="FZ159"/>
      <c r="GA159"/>
      <c r="GB159"/>
      <c r="GC159"/>
      <c r="GD159"/>
      <c r="GE159"/>
      <c r="GF159"/>
      <c r="GG159"/>
      <c r="GH159"/>
      <c r="GI159"/>
      <c r="GJ159"/>
      <c r="GK159"/>
      <c r="GL159"/>
      <c r="GM159"/>
      <c r="GN159"/>
      <c r="GO159"/>
      <c r="GP159"/>
      <c r="GQ159"/>
      <c r="GR159"/>
      <c r="GS159"/>
      <c r="GT159"/>
      <c r="GU159"/>
      <c r="GV159"/>
      <c r="GW159"/>
      <c r="GX159"/>
      <c r="GY159"/>
      <c r="GZ159"/>
      <c r="HA159"/>
      <c r="HB159"/>
      <c r="HC159"/>
      <c r="HD159"/>
      <c r="HE159"/>
      <c r="HF159"/>
      <c r="HG159"/>
      <c r="HH159"/>
      <c r="HI159"/>
      <c r="HJ159"/>
      <c r="HK159"/>
      <c r="HL159"/>
      <c r="HM159"/>
      <c r="HN159"/>
      <c r="HO159"/>
      <c r="HP159"/>
      <c r="HQ159"/>
      <c r="HR159"/>
      <c r="HS159"/>
      <c r="HT159"/>
      <c r="HU159"/>
      <c r="HV159"/>
      <c r="HW159"/>
      <c r="HX159"/>
      <c r="HY159"/>
      <c r="HZ159"/>
      <c r="IA159"/>
      <c r="IB159"/>
      <c r="IC159"/>
      <c r="ID159"/>
      <c r="IE159"/>
      <c r="IF159"/>
      <c r="IG159"/>
      <c r="IH159"/>
      <c r="II159"/>
      <c r="IJ159"/>
      <c r="IK159"/>
      <c r="IL159"/>
      <c r="IM159"/>
      <c r="IN159"/>
      <c r="IO159"/>
      <c r="IP159"/>
      <c r="IQ159"/>
      <c r="IR159"/>
      <c r="IS159"/>
      <c r="IT159"/>
      <c r="IU159"/>
      <c r="IV159"/>
      <c r="IW159"/>
      <c r="IX159"/>
      <c r="IY159"/>
      <c r="IZ159"/>
      <c r="JA159"/>
      <c r="JB159"/>
      <c r="JC159"/>
      <c r="JD159"/>
      <c r="JE159"/>
      <c r="JF159"/>
      <c r="JG159"/>
      <c r="JH159"/>
      <c r="JI159"/>
      <c r="JJ159"/>
      <c r="JK159"/>
      <c r="JL159"/>
      <c r="JM159"/>
      <c r="JN159"/>
      <c r="JO159"/>
      <c r="JP159"/>
      <c r="JQ159"/>
      <c r="JR159"/>
      <c r="JS159"/>
      <c r="JT159"/>
      <c r="JU159"/>
      <c r="JV159"/>
      <c r="JW159"/>
      <c r="JX159"/>
      <c r="JY159"/>
      <c r="JZ159"/>
      <c r="KA159"/>
      <c r="KB159"/>
      <c r="KC159"/>
      <c r="KD159"/>
      <c r="KE159"/>
      <c r="KF159"/>
      <c r="KG159"/>
      <c r="KH159"/>
      <c r="KI159"/>
      <c r="KJ159"/>
      <c r="KK159"/>
      <c r="KL159"/>
      <c r="KM159"/>
      <c r="KN159"/>
      <c r="KO159"/>
      <c r="KP159"/>
      <c r="KQ159"/>
      <c r="KR159"/>
      <c r="KS159"/>
      <c r="KT159"/>
      <c r="KU159"/>
      <c r="KV159"/>
      <c r="KW159"/>
      <c r="KX159"/>
      <c r="KY159"/>
      <c r="KZ159"/>
      <c r="LA159"/>
      <c r="LB159"/>
      <c r="LC159"/>
      <c r="LD159"/>
      <c r="LE159"/>
      <c r="LF159"/>
      <c r="LG159"/>
      <c r="LH159"/>
      <c r="LI159"/>
      <c r="LJ159"/>
      <c r="LK159"/>
      <c r="LL159"/>
      <c r="LM159"/>
      <c r="LN159"/>
      <c r="LO159"/>
      <c r="LP159"/>
      <c r="LQ159"/>
      <c r="LR159"/>
      <c r="LS159"/>
      <c r="LT159"/>
      <c r="LU159"/>
      <c r="LV159"/>
      <c r="LW159"/>
      <c r="LX159"/>
      <c r="LY159"/>
      <c r="LZ159"/>
      <c r="MA159"/>
      <c r="MB159"/>
      <c r="MC159"/>
      <c r="MD159"/>
      <c r="ME159"/>
      <c r="MF159"/>
      <c r="MG159"/>
      <c r="MH159"/>
      <c r="MI159"/>
      <c r="MJ159"/>
      <c r="MK159"/>
      <c r="ML159"/>
      <c r="MM159"/>
      <c r="MN159"/>
      <c r="MO159"/>
      <c r="MP159"/>
      <c r="MQ159"/>
      <c r="MR159"/>
      <c r="MS159"/>
      <c r="MT159"/>
      <c r="MU159"/>
      <c r="MV159"/>
      <c r="MW159"/>
      <c r="MX159"/>
      <c r="MY159"/>
      <c r="MZ159"/>
      <c r="NA159"/>
      <c r="NB159"/>
      <c r="NC159"/>
      <c r="ND159"/>
      <c r="NE159"/>
      <c r="NF159"/>
      <c r="NG159"/>
      <c r="NH159"/>
      <c r="NI159"/>
      <c r="NJ159"/>
      <c r="NK159"/>
      <c r="NL159"/>
      <c r="NM159"/>
      <c r="NN159"/>
      <c r="NO159"/>
      <c r="NP159"/>
      <c r="NQ159"/>
      <c r="NR159"/>
      <c r="NS159"/>
      <c r="NT159"/>
      <c r="NU159"/>
      <c r="NV159"/>
      <c r="NW159"/>
      <c r="NX159"/>
      <c r="NY159"/>
      <c r="NZ159"/>
      <c r="OA159"/>
      <c r="OB159"/>
      <c r="OC159"/>
      <c r="OD159"/>
      <c r="OE159"/>
      <c r="OF159"/>
      <c r="OG159"/>
      <c r="OH159"/>
      <c r="OI159"/>
      <c r="OJ159"/>
      <c r="OK159"/>
      <c r="OL159"/>
      <c r="OM159"/>
      <c r="ON159"/>
      <c r="OO159"/>
      <c r="OP159"/>
      <c r="OQ159"/>
      <c r="OR159"/>
      <c r="OS159"/>
      <c r="OT159"/>
      <c r="OU159"/>
      <c r="OV159"/>
      <c r="OW159"/>
      <c r="OX159"/>
      <c r="OY159"/>
      <c r="OZ159"/>
      <c r="PA159"/>
      <c r="PB159"/>
      <c r="PC159"/>
      <c r="PD159"/>
      <c r="PE159"/>
      <c r="PF159"/>
      <c r="PG159"/>
      <c r="PH159"/>
      <c r="PI159"/>
      <c r="PJ159"/>
      <c r="PK159"/>
      <c r="PL159"/>
      <c r="PM159"/>
      <c r="PN159"/>
      <c r="PO159"/>
      <c r="PP159"/>
      <c r="PQ159"/>
      <c r="PR159"/>
      <c r="PS159"/>
      <c r="PT159"/>
      <c r="PU159"/>
      <c r="PV159"/>
      <c r="PW159"/>
      <c r="PX159"/>
      <c r="PY159"/>
      <c r="PZ159"/>
      <c r="QA159"/>
      <c r="QB159"/>
      <c r="QC159"/>
      <c r="QD159"/>
      <c r="QE159"/>
      <c r="QF159"/>
      <c r="QG159"/>
      <c r="QH159"/>
      <c r="QI159"/>
      <c r="QJ159"/>
      <c r="QK159"/>
      <c r="QL159"/>
      <c r="QM159"/>
      <c r="QN159"/>
      <c r="QO159"/>
      <c r="QP159"/>
      <c r="QQ159"/>
      <c r="QR159"/>
      <c r="QS159"/>
      <c r="QT159"/>
      <c r="QU159"/>
      <c r="QV159"/>
      <c r="QW159"/>
      <c r="QX159"/>
      <c r="QY159"/>
      <c r="QZ159"/>
      <c r="RA159"/>
      <c r="RB159"/>
      <c r="RC159"/>
      <c r="RD159"/>
      <c r="RE159"/>
      <c r="RF159"/>
      <c r="RG159"/>
      <c r="RH159"/>
      <c r="RI159"/>
      <c r="RJ159"/>
      <c r="RK159"/>
      <c r="RL159"/>
      <c r="RM159"/>
      <c r="RN159"/>
      <c r="RO159"/>
      <c r="RP159"/>
      <c r="RQ159"/>
      <c r="RR159"/>
      <c r="RS159"/>
    </row>
    <row r="160" spans="3:487" x14ac:dyDescent="0.25">
      <c r="C160" s="2" t="s">
        <v>153</v>
      </c>
      <c r="D160" s="34">
        <v>1</v>
      </c>
      <c r="F160" s="2" t="s">
        <v>162</v>
      </c>
      <c r="G160" s="34">
        <v>1</v>
      </c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  <c r="DU160"/>
      <c r="DV160"/>
      <c r="DW160"/>
      <c r="DX160"/>
      <c r="DY160"/>
      <c r="DZ160"/>
      <c r="EA160"/>
      <c r="EB160"/>
      <c r="EC160"/>
      <c r="ED160"/>
      <c r="EE160"/>
      <c r="EF160"/>
      <c r="EG160"/>
      <c r="EH160"/>
      <c r="EI160"/>
      <c r="EJ160"/>
      <c r="EK160"/>
      <c r="EL160"/>
      <c r="EM160"/>
      <c r="EN160"/>
      <c r="EO160"/>
      <c r="EP160"/>
      <c r="EQ160"/>
      <c r="ER160"/>
      <c r="ES160"/>
      <c r="ET160"/>
      <c r="EU160"/>
      <c r="EV160"/>
      <c r="EW160"/>
      <c r="EX160"/>
      <c r="EY160"/>
      <c r="EZ160"/>
      <c r="FA160"/>
      <c r="FB160"/>
      <c r="FC160"/>
      <c r="FD160"/>
      <c r="FE160"/>
      <c r="FF160"/>
      <c r="FG160"/>
      <c r="FH160"/>
      <c r="FI160"/>
      <c r="FJ160"/>
      <c r="FK160"/>
      <c r="FL160"/>
      <c r="FM160"/>
      <c r="FN160"/>
      <c r="FO160"/>
      <c r="FP160"/>
      <c r="FQ160"/>
      <c r="FR160"/>
      <c r="FS160"/>
      <c r="FT160"/>
      <c r="FU160"/>
      <c r="FV160"/>
      <c r="FW160"/>
      <c r="FX160"/>
      <c r="FY160"/>
      <c r="FZ160"/>
      <c r="GA160"/>
      <c r="GB160"/>
      <c r="GC160"/>
      <c r="GD160"/>
      <c r="GE160"/>
      <c r="GF160"/>
      <c r="GG160"/>
      <c r="GH160"/>
      <c r="GI160"/>
      <c r="GJ160"/>
      <c r="GK160"/>
      <c r="GL160"/>
      <c r="GM160"/>
      <c r="GN160"/>
      <c r="GO160"/>
      <c r="GP160"/>
      <c r="GQ160"/>
      <c r="GR160"/>
      <c r="GS160"/>
      <c r="GT160"/>
      <c r="GU160"/>
      <c r="GV160"/>
      <c r="GW160"/>
      <c r="GX160"/>
      <c r="GY160"/>
      <c r="GZ160"/>
      <c r="HA160"/>
      <c r="HB160"/>
      <c r="HC160"/>
      <c r="HD160"/>
      <c r="HE160"/>
      <c r="HF160"/>
      <c r="HG160"/>
      <c r="HH160"/>
      <c r="HI160"/>
      <c r="HJ160"/>
      <c r="HK160"/>
      <c r="HL160"/>
      <c r="HM160"/>
      <c r="HN160"/>
      <c r="HO160"/>
      <c r="HP160"/>
      <c r="HQ160"/>
      <c r="HR160"/>
      <c r="HS160"/>
      <c r="HT160"/>
      <c r="HU160"/>
      <c r="HV160"/>
      <c r="HW160"/>
      <c r="HX160"/>
      <c r="HY160"/>
      <c r="HZ160"/>
      <c r="IA160"/>
      <c r="IB160"/>
      <c r="IC160"/>
      <c r="ID160"/>
      <c r="IE160"/>
      <c r="IF160"/>
      <c r="IG160"/>
      <c r="IH160"/>
      <c r="II160"/>
      <c r="IJ160"/>
      <c r="IK160"/>
      <c r="IL160"/>
      <c r="IM160"/>
      <c r="IN160"/>
      <c r="IO160"/>
      <c r="IP160"/>
      <c r="IQ160"/>
      <c r="IR160"/>
      <c r="IS160"/>
      <c r="IT160"/>
      <c r="IU160"/>
      <c r="IV160"/>
      <c r="IW160"/>
      <c r="IX160"/>
      <c r="IY160"/>
      <c r="IZ160"/>
      <c r="JA160"/>
      <c r="JB160"/>
      <c r="JC160"/>
      <c r="JD160"/>
      <c r="JE160"/>
      <c r="JF160"/>
      <c r="JG160"/>
      <c r="JH160"/>
      <c r="JI160"/>
      <c r="JJ160"/>
      <c r="JK160"/>
      <c r="JL160"/>
      <c r="JM160"/>
      <c r="JN160"/>
      <c r="JO160"/>
      <c r="JP160"/>
      <c r="JQ160"/>
      <c r="JR160"/>
      <c r="JS160"/>
      <c r="JT160"/>
      <c r="JU160"/>
      <c r="JV160"/>
      <c r="JW160"/>
      <c r="JX160"/>
      <c r="JY160"/>
      <c r="JZ160"/>
      <c r="KA160"/>
      <c r="KB160"/>
      <c r="KC160"/>
      <c r="KD160"/>
      <c r="KE160"/>
      <c r="KF160"/>
      <c r="KG160"/>
      <c r="KH160"/>
      <c r="KI160"/>
      <c r="KJ160"/>
      <c r="KK160"/>
      <c r="KL160"/>
      <c r="KM160"/>
      <c r="KN160"/>
      <c r="KO160"/>
      <c r="KP160"/>
      <c r="KQ160"/>
      <c r="KR160"/>
      <c r="KS160"/>
      <c r="KT160"/>
      <c r="KU160"/>
      <c r="KV160"/>
      <c r="KW160"/>
      <c r="KX160"/>
      <c r="KY160"/>
      <c r="KZ160"/>
      <c r="LA160"/>
      <c r="LB160"/>
      <c r="LC160"/>
      <c r="LD160"/>
      <c r="LE160"/>
      <c r="LF160"/>
      <c r="LG160"/>
      <c r="LH160"/>
      <c r="LI160"/>
      <c r="LJ160"/>
      <c r="LK160"/>
      <c r="LL160"/>
      <c r="LM160"/>
      <c r="LN160"/>
      <c r="LO160"/>
      <c r="LP160"/>
      <c r="LQ160"/>
      <c r="LR160"/>
      <c r="LS160"/>
      <c r="LT160"/>
      <c r="LU160"/>
      <c r="LV160"/>
      <c r="LW160"/>
      <c r="LX160"/>
      <c r="LY160"/>
      <c r="LZ160"/>
      <c r="MA160"/>
      <c r="MB160"/>
      <c r="MC160"/>
      <c r="MD160"/>
      <c r="ME160"/>
      <c r="MF160"/>
      <c r="MG160"/>
      <c r="MH160"/>
      <c r="MI160"/>
      <c r="MJ160"/>
      <c r="MK160"/>
      <c r="ML160"/>
      <c r="MM160"/>
      <c r="MN160"/>
      <c r="MO160"/>
      <c r="MP160"/>
      <c r="MQ160"/>
      <c r="MR160"/>
      <c r="MS160"/>
      <c r="MT160"/>
      <c r="MU160"/>
      <c r="MV160"/>
      <c r="MW160"/>
      <c r="MX160"/>
      <c r="MY160"/>
      <c r="MZ160"/>
      <c r="NA160"/>
      <c r="NB160"/>
      <c r="NC160"/>
      <c r="ND160"/>
      <c r="NE160"/>
      <c r="NF160"/>
      <c r="NG160"/>
      <c r="NH160"/>
      <c r="NI160"/>
      <c r="NJ160"/>
      <c r="NK160"/>
      <c r="NL160"/>
      <c r="NM160"/>
      <c r="NN160"/>
      <c r="NO160"/>
      <c r="NP160"/>
      <c r="NQ160"/>
      <c r="NR160"/>
      <c r="NS160"/>
      <c r="NT160"/>
      <c r="NU160"/>
      <c r="NV160"/>
      <c r="NW160"/>
      <c r="NX160"/>
      <c r="NY160"/>
      <c r="NZ160"/>
      <c r="OA160"/>
      <c r="OB160"/>
      <c r="OC160"/>
      <c r="OD160"/>
      <c r="OE160"/>
      <c r="OF160"/>
      <c r="OG160"/>
      <c r="OH160"/>
      <c r="OI160"/>
      <c r="OJ160"/>
      <c r="OK160"/>
      <c r="OL160"/>
      <c r="OM160"/>
      <c r="ON160"/>
      <c r="OO160"/>
      <c r="OP160"/>
      <c r="OQ160"/>
      <c r="OR160"/>
      <c r="OS160"/>
      <c r="OT160"/>
      <c r="OU160"/>
      <c r="OV160"/>
      <c r="OW160"/>
      <c r="OX160"/>
      <c r="OY160"/>
      <c r="OZ160"/>
      <c r="PA160"/>
      <c r="PB160"/>
      <c r="PC160"/>
      <c r="PD160"/>
      <c r="PE160"/>
      <c r="PF160"/>
      <c r="PG160"/>
      <c r="PH160"/>
      <c r="PI160"/>
      <c r="PJ160"/>
      <c r="PK160"/>
      <c r="PL160"/>
      <c r="PM160"/>
      <c r="PN160"/>
      <c r="PO160"/>
      <c r="PP160"/>
      <c r="PQ160"/>
      <c r="PR160"/>
      <c r="PS160"/>
      <c r="PT160"/>
      <c r="PU160"/>
      <c r="PV160"/>
      <c r="PW160"/>
      <c r="PX160"/>
      <c r="PY160"/>
      <c r="PZ160"/>
      <c r="QA160"/>
      <c r="QB160"/>
      <c r="QC160"/>
      <c r="QD160"/>
      <c r="QE160"/>
      <c r="QF160"/>
      <c r="QG160"/>
      <c r="QH160"/>
      <c r="QI160"/>
      <c r="QJ160"/>
      <c r="QK160"/>
      <c r="QL160"/>
      <c r="QM160"/>
      <c r="QN160"/>
      <c r="QO160"/>
      <c r="QP160"/>
      <c r="QQ160"/>
      <c r="QR160"/>
      <c r="QS160"/>
      <c r="QT160"/>
      <c r="QU160"/>
      <c r="QV160"/>
      <c r="QW160"/>
      <c r="QX160"/>
      <c r="QY160"/>
      <c r="QZ160"/>
      <c r="RA160"/>
      <c r="RB160"/>
      <c r="RC160"/>
      <c r="RD160"/>
      <c r="RE160"/>
      <c r="RF160"/>
      <c r="RG160"/>
      <c r="RH160"/>
      <c r="RI160"/>
      <c r="RJ160"/>
      <c r="RK160"/>
      <c r="RL160"/>
      <c r="RM160"/>
      <c r="RN160"/>
      <c r="RO160"/>
      <c r="RP160"/>
      <c r="RQ160"/>
      <c r="RR160"/>
      <c r="RS160"/>
    </row>
    <row r="161" spans="3:487" x14ac:dyDescent="0.25">
      <c r="C161" s="2" t="s">
        <v>334</v>
      </c>
      <c r="D161" s="34">
        <v>1</v>
      </c>
      <c r="F161" s="2" t="s">
        <v>197</v>
      </c>
      <c r="G161" s="34">
        <v>1</v>
      </c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  <c r="DU161"/>
      <c r="DV161"/>
      <c r="DW161"/>
      <c r="DX161"/>
      <c r="DY161"/>
      <c r="DZ161"/>
      <c r="EA161"/>
      <c r="EB161"/>
      <c r="EC161"/>
      <c r="ED161"/>
      <c r="EE161"/>
      <c r="EF161"/>
      <c r="EG161"/>
      <c r="EH161"/>
      <c r="EI161"/>
      <c r="EJ161"/>
      <c r="EK161"/>
      <c r="EL161"/>
      <c r="EM161"/>
      <c r="EN161"/>
      <c r="EO161"/>
      <c r="EP161"/>
      <c r="EQ161"/>
      <c r="ER161"/>
      <c r="ES161"/>
      <c r="ET161"/>
      <c r="EU161"/>
      <c r="EV161"/>
      <c r="EW161"/>
      <c r="EX161"/>
      <c r="EY161"/>
      <c r="EZ161"/>
      <c r="FA161"/>
      <c r="FB161"/>
      <c r="FC161"/>
      <c r="FD161"/>
      <c r="FE161"/>
      <c r="FF161"/>
      <c r="FG161"/>
      <c r="FH161"/>
      <c r="FI161"/>
      <c r="FJ161"/>
      <c r="FK161"/>
      <c r="FL161"/>
      <c r="FM161"/>
      <c r="FN161"/>
      <c r="FO161"/>
      <c r="FP161"/>
      <c r="FQ161"/>
      <c r="FR161"/>
      <c r="FS161"/>
      <c r="FT161"/>
      <c r="FU161"/>
      <c r="FV161"/>
      <c r="FW161"/>
      <c r="FX161"/>
      <c r="FY161"/>
      <c r="FZ161"/>
      <c r="GA161"/>
      <c r="GB161"/>
      <c r="GC161"/>
      <c r="GD161"/>
      <c r="GE161"/>
      <c r="GF161"/>
      <c r="GG161"/>
      <c r="GH161"/>
      <c r="GI161"/>
      <c r="GJ161"/>
      <c r="GK161"/>
      <c r="GL161"/>
      <c r="GM161"/>
      <c r="GN161"/>
      <c r="GO161"/>
      <c r="GP161"/>
      <c r="GQ161"/>
      <c r="GR161"/>
      <c r="GS161"/>
      <c r="GT161"/>
      <c r="GU161"/>
      <c r="GV161"/>
      <c r="GW161"/>
      <c r="GX161"/>
      <c r="GY161"/>
      <c r="GZ161"/>
      <c r="HA161"/>
      <c r="HB161"/>
      <c r="HC161"/>
      <c r="HD161"/>
      <c r="HE161"/>
      <c r="HF161"/>
      <c r="HG161"/>
      <c r="HH161"/>
      <c r="HI161"/>
      <c r="HJ161"/>
      <c r="HK161"/>
      <c r="HL161"/>
      <c r="HM161"/>
      <c r="HN161"/>
      <c r="HO161"/>
      <c r="HP161"/>
      <c r="HQ161"/>
      <c r="HR161"/>
      <c r="HS161"/>
      <c r="HT161"/>
      <c r="HU161"/>
      <c r="HV161"/>
      <c r="HW161"/>
      <c r="HX161"/>
      <c r="HY161"/>
      <c r="HZ161"/>
      <c r="IA161"/>
      <c r="IB161"/>
      <c r="IC161"/>
      <c r="ID161"/>
      <c r="IE161"/>
      <c r="IF161"/>
      <c r="IG161"/>
      <c r="IH161"/>
      <c r="II161"/>
      <c r="IJ161"/>
      <c r="IK161"/>
      <c r="IL161"/>
      <c r="IM161"/>
      <c r="IN161"/>
      <c r="IO161"/>
      <c r="IP161"/>
      <c r="IQ161"/>
      <c r="IR161"/>
      <c r="IS161"/>
      <c r="IT161"/>
      <c r="IU161"/>
      <c r="IV161"/>
      <c r="IW161"/>
      <c r="IX161"/>
      <c r="IY161"/>
      <c r="IZ161"/>
      <c r="JA161"/>
      <c r="JB161"/>
      <c r="JC161"/>
      <c r="JD161"/>
      <c r="JE161"/>
      <c r="JF161"/>
      <c r="JG161"/>
      <c r="JH161"/>
      <c r="JI161"/>
      <c r="JJ161"/>
      <c r="JK161"/>
      <c r="JL161"/>
      <c r="JM161"/>
      <c r="JN161"/>
      <c r="JO161"/>
      <c r="JP161"/>
      <c r="JQ161"/>
      <c r="JR161"/>
      <c r="JS161"/>
      <c r="JT161"/>
      <c r="JU161"/>
      <c r="JV161"/>
      <c r="JW161"/>
      <c r="JX161"/>
      <c r="JY161"/>
      <c r="JZ161"/>
      <c r="KA161"/>
      <c r="KB161"/>
      <c r="KC161"/>
      <c r="KD161"/>
      <c r="KE161"/>
      <c r="KF161"/>
      <c r="KG161"/>
      <c r="KH161"/>
      <c r="KI161"/>
      <c r="KJ161"/>
      <c r="KK161"/>
      <c r="KL161"/>
      <c r="KM161"/>
      <c r="KN161"/>
      <c r="KO161"/>
      <c r="KP161"/>
      <c r="KQ161"/>
      <c r="KR161"/>
      <c r="KS161"/>
      <c r="KT161"/>
      <c r="KU161"/>
      <c r="KV161"/>
      <c r="KW161"/>
      <c r="KX161"/>
      <c r="KY161"/>
      <c r="KZ161"/>
      <c r="LA161"/>
      <c r="LB161"/>
      <c r="LC161"/>
      <c r="LD161"/>
      <c r="LE161"/>
      <c r="LF161"/>
      <c r="LG161"/>
      <c r="LH161"/>
      <c r="LI161"/>
      <c r="LJ161"/>
      <c r="LK161"/>
      <c r="LL161"/>
      <c r="LM161"/>
      <c r="LN161"/>
      <c r="LO161"/>
      <c r="LP161"/>
      <c r="LQ161"/>
      <c r="LR161"/>
      <c r="LS161"/>
      <c r="LT161"/>
      <c r="LU161"/>
      <c r="LV161"/>
      <c r="LW161"/>
      <c r="LX161"/>
      <c r="LY161"/>
      <c r="LZ161"/>
      <c r="MA161"/>
      <c r="MB161"/>
      <c r="MC161"/>
      <c r="MD161"/>
      <c r="ME161"/>
      <c r="MF161"/>
      <c r="MG161"/>
      <c r="MH161"/>
      <c r="MI161"/>
      <c r="MJ161"/>
      <c r="MK161"/>
      <c r="ML161"/>
      <c r="MM161"/>
      <c r="MN161"/>
      <c r="MO161"/>
      <c r="MP161"/>
      <c r="MQ161"/>
      <c r="MR161"/>
      <c r="MS161"/>
      <c r="MT161"/>
      <c r="MU161"/>
      <c r="MV161"/>
      <c r="MW161"/>
      <c r="MX161"/>
      <c r="MY161"/>
      <c r="MZ161"/>
      <c r="NA161"/>
      <c r="NB161"/>
      <c r="NC161"/>
      <c r="ND161"/>
      <c r="NE161"/>
      <c r="NF161"/>
      <c r="NG161"/>
      <c r="NH161"/>
      <c r="NI161"/>
      <c r="NJ161"/>
      <c r="NK161"/>
      <c r="NL161"/>
      <c r="NM161"/>
      <c r="NN161"/>
      <c r="NO161"/>
      <c r="NP161"/>
      <c r="NQ161"/>
      <c r="NR161"/>
      <c r="NS161"/>
      <c r="NT161"/>
      <c r="NU161"/>
      <c r="NV161"/>
      <c r="NW161"/>
      <c r="NX161"/>
      <c r="NY161"/>
      <c r="NZ161"/>
      <c r="OA161"/>
      <c r="OB161"/>
      <c r="OC161"/>
      <c r="OD161"/>
      <c r="OE161"/>
      <c r="OF161"/>
      <c r="OG161"/>
      <c r="OH161"/>
      <c r="OI161"/>
      <c r="OJ161"/>
      <c r="OK161"/>
      <c r="OL161"/>
      <c r="OM161"/>
      <c r="ON161"/>
      <c r="OO161"/>
      <c r="OP161"/>
      <c r="OQ161"/>
      <c r="OR161"/>
      <c r="OS161"/>
      <c r="OT161"/>
      <c r="OU161"/>
      <c r="OV161"/>
      <c r="OW161"/>
      <c r="OX161"/>
      <c r="OY161"/>
      <c r="OZ161"/>
      <c r="PA161"/>
      <c r="PB161"/>
      <c r="PC161"/>
      <c r="PD161"/>
      <c r="PE161"/>
      <c r="PF161"/>
      <c r="PG161"/>
      <c r="PH161"/>
      <c r="PI161"/>
      <c r="PJ161"/>
      <c r="PK161"/>
      <c r="PL161"/>
      <c r="PM161"/>
      <c r="PN161"/>
      <c r="PO161"/>
      <c r="PP161"/>
      <c r="PQ161"/>
      <c r="PR161"/>
      <c r="PS161"/>
      <c r="PT161"/>
      <c r="PU161"/>
      <c r="PV161"/>
      <c r="PW161"/>
      <c r="PX161"/>
      <c r="PY161"/>
      <c r="PZ161"/>
      <c r="QA161"/>
      <c r="QB161"/>
      <c r="QC161"/>
      <c r="QD161"/>
      <c r="QE161"/>
      <c r="QF161"/>
      <c r="QG161"/>
      <c r="QH161"/>
      <c r="QI161"/>
      <c r="QJ161"/>
      <c r="QK161"/>
      <c r="QL161"/>
      <c r="QM161"/>
      <c r="QN161"/>
      <c r="QO161"/>
      <c r="QP161"/>
      <c r="QQ161"/>
      <c r="QR161"/>
      <c r="QS161"/>
      <c r="QT161"/>
      <c r="QU161"/>
      <c r="QV161"/>
      <c r="QW161"/>
      <c r="QX161"/>
      <c r="QY161"/>
      <c r="QZ161"/>
      <c r="RA161"/>
      <c r="RB161"/>
      <c r="RC161"/>
      <c r="RD161"/>
      <c r="RE161"/>
      <c r="RF161"/>
      <c r="RG161"/>
      <c r="RH161"/>
      <c r="RI161"/>
      <c r="RJ161"/>
      <c r="RK161"/>
      <c r="RL161"/>
      <c r="RM161"/>
      <c r="RN161"/>
      <c r="RO161"/>
      <c r="RP161"/>
      <c r="RQ161"/>
      <c r="RR161"/>
      <c r="RS161"/>
    </row>
    <row r="162" spans="3:487" x14ac:dyDescent="0.25">
      <c r="C162" s="2" t="s">
        <v>331</v>
      </c>
      <c r="D162" s="34">
        <v>1</v>
      </c>
      <c r="F162" s="2" t="s">
        <v>211</v>
      </c>
      <c r="G162" s="34">
        <v>1</v>
      </c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  <c r="DU162"/>
      <c r="DV162"/>
      <c r="DW162"/>
      <c r="DX162"/>
      <c r="DY162"/>
      <c r="DZ162"/>
      <c r="EA162"/>
      <c r="EB162"/>
      <c r="EC162"/>
      <c r="ED162"/>
      <c r="EE162"/>
      <c r="EF162"/>
      <c r="EG162"/>
      <c r="EH162"/>
      <c r="EI162"/>
      <c r="EJ162"/>
      <c r="EK162"/>
      <c r="EL162"/>
      <c r="EM162"/>
      <c r="EN162"/>
      <c r="EO162"/>
      <c r="EP162"/>
      <c r="EQ162"/>
      <c r="ER162"/>
      <c r="ES162"/>
      <c r="ET162"/>
      <c r="EU162"/>
      <c r="EV162"/>
      <c r="EW162"/>
      <c r="EX162"/>
      <c r="EY162"/>
      <c r="EZ162"/>
      <c r="FA162"/>
      <c r="FB162"/>
      <c r="FC162"/>
      <c r="FD162"/>
      <c r="FE162"/>
      <c r="FF162"/>
      <c r="FG162"/>
      <c r="FH162"/>
      <c r="FI162"/>
      <c r="FJ162"/>
      <c r="FK162"/>
      <c r="FL162"/>
      <c r="FM162"/>
      <c r="FN162"/>
      <c r="FO162"/>
      <c r="FP162"/>
      <c r="FQ162"/>
      <c r="FR162"/>
      <c r="FS162"/>
      <c r="FT162"/>
      <c r="FU162"/>
      <c r="FV162"/>
      <c r="FW162"/>
      <c r="FX162"/>
      <c r="FY162"/>
      <c r="FZ162"/>
      <c r="GA162"/>
      <c r="GB162"/>
      <c r="GC162"/>
      <c r="GD162"/>
      <c r="GE162"/>
      <c r="GF162"/>
      <c r="GG162"/>
      <c r="GH162"/>
      <c r="GI162"/>
      <c r="GJ162"/>
      <c r="GK162"/>
      <c r="GL162"/>
      <c r="GM162"/>
      <c r="GN162"/>
      <c r="GO162"/>
      <c r="GP162"/>
      <c r="GQ162"/>
      <c r="GR162"/>
      <c r="GS162"/>
      <c r="GT162"/>
      <c r="GU162"/>
      <c r="GV162"/>
      <c r="GW162"/>
      <c r="GX162"/>
      <c r="GY162"/>
      <c r="GZ162"/>
      <c r="HA162"/>
      <c r="HB162"/>
      <c r="HC162"/>
      <c r="HD162"/>
      <c r="HE162"/>
      <c r="HF162"/>
      <c r="HG162"/>
      <c r="HH162"/>
      <c r="HI162"/>
      <c r="HJ162"/>
      <c r="HK162"/>
      <c r="HL162"/>
      <c r="HM162"/>
      <c r="HN162"/>
      <c r="HO162"/>
      <c r="HP162"/>
      <c r="HQ162"/>
      <c r="HR162"/>
      <c r="HS162"/>
      <c r="HT162"/>
      <c r="HU162"/>
      <c r="HV162"/>
      <c r="HW162"/>
      <c r="HX162"/>
      <c r="HY162"/>
      <c r="HZ162"/>
      <c r="IA162"/>
      <c r="IB162"/>
      <c r="IC162"/>
      <c r="ID162"/>
      <c r="IE162"/>
      <c r="IF162"/>
      <c r="IG162"/>
      <c r="IH162"/>
      <c r="II162"/>
      <c r="IJ162"/>
      <c r="IK162"/>
      <c r="IL162"/>
      <c r="IM162"/>
      <c r="IN162"/>
      <c r="IO162"/>
      <c r="IP162"/>
      <c r="IQ162"/>
      <c r="IR162"/>
      <c r="IS162"/>
      <c r="IT162"/>
      <c r="IU162"/>
      <c r="IV162"/>
      <c r="IW162"/>
      <c r="IX162"/>
      <c r="IY162"/>
      <c r="IZ162"/>
      <c r="JA162"/>
      <c r="JB162"/>
      <c r="JC162"/>
      <c r="JD162"/>
      <c r="JE162"/>
      <c r="JF162"/>
      <c r="JG162"/>
      <c r="JH162"/>
      <c r="JI162"/>
      <c r="JJ162"/>
      <c r="JK162"/>
      <c r="JL162"/>
      <c r="JM162"/>
      <c r="JN162"/>
      <c r="JO162"/>
      <c r="JP162"/>
      <c r="JQ162"/>
      <c r="JR162"/>
      <c r="JS162"/>
      <c r="JT162"/>
      <c r="JU162"/>
      <c r="JV162"/>
      <c r="JW162"/>
      <c r="JX162"/>
      <c r="JY162"/>
      <c r="JZ162"/>
      <c r="KA162"/>
      <c r="KB162"/>
      <c r="KC162"/>
      <c r="KD162"/>
      <c r="KE162"/>
      <c r="KF162"/>
      <c r="KG162"/>
      <c r="KH162"/>
      <c r="KI162"/>
      <c r="KJ162"/>
      <c r="KK162"/>
      <c r="KL162"/>
      <c r="KM162"/>
      <c r="KN162"/>
      <c r="KO162"/>
      <c r="KP162"/>
      <c r="KQ162"/>
      <c r="KR162"/>
      <c r="KS162"/>
      <c r="KT162"/>
      <c r="KU162"/>
      <c r="KV162"/>
      <c r="KW162"/>
      <c r="KX162"/>
      <c r="KY162"/>
      <c r="KZ162"/>
      <c r="LA162"/>
      <c r="LB162"/>
      <c r="LC162"/>
      <c r="LD162"/>
      <c r="LE162"/>
      <c r="LF162"/>
      <c r="LG162"/>
      <c r="LH162"/>
      <c r="LI162"/>
      <c r="LJ162"/>
      <c r="LK162"/>
      <c r="LL162"/>
      <c r="LM162"/>
      <c r="LN162"/>
      <c r="LO162"/>
      <c r="LP162"/>
      <c r="LQ162"/>
      <c r="LR162"/>
      <c r="LS162"/>
      <c r="LT162"/>
      <c r="LU162"/>
      <c r="LV162"/>
      <c r="LW162"/>
      <c r="LX162"/>
      <c r="LY162"/>
      <c r="LZ162"/>
      <c r="MA162"/>
      <c r="MB162"/>
      <c r="MC162"/>
      <c r="MD162"/>
      <c r="ME162"/>
      <c r="MF162"/>
      <c r="MG162"/>
      <c r="MH162"/>
      <c r="MI162"/>
      <c r="MJ162"/>
      <c r="MK162"/>
      <c r="ML162"/>
      <c r="MM162"/>
      <c r="MN162"/>
      <c r="MO162"/>
      <c r="MP162"/>
      <c r="MQ162"/>
      <c r="MR162"/>
      <c r="MS162"/>
      <c r="MT162"/>
      <c r="MU162"/>
      <c r="MV162"/>
      <c r="MW162"/>
      <c r="MX162"/>
      <c r="MY162"/>
      <c r="MZ162"/>
      <c r="NA162"/>
      <c r="NB162"/>
      <c r="NC162"/>
      <c r="ND162"/>
      <c r="NE162"/>
      <c r="NF162"/>
      <c r="NG162"/>
      <c r="NH162"/>
      <c r="NI162"/>
      <c r="NJ162"/>
      <c r="NK162"/>
      <c r="NL162"/>
      <c r="NM162"/>
      <c r="NN162"/>
      <c r="NO162"/>
      <c r="NP162"/>
      <c r="NQ162"/>
      <c r="NR162"/>
      <c r="NS162"/>
      <c r="NT162"/>
      <c r="NU162"/>
      <c r="NV162"/>
      <c r="NW162"/>
      <c r="NX162"/>
      <c r="NY162"/>
      <c r="NZ162"/>
      <c r="OA162"/>
      <c r="OB162"/>
      <c r="OC162"/>
      <c r="OD162"/>
      <c r="OE162"/>
      <c r="OF162"/>
      <c r="OG162"/>
      <c r="OH162"/>
      <c r="OI162"/>
      <c r="OJ162"/>
      <c r="OK162"/>
      <c r="OL162"/>
      <c r="OM162"/>
      <c r="ON162"/>
      <c r="OO162"/>
      <c r="OP162"/>
      <c r="OQ162"/>
      <c r="OR162"/>
      <c r="OS162"/>
      <c r="OT162"/>
      <c r="OU162"/>
      <c r="OV162"/>
      <c r="OW162"/>
      <c r="OX162"/>
      <c r="OY162"/>
      <c r="OZ162"/>
      <c r="PA162"/>
      <c r="PB162"/>
      <c r="PC162"/>
      <c r="PD162"/>
      <c r="PE162"/>
      <c r="PF162"/>
      <c r="PG162"/>
      <c r="PH162"/>
      <c r="PI162"/>
      <c r="PJ162"/>
      <c r="PK162"/>
      <c r="PL162"/>
      <c r="PM162"/>
      <c r="PN162"/>
      <c r="PO162"/>
      <c r="PP162"/>
      <c r="PQ162"/>
      <c r="PR162"/>
      <c r="PS162"/>
      <c r="PT162"/>
      <c r="PU162"/>
      <c r="PV162"/>
      <c r="PW162"/>
      <c r="PX162"/>
      <c r="PY162"/>
      <c r="PZ162"/>
      <c r="QA162"/>
      <c r="QB162"/>
      <c r="QC162"/>
      <c r="QD162"/>
      <c r="QE162"/>
      <c r="QF162"/>
      <c r="QG162"/>
      <c r="QH162"/>
      <c r="QI162"/>
      <c r="QJ162"/>
      <c r="QK162"/>
      <c r="QL162"/>
      <c r="QM162"/>
      <c r="QN162"/>
      <c r="QO162"/>
      <c r="QP162"/>
      <c r="QQ162"/>
      <c r="QR162"/>
      <c r="QS162"/>
      <c r="QT162"/>
      <c r="QU162"/>
      <c r="QV162"/>
      <c r="QW162"/>
      <c r="QX162"/>
      <c r="QY162"/>
      <c r="QZ162"/>
      <c r="RA162"/>
      <c r="RB162"/>
      <c r="RC162"/>
      <c r="RD162"/>
      <c r="RE162"/>
      <c r="RF162"/>
      <c r="RG162"/>
      <c r="RH162"/>
      <c r="RI162"/>
      <c r="RJ162"/>
      <c r="RK162"/>
      <c r="RL162"/>
      <c r="RM162"/>
      <c r="RN162"/>
      <c r="RO162"/>
      <c r="RP162"/>
      <c r="RQ162"/>
      <c r="RR162"/>
      <c r="RS162"/>
    </row>
    <row r="163" spans="3:487" x14ac:dyDescent="0.25">
      <c r="C163" s="2" t="s">
        <v>333</v>
      </c>
      <c r="D163" s="34">
        <v>1</v>
      </c>
      <c r="F163" s="2" t="s">
        <v>201</v>
      </c>
      <c r="G163" s="34">
        <v>1</v>
      </c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  <c r="DU163"/>
      <c r="DV163"/>
      <c r="DW163"/>
      <c r="DX163"/>
      <c r="DY163"/>
      <c r="DZ163"/>
      <c r="EA163"/>
      <c r="EB163"/>
      <c r="EC163"/>
      <c r="ED163"/>
      <c r="EE163"/>
      <c r="EF163"/>
      <c r="EG163"/>
      <c r="EH163"/>
      <c r="EI163"/>
      <c r="EJ163"/>
      <c r="EK163"/>
      <c r="EL163"/>
      <c r="EM163"/>
      <c r="EN163"/>
      <c r="EO163"/>
      <c r="EP163"/>
      <c r="EQ163"/>
      <c r="ER163"/>
      <c r="ES163"/>
      <c r="ET163"/>
      <c r="EU163"/>
      <c r="EV163"/>
      <c r="EW163"/>
      <c r="EX163"/>
      <c r="EY163"/>
      <c r="EZ163"/>
      <c r="FA163"/>
      <c r="FB163"/>
      <c r="FC163"/>
      <c r="FD163"/>
      <c r="FE163"/>
      <c r="FF163"/>
      <c r="FG163"/>
      <c r="FH163"/>
      <c r="FI163"/>
      <c r="FJ163"/>
      <c r="FK163"/>
      <c r="FL163"/>
      <c r="FM163"/>
      <c r="FN163"/>
      <c r="FO163"/>
      <c r="FP163"/>
      <c r="FQ163"/>
      <c r="FR163"/>
      <c r="FS163"/>
      <c r="FT163"/>
      <c r="FU163"/>
      <c r="FV163"/>
      <c r="FW163"/>
      <c r="FX163"/>
      <c r="FY163"/>
      <c r="FZ163"/>
      <c r="GA163"/>
      <c r="GB163"/>
      <c r="GC163"/>
      <c r="GD163"/>
      <c r="GE163"/>
      <c r="GF163"/>
      <c r="GG163"/>
      <c r="GH163"/>
      <c r="GI163"/>
      <c r="GJ163"/>
      <c r="GK163"/>
      <c r="GL163"/>
      <c r="GM163"/>
      <c r="GN163"/>
      <c r="GO163"/>
      <c r="GP163"/>
      <c r="GQ163"/>
      <c r="GR163"/>
      <c r="GS163"/>
      <c r="GT163"/>
      <c r="GU163"/>
      <c r="GV163"/>
      <c r="GW163"/>
      <c r="GX163"/>
      <c r="GY163"/>
      <c r="GZ163"/>
      <c r="HA163"/>
      <c r="HB163"/>
      <c r="HC163"/>
      <c r="HD163"/>
      <c r="HE163"/>
      <c r="HF163"/>
      <c r="HG163"/>
      <c r="HH163"/>
      <c r="HI163"/>
      <c r="HJ163"/>
      <c r="HK163"/>
      <c r="HL163"/>
      <c r="HM163"/>
      <c r="HN163"/>
      <c r="HO163"/>
      <c r="HP163"/>
      <c r="HQ163"/>
      <c r="HR163"/>
      <c r="HS163"/>
      <c r="HT163"/>
      <c r="HU163"/>
      <c r="HV163"/>
      <c r="HW163"/>
      <c r="HX163"/>
      <c r="HY163"/>
      <c r="HZ163"/>
      <c r="IA163"/>
      <c r="IB163"/>
      <c r="IC163"/>
      <c r="ID163"/>
      <c r="IE163"/>
      <c r="IF163"/>
      <c r="IG163"/>
      <c r="IH163"/>
      <c r="II163"/>
      <c r="IJ163"/>
      <c r="IK163"/>
      <c r="IL163"/>
      <c r="IM163"/>
      <c r="IN163"/>
      <c r="IO163"/>
      <c r="IP163"/>
      <c r="IQ163"/>
      <c r="IR163"/>
      <c r="IS163"/>
      <c r="IT163"/>
      <c r="IU163"/>
      <c r="IV163"/>
      <c r="IW163"/>
      <c r="IX163"/>
      <c r="IY163"/>
      <c r="IZ163"/>
      <c r="JA163"/>
      <c r="JB163"/>
      <c r="JC163"/>
      <c r="JD163"/>
      <c r="JE163"/>
      <c r="JF163"/>
      <c r="JG163"/>
      <c r="JH163"/>
      <c r="JI163"/>
      <c r="JJ163"/>
      <c r="JK163"/>
      <c r="JL163"/>
      <c r="JM163"/>
      <c r="JN163"/>
      <c r="JO163"/>
      <c r="JP163"/>
      <c r="JQ163"/>
      <c r="JR163"/>
      <c r="JS163"/>
      <c r="JT163"/>
      <c r="JU163"/>
      <c r="JV163"/>
      <c r="JW163"/>
      <c r="JX163"/>
      <c r="JY163"/>
      <c r="JZ163"/>
      <c r="KA163"/>
      <c r="KB163"/>
      <c r="KC163"/>
      <c r="KD163"/>
      <c r="KE163"/>
      <c r="KF163"/>
      <c r="KG163"/>
      <c r="KH163"/>
      <c r="KI163"/>
      <c r="KJ163"/>
      <c r="KK163"/>
      <c r="KL163"/>
      <c r="KM163"/>
      <c r="KN163"/>
      <c r="KO163"/>
      <c r="KP163"/>
      <c r="KQ163"/>
      <c r="KR163"/>
      <c r="KS163"/>
      <c r="KT163"/>
      <c r="KU163"/>
      <c r="KV163"/>
      <c r="KW163"/>
      <c r="KX163"/>
      <c r="KY163"/>
      <c r="KZ163"/>
      <c r="LA163"/>
      <c r="LB163"/>
      <c r="LC163"/>
      <c r="LD163"/>
      <c r="LE163"/>
      <c r="LF163"/>
      <c r="LG163"/>
      <c r="LH163"/>
      <c r="LI163"/>
      <c r="LJ163"/>
      <c r="LK163"/>
      <c r="LL163"/>
      <c r="LM163"/>
      <c r="LN163"/>
      <c r="LO163"/>
      <c r="LP163"/>
      <c r="LQ163"/>
      <c r="LR163"/>
      <c r="LS163"/>
      <c r="LT163"/>
      <c r="LU163"/>
      <c r="LV163"/>
      <c r="LW163"/>
      <c r="LX163"/>
      <c r="LY163"/>
      <c r="LZ163"/>
      <c r="MA163"/>
      <c r="MB163"/>
      <c r="MC163"/>
      <c r="MD163"/>
      <c r="ME163"/>
      <c r="MF163"/>
      <c r="MG163"/>
      <c r="MH163"/>
      <c r="MI163"/>
      <c r="MJ163"/>
      <c r="MK163"/>
      <c r="ML163"/>
      <c r="MM163"/>
      <c r="MN163"/>
      <c r="MO163"/>
      <c r="MP163"/>
      <c r="MQ163"/>
      <c r="MR163"/>
      <c r="MS163"/>
      <c r="MT163"/>
      <c r="MU163"/>
      <c r="MV163"/>
      <c r="MW163"/>
      <c r="MX163"/>
      <c r="MY163"/>
      <c r="MZ163"/>
      <c r="NA163"/>
      <c r="NB163"/>
      <c r="NC163"/>
      <c r="ND163"/>
      <c r="NE163"/>
      <c r="NF163"/>
      <c r="NG163"/>
      <c r="NH163"/>
      <c r="NI163"/>
      <c r="NJ163"/>
      <c r="NK163"/>
      <c r="NL163"/>
      <c r="NM163"/>
      <c r="NN163"/>
      <c r="NO163"/>
      <c r="NP163"/>
      <c r="NQ163"/>
      <c r="NR163"/>
      <c r="NS163"/>
      <c r="NT163"/>
      <c r="NU163"/>
      <c r="NV163"/>
      <c r="NW163"/>
      <c r="NX163"/>
      <c r="NY163"/>
      <c r="NZ163"/>
      <c r="OA163"/>
      <c r="OB163"/>
      <c r="OC163"/>
      <c r="OD163"/>
      <c r="OE163"/>
      <c r="OF163"/>
      <c r="OG163"/>
      <c r="OH163"/>
      <c r="OI163"/>
      <c r="OJ163"/>
      <c r="OK163"/>
      <c r="OL163"/>
      <c r="OM163"/>
      <c r="ON163"/>
      <c r="OO163"/>
      <c r="OP163"/>
      <c r="OQ163"/>
      <c r="OR163"/>
      <c r="OS163"/>
      <c r="OT163"/>
      <c r="OU163"/>
      <c r="OV163"/>
      <c r="OW163"/>
      <c r="OX163"/>
      <c r="OY163"/>
      <c r="OZ163"/>
      <c r="PA163"/>
      <c r="PB163"/>
      <c r="PC163"/>
      <c r="PD163"/>
      <c r="PE163"/>
      <c r="PF163"/>
      <c r="PG163"/>
      <c r="PH163"/>
      <c r="PI163"/>
      <c r="PJ163"/>
      <c r="PK163"/>
      <c r="PL163"/>
      <c r="PM163"/>
      <c r="PN163"/>
      <c r="PO163"/>
      <c r="PP163"/>
      <c r="PQ163"/>
      <c r="PR163"/>
      <c r="PS163"/>
      <c r="PT163"/>
      <c r="PU163"/>
      <c r="PV163"/>
      <c r="PW163"/>
      <c r="PX163"/>
      <c r="PY163"/>
      <c r="PZ163"/>
      <c r="QA163"/>
      <c r="QB163"/>
      <c r="QC163"/>
      <c r="QD163"/>
      <c r="QE163"/>
      <c r="QF163"/>
      <c r="QG163"/>
      <c r="QH163"/>
      <c r="QI163"/>
      <c r="QJ163"/>
      <c r="QK163"/>
      <c r="QL163"/>
      <c r="QM163"/>
      <c r="QN163"/>
      <c r="QO163"/>
      <c r="QP163"/>
      <c r="QQ163"/>
      <c r="QR163"/>
      <c r="QS163"/>
      <c r="QT163"/>
      <c r="QU163"/>
      <c r="QV163"/>
      <c r="QW163"/>
      <c r="QX163"/>
      <c r="QY163"/>
      <c r="QZ163"/>
      <c r="RA163"/>
      <c r="RB163"/>
      <c r="RC163"/>
      <c r="RD163"/>
      <c r="RE163"/>
      <c r="RF163"/>
      <c r="RG163"/>
      <c r="RH163"/>
      <c r="RI163"/>
      <c r="RJ163"/>
      <c r="RK163"/>
      <c r="RL163"/>
      <c r="RM163"/>
      <c r="RN163"/>
      <c r="RO163"/>
      <c r="RP163"/>
      <c r="RQ163"/>
      <c r="RR163"/>
      <c r="RS163"/>
    </row>
    <row r="164" spans="3:487" x14ac:dyDescent="0.25">
      <c r="C164" s="2" t="s">
        <v>271</v>
      </c>
      <c r="D164" s="34">
        <v>1</v>
      </c>
      <c r="F164" s="2" t="s">
        <v>193</v>
      </c>
      <c r="G164" s="34">
        <v>1</v>
      </c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  <c r="CN164"/>
      <c r="CO164"/>
      <c r="CP164"/>
      <c r="CQ164"/>
      <c r="CR164"/>
      <c r="CS164"/>
      <c r="CT164"/>
      <c r="CU164"/>
      <c r="CV164"/>
      <c r="CW164"/>
      <c r="CX164"/>
      <c r="CY164"/>
      <c r="CZ164"/>
      <c r="DA164"/>
      <c r="DB164"/>
      <c r="DC164"/>
      <c r="DD164"/>
      <c r="DE164"/>
      <c r="DF164"/>
      <c r="DG164"/>
      <c r="DH164"/>
      <c r="DI164"/>
      <c r="DJ164"/>
      <c r="DK164"/>
      <c r="DL164"/>
      <c r="DM164"/>
      <c r="DN164"/>
      <c r="DO164"/>
      <c r="DP164"/>
      <c r="DQ164"/>
      <c r="DR164"/>
      <c r="DS164"/>
      <c r="DT164"/>
      <c r="DU164"/>
      <c r="DV164"/>
      <c r="DW164"/>
      <c r="DX164"/>
      <c r="DY164"/>
      <c r="DZ164"/>
      <c r="EA164"/>
      <c r="EB164"/>
      <c r="EC164"/>
      <c r="ED164"/>
      <c r="EE164"/>
      <c r="EF164"/>
      <c r="EG164"/>
      <c r="EH164"/>
      <c r="EI164"/>
      <c r="EJ164"/>
      <c r="EK164"/>
      <c r="EL164"/>
      <c r="EM164"/>
      <c r="EN164"/>
      <c r="EO164"/>
      <c r="EP164"/>
      <c r="EQ164"/>
      <c r="ER164"/>
      <c r="ES164"/>
      <c r="ET164"/>
      <c r="EU164"/>
      <c r="EV164"/>
      <c r="EW164"/>
      <c r="EX164"/>
      <c r="EY164"/>
      <c r="EZ164"/>
      <c r="FA164"/>
      <c r="FB164"/>
      <c r="FC164"/>
      <c r="FD164"/>
      <c r="FE164"/>
      <c r="FF164"/>
      <c r="FG164"/>
      <c r="FH164"/>
      <c r="FI164"/>
      <c r="FJ164"/>
      <c r="FK164"/>
      <c r="FL164"/>
      <c r="FM164"/>
      <c r="FN164"/>
      <c r="FO164"/>
      <c r="FP164"/>
      <c r="FQ164"/>
      <c r="FR164"/>
      <c r="FS164"/>
      <c r="FT164"/>
      <c r="FU164"/>
      <c r="FV164"/>
      <c r="FW164"/>
      <c r="FX164"/>
      <c r="FY164"/>
      <c r="FZ164"/>
      <c r="GA164"/>
      <c r="GB164"/>
      <c r="GC164"/>
      <c r="GD164"/>
      <c r="GE164"/>
      <c r="GF164"/>
      <c r="GG164"/>
      <c r="GH164"/>
      <c r="GI164"/>
      <c r="GJ164"/>
      <c r="GK164"/>
      <c r="GL164"/>
      <c r="GM164"/>
      <c r="GN164"/>
      <c r="GO164"/>
      <c r="GP164"/>
      <c r="GQ164"/>
      <c r="GR164"/>
      <c r="GS164"/>
      <c r="GT164"/>
      <c r="GU164"/>
      <c r="GV164"/>
      <c r="GW164"/>
      <c r="GX164"/>
      <c r="GY164"/>
      <c r="GZ164"/>
      <c r="HA164"/>
      <c r="HB164"/>
      <c r="HC164"/>
      <c r="HD164"/>
      <c r="HE164"/>
      <c r="HF164"/>
      <c r="HG164"/>
      <c r="HH164"/>
      <c r="HI164"/>
      <c r="HJ164"/>
      <c r="HK164"/>
      <c r="HL164"/>
      <c r="HM164"/>
      <c r="HN164"/>
      <c r="HO164"/>
      <c r="HP164"/>
      <c r="HQ164"/>
      <c r="HR164"/>
      <c r="HS164"/>
      <c r="HT164"/>
      <c r="HU164"/>
      <c r="HV164"/>
      <c r="HW164"/>
      <c r="HX164"/>
      <c r="HY164"/>
      <c r="HZ164"/>
      <c r="IA164"/>
      <c r="IB164"/>
      <c r="IC164"/>
      <c r="ID164"/>
      <c r="IE164"/>
      <c r="IF164"/>
      <c r="IG164"/>
      <c r="IH164"/>
      <c r="II164"/>
      <c r="IJ164"/>
      <c r="IK164"/>
      <c r="IL164"/>
      <c r="IM164"/>
      <c r="IN164"/>
      <c r="IO164"/>
      <c r="IP164"/>
      <c r="IQ164"/>
      <c r="IR164"/>
      <c r="IS164"/>
      <c r="IT164"/>
      <c r="IU164"/>
      <c r="IV164"/>
      <c r="IW164"/>
      <c r="IX164"/>
      <c r="IY164"/>
      <c r="IZ164"/>
      <c r="JA164"/>
      <c r="JB164"/>
      <c r="JC164"/>
      <c r="JD164"/>
      <c r="JE164"/>
      <c r="JF164"/>
      <c r="JG164"/>
      <c r="JH164"/>
      <c r="JI164"/>
      <c r="JJ164"/>
      <c r="JK164"/>
      <c r="JL164"/>
      <c r="JM164"/>
      <c r="JN164"/>
      <c r="JO164"/>
      <c r="JP164"/>
      <c r="JQ164"/>
      <c r="JR164"/>
      <c r="JS164"/>
      <c r="JT164"/>
      <c r="JU164"/>
      <c r="JV164"/>
      <c r="JW164"/>
      <c r="JX164"/>
      <c r="JY164"/>
      <c r="JZ164"/>
      <c r="KA164"/>
      <c r="KB164"/>
      <c r="KC164"/>
      <c r="KD164"/>
      <c r="KE164"/>
      <c r="KF164"/>
      <c r="KG164"/>
      <c r="KH164"/>
      <c r="KI164"/>
      <c r="KJ164"/>
      <c r="KK164"/>
      <c r="KL164"/>
      <c r="KM164"/>
      <c r="KN164"/>
      <c r="KO164"/>
      <c r="KP164"/>
      <c r="KQ164"/>
      <c r="KR164"/>
      <c r="KS164"/>
      <c r="KT164"/>
      <c r="KU164"/>
      <c r="KV164"/>
      <c r="KW164"/>
      <c r="KX164"/>
      <c r="KY164"/>
      <c r="KZ164"/>
      <c r="LA164"/>
      <c r="LB164"/>
      <c r="LC164"/>
      <c r="LD164"/>
      <c r="LE164"/>
      <c r="LF164"/>
      <c r="LG164"/>
      <c r="LH164"/>
      <c r="LI164"/>
      <c r="LJ164"/>
      <c r="LK164"/>
      <c r="LL164"/>
      <c r="LM164"/>
      <c r="LN164"/>
      <c r="LO164"/>
      <c r="LP164"/>
      <c r="LQ164"/>
      <c r="LR164"/>
      <c r="LS164"/>
      <c r="LT164"/>
      <c r="LU164"/>
      <c r="LV164"/>
      <c r="LW164"/>
      <c r="LX164"/>
      <c r="LY164"/>
      <c r="LZ164"/>
      <c r="MA164"/>
      <c r="MB164"/>
      <c r="MC164"/>
      <c r="MD164"/>
      <c r="ME164"/>
      <c r="MF164"/>
      <c r="MG164"/>
      <c r="MH164"/>
      <c r="MI164"/>
      <c r="MJ164"/>
      <c r="MK164"/>
      <c r="ML164"/>
      <c r="MM164"/>
      <c r="MN164"/>
      <c r="MO164"/>
      <c r="MP164"/>
      <c r="MQ164"/>
      <c r="MR164"/>
      <c r="MS164"/>
      <c r="MT164"/>
      <c r="MU164"/>
      <c r="MV164"/>
      <c r="MW164"/>
      <c r="MX164"/>
      <c r="MY164"/>
      <c r="MZ164"/>
      <c r="NA164"/>
      <c r="NB164"/>
      <c r="NC164"/>
      <c r="ND164"/>
      <c r="NE164"/>
      <c r="NF164"/>
      <c r="NG164"/>
      <c r="NH164"/>
      <c r="NI164"/>
      <c r="NJ164"/>
      <c r="NK164"/>
      <c r="NL164"/>
      <c r="NM164"/>
      <c r="NN164"/>
      <c r="NO164"/>
      <c r="NP164"/>
      <c r="NQ164"/>
      <c r="NR164"/>
      <c r="NS164"/>
      <c r="NT164"/>
      <c r="NU164"/>
      <c r="NV164"/>
      <c r="NW164"/>
      <c r="NX164"/>
      <c r="NY164"/>
      <c r="NZ164"/>
      <c r="OA164"/>
      <c r="OB164"/>
      <c r="OC164"/>
      <c r="OD164"/>
      <c r="OE164"/>
      <c r="OF164"/>
      <c r="OG164"/>
      <c r="OH164"/>
      <c r="OI164"/>
      <c r="OJ164"/>
      <c r="OK164"/>
      <c r="OL164"/>
      <c r="OM164"/>
      <c r="ON164"/>
      <c r="OO164"/>
      <c r="OP164"/>
      <c r="OQ164"/>
      <c r="OR164"/>
      <c r="OS164"/>
      <c r="OT164"/>
      <c r="OU164"/>
      <c r="OV164"/>
      <c r="OW164"/>
      <c r="OX164"/>
      <c r="OY164"/>
      <c r="OZ164"/>
      <c r="PA164"/>
      <c r="PB164"/>
      <c r="PC164"/>
      <c r="PD164"/>
      <c r="PE164"/>
      <c r="PF164"/>
      <c r="PG164"/>
      <c r="PH164"/>
      <c r="PI164"/>
      <c r="PJ164"/>
      <c r="PK164"/>
      <c r="PL164"/>
      <c r="PM164"/>
      <c r="PN164"/>
      <c r="PO164"/>
      <c r="PP164"/>
      <c r="PQ164"/>
      <c r="PR164"/>
      <c r="PS164"/>
      <c r="PT164"/>
      <c r="PU164"/>
      <c r="PV164"/>
      <c r="PW164"/>
      <c r="PX164"/>
      <c r="PY164"/>
      <c r="PZ164"/>
      <c r="QA164"/>
      <c r="QB164"/>
      <c r="QC164"/>
      <c r="QD164"/>
      <c r="QE164"/>
      <c r="QF164"/>
      <c r="QG164"/>
      <c r="QH164"/>
      <c r="QI164"/>
      <c r="QJ164"/>
      <c r="QK164"/>
      <c r="QL164"/>
      <c r="QM164"/>
      <c r="QN164"/>
      <c r="QO164"/>
      <c r="QP164"/>
      <c r="QQ164"/>
      <c r="QR164"/>
      <c r="QS164"/>
      <c r="QT164"/>
      <c r="QU164"/>
      <c r="QV164"/>
      <c r="QW164"/>
      <c r="QX164"/>
      <c r="QY164"/>
      <c r="QZ164"/>
      <c r="RA164"/>
      <c r="RB164"/>
      <c r="RC164"/>
      <c r="RD164"/>
      <c r="RE164"/>
      <c r="RF164"/>
      <c r="RG164"/>
      <c r="RH164"/>
      <c r="RI164"/>
      <c r="RJ164"/>
      <c r="RK164"/>
      <c r="RL164"/>
      <c r="RM164"/>
      <c r="RN164"/>
      <c r="RO164"/>
      <c r="RP164"/>
      <c r="RQ164"/>
      <c r="RR164"/>
      <c r="RS164"/>
    </row>
    <row r="165" spans="3:487" x14ac:dyDescent="0.25">
      <c r="C165" s="2" t="s">
        <v>283</v>
      </c>
      <c r="D165" s="34">
        <v>1</v>
      </c>
      <c r="F165" s="2" t="s">
        <v>268</v>
      </c>
      <c r="G165" s="34">
        <v>1</v>
      </c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  <c r="CN165"/>
      <c r="CO165"/>
      <c r="CP165"/>
      <c r="CQ165"/>
      <c r="CR165"/>
      <c r="CS165"/>
      <c r="CT165"/>
      <c r="CU165"/>
      <c r="CV165"/>
      <c r="CW165"/>
      <c r="CX165"/>
      <c r="CY165"/>
      <c r="CZ165"/>
      <c r="DA165"/>
      <c r="DB165"/>
      <c r="DC165"/>
      <c r="DD165"/>
      <c r="DE165"/>
      <c r="DF165"/>
      <c r="DG165"/>
      <c r="DH165"/>
      <c r="DI165"/>
      <c r="DJ165"/>
      <c r="DK165"/>
      <c r="DL165"/>
      <c r="DM165"/>
      <c r="DN165"/>
      <c r="DO165"/>
      <c r="DP165"/>
      <c r="DQ165"/>
      <c r="DR165"/>
      <c r="DS165"/>
      <c r="DT165"/>
      <c r="DU165"/>
      <c r="DV165"/>
      <c r="DW165"/>
      <c r="DX165"/>
      <c r="DY165"/>
      <c r="DZ165"/>
      <c r="EA165"/>
      <c r="EB165"/>
      <c r="EC165"/>
      <c r="ED165"/>
      <c r="EE165"/>
      <c r="EF165"/>
      <c r="EG165"/>
      <c r="EH165"/>
      <c r="EI165"/>
      <c r="EJ165"/>
      <c r="EK165"/>
      <c r="EL165"/>
      <c r="EM165"/>
      <c r="EN165"/>
      <c r="EO165"/>
      <c r="EP165"/>
      <c r="EQ165"/>
      <c r="ER165"/>
      <c r="ES165"/>
      <c r="ET165"/>
      <c r="EU165"/>
      <c r="EV165"/>
      <c r="EW165"/>
      <c r="EX165"/>
      <c r="EY165"/>
      <c r="EZ165"/>
      <c r="FA165"/>
      <c r="FB165"/>
      <c r="FC165"/>
      <c r="FD165"/>
      <c r="FE165"/>
      <c r="FF165"/>
      <c r="FG165"/>
      <c r="FH165"/>
      <c r="FI165"/>
      <c r="FJ165"/>
      <c r="FK165"/>
      <c r="FL165"/>
      <c r="FM165"/>
      <c r="FN165"/>
      <c r="FO165"/>
      <c r="FP165"/>
      <c r="FQ165"/>
      <c r="FR165"/>
      <c r="FS165"/>
      <c r="FT165"/>
      <c r="FU165"/>
      <c r="FV165"/>
      <c r="FW165"/>
      <c r="FX165"/>
      <c r="FY165"/>
      <c r="FZ165"/>
      <c r="GA165"/>
      <c r="GB165"/>
      <c r="GC165"/>
      <c r="GD165"/>
      <c r="GE165"/>
      <c r="GF165"/>
      <c r="GG165"/>
      <c r="GH165"/>
      <c r="GI165"/>
      <c r="GJ165"/>
      <c r="GK165"/>
      <c r="GL165"/>
      <c r="GM165"/>
      <c r="GN165"/>
      <c r="GO165"/>
      <c r="GP165"/>
      <c r="GQ165"/>
      <c r="GR165"/>
      <c r="GS165"/>
      <c r="GT165"/>
      <c r="GU165"/>
      <c r="GV165"/>
      <c r="GW165"/>
      <c r="GX165"/>
      <c r="GY165"/>
      <c r="GZ165"/>
      <c r="HA165"/>
      <c r="HB165"/>
      <c r="HC165"/>
      <c r="HD165"/>
      <c r="HE165"/>
      <c r="HF165"/>
      <c r="HG165"/>
      <c r="HH165"/>
      <c r="HI165"/>
      <c r="HJ165"/>
      <c r="HK165"/>
      <c r="HL165"/>
      <c r="HM165"/>
      <c r="HN165"/>
      <c r="HO165"/>
      <c r="HP165"/>
      <c r="HQ165"/>
      <c r="HR165"/>
      <c r="HS165"/>
      <c r="HT165"/>
      <c r="HU165"/>
      <c r="HV165"/>
      <c r="HW165"/>
      <c r="HX165"/>
      <c r="HY165"/>
      <c r="HZ165"/>
      <c r="IA165"/>
      <c r="IB165"/>
      <c r="IC165"/>
      <c r="ID165"/>
      <c r="IE165"/>
      <c r="IF165"/>
      <c r="IG165"/>
      <c r="IH165"/>
      <c r="II165"/>
      <c r="IJ165"/>
      <c r="IK165"/>
      <c r="IL165"/>
      <c r="IM165"/>
      <c r="IN165"/>
      <c r="IO165"/>
      <c r="IP165"/>
      <c r="IQ165"/>
      <c r="IR165"/>
      <c r="IS165"/>
      <c r="IT165"/>
      <c r="IU165"/>
      <c r="IV165"/>
      <c r="IW165"/>
      <c r="IX165"/>
      <c r="IY165"/>
      <c r="IZ165"/>
      <c r="JA165"/>
      <c r="JB165"/>
      <c r="JC165"/>
      <c r="JD165"/>
      <c r="JE165"/>
      <c r="JF165"/>
      <c r="JG165"/>
      <c r="JH165"/>
      <c r="JI165"/>
      <c r="JJ165"/>
      <c r="JK165"/>
      <c r="JL165"/>
      <c r="JM165"/>
      <c r="JN165"/>
      <c r="JO165"/>
      <c r="JP165"/>
      <c r="JQ165"/>
      <c r="JR165"/>
      <c r="JS165"/>
      <c r="JT165"/>
      <c r="JU165"/>
      <c r="JV165"/>
      <c r="JW165"/>
      <c r="JX165"/>
      <c r="JY165"/>
      <c r="JZ165"/>
      <c r="KA165"/>
      <c r="KB165"/>
      <c r="KC165"/>
      <c r="KD165"/>
      <c r="KE165"/>
      <c r="KF165"/>
      <c r="KG165"/>
      <c r="KH165"/>
      <c r="KI165"/>
      <c r="KJ165"/>
      <c r="KK165"/>
      <c r="KL165"/>
      <c r="KM165"/>
      <c r="KN165"/>
      <c r="KO165"/>
      <c r="KP165"/>
      <c r="KQ165"/>
      <c r="KR165"/>
      <c r="KS165"/>
      <c r="KT165"/>
      <c r="KU165"/>
      <c r="KV165"/>
      <c r="KW165"/>
      <c r="KX165"/>
      <c r="KY165"/>
      <c r="KZ165"/>
      <c r="LA165"/>
      <c r="LB165"/>
      <c r="LC165"/>
      <c r="LD165"/>
      <c r="LE165"/>
      <c r="LF165"/>
      <c r="LG165"/>
      <c r="LH165"/>
      <c r="LI165"/>
      <c r="LJ165"/>
      <c r="LK165"/>
      <c r="LL165"/>
      <c r="LM165"/>
      <c r="LN165"/>
      <c r="LO165"/>
      <c r="LP165"/>
      <c r="LQ165"/>
      <c r="LR165"/>
      <c r="LS165"/>
      <c r="LT165"/>
      <c r="LU165"/>
      <c r="LV165"/>
      <c r="LW165"/>
      <c r="LX165"/>
      <c r="LY165"/>
      <c r="LZ165"/>
      <c r="MA165"/>
      <c r="MB165"/>
      <c r="MC165"/>
      <c r="MD165"/>
      <c r="ME165"/>
      <c r="MF165"/>
      <c r="MG165"/>
      <c r="MH165"/>
      <c r="MI165"/>
      <c r="MJ165"/>
      <c r="MK165"/>
      <c r="ML165"/>
      <c r="MM165"/>
      <c r="MN165"/>
      <c r="MO165"/>
      <c r="MP165"/>
      <c r="MQ165"/>
      <c r="MR165"/>
      <c r="MS165"/>
      <c r="MT165"/>
      <c r="MU165"/>
      <c r="MV165"/>
      <c r="MW165"/>
      <c r="MX165"/>
      <c r="MY165"/>
      <c r="MZ165"/>
      <c r="NA165"/>
      <c r="NB165"/>
      <c r="NC165"/>
      <c r="ND165"/>
      <c r="NE165"/>
      <c r="NF165"/>
      <c r="NG165"/>
      <c r="NH165"/>
      <c r="NI165"/>
      <c r="NJ165"/>
      <c r="NK165"/>
      <c r="NL165"/>
      <c r="NM165"/>
      <c r="NN165"/>
      <c r="NO165"/>
      <c r="NP165"/>
      <c r="NQ165"/>
      <c r="NR165"/>
      <c r="NS165"/>
      <c r="NT165"/>
      <c r="NU165"/>
      <c r="NV165"/>
      <c r="NW165"/>
      <c r="NX165"/>
      <c r="NY165"/>
      <c r="NZ165"/>
      <c r="OA165"/>
      <c r="OB165"/>
      <c r="OC165"/>
      <c r="OD165"/>
      <c r="OE165"/>
      <c r="OF165"/>
      <c r="OG165"/>
      <c r="OH165"/>
      <c r="OI165"/>
      <c r="OJ165"/>
      <c r="OK165"/>
      <c r="OL165"/>
      <c r="OM165"/>
      <c r="ON165"/>
      <c r="OO165"/>
      <c r="OP165"/>
      <c r="OQ165"/>
      <c r="OR165"/>
      <c r="OS165"/>
      <c r="OT165"/>
      <c r="OU165"/>
      <c r="OV165"/>
      <c r="OW165"/>
      <c r="OX165"/>
      <c r="OY165"/>
      <c r="OZ165"/>
      <c r="PA165"/>
      <c r="PB165"/>
      <c r="PC165"/>
      <c r="PD165"/>
      <c r="PE165"/>
      <c r="PF165"/>
      <c r="PG165"/>
      <c r="PH165"/>
      <c r="PI165"/>
      <c r="PJ165"/>
      <c r="PK165"/>
      <c r="PL165"/>
      <c r="PM165"/>
      <c r="PN165"/>
      <c r="PO165"/>
      <c r="PP165"/>
      <c r="PQ165"/>
      <c r="PR165"/>
      <c r="PS165"/>
      <c r="PT165"/>
      <c r="PU165"/>
      <c r="PV165"/>
      <c r="PW165"/>
      <c r="PX165"/>
      <c r="PY165"/>
      <c r="PZ165"/>
      <c r="QA165"/>
      <c r="QB165"/>
      <c r="QC165"/>
      <c r="QD165"/>
      <c r="QE165"/>
      <c r="QF165"/>
      <c r="QG165"/>
      <c r="QH165"/>
      <c r="QI165"/>
      <c r="QJ165"/>
      <c r="QK165"/>
      <c r="QL165"/>
      <c r="QM165"/>
      <c r="QN165"/>
      <c r="QO165"/>
      <c r="QP165"/>
      <c r="QQ165"/>
      <c r="QR165"/>
      <c r="QS165"/>
      <c r="QT165"/>
      <c r="QU165"/>
      <c r="QV165"/>
      <c r="QW165"/>
      <c r="QX165"/>
      <c r="QY165"/>
      <c r="QZ165"/>
      <c r="RA165"/>
      <c r="RB165"/>
      <c r="RC165"/>
      <c r="RD165"/>
      <c r="RE165"/>
      <c r="RF165"/>
      <c r="RG165"/>
      <c r="RH165"/>
      <c r="RI165"/>
      <c r="RJ165"/>
      <c r="RK165"/>
      <c r="RL165"/>
      <c r="RM165"/>
      <c r="RN165"/>
      <c r="RO165"/>
      <c r="RP165"/>
      <c r="RQ165"/>
      <c r="RR165"/>
      <c r="RS165"/>
    </row>
    <row r="166" spans="3:487" x14ac:dyDescent="0.25">
      <c r="C166" s="2" t="s">
        <v>275</v>
      </c>
      <c r="D166" s="34">
        <v>1</v>
      </c>
      <c r="F166" s="2" t="s">
        <v>238</v>
      </c>
      <c r="G166" s="34">
        <v>1</v>
      </c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  <c r="CN166"/>
      <c r="CO166"/>
      <c r="CP166"/>
      <c r="CQ166"/>
      <c r="CR166"/>
      <c r="CS166"/>
      <c r="CT166"/>
      <c r="CU166"/>
      <c r="CV166"/>
      <c r="CW166"/>
      <c r="CX166"/>
      <c r="CY166"/>
      <c r="CZ166"/>
      <c r="DA166"/>
      <c r="DB166"/>
      <c r="DC166"/>
      <c r="DD166"/>
      <c r="DE166"/>
      <c r="DF166"/>
      <c r="DG166"/>
      <c r="DH166"/>
      <c r="DI166"/>
      <c r="DJ166"/>
      <c r="DK166"/>
      <c r="DL166"/>
      <c r="DM166"/>
      <c r="DN166"/>
      <c r="DO166"/>
      <c r="DP166"/>
      <c r="DQ166"/>
      <c r="DR166"/>
      <c r="DS166"/>
      <c r="DT166"/>
      <c r="DU166"/>
      <c r="DV166"/>
      <c r="DW166"/>
      <c r="DX166"/>
      <c r="DY166"/>
      <c r="DZ166"/>
      <c r="EA166"/>
      <c r="EB166"/>
      <c r="EC166"/>
      <c r="ED166"/>
      <c r="EE166"/>
      <c r="EF166"/>
      <c r="EG166"/>
      <c r="EH166"/>
      <c r="EI166"/>
      <c r="EJ166"/>
      <c r="EK166"/>
      <c r="EL166"/>
      <c r="EM166"/>
      <c r="EN166"/>
      <c r="EO166"/>
      <c r="EP166"/>
      <c r="EQ166"/>
      <c r="ER166"/>
      <c r="ES166"/>
      <c r="ET166"/>
      <c r="EU166"/>
      <c r="EV166"/>
      <c r="EW166"/>
      <c r="EX166"/>
      <c r="EY166"/>
      <c r="EZ166"/>
      <c r="FA166"/>
      <c r="FB166"/>
      <c r="FC166"/>
      <c r="FD166"/>
      <c r="FE166"/>
      <c r="FF166"/>
      <c r="FG166"/>
      <c r="FH166"/>
      <c r="FI166"/>
      <c r="FJ166"/>
      <c r="FK166"/>
      <c r="FL166"/>
      <c r="FM166"/>
      <c r="FN166"/>
      <c r="FO166"/>
      <c r="FP166"/>
      <c r="FQ166"/>
      <c r="FR166"/>
      <c r="FS166"/>
      <c r="FT166"/>
      <c r="FU166"/>
      <c r="FV166"/>
      <c r="FW166"/>
      <c r="FX166"/>
      <c r="FY166"/>
      <c r="FZ166"/>
      <c r="GA166"/>
      <c r="GB166"/>
      <c r="GC166"/>
      <c r="GD166"/>
      <c r="GE166"/>
      <c r="GF166"/>
      <c r="GG166"/>
      <c r="GH166"/>
      <c r="GI166"/>
      <c r="GJ166"/>
      <c r="GK166"/>
      <c r="GL166"/>
      <c r="GM166"/>
      <c r="GN166"/>
      <c r="GO166"/>
      <c r="GP166"/>
      <c r="GQ166"/>
      <c r="GR166"/>
      <c r="GS166"/>
      <c r="GT166"/>
      <c r="GU166"/>
      <c r="GV166"/>
      <c r="GW166"/>
      <c r="GX166"/>
      <c r="GY166"/>
      <c r="GZ166"/>
      <c r="HA166"/>
      <c r="HB166"/>
      <c r="HC166"/>
      <c r="HD166"/>
      <c r="HE166"/>
      <c r="HF166"/>
      <c r="HG166"/>
      <c r="HH166"/>
      <c r="HI166"/>
      <c r="HJ166"/>
      <c r="HK166"/>
      <c r="HL166"/>
      <c r="HM166"/>
      <c r="HN166"/>
      <c r="HO166"/>
      <c r="HP166"/>
      <c r="HQ166"/>
      <c r="HR166"/>
      <c r="HS166"/>
      <c r="HT166"/>
      <c r="HU166"/>
      <c r="HV166"/>
      <c r="HW166"/>
      <c r="HX166"/>
      <c r="HY166"/>
      <c r="HZ166"/>
      <c r="IA166"/>
      <c r="IB166"/>
      <c r="IC166"/>
      <c r="ID166"/>
      <c r="IE166"/>
      <c r="IF166"/>
      <c r="IG166"/>
      <c r="IH166"/>
      <c r="II166"/>
      <c r="IJ166"/>
      <c r="IK166"/>
      <c r="IL166"/>
      <c r="IM166"/>
      <c r="IN166"/>
      <c r="IO166"/>
      <c r="IP166"/>
      <c r="IQ166"/>
      <c r="IR166"/>
      <c r="IS166"/>
      <c r="IT166"/>
      <c r="IU166"/>
      <c r="IV166"/>
      <c r="IW166"/>
      <c r="IX166"/>
      <c r="IY166"/>
      <c r="IZ166"/>
      <c r="JA166"/>
      <c r="JB166"/>
      <c r="JC166"/>
      <c r="JD166"/>
      <c r="JE166"/>
      <c r="JF166"/>
      <c r="JG166"/>
      <c r="JH166"/>
      <c r="JI166"/>
      <c r="JJ166"/>
      <c r="JK166"/>
      <c r="JL166"/>
      <c r="JM166"/>
      <c r="JN166"/>
      <c r="JO166"/>
      <c r="JP166"/>
      <c r="JQ166"/>
      <c r="JR166"/>
      <c r="JS166"/>
      <c r="JT166"/>
      <c r="JU166"/>
      <c r="JV166"/>
      <c r="JW166"/>
      <c r="JX166"/>
      <c r="JY166"/>
      <c r="JZ166"/>
      <c r="KA166"/>
      <c r="KB166"/>
      <c r="KC166"/>
      <c r="KD166"/>
      <c r="KE166"/>
      <c r="KF166"/>
      <c r="KG166"/>
      <c r="KH166"/>
      <c r="KI166"/>
      <c r="KJ166"/>
      <c r="KK166"/>
      <c r="KL166"/>
      <c r="KM166"/>
      <c r="KN166"/>
      <c r="KO166"/>
      <c r="KP166"/>
      <c r="KQ166"/>
      <c r="KR166"/>
      <c r="KS166"/>
      <c r="KT166"/>
      <c r="KU166"/>
      <c r="KV166"/>
      <c r="KW166"/>
      <c r="KX166"/>
      <c r="KY166"/>
      <c r="KZ166"/>
      <c r="LA166"/>
      <c r="LB166"/>
      <c r="LC166"/>
      <c r="LD166"/>
      <c r="LE166"/>
      <c r="LF166"/>
      <c r="LG166"/>
      <c r="LH166"/>
      <c r="LI166"/>
      <c r="LJ166"/>
      <c r="LK166"/>
      <c r="LL166"/>
      <c r="LM166"/>
      <c r="LN166"/>
      <c r="LO166"/>
      <c r="LP166"/>
      <c r="LQ166"/>
      <c r="LR166"/>
      <c r="LS166"/>
      <c r="LT166"/>
      <c r="LU166"/>
      <c r="LV166"/>
      <c r="LW166"/>
      <c r="LX166"/>
      <c r="LY166"/>
      <c r="LZ166"/>
      <c r="MA166"/>
      <c r="MB166"/>
      <c r="MC166"/>
      <c r="MD166"/>
      <c r="ME166"/>
      <c r="MF166"/>
      <c r="MG166"/>
      <c r="MH166"/>
      <c r="MI166"/>
      <c r="MJ166"/>
      <c r="MK166"/>
      <c r="ML166"/>
      <c r="MM166"/>
      <c r="MN166"/>
      <c r="MO166"/>
      <c r="MP166"/>
      <c r="MQ166"/>
      <c r="MR166"/>
      <c r="MS166"/>
      <c r="MT166"/>
      <c r="MU166"/>
      <c r="MV166"/>
      <c r="MW166"/>
      <c r="MX166"/>
      <c r="MY166"/>
      <c r="MZ166"/>
      <c r="NA166"/>
      <c r="NB166"/>
      <c r="NC166"/>
      <c r="ND166"/>
      <c r="NE166"/>
      <c r="NF166"/>
      <c r="NG166"/>
      <c r="NH166"/>
      <c r="NI166"/>
      <c r="NJ166"/>
      <c r="NK166"/>
      <c r="NL166"/>
      <c r="NM166"/>
      <c r="NN166"/>
      <c r="NO166"/>
      <c r="NP166"/>
      <c r="NQ166"/>
      <c r="NR166"/>
      <c r="NS166"/>
      <c r="NT166"/>
      <c r="NU166"/>
      <c r="NV166"/>
      <c r="NW166"/>
      <c r="NX166"/>
      <c r="NY166"/>
      <c r="NZ166"/>
      <c r="OA166"/>
      <c r="OB166"/>
      <c r="OC166"/>
      <c r="OD166"/>
      <c r="OE166"/>
      <c r="OF166"/>
      <c r="OG166"/>
      <c r="OH166"/>
      <c r="OI166"/>
      <c r="OJ166"/>
      <c r="OK166"/>
      <c r="OL166"/>
      <c r="OM166"/>
      <c r="ON166"/>
      <c r="OO166"/>
      <c r="OP166"/>
      <c r="OQ166"/>
      <c r="OR166"/>
      <c r="OS166"/>
      <c r="OT166"/>
      <c r="OU166"/>
      <c r="OV166"/>
      <c r="OW166"/>
      <c r="OX166"/>
      <c r="OY166"/>
      <c r="OZ166"/>
      <c r="PA166"/>
      <c r="PB166"/>
      <c r="PC166"/>
      <c r="PD166"/>
      <c r="PE166"/>
      <c r="PF166"/>
      <c r="PG166"/>
      <c r="PH166"/>
      <c r="PI166"/>
      <c r="PJ166"/>
      <c r="PK166"/>
      <c r="PL166"/>
      <c r="PM166"/>
      <c r="PN166"/>
      <c r="PO166"/>
      <c r="PP166"/>
      <c r="PQ166"/>
      <c r="PR166"/>
      <c r="PS166"/>
      <c r="PT166"/>
      <c r="PU166"/>
      <c r="PV166"/>
      <c r="PW166"/>
      <c r="PX166"/>
      <c r="PY166"/>
      <c r="PZ166"/>
      <c r="QA166"/>
      <c r="QB166"/>
      <c r="QC166"/>
      <c r="QD166"/>
      <c r="QE166"/>
      <c r="QF166"/>
      <c r="QG166"/>
      <c r="QH166"/>
      <c r="QI166"/>
      <c r="QJ166"/>
      <c r="QK166"/>
      <c r="QL166"/>
      <c r="QM166"/>
      <c r="QN166"/>
      <c r="QO166"/>
      <c r="QP166"/>
      <c r="QQ166"/>
      <c r="QR166"/>
      <c r="QS166"/>
      <c r="QT166"/>
      <c r="QU166"/>
      <c r="QV166"/>
      <c r="QW166"/>
      <c r="QX166"/>
      <c r="QY166"/>
      <c r="QZ166"/>
      <c r="RA166"/>
      <c r="RB166"/>
      <c r="RC166"/>
      <c r="RD166"/>
      <c r="RE166"/>
      <c r="RF166"/>
      <c r="RG166"/>
      <c r="RH166"/>
      <c r="RI166"/>
      <c r="RJ166"/>
      <c r="RK166"/>
      <c r="RL166"/>
      <c r="RM166"/>
      <c r="RN166"/>
      <c r="RO166"/>
      <c r="RP166"/>
      <c r="RQ166"/>
      <c r="RR166"/>
      <c r="RS166"/>
    </row>
    <row r="167" spans="3:487" x14ac:dyDescent="0.25">
      <c r="C167" s="2" t="s">
        <v>298</v>
      </c>
      <c r="D167" s="34">
        <v>1</v>
      </c>
      <c r="F167" s="2" t="s">
        <v>205</v>
      </c>
      <c r="G167" s="34">
        <v>1</v>
      </c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  <c r="CN167"/>
      <c r="CO167"/>
      <c r="CP167"/>
      <c r="CQ167"/>
      <c r="CR167"/>
      <c r="CS167"/>
      <c r="CT167"/>
      <c r="CU167"/>
      <c r="CV167"/>
      <c r="CW167"/>
      <c r="CX167"/>
      <c r="CY167"/>
      <c r="CZ167"/>
      <c r="DA167"/>
      <c r="DB167"/>
      <c r="DC167"/>
      <c r="DD167"/>
      <c r="DE167"/>
      <c r="DF167"/>
      <c r="DG167"/>
      <c r="DH167"/>
      <c r="DI167"/>
      <c r="DJ167"/>
      <c r="DK167"/>
      <c r="DL167"/>
      <c r="DM167"/>
      <c r="DN167"/>
      <c r="DO167"/>
      <c r="DP167"/>
      <c r="DQ167"/>
      <c r="DR167"/>
      <c r="DS167"/>
      <c r="DT167"/>
      <c r="DU167"/>
      <c r="DV167"/>
      <c r="DW167"/>
      <c r="DX167"/>
      <c r="DY167"/>
      <c r="DZ167"/>
      <c r="EA167"/>
      <c r="EB167"/>
      <c r="EC167"/>
      <c r="ED167"/>
      <c r="EE167"/>
      <c r="EF167"/>
      <c r="EG167"/>
      <c r="EH167"/>
      <c r="EI167"/>
      <c r="EJ167"/>
      <c r="EK167"/>
      <c r="EL167"/>
      <c r="EM167"/>
      <c r="EN167"/>
      <c r="EO167"/>
      <c r="EP167"/>
      <c r="EQ167"/>
      <c r="ER167"/>
      <c r="ES167"/>
      <c r="ET167"/>
      <c r="EU167"/>
      <c r="EV167"/>
      <c r="EW167"/>
      <c r="EX167"/>
      <c r="EY167"/>
      <c r="EZ167"/>
      <c r="FA167"/>
      <c r="FB167"/>
      <c r="FC167"/>
      <c r="FD167"/>
      <c r="FE167"/>
      <c r="FF167"/>
      <c r="FG167"/>
      <c r="FH167"/>
      <c r="FI167"/>
      <c r="FJ167"/>
      <c r="FK167"/>
      <c r="FL167"/>
      <c r="FM167"/>
      <c r="FN167"/>
      <c r="FO167"/>
      <c r="FP167"/>
      <c r="FQ167"/>
      <c r="FR167"/>
      <c r="FS167"/>
      <c r="FT167"/>
      <c r="FU167"/>
      <c r="FV167"/>
      <c r="FW167"/>
      <c r="FX167"/>
      <c r="FY167"/>
      <c r="FZ167"/>
      <c r="GA167"/>
      <c r="GB167"/>
      <c r="GC167"/>
      <c r="GD167"/>
      <c r="GE167"/>
      <c r="GF167"/>
      <c r="GG167"/>
      <c r="GH167"/>
      <c r="GI167"/>
      <c r="GJ167"/>
      <c r="GK167"/>
      <c r="GL167"/>
      <c r="GM167"/>
      <c r="GN167"/>
      <c r="GO167"/>
      <c r="GP167"/>
      <c r="GQ167"/>
      <c r="GR167"/>
      <c r="GS167"/>
      <c r="GT167"/>
      <c r="GU167"/>
      <c r="GV167"/>
      <c r="GW167"/>
      <c r="GX167"/>
      <c r="GY167"/>
      <c r="GZ167"/>
      <c r="HA167"/>
      <c r="HB167"/>
      <c r="HC167"/>
      <c r="HD167"/>
      <c r="HE167"/>
      <c r="HF167"/>
      <c r="HG167"/>
      <c r="HH167"/>
      <c r="HI167"/>
      <c r="HJ167"/>
      <c r="HK167"/>
      <c r="HL167"/>
      <c r="HM167"/>
      <c r="HN167"/>
      <c r="HO167"/>
      <c r="HP167"/>
      <c r="HQ167"/>
      <c r="HR167"/>
      <c r="HS167"/>
      <c r="HT167"/>
      <c r="HU167"/>
      <c r="HV167"/>
      <c r="HW167"/>
      <c r="HX167"/>
      <c r="HY167"/>
      <c r="HZ167"/>
      <c r="IA167"/>
      <c r="IB167"/>
      <c r="IC167"/>
      <c r="ID167"/>
      <c r="IE167"/>
      <c r="IF167"/>
      <c r="IG167"/>
      <c r="IH167"/>
      <c r="II167"/>
      <c r="IJ167"/>
      <c r="IK167"/>
      <c r="IL167"/>
      <c r="IM167"/>
      <c r="IN167"/>
      <c r="IO167"/>
      <c r="IP167"/>
      <c r="IQ167"/>
      <c r="IR167"/>
      <c r="IS167"/>
      <c r="IT167"/>
      <c r="IU167"/>
      <c r="IV167"/>
      <c r="IW167"/>
      <c r="IX167"/>
      <c r="IY167"/>
      <c r="IZ167"/>
      <c r="JA167"/>
      <c r="JB167"/>
      <c r="JC167"/>
      <c r="JD167"/>
      <c r="JE167"/>
      <c r="JF167"/>
      <c r="JG167"/>
      <c r="JH167"/>
      <c r="JI167"/>
      <c r="JJ167"/>
      <c r="JK167"/>
      <c r="JL167"/>
      <c r="JM167"/>
      <c r="JN167"/>
      <c r="JO167"/>
      <c r="JP167"/>
      <c r="JQ167"/>
      <c r="JR167"/>
      <c r="JS167"/>
      <c r="JT167"/>
      <c r="JU167"/>
      <c r="JV167"/>
      <c r="JW167"/>
      <c r="JX167"/>
      <c r="JY167"/>
      <c r="JZ167"/>
      <c r="KA167"/>
      <c r="KB167"/>
      <c r="KC167"/>
      <c r="KD167"/>
      <c r="KE167"/>
      <c r="KF167"/>
      <c r="KG167"/>
      <c r="KH167"/>
      <c r="KI167"/>
      <c r="KJ167"/>
      <c r="KK167"/>
      <c r="KL167"/>
      <c r="KM167"/>
      <c r="KN167"/>
      <c r="KO167"/>
      <c r="KP167"/>
      <c r="KQ167"/>
      <c r="KR167"/>
      <c r="KS167"/>
      <c r="KT167"/>
      <c r="KU167"/>
      <c r="KV167"/>
      <c r="KW167"/>
      <c r="KX167"/>
      <c r="KY167"/>
      <c r="KZ167"/>
      <c r="LA167"/>
      <c r="LB167"/>
      <c r="LC167"/>
      <c r="LD167"/>
      <c r="LE167"/>
      <c r="LF167"/>
      <c r="LG167"/>
      <c r="LH167"/>
      <c r="LI167"/>
      <c r="LJ167"/>
      <c r="LK167"/>
      <c r="LL167"/>
      <c r="LM167"/>
      <c r="LN167"/>
      <c r="LO167"/>
      <c r="LP167"/>
      <c r="LQ167"/>
      <c r="LR167"/>
      <c r="LS167"/>
      <c r="LT167"/>
      <c r="LU167"/>
      <c r="LV167"/>
      <c r="LW167"/>
      <c r="LX167"/>
      <c r="LY167"/>
      <c r="LZ167"/>
      <c r="MA167"/>
      <c r="MB167"/>
      <c r="MC167"/>
      <c r="MD167"/>
      <c r="ME167"/>
      <c r="MF167"/>
      <c r="MG167"/>
      <c r="MH167"/>
      <c r="MI167"/>
      <c r="MJ167"/>
      <c r="MK167"/>
      <c r="ML167"/>
      <c r="MM167"/>
      <c r="MN167"/>
      <c r="MO167"/>
      <c r="MP167"/>
      <c r="MQ167"/>
      <c r="MR167"/>
      <c r="MS167"/>
      <c r="MT167"/>
      <c r="MU167"/>
      <c r="MV167"/>
      <c r="MW167"/>
      <c r="MX167"/>
      <c r="MY167"/>
      <c r="MZ167"/>
      <c r="NA167"/>
      <c r="NB167"/>
      <c r="NC167"/>
      <c r="ND167"/>
      <c r="NE167"/>
      <c r="NF167"/>
      <c r="NG167"/>
      <c r="NH167"/>
      <c r="NI167"/>
      <c r="NJ167"/>
      <c r="NK167"/>
      <c r="NL167"/>
      <c r="NM167"/>
      <c r="NN167"/>
      <c r="NO167"/>
      <c r="NP167"/>
      <c r="NQ167"/>
      <c r="NR167"/>
      <c r="NS167"/>
      <c r="NT167"/>
      <c r="NU167"/>
      <c r="NV167"/>
      <c r="NW167"/>
      <c r="NX167"/>
      <c r="NY167"/>
      <c r="NZ167"/>
      <c r="OA167"/>
      <c r="OB167"/>
      <c r="OC167"/>
      <c r="OD167"/>
      <c r="OE167"/>
      <c r="OF167"/>
      <c r="OG167"/>
      <c r="OH167"/>
      <c r="OI167"/>
      <c r="OJ167"/>
      <c r="OK167"/>
      <c r="OL167"/>
      <c r="OM167"/>
      <c r="ON167"/>
      <c r="OO167"/>
      <c r="OP167"/>
      <c r="OQ167"/>
      <c r="OR167"/>
      <c r="OS167"/>
      <c r="OT167"/>
      <c r="OU167"/>
      <c r="OV167"/>
      <c r="OW167"/>
      <c r="OX167"/>
      <c r="OY167"/>
      <c r="OZ167"/>
      <c r="PA167"/>
      <c r="PB167"/>
      <c r="PC167"/>
      <c r="PD167"/>
      <c r="PE167"/>
      <c r="PF167"/>
      <c r="PG167"/>
      <c r="PH167"/>
      <c r="PI167"/>
      <c r="PJ167"/>
      <c r="PK167"/>
      <c r="PL167"/>
      <c r="PM167"/>
      <c r="PN167"/>
      <c r="PO167"/>
      <c r="PP167"/>
      <c r="PQ167"/>
      <c r="PR167"/>
      <c r="PS167"/>
      <c r="PT167"/>
      <c r="PU167"/>
      <c r="PV167"/>
      <c r="PW167"/>
      <c r="PX167"/>
      <c r="PY167"/>
      <c r="PZ167"/>
      <c r="QA167"/>
      <c r="QB167"/>
      <c r="QC167"/>
      <c r="QD167"/>
      <c r="QE167"/>
      <c r="QF167"/>
      <c r="QG167"/>
      <c r="QH167"/>
      <c r="QI167"/>
      <c r="QJ167"/>
      <c r="QK167"/>
      <c r="QL167"/>
      <c r="QM167"/>
      <c r="QN167"/>
      <c r="QO167"/>
      <c r="QP167"/>
      <c r="QQ167"/>
      <c r="QR167"/>
      <c r="QS167"/>
      <c r="QT167"/>
      <c r="QU167"/>
      <c r="QV167"/>
      <c r="QW167"/>
      <c r="QX167"/>
      <c r="QY167"/>
      <c r="QZ167"/>
      <c r="RA167"/>
      <c r="RB167"/>
      <c r="RC167"/>
      <c r="RD167"/>
      <c r="RE167"/>
      <c r="RF167"/>
      <c r="RG167"/>
      <c r="RH167"/>
      <c r="RI167"/>
      <c r="RJ167"/>
      <c r="RK167"/>
      <c r="RL167"/>
      <c r="RM167"/>
      <c r="RN167"/>
      <c r="RO167"/>
      <c r="RP167"/>
      <c r="RQ167"/>
      <c r="RR167"/>
      <c r="RS167"/>
    </row>
    <row r="168" spans="3:487" x14ac:dyDescent="0.25">
      <c r="C168" s="2" t="s">
        <v>196</v>
      </c>
      <c r="D168" s="34">
        <v>1</v>
      </c>
      <c r="F168" s="2" t="s">
        <v>234</v>
      </c>
      <c r="G168" s="34">
        <v>1</v>
      </c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  <c r="CN168"/>
      <c r="CO168"/>
      <c r="CP168"/>
      <c r="CQ168"/>
      <c r="CR168"/>
      <c r="CS168"/>
      <c r="CT168"/>
      <c r="CU168"/>
      <c r="CV168"/>
      <c r="CW168"/>
      <c r="CX168"/>
      <c r="CY168"/>
      <c r="CZ168"/>
      <c r="DA168"/>
      <c r="DB168"/>
      <c r="DC168"/>
      <c r="DD168"/>
      <c r="DE168"/>
      <c r="DF168"/>
      <c r="DG168"/>
      <c r="DH168"/>
      <c r="DI168"/>
      <c r="DJ168"/>
      <c r="DK168"/>
      <c r="DL168"/>
      <c r="DM168"/>
      <c r="DN168"/>
      <c r="DO168"/>
      <c r="DP168"/>
      <c r="DQ168"/>
      <c r="DR168"/>
      <c r="DS168"/>
      <c r="DT168"/>
      <c r="DU168"/>
      <c r="DV168"/>
      <c r="DW168"/>
      <c r="DX168"/>
      <c r="DY168"/>
      <c r="DZ168"/>
      <c r="EA168"/>
      <c r="EB168"/>
      <c r="EC168"/>
      <c r="ED168"/>
      <c r="EE168"/>
      <c r="EF168"/>
      <c r="EG168"/>
      <c r="EH168"/>
      <c r="EI168"/>
      <c r="EJ168"/>
      <c r="EK168"/>
      <c r="EL168"/>
      <c r="EM168"/>
      <c r="EN168"/>
      <c r="EO168"/>
      <c r="EP168"/>
      <c r="EQ168"/>
      <c r="ER168"/>
      <c r="ES168"/>
      <c r="ET168"/>
      <c r="EU168"/>
      <c r="EV168"/>
      <c r="EW168"/>
      <c r="EX168"/>
      <c r="EY168"/>
      <c r="EZ168"/>
      <c r="FA168"/>
      <c r="FB168"/>
      <c r="FC168"/>
      <c r="FD168"/>
      <c r="FE168"/>
      <c r="FF168"/>
      <c r="FG168"/>
      <c r="FH168"/>
      <c r="FI168"/>
      <c r="FJ168"/>
      <c r="FK168"/>
      <c r="FL168"/>
      <c r="FM168"/>
      <c r="FN168"/>
      <c r="FO168"/>
      <c r="FP168"/>
      <c r="FQ168"/>
      <c r="FR168"/>
      <c r="FS168"/>
      <c r="FT168"/>
      <c r="FU168"/>
      <c r="FV168"/>
      <c r="FW168"/>
      <c r="FX168"/>
      <c r="FY168"/>
      <c r="FZ168"/>
      <c r="GA168"/>
      <c r="GB168"/>
      <c r="GC168"/>
      <c r="GD168"/>
      <c r="GE168"/>
      <c r="GF168"/>
      <c r="GG168"/>
      <c r="GH168"/>
      <c r="GI168"/>
      <c r="GJ168"/>
      <c r="GK168"/>
      <c r="GL168"/>
      <c r="GM168"/>
      <c r="GN168"/>
      <c r="GO168"/>
      <c r="GP168"/>
      <c r="GQ168"/>
      <c r="GR168"/>
      <c r="GS168"/>
      <c r="GT168"/>
      <c r="GU168"/>
      <c r="GV168"/>
      <c r="GW168"/>
      <c r="GX168"/>
      <c r="GY168"/>
      <c r="GZ168"/>
      <c r="HA168"/>
      <c r="HB168"/>
      <c r="HC168"/>
      <c r="HD168"/>
      <c r="HE168"/>
      <c r="HF168"/>
      <c r="HG168"/>
      <c r="HH168"/>
      <c r="HI168"/>
      <c r="HJ168"/>
      <c r="HK168"/>
      <c r="HL168"/>
      <c r="HM168"/>
      <c r="HN168"/>
      <c r="HO168"/>
      <c r="HP168"/>
      <c r="HQ168"/>
      <c r="HR168"/>
      <c r="HS168"/>
      <c r="HT168"/>
      <c r="HU168"/>
      <c r="HV168"/>
      <c r="HW168"/>
      <c r="HX168"/>
      <c r="HY168"/>
      <c r="HZ168"/>
      <c r="IA168"/>
      <c r="IB168"/>
      <c r="IC168"/>
      <c r="ID168"/>
      <c r="IE168"/>
      <c r="IF168"/>
      <c r="IG168"/>
      <c r="IH168"/>
      <c r="II168"/>
      <c r="IJ168"/>
      <c r="IK168"/>
      <c r="IL168"/>
      <c r="IM168"/>
      <c r="IN168"/>
      <c r="IO168"/>
      <c r="IP168"/>
      <c r="IQ168"/>
      <c r="IR168"/>
      <c r="IS168"/>
      <c r="IT168"/>
      <c r="IU168"/>
      <c r="IV168"/>
      <c r="IW168"/>
      <c r="IX168"/>
      <c r="IY168"/>
      <c r="IZ168"/>
      <c r="JA168"/>
      <c r="JB168"/>
      <c r="JC168"/>
      <c r="JD168"/>
      <c r="JE168"/>
      <c r="JF168"/>
      <c r="JG168"/>
      <c r="JH168"/>
      <c r="JI168"/>
      <c r="JJ168"/>
      <c r="JK168"/>
      <c r="JL168"/>
      <c r="JM168"/>
      <c r="JN168"/>
      <c r="JO168"/>
      <c r="JP168"/>
      <c r="JQ168"/>
      <c r="JR168"/>
      <c r="JS168"/>
      <c r="JT168"/>
      <c r="JU168"/>
      <c r="JV168"/>
      <c r="JW168"/>
      <c r="JX168"/>
      <c r="JY168"/>
      <c r="JZ168"/>
      <c r="KA168"/>
      <c r="KB168"/>
      <c r="KC168"/>
      <c r="KD168"/>
      <c r="KE168"/>
      <c r="KF168"/>
      <c r="KG168"/>
      <c r="KH168"/>
      <c r="KI168"/>
      <c r="KJ168"/>
      <c r="KK168"/>
      <c r="KL168"/>
      <c r="KM168"/>
      <c r="KN168"/>
      <c r="KO168"/>
      <c r="KP168"/>
      <c r="KQ168"/>
      <c r="KR168"/>
      <c r="KS168"/>
      <c r="KT168"/>
      <c r="KU168"/>
      <c r="KV168"/>
      <c r="KW168"/>
      <c r="KX168"/>
      <c r="KY168"/>
      <c r="KZ168"/>
      <c r="LA168"/>
      <c r="LB168"/>
      <c r="LC168"/>
      <c r="LD168"/>
      <c r="LE168"/>
      <c r="LF168"/>
      <c r="LG168"/>
      <c r="LH168"/>
      <c r="LI168"/>
      <c r="LJ168"/>
      <c r="LK168"/>
      <c r="LL168"/>
      <c r="LM168"/>
      <c r="LN168"/>
      <c r="LO168"/>
      <c r="LP168"/>
      <c r="LQ168"/>
      <c r="LR168"/>
      <c r="LS168"/>
      <c r="LT168"/>
      <c r="LU168"/>
      <c r="LV168"/>
      <c r="LW168"/>
      <c r="LX168"/>
      <c r="LY168"/>
      <c r="LZ168"/>
      <c r="MA168"/>
      <c r="MB168"/>
      <c r="MC168"/>
      <c r="MD168"/>
      <c r="ME168"/>
      <c r="MF168"/>
      <c r="MG168"/>
      <c r="MH168"/>
      <c r="MI168"/>
      <c r="MJ168"/>
      <c r="MK168"/>
      <c r="ML168"/>
      <c r="MM168"/>
      <c r="MN168"/>
      <c r="MO168"/>
      <c r="MP168"/>
      <c r="MQ168"/>
      <c r="MR168"/>
      <c r="MS168"/>
      <c r="MT168"/>
      <c r="MU168"/>
      <c r="MV168"/>
      <c r="MW168"/>
      <c r="MX168"/>
      <c r="MY168"/>
      <c r="MZ168"/>
      <c r="NA168"/>
      <c r="NB168"/>
      <c r="NC168"/>
      <c r="ND168"/>
      <c r="NE168"/>
      <c r="NF168"/>
      <c r="NG168"/>
      <c r="NH168"/>
      <c r="NI168"/>
      <c r="NJ168"/>
      <c r="NK168"/>
      <c r="NL168"/>
      <c r="NM168"/>
      <c r="NN168"/>
      <c r="NO168"/>
      <c r="NP168"/>
      <c r="NQ168"/>
      <c r="NR168"/>
      <c r="NS168"/>
      <c r="NT168"/>
      <c r="NU168"/>
      <c r="NV168"/>
      <c r="NW168"/>
      <c r="NX168"/>
      <c r="NY168"/>
      <c r="NZ168"/>
      <c r="OA168"/>
      <c r="OB168"/>
      <c r="OC168"/>
      <c r="OD168"/>
      <c r="OE168"/>
      <c r="OF168"/>
      <c r="OG168"/>
      <c r="OH168"/>
      <c r="OI168"/>
      <c r="OJ168"/>
      <c r="OK168"/>
      <c r="OL168"/>
      <c r="OM168"/>
      <c r="ON168"/>
      <c r="OO168"/>
      <c r="OP168"/>
      <c r="OQ168"/>
      <c r="OR168"/>
      <c r="OS168"/>
      <c r="OT168"/>
      <c r="OU168"/>
      <c r="OV168"/>
      <c r="OW168"/>
      <c r="OX168"/>
      <c r="OY168"/>
      <c r="OZ168"/>
      <c r="PA168"/>
      <c r="PB168"/>
      <c r="PC168"/>
      <c r="PD168"/>
      <c r="PE168"/>
      <c r="PF168"/>
      <c r="PG168"/>
      <c r="PH168"/>
      <c r="PI168"/>
      <c r="PJ168"/>
      <c r="PK168"/>
      <c r="PL168"/>
      <c r="PM168"/>
      <c r="PN168"/>
      <c r="PO168"/>
      <c r="PP168"/>
      <c r="PQ168"/>
      <c r="PR168"/>
      <c r="PS168"/>
      <c r="PT168"/>
      <c r="PU168"/>
      <c r="PV168"/>
      <c r="PW168"/>
      <c r="PX168"/>
      <c r="PY168"/>
      <c r="PZ168"/>
      <c r="QA168"/>
      <c r="QB168"/>
      <c r="QC168"/>
      <c r="QD168"/>
      <c r="QE168"/>
      <c r="QF168"/>
      <c r="QG168"/>
      <c r="QH168"/>
      <c r="QI168"/>
      <c r="QJ168"/>
      <c r="QK168"/>
      <c r="QL168"/>
      <c r="QM168"/>
      <c r="QN168"/>
      <c r="QO168"/>
      <c r="QP168"/>
      <c r="QQ168"/>
      <c r="QR168"/>
      <c r="QS168"/>
      <c r="QT168"/>
      <c r="QU168"/>
      <c r="QV168"/>
      <c r="QW168"/>
      <c r="QX168"/>
      <c r="QY168"/>
      <c r="QZ168"/>
      <c r="RA168"/>
      <c r="RB168"/>
      <c r="RC168"/>
      <c r="RD168"/>
      <c r="RE168"/>
      <c r="RF168"/>
      <c r="RG168"/>
      <c r="RH168"/>
      <c r="RI168"/>
      <c r="RJ168"/>
      <c r="RK168"/>
      <c r="RL168"/>
      <c r="RM168"/>
      <c r="RN168"/>
      <c r="RO168"/>
      <c r="RP168"/>
      <c r="RQ168"/>
      <c r="RR168"/>
      <c r="RS168"/>
    </row>
    <row r="169" spans="3:487" x14ac:dyDescent="0.25">
      <c r="C169" s="2" t="s">
        <v>3659</v>
      </c>
      <c r="D169" s="34">
        <v>1</v>
      </c>
      <c r="F169" s="2" t="s">
        <v>3611</v>
      </c>
      <c r="G169" s="34">
        <v>1</v>
      </c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  <c r="DU169"/>
      <c r="DV169"/>
      <c r="DW169"/>
      <c r="DX169"/>
      <c r="DY169"/>
      <c r="DZ169"/>
      <c r="EA169"/>
      <c r="EB169"/>
      <c r="EC169"/>
      <c r="ED169"/>
      <c r="EE169"/>
      <c r="EF169"/>
      <c r="EG169"/>
      <c r="EH169"/>
      <c r="EI169"/>
      <c r="EJ169"/>
      <c r="EK169"/>
      <c r="EL169"/>
      <c r="EM169"/>
      <c r="EN169"/>
      <c r="EO169"/>
      <c r="EP169"/>
      <c r="EQ169"/>
      <c r="ER169"/>
      <c r="ES169"/>
      <c r="ET169"/>
      <c r="EU169"/>
      <c r="EV169"/>
      <c r="EW169"/>
      <c r="EX169"/>
      <c r="EY169"/>
      <c r="EZ169"/>
      <c r="FA169"/>
      <c r="FB169"/>
      <c r="FC169"/>
      <c r="FD169"/>
      <c r="FE169"/>
      <c r="FF169"/>
      <c r="FG169"/>
      <c r="FH169"/>
      <c r="FI169"/>
      <c r="FJ169"/>
      <c r="FK169"/>
      <c r="FL169"/>
      <c r="FM169"/>
      <c r="FN169"/>
      <c r="FO169"/>
      <c r="FP169"/>
      <c r="FQ169"/>
      <c r="FR169"/>
      <c r="FS169"/>
      <c r="FT169"/>
      <c r="FU169"/>
      <c r="FV169"/>
      <c r="FW169"/>
      <c r="FX169"/>
      <c r="FY169"/>
      <c r="FZ169"/>
      <c r="GA169"/>
      <c r="GB169"/>
      <c r="GC169"/>
      <c r="GD169"/>
      <c r="GE169"/>
      <c r="GF169"/>
      <c r="GG169"/>
      <c r="GH169"/>
      <c r="GI169"/>
      <c r="GJ169"/>
      <c r="GK169"/>
      <c r="GL169"/>
      <c r="GM169"/>
      <c r="GN169"/>
      <c r="GO169"/>
      <c r="GP169"/>
      <c r="GQ169"/>
      <c r="GR169"/>
      <c r="GS169"/>
      <c r="GT169"/>
      <c r="GU169"/>
      <c r="GV169"/>
      <c r="GW169"/>
      <c r="GX169"/>
      <c r="GY169"/>
      <c r="GZ169"/>
      <c r="HA169"/>
      <c r="HB169"/>
      <c r="HC169"/>
      <c r="HD169"/>
      <c r="HE169"/>
      <c r="HF169"/>
      <c r="HG169"/>
      <c r="HH169"/>
      <c r="HI169"/>
      <c r="HJ169"/>
      <c r="HK169"/>
      <c r="HL169"/>
      <c r="HM169"/>
      <c r="HN169"/>
      <c r="HO169"/>
      <c r="HP169"/>
      <c r="HQ169"/>
      <c r="HR169"/>
      <c r="HS169"/>
      <c r="HT169"/>
      <c r="HU169"/>
      <c r="HV169"/>
      <c r="HW169"/>
      <c r="HX169"/>
      <c r="HY169"/>
      <c r="HZ169"/>
      <c r="IA169"/>
      <c r="IB169"/>
      <c r="IC169"/>
      <c r="ID169"/>
      <c r="IE169"/>
      <c r="IF169"/>
      <c r="IG169"/>
      <c r="IH169"/>
      <c r="II169"/>
      <c r="IJ169"/>
      <c r="IK169"/>
      <c r="IL169"/>
      <c r="IM169"/>
      <c r="IN169"/>
      <c r="IO169"/>
      <c r="IP169"/>
      <c r="IQ169"/>
      <c r="IR169"/>
      <c r="IS169"/>
      <c r="IT169"/>
      <c r="IU169"/>
      <c r="IV169"/>
      <c r="IW169"/>
      <c r="IX169"/>
      <c r="IY169"/>
      <c r="IZ169"/>
      <c r="JA169"/>
      <c r="JB169"/>
      <c r="JC169"/>
      <c r="JD169"/>
      <c r="JE169"/>
      <c r="JF169"/>
      <c r="JG169"/>
      <c r="JH169"/>
      <c r="JI169"/>
      <c r="JJ169"/>
      <c r="JK169"/>
      <c r="JL169"/>
      <c r="JM169"/>
      <c r="JN169"/>
      <c r="JO169"/>
      <c r="JP169"/>
      <c r="JQ169"/>
      <c r="JR169"/>
      <c r="JS169"/>
      <c r="JT169"/>
      <c r="JU169"/>
      <c r="JV169"/>
      <c r="JW169"/>
      <c r="JX169"/>
      <c r="JY169"/>
      <c r="JZ169"/>
      <c r="KA169"/>
      <c r="KB169"/>
      <c r="KC169"/>
      <c r="KD169"/>
      <c r="KE169"/>
      <c r="KF169"/>
      <c r="KG169"/>
      <c r="KH169"/>
      <c r="KI169"/>
      <c r="KJ169"/>
      <c r="KK169"/>
      <c r="KL169"/>
      <c r="KM169"/>
      <c r="KN169"/>
      <c r="KO169"/>
      <c r="KP169"/>
      <c r="KQ169"/>
      <c r="KR169"/>
      <c r="KS169"/>
      <c r="KT169"/>
      <c r="KU169"/>
      <c r="KV169"/>
      <c r="KW169"/>
      <c r="KX169"/>
      <c r="KY169"/>
      <c r="KZ169"/>
      <c r="LA169"/>
      <c r="LB169"/>
      <c r="LC169"/>
      <c r="LD169"/>
      <c r="LE169"/>
      <c r="LF169"/>
      <c r="LG169"/>
      <c r="LH169"/>
      <c r="LI169"/>
      <c r="LJ169"/>
      <c r="LK169"/>
      <c r="LL169"/>
      <c r="LM169"/>
      <c r="LN169"/>
      <c r="LO169"/>
      <c r="LP169"/>
      <c r="LQ169"/>
      <c r="LR169"/>
      <c r="LS169"/>
      <c r="LT169"/>
      <c r="LU169"/>
      <c r="LV169"/>
      <c r="LW169"/>
      <c r="LX169"/>
      <c r="LY169"/>
      <c r="LZ169"/>
      <c r="MA169"/>
      <c r="MB169"/>
      <c r="MC169"/>
      <c r="MD169"/>
      <c r="ME169"/>
      <c r="MF169"/>
      <c r="MG169"/>
      <c r="MH169"/>
      <c r="MI169"/>
      <c r="MJ169"/>
      <c r="MK169"/>
      <c r="ML169"/>
      <c r="MM169"/>
      <c r="MN169"/>
      <c r="MO169"/>
      <c r="MP169"/>
      <c r="MQ169"/>
      <c r="MR169"/>
      <c r="MS169"/>
      <c r="MT169"/>
      <c r="MU169"/>
      <c r="MV169"/>
      <c r="MW169"/>
      <c r="MX169"/>
      <c r="MY169"/>
      <c r="MZ169"/>
      <c r="NA169"/>
      <c r="NB169"/>
      <c r="NC169"/>
      <c r="ND169"/>
      <c r="NE169"/>
      <c r="NF169"/>
      <c r="NG169"/>
      <c r="NH169"/>
      <c r="NI169"/>
      <c r="NJ169"/>
      <c r="NK169"/>
      <c r="NL169"/>
      <c r="NM169"/>
      <c r="NN169"/>
      <c r="NO169"/>
      <c r="NP169"/>
      <c r="NQ169"/>
      <c r="NR169"/>
      <c r="NS169"/>
      <c r="NT169"/>
      <c r="NU169"/>
      <c r="NV169"/>
      <c r="NW169"/>
      <c r="NX169"/>
      <c r="NY169"/>
      <c r="NZ169"/>
      <c r="OA169"/>
      <c r="OB169"/>
      <c r="OC169"/>
      <c r="OD169"/>
      <c r="OE169"/>
      <c r="OF169"/>
      <c r="OG169"/>
      <c r="OH169"/>
      <c r="OI169"/>
      <c r="OJ169"/>
      <c r="OK169"/>
      <c r="OL169"/>
      <c r="OM169"/>
      <c r="ON169"/>
      <c r="OO169"/>
      <c r="OP169"/>
      <c r="OQ169"/>
      <c r="OR169"/>
      <c r="OS169"/>
      <c r="OT169"/>
      <c r="OU169"/>
      <c r="OV169"/>
      <c r="OW169"/>
      <c r="OX169"/>
      <c r="OY169"/>
      <c r="OZ169"/>
      <c r="PA169"/>
      <c r="PB169"/>
      <c r="PC169"/>
      <c r="PD169"/>
      <c r="PE169"/>
      <c r="PF169"/>
      <c r="PG169"/>
      <c r="PH169"/>
      <c r="PI169"/>
      <c r="PJ169"/>
      <c r="PK169"/>
      <c r="PL169"/>
      <c r="PM169"/>
      <c r="PN169"/>
      <c r="PO169"/>
      <c r="PP169"/>
      <c r="PQ169"/>
      <c r="PR169"/>
      <c r="PS169"/>
      <c r="PT169"/>
      <c r="PU169"/>
      <c r="PV169"/>
      <c r="PW169"/>
      <c r="PX169"/>
      <c r="PY169"/>
      <c r="PZ169"/>
      <c r="QA169"/>
      <c r="QB169"/>
      <c r="QC169"/>
      <c r="QD169"/>
      <c r="QE169"/>
      <c r="QF169"/>
      <c r="QG169"/>
      <c r="QH169"/>
      <c r="QI169"/>
      <c r="QJ169"/>
      <c r="QK169"/>
      <c r="QL169"/>
      <c r="QM169"/>
      <c r="QN169"/>
      <c r="QO169"/>
      <c r="QP169"/>
      <c r="QQ169"/>
      <c r="QR169"/>
      <c r="QS169"/>
      <c r="QT169"/>
      <c r="QU169"/>
      <c r="QV169"/>
      <c r="QW169"/>
      <c r="QX169"/>
      <c r="QY169"/>
      <c r="QZ169"/>
      <c r="RA169"/>
      <c r="RB169"/>
      <c r="RC169"/>
      <c r="RD169"/>
      <c r="RE169"/>
      <c r="RF169"/>
      <c r="RG169"/>
      <c r="RH169"/>
      <c r="RI169"/>
      <c r="RJ169"/>
      <c r="RK169"/>
      <c r="RL169"/>
      <c r="RM169"/>
      <c r="RN169"/>
      <c r="RO169"/>
      <c r="RP169"/>
      <c r="RQ169"/>
      <c r="RR169"/>
      <c r="RS169"/>
    </row>
    <row r="170" spans="3:487" x14ac:dyDescent="0.25">
      <c r="C170" s="2" t="s">
        <v>157</v>
      </c>
      <c r="D170" s="34">
        <v>1</v>
      </c>
      <c r="F170" s="2" t="s">
        <v>650</v>
      </c>
      <c r="G170" s="34">
        <v>1</v>
      </c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  <c r="DU170"/>
      <c r="DV170"/>
      <c r="DW170"/>
      <c r="DX170"/>
      <c r="DY170"/>
      <c r="DZ170"/>
      <c r="EA170"/>
      <c r="EB170"/>
      <c r="EC170"/>
      <c r="ED170"/>
      <c r="EE170"/>
      <c r="EF170"/>
      <c r="EG170"/>
      <c r="EH170"/>
      <c r="EI170"/>
      <c r="EJ170"/>
      <c r="EK170"/>
      <c r="EL170"/>
      <c r="EM170"/>
      <c r="EN170"/>
      <c r="EO170"/>
      <c r="EP170"/>
      <c r="EQ170"/>
      <c r="ER170"/>
      <c r="ES170"/>
      <c r="ET170"/>
      <c r="EU170"/>
      <c r="EV170"/>
      <c r="EW170"/>
      <c r="EX170"/>
      <c r="EY170"/>
      <c r="EZ170"/>
      <c r="FA170"/>
      <c r="FB170"/>
      <c r="FC170"/>
      <c r="FD170"/>
      <c r="FE170"/>
      <c r="FF170"/>
      <c r="FG170"/>
      <c r="FH170"/>
      <c r="FI170"/>
      <c r="FJ170"/>
      <c r="FK170"/>
      <c r="FL170"/>
      <c r="FM170"/>
      <c r="FN170"/>
      <c r="FO170"/>
      <c r="FP170"/>
      <c r="FQ170"/>
      <c r="FR170"/>
      <c r="FS170"/>
      <c r="FT170"/>
      <c r="FU170"/>
      <c r="FV170"/>
      <c r="FW170"/>
      <c r="FX170"/>
      <c r="FY170"/>
      <c r="FZ170"/>
      <c r="GA170"/>
      <c r="GB170"/>
      <c r="GC170"/>
      <c r="GD170"/>
      <c r="GE170"/>
      <c r="GF170"/>
      <c r="GG170"/>
      <c r="GH170"/>
      <c r="GI170"/>
      <c r="GJ170"/>
      <c r="GK170"/>
      <c r="GL170"/>
      <c r="GM170"/>
      <c r="GN170"/>
      <c r="GO170"/>
      <c r="GP170"/>
      <c r="GQ170"/>
      <c r="GR170"/>
      <c r="GS170"/>
      <c r="GT170"/>
      <c r="GU170"/>
      <c r="GV170"/>
      <c r="GW170"/>
      <c r="GX170"/>
      <c r="GY170"/>
      <c r="GZ170"/>
      <c r="HA170"/>
      <c r="HB170"/>
      <c r="HC170"/>
      <c r="HD170"/>
      <c r="HE170"/>
      <c r="HF170"/>
      <c r="HG170"/>
      <c r="HH170"/>
      <c r="HI170"/>
      <c r="HJ170"/>
      <c r="HK170"/>
      <c r="HL170"/>
      <c r="HM170"/>
      <c r="HN170"/>
      <c r="HO170"/>
      <c r="HP170"/>
      <c r="HQ170"/>
      <c r="HR170"/>
      <c r="HS170"/>
      <c r="HT170"/>
      <c r="HU170"/>
      <c r="HV170"/>
      <c r="HW170"/>
      <c r="HX170"/>
      <c r="HY170"/>
      <c r="HZ170"/>
      <c r="IA170"/>
      <c r="IB170"/>
      <c r="IC170"/>
      <c r="ID170"/>
      <c r="IE170"/>
      <c r="IF170"/>
      <c r="IG170"/>
      <c r="IH170"/>
      <c r="II170"/>
      <c r="IJ170"/>
      <c r="IK170"/>
      <c r="IL170"/>
      <c r="IM170"/>
      <c r="IN170"/>
      <c r="IO170"/>
      <c r="IP170"/>
      <c r="IQ170"/>
      <c r="IR170"/>
      <c r="IS170"/>
      <c r="IT170"/>
      <c r="IU170"/>
      <c r="IV170"/>
      <c r="IW170"/>
      <c r="IX170"/>
      <c r="IY170"/>
      <c r="IZ170"/>
      <c r="JA170"/>
      <c r="JB170"/>
      <c r="JC170"/>
      <c r="JD170"/>
      <c r="JE170"/>
      <c r="JF170"/>
      <c r="JG170"/>
      <c r="JH170"/>
      <c r="JI170"/>
      <c r="JJ170"/>
      <c r="JK170"/>
      <c r="JL170"/>
      <c r="JM170"/>
      <c r="JN170"/>
      <c r="JO170"/>
      <c r="JP170"/>
      <c r="JQ170"/>
      <c r="JR170"/>
      <c r="JS170"/>
      <c r="JT170"/>
      <c r="JU170"/>
      <c r="JV170"/>
      <c r="JW170"/>
      <c r="JX170"/>
      <c r="JY170"/>
      <c r="JZ170"/>
      <c r="KA170"/>
      <c r="KB170"/>
      <c r="KC170"/>
      <c r="KD170"/>
      <c r="KE170"/>
      <c r="KF170"/>
      <c r="KG170"/>
      <c r="KH170"/>
      <c r="KI170"/>
      <c r="KJ170"/>
      <c r="KK170"/>
      <c r="KL170"/>
      <c r="KM170"/>
      <c r="KN170"/>
      <c r="KO170"/>
      <c r="KP170"/>
      <c r="KQ170"/>
      <c r="KR170"/>
      <c r="KS170"/>
      <c r="KT170"/>
      <c r="KU170"/>
      <c r="KV170"/>
      <c r="KW170"/>
      <c r="KX170"/>
      <c r="KY170"/>
      <c r="KZ170"/>
      <c r="LA170"/>
      <c r="LB170"/>
      <c r="LC170"/>
      <c r="LD170"/>
      <c r="LE170"/>
      <c r="LF170"/>
      <c r="LG170"/>
      <c r="LH170"/>
      <c r="LI170"/>
      <c r="LJ170"/>
      <c r="LK170"/>
      <c r="LL170"/>
      <c r="LM170"/>
      <c r="LN170"/>
      <c r="LO170"/>
      <c r="LP170"/>
      <c r="LQ170"/>
      <c r="LR170"/>
      <c r="LS170"/>
      <c r="LT170"/>
      <c r="LU170"/>
      <c r="LV170"/>
      <c r="LW170"/>
      <c r="LX170"/>
      <c r="LY170"/>
      <c r="LZ170"/>
      <c r="MA170"/>
      <c r="MB170"/>
      <c r="MC170"/>
      <c r="MD170"/>
      <c r="ME170"/>
      <c r="MF170"/>
      <c r="MG170"/>
      <c r="MH170"/>
      <c r="MI170"/>
      <c r="MJ170"/>
      <c r="MK170"/>
      <c r="ML170"/>
      <c r="MM170"/>
      <c r="MN170"/>
      <c r="MO170"/>
      <c r="MP170"/>
      <c r="MQ170"/>
      <c r="MR170"/>
      <c r="MS170"/>
      <c r="MT170"/>
      <c r="MU170"/>
      <c r="MV170"/>
      <c r="MW170"/>
      <c r="MX170"/>
      <c r="MY170"/>
      <c r="MZ170"/>
      <c r="NA170"/>
      <c r="NB170"/>
      <c r="NC170"/>
      <c r="ND170"/>
      <c r="NE170"/>
      <c r="NF170"/>
      <c r="NG170"/>
      <c r="NH170"/>
      <c r="NI170"/>
      <c r="NJ170"/>
      <c r="NK170"/>
      <c r="NL170"/>
      <c r="NM170"/>
      <c r="NN170"/>
      <c r="NO170"/>
      <c r="NP170"/>
      <c r="NQ170"/>
      <c r="NR170"/>
      <c r="NS170"/>
      <c r="NT170"/>
      <c r="NU170"/>
      <c r="NV170"/>
      <c r="NW170"/>
      <c r="NX170"/>
      <c r="NY170"/>
      <c r="NZ170"/>
      <c r="OA170"/>
      <c r="OB170"/>
      <c r="OC170"/>
      <c r="OD170"/>
      <c r="OE170"/>
      <c r="OF170"/>
      <c r="OG170"/>
      <c r="OH170"/>
      <c r="OI170"/>
      <c r="OJ170"/>
      <c r="OK170"/>
      <c r="OL170"/>
      <c r="OM170"/>
      <c r="ON170"/>
      <c r="OO170"/>
      <c r="OP170"/>
      <c r="OQ170"/>
      <c r="OR170"/>
      <c r="OS170"/>
      <c r="OT170"/>
      <c r="OU170"/>
      <c r="OV170"/>
      <c r="OW170"/>
      <c r="OX170"/>
      <c r="OY170"/>
      <c r="OZ170"/>
      <c r="PA170"/>
      <c r="PB170"/>
      <c r="PC170"/>
      <c r="PD170"/>
      <c r="PE170"/>
      <c r="PF170"/>
      <c r="PG170"/>
      <c r="PH170"/>
      <c r="PI170"/>
      <c r="PJ170"/>
      <c r="PK170"/>
      <c r="PL170"/>
      <c r="PM170"/>
      <c r="PN170"/>
      <c r="PO170"/>
      <c r="PP170"/>
      <c r="PQ170"/>
      <c r="PR170"/>
      <c r="PS170"/>
      <c r="PT170"/>
      <c r="PU170"/>
      <c r="PV170"/>
      <c r="PW170"/>
      <c r="PX170"/>
      <c r="PY170"/>
      <c r="PZ170"/>
      <c r="QA170"/>
      <c r="QB170"/>
      <c r="QC170"/>
      <c r="QD170"/>
      <c r="QE170"/>
      <c r="QF170"/>
      <c r="QG170"/>
      <c r="QH170"/>
      <c r="QI170"/>
      <c r="QJ170"/>
      <c r="QK170"/>
      <c r="QL170"/>
      <c r="QM170"/>
      <c r="QN170"/>
      <c r="QO170"/>
      <c r="QP170"/>
      <c r="QQ170"/>
      <c r="QR170"/>
      <c r="QS170"/>
      <c r="QT170"/>
      <c r="QU170"/>
      <c r="QV170"/>
      <c r="QW170"/>
      <c r="QX170"/>
      <c r="QY170"/>
      <c r="QZ170"/>
      <c r="RA170"/>
      <c r="RB170"/>
      <c r="RC170"/>
      <c r="RD170"/>
      <c r="RE170"/>
      <c r="RF170"/>
      <c r="RG170"/>
      <c r="RH170"/>
      <c r="RI170"/>
      <c r="RJ170"/>
      <c r="RK170"/>
      <c r="RL170"/>
      <c r="RM170"/>
      <c r="RN170"/>
      <c r="RO170"/>
      <c r="RP170"/>
      <c r="RQ170"/>
      <c r="RR170"/>
      <c r="RS170"/>
    </row>
    <row r="171" spans="3:487" x14ac:dyDescent="0.25">
      <c r="C171" s="2" t="s">
        <v>342</v>
      </c>
      <c r="D171" s="34">
        <v>1</v>
      </c>
      <c r="F171" s="2" t="s">
        <v>229</v>
      </c>
      <c r="G171" s="34">
        <v>1</v>
      </c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  <c r="DU171"/>
      <c r="DV171"/>
      <c r="DW171"/>
      <c r="DX171"/>
      <c r="DY171"/>
      <c r="DZ171"/>
      <c r="EA171"/>
      <c r="EB171"/>
      <c r="EC171"/>
      <c r="ED171"/>
      <c r="EE171"/>
      <c r="EF171"/>
      <c r="EG171"/>
      <c r="EH171"/>
      <c r="EI171"/>
      <c r="EJ171"/>
      <c r="EK171"/>
      <c r="EL171"/>
      <c r="EM171"/>
      <c r="EN171"/>
      <c r="EO171"/>
      <c r="EP171"/>
      <c r="EQ171"/>
      <c r="ER171"/>
      <c r="ES171"/>
      <c r="ET171"/>
      <c r="EU171"/>
      <c r="EV171"/>
      <c r="EW171"/>
      <c r="EX171"/>
      <c r="EY171"/>
      <c r="EZ171"/>
      <c r="FA171"/>
      <c r="FB171"/>
      <c r="FC171"/>
      <c r="FD171"/>
      <c r="FE171"/>
      <c r="FF171"/>
      <c r="FG171"/>
      <c r="FH171"/>
      <c r="FI171"/>
      <c r="FJ171"/>
      <c r="FK171"/>
      <c r="FL171"/>
      <c r="FM171"/>
      <c r="FN171"/>
      <c r="FO171"/>
      <c r="FP171"/>
      <c r="FQ171"/>
      <c r="FR171"/>
      <c r="FS171"/>
      <c r="FT171"/>
      <c r="FU171"/>
      <c r="FV171"/>
      <c r="FW171"/>
      <c r="FX171"/>
      <c r="FY171"/>
      <c r="FZ171"/>
      <c r="GA171"/>
      <c r="GB171"/>
      <c r="GC171"/>
      <c r="GD171"/>
      <c r="GE171"/>
      <c r="GF171"/>
      <c r="GG171"/>
      <c r="GH171"/>
      <c r="GI171"/>
      <c r="GJ171"/>
      <c r="GK171"/>
      <c r="GL171"/>
      <c r="GM171"/>
      <c r="GN171"/>
      <c r="GO171"/>
      <c r="GP171"/>
      <c r="GQ171"/>
      <c r="GR171"/>
      <c r="GS171"/>
      <c r="GT171"/>
      <c r="GU171"/>
      <c r="GV171"/>
      <c r="GW171"/>
      <c r="GX171"/>
      <c r="GY171"/>
      <c r="GZ171"/>
      <c r="HA171"/>
      <c r="HB171"/>
      <c r="HC171"/>
      <c r="HD171"/>
      <c r="HE171"/>
      <c r="HF171"/>
      <c r="HG171"/>
      <c r="HH171"/>
      <c r="HI171"/>
      <c r="HJ171"/>
      <c r="HK171"/>
      <c r="HL171"/>
      <c r="HM171"/>
      <c r="HN171"/>
      <c r="HO171"/>
      <c r="HP171"/>
      <c r="HQ171"/>
      <c r="HR171"/>
      <c r="HS171"/>
      <c r="HT171"/>
      <c r="HU171"/>
      <c r="HV171"/>
      <c r="HW171"/>
      <c r="HX171"/>
      <c r="HY171"/>
      <c r="HZ171"/>
      <c r="IA171"/>
      <c r="IB171"/>
      <c r="IC171"/>
      <c r="ID171"/>
      <c r="IE171"/>
      <c r="IF171"/>
      <c r="IG171"/>
      <c r="IH171"/>
      <c r="II171"/>
      <c r="IJ171"/>
      <c r="IK171"/>
      <c r="IL171"/>
      <c r="IM171"/>
      <c r="IN171"/>
      <c r="IO171"/>
      <c r="IP171"/>
      <c r="IQ171"/>
      <c r="IR171"/>
      <c r="IS171"/>
      <c r="IT171"/>
      <c r="IU171"/>
      <c r="IV171"/>
      <c r="IW171"/>
      <c r="IX171"/>
      <c r="IY171"/>
      <c r="IZ171"/>
      <c r="JA171"/>
      <c r="JB171"/>
      <c r="JC171"/>
      <c r="JD171"/>
      <c r="JE171"/>
      <c r="JF171"/>
      <c r="JG171"/>
      <c r="JH171"/>
      <c r="JI171"/>
      <c r="JJ171"/>
      <c r="JK171"/>
      <c r="JL171"/>
      <c r="JM171"/>
      <c r="JN171"/>
      <c r="JO171"/>
      <c r="JP171"/>
      <c r="JQ171"/>
      <c r="JR171"/>
      <c r="JS171"/>
      <c r="JT171"/>
      <c r="JU171"/>
      <c r="JV171"/>
      <c r="JW171"/>
      <c r="JX171"/>
      <c r="JY171"/>
      <c r="JZ171"/>
      <c r="KA171"/>
      <c r="KB171"/>
      <c r="KC171"/>
      <c r="KD171"/>
      <c r="KE171"/>
      <c r="KF171"/>
      <c r="KG171"/>
      <c r="KH171"/>
      <c r="KI171"/>
      <c r="KJ171"/>
      <c r="KK171"/>
      <c r="KL171"/>
      <c r="KM171"/>
      <c r="KN171"/>
      <c r="KO171"/>
      <c r="KP171"/>
      <c r="KQ171"/>
      <c r="KR171"/>
      <c r="KS171"/>
      <c r="KT171"/>
      <c r="KU171"/>
      <c r="KV171"/>
      <c r="KW171"/>
      <c r="KX171"/>
      <c r="KY171"/>
      <c r="KZ171"/>
      <c r="LA171"/>
      <c r="LB171"/>
      <c r="LC171"/>
      <c r="LD171"/>
      <c r="LE171"/>
      <c r="LF171"/>
      <c r="LG171"/>
      <c r="LH171"/>
      <c r="LI171"/>
      <c r="LJ171"/>
      <c r="LK171"/>
      <c r="LL171"/>
      <c r="LM171"/>
      <c r="LN171"/>
      <c r="LO171"/>
      <c r="LP171"/>
      <c r="LQ171"/>
      <c r="LR171"/>
      <c r="LS171"/>
      <c r="LT171"/>
      <c r="LU171"/>
      <c r="LV171"/>
      <c r="LW171"/>
      <c r="LX171"/>
      <c r="LY171"/>
      <c r="LZ171"/>
      <c r="MA171"/>
      <c r="MB171"/>
      <c r="MC171"/>
      <c r="MD171"/>
      <c r="ME171"/>
      <c r="MF171"/>
      <c r="MG171"/>
      <c r="MH171"/>
      <c r="MI171"/>
      <c r="MJ171"/>
      <c r="MK171"/>
      <c r="ML171"/>
      <c r="MM171"/>
      <c r="MN171"/>
      <c r="MO171"/>
      <c r="MP171"/>
      <c r="MQ171"/>
      <c r="MR171"/>
      <c r="MS171"/>
      <c r="MT171"/>
      <c r="MU171"/>
      <c r="MV171"/>
      <c r="MW171"/>
      <c r="MX171"/>
      <c r="MY171"/>
      <c r="MZ171"/>
      <c r="NA171"/>
      <c r="NB171"/>
      <c r="NC171"/>
      <c r="ND171"/>
      <c r="NE171"/>
      <c r="NF171"/>
      <c r="NG171"/>
      <c r="NH171"/>
      <c r="NI171"/>
      <c r="NJ171"/>
      <c r="NK171"/>
      <c r="NL171"/>
      <c r="NM171"/>
      <c r="NN171"/>
      <c r="NO171"/>
      <c r="NP171"/>
      <c r="NQ171"/>
      <c r="NR171"/>
      <c r="NS171"/>
      <c r="NT171"/>
      <c r="NU171"/>
      <c r="NV171"/>
      <c r="NW171"/>
      <c r="NX171"/>
      <c r="NY171"/>
      <c r="NZ171"/>
      <c r="OA171"/>
      <c r="OB171"/>
      <c r="OC171"/>
      <c r="OD171"/>
      <c r="OE171"/>
      <c r="OF171"/>
      <c r="OG171"/>
      <c r="OH171"/>
      <c r="OI171"/>
      <c r="OJ171"/>
      <c r="OK171"/>
      <c r="OL171"/>
      <c r="OM171"/>
      <c r="ON171"/>
      <c r="OO171"/>
      <c r="OP171"/>
      <c r="OQ171"/>
      <c r="OR171"/>
      <c r="OS171"/>
      <c r="OT171"/>
      <c r="OU171"/>
      <c r="OV171"/>
      <c r="OW171"/>
      <c r="OX171"/>
      <c r="OY171"/>
      <c r="OZ171"/>
      <c r="PA171"/>
      <c r="PB171"/>
      <c r="PC171"/>
      <c r="PD171"/>
      <c r="PE171"/>
      <c r="PF171"/>
      <c r="PG171"/>
      <c r="PH171"/>
      <c r="PI171"/>
      <c r="PJ171"/>
      <c r="PK171"/>
      <c r="PL171"/>
      <c r="PM171"/>
      <c r="PN171"/>
      <c r="PO171"/>
      <c r="PP171"/>
      <c r="PQ171"/>
      <c r="PR171"/>
      <c r="PS171"/>
      <c r="PT171"/>
      <c r="PU171"/>
      <c r="PV171"/>
      <c r="PW171"/>
      <c r="PX171"/>
      <c r="PY171"/>
      <c r="PZ171"/>
      <c r="QA171"/>
      <c r="QB171"/>
      <c r="QC171"/>
      <c r="QD171"/>
      <c r="QE171"/>
      <c r="QF171"/>
      <c r="QG171"/>
      <c r="QH171"/>
      <c r="QI171"/>
      <c r="QJ171"/>
      <c r="QK171"/>
      <c r="QL171"/>
      <c r="QM171"/>
      <c r="QN171"/>
      <c r="QO171"/>
      <c r="QP171"/>
      <c r="QQ171"/>
      <c r="QR171"/>
      <c r="QS171"/>
      <c r="QT171"/>
      <c r="QU171"/>
      <c r="QV171"/>
      <c r="QW171"/>
      <c r="QX171"/>
      <c r="QY171"/>
      <c r="QZ171"/>
      <c r="RA171"/>
      <c r="RB171"/>
      <c r="RC171"/>
      <c r="RD171"/>
      <c r="RE171"/>
      <c r="RF171"/>
      <c r="RG171"/>
      <c r="RH171"/>
      <c r="RI171"/>
      <c r="RJ171"/>
      <c r="RK171"/>
      <c r="RL171"/>
      <c r="RM171"/>
      <c r="RN171"/>
      <c r="RO171"/>
      <c r="RP171"/>
      <c r="RQ171"/>
      <c r="RR171"/>
      <c r="RS171"/>
    </row>
    <row r="172" spans="3:487" x14ac:dyDescent="0.25">
      <c r="C172" s="2" t="s">
        <v>200</v>
      </c>
      <c r="D172" s="34">
        <v>1</v>
      </c>
      <c r="F172" s="2" t="s">
        <v>1272</v>
      </c>
      <c r="G172" s="34">
        <v>1</v>
      </c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  <c r="DU172"/>
      <c r="DV172"/>
      <c r="DW172"/>
      <c r="DX172"/>
      <c r="DY172"/>
      <c r="DZ172"/>
      <c r="EA172"/>
      <c r="EB172"/>
      <c r="EC172"/>
      <c r="ED172"/>
      <c r="EE172"/>
      <c r="EF172"/>
      <c r="EG172"/>
      <c r="EH172"/>
      <c r="EI172"/>
      <c r="EJ172"/>
      <c r="EK172"/>
      <c r="EL172"/>
      <c r="EM172"/>
      <c r="EN172"/>
      <c r="EO172"/>
      <c r="EP172"/>
      <c r="EQ172"/>
      <c r="ER172"/>
      <c r="ES172"/>
      <c r="ET172"/>
      <c r="EU172"/>
      <c r="EV172"/>
      <c r="EW172"/>
      <c r="EX172"/>
      <c r="EY172"/>
      <c r="EZ172"/>
      <c r="FA172"/>
      <c r="FB172"/>
      <c r="FC172"/>
      <c r="FD172"/>
      <c r="FE172"/>
      <c r="FF172"/>
      <c r="FG172"/>
      <c r="FH172"/>
      <c r="FI172"/>
      <c r="FJ172"/>
      <c r="FK172"/>
      <c r="FL172"/>
      <c r="FM172"/>
      <c r="FN172"/>
      <c r="FO172"/>
      <c r="FP172"/>
      <c r="FQ172"/>
      <c r="FR172"/>
      <c r="FS172"/>
      <c r="FT172"/>
      <c r="FU172"/>
      <c r="FV172"/>
      <c r="FW172"/>
      <c r="FX172"/>
      <c r="FY172"/>
      <c r="FZ172"/>
      <c r="GA172"/>
      <c r="GB172"/>
      <c r="GC172"/>
      <c r="GD172"/>
      <c r="GE172"/>
      <c r="GF172"/>
      <c r="GG172"/>
      <c r="GH172"/>
      <c r="GI172"/>
      <c r="GJ172"/>
      <c r="GK172"/>
      <c r="GL172"/>
      <c r="GM172"/>
      <c r="GN172"/>
      <c r="GO172"/>
      <c r="GP172"/>
      <c r="GQ172"/>
      <c r="GR172"/>
      <c r="GS172"/>
      <c r="GT172"/>
      <c r="GU172"/>
      <c r="GV172"/>
      <c r="GW172"/>
      <c r="GX172"/>
      <c r="GY172"/>
      <c r="GZ172"/>
      <c r="HA172"/>
      <c r="HB172"/>
      <c r="HC172"/>
      <c r="HD172"/>
      <c r="HE172"/>
      <c r="HF172"/>
      <c r="HG172"/>
      <c r="HH172"/>
      <c r="HI172"/>
      <c r="HJ172"/>
      <c r="HK172"/>
      <c r="HL172"/>
      <c r="HM172"/>
      <c r="HN172"/>
      <c r="HO172"/>
      <c r="HP172"/>
      <c r="HQ172"/>
      <c r="HR172"/>
      <c r="HS172"/>
      <c r="HT172"/>
      <c r="HU172"/>
      <c r="HV172"/>
      <c r="HW172"/>
      <c r="HX172"/>
      <c r="HY172"/>
      <c r="HZ172"/>
      <c r="IA172"/>
      <c r="IB172"/>
      <c r="IC172"/>
      <c r="ID172"/>
      <c r="IE172"/>
      <c r="IF172"/>
      <c r="IG172"/>
      <c r="IH172"/>
      <c r="II172"/>
      <c r="IJ172"/>
      <c r="IK172"/>
      <c r="IL172"/>
      <c r="IM172"/>
      <c r="IN172"/>
      <c r="IO172"/>
      <c r="IP172"/>
      <c r="IQ172"/>
      <c r="IR172"/>
      <c r="IS172"/>
      <c r="IT172"/>
      <c r="IU172"/>
      <c r="IV172"/>
      <c r="IW172"/>
      <c r="IX172"/>
      <c r="IY172"/>
      <c r="IZ172"/>
      <c r="JA172"/>
      <c r="JB172"/>
      <c r="JC172"/>
      <c r="JD172"/>
      <c r="JE172"/>
      <c r="JF172"/>
      <c r="JG172"/>
      <c r="JH172"/>
      <c r="JI172"/>
      <c r="JJ172"/>
      <c r="JK172"/>
      <c r="JL172"/>
      <c r="JM172"/>
      <c r="JN172"/>
      <c r="JO172"/>
      <c r="JP172"/>
      <c r="JQ172"/>
      <c r="JR172"/>
      <c r="JS172"/>
      <c r="JT172"/>
      <c r="JU172"/>
      <c r="JV172"/>
      <c r="JW172"/>
      <c r="JX172"/>
      <c r="JY172"/>
      <c r="JZ172"/>
      <c r="KA172"/>
      <c r="KB172"/>
      <c r="KC172"/>
      <c r="KD172"/>
      <c r="KE172"/>
      <c r="KF172"/>
      <c r="KG172"/>
      <c r="KH172"/>
      <c r="KI172"/>
      <c r="KJ172"/>
      <c r="KK172"/>
      <c r="KL172"/>
      <c r="KM172"/>
      <c r="KN172"/>
      <c r="KO172"/>
      <c r="KP172"/>
      <c r="KQ172"/>
      <c r="KR172"/>
      <c r="KS172"/>
      <c r="KT172"/>
      <c r="KU172"/>
      <c r="KV172"/>
      <c r="KW172"/>
      <c r="KX172"/>
      <c r="KY172"/>
      <c r="KZ172"/>
      <c r="LA172"/>
      <c r="LB172"/>
      <c r="LC172"/>
      <c r="LD172"/>
      <c r="LE172"/>
      <c r="LF172"/>
      <c r="LG172"/>
      <c r="LH172"/>
      <c r="LI172"/>
      <c r="LJ172"/>
      <c r="LK172"/>
      <c r="LL172"/>
      <c r="LM172"/>
      <c r="LN172"/>
      <c r="LO172"/>
      <c r="LP172"/>
      <c r="LQ172"/>
      <c r="LR172"/>
      <c r="LS172"/>
      <c r="LT172"/>
      <c r="LU172"/>
      <c r="LV172"/>
      <c r="LW172"/>
      <c r="LX172"/>
      <c r="LY172"/>
      <c r="LZ172"/>
      <c r="MA172"/>
      <c r="MB172"/>
      <c r="MC172"/>
      <c r="MD172"/>
      <c r="ME172"/>
      <c r="MF172"/>
      <c r="MG172"/>
      <c r="MH172"/>
      <c r="MI172"/>
      <c r="MJ172"/>
      <c r="MK172"/>
      <c r="ML172"/>
      <c r="MM172"/>
      <c r="MN172"/>
      <c r="MO172"/>
      <c r="MP172"/>
      <c r="MQ172"/>
      <c r="MR172"/>
      <c r="MS172"/>
      <c r="MT172"/>
      <c r="MU172"/>
      <c r="MV172"/>
      <c r="MW172"/>
      <c r="MX172"/>
      <c r="MY172"/>
      <c r="MZ172"/>
      <c r="NA172"/>
      <c r="NB172"/>
      <c r="NC172"/>
      <c r="ND172"/>
      <c r="NE172"/>
      <c r="NF172"/>
      <c r="NG172"/>
      <c r="NH172"/>
      <c r="NI172"/>
      <c r="NJ172"/>
      <c r="NK172"/>
      <c r="NL172"/>
      <c r="NM172"/>
      <c r="NN172"/>
      <c r="NO172"/>
      <c r="NP172"/>
      <c r="NQ172"/>
      <c r="NR172"/>
      <c r="NS172"/>
      <c r="NT172"/>
      <c r="NU172"/>
      <c r="NV172"/>
      <c r="NW172"/>
      <c r="NX172"/>
      <c r="NY172"/>
      <c r="NZ172"/>
      <c r="OA172"/>
      <c r="OB172"/>
      <c r="OC172"/>
      <c r="OD172"/>
      <c r="OE172"/>
      <c r="OF172"/>
      <c r="OG172"/>
      <c r="OH172"/>
      <c r="OI172"/>
      <c r="OJ172"/>
      <c r="OK172"/>
      <c r="OL172"/>
      <c r="OM172"/>
      <c r="ON172"/>
      <c r="OO172"/>
      <c r="OP172"/>
      <c r="OQ172"/>
      <c r="OR172"/>
      <c r="OS172"/>
      <c r="OT172"/>
      <c r="OU172"/>
      <c r="OV172"/>
      <c r="OW172"/>
      <c r="OX172"/>
      <c r="OY172"/>
      <c r="OZ172"/>
      <c r="PA172"/>
      <c r="PB172"/>
      <c r="PC172"/>
      <c r="PD172"/>
      <c r="PE172"/>
      <c r="PF172"/>
      <c r="PG172"/>
      <c r="PH172"/>
      <c r="PI172"/>
      <c r="PJ172"/>
      <c r="PK172"/>
      <c r="PL172"/>
      <c r="PM172"/>
      <c r="PN172"/>
      <c r="PO172"/>
      <c r="PP172"/>
      <c r="PQ172"/>
      <c r="PR172"/>
      <c r="PS172"/>
      <c r="PT172"/>
      <c r="PU172"/>
      <c r="PV172"/>
      <c r="PW172"/>
      <c r="PX172"/>
      <c r="PY172"/>
      <c r="PZ172"/>
      <c r="QA172"/>
      <c r="QB172"/>
      <c r="QC172"/>
      <c r="QD172"/>
      <c r="QE172"/>
      <c r="QF172"/>
      <c r="QG172"/>
      <c r="QH172"/>
      <c r="QI172"/>
      <c r="QJ172"/>
      <c r="QK172"/>
      <c r="QL172"/>
      <c r="QM172"/>
      <c r="QN172"/>
      <c r="QO172"/>
      <c r="QP172"/>
      <c r="QQ172"/>
      <c r="QR172"/>
      <c r="QS172"/>
      <c r="QT172"/>
      <c r="QU172"/>
      <c r="QV172"/>
      <c r="QW172"/>
      <c r="QX172"/>
      <c r="QY172"/>
      <c r="QZ172"/>
      <c r="RA172"/>
      <c r="RB172"/>
      <c r="RC172"/>
      <c r="RD172"/>
      <c r="RE172"/>
      <c r="RF172"/>
      <c r="RG172"/>
      <c r="RH172"/>
      <c r="RI172"/>
      <c r="RJ172"/>
      <c r="RK172"/>
      <c r="RL172"/>
      <c r="RM172"/>
      <c r="RN172"/>
      <c r="RO172"/>
      <c r="RP172"/>
      <c r="RQ172"/>
      <c r="RR172"/>
      <c r="RS172"/>
    </row>
    <row r="173" spans="3:487" x14ac:dyDescent="0.25">
      <c r="C173" s="2" t="s">
        <v>3663</v>
      </c>
      <c r="D173" s="34">
        <v>1</v>
      </c>
      <c r="F173" s="2" t="s">
        <v>3805</v>
      </c>
      <c r="G173" s="34">
        <v>1</v>
      </c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  <c r="DU173"/>
      <c r="DV173"/>
      <c r="DW173"/>
      <c r="DX173"/>
      <c r="DY173"/>
      <c r="DZ173"/>
      <c r="EA173"/>
      <c r="EB173"/>
      <c r="EC173"/>
      <c r="ED173"/>
      <c r="EE173"/>
      <c r="EF173"/>
      <c r="EG173"/>
      <c r="EH173"/>
      <c r="EI173"/>
      <c r="EJ173"/>
      <c r="EK173"/>
      <c r="EL173"/>
      <c r="EM173"/>
      <c r="EN173"/>
      <c r="EO173"/>
      <c r="EP173"/>
      <c r="EQ173"/>
      <c r="ER173"/>
      <c r="ES173"/>
      <c r="ET173"/>
      <c r="EU173"/>
      <c r="EV173"/>
      <c r="EW173"/>
      <c r="EX173"/>
      <c r="EY173"/>
      <c r="EZ173"/>
      <c r="FA173"/>
      <c r="FB173"/>
      <c r="FC173"/>
      <c r="FD173"/>
      <c r="FE173"/>
      <c r="FF173"/>
      <c r="FG173"/>
      <c r="FH173"/>
      <c r="FI173"/>
      <c r="FJ173"/>
      <c r="FK173"/>
      <c r="FL173"/>
      <c r="FM173"/>
      <c r="FN173"/>
      <c r="FO173"/>
      <c r="FP173"/>
      <c r="FQ173"/>
      <c r="FR173"/>
      <c r="FS173"/>
      <c r="FT173"/>
      <c r="FU173"/>
      <c r="FV173"/>
      <c r="FW173"/>
      <c r="FX173"/>
      <c r="FY173"/>
      <c r="FZ173"/>
      <c r="GA173"/>
      <c r="GB173"/>
      <c r="GC173"/>
      <c r="GD173"/>
      <c r="GE173"/>
      <c r="GF173"/>
      <c r="GG173"/>
      <c r="GH173"/>
      <c r="GI173"/>
      <c r="GJ173"/>
      <c r="GK173"/>
      <c r="GL173"/>
      <c r="GM173"/>
      <c r="GN173"/>
      <c r="GO173"/>
      <c r="GP173"/>
      <c r="GQ173"/>
      <c r="GR173"/>
      <c r="GS173"/>
      <c r="GT173"/>
      <c r="GU173"/>
      <c r="GV173"/>
      <c r="GW173"/>
      <c r="GX173"/>
      <c r="GY173"/>
      <c r="GZ173"/>
      <c r="HA173"/>
      <c r="HB173"/>
      <c r="HC173"/>
      <c r="HD173"/>
      <c r="HE173"/>
      <c r="HF173"/>
      <c r="HG173"/>
      <c r="HH173"/>
      <c r="HI173"/>
      <c r="HJ173"/>
      <c r="HK173"/>
      <c r="HL173"/>
      <c r="HM173"/>
      <c r="HN173"/>
      <c r="HO173"/>
      <c r="HP173"/>
      <c r="HQ173"/>
      <c r="HR173"/>
      <c r="HS173"/>
      <c r="HT173"/>
      <c r="HU173"/>
      <c r="HV173"/>
      <c r="HW173"/>
      <c r="HX173"/>
      <c r="HY173"/>
      <c r="HZ173"/>
      <c r="IA173"/>
      <c r="IB173"/>
      <c r="IC173"/>
      <c r="ID173"/>
      <c r="IE173"/>
      <c r="IF173"/>
      <c r="IG173"/>
      <c r="IH173"/>
      <c r="II173"/>
      <c r="IJ173"/>
      <c r="IK173"/>
      <c r="IL173"/>
      <c r="IM173"/>
      <c r="IN173"/>
      <c r="IO173"/>
      <c r="IP173"/>
      <c r="IQ173"/>
      <c r="IR173"/>
      <c r="IS173"/>
      <c r="IT173"/>
      <c r="IU173"/>
      <c r="IV173"/>
      <c r="IW173"/>
      <c r="IX173"/>
      <c r="IY173"/>
      <c r="IZ173"/>
      <c r="JA173"/>
      <c r="JB173"/>
      <c r="JC173"/>
      <c r="JD173"/>
      <c r="JE173"/>
      <c r="JF173"/>
      <c r="JG173"/>
      <c r="JH173"/>
      <c r="JI173"/>
      <c r="JJ173"/>
      <c r="JK173"/>
      <c r="JL173"/>
      <c r="JM173"/>
      <c r="JN173"/>
      <c r="JO173"/>
      <c r="JP173"/>
      <c r="JQ173"/>
      <c r="JR173"/>
      <c r="JS173"/>
      <c r="JT173"/>
      <c r="JU173"/>
      <c r="JV173"/>
      <c r="JW173"/>
      <c r="JX173"/>
      <c r="JY173"/>
      <c r="JZ173"/>
      <c r="KA173"/>
      <c r="KB173"/>
      <c r="KC173"/>
      <c r="KD173"/>
      <c r="KE173"/>
      <c r="KF173"/>
      <c r="KG173"/>
      <c r="KH173"/>
      <c r="KI173"/>
      <c r="KJ173"/>
      <c r="KK173"/>
      <c r="KL173"/>
      <c r="KM173"/>
      <c r="KN173"/>
      <c r="KO173"/>
      <c r="KP173"/>
      <c r="KQ173"/>
      <c r="KR173"/>
      <c r="KS173"/>
      <c r="KT173"/>
      <c r="KU173"/>
      <c r="KV173"/>
      <c r="KW173"/>
      <c r="KX173"/>
      <c r="KY173"/>
      <c r="KZ173"/>
      <c r="LA173"/>
      <c r="LB173"/>
      <c r="LC173"/>
      <c r="LD173"/>
      <c r="LE173"/>
      <c r="LF173"/>
      <c r="LG173"/>
      <c r="LH173"/>
      <c r="LI173"/>
      <c r="LJ173"/>
      <c r="LK173"/>
      <c r="LL173"/>
      <c r="LM173"/>
      <c r="LN173"/>
      <c r="LO173"/>
      <c r="LP173"/>
      <c r="LQ173"/>
      <c r="LR173"/>
      <c r="LS173"/>
      <c r="LT173"/>
      <c r="LU173"/>
      <c r="LV173"/>
      <c r="LW173"/>
      <c r="LX173"/>
      <c r="LY173"/>
      <c r="LZ173"/>
      <c r="MA173"/>
      <c r="MB173"/>
      <c r="MC173"/>
      <c r="MD173"/>
      <c r="ME173"/>
      <c r="MF173"/>
      <c r="MG173"/>
      <c r="MH173"/>
      <c r="MI173"/>
      <c r="MJ173"/>
      <c r="MK173"/>
      <c r="ML173"/>
      <c r="MM173"/>
      <c r="MN173"/>
      <c r="MO173"/>
      <c r="MP173"/>
      <c r="MQ173"/>
      <c r="MR173"/>
      <c r="MS173"/>
      <c r="MT173"/>
      <c r="MU173"/>
      <c r="MV173"/>
      <c r="MW173"/>
      <c r="MX173"/>
      <c r="MY173"/>
      <c r="MZ173"/>
      <c r="NA173"/>
      <c r="NB173"/>
      <c r="NC173"/>
      <c r="ND173"/>
      <c r="NE173"/>
      <c r="NF173"/>
      <c r="NG173"/>
      <c r="NH173"/>
      <c r="NI173"/>
      <c r="NJ173"/>
      <c r="NK173"/>
      <c r="NL173"/>
      <c r="NM173"/>
      <c r="NN173"/>
      <c r="NO173"/>
      <c r="NP173"/>
      <c r="NQ173"/>
      <c r="NR173"/>
      <c r="NS173"/>
      <c r="NT173"/>
      <c r="NU173"/>
      <c r="NV173"/>
      <c r="NW173"/>
      <c r="NX173"/>
      <c r="NY173"/>
      <c r="NZ173"/>
      <c r="OA173"/>
      <c r="OB173"/>
      <c r="OC173"/>
      <c r="OD173"/>
      <c r="OE173"/>
      <c r="OF173"/>
      <c r="OG173"/>
      <c r="OH173"/>
      <c r="OI173"/>
      <c r="OJ173"/>
      <c r="OK173"/>
      <c r="OL173"/>
      <c r="OM173"/>
      <c r="ON173"/>
      <c r="OO173"/>
      <c r="OP173"/>
      <c r="OQ173"/>
      <c r="OR173"/>
      <c r="OS173"/>
      <c r="OT173"/>
      <c r="OU173"/>
      <c r="OV173"/>
      <c r="OW173"/>
      <c r="OX173"/>
      <c r="OY173"/>
      <c r="OZ173"/>
      <c r="PA173"/>
      <c r="PB173"/>
      <c r="PC173"/>
      <c r="PD173"/>
      <c r="PE173"/>
      <c r="PF173"/>
      <c r="PG173"/>
      <c r="PH173"/>
      <c r="PI173"/>
      <c r="PJ173"/>
      <c r="PK173"/>
      <c r="PL173"/>
      <c r="PM173"/>
      <c r="PN173"/>
      <c r="PO173"/>
      <c r="PP173"/>
      <c r="PQ173"/>
      <c r="PR173"/>
      <c r="PS173"/>
      <c r="PT173"/>
      <c r="PU173"/>
      <c r="PV173"/>
      <c r="PW173"/>
      <c r="PX173"/>
      <c r="PY173"/>
      <c r="PZ173"/>
      <c r="QA173"/>
      <c r="QB173"/>
      <c r="QC173"/>
      <c r="QD173"/>
      <c r="QE173"/>
      <c r="QF173"/>
      <c r="QG173"/>
      <c r="QH173"/>
      <c r="QI173"/>
      <c r="QJ173"/>
      <c r="QK173"/>
      <c r="QL173"/>
      <c r="QM173"/>
      <c r="QN173"/>
      <c r="QO173"/>
      <c r="QP173"/>
      <c r="QQ173"/>
      <c r="QR173"/>
      <c r="QS173"/>
      <c r="QT173"/>
      <c r="QU173"/>
      <c r="QV173"/>
      <c r="QW173"/>
      <c r="QX173"/>
      <c r="QY173"/>
      <c r="QZ173"/>
      <c r="RA173"/>
      <c r="RB173"/>
      <c r="RC173"/>
      <c r="RD173"/>
      <c r="RE173"/>
      <c r="RF173"/>
      <c r="RG173"/>
      <c r="RH173"/>
      <c r="RI173"/>
      <c r="RJ173"/>
      <c r="RK173"/>
      <c r="RL173"/>
      <c r="RM173"/>
      <c r="RN173"/>
      <c r="RO173"/>
      <c r="RP173"/>
      <c r="RQ173"/>
      <c r="RR173"/>
      <c r="RS173"/>
    </row>
    <row r="174" spans="3:487" x14ac:dyDescent="0.25">
      <c r="C174" s="2" t="s">
        <v>137</v>
      </c>
      <c r="D174" s="34">
        <v>1</v>
      </c>
      <c r="F174" s="2" t="s">
        <v>227</v>
      </c>
      <c r="G174" s="34">
        <v>1</v>
      </c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  <c r="CN174"/>
      <c r="CO174"/>
      <c r="CP174"/>
      <c r="CQ174"/>
      <c r="CR174"/>
      <c r="CS174"/>
      <c r="CT174"/>
      <c r="CU174"/>
      <c r="CV174"/>
      <c r="CW174"/>
      <c r="CX174"/>
      <c r="CY174"/>
      <c r="CZ174"/>
      <c r="DA174"/>
      <c r="DB174"/>
      <c r="DC174"/>
      <c r="DD174"/>
      <c r="DE174"/>
      <c r="DF174"/>
      <c r="DG174"/>
      <c r="DH174"/>
      <c r="DI174"/>
      <c r="DJ174"/>
      <c r="DK174"/>
      <c r="DL174"/>
      <c r="DM174"/>
      <c r="DN174"/>
      <c r="DO174"/>
      <c r="DP174"/>
      <c r="DQ174"/>
      <c r="DR174"/>
      <c r="DS174"/>
      <c r="DT174"/>
      <c r="DU174"/>
      <c r="DV174"/>
      <c r="DW174"/>
      <c r="DX174"/>
      <c r="DY174"/>
      <c r="DZ174"/>
      <c r="EA174"/>
      <c r="EB174"/>
      <c r="EC174"/>
      <c r="ED174"/>
      <c r="EE174"/>
      <c r="EF174"/>
      <c r="EG174"/>
      <c r="EH174"/>
      <c r="EI174"/>
      <c r="EJ174"/>
      <c r="EK174"/>
      <c r="EL174"/>
      <c r="EM174"/>
      <c r="EN174"/>
      <c r="EO174"/>
      <c r="EP174"/>
      <c r="EQ174"/>
      <c r="ER174"/>
      <c r="ES174"/>
      <c r="ET174"/>
      <c r="EU174"/>
      <c r="EV174"/>
      <c r="EW174"/>
      <c r="EX174"/>
      <c r="EY174"/>
      <c r="EZ174"/>
      <c r="FA174"/>
      <c r="FB174"/>
      <c r="FC174"/>
      <c r="FD174"/>
      <c r="FE174"/>
      <c r="FF174"/>
      <c r="FG174"/>
      <c r="FH174"/>
      <c r="FI174"/>
      <c r="FJ174"/>
      <c r="FK174"/>
      <c r="FL174"/>
      <c r="FM174"/>
      <c r="FN174"/>
      <c r="FO174"/>
      <c r="FP174"/>
      <c r="FQ174"/>
      <c r="FR174"/>
      <c r="FS174"/>
      <c r="FT174"/>
      <c r="FU174"/>
      <c r="FV174"/>
      <c r="FW174"/>
      <c r="FX174"/>
      <c r="FY174"/>
      <c r="FZ174"/>
      <c r="GA174"/>
      <c r="GB174"/>
      <c r="GC174"/>
      <c r="GD174"/>
      <c r="GE174"/>
      <c r="GF174"/>
      <c r="GG174"/>
      <c r="GH174"/>
      <c r="GI174"/>
      <c r="GJ174"/>
      <c r="GK174"/>
      <c r="GL174"/>
      <c r="GM174"/>
      <c r="GN174"/>
      <c r="GO174"/>
      <c r="GP174"/>
      <c r="GQ174"/>
      <c r="GR174"/>
      <c r="GS174"/>
      <c r="GT174"/>
      <c r="GU174"/>
      <c r="GV174"/>
      <c r="GW174"/>
      <c r="GX174"/>
      <c r="GY174"/>
      <c r="GZ174"/>
      <c r="HA174"/>
      <c r="HB174"/>
      <c r="HC174"/>
      <c r="HD174"/>
      <c r="HE174"/>
      <c r="HF174"/>
      <c r="HG174"/>
      <c r="HH174"/>
      <c r="HI174"/>
      <c r="HJ174"/>
      <c r="HK174"/>
      <c r="HL174"/>
      <c r="HM174"/>
      <c r="HN174"/>
      <c r="HO174"/>
      <c r="HP174"/>
      <c r="HQ174"/>
      <c r="HR174"/>
      <c r="HS174"/>
      <c r="HT174"/>
      <c r="HU174"/>
      <c r="HV174"/>
      <c r="HW174"/>
      <c r="HX174"/>
      <c r="HY174"/>
      <c r="HZ174"/>
      <c r="IA174"/>
      <c r="IB174"/>
      <c r="IC174"/>
      <c r="ID174"/>
      <c r="IE174"/>
      <c r="IF174"/>
      <c r="IG174"/>
      <c r="IH174"/>
      <c r="II174"/>
      <c r="IJ174"/>
      <c r="IK174"/>
      <c r="IL174"/>
      <c r="IM174"/>
      <c r="IN174"/>
      <c r="IO174"/>
      <c r="IP174"/>
      <c r="IQ174"/>
      <c r="IR174"/>
      <c r="IS174"/>
      <c r="IT174"/>
      <c r="IU174"/>
      <c r="IV174"/>
      <c r="IW174"/>
      <c r="IX174"/>
      <c r="IY174"/>
      <c r="IZ174"/>
      <c r="JA174"/>
      <c r="JB174"/>
      <c r="JC174"/>
      <c r="JD174"/>
      <c r="JE174"/>
      <c r="JF174"/>
      <c r="JG174"/>
      <c r="JH174"/>
      <c r="JI174"/>
      <c r="JJ174"/>
      <c r="JK174"/>
      <c r="JL174"/>
      <c r="JM174"/>
      <c r="JN174"/>
      <c r="JO174"/>
      <c r="JP174"/>
      <c r="JQ174"/>
      <c r="JR174"/>
      <c r="JS174"/>
      <c r="JT174"/>
      <c r="JU174"/>
      <c r="JV174"/>
      <c r="JW174"/>
      <c r="JX174"/>
      <c r="JY174"/>
      <c r="JZ174"/>
      <c r="KA174"/>
      <c r="KB174"/>
      <c r="KC174"/>
      <c r="KD174"/>
      <c r="KE174"/>
      <c r="KF174"/>
      <c r="KG174"/>
      <c r="KH174"/>
      <c r="KI174"/>
      <c r="KJ174"/>
      <c r="KK174"/>
      <c r="KL174"/>
      <c r="KM174"/>
      <c r="KN174"/>
      <c r="KO174"/>
      <c r="KP174"/>
      <c r="KQ174"/>
      <c r="KR174"/>
      <c r="KS174"/>
      <c r="KT174"/>
      <c r="KU174"/>
      <c r="KV174"/>
      <c r="KW174"/>
      <c r="KX174"/>
      <c r="KY174"/>
      <c r="KZ174"/>
      <c r="LA174"/>
      <c r="LB174"/>
      <c r="LC174"/>
      <c r="LD174"/>
      <c r="LE174"/>
      <c r="LF174"/>
      <c r="LG174"/>
      <c r="LH174"/>
      <c r="LI174"/>
      <c r="LJ174"/>
      <c r="LK174"/>
      <c r="LL174"/>
      <c r="LM174"/>
      <c r="LN174"/>
      <c r="LO174"/>
      <c r="LP174"/>
      <c r="LQ174"/>
      <c r="LR174"/>
      <c r="LS174"/>
      <c r="LT174"/>
      <c r="LU174"/>
      <c r="LV174"/>
      <c r="LW174"/>
      <c r="LX174"/>
      <c r="LY174"/>
      <c r="LZ174"/>
      <c r="MA174"/>
      <c r="MB174"/>
      <c r="MC174"/>
      <c r="MD174"/>
      <c r="ME174"/>
      <c r="MF174"/>
      <c r="MG174"/>
      <c r="MH174"/>
      <c r="MI174"/>
      <c r="MJ174"/>
      <c r="MK174"/>
      <c r="ML174"/>
      <c r="MM174"/>
      <c r="MN174"/>
      <c r="MO174"/>
      <c r="MP174"/>
      <c r="MQ174"/>
      <c r="MR174"/>
      <c r="MS174"/>
      <c r="MT174"/>
      <c r="MU174"/>
      <c r="MV174"/>
      <c r="MW174"/>
      <c r="MX174"/>
      <c r="MY174"/>
      <c r="MZ174"/>
      <c r="NA174"/>
      <c r="NB174"/>
      <c r="NC174"/>
      <c r="ND174"/>
      <c r="NE174"/>
      <c r="NF174"/>
      <c r="NG174"/>
      <c r="NH174"/>
      <c r="NI174"/>
      <c r="NJ174"/>
      <c r="NK174"/>
      <c r="NL174"/>
      <c r="NM174"/>
      <c r="NN174"/>
      <c r="NO174"/>
      <c r="NP174"/>
      <c r="NQ174"/>
      <c r="NR174"/>
      <c r="NS174"/>
      <c r="NT174"/>
      <c r="NU174"/>
      <c r="NV174"/>
      <c r="NW174"/>
      <c r="NX174"/>
      <c r="NY174"/>
      <c r="NZ174"/>
      <c r="OA174"/>
      <c r="OB174"/>
      <c r="OC174"/>
      <c r="OD174"/>
      <c r="OE174"/>
      <c r="OF174"/>
      <c r="OG174"/>
      <c r="OH174"/>
      <c r="OI174"/>
      <c r="OJ174"/>
      <c r="OK174"/>
      <c r="OL174"/>
      <c r="OM174"/>
      <c r="ON174"/>
      <c r="OO174"/>
      <c r="OP174"/>
      <c r="OQ174"/>
      <c r="OR174"/>
      <c r="OS174"/>
      <c r="OT174"/>
      <c r="OU174"/>
      <c r="OV174"/>
      <c r="OW174"/>
      <c r="OX174"/>
      <c r="OY174"/>
      <c r="OZ174"/>
      <c r="PA174"/>
      <c r="PB174"/>
      <c r="PC174"/>
      <c r="PD174"/>
      <c r="PE174"/>
      <c r="PF174"/>
      <c r="PG174"/>
      <c r="PH174"/>
      <c r="PI174"/>
      <c r="PJ174"/>
      <c r="PK174"/>
      <c r="PL174"/>
      <c r="PM174"/>
      <c r="PN174"/>
      <c r="PO174"/>
      <c r="PP174"/>
      <c r="PQ174"/>
      <c r="PR174"/>
      <c r="PS174"/>
      <c r="PT174"/>
      <c r="PU174"/>
      <c r="PV174"/>
      <c r="PW174"/>
      <c r="PX174"/>
      <c r="PY174"/>
      <c r="PZ174"/>
      <c r="QA174"/>
      <c r="QB174"/>
      <c r="QC174"/>
      <c r="QD174"/>
      <c r="QE174"/>
      <c r="QF174"/>
      <c r="QG174"/>
      <c r="QH174"/>
      <c r="QI174"/>
      <c r="QJ174"/>
      <c r="QK174"/>
      <c r="QL174"/>
      <c r="QM174"/>
      <c r="QN174"/>
      <c r="QO174"/>
      <c r="QP174"/>
      <c r="QQ174"/>
      <c r="QR174"/>
      <c r="QS174"/>
      <c r="QT174"/>
      <c r="QU174"/>
      <c r="QV174"/>
      <c r="QW174"/>
      <c r="QX174"/>
      <c r="QY174"/>
      <c r="QZ174"/>
      <c r="RA174"/>
      <c r="RB174"/>
      <c r="RC174"/>
      <c r="RD174"/>
      <c r="RE174"/>
      <c r="RF174"/>
      <c r="RG174"/>
      <c r="RH174"/>
      <c r="RI174"/>
      <c r="RJ174"/>
      <c r="RK174"/>
      <c r="RL174"/>
      <c r="RM174"/>
      <c r="RN174"/>
      <c r="RO174"/>
      <c r="RP174"/>
      <c r="RQ174"/>
      <c r="RR174"/>
      <c r="RS174"/>
    </row>
    <row r="175" spans="3:487" x14ac:dyDescent="0.25">
      <c r="C175" s="2" t="s">
        <v>343</v>
      </c>
      <c r="D175" s="34">
        <v>1</v>
      </c>
      <c r="F175" s="2" t="s">
        <v>146</v>
      </c>
      <c r="G175" s="34">
        <v>1</v>
      </c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  <c r="CN175"/>
      <c r="CO175"/>
      <c r="CP175"/>
      <c r="CQ175"/>
      <c r="CR175"/>
      <c r="CS175"/>
      <c r="CT175"/>
      <c r="CU175"/>
      <c r="CV175"/>
      <c r="CW175"/>
      <c r="CX175"/>
      <c r="CY175"/>
      <c r="CZ175"/>
      <c r="DA175"/>
      <c r="DB175"/>
      <c r="DC175"/>
      <c r="DD175"/>
      <c r="DE175"/>
      <c r="DF175"/>
      <c r="DG175"/>
      <c r="DH175"/>
      <c r="DI175"/>
      <c r="DJ175"/>
      <c r="DK175"/>
      <c r="DL175"/>
      <c r="DM175"/>
      <c r="DN175"/>
      <c r="DO175"/>
      <c r="DP175"/>
      <c r="DQ175"/>
      <c r="DR175"/>
      <c r="DS175"/>
      <c r="DT175"/>
      <c r="DU175"/>
      <c r="DV175"/>
      <c r="DW175"/>
      <c r="DX175"/>
      <c r="DY175"/>
      <c r="DZ175"/>
      <c r="EA175"/>
      <c r="EB175"/>
      <c r="EC175"/>
      <c r="ED175"/>
      <c r="EE175"/>
      <c r="EF175"/>
      <c r="EG175"/>
      <c r="EH175"/>
      <c r="EI175"/>
      <c r="EJ175"/>
      <c r="EK175"/>
      <c r="EL175"/>
      <c r="EM175"/>
      <c r="EN175"/>
      <c r="EO175"/>
      <c r="EP175"/>
      <c r="EQ175"/>
      <c r="ER175"/>
      <c r="ES175"/>
      <c r="ET175"/>
      <c r="EU175"/>
      <c r="EV175"/>
      <c r="EW175"/>
      <c r="EX175"/>
      <c r="EY175"/>
      <c r="EZ175"/>
      <c r="FA175"/>
      <c r="FB175"/>
      <c r="FC175"/>
      <c r="FD175"/>
      <c r="FE175"/>
      <c r="FF175"/>
      <c r="FG175"/>
      <c r="FH175"/>
      <c r="FI175"/>
      <c r="FJ175"/>
      <c r="FK175"/>
      <c r="FL175"/>
      <c r="FM175"/>
      <c r="FN175"/>
      <c r="FO175"/>
      <c r="FP175"/>
      <c r="FQ175"/>
      <c r="FR175"/>
      <c r="FS175"/>
      <c r="FT175"/>
      <c r="FU175"/>
      <c r="FV175"/>
      <c r="FW175"/>
      <c r="FX175"/>
      <c r="FY175"/>
      <c r="FZ175"/>
      <c r="GA175"/>
      <c r="GB175"/>
      <c r="GC175"/>
      <c r="GD175"/>
      <c r="GE175"/>
      <c r="GF175"/>
      <c r="GG175"/>
      <c r="GH175"/>
      <c r="GI175"/>
      <c r="GJ175"/>
      <c r="GK175"/>
      <c r="GL175"/>
      <c r="GM175"/>
      <c r="GN175"/>
      <c r="GO175"/>
      <c r="GP175"/>
      <c r="GQ175"/>
      <c r="GR175"/>
      <c r="GS175"/>
      <c r="GT175"/>
      <c r="GU175"/>
      <c r="GV175"/>
      <c r="GW175"/>
      <c r="GX175"/>
      <c r="GY175"/>
      <c r="GZ175"/>
      <c r="HA175"/>
      <c r="HB175"/>
      <c r="HC175"/>
      <c r="HD175"/>
      <c r="HE175"/>
      <c r="HF175"/>
      <c r="HG175"/>
      <c r="HH175"/>
      <c r="HI175"/>
      <c r="HJ175"/>
      <c r="HK175"/>
      <c r="HL175"/>
      <c r="HM175"/>
      <c r="HN175"/>
      <c r="HO175"/>
      <c r="HP175"/>
      <c r="HQ175"/>
      <c r="HR175"/>
      <c r="HS175"/>
      <c r="HT175"/>
      <c r="HU175"/>
      <c r="HV175"/>
      <c r="HW175"/>
      <c r="HX175"/>
      <c r="HY175"/>
      <c r="HZ175"/>
      <c r="IA175"/>
      <c r="IB175"/>
      <c r="IC175"/>
      <c r="ID175"/>
      <c r="IE175"/>
      <c r="IF175"/>
      <c r="IG175"/>
      <c r="IH175"/>
      <c r="II175"/>
      <c r="IJ175"/>
      <c r="IK175"/>
      <c r="IL175"/>
      <c r="IM175"/>
      <c r="IN175"/>
      <c r="IO175"/>
      <c r="IP175"/>
      <c r="IQ175"/>
      <c r="IR175"/>
      <c r="IS175"/>
      <c r="IT175"/>
      <c r="IU175"/>
      <c r="IV175"/>
      <c r="IW175"/>
      <c r="IX175"/>
      <c r="IY175"/>
      <c r="IZ175"/>
      <c r="JA175"/>
      <c r="JB175"/>
      <c r="JC175"/>
      <c r="JD175"/>
      <c r="JE175"/>
      <c r="JF175"/>
      <c r="JG175"/>
      <c r="JH175"/>
      <c r="JI175"/>
      <c r="JJ175"/>
      <c r="JK175"/>
      <c r="JL175"/>
      <c r="JM175"/>
      <c r="JN175"/>
      <c r="JO175"/>
      <c r="JP175"/>
      <c r="JQ175"/>
      <c r="JR175"/>
      <c r="JS175"/>
      <c r="JT175"/>
      <c r="JU175"/>
      <c r="JV175"/>
      <c r="JW175"/>
      <c r="JX175"/>
      <c r="JY175"/>
      <c r="JZ175"/>
      <c r="KA175"/>
      <c r="KB175"/>
      <c r="KC175"/>
      <c r="KD175"/>
      <c r="KE175"/>
      <c r="KF175"/>
      <c r="KG175"/>
      <c r="KH175"/>
      <c r="KI175"/>
      <c r="KJ175"/>
      <c r="KK175"/>
      <c r="KL175"/>
      <c r="KM175"/>
      <c r="KN175"/>
      <c r="KO175"/>
      <c r="KP175"/>
      <c r="KQ175"/>
      <c r="KR175"/>
      <c r="KS175"/>
      <c r="KT175"/>
      <c r="KU175"/>
      <c r="KV175"/>
      <c r="KW175"/>
      <c r="KX175"/>
      <c r="KY175"/>
      <c r="KZ175"/>
      <c r="LA175"/>
      <c r="LB175"/>
      <c r="LC175"/>
      <c r="LD175"/>
      <c r="LE175"/>
      <c r="LF175"/>
      <c r="LG175"/>
      <c r="LH175"/>
      <c r="LI175"/>
      <c r="LJ175"/>
      <c r="LK175"/>
      <c r="LL175"/>
      <c r="LM175"/>
      <c r="LN175"/>
      <c r="LO175"/>
      <c r="LP175"/>
      <c r="LQ175"/>
      <c r="LR175"/>
      <c r="LS175"/>
      <c r="LT175"/>
      <c r="LU175"/>
      <c r="LV175"/>
      <c r="LW175"/>
      <c r="LX175"/>
      <c r="LY175"/>
      <c r="LZ175"/>
      <c r="MA175"/>
      <c r="MB175"/>
      <c r="MC175"/>
      <c r="MD175"/>
      <c r="ME175"/>
      <c r="MF175"/>
      <c r="MG175"/>
      <c r="MH175"/>
      <c r="MI175"/>
      <c r="MJ175"/>
      <c r="MK175"/>
      <c r="ML175"/>
      <c r="MM175"/>
      <c r="MN175"/>
      <c r="MO175"/>
      <c r="MP175"/>
      <c r="MQ175"/>
      <c r="MR175"/>
      <c r="MS175"/>
      <c r="MT175"/>
      <c r="MU175"/>
      <c r="MV175"/>
      <c r="MW175"/>
      <c r="MX175"/>
      <c r="MY175"/>
      <c r="MZ175"/>
      <c r="NA175"/>
      <c r="NB175"/>
      <c r="NC175"/>
      <c r="ND175"/>
      <c r="NE175"/>
      <c r="NF175"/>
      <c r="NG175"/>
      <c r="NH175"/>
      <c r="NI175"/>
      <c r="NJ175"/>
      <c r="NK175"/>
      <c r="NL175"/>
      <c r="NM175"/>
      <c r="NN175"/>
      <c r="NO175"/>
      <c r="NP175"/>
      <c r="NQ175"/>
      <c r="NR175"/>
      <c r="NS175"/>
      <c r="NT175"/>
      <c r="NU175"/>
      <c r="NV175"/>
      <c r="NW175"/>
      <c r="NX175"/>
      <c r="NY175"/>
      <c r="NZ175"/>
      <c r="OA175"/>
      <c r="OB175"/>
      <c r="OC175"/>
      <c r="OD175"/>
      <c r="OE175"/>
      <c r="OF175"/>
      <c r="OG175"/>
      <c r="OH175"/>
      <c r="OI175"/>
      <c r="OJ175"/>
      <c r="OK175"/>
      <c r="OL175"/>
      <c r="OM175"/>
      <c r="ON175"/>
      <c r="OO175"/>
      <c r="OP175"/>
      <c r="OQ175"/>
      <c r="OR175"/>
      <c r="OS175"/>
      <c r="OT175"/>
      <c r="OU175"/>
      <c r="OV175"/>
      <c r="OW175"/>
      <c r="OX175"/>
      <c r="OY175"/>
      <c r="OZ175"/>
      <c r="PA175"/>
      <c r="PB175"/>
      <c r="PC175"/>
      <c r="PD175"/>
      <c r="PE175"/>
      <c r="PF175"/>
      <c r="PG175"/>
      <c r="PH175"/>
      <c r="PI175"/>
      <c r="PJ175"/>
      <c r="PK175"/>
      <c r="PL175"/>
      <c r="PM175"/>
      <c r="PN175"/>
      <c r="PO175"/>
      <c r="PP175"/>
      <c r="PQ175"/>
      <c r="PR175"/>
      <c r="PS175"/>
      <c r="PT175"/>
      <c r="PU175"/>
      <c r="PV175"/>
      <c r="PW175"/>
      <c r="PX175"/>
      <c r="PY175"/>
      <c r="PZ175"/>
      <c r="QA175"/>
      <c r="QB175"/>
      <c r="QC175"/>
      <c r="QD175"/>
      <c r="QE175"/>
      <c r="QF175"/>
      <c r="QG175"/>
      <c r="QH175"/>
      <c r="QI175"/>
      <c r="QJ175"/>
      <c r="QK175"/>
      <c r="QL175"/>
      <c r="QM175"/>
      <c r="QN175"/>
      <c r="QO175"/>
      <c r="QP175"/>
      <c r="QQ175"/>
      <c r="QR175"/>
      <c r="QS175"/>
      <c r="QT175"/>
      <c r="QU175"/>
      <c r="QV175"/>
      <c r="QW175"/>
      <c r="QX175"/>
      <c r="QY175"/>
      <c r="QZ175"/>
      <c r="RA175"/>
      <c r="RB175"/>
      <c r="RC175"/>
      <c r="RD175"/>
      <c r="RE175"/>
      <c r="RF175"/>
      <c r="RG175"/>
      <c r="RH175"/>
      <c r="RI175"/>
      <c r="RJ175"/>
      <c r="RK175"/>
      <c r="RL175"/>
      <c r="RM175"/>
      <c r="RN175"/>
      <c r="RO175"/>
      <c r="RP175"/>
      <c r="RQ175"/>
      <c r="RR175"/>
      <c r="RS175"/>
    </row>
    <row r="176" spans="3:487" x14ac:dyDescent="0.25">
      <c r="C176" s="2" t="s">
        <v>204</v>
      </c>
      <c r="D176" s="34">
        <v>1</v>
      </c>
      <c r="F176" s="2" t="s">
        <v>274</v>
      </c>
      <c r="G176" s="34">
        <v>1</v>
      </c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  <c r="CN176"/>
      <c r="CO176"/>
      <c r="CP176"/>
      <c r="CQ176"/>
      <c r="CR176"/>
      <c r="CS176"/>
      <c r="CT176"/>
      <c r="CU176"/>
      <c r="CV176"/>
      <c r="CW176"/>
      <c r="CX176"/>
      <c r="CY176"/>
      <c r="CZ176"/>
      <c r="DA176"/>
      <c r="DB176"/>
      <c r="DC176"/>
      <c r="DD176"/>
      <c r="DE176"/>
      <c r="DF176"/>
      <c r="DG176"/>
      <c r="DH176"/>
      <c r="DI176"/>
      <c r="DJ176"/>
      <c r="DK176"/>
      <c r="DL176"/>
      <c r="DM176"/>
      <c r="DN176"/>
      <c r="DO176"/>
      <c r="DP176"/>
      <c r="DQ176"/>
      <c r="DR176"/>
      <c r="DS176"/>
      <c r="DT176"/>
      <c r="DU176"/>
      <c r="DV176"/>
      <c r="DW176"/>
      <c r="DX176"/>
      <c r="DY176"/>
      <c r="DZ176"/>
      <c r="EA176"/>
      <c r="EB176"/>
      <c r="EC176"/>
      <c r="ED176"/>
      <c r="EE176"/>
      <c r="EF176"/>
      <c r="EG176"/>
      <c r="EH176"/>
      <c r="EI176"/>
      <c r="EJ176"/>
      <c r="EK176"/>
      <c r="EL176"/>
      <c r="EM176"/>
      <c r="EN176"/>
      <c r="EO176"/>
      <c r="EP176"/>
      <c r="EQ176"/>
      <c r="ER176"/>
      <c r="ES176"/>
      <c r="ET176"/>
      <c r="EU176"/>
      <c r="EV176"/>
      <c r="EW176"/>
      <c r="EX176"/>
      <c r="EY176"/>
      <c r="EZ176"/>
      <c r="FA176"/>
      <c r="FB176"/>
      <c r="FC176"/>
      <c r="FD176"/>
      <c r="FE176"/>
      <c r="FF176"/>
      <c r="FG176"/>
      <c r="FH176"/>
      <c r="FI176"/>
      <c r="FJ176"/>
      <c r="FK176"/>
      <c r="FL176"/>
      <c r="FM176"/>
      <c r="FN176"/>
      <c r="FO176"/>
      <c r="FP176"/>
      <c r="FQ176"/>
      <c r="FR176"/>
      <c r="FS176"/>
      <c r="FT176"/>
      <c r="FU176"/>
      <c r="FV176"/>
      <c r="FW176"/>
      <c r="FX176"/>
      <c r="FY176"/>
      <c r="FZ176"/>
      <c r="GA176"/>
      <c r="GB176"/>
      <c r="GC176"/>
      <c r="GD176"/>
      <c r="GE176"/>
      <c r="GF176"/>
      <c r="GG176"/>
      <c r="GH176"/>
      <c r="GI176"/>
      <c r="GJ176"/>
      <c r="GK176"/>
      <c r="GL176"/>
      <c r="GM176"/>
      <c r="GN176"/>
      <c r="GO176"/>
      <c r="GP176"/>
      <c r="GQ176"/>
      <c r="GR176"/>
      <c r="GS176"/>
      <c r="GT176"/>
      <c r="GU176"/>
      <c r="GV176"/>
      <c r="GW176"/>
      <c r="GX176"/>
      <c r="GY176"/>
      <c r="GZ176"/>
      <c r="HA176"/>
      <c r="HB176"/>
      <c r="HC176"/>
      <c r="HD176"/>
      <c r="HE176"/>
      <c r="HF176"/>
      <c r="HG176"/>
      <c r="HH176"/>
      <c r="HI176"/>
      <c r="HJ176"/>
      <c r="HK176"/>
      <c r="HL176"/>
      <c r="HM176"/>
      <c r="HN176"/>
      <c r="HO176"/>
      <c r="HP176"/>
      <c r="HQ176"/>
      <c r="HR176"/>
      <c r="HS176"/>
      <c r="HT176"/>
      <c r="HU176"/>
      <c r="HV176"/>
      <c r="HW176"/>
      <c r="HX176"/>
      <c r="HY176"/>
      <c r="HZ176"/>
      <c r="IA176"/>
      <c r="IB176"/>
      <c r="IC176"/>
      <c r="ID176"/>
      <c r="IE176"/>
      <c r="IF176"/>
      <c r="IG176"/>
      <c r="IH176"/>
      <c r="II176"/>
      <c r="IJ176"/>
      <c r="IK176"/>
      <c r="IL176"/>
      <c r="IM176"/>
      <c r="IN176"/>
      <c r="IO176"/>
      <c r="IP176"/>
      <c r="IQ176"/>
      <c r="IR176"/>
      <c r="IS176"/>
      <c r="IT176"/>
      <c r="IU176"/>
      <c r="IV176"/>
      <c r="IW176"/>
      <c r="IX176"/>
      <c r="IY176"/>
      <c r="IZ176"/>
      <c r="JA176"/>
      <c r="JB176"/>
      <c r="JC176"/>
      <c r="JD176"/>
      <c r="JE176"/>
      <c r="JF176"/>
      <c r="JG176"/>
      <c r="JH176"/>
      <c r="JI176"/>
      <c r="JJ176"/>
      <c r="JK176"/>
      <c r="JL176"/>
      <c r="JM176"/>
      <c r="JN176"/>
      <c r="JO176"/>
      <c r="JP176"/>
      <c r="JQ176"/>
      <c r="JR176"/>
      <c r="JS176"/>
      <c r="JT176"/>
      <c r="JU176"/>
      <c r="JV176"/>
      <c r="JW176"/>
      <c r="JX176"/>
      <c r="JY176"/>
      <c r="JZ176"/>
      <c r="KA176"/>
      <c r="KB176"/>
      <c r="KC176"/>
      <c r="KD176"/>
      <c r="KE176"/>
      <c r="KF176"/>
      <c r="KG176"/>
      <c r="KH176"/>
      <c r="KI176"/>
      <c r="KJ176"/>
      <c r="KK176"/>
      <c r="KL176"/>
      <c r="KM176"/>
      <c r="KN176"/>
      <c r="KO176"/>
      <c r="KP176"/>
      <c r="KQ176"/>
      <c r="KR176"/>
      <c r="KS176"/>
      <c r="KT176"/>
      <c r="KU176"/>
      <c r="KV176"/>
      <c r="KW176"/>
      <c r="KX176"/>
      <c r="KY176"/>
      <c r="KZ176"/>
      <c r="LA176"/>
      <c r="LB176"/>
      <c r="LC176"/>
      <c r="LD176"/>
      <c r="LE176"/>
      <c r="LF176"/>
      <c r="LG176"/>
      <c r="LH176"/>
      <c r="LI176"/>
      <c r="LJ176"/>
      <c r="LK176"/>
      <c r="LL176"/>
      <c r="LM176"/>
      <c r="LN176"/>
      <c r="LO176"/>
      <c r="LP176"/>
      <c r="LQ176"/>
      <c r="LR176"/>
      <c r="LS176"/>
      <c r="LT176"/>
      <c r="LU176"/>
      <c r="LV176"/>
      <c r="LW176"/>
      <c r="LX176"/>
      <c r="LY176"/>
      <c r="LZ176"/>
      <c r="MA176"/>
      <c r="MB176"/>
      <c r="MC176"/>
      <c r="MD176"/>
      <c r="ME176"/>
      <c r="MF176"/>
      <c r="MG176"/>
      <c r="MH176"/>
      <c r="MI176"/>
      <c r="MJ176"/>
      <c r="MK176"/>
      <c r="ML176"/>
      <c r="MM176"/>
      <c r="MN176"/>
      <c r="MO176"/>
      <c r="MP176"/>
      <c r="MQ176"/>
      <c r="MR176"/>
      <c r="MS176"/>
      <c r="MT176"/>
      <c r="MU176"/>
      <c r="MV176"/>
      <c r="MW176"/>
      <c r="MX176"/>
      <c r="MY176"/>
      <c r="MZ176"/>
      <c r="NA176"/>
      <c r="NB176"/>
      <c r="NC176"/>
      <c r="ND176"/>
      <c r="NE176"/>
      <c r="NF176"/>
      <c r="NG176"/>
      <c r="NH176"/>
      <c r="NI176"/>
      <c r="NJ176"/>
      <c r="NK176"/>
      <c r="NL176"/>
      <c r="NM176"/>
      <c r="NN176"/>
      <c r="NO176"/>
      <c r="NP176"/>
      <c r="NQ176"/>
      <c r="NR176"/>
      <c r="NS176"/>
      <c r="NT176"/>
      <c r="NU176"/>
      <c r="NV176"/>
      <c r="NW176"/>
      <c r="NX176"/>
      <c r="NY176"/>
      <c r="NZ176"/>
      <c r="OA176"/>
      <c r="OB176"/>
      <c r="OC176"/>
      <c r="OD176"/>
      <c r="OE176"/>
      <c r="OF176"/>
      <c r="OG176"/>
      <c r="OH176"/>
      <c r="OI176"/>
      <c r="OJ176"/>
      <c r="OK176"/>
      <c r="OL176"/>
      <c r="OM176"/>
      <c r="ON176"/>
      <c r="OO176"/>
      <c r="OP176"/>
      <c r="OQ176"/>
      <c r="OR176"/>
      <c r="OS176"/>
      <c r="OT176"/>
      <c r="OU176"/>
      <c r="OV176"/>
      <c r="OW176"/>
      <c r="OX176"/>
      <c r="OY176"/>
      <c r="OZ176"/>
      <c r="PA176"/>
      <c r="PB176"/>
      <c r="PC176"/>
      <c r="PD176"/>
      <c r="PE176"/>
      <c r="PF176"/>
      <c r="PG176"/>
      <c r="PH176"/>
      <c r="PI176"/>
      <c r="PJ176"/>
      <c r="PK176"/>
      <c r="PL176"/>
      <c r="PM176"/>
      <c r="PN176"/>
      <c r="PO176"/>
      <c r="PP176"/>
      <c r="PQ176"/>
      <c r="PR176"/>
      <c r="PS176"/>
      <c r="PT176"/>
      <c r="PU176"/>
      <c r="PV176"/>
      <c r="PW176"/>
      <c r="PX176"/>
      <c r="PY176"/>
      <c r="PZ176"/>
      <c r="QA176"/>
      <c r="QB176"/>
      <c r="QC176"/>
      <c r="QD176"/>
      <c r="QE176"/>
      <c r="QF176"/>
      <c r="QG176"/>
      <c r="QH176"/>
      <c r="QI176"/>
      <c r="QJ176"/>
      <c r="QK176"/>
      <c r="QL176"/>
      <c r="QM176"/>
      <c r="QN176"/>
      <c r="QO176"/>
      <c r="QP176"/>
      <c r="QQ176"/>
      <c r="QR176"/>
      <c r="QS176"/>
      <c r="QT176"/>
      <c r="QU176"/>
      <c r="QV176"/>
      <c r="QW176"/>
      <c r="QX176"/>
      <c r="QY176"/>
      <c r="QZ176"/>
      <c r="RA176"/>
      <c r="RB176"/>
      <c r="RC176"/>
      <c r="RD176"/>
      <c r="RE176"/>
      <c r="RF176"/>
      <c r="RG176"/>
      <c r="RH176"/>
      <c r="RI176"/>
      <c r="RJ176"/>
      <c r="RK176"/>
      <c r="RL176"/>
      <c r="RM176"/>
      <c r="RN176"/>
      <c r="RO176"/>
      <c r="RP176"/>
      <c r="RQ176"/>
      <c r="RR176"/>
      <c r="RS176"/>
    </row>
    <row r="177" spans="3:487" x14ac:dyDescent="0.25">
      <c r="C177" s="2" t="s">
        <v>293</v>
      </c>
      <c r="D177" s="34">
        <v>1</v>
      </c>
      <c r="F177" s="2" t="s">
        <v>176</v>
      </c>
      <c r="G177" s="34">
        <v>1</v>
      </c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  <c r="CN177"/>
      <c r="CO177"/>
      <c r="CP177"/>
      <c r="CQ177"/>
      <c r="CR177"/>
      <c r="CS177"/>
      <c r="CT177"/>
      <c r="CU177"/>
      <c r="CV177"/>
      <c r="CW177"/>
      <c r="CX177"/>
      <c r="CY177"/>
      <c r="CZ177"/>
      <c r="DA177"/>
      <c r="DB177"/>
      <c r="DC177"/>
      <c r="DD177"/>
      <c r="DE177"/>
      <c r="DF177"/>
      <c r="DG177"/>
      <c r="DH177"/>
      <c r="DI177"/>
      <c r="DJ177"/>
      <c r="DK177"/>
      <c r="DL177"/>
      <c r="DM177"/>
      <c r="DN177"/>
      <c r="DO177"/>
      <c r="DP177"/>
      <c r="DQ177"/>
      <c r="DR177"/>
      <c r="DS177"/>
      <c r="DT177"/>
      <c r="DU177"/>
      <c r="DV177"/>
      <c r="DW177"/>
      <c r="DX177"/>
      <c r="DY177"/>
      <c r="DZ177"/>
      <c r="EA177"/>
      <c r="EB177"/>
      <c r="EC177"/>
      <c r="ED177"/>
      <c r="EE177"/>
      <c r="EF177"/>
      <c r="EG177"/>
      <c r="EH177"/>
      <c r="EI177"/>
      <c r="EJ177"/>
      <c r="EK177"/>
      <c r="EL177"/>
      <c r="EM177"/>
      <c r="EN177"/>
      <c r="EO177"/>
      <c r="EP177"/>
      <c r="EQ177"/>
      <c r="ER177"/>
      <c r="ES177"/>
      <c r="ET177"/>
      <c r="EU177"/>
      <c r="EV177"/>
      <c r="EW177"/>
      <c r="EX177"/>
      <c r="EY177"/>
      <c r="EZ177"/>
      <c r="FA177"/>
      <c r="FB177"/>
      <c r="FC177"/>
      <c r="FD177"/>
      <c r="FE177"/>
      <c r="FF177"/>
      <c r="FG177"/>
      <c r="FH177"/>
      <c r="FI177"/>
      <c r="FJ177"/>
      <c r="FK177"/>
      <c r="FL177"/>
      <c r="FM177"/>
      <c r="FN177"/>
      <c r="FO177"/>
      <c r="FP177"/>
      <c r="FQ177"/>
      <c r="FR177"/>
      <c r="FS177"/>
      <c r="FT177"/>
      <c r="FU177"/>
      <c r="FV177"/>
      <c r="FW177"/>
      <c r="FX177"/>
      <c r="FY177"/>
      <c r="FZ177"/>
      <c r="GA177"/>
      <c r="GB177"/>
      <c r="GC177"/>
      <c r="GD177"/>
      <c r="GE177"/>
      <c r="GF177"/>
      <c r="GG177"/>
      <c r="GH177"/>
      <c r="GI177"/>
      <c r="GJ177"/>
      <c r="GK177"/>
      <c r="GL177"/>
      <c r="GM177"/>
      <c r="GN177"/>
      <c r="GO177"/>
      <c r="GP177"/>
      <c r="GQ177"/>
      <c r="GR177"/>
      <c r="GS177"/>
      <c r="GT177"/>
      <c r="GU177"/>
      <c r="GV177"/>
      <c r="GW177"/>
      <c r="GX177"/>
      <c r="GY177"/>
      <c r="GZ177"/>
      <c r="HA177"/>
      <c r="HB177"/>
      <c r="HC177"/>
      <c r="HD177"/>
      <c r="HE177"/>
      <c r="HF177"/>
      <c r="HG177"/>
      <c r="HH177"/>
      <c r="HI177"/>
      <c r="HJ177"/>
      <c r="HK177"/>
      <c r="HL177"/>
      <c r="HM177"/>
      <c r="HN177"/>
      <c r="HO177"/>
      <c r="HP177"/>
      <c r="HQ177"/>
      <c r="HR177"/>
      <c r="HS177"/>
      <c r="HT177"/>
      <c r="HU177"/>
      <c r="HV177"/>
      <c r="HW177"/>
      <c r="HX177"/>
      <c r="HY177"/>
      <c r="HZ177"/>
      <c r="IA177"/>
      <c r="IB177"/>
      <c r="IC177"/>
      <c r="ID177"/>
      <c r="IE177"/>
      <c r="IF177"/>
      <c r="IG177"/>
      <c r="IH177"/>
      <c r="II177"/>
      <c r="IJ177"/>
      <c r="IK177"/>
      <c r="IL177"/>
      <c r="IM177"/>
      <c r="IN177"/>
      <c r="IO177"/>
      <c r="IP177"/>
      <c r="IQ177"/>
      <c r="IR177"/>
      <c r="IS177"/>
      <c r="IT177"/>
      <c r="IU177"/>
      <c r="IV177"/>
      <c r="IW177"/>
      <c r="IX177"/>
      <c r="IY177"/>
      <c r="IZ177"/>
      <c r="JA177"/>
      <c r="JB177"/>
      <c r="JC177"/>
      <c r="JD177"/>
      <c r="JE177"/>
      <c r="JF177"/>
      <c r="JG177"/>
      <c r="JH177"/>
      <c r="JI177"/>
      <c r="JJ177"/>
      <c r="JK177"/>
      <c r="JL177"/>
      <c r="JM177"/>
      <c r="JN177"/>
      <c r="JO177"/>
      <c r="JP177"/>
      <c r="JQ177"/>
      <c r="JR177"/>
      <c r="JS177"/>
      <c r="JT177"/>
      <c r="JU177"/>
      <c r="JV177"/>
      <c r="JW177"/>
      <c r="JX177"/>
      <c r="JY177"/>
      <c r="JZ177"/>
      <c r="KA177"/>
      <c r="KB177"/>
      <c r="KC177"/>
      <c r="KD177"/>
      <c r="KE177"/>
      <c r="KF177"/>
      <c r="KG177"/>
      <c r="KH177"/>
      <c r="KI177"/>
      <c r="KJ177"/>
      <c r="KK177"/>
      <c r="KL177"/>
      <c r="KM177"/>
      <c r="KN177"/>
      <c r="KO177"/>
      <c r="KP177"/>
      <c r="KQ177"/>
      <c r="KR177"/>
      <c r="KS177"/>
      <c r="KT177"/>
      <c r="KU177"/>
      <c r="KV177"/>
      <c r="KW177"/>
      <c r="KX177"/>
      <c r="KY177"/>
      <c r="KZ177"/>
      <c r="LA177"/>
      <c r="LB177"/>
      <c r="LC177"/>
      <c r="LD177"/>
      <c r="LE177"/>
      <c r="LF177"/>
      <c r="LG177"/>
      <c r="LH177"/>
      <c r="LI177"/>
      <c r="LJ177"/>
      <c r="LK177"/>
      <c r="LL177"/>
      <c r="LM177"/>
      <c r="LN177"/>
      <c r="LO177"/>
      <c r="LP177"/>
      <c r="LQ177"/>
      <c r="LR177"/>
      <c r="LS177"/>
      <c r="LT177"/>
      <c r="LU177"/>
      <c r="LV177"/>
      <c r="LW177"/>
      <c r="LX177"/>
      <c r="LY177"/>
      <c r="LZ177"/>
      <c r="MA177"/>
      <c r="MB177"/>
      <c r="MC177"/>
      <c r="MD177"/>
      <c r="ME177"/>
      <c r="MF177"/>
      <c r="MG177"/>
      <c r="MH177"/>
      <c r="MI177"/>
      <c r="MJ177"/>
      <c r="MK177"/>
      <c r="ML177"/>
      <c r="MM177"/>
      <c r="MN177"/>
      <c r="MO177"/>
      <c r="MP177"/>
      <c r="MQ177"/>
      <c r="MR177"/>
      <c r="MS177"/>
      <c r="MT177"/>
      <c r="MU177"/>
      <c r="MV177"/>
      <c r="MW177"/>
      <c r="MX177"/>
      <c r="MY177"/>
      <c r="MZ177"/>
      <c r="NA177"/>
      <c r="NB177"/>
      <c r="NC177"/>
      <c r="ND177"/>
      <c r="NE177"/>
      <c r="NF177"/>
      <c r="NG177"/>
      <c r="NH177"/>
      <c r="NI177"/>
      <c r="NJ177"/>
      <c r="NK177"/>
      <c r="NL177"/>
      <c r="NM177"/>
      <c r="NN177"/>
      <c r="NO177"/>
      <c r="NP177"/>
      <c r="NQ177"/>
      <c r="NR177"/>
      <c r="NS177"/>
      <c r="NT177"/>
      <c r="NU177"/>
      <c r="NV177"/>
      <c r="NW177"/>
      <c r="NX177"/>
      <c r="NY177"/>
      <c r="NZ177"/>
      <c r="OA177"/>
      <c r="OB177"/>
      <c r="OC177"/>
      <c r="OD177"/>
      <c r="OE177"/>
      <c r="OF177"/>
      <c r="OG177"/>
      <c r="OH177"/>
      <c r="OI177"/>
      <c r="OJ177"/>
      <c r="OK177"/>
      <c r="OL177"/>
      <c r="OM177"/>
      <c r="ON177"/>
      <c r="OO177"/>
      <c r="OP177"/>
      <c r="OQ177"/>
      <c r="OR177"/>
      <c r="OS177"/>
      <c r="OT177"/>
      <c r="OU177"/>
      <c r="OV177"/>
      <c r="OW177"/>
      <c r="OX177"/>
      <c r="OY177"/>
      <c r="OZ177"/>
      <c r="PA177"/>
      <c r="PB177"/>
      <c r="PC177"/>
      <c r="PD177"/>
      <c r="PE177"/>
      <c r="PF177"/>
      <c r="PG177"/>
      <c r="PH177"/>
      <c r="PI177"/>
      <c r="PJ177"/>
      <c r="PK177"/>
      <c r="PL177"/>
      <c r="PM177"/>
      <c r="PN177"/>
      <c r="PO177"/>
      <c r="PP177"/>
      <c r="PQ177"/>
      <c r="PR177"/>
      <c r="PS177"/>
      <c r="PT177"/>
      <c r="PU177"/>
      <c r="PV177"/>
      <c r="PW177"/>
      <c r="PX177"/>
      <c r="PY177"/>
      <c r="PZ177"/>
      <c r="QA177"/>
      <c r="QB177"/>
      <c r="QC177"/>
      <c r="QD177"/>
      <c r="QE177"/>
      <c r="QF177"/>
      <c r="QG177"/>
      <c r="QH177"/>
      <c r="QI177"/>
      <c r="QJ177"/>
      <c r="QK177"/>
      <c r="QL177"/>
      <c r="QM177"/>
      <c r="QN177"/>
      <c r="QO177"/>
      <c r="QP177"/>
      <c r="QQ177"/>
      <c r="QR177"/>
      <c r="QS177"/>
      <c r="QT177"/>
      <c r="QU177"/>
      <c r="QV177"/>
      <c r="QW177"/>
      <c r="QX177"/>
      <c r="QY177"/>
      <c r="QZ177"/>
      <c r="RA177"/>
      <c r="RB177"/>
      <c r="RC177"/>
      <c r="RD177"/>
      <c r="RE177"/>
      <c r="RF177"/>
      <c r="RG177"/>
      <c r="RH177"/>
      <c r="RI177"/>
      <c r="RJ177"/>
      <c r="RK177"/>
      <c r="RL177"/>
      <c r="RM177"/>
      <c r="RN177"/>
      <c r="RO177"/>
      <c r="RP177"/>
      <c r="RQ177"/>
      <c r="RR177"/>
      <c r="RS177"/>
    </row>
    <row r="178" spans="3:487" x14ac:dyDescent="0.25">
      <c r="C178" s="2" t="s">
        <v>189</v>
      </c>
      <c r="D178" s="34">
        <v>1</v>
      </c>
      <c r="F178" s="2" t="s">
        <v>1286</v>
      </c>
      <c r="G178" s="34">
        <v>1</v>
      </c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  <c r="CN178"/>
      <c r="CO178"/>
      <c r="CP178"/>
      <c r="CQ178"/>
      <c r="CR178"/>
      <c r="CS178"/>
      <c r="CT178"/>
      <c r="CU178"/>
      <c r="CV178"/>
      <c r="CW178"/>
      <c r="CX178"/>
      <c r="CY178"/>
      <c r="CZ178"/>
      <c r="DA178"/>
      <c r="DB178"/>
      <c r="DC178"/>
      <c r="DD178"/>
      <c r="DE178"/>
      <c r="DF178"/>
      <c r="DG178"/>
      <c r="DH178"/>
      <c r="DI178"/>
      <c r="DJ178"/>
      <c r="DK178"/>
      <c r="DL178"/>
      <c r="DM178"/>
      <c r="DN178"/>
      <c r="DO178"/>
      <c r="DP178"/>
      <c r="DQ178"/>
      <c r="DR178"/>
      <c r="DS178"/>
      <c r="DT178"/>
      <c r="DU178"/>
      <c r="DV178"/>
      <c r="DW178"/>
      <c r="DX178"/>
      <c r="DY178"/>
      <c r="DZ178"/>
      <c r="EA178"/>
      <c r="EB178"/>
      <c r="EC178"/>
      <c r="ED178"/>
      <c r="EE178"/>
      <c r="EF178"/>
      <c r="EG178"/>
      <c r="EH178"/>
      <c r="EI178"/>
      <c r="EJ178"/>
      <c r="EK178"/>
      <c r="EL178"/>
      <c r="EM178"/>
      <c r="EN178"/>
      <c r="EO178"/>
      <c r="EP178"/>
      <c r="EQ178"/>
      <c r="ER178"/>
      <c r="ES178"/>
      <c r="ET178"/>
      <c r="EU178"/>
      <c r="EV178"/>
      <c r="EW178"/>
      <c r="EX178"/>
      <c r="EY178"/>
      <c r="EZ178"/>
      <c r="FA178"/>
      <c r="FB178"/>
      <c r="FC178"/>
      <c r="FD178"/>
      <c r="FE178"/>
      <c r="FF178"/>
      <c r="FG178"/>
      <c r="FH178"/>
      <c r="FI178"/>
      <c r="FJ178"/>
      <c r="FK178"/>
      <c r="FL178"/>
      <c r="FM178"/>
      <c r="FN178"/>
      <c r="FO178"/>
      <c r="FP178"/>
      <c r="FQ178"/>
      <c r="FR178"/>
      <c r="FS178"/>
      <c r="FT178"/>
      <c r="FU178"/>
      <c r="FV178"/>
      <c r="FW178"/>
      <c r="FX178"/>
      <c r="FY178"/>
      <c r="FZ178"/>
      <c r="GA178"/>
      <c r="GB178"/>
      <c r="GC178"/>
      <c r="GD178"/>
      <c r="GE178"/>
      <c r="GF178"/>
      <c r="GG178"/>
      <c r="GH178"/>
      <c r="GI178"/>
      <c r="GJ178"/>
      <c r="GK178"/>
      <c r="GL178"/>
      <c r="GM178"/>
      <c r="GN178"/>
      <c r="GO178"/>
      <c r="GP178"/>
      <c r="GQ178"/>
      <c r="GR178"/>
      <c r="GS178"/>
      <c r="GT178"/>
      <c r="GU178"/>
      <c r="GV178"/>
      <c r="GW178"/>
      <c r="GX178"/>
      <c r="GY178"/>
      <c r="GZ178"/>
      <c r="HA178"/>
      <c r="HB178"/>
      <c r="HC178"/>
      <c r="HD178"/>
      <c r="HE178"/>
      <c r="HF178"/>
      <c r="HG178"/>
      <c r="HH178"/>
      <c r="HI178"/>
      <c r="HJ178"/>
      <c r="HK178"/>
      <c r="HL178"/>
      <c r="HM178"/>
      <c r="HN178"/>
      <c r="HO178"/>
      <c r="HP178"/>
      <c r="HQ178"/>
      <c r="HR178"/>
      <c r="HS178"/>
      <c r="HT178"/>
      <c r="HU178"/>
      <c r="HV178"/>
      <c r="HW178"/>
      <c r="HX178"/>
      <c r="HY178"/>
      <c r="HZ178"/>
      <c r="IA178"/>
      <c r="IB178"/>
      <c r="IC178"/>
      <c r="ID178"/>
      <c r="IE178"/>
      <c r="IF178"/>
      <c r="IG178"/>
      <c r="IH178"/>
      <c r="II178"/>
      <c r="IJ178"/>
      <c r="IK178"/>
      <c r="IL178"/>
      <c r="IM178"/>
      <c r="IN178"/>
      <c r="IO178"/>
      <c r="IP178"/>
      <c r="IQ178"/>
      <c r="IR178"/>
      <c r="IS178"/>
      <c r="IT178"/>
      <c r="IU178"/>
      <c r="IV178"/>
      <c r="IW178"/>
      <c r="IX178"/>
      <c r="IY178"/>
      <c r="IZ178"/>
      <c r="JA178"/>
      <c r="JB178"/>
      <c r="JC178"/>
      <c r="JD178"/>
      <c r="JE178"/>
      <c r="JF178"/>
      <c r="JG178"/>
      <c r="JH178"/>
      <c r="JI178"/>
      <c r="JJ178"/>
      <c r="JK178"/>
      <c r="JL178"/>
      <c r="JM178"/>
      <c r="JN178"/>
      <c r="JO178"/>
      <c r="JP178"/>
      <c r="JQ178"/>
      <c r="JR178"/>
      <c r="JS178"/>
      <c r="JT178"/>
      <c r="JU178"/>
      <c r="JV178"/>
      <c r="JW178"/>
      <c r="JX178"/>
      <c r="JY178"/>
      <c r="JZ178"/>
      <c r="KA178"/>
      <c r="KB178"/>
      <c r="KC178"/>
      <c r="KD178"/>
      <c r="KE178"/>
      <c r="KF178"/>
      <c r="KG178"/>
      <c r="KH178"/>
      <c r="KI178"/>
      <c r="KJ178"/>
      <c r="KK178"/>
      <c r="KL178"/>
      <c r="KM178"/>
      <c r="KN178"/>
      <c r="KO178"/>
      <c r="KP178"/>
      <c r="KQ178"/>
      <c r="KR178"/>
      <c r="KS178"/>
      <c r="KT178"/>
      <c r="KU178"/>
      <c r="KV178"/>
      <c r="KW178"/>
      <c r="KX178"/>
      <c r="KY178"/>
      <c r="KZ178"/>
      <c r="LA178"/>
      <c r="LB178"/>
      <c r="LC178"/>
      <c r="LD178"/>
      <c r="LE178"/>
      <c r="LF178"/>
      <c r="LG178"/>
      <c r="LH178"/>
      <c r="LI178"/>
      <c r="LJ178"/>
      <c r="LK178"/>
      <c r="LL178"/>
      <c r="LM178"/>
      <c r="LN178"/>
      <c r="LO178"/>
      <c r="LP178"/>
      <c r="LQ178"/>
      <c r="LR178"/>
      <c r="LS178"/>
      <c r="LT178"/>
      <c r="LU178"/>
      <c r="LV178"/>
      <c r="LW178"/>
      <c r="LX178"/>
      <c r="LY178"/>
      <c r="LZ178"/>
      <c r="MA178"/>
      <c r="MB178"/>
      <c r="MC178"/>
      <c r="MD178"/>
      <c r="ME178"/>
      <c r="MF178"/>
      <c r="MG178"/>
      <c r="MH178"/>
      <c r="MI178"/>
      <c r="MJ178"/>
      <c r="MK178"/>
      <c r="ML178"/>
      <c r="MM178"/>
      <c r="MN178"/>
      <c r="MO178"/>
      <c r="MP178"/>
      <c r="MQ178"/>
      <c r="MR178"/>
      <c r="MS178"/>
      <c r="MT178"/>
      <c r="MU178"/>
      <c r="MV178"/>
      <c r="MW178"/>
      <c r="MX178"/>
      <c r="MY178"/>
      <c r="MZ178"/>
      <c r="NA178"/>
      <c r="NB178"/>
      <c r="NC178"/>
      <c r="ND178"/>
      <c r="NE178"/>
      <c r="NF178"/>
      <c r="NG178"/>
      <c r="NH178"/>
      <c r="NI178"/>
      <c r="NJ178"/>
      <c r="NK178"/>
      <c r="NL178"/>
      <c r="NM178"/>
      <c r="NN178"/>
      <c r="NO178"/>
      <c r="NP178"/>
      <c r="NQ178"/>
      <c r="NR178"/>
      <c r="NS178"/>
      <c r="NT178"/>
      <c r="NU178"/>
      <c r="NV178"/>
      <c r="NW178"/>
      <c r="NX178"/>
      <c r="NY178"/>
      <c r="NZ178"/>
      <c r="OA178"/>
      <c r="OB178"/>
      <c r="OC178"/>
      <c r="OD178"/>
      <c r="OE178"/>
      <c r="OF178"/>
      <c r="OG178"/>
      <c r="OH178"/>
      <c r="OI178"/>
      <c r="OJ178"/>
      <c r="OK178"/>
      <c r="OL178"/>
      <c r="OM178"/>
      <c r="ON178"/>
      <c r="OO178"/>
      <c r="OP178"/>
      <c r="OQ178"/>
      <c r="OR178"/>
      <c r="OS178"/>
      <c r="OT178"/>
      <c r="OU178"/>
      <c r="OV178"/>
      <c r="OW178"/>
      <c r="OX178"/>
      <c r="OY178"/>
      <c r="OZ178"/>
      <c r="PA178"/>
      <c r="PB178"/>
      <c r="PC178"/>
      <c r="PD178"/>
      <c r="PE178"/>
      <c r="PF178"/>
      <c r="PG178"/>
      <c r="PH178"/>
      <c r="PI178"/>
      <c r="PJ178"/>
      <c r="PK178"/>
      <c r="PL178"/>
      <c r="PM178"/>
      <c r="PN178"/>
      <c r="PO178"/>
      <c r="PP178"/>
      <c r="PQ178"/>
      <c r="PR178"/>
      <c r="PS178"/>
      <c r="PT178"/>
      <c r="PU178"/>
      <c r="PV178"/>
      <c r="PW178"/>
      <c r="PX178"/>
      <c r="PY178"/>
      <c r="PZ178"/>
      <c r="QA178"/>
      <c r="QB178"/>
      <c r="QC178"/>
      <c r="QD178"/>
      <c r="QE178"/>
      <c r="QF178"/>
      <c r="QG178"/>
      <c r="QH178"/>
      <c r="QI178"/>
      <c r="QJ178"/>
      <c r="QK178"/>
      <c r="QL178"/>
      <c r="QM178"/>
      <c r="QN178"/>
      <c r="QO178"/>
      <c r="QP178"/>
      <c r="QQ178"/>
      <c r="QR178"/>
      <c r="QS178"/>
      <c r="QT178"/>
      <c r="QU178"/>
      <c r="QV178"/>
      <c r="QW178"/>
      <c r="QX178"/>
      <c r="QY178"/>
      <c r="QZ178"/>
      <c r="RA178"/>
      <c r="RB178"/>
      <c r="RC178"/>
      <c r="RD178"/>
      <c r="RE178"/>
      <c r="RF178"/>
      <c r="RG178"/>
      <c r="RH178"/>
      <c r="RI178"/>
      <c r="RJ178"/>
      <c r="RK178"/>
      <c r="RL178"/>
      <c r="RM178"/>
      <c r="RN178"/>
      <c r="RO178"/>
      <c r="RP178"/>
      <c r="RQ178"/>
      <c r="RR178"/>
      <c r="RS178"/>
    </row>
    <row r="179" spans="3:487" x14ac:dyDescent="0.25">
      <c r="C179" s="2" t="s">
        <v>320</v>
      </c>
      <c r="D179" s="34">
        <v>1</v>
      </c>
      <c r="F179" s="2" t="s">
        <v>3538</v>
      </c>
      <c r="G179" s="34">
        <v>1</v>
      </c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  <c r="CN179"/>
      <c r="CO179"/>
      <c r="CP179"/>
      <c r="CQ179"/>
      <c r="CR179"/>
      <c r="CS179"/>
      <c r="CT179"/>
      <c r="CU179"/>
      <c r="CV179"/>
      <c r="CW179"/>
      <c r="CX179"/>
      <c r="CY179"/>
      <c r="CZ179"/>
      <c r="DA179"/>
      <c r="DB179"/>
      <c r="DC179"/>
      <c r="DD179"/>
      <c r="DE179"/>
      <c r="DF179"/>
      <c r="DG179"/>
      <c r="DH179"/>
      <c r="DI179"/>
      <c r="DJ179"/>
      <c r="DK179"/>
      <c r="DL179"/>
      <c r="DM179"/>
      <c r="DN179"/>
      <c r="DO179"/>
      <c r="DP179"/>
      <c r="DQ179"/>
      <c r="DR179"/>
      <c r="DS179"/>
      <c r="DT179"/>
      <c r="DU179"/>
      <c r="DV179"/>
      <c r="DW179"/>
      <c r="DX179"/>
      <c r="DY179"/>
      <c r="DZ179"/>
      <c r="EA179"/>
      <c r="EB179"/>
      <c r="EC179"/>
      <c r="ED179"/>
      <c r="EE179"/>
      <c r="EF179"/>
      <c r="EG179"/>
      <c r="EH179"/>
      <c r="EI179"/>
      <c r="EJ179"/>
      <c r="EK179"/>
      <c r="EL179"/>
      <c r="EM179"/>
      <c r="EN179"/>
      <c r="EO179"/>
      <c r="EP179"/>
      <c r="EQ179"/>
      <c r="ER179"/>
      <c r="ES179"/>
      <c r="ET179"/>
      <c r="EU179"/>
      <c r="EV179"/>
      <c r="EW179"/>
      <c r="EX179"/>
      <c r="EY179"/>
      <c r="EZ179"/>
      <c r="FA179"/>
      <c r="FB179"/>
      <c r="FC179"/>
      <c r="FD179"/>
      <c r="FE179"/>
      <c r="FF179"/>
      <c r="FG179"/>
      <c r="FH179"/>
      <c r="FI179"/>
      <c r="FJ179"/>
      <c r="FK179"/>
      <c r="FL179"/>
      <c r="FM179"/>
      <c r="FN179"/>
      <c r="FO179"/>
      <c r="FP179"/>
      <c r="FQ179"/>
      <c r="FR179"/>
      <c r="FS179"/>
      <c r="FT179"/>
      <c r="FU179"/>
      <c r="FV179"/>
      <c r="FW179"/>
      <c r="FX179"/>
      <c r="FY179"/>
      <c r="FZ179"/>
      <c r="GA179"/>
      <c r="GB179"/>
      <c r="GC179"/>
      <c r="GD179"/>
      <c r="GE179"/>
      <c r="GF179"/>
      <c r="GG179"/>
      <c r="GH179"/>
      <c r="GI179"/>
      <c r="GJ179"/>
      <c r="GK179"/>
      <c r="GL179"/>
      <c r="GM179"/>
      <c r="GN179"/>
      <c r="GO179"/>
      <c r="GP179"/>
      <c r="GQ179"/>
      <c r="GR179"/>
      <c r="GS179"/>
      <c r="GT179"/>
      <c r="GU179"/>
      <c r="GV179"/>
      <c r="GW179"/>
      <c r="GX179"/>
      <c r="GY179"/>
      <c r="GZ179"/>
      <c r="HA179"/>
      <c r="HB179"/>
      <c r="HC179"/>
      <c r="HD179"/>
      <c r="HE179"/>
      <c r="HF179"/>
      <c r="HG179"/>
      <c r="HH179"/>
      <c r="HI179"/>
      <c r="HJ179"/>
      <c r="HK179"/>
      <c r="HL179"/>
      <c r="HM179"/>
      <c r="HN179"/>
      <c r="HO179"/>
      <c r="HP179"/>
      <c r="HQ179"/>
      <c r="HR179"/>
      <c r="HS179"/>
      <c r="HT179"/>
      <c r="HU179"/>
      <c r="HV179"/>
      <c r="HW179"/>
      <c r="HX179"/>
      <c r="HY179"/>
      <c r="HZ179"/>
      <c r="IA179"/>
      <c r="IB179"/>
      <c r="IC179"/>
      <c r="ID179"/>
      <c r="IE179"/>
      <c r="IF179"/>
      <c r="IG179"/>
      <c r="IH179"/>
      <c r="II179"/>
      <c r="IJ179"/>
      <c r="IK179"/>
      <c r="IL179"/>
      <c r="IM179"/>
      <c r="IN179"/>
      <c r="IO179"/>
      <c r="IP179"/>
      <c r="IQ179"/>
      <c r="IR179"/>
      <c r="IS179"/>
      <c r="IT179"/>
      <c r="IU179"/>
      <c r="IV179"/>
      <c r="IW179"/>
      <c r="IX179"/>
      <c r="IY179"/>
      <c r="IZ179"/>
      <c r="JA179"/>
      <c r="JB179"/>
      <c r="JC179"/>
      <c r="JD179"/>
      <c r="JE179"/>
      <c r="JF179"/>
      <c r="JG179"/>
      <c r="JH179"/>
      <c r="JI179"/>
      <c r="JJ179"/>
      <c r="JK179"/>
      <c r="JL179"/>
      <c r="JM179"/>
      <c r="JN179"/>
      <c r="JO179"/>
      <c r="JP179"/>
      <c r="JQ179"/>
      <c r="JR179"/>
      <c r="JS179"/>
      <c r="JT179"/>
      <c r="JU179"/>
      <c r="JV179"/>
      <c r="JW179"/>
      <c r="JX179"/>
      <c r="JY179"/>
      <c r="JZ179"/>
      <c r="KA179"/>
      <c r="KB179"/>
      <c r="KC179"/>
      <c r="KD179"/>
      <c r="KE179"/>
      <c r="KF179"/>
      <c r="KG179"/>
      <c r="KH179"/>
      <c r="KI179"/>
      <c r="KJ179"/>
      <c r="KK179"/>
      <c r="KL179"/>
      <c r="KM179"/>
      <c r="KN179"/>
      <c r="KO179"/>
      <c r="KP179"/>
      <c r="KQ179"/>
      <c r="KR179"/>
      <c r="KS179"/>
      <c r="KT179"/>
      <c r="KU179"/>
      <c r="KV179"/>
      <c r="KW179"/>
      <c r="KX179"/>
      <c r="KY179"/>
      <c r="KZ179"/>
      <c r="LA179"/>
      <c r="LB179"/>
      <c r="LC179"/>
      <c r="LD179"/>
      <c r="LE179"/>
      <c r="LF179"/>
      <c r="LG179"/>
      <c r="LH179"/>
      <c r="LI179"/>
      <c r="LJ179"/>
      <c r="LK179"/>
      <c r="LL179"/>
      <c r="LM179"/>
      <c r="LN179"/>
      <c r="LO179"/>
      <c r="LP179"/>
      <c r="LQ179"/>
      <c r="LR179"/>
      <c r="LS179"/>
      <c r="LT179"/>
      <c r="LU179"/>
      <c r="LV179"/>
      <c r="LW179"/>
      <c r="LX179"/>
      <c r="LY179"/>
      <c r="LZ179"/>
      <c r="MA179"/>
      <c r="MB179"/>
      <c r="MC179"/>
      <c r="MD179"/>
      <c r="ME179"/>
      <c r="MF179"/>
      <c r="MG179"/>
      <c r="MH179"/>
      <c r="MI179"/>
      <c r="MJ179"/>
      <c r="MK179"/>
      <c r="ML179"/>
      <c r="MM179"/>
      <c r="MN179"/>
      <c r="MO179"/>
      <c r="MP179"/>
      <c r="MQ179"/>
      <c r="MR179"/>
      <c r="MS179"/>
      <c r="MT179"/>
      <c r="MU179"/>
      <c r="MV179"/>
      <c r="MW179"/>
      <c r="MX179"/>
      <c r="MY179"/>
      <c r="MZ179"/>
      <c r="NA179"/>
      <c r="NB179"/>
      <c r="NC179"/>
      <c r="ND179"/>
      <c r="NE179"/>
      <c r="NF179"/>
      <c r="NG179"/>
      <c r="NH179"/>
      <c r="NI179"/>
      <c r="NJ179"/>
      <c r="NK179"/>
      <c r="NL179"/>
      <c r="NM179"/>
      <c r="NN179"/>
      <c r="NO179"/>
      <c r="NP179"/>
      <c r="NQ179"/>
      <c r="NR179"/>
      <c r="NS179"/>
      <c r="NT179"/>
      <c r="NU179"/>
      <c r="NV179"/>
      <c r="NW179"/>
      <c r="NX179"/>
      <c r="NY179"/>
      <c r="NZ179"/>
      <c r="OA179"/>
      <c r="OB179"/>
      <c r="OC179"/>
      <c r="OD179"/>
      <c r="OE179"/>
      <c r="OF179"/>
      <c r="OG179"/>
      <c r="OH179"/>
      <c r="OI179"/>
      <c r="OJ179"/>
      <c r="OK179"/>
      <c r="OL179"/>
      <c r="OM179"/>
      <c r="ON179"/>
      <c r="OO179"/>
      <c r="OP179"/>
      <c r="OQ179"/>
      <c r="OR179"/>
      <c r="OS179"/>
      <c r="OT179"/>
      <c r="OU179"/>
      <c r="OV179"/>
      <c r="OW179"/>
      <c r="OX179"/>
      <c r="OY179"/>
      <c r="OZ179"/>
      <c r="PA179"/>
      <c r="PB179"/>
      <c r="PC179"/>
      <c r="PD179"/>
      <c r="PE179"/>
      <c r="PF179"/>
      <c r="PG179"/>
      <c r="PH179"/>
      <c r="PI179"/>
      <c r="PJ179"/>
      <c r="PK179"/>
      <c r="PL179"/>
      <c r="PM179"/>
      <c r="PN179"/>
      <c r="PO179"/>
      <c r="PP179"/>
      <c r="PQ179"/>
      <c r="PR179"/>
      <c r="PS179"/>
      <c r="PT179"/>
      <c r="PU179"/>
      <c r="PV179"/>
      <c r="PW179"/>
      <c r="PX179"/>
      <c r="PY179"/>
      <c r="PZ179"/>
      <c r="QA179"/>
      <c r="QB179"/>
      <c r="QC179"/>
      <c r="QD179"/>
      <c r="QE179"/>
      <c r="QF179"/>
      <c r="QG179"/>
      <c r="QH179"/>
      <c r="QI179"/>
      <c r="QJ179"/>
      <c r="QK179"/>
      <c r="QL179"/>
      <c r="QM179"/>
      <c r="QN179"/>
      <c r="QO179"/>
      <c r="QP179"/>
      <c r="QQ179"/>
      <c r="QR179"/>
      <c r="QS179"/>
      <c r="QT179"/>
      <c r="QU179"/>
      <c r="QV179"/>
      <c r="QW179"/>
      <c r="QX179"/>
      <c r="QY179"/>
      <c r="QZ179"/>
      <c r="RA179"/>
      <c r="RB179"/>
      <c r="RC179"/>
      <c r="RD179"/>
      <c r="RE179"/>
      <c r="RF179"/>
      <c r="RG179"/>
      <c r="RH179"/>
      <c r="RI179"/>
      <c r="RJ179"/>
      <c r="RK179"/>
      <c r="RL179"/>
      <c r="RM179"/>
      <c r="RN179"/>
      <c r="RO179"/>
      <c r="RP179"/>
      <c r="RQ179"/>
      <c r="RR179"/>
      <c r="RS179"/>
    </row>
    <row r="180" spans="3:487" x14ac:dyDescent="0.25">
      <c r="C180" s="2" t="s">
        <v>3642</v>
      </c>
      <c r="D180" s="34">
        <v>1</v>
      </c>
      <c r="F180" s="2" t="s">
        <v>3793</v>
      </c>
      <c r="G180" s="34">
        <v>1</v>
      </c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  <c r="CN180"/>
      <c r="CO180"/>
      <c r="CP180"/>
      <c r="CQ180"/>
      <c r="CR180"/>
      <c r="CS180"/>
      <c r="CT180"/>
      <c r="CU180"/>
      <c r="CV180"/>
      <c r="CW180"/>
      <c r="CX180"/>
      <c r="CY180"/>
      <c r="CZ180"/>
      <c r="DA180"/>
      <c r="DB180"/>
      <c r="DC180"/>
      <c r="DD180"/>
      <c r="DE180"/>
      <c r="DF180"/>
      <c r="DG180"/>
      <c r="DH180"/>
      <c r="DI180"/>
      <c r="DJ180"/>
      <c r="DK180"/>
      <c r="DL180"/>
      <c r="DM180"/>
      <c r="DN180"/>
      <c r="DO180"/>
      <c r="DP180"/>
      <c r="DQ180"/>
      <c r="DR180"/>
      <c r="DS180"/>
      <c r="DT180"/>
      <c r="DU180"/>
      <c r="DV180"/>
      <c r="DW180"/>
      <c r="DX180"/>
      <c r="DY180"/>
      <c r="DZ180"/>
      <c r="EA180"/>
      <c r="EB180"/>
      <c r="EC180"/>
      <c r="ED180"/>
      <c r="EE180"/>
      <c r="EF180"/>
      <c r="EG180"/>
      <c r="EH180"/>
      <c r="EI180"/>
      <c r="EJ180"/>
      <c r="EK180"/>
      <c r="EL180"/>
      <c r="EM180"/>
      <c r="EN180"/>
      <c r="EO180"/>
      <c r="EP180"/>
      <c r="EQ180"/>
      <c r="ER180"/>
      <c r="ES180"/>
      <c r="ET180"/>
      <c r="EU180"/>
      <c r="EV180"/>
      <c r="EW180"/>
      <c r="EX180"/>
      <c r="EY180"/>
      <c r="EZ180"/>
      <c r="FA180"/>
      <c r="FB180"/>
      <c r="FC180"/>
      <c r="FD180"/>
      <c r="FE180"/>
      <c r="FF180"/>
      <c r="FG180"/>
      <c r="FH180"/>
      <c r="FI180"/>
      <c r="FJ180"/>
      <c r="FK180"/>
      <c r="FL180"/>
      <c r="FM180"/>
      <c r="FN180"/>
      <c r="FO180"/>
      <c r="FP180"/>
      <c r="FQ180"/>
      <c r="FR180"/>
      <c r="FS180"/>
      <c r="FT180"/>
      <c r="FU180"/>
      <c r="FV180"/>
      <c r="FW180"/>
      <c r="FX180"/>
      <c r="FY180"/>
      <c r="FZ180"/>
      <c r="GA180"/>
      <c r="GB180"/>
      <c r="GC180"/>
      <c r="GD180"/>
      <c r="GE180"/>
      <c r="GF180"/>
      <c r="GG180"/>
      <c r="GH180"/>
      <c r="GI180"/>
      <c r="GJ180"/>
      <c r="GK180"/>
      <c r="GL180"/>
      <c r="GM180"/>
      <c r="GN180"/>
      <c r="GO180"/>
      <c r="GP180"/>
      <c r="GQ180"/>
      <c r="GR180"/>
      <c r="GS180"/>
      <c r="GT180"/>
      <c r="GU180"/>
      <c r="GV180"/>
      <c r="GW180"/>
      <c r="GX180"/>
      <c r="GY180"/>
      <c r="GZ180"/>
      <c r="HA180"/>
      <c r="HB180"/>
      <c r="HC180"/>
      <c r="HD180"/>
      <c r="HE180"/>
      <c r="HF180"/>
      <c r="HG180"/>
      <c r="HH180"/>
      <c r="HI180"/>
      <c r="HJ180"/>
      <c r="HK180"/>
      <c r="HL180"/>
      <c r="HM180"/>
      <c r="HN180"/>
      <c r="HO180"/>
      <c r="HP180"/>
      <c r="HQ180"/>
      <c r="HR180"/>
      <c r="HS180"/>
      <c r="HT180"/>
      <c r="HU180"/>
      <c r="HV180"/>
      <c r="HW180"/>
      <c r="HX180"/>
      <c r="HY180"/>
      <c r="HZ180"/>
      <c r="IA180"/>
      <c r="IB180"/>
      <c r="IC180"/>
      <c r="ID180"/>
      <c r="IE180"/>
      <c r="IF180"/>
      <c r="IG180"/>
      <c r="IH180"/>
      <c r="II180"/>
      <c r="IJ180"/>
      <c r="IK180"/>
      <c r="IL180"/>
      <c r="IM180"/>
      <c r="IN180"/>
      <c r="IO180"/>
      <c r="IP180"/>
      <c r="IQ180"/>
      <c r="IR180"/>
      <c r="IS180"/>
      <c r="IT180"/>
      <c r="IU180"/>
      <c r="IV180"/>
      <c r="IW180"/>
      <c r="IX180"/>
      <c r="IY180"/>
      <c r="IZ180"/>
      <c r="JA180"/>
      <c r="JB180"/>
      <c r="JC180"/>
      <c r="JD180"/>
      <c r="JE180"/>
      <c r="JF180"/>
      <c r="JG180"/>
      <c r="JH180"/>
      <c r="JI180"/>
      <c r="JJ180"/>
      <c r="JK180"/>
      <c r="JL180"/>
      <c r="JM180"/>
      <c r="JN180"/>
      <c r="JO180"/>
      <c r="JP180"/>
      <c r="JQ180"/>
      <c r="JR180"/>
      <c r="JS180"/>
      <c r="JT180"/>
      <c r="JU180"/>
      <c r="JV180"/>
      <c r="JW180"/>
      <c r="JX180"/>
      <c r="JY180"/>
      <c r="JZ180"/>
      <c r="KA180"/>
      <c r="KB180"/>
      <c r="KC180"/>
      <c r="KD180"/>
      <c r="KE180"/>
      <c r="KF180"/>
      <c r="KG180"/>
      <c r="KH180"/>
      <c r="KI180"/>
      <c r="KJ180"/>
      <c r="KK180"/>
      <c r="KL180"/>
      <c r="KM180"/>
      <c r="KN180"/>
      <c r="KO180"/>
      <c r="KP180"/>
      <c r="KQ180"/>
      <c r="KR180"/>
      <c r="KS180"/>
      <c r="KT180"/>
      <c r="KU180"/>
      <c r="KV180"/>
      <c r="KW180"/>
      <c r="KX180"/>
      <c r="KY180"/>
      <c r="KZ180"/>
      <c r="LA180"/>
      <c r="LB180"/>
      <c r="LC180"/>
      <c r="LD180"/>
      <c r="LE180"/>
      <c r="LF180"/>
      <c r="LG180"/>
      <c r="LH180"/>
      <c r="LI180"/>
      <c r="LJ180"/>
      <c r="LK180"/>
      <c r="LL180"/>
      <c r="LM180"/>
      <c r="LN180"/>
      <c r="LO180"/>
      <c r="LP180"/>
      <c r="LQ180"/>
      <c r="LR180"/>
      <c r="LS180"/>
      <c r="LT180"/>
      <c r="LU180"/>
      <c r="LV180"/>
      <c r="LW180"/>
      <c r="LX180"/>
      <c r="LY180"/>
      <c r="LZ180"/>
      <c r="MA180"/>
      <c r="MB180"/>
      <c r="MC180"/>
      <c r="MD180"/>
      <c r="ME180"/>
      <c r="MF180"/>
      <c r="MG180"/>
      <c r="MH180"/>
      <c r="MI180"/>
      <c r="MJ180"/>
      <c r="MK180"/>
      <c r="ML180"/>
      <c r="MM180"/>
      <c r="MN180"/>
      <c r="MO180"/>
      <c r="MP180"/>
      <c r="MQ180"/>
      <c r="MR180"/>
      <c r="MS180"/>
      <c r="MT180"/>
      <c r="MU180"/>
      <c r="MV180"/>
      <c r="MW180"/>
      <c r="MX180"/>
      <c r="MY180"/>
      <c r="MZ180"/>
      <c r="NA180"/>
      <c r="NB180"/>
      <c r="NC180"/>
      <c r="ND180"/>
      <c r="NE180"/>
      <c r="NF180"/>
      <c r="NG180"/>
      <c r="NH180"/>
      <c r="NI180"/>
      <c r="NJ180"/>
      <c r="NK180"/>
      <c r="NL180"/>
      <c r="NM180"/>
      <c r="NN180"/>
      <c r="NO180"/>
      <c r="NP180"/>
      <c r="NQ180"/>
      <c r="NR180"/>
      <c r="NS180"/>
      <c r="NT180"/>
      <c r="NU180"/>
      <c r="NV180"/>
      <c r="NW180"/>
      <c r="NX180"/>
      <c r="NY180"/>
      <c r="NZ180"/>
      <c r="OA180"/>
      <c r="OB180"/>
      <c r="OC180"/>
      <c r="OD180"/>
      <c r="OE180"/>
      <c r="OF180"/>
      <c r="OG180"/>
      <c r="OH180"/>
      <c r="OI180"/>
      <c r="OJ180"/>
      <c r="OK180"/>
      <c r="OL180"/>
      <c r="OM180"/>
      <c r="ON180"/>
      <c r="OO180"/>
      <c r="OP180"/>
      <c r="OQ180"/>
      <c r="OR180"/>
      <c r="OS180"/>
      <c r="OT180"/>
      <c r="OU180"/>
      <c r="OV180"/>
      <c r="OW180"/>
      <c r="OX180"/>
      <c r="OY180"/>
      <c r="OZ180"/>
      <c r="PA180"/>
      <c r="PB180"/>
      <c r="PC180"/>
      <c r="PD180"/>
      <c r="PE180"/>
      <c r="PF180"/>
      <c r="PG180"/>
      <c r="PH180"/>
      <c r="PI180"/>
      <c r="PJ180"/>
      <c r="PK180"/>
      <c r="PL180"/>
      <c r="PM180"/>
      <c r="PN180"/>
      <c r="PO180"/>
      <c r="PP180"/>
      <c r="PQ180"/>
      <c r="PR180"/>
      <c r="PS180"/>
      <c r="PT180"/>
      <c r="PU180"/>
      <c r="PV180"/>
      <c r="PW180"/>
      <c r="PX180"/>
      <c r="PY180"/>
      <c r="PZ180"/>
      <c r="QA180"/>
      <c r="QB180"/>
      <c r="QC180"/>
      <c r="QD180"/>
      <c r="QE180"/>
      <c r="QF180"/>
      <c r="QG180"/>
      <c r="QH180"/>
      <c r="QI180"/>
      <c r="QJ180"/>
      <c r="QK180"/>
      <c r="QL180"/>
      <c r="QM180"/>
      <c r="QN180"/>
      <c r="QO180"/>
      <c r="QP180"/>
      <c r="QQ180"/>
      <c r="QR180"/>
      <c r="QS180"/>
      <c r="QT180"/>
      <c r="QU180"/>
      <c r="QV180"/>
      <c r="QW180"/>
      <c r="QX180"/>
      <c r="QY180"/>
      <c r="QZ180"/>
      <c r="RA180"/>
      <c r="RB180"/>
      <c r="RC180"/>
      <c r="RD180"/>
      <c r="RE180"/>
      <c r="RF180"/>
      <c r="RG180"/>
      <c r="RH180"/>
      <c r="RI180"/>
      <c r="RJ180"/>
      <c r="RK180"/>
      <c r="RL180"/>
      <c r="RM180"/>
      <c r="RN180"/>
      <c r="RO180"/>
      <c r="RP180"/>
      <c r="RQ180"/>
      <c r="RR180"/>
      <c r="RS180"/>
    </row>
    <row r="181" spans="3:487" x14ac:dyDescent="0.25">
      <c r="C181" s="2" t="s">
        <v>3664</v>
      </c>
      <c r="D181" s="34">
        <v>1</v>
      </c>
      <c r="F181" s="2" t="s">
        <v>126</v>
      </c>
      <c r="G181" s="34">
        <v>1</v>
      </c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  <c r="CN181"/>
      <c r="CO181"/>
      <c r="CP181"/>
      <c r="CQ181"/>
      <c r="CR181"/>
      <c r="CS181"/>
      <c r="CT181"/>
      <c r="CU181"/>
      <c r="CV181"/>
      <c r="CW181"/>
      <c r="CX181"/>
      <c r="CY181"/>
      <c r="CZ181"/>
      <c r="DA181"/>
      <c r="DB181"/>
      <c r="DC181"/>
      <c r="DD181"/>
      <c r="DE181"/>
      <c r="DF181"/>
      <c r="DG181"/>
      <c r="DH181"/>
      <c r="DI181"/>
      <c r="DJ181"/>
      <c r="DK181"/>
      <c r="DL181"/>
      <c r="DM181"/>
      <c r="DN181"/>
      <c r="DO181"/>
      <c r="DP181"/>
      <c r="DQ181"/>
      <c r="DR181"/>
      <c r="DS181"/>
      <c r="DT181"/>
      <c r="DU181"/>
      <c r="DV181"/>
      <c r="DW181"/>
      <c r="DX181"/>
      <c r="DY181"/>
      <c r="DZ181"/>
      <c r="EA181"/>
      <c r="EB181"/>
      <c r="EC181"/>
      <c r="ED181"/>
      <c r="EE181"/>
      <c r="EF181"/>
      <c r="EG181"/>
      <c r="EH181"/>
      <c r="EI181"/>
      <c r="EJ181"/>
      <c r="EK181"/>
      <c r="EL181"/>
      <c r="EM181"/>
      <c r="EN181"/>
      <c r="EO181"/>
      <c r="EP181"/>
      <c r="EQ181"/>
      <c r="ER181"/>
      <c r="ES181"/>
      <c r="ET181"/>
      <c r="EU181"/>
      <c r="EV181"/>
      <c r="EW181"/>
      <c r="EX181"/>
      <c r="EY181"/>
      <c r="EZ181"/>
      <c r="FA181"/>
      <c r="FB181"/>
      <c r="FC181"/>
      <c r="FD181"/>
      <c r="FE181"/>
      <c r="FF181"/>
      <c r="FG181"/>
      <c r="FH181"/>
      <c r="FI181"/>
      <c r="FJ181"/>
      <c r="FK181"/>
      <c r="FL181"/>
      <c r="FM181"/>
      <c r="FN181"/>
      <c r="FO181"/>
      <c r="FP181"/>
      <c r="FQ181"/>
      <c r="FR181"/>
      <c r="FS181"/>
      <c r="FT181"/>
      <c r="FU181"/>
      <c r="FV181"/>
      <c r="FW181"/>
      <c r="FX181"/>
      <c r="FY181"/>
      <c r="FZ181"/>
      <c r="GA181"/>
      <c r="GB181"/>
      <c r="GC181"/>
      <c r="GD181"/>
      <c r="GE181"/>
      <c r="GF181"/>
      <c r="GG181"/>
      <c r="GH181"/>
      <c r="GI181"/>
      <c r="GJ181"/>
      <c r="GK181"/>
      <c r="GL181"/>
      <c r="GM181"/>
      <c r="GN181"/>
      <c r="GO181"/>
      <c r="GP181"/>
      <c r="GQ181"/>
      <c r="GR181"/>
      <c r="GS181"/>
      <c r="GT181"/>
      <c r="GU181"/>
      <c r="GV181"/>
      <c r="GW181"/>
      <c r="GX181"/>
      <c r="GY181"/>
      <c r="GZ181"/>
      <c r="HA181"/>
      <c r="HB181"/>
      <c r="HC181"/>
      <c r="HD181"/>
      <c r="HE181"/>
      <c r="HF181"/>
      <c r="HG181"/>
      <c r="HH181"/>
      <c r="HI181"/>
      <c r="HJ181"/>
      <c r="HK181"/>
      <c r="HL181"/>
      <c r="HM181"/>
      <c r="HN181"/>
      <c r="HO181"/>
      <c r="HP181"/>
      <c r="HQ181"/>
      <c r="HR181"/>
      <c r="HS181"/>
      <c r="HT181"/>
      <c r="HU181"/>
      <c r="HV181"/>
      <c r="HW181"/>
      <c r="HX181"/>
      <c r="HY181"/>
      <c r="HZ181"/>
      <c r="IA181"/>
      <c r="IB181"/>
      <c r="IC181"/>
      <c r="ID181"/>
      <c r="IE181"/>
      <c r="IF181"/>
      <c r="IG181"/>
      <c r="IH181"/>
      <c r="II181"/>
      <c r="IJ181"/>
      <c r="IK181"/>
      <c r="IL181"/>
      <c r="IM181"/>
      <c r="IN181"/>
      <c r="IO181"/>
      <c r="IP181"/>
      <c r="IQ181"/>
      <c r="IR181"/>
      <c r="IS181"/>
      <c r="IT181"/>
      <c r="IU181"/>
      <c r="IV181"/>
      <c r="IW181"/>
      <c r="IX181"/>
      <c r="IY181"/>
      <c r="IZ181"/>
      <c r="JA181"/>
      <c r="JB181"/>
      <c r="JC181"/>
      <c r="JD181"/>
      <c r="JE181"/>
      <c r="JF181"/>
      <c r="JG181"/>
      <c r="JH181"/>
      <c r="JI181"/>
      <c r="JJ181"/>
      <c r="JK181"/>
      <c r="JL181"/>
      <c r="JM181"/>
      <c r="JN181"/>
      <c r="JO181"/>
      <c r="JP181"/>
      <c r="JQ181"/>
      <c r="JR181"/>
      <c r="JS181"/>
      <c r="JT181"/>
      <c r="JU181"/>
      <c r="JV181"/>
      <c r="JW181"/>
      <c r="JX181"/>
      <c r="JY181"/>
      <c r="JZ181"/>
      <c r="KA181"/>
      <c r="KB181"/>
      <c r="KC181"/>
      <c r="KD181"/>
      <c r="KE181"/>
      <c r="KF181"/>
      <c r="KG181"/>
      <c r="KH181"/>
      <c r="KI181"/>
      <c r="KJ181"/>
      <c r="KK181"/>
      <c r="KL181"/>
      <c r="KM181"/>
      <c r="KN181"/>
      <c r="KO181"/>
      <c r="KP181"/>
      <c r="KQ181"/>
      <c r="KR181"/>
      <c r="KS181"/>
      <c r="KT181"/>
      <c r="KU181"/>
      <c r="KV181"/>
      <c r="KW181"/>
      <c r="KX181"/>
      <c r="KY181"/>
      <c r="KZ181"/>
      <c r="LA181"/>
      <c r="LB181"/>
      <c r="LC181"/>
      <c r="LD181"/>
      <c r="LE181"/>
      <c r="LF181"/>
      <c r="LG181"/>
      <c r="LH181"/>
      <c r="LI181"/>
      <c r="LJ181"/>
      <c r="LK181"/>
      <c r="LL181"/>
      <c r="LM181"/>
      <c r="LN181"/>
      <c r="LO181"/>
      <c r="LP181"/>
      <c r="LQ181"/>
      <c r="LR181"/>
      <c r="LS181"/>
      <c r="LT181"/>
      <c r="LU181"/>
      <c r="LV181"/>
      <c r="LW181"/>
      <c r="LX181"/>
      <c r="LY181"/>
      <c r="LZ181"/>
      <c r="MA181"/>
      <c r="MB181"/>
      <c r="MC181"/>
      <c r="MD181"/>
      <c r="ME181"/>
      <c r="MF181"/>
      <c r="MG181"/>
      <c r="MH181"/>
      <c r="MI181"/>
      <c r="MJ181"/>
      <c r="MK181"/>
      <c r="ML181"/>
      <c r="MM181"/>
      <c r="MN181"/>
      <c r="MO181"/>
      <c r="MP181"/>
      <c r="MQ181"/>
      <c r="MR181"/>
      <c r="MS181"/>
      <c r="MT181"/>
      <c r="MU181"/>
      <c r="MV181"/>
      <c r="MW181"/>
      <c r="MX181"/>
      <c r="MY181"/>
      <c r="MZ181"/>
      <c r="NA181"/>
      <c r="NB181"/>
      <c r="NC181"/>
      <c r="ND181"/>
      <c r="NE181"/>
      <c r="NF181"/>
      <c r="NG181"/>
      <c r="NH181"/>
      <c r="NI181"/>
      <c r="NJ181"/>
      <c r="NK181"/>
      <c r="NL181"/>
      <c r="NM181"/>
      <c r="NN181"/>
      <c r="NO181"/>
      <c r="NP181"/>
      <c r="NQ181"/>
      <c r="NR181"/>
      <c r="NS181"/>
      <c r="NT181"/>
      <c r="NU181"/>
      <c r="NV181"/>
      <c r="NW181"/>
      <c r="NX181"/>
      <c r="NY181"/>
      <c r="NZ181"/>
      <c r="OA181"/>
      <c r="OB181"/>
      <c r="OC181"/>
      <c r="OD181"/>
      <c r="OE181"/>
      <c r="OF181"/>
      <c r="OG181"/>
      <c r="OH181"/>
      <c r="OI181"/>
      <c r="OJ181"/>
      <c r="OK181"/>
      <c r="OL181"/>
      <c r="OM181"/>
      <c r="ON181"/>
      <c r="OO181"/>
      <c r="OP181"/>
      <c r="OQ181"/>
      <c r="OR181"/>
      <c r="OS181"/>
      <c r="OT181"/>
      <c r="OU181"/>
      <c r="OV181"/>
      <c r="OW181"/>
      <c r="OX181"/>
      <c r="OY181"/>
      <c r="OZ181"/>
      <c r="PA181"/>
      <c r="PB181"/>
      <c r="PC181"/>
      <c r="PD181"/>
      <c r="PE181"/>
      <c r="PF181"/>
      <c r="PG181"/>
      <c r="PH181"/>
      <c r="PI181"/>
      <c r="PJ181"/>
      <c r="PK181"/>
      <c r="PL181"/>
      <c r="PM181"/>
      <c r="PN181"/>
      <c r="PO181"/>
      <c r="PP181"/>
      <c r="PQ181"/>
      <c r="PR181"/>
      <c r="PS181"/>
      <c r="PT181"/>
      <c r="PU181"/>
      <c r="PV181"/>
      <c r="PW181"/>
      <c r="PX181"/>
      <c r="PY181"/>
      <c r="PZ181"/>
      <c r="QA181"/>
      <c r="QB181"/>
      <c r="QC181"/>
      <c r="QD181"/>
      <c r="QE181"/>
      <c r="QF181"/>
      <c r="QG181"/>
      <c r="QH181"/>
      <c r="QI181"/>
      <c r="QJ181"/>
      <c r="QK181"/>
      <c r="QL181"/>
      <c r="QM181"/>
      <c r="QN181"/>
      <c r="QO181"/>
      <c r="QP181"/>
      <c r="QQ181"/>
      <c r="QR181"/>
      <c r="QS181"/>
      <c r="QT181"/>
      <c r="QU181"/>
      <c r="QV181"/>
      <c r="QW181"/>
      <c r="QX181"/>
      <c r="QY181"/>
      <c r="QZ181"/>
      <c r="RA181"/>
      <c r="RB181"/>
      <c r="RC181"/>
      <c r="RD181"/>
      <c r="RE181"/>
      <c r="RF181"/>
      <c r="RG181"/>
      <c r="RH181"/>
      <c r="RI181"/>
      <c r="RJ181"/>
      <c r="RK181"/>
      <c r="RL181"/>
      <c r="RM181"/>
      <c r="RN181"/>
      <c r="RO181"/>
      <c r="RP181"/>
      <c r="RQ181"/>
      <c r="RR181"/>
      <c r="RS181"/>
    </row>
    <row r="182" spans="3:487" x14ac:dyDescent="0.25">
      <c r="C182" s="2" t="s">
        <v>300</v>
      </c>
      <c r="D182" s="34">
        <v>1</v>
      </c>
      <c r="F182" s="2" t="s">
        <v>378</v>
      </c>
      <c r="G182" s="34">
        <v>1</v>
      </c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  <c r="CN182"/>
      <c r="CO182"/>
      <c r="CP182"/>
      <c r="CQ182"/>
      <c r="CR182"/>
      <c r="CS182"/>
      <c r="CT182"/>
      <c r="CU182"/>
      <c r="CV182"/>
      <c r="CW182"/>
      <c r="CX182"/>
      <c r="CY182"/>
      <c r="CZ182"/>
      <c r="DA182"/>
      <c r="DB182"/>
      <c r="DC182"/>
      <c r="DD182"/>
      <c r="DE182"/>
      <c r="DF182"/>
      <c r="DG182"/>
      <c r="DH182"/>
      <c r="DI182"/>
      <c r="DJ182"/>
      <c r="DK182"/>
      <c r="DL182"/>
      <c r="DM182"/>
      <c r="DN182"/>
      <c r="DO182"/>
      <c r="DP182"/>
      <c r="DQ182"/>
      <c r="DR182"/>
      <c r="DS182"/>
      <c r="DT182"/>
      <c r="DU182"/>
      <c r="DV182"/>
      <c r="DW182"/>
      <c r="DX182"/>
      <c r="DY182"/>
      <c r="DZ182"/>
      <c r="EA182"/>
      <c r="EB182"/>
      <c r="EC182"/>
      <c r="ED182"/>
      <c r="EE182"/>
      <c r="EF182"/>
      <c r="EG182"/>
      <c r="EH182"/>
      <c r="EI182"/>
      <c r="EJ182"/>
      <c r="EK182"/>
      <c r="EL182"/>
      <c r="EM182"/>
      <c r="EN182"/>
      <c r="EO182"/>
      <c r="EP182"/>
      <c r="EQ182"/>
      <c r="ER182"/>
      <c r="ES182"/>
      <c r="ET182"/>
      <c r="EU182"/>
      <c r="EV182"/>
      <c r="EW182"/>
      <c r="EX182"/>
      <c r="EY182"/>
      <c r="EZ182"/>
      <c r="FA182"/>
      <c r="FB182"/>
      <c r="FC182"/>
      <c r="FD182"/>
      <c r="FE182"/>
      <c r="FF182"/>
      <c r="FG182"/>
      <c r="FH182"/>
      <c r="FI182"/>
      <c r="FJ182"/>
      <c r="FK182"/>
      <c r="FL182"/>
      <c r="FM182"/>
      <c r="FN182"/>
      <c r="FO182"/>
      <c r="FP182"/>
      <c r="FQ182"/>
      <c r="FR182"/>
      <c r="FS182"/>
      <c r="FT182"/>
      <c r="FU182"/>
      <c r="FV182"/>
      <c r="FW182"/>
      <c r="FX182"/>
      <c r="FY182"/>
      <c r="FZ182"/>
      <c r="GA182"/>
      <c r="GB182"/>
      <c r="GC182"/>
      <c r="GD182"/>
      <c r="GE182"/>
      <c r="GF182"/>
      <c r="GG182"/>
      <c r="GH182"/>
      <c r="GI182"/>
      <c r="GJ182"/>
      <c r="GK182"/>
      <c r="GL182"/>
      <c r="GM182"/>
      <c r="GN182"/>
      <c r="GO182"/>
      <c r="GP182"/>
      <c r="GQ182"/>
      <c r="GR182"/>
      <c r="GS182"/>
      <c r="GT182"/>
      <c r="GU182"/>
      <c r="GV182"/>
      <c r="GW182"/>
      <c r="GX182"/>
      <c r="GY182"/>
      <c r="GZ182"/>
      <c r="HA182"/>
      <c r="HB182"/>
      <c r="HC182"/>
      <c r="HD182"/>
      <c r="HE182"/>
      <c r="HF182"/>
      <c r="HG182"/>
      <c r="HH182"/>
      <c r="HI182"/>
      <c r="HJ182"/>
      <c r="HK182"/>
      <c r="HL182"/>
      <c r="HM182"/>
      <c r="HN182"/>
      <c r="HO182"/>
      <c r="HP182"/>
      <c r="HQ182"/>
      <c r="HR182"/>
      <c r="HS182"/>
      <c r="HT182"/>
      <c r="HU182"/>
      <c r="HV182"/>
      <c r="HW182"/>
      <c r="HX182"/>
      <c r="HY182"/>
      <c r="HZ182"/>
      <c r="IA182"/>
      <c r="IB182"/>
      <c r="IC182"/>
      <c r="ID182"/>
      <c r="IE182"/>
      <c r="IF182"/>
      <c r="IG182"/>
      <c r="IH182"/>
      <c r="II182"/>
      <c r="IJ182"/>
      <c r="IK182"/>
      <c r="IL182"/>
      <c r="IM182"/>
      <c r="IN182"/>
      <c r="IO182"/>
      <c r="IP182"/>
      <c r="IQ182"/>
      <c r="IR182"/>
      <c r="IS182"/>
      <c r="IT182"/>
      <c r="IU182"/>
      <c r="IV182"/>
      <c r="IW182"/>
      <c r="IX182"/>
      <c r="IY182"/>
      <c r="IZ182"/>
      <c r="JA182"/>
      <c r="JB182"/>
      <c r="JC182"/>
      <c r="JD182"/>
      <c r="JE182"/>
      <c r="JF182"/>
      <c r="JG182"/>
      <c r="JH182"/>
      <c r="JI182"/>
      <c r="JJ182"/>
      <c r="JK182"/>
      <c r="JL182"/>
      <c r="JM182"/>
      <c r="JN182"/>
      <c r="JO182"/>
      <c r="JP182"/>
      <c r="JQ182"/>
      <c r="JR182"/>
      <c r="JS182"/>
      <c r="JT182"/>
      <c r="JU182"/>
      <c r="JV182"/>
      <c r="JW182"/>
      <c r="JX182"/>
      <c r="JY182"/>
      <c r="JZ182"/>
      <c r="KA182"/>
      <c r="KB182"/>
      <c r="KC182"/>
      <c r="KD182"/>
      <c r="KE182"/>
      <c r="KF182"/>
      <c r="KG182"/>
      <c r="KH182"/>
      <c r="KI182"/>
      <c r="KJ182"/>
      <c r="KK182"/>
      <c r="KL182"/>
      <c r="KM182"/>
      <c r="KN182"/>
      <c r="KO182"/>
      <c r="KP182"/>
      <c r="KQ182"/>
      <c r="KR182"/>
      <c r="KS182"/>
      <c r="KT182"/>
      <c r="KU182"/>
      <c r="KV182"/>
      <c r="KW182"/>
      <c r="KX182"/>
      <c r="KY182"/>
      <c r="KZ182"/>
      <c r="LA182"/>
      <c r="LB182"/>
      <c r="LC182"/>
      <c r="LD182"/>
      <c r="LE182"/>
      <c r="LF182"/>
      <c r="LG182"/>
      <c r="LH182"/>
      <c r="LI182"/>
      <c r="LJ182"/>
      <c r="LK182"/>
      <c r="LL182"/>
      <c r="LM182"/>
      <c r="LN182"/>
      <c r="LO182"/>
      <c r="LP182"/>
      <c r="LQ182"/>
      <c r="LR182"/>
      <c r="LS182"/>
      <c r="LT182"/>
      <c r="LU182"/>
      <c r="LV182"/>
      <c r="LW182"/>
      <c r="LX182"/>
      <c r="LY182"/>
      <c r="LZ182"/>
      <c r="MA182"/>
      <c r="MB182"/>
      <c r="MC182"/>
      <c r="MD182"/>
      <c r="ME182"/>
      <c r="MF182"/>
      <c r="MG182"/>
      <c r="MH182"/>
      <c r="MI182"/>
      <c r="MJ182"/>
      <c r="MK182"/>
      <c r="ML182"/>
      <c r="MM182"/>
      <c r="MN182"/>
      <c r="MO182"/>
      <c r="MP182"/>
      <c r="MQ182"/>
      <c r="MR182"/>
      <c r="MS182"/>
      <c r="MT182"/>
      <c r="MU182"/>
      <c r="MV182"/>
      <c r="MW182"/>
      <c r="MX182"/>
      <c r="MY182"/>
      <c r="MZ182"/>
      <c r="NA182"/>
      <c r="NB182"/>
      <c r="NC182"/>
      <c r="ND182"/>
      <c r="NE182"/>
      <c r="NF182"/>
      <c r="NG182"/>
      <c r="NH182"/>
      <c r="NI182"/>
      <c r="NJ182"/>
      <c r="NK182"/>
      <c r="NL182"/>
      <c r="NM182"/>
      <c r="NN182"/>
      <c r="NO182"/>
      <c r="NP182"/>
      <c r="NQ182"/>
      <c r="NR182"/>
      <c r="NS182"/>
      <c r="NT182"/>
      <c r="NU182"/>
      <c r="NV182"/>
      <c r="NW182"/>
      <c r="NX182"/>
      <c r="NY182"/>
      <c r="NZ182"/>
      <c r="OA182"/>
      <c r="OB182"/>
      <c r="OC182"/>
      <c r="OD182"/>
      <c r="OE182"/>
      <c r="OF182"/>
      <c r="OG182"/>
      <c r="OH182"/>
      <c r="OI182"/>
      <c r="OJ182"/>
      <c r="OK182"/>
      <c r="OL182"/>
      <c r="OM182"/>
      <c r="ON182"/>
      <c r="OO182"/>
      <c r="OP182"/>
      <c r="OQ182"/>
      <c r="OR182"/>
      <c r="OS182"/>
      <c r="OT182"/>
      <c r="OU182"/>
      <c r="OV182"/>
      <c r="OW182"/>
      <c r="OX182"/>
      <c r="OY182"/>
      <c r="OZ182"/>
      <c r="PA182"/>
      <c r="PB182"/>
      <c r="PC182"/>
      <c r="PD182"/>
      <c r="PE182"/>
      <c r="PF182"/>
      <c r="PG182"/>
      <c r="PH182"/>
      <c r="PI182"/>
      <c r="PJ182"/>
      <c r="PK182"/>
      <c r="PL182"/>
      <c r="PM182"/>
      <c r="PN182"/>
      <c r="PO182"/>
      <c r="PP182"/>
      <c r="PQ182"/>
      <c r="PR182"/>
      <c r="PS182"/>
      <c r="PT182"/>
      <c r="PU182"/>
      <c r="PV182"/>
      <c r="PW182"/>
      <c r="PX182"/>
      <c r="PY182"/>
      <c r="PZ182"/>
      <c r="QA182"/>
      <c r="QB182"/>
      <c r="QC182"/>
      <c r="QD182"/>
      <c r="QE182"/>
      <c r="QF182"/>
      <c r="QG182"/>
      <c r="QH182"/>
      <c r="QI182"/>
      <c r="QJ182"/>
      <c r="QK182"/>
      <c r="QL182"/>
      <c r="QM182"/>
      <c r="QN182"/>
      <c r="QO182"/>
      <c r="QP182"/>
      <c r="QQ182"/>
      <c r="QR182"/>
      <c r="QS182"/>
      <c r="QT182"/>
      <c r="QU182"/>
      <c r="QV182"/>
      <c r="QW182"/>
      <c r="QX182"/>
      <c r="QY182"/>
      <c r="QZ182"/>
      <c r="RA182"/>
      <c r="RB182"/>
      <c r="RC182"/>
      <c r="RD182"/>
      <c r="RE182"/>
      <c r="RF182"/>
      <c r="RG182"/>
      <c r="RH182"/>
      <c r="RI182"/>
      <c r="RJ182"/>
      <c r="RK182"/>
      <c r="RL182"/>
      <c r="RM182"/>
      <c r="RN182"/>
      <c r="RO182"/>
      <c r="RP182"/>
      <c r="RQ182"/>
      <c r="RR182"/>
      <c r="RS182"/>
    </row>
    <row r="183" spans="3:487" x14ac:dyDescent="0.25">
      <c r="C183" s="2" t="s">
        <v>299</v>
      </c>
      <c r="D183" s="34">
        <v>1</v>
      </c>
      <c r="F183" s="2" t="s">
        <v>170</v>
      </c>
      <c r="G183" s="34">
        <v>1</v>
      </c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  <c r="CN183"/>
      <c r="CO183"/>
      <c r="CP183"/>
      <c r="CQ183"/>
      <c r="CR183"/>
      <c r="CS183"/>
      <c r="CT183"/>
      <c r="CU183"/>
      <c r="CV183"/>
      <c r="CW183"/>
      <c r="CX183"/>
      <c r="CY183"/>
      <c r="CZ183"/>
      <c r="DA183"/>
      <c r="DB183"/>
      <c r="DC183"/>
      <c r="DD183"/>
      <c r="DE183"/>
      <c r="DF183"/>
      <c r="DG183"/>
      <c r="DH183"/>
      <c r="DI183"/>
      <c r="DJ183"/>
      <c r="DK183"/>
      <c r="DL183"/>
      <c r="DM183"/>
      <c r="DN183"/>
      <c r="DO183"/>
      <c r="DP183"/>
      <c r="DQ183"/>
      <c r="DR183"/>
      <c r="DS183"/>
      <c r="DT183"/>
      <c r="DU183"/>
      <c r="DV183"/>
      <c r="DW183"/>
      <c r="DX183"/>
      <c r="DY183"/>
      <c r="DZ183"/>
      <c r="EA183"/>
      <c r="EB183"/>
      <c r="EC183"/>
      <c r="ED183"/>
      <c r="EE183"/>
      <c r="EF183"/>
      <c r="EG183"/>
      <c r="EH183"/>
      <c r="EI183"/>
      <c r="EJ183"/>
      <c r="EK183"/>
      <c r="EL183"/>
      <c r="EM183"/>
      <c r="EN183"/>
      <c r="EO183"/>
      <c r="EP183"/>
      <c r="EQ183"/>
      <c r="ER183"/>
      <c r="ES183"/>
      <c r="ET183"/>
      <c r="EU183"/>
      <c r="EV183"/>
      <c r="EW183"/>
      <c r="EX183"/>
      <c r="EY183"/>
      <c r="EZ183"/>
      <c r="FA183"/>
      <c r="FB183"/>
      <c r="FC183"/>
      <c r="FD183"/>
      <c r="FE183"/>
      <c r="FF183"/>
      <c r="FG183"/>
      <c r="FH183"/>
      <c r="FI183"/>
      <c r="FJ183"/>
      <c r="FK183"/>
      <c r="FL183"/>
      <c r="FM183"/>
      <c r="FN183"/>
      <c r="FO183"/>
      <c r="FP183"/>
      <c r="FQ183"/>
      <c r="FR183"/>
      <c r="FS183"/>
      <c r="FT183"/>
      <c r="FU183"/>
      <c r="FV183"/>
      <c r="FW183"/>
      <c r="FX183"/>
      <c r="FY183"/>
      <c r="FZ183"/>
      <c r="GA183"/>
      <c r="GB183"/>
      <c r="GC183"/>
      <c r="GD183"/>
      <c r="GE183"/>
      <c r="GF183"/>
      <c r="GG183"/>
      <c r="GH183"/>
      <c r="GI183"/>
      <c r="GJ183"/>
      <c r="GK183"/>
      <c r="GL183"/>
      <c r="GM183"/>
      <c r="GN183"/>
      <c r="GO183"/>
      <c r="GP183"/>
      <c r="GQ183"/>
      <c r="GR183"/>
      <c r="GS183"/>
      <c r="GT183"/>
      <c r="GU183"/>
      <c r="GV183"/>
      <c r="GW183"/>
      <c r="GX183"/>
      <c r="GY183"/>
      <c r="GZ183"/>
      <c r="HA183"/>
      <c r="HB183"/>
      <c r="HC183"/>
      <c r="HD183"/>
      <c r="HE183"/>
      <c r="HF183"/>
      <c r="HG183"/>
      <c r="HH183"/>
      <c r="HI183"/>
      <c r="HJ183"/>
      <c r="HK183"/>
      <c r="HL183"/>
      <c r="HM183"/>
      <c r="HN183"/>
      <c r="HO183"/>
      <c r="HP183"/>
      <c r="HQ183"/>
      <c r="HR183"/>
      <c r="HS183"/>
      <c r="HT183"/>
      <c r="HU183"/>
      <c r="HV183"/>
      <c r="HW183"/>
      <c r="HX183"/>
      <c r="HY183"/>
      <c r="HZ183"/>
      <c r="IA183"/>
      <c r="IB183"/>
      <c r="IC183"/>
      <c r="ID183"/>
      <c r="IE183"/>
      <c r="IF183"/>
      <c r="IG183"/>
      <c r="IH183"/>
      <c r="II183"/>
      <c r="IJ183"/>
      <c r="IK183"/>
      <c r="IL183"/>
      <c r="IM183"/>
      <c r="IN183"/>
      <c r="IO183"/>
      <c r="IP183"/>
      <c r="IQ183"/>
      <c r="IR183"/>
      <c r="IS183"/>
      <c r="IT183"/>
      <c r="IU183"/>
      <c r="IV183"/>
      <c r="IW183"/>
      <c r="IX183"/>
      <c r="IY183"/>
      <c r="IZ183"/>
      <c r="JA183"/>
      <c r="JB183"/>
      <c r="JC183"/>
      <c r="JD183"/>
      <c r="JE183"/>
      <c r="JF183"/>
      <c r="JG183"/>
      <c r="JH183"/>
      <c r="JI183"/>
      <c r="JJ183"/>
      <c r="JK183"/>
      <c r="JL183"/>
      <c r="JM183"/>
      <c r="JN183"/>
      <c r="JO183"/>
      <c r="JP183"/>
      <c r="JQ183"/>
      <c r="JR183"/>
      <c r="JS183"/>
      <c r="JT183"/>
      <c r="JU183"/>
      <c r="JV183"/>
      <c r="JW183"/>
      <c r="JX183"/>
      <c r="JY183"/>
      <c r="JZ183"/>
      <c r="KA183"/>
      <c r="KB183"/>
      <c r="KC183"/>
      <c r="KD183"/>
      <c r="KE183"/>
      <c r="KF183"/>
      <c r="KG183"/>
      <c r="KH183"/>
      <c r="KI183"/>
      <c r="KJ183"/>
      <c r="KK183"/>
      <c r="KL183"/>
      <c r="KM183"/>
      <c r="KN183"/>
      <c r="KO183"/>
      <c r="KP183"/>
      <c r="KQ183"/>
      <c r="KR183"/>
      <c r="KS183"/>
      <c r="KT183"/>
      <c r="KU183"/>
      <c r="KV183"/>
      <c r="KW183"/>
      <c r="KX183"/>
      <c r="KY183"/>
      <c r="KZ183"/>
      <c r="LA183"/>
      <c r="LB183"/>
      <c r="LC183"/>
      <c r="LD183"/>
      <c r="LE183"/>
      <c r="LF183"/>
      <c r="LG183"/>
      <c r="LH183"/>
      <c r="LI183"/>
      <c r="LJ183"/>
      <c r="LK183"/>
      <c r="LL183"/>
      <c r="LM183"/>
      <c r="LN183"/>
      <c r="LO183"/>
      <c r="LP183"/>
      <c r="LQ183"/>
      <c r="LR183"/>
      <c r="LS183"/>
      <c r="LT183"/>
      <c r="LU183"/>
      <c r="LV183"/>
      <c r="LW183"/>
      <c r="LX183"/>
      <c r="LY183"/>
      <c r="LZ183"/>
      <c r="MA183"/>
      <c r="MB183"/>
      <c r="MC183"/>
      <c r="MD183"/>
      <c r="ME183"/>
      <c r="MF183"/>
      <c r="MG183"/>
      <c r="MH183"/>
      <c r="MI183"/>
      <c r="MJ183"/>
      <c r="MK183"/>
      <c r="ML183"/>
      <c r="MM183"/>
      <c r="MN183"/>
      <c r="MO183"/>
      <c r="MP183"/>
      <c r="MQ183"/>
      <c r="MR183"/>
      <c r="MS183"/>
      <c r="MT183"/>
      <c r="MU183"/>
      <c r="MV183"/>
      <c r="MW183"/>
      <c r="MX183"/>
      <c r="MY183"/>
      <c r="MZ183"/>
      <c r="NA183"/>
      <c r="NB183"/>
      <c r="NC183"/>
      <c r="ND183"/>
      <c r="NE183"/>
      <c r="NF183"/>
      <c r="NG183"/>
      <c r="NH183"/>
      <c r="NI183"/>
      <c r="NJ183"/>
      <c r="NK183"/>
      <c r="NL183"/>
      <c r="NM183"/>
      <c r="NN183"/>
      <c r="NO183"/>
      <c r="NP183"/>
      <c r="NQ183"/>
      <c r="NR183"/>
      <c r="NS183"/>
      <c r="NT183"/>
      <c r="NU183"/>
      <c r="NV183"/>
      <c r="NW183"/>
      <c r="NX183"/>
      <c r="NY183"/>
      <c r="NZ183"/>
      <c r="OA183"/>
      <c r="OB183"/>
      <c r="OC183"/>
      <c r="OD183"/>
      <c r="OE183"/>
      <c r="OF183"/>
      <c r="OG183"/>
      <c r="OH183"/>
      <c r="OI183"/>
      <c r="OJ183"/>
      <c r="OK183"/>
      <c r="OL183"/>
      <c r="OM183"/>
      <c r="ON183"/>
      <c r="OO183"/>
      <c r="OP183"/>
      <c r="OQ183"/>
      <c r="OR183"/>
      <c r="OS183"/>
      <c r="OT183"/>
      <c r="OU183"/>
      <c r="OV183"/>
      <c r="OW183"/>
      <c r="OX183"/>
      <c r="OY183"/>
      <c r="OZ183"/>
      <c r="PA183"/>
      <c r="PB183"/>
      <c r="PC183"/>
      <c r="PD183"/>
      <c r="PE183"/>
      <c r="PF183"/>
      <c r="PG183"/>
      <c r="PH183"/>
      <c r="PI183"/>
      <c r="PJ183"/>
      <c r="PK183"/>
      <c r="PL183"/>
      <c r="PM183"/>
      <c r="PN183"/>
      <c r="PO183"/>
      <c r="PP183"/>
      <c r="PQ183"/>
      <c r="PR183"/>
      <c r="PS183"/>
      <c r="PT183"/>
      <c r="PU183"/>
      <c r="PV183"/>
      <c r="PW183"/>
      <c r="PX183"/>
      <c r="PY183"/>
      <c r="PZ183"/>
      <c r="QA183"/>
      <c r="QB183"/>
      <c r="QC183"/>
      <c r="QD183"/>
      <c r="QE183"/>
      <c r="QF183"/>
      <c r="QG183"/>
      <c r="QH183"/>
      <c r="QI183"/>
      <c r="QJ183"/>
      <c r="QK183"/>
      <c r="QL183"/>
      <c r="QM183"/>
      <c r="QN183"/>
      <c r="QO183"/>
      <c r="QP183"/>
      <c r="QQ183"/>
      <c r="QR183"/>
      <c r="QS183"/>
      <c r="QT183"/>
      <c r="QU183"/>
      <c r="QV183"/>
      <c r="QW183"/>
      <c r="QX183"/>
      <c r="QY183"/>
      <c r="QZ183"/>
      <c r="RA183"/>
      <c r="RB183"/>
      <c r="RC183"/>
      <c r="RD183"/>
      <c r="RE183"/>
      <c r="RF183"/>
      <c r="RG183"/>
      <c r="RH183"/>
      <c r="RI183"/>
      <c r="RJ183"/>
      <c r="RK183"/>
      <c r="RL183"/>
      <c r="RM183"/>
      <c r="RN183"/>
      <c r="RO183"/>
      <c r="RP183"/>
      <c r="RQ183"/>
      <c r="RR183"/>
      <c r="RS183"/>
    </row>
    <row r="184" spans="3:487" x14ac:dyDescent="0.25">
      <c r="C184" s="2" t="s">
        <v>3653</v>
      </c>
      <c r="D184" s="34">
        <v>1</v>
      </c>
      <c r="F184" s="2" t="s">
        <v>242</v>
      </c>
      <c r="G184" s="34">
        <v>1</v>
      </c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  <c r="CN184"/>
      <c r="CO184"/>
      <c r="CP184"/>
      <c r="CQ184"/>
      <c r="CR184"/>
      <c r="CS184"/>
      <c r="CT184"/>
      <c r="CU184"/>
      <c r="CV184"/>
      <c r="CW184"/>
      <c r="CX184"/>
      <c r="CY184"/>
      <c r="CZ184"/>
      <c r="DA184"/>
      <c r="DB184"/>
      <c r="DC184"/>
      <c r="DD184"/>
      <c r="DE184"/>
      <c r="DF184"/>
      <c r="DG184"/>
      <c r="DH184"/>
      <c r="DI184"/>
      <c r="DJ184"/>
      <c r="DK184"/>
      <c r="DL184"/>
      <c r="DM184"/>
      <c r="DN184"/>
      <c r="DO184"/>
      <c r="DP184"/>
      <c r="DQ184"/>
      <c r="DR184"/>
      <c r="DS184"/>
      <c r="DT184"/>
      <c r="DU184"/>
      <c r="DV184"/>
      <c r="DW184"/>
      <c r="DX184"/>
      <c r="DY184"/>
      <c r="DZ184"/>
      <c r="EA184"/>
      <c r="EB184"/>
      <c r="EC184"/>
      <c r="ED184"/>
      <c r="EE184"/>
      <c r="EF184"/>
      <c r="EG184"/>
      <c r="EH184"/>
      <c r="EI184"/>
      <c r="EJ184"/>
      <c r="EK184"/>
      <c r="EL184"/>
      <c r="EM184"/>
      <c r="EN184"/>
      <c r="EO184"/>
      <c r="EP184"/>
      <c r="EQ184"/>
      <c r="ER184"/>
      <c r="ES184"/>
      <c r="ET184"/>
      <c r="EU184"/>
      <c r="EV184"/>
      <c r="EW184"/>
      <c r="EX184"/>
      <c r="EY184"/>
      <c r="EZ184"/>
      <c r="FA184"/>
      <c r="FB184"/>
      <c r="FC184"/>
      <c r="FD184"/>
      <c r="FE184"/>
      <c r="FF184"/>
      <c r="FG184"/>
      <c r="FH184"/>
      <c r="FI184"/>
      <c r="FJ184"/>
      <c r="FK184"/>
      <c r="FL184"/>
      <c r="FM184"/>
      <c r="FN184"/>
      <c r="FO184"/>
      <c r="FP184"/>
      <c r="FQ184"/>
      <c r="FR184"/>
      <c r="FS184"/>
      <c r="FT184"/>
      <c r="FU184"/>
      <c r="FV184"/>
      <c r="FW184"/>
      <c r="FX184"/>
      <c r="FY184"/>
      <c r="FZ184"/>
      <c r="GA184"/>
      <c r="GB184"/>
      <c r="GC184"/>
      <c r="GD184"/>
      <c r="GE184"/>
      <c r="GF184"/>
      <c r="GG184"/>
      <c r="GH184"/>
      <c r="GI184"/>
      <c r="GJ184"/>
      <c r="GK184"/>
      <c r="GL184"/>
      <c r="GM184"/>
      <c r="GN184"/>
      <c r="GO184"/>
      <c r="GP184"/>
      <c r="GQ184"/>
      <c r="GR184"/>
      <c r="GS184"/>
      <c r="GT184"/>
      <c r="GU184"/>
      <c r="GV184"/>
      <c r="GW184"/>
      <c r="GX184"/>
      <c r="GY184"/>
      <c r="GZ184"/>
      <c r="HA184"/>
      <c r="HB184"/>
      <c r="HC184"/>
      <c r="HD184"/>
      <c r="HE184"/>
      <c r="HF184"/>
      <c r="HG184"/>
      <c r="HH184"/>
      <c r="HI184"/>
      <c r="HJ184"/>
      <c r="HK184"/>
      <c r="HL184"/>
      <c r="HM184"/>
      <c r="HN184"/>
      <c r="HO184"/>
      <c r="HP184"/>
      <c r="HQ184"/>
      <c r="HR184"/>
      <c r="HS184"/>
      <c r="HT184"/>
      <c r="HU184"/>
      <c r="HV184"/>
      <c r="HW184"/>
      <c r="HX184"/>
      <c r="HY184"/>
      <c r="HZ184"/>
      <c r="IA184"/>
      <c r="IB184"/>
      <c r="IC184"/>
      <c r="ID184"/>
      <c r="IE184"/>
      <c r="IF184"/>
      <c r="IG184"/>
      <c r="IH184"/>
      <c r="II184"/>
      <c r="IJ184"/>
      <c r="IK184"/>
      <c r="IL184"/>
      <c r="IM184"/>
      <c r="IN184"/>
      <c r="IO184"/>
      <c r="IP184"/>
      <c r="IQ184"/>
      <c r="IR184"/>
      <c r="IS184"/>
      <c r="IT184"/>
      <c r="IU184"/>
      <c r="IV184"/>
      <c r="IW184"/>
      <c r="IX184"/>
      <c r="IY184"/>
      <c r="IZ184"/>
      <c r="JA184"/>
      <c r="JB184"/>
      <c r="JC184"/>
      <c r="JD184"/>
      <c r="JE184"/>
      <c r="JF184"/>
      <c r="JG184"/>
      <c r="JH184"/>
      <c r="JI184"/>
      <c r="JJ184"/>
      <c r="JK184"/>
      <c r="JL184"/>
      <c r="JM184"/>
      <c r="JN184"/>
      <c r="JO184"/>
      <c r="JP184"/>
      <c r="JQ184"/>
      <c r="JR184"/>
      <c r="JS184"/>
      <c r="JT184"/>
      <c r="JU184"/>
      <c r="JV184"/>
      <c r="JW184"/>
      <c r="JX184"/>
      <c r="JY184"/>
      <c r="JZ184"/>
      <c r="KA184"/>
      <c r="KB184"/>
      <c r="KC184"/>
      <c r="KD184"/>
      <c r="KE184"/>
      <c r="KF184"/>
      <c r="KG184"/>
      <c r="KH184"/>
      <c r="KI184"/>
      <c r="KJ184"/>
      <c r="KK184"/>
      <c r="KL184"/>
      <c r="KM184"/>
      <c r="KN184"/>
      <c r="KO184"/>
      <c r="KP184"/>
      <c r="KQ184"/>
      <c r="KR184"/>
      <c r="KS184"/>
      <c r="KT184"/>
      <c r="KU184"/>
      <c r="KV184"/>
      <c r="KW184"/>
      <c r="KX184"/>
      <c r="KY184"/>
      <c r="KZ184"/>
      <c r="LA184"/>
      <c r="LB184"/>
      <c r="LC184"/>
      <c r="LD184"/>
      <c r="LE184"/>
      <c r="LF184"/>
      <c r="LG184"/>
      <c r="LH184"/>
      <c r="LI184"/>
      <c r="LJ184"/>
      <c r="LK184"/>
      <c r="LL184"/>
      <c r="LM184"/>
      <c r="LN184"/>
      <c r="LO184"/>
      <c r="LP184"/>
      <c r="LQ184"/>
      <c r="LR184"/>
      <c r="LS184"/>
      <c r="LT184"/>
      <c r="LU184"/>
      <c r="LV184"/>
      <c r="LW184"/>
      <c r="LX184"/>
      <c r="LY184"/>
      <c r="LZ184"/>
      <c r="MA184"/>
      <c r="MB184"/>
      <c r="MC184"/>
      <c r="MD184"/>
      <c r="ME184"/>
      <c r="MF184"/>
      <c r="MG184"/>
      <c r="MH184"/>
      <c r="MI184"/>
      <c r="MJ184"/>
      <c r="MK184"/>
      <c r="ML184"/>
      <c r="MM184"/>
      <c r="MN184"/>
      <c r="MO184"/>
      <c r="MP184"/>
      <c r="MQ184"/>
      <c r="MR184"/>
      <c r="MS184"/>
      <c r="MT184"/>
      <c r="MU184"/>
      <c r="MV184"/>
      <c r="MW184"/>
      <c r="MX184"/>
      <c r="MY184"/>
      <c r="MZ184"/>
      <c r="NA184"/>
      <c r="NB184"/>
      <c r="NC184"/>
      <c r="ND184"/>
      <c r="NE184"/>
      <c r="NF184"/>
      <c r="NG184"/>
      <c r="NH184"/>
      <c r="NI184"/>
      <c r="NJ184"/>
      <c r="NK184"/>
      <c r="NL184"/>
      <c r="NM184"/>
      <c r="NN184"/>
      <c r="NO184"/>
      <c r="NP184"/>
      <c r="NQ184"/>
      <c r="NR184"/>
      <c r="NS184"/>
      <c r="NT184"/>
      <c r="NU184"/>
      <c r="NV184"/>
      <c r="NW184"/>
      <c r="NX184"/>
      <c r="NY184"/>
      <c r="NZ184"/>
      <c r="OA184"/>
      <c r="OB184"/>
      <c r="OC184"/>
      <c r="OD184"/>
      <c r="OE184"/>
      <c r="OF184"/>
      <c r="OG184"/>
      <c r="OH184"/>
      <c r="OI184"/>
      <c r="OJ184"/>
      <c r="OK184"/>
      <c r="OL184"/>
      <c r="OM184"/>
      <c r="ON184"/>
      <c r="OO184"/>
      <c r="OP184"/>
      <c r="OQ184"/>
      <c r="OR184"/>
      <c r="OS184"/>
      <c r="OT184"/>
      <c r="OU184"/>
      <c r="OV184"/>
      <c r="OW184"/>
      <c r="OX184"/>
      <c r="OY184"/>
      <c r="OZ184"/>
      <c r="PA184"/>
      <c r="PB184"/>
      <c r="PC184"/>
      <c r="PD184"/>
      <c r="PE184"/>
      <c r="PF184"/>
      <c r="PG184"/>
      <c r="PH184"/>
      <c r="PI184"/>
      <c r="PJ184"/>
      <c r="PK184"/>
      <c r="PL184"/>
      <c r="PM184"/>
      <c r="PN184"/>
      <c r="PO184"/>
      <c r="PP184"/>
      <c r="PQ184"/>
      <c r="PR184"/>
      <c r="PS184"/>
      <c r="PT184"/>
      <c r="PU184"/>
      <c r="PV184"/>
      <c r="PW184"/>
      <c r="PX184"/>
      <c r="PY184"/>
      <c r="PZ184"/>
      <c r="QA184"/>
      <c r="QB184"/>
      <c r="QC184"/>
      <c r="QD184"/>
      <c r="QE184"/>
      <c r="QF184"/>
      <c r="QG184"/>
      <c r="QH184"/>
      <c r="QI184"/>
      <c r="QJ184"/>
      <c r="QK184"/>
      <c r="QL184"/>
      <c r="QM184"/>
      <c r="QN184"/>
      <c r="QO184"/>
      <c r="QP184"/>
      <c r="QQ184"/>
      <c r="QR184"/>
      <c r="QS184"/>
      <c r="QT184"/>
      <c r="QU184"/>
      <c r="QV184"/>
      <c r="QW184"/>
      <c r="QX184"/>
      <c r="QY184"/>
      <c r="QZ184"/>
      <c r="RA184"/>
      <c r="RB184"/>
      <c r="RC184"/>
      <c r="RD184"/>
      <c r="RE184"/>
      <c r="RF184"/>
      <c r="RG184"/>
      <c r="RH184"/>
      <c r="RI184"/>
      <c r="RJ184"/>
      <c r="RK184"/>
      <c r="RL184"/>
      <c r="RM184"/>
      <c r="RN184"/>
      <c r="RO184"/>
      <c r="RP184"/>
      <c r="RQ184"/>
      <c r="RR184"/>
      <c r="RS184"/>
    </row>
    <row r="185" spans="3:487" x14ac:dyDescent="0.25">
      <c r="C185" s="2" t="s">
        <v>3668</v>
      </c>
      <c r="D185" s="34">
        <v>1</v>
      </c>
      <c r="F185" s="2" t="s">
        <v>166</v>
      </c>
      <c r="G185" s="34">
        <v>1</v>
      </c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  <c r="CN185"/>
      <c r="CO185"/>
      <c r="CP185"/>
      <c r="CQ185"/>
      <c r="CR185"/>
      <c r="CS185"/>
      <c r="CT185"/>
      <c r="CU185"/>
      <c r="CV185"/>
      <c r="CW185"/>
      <c r="CX185"/>
      <c r="CY185"/>
      <c r="CZ185"/>
      <c r="DA185"/>
      <c r="DB185"/>
      <c r="DC185"/>
      <c r="DD185"/>
      <c r="DE185"/>
      <c r="DF185"/>
      <c r="DG185"/>
      <c r="DH185"/>
      <c r="DI185"/>
      <c r="DJ185"/>
      <c r="DK185"/>
      <c r="DL185"/>
      <c r="DM185"/>
      <c r="DN185"/>
      <c r="DO185"/>
      <c r="DP185"/>
      <c r="DQ185"/>
      <c r="DR185"/>
      <c r="DS185"/>
      <c r="DT185"/>
      <c r="DU185"/>
      <c r="DV185"/>
      <c r="DW185"/>
      <c r="DX185"/>
      <c r="DY185"/>
      <c r="DZ185"/>
      <c r="EA185"/>
      <c r="EB185"/>
      <c r="EC185"/>
      <c r="ED185"/>
      <c r="EE185"/>
      <c r="EF185"/>
      <c r="EG185"/>
      <c r="EH185"/>
      <c r="EI185"/>
      <c r="EJ185"/>
      <c r="EK185"/>
      <c r="EL185"/>
      <c r="EM185"/>
      <c r="EN185"/>
      <c r="EO185"/>
      <c r="EP185"/>
      <c r="EQ185"/>
      <c r="ER185"/>
      <c r="ES185"/>
      <c r="ET185"/>
      <c r="EU185"/>
      <c r="EV185"/>
      <c r="EW185"/>
      <c r="EX185"/>
      <c r="EY185"/>
      <c r="EZ185"/>
      <c r="FA185"/>
      <c r="FB185"/>
      <c r="FC185"/>
      <c r="FD185"/>
      <c r="FE185"/>
      <c r="FF185"/>
      <c r="FG185"/>
      <c r="FH185"/>
      <c r="FI185"/>
      <c r="FJ185"/>
      <c r="FK185"/>
      <c r="FL185"/>
      <c r="FM185"/>
      <c r="FN185"/>
      <c r="FO185"/>
      <c r="FP185"/>
      <c r="FQ185"/>
      <c r="FR185"/>
      <c r="FS185"/>
      <c r="FT185"/>
      <c r="FU185"/>
      <c r="FV185"/>
      <c r="FW185"/>
      <c r="FX185"/>
      <c r="FY185"/>
      <c r="FZ185"/>
      <c r="GA185"/>
      <c r="GB185"/>
      <c r="GC185"/>
      <c r="GD185"/>
      <c r="GE185"/>
      <c r="GF185"/>
      <c r="GG185"/>
      <c r="GH185"/>
      <c r="GI185"/>
      <c r="GJ185"/>
      <c r="GK185"/>
      <c r="GL185"/>
      <c r="GM185"/>
      <c r="GN185"/>
      <c r="GO185"/>
      <c r="GP185"/>
      <c r="GQ185"/>
      <c r="GR185"/>
      <c r="GS185"/>
      <c r="GT185"/>
      <c r="GU185"/>
      <c r="GV185"/>
      <c r="GW185"/>
      <c r="GX185"/>
      <c r="GY185"/>
      <c r="GZ185"/>
      <c r="HA185"/>
      <c r="HB185"/>
      <c r="HC185"/>
      <c r="HD185"/>
      <c r="HE185"/>
      <c r="HF185"/>
      <c r="HG185"/>
      <c r="HH185"/>
      <c r="HI185"/>
      <c r="HJ185"/>
      <c r="HK185"/>
      <c r="HL185"/>
      <c r="HM185"/>
      <c r="HN185"/>
      <c r="HO185"/>
      <c r="HP185"/>
      <c r="HQ185"/>
      <c r="HR185"/>
      <c r="HS185"/>
      <c r="HT185"/>
      <c r="HU185"/>
      <c r="HV185"/>
      <c r="HW185"/>
      <c r="HX185"/>
      <c r="HY185"/>
      <c r="HZ185"/>
      <c r="IA185"/>
      <c r="IB185"/>
      <c r="IC185"/>
      <c r="ID185"/>
      <c r="IE185"/>
      <c r="IF185"/>
      <c r="IG185"/>
      <c r="IH185"/>
      <c r="II185"/>
      <c r="IJ185"/>
      <c r="IK185"/>
      <c r="IL185"/>
      <c r="IM185"/>
      <c r="IN185"/>
      <c r="IO185"/>
      <c r="IP185"/>
      <c r="IQ185"/>
      <c r="IR185"/>
      <c r="IS185"/>
      <c r="IT185"/>
      <c r="IU185"/>
      <c r="IV185"/>
      <c r="IW185"/>
      <c r="IX185"/>
      <c r="IY185"/>
      <c r="IZ185"/>
      <c r="JA185"/>
      <c r="JB185"/>
      <c r="JC185"/>
      <c r="JD185"/>
      <c r="JE185"/>
      <c r="JF185"/>
      <c r="JG185"/>
      <c r="JH185"/>
      <c r="JI185"/>
      <c r="JJ185"/>
      <c r="JK185"/>
      <c r="JL185"/>
      <c r="JM185"/>
      <c r="JN185"/>
      <c r="JO185"/>
      <c r="JP185"/>
      <c r="JQ185"/>
      <c r="JR185"/>
      <c r="JS185"/>
      <c r="JT185"/>
      <c r="JU185"/>
      <c r="JV185"/>
      <c r="JW185"/>
      <c r="JX185"/>
      <c r="JY185"/>
      <c r="JZ185"/>
      <c r="KA185"/>
      <c r="KB185"/>
      <c r="KC185"/>
      <c r="KD185"/>
      <c r="KE185"/>
      <c r="KF185"/>
      <c r="KG185"/>
      <c r="KH185"/>
      <c r="KI185"/>
      <c r="KJ185"/>
      <c r="KK185"/>
      <c r="KL185"/>
      <c r="KM185"/>
      <c r="KN185"/>
      <c r="KO185"/>
      <c r="KP185"/>
      <c r="KQ185"/>
      <c r="KR185"/>
      <c r="KS185"/>
      <c r="KT185"/>
      <c r="KU185"/>
      <c r="KV185"/>
      <c r="KW185"/>
      <c r="KX185"/>
      <c r="KY185"/>
      <c r="KZ185"/>
      <c r="LA185"/>
      <c r="LB185"/>
      <c r="LC185"/>
      <c r="LD185"/>
      <c r="LE185"/>
      <c r="LF185"/>
      <c r="LG185"/>
      <c r="LH185"/>
      <c r="LI185"/>
      <c r="LJ185"/>
      <c r="LK185"/>
      <c r="LL185"/>
      <c r="LM185"/>
      <c r="LN185"/>
      <c r="LO185"/>
      <c r="LP185"/>
      <c r="LQ185"/>
      <c r="LR185"/>
      <c r="LS185"/>
      <c r="LT185"/>
      <c r="LU185"/>
      <c r="LV185"/>
      <c r="LW185"/>
      <c r="LX185"/>
      <c r="LY185"/>
      <c r="LZ185"/>
      <c r="MA185"/>
      <c r="MB185"/>
      <c r="MC185"/>
      <c r="MD185"/>
      <c r="ME185"/>
      <c r="MF185"/>
      <c r="MG185"/>
      <c r="MH185"/>
      <c r="MI185"/>
      <c r="MJ185"/>
      <c r="MK185"/>
      <c r="ML185"/>
      <c r="MM185"/>
      <c r="MN185"/>
      <c r="MO185"/>
      <c r="MP185"/>
      <c r="MQ185"/>
      <c r="MR185"/>
      <c r="MS185"/>
      <c r="MT185"/>
      <c r="MU185"/>
      <c r="MV185"/>
      <c r="MW185"/>
      <c r="MX185"/>
      <c r="MY185"/>
      <c r="MZ185"/>
      <c r="NA185"/>
      <c r="NB185"/>
      <c r="NC185"/>
      <c r="ND185"/>
      <c r="NE185"/>
      <c r="NF185"/>
      <c r="NG185"/>
      <c r="NH185"/>
      <c r="NI185"/>
      <c r="NJ185"/>
      <c r="NK185"/>
      <c r="NL185"/>
      <c r="NM185"/>
      <c r="NN185"/>
      <c r="NO185"/>
      <c r="NP185"/>
      <c r="NQ185"/>
      <c r="NR185"/>
      <c r="NS185"/>
      <c r="NT185"/>
      <c r="NU185"/>
      <c r="NV185"/>
      <c r="NW185"/>
      <c r="NX185"/>
      <c r="NY185"/>
      <c r="NZ185"/>
      <c r="OA185"/>
      <c r="OB185"/>
      <c r="OC185"/>
      <c r="OD185"/>
      <c r="OE185"/>
      <c r="OF185"/>
      <c r="OG185"/>
      <c r="OH185"/>
      <c r="OI185"/>
      <c r="OJ185"/>
      <c r="OK185"/>
      <c r="OL185"/>
      <c r="OM185"/>
      <c r="ON185"/>
      <c r="OO185"/>
      <c r="OP185"/>
      <c r="OQ185"/>
      <c r="OR185"/>
      <c r="OS185"/>
      <c r="OT185"/>
      <c r="OU185"/>
      <c r="OV185"/>
      <c r="OW185"/>
      <c r="OX185"/>
      <c r="OY185"/>
      <c r="OZ185"/>
      <c r="PA185"/>
      <c r="PB185"/>
      <c r="PC185"/>
      <c r="PD185"/>
      <c r="PE185"/>
      <c r="PF185"/>
      <c r="PG185"/>
      <c r="PH185"/>
      <c r="PI185"/>
      <c r="PJ185"/>
      <c r="PK185"/>
      <c r="PL185"/>
      <c r="PM185"/>
      <c r="PN185"/>
      <c r="PO185"/>
      <c r="PP185"/>
      <c r="PQ185"/>
      <c r="PR185"/>
      <c r="PS185"/>
      <c r="PT185"/>
      <c r="PU185"/>
      <c r="PV185"/>
      <c r="PW185"/>
      <c r="PX185"/>
      <c r="PY185"/>
      <c r="PZ185"/>
      <c r="QA185"/>
      <c r="QB185"/>
      <c r="QC185"/>
      <c r="QD185"/>
      <c r="QE185"/>
      <c r="QF185"/>
      <c r="QG185"/>
      <c r="QH185"/>
      <c r="QI185"/>
      <c r="QJ185"/>
      <c r="QK185"/>
      <c r="QL185"/>
      <c r="QM185"/>
      <c r="QN185"/>
      <c r="QO185"/>
      <c r="QP185"/>
      <c r="QQ185"/>
      <c r="QR185"/>
      <c r="QS185"/>
      <c r="QT185"/>
      <c r="QU185"/>
      <c r="QV185"/>
      <c r="QW185"/>
      <c r="QX185"/>
      <c r="QY185"/>
      <c r="QZ185"/>
      <c r="RA185"/>
      <c r="RB185"/>
      <c r="RC185"/>
      <c r="RD185"/>
      <c r="RE185"/>
      <c r="RF185"/>
      <c r="RG185"/>
      <c r="RH185"/>
      <c r="RI185"/>
      <c r="RJ185"/>
      <c r="RK185"/>
      <c r="RL185"/>
      <c r="RM185"/>
      <c r="RN185"/>
      <c r="RO185"/>
      <c r="RP185"/>
      <c r="RQ185"/>
      <c r="RR185"/>
      <c r="RS185"/>
    </row>
    <row r="186" spans="3:487" x14ac:dyDescent="0.25">
      <c r="C186" s="2" t="s">
        <v>296</v>
      </c>
      <c r="D186" s="34">
        <v>1</v>
      </c>
      <c r="F186" s="2" t="s">
        <v>406</v>
      </c>
      <c r="G186" s="34">
        <v>1</v>
      </c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  <c r="CN186"/>
      <c r="CO186"/>
      <c r="CP186"/>
      <c r="CQ186"/>
      <c r="CR186"/>
      <c r="CS186"/>
      <c r="CT186"/>
      <c r="CU186"/>
      <c r="CV186"/>
      <c r="CW186"/>
      <c r="CX186"/>
      <c r="CY186"/>
      <c r="CZ186"/>
      <c r="DA186"/>
      <c r="DB186"/>
      <c r="DC186"/>
      <c r="DD186"/>
      <c r="DE186"/>
      <c r="DF186"/>
      <c r="DG186"/>
      <c r="DH186"/>
      <c r="DI186"/>
      <c r="DJ186"/>
      <c r="DK186"/>
      <c r="DL186"/>
      <c r="DM186"/>
      <c r="DN186"/>
      <c r="DO186"/>
      <c r="DP186"/>
      <c r="DQ186"/>
      <c r="DR186"/>
      <c r="DS186"/>
      <c r="DT186"/>
      <c r="DU186"/>
      <c r="DV186"/>
      <c r="DW186"/>
      <c r="DX186"/>
      <c r="DY186"/>
      <c r="DZ186"/>
      <c r="EA186"/>
      <c r="EB186"/>
      <c r="EC186"/>
      <c r="ED186"/>
      <c r="EE186"/>
      <c r="EF186"/>
      <c r="EG186"/>
      <c r="EH186"/>
      <c r="EI186"/>
      <c r="EJ186"/>
      <c r="EK186"/>
      <c r="EL186"/>
      <c r="EM186"/>
      <c r="EN186"/>
      <c r="EO186"/>
      <c r="EP186"/>
      <c r="EQ186"/>
      <c r="ER186"/>
      <c r="ES186"/>
      <c r="ET186"/>
      <c r="EU186"/>
      <c r="EV186"/>
      <c r="EW186"/>
      <c r="EX186"/>
      <c r="EY186"/>
      <c r="EZ186"/>
      <c r="FA186"/>
      <c r="FB186"/>
      <c r="FC186"/>
      <c r="FD186"/>
      <c r="FE186"/>
      <c r="FF186"/>
      <c r="FG186"/>
      <c r="FH186"/>
      <c r="FI186"/>
      <c r="FJ186"/>
      <c r="FK186"/>
      <c r="FL186"/>
      <c r="FM186"/>
      <c r="FN186"/>
      <c r="FO186"/>
      <c r="FP186"/>
      <c r="FQ186"/>
      <c r="FR186"/>
      <c r="FS186"/>
      <c r="FT186"/>
      <c r="FU186"/>
      <c r="FV186"/>
      <c r="FW186"/>
      <c r="FX186"/>
      <c r="FY186"/>
      <c r="FZ186"/>
      <c r="GA186"/>
      <c r="GB186"/>
      <c r="GC186"/>
      <c r="GD186"/>
      <c r="GE186"/>
      <c r="GF186"/>
      <c r="GG186"/>
      <c r="GH186"/>
      <c r="GI186"/>
      <c r="GJ186"/>
      <c r="GK186"/>
      <c r="GL186"/>
      <c r="GM186"/>
      <c r="GN186"/>
      <c r="GO186"/>
      <c r="GP186"/>
      <c r="GQ186"/>
      <c r="GR186"/>
      <c r="GS186"/>
      <c r="GT186"/>
      <c r="GU186"/>
      <c r="GV186"/>
      <c r="GW186"/>
      <c r="GX186"/>
      <c r="GY186"/>
      <c r="GZ186"/>
      <c r="HA186"/>
      <c r="HB186"/>
      <c r="HC186"/>
      <c r="HD186"/>
      <c r="HE186"/>
      <c r="HF186"/>
      <c r="HG186"/>
      <c r="HH186"/>
      <c r="HI186"/>
      <c r="HJ186"/>
      <c r="HK186"/>
      <c r="HL186"/>
      <c r="HM186"/>
      <c r="HN186"/>
      <c r="HO186"/>
      <c r="HP186"/>
      <c r="HQ186"/>
      <c r="HR186"/>
      <c r="HS186"/>
      <c r="HT186"/>
      <c r="HU186"/>
      <c r="HV186"/>
      <c r="HW186"/>
      <c r="HX186"/>
      <c r="HY186"/>
      <c r="HZ186"/>
      <c r="IA186"/>
      <c r="IB186"/>
      <c r="IC186"/>
      <c r="ID186"/>
      <c r="IE186"/>
      <c r="IF186"/>
      <c r="IG186"/>
      <c r="IH186"/>
      <c r="II186"/>
      <c r="IJ186"/>
      <c r="IK186"/>
      <c r="IL186"/>
      <c r="IM186"/>
      <c r="IN186"/>
      <c r="IO186"/>
      <c r="IP186"/>
      <c r="IQ186"/>
      <c r="IR186"/>
      <c r="IS186"/>
      <c r="IT186"/>
      <c r="IU186"/>
      <c r="IV186"/>
      <c r="IW186"/>
      <c r="IX186"/>
      <c r="IY186"/>
      <c r="IZ186"/>
      <c r="JA186"/>
      <c r="JB186"/>
      <c r="JC186"/>
      <c r="JD186"/>
      <c r="JE186"/>
      <c r="JF186"/>
      <c r="JG186"/>
      <c r="JH186"/>
      <c r="JI186"/>
      <c r="JJ186"/>
      <c r="JK186"/>
      <c r="JL186"/>
      <c r="JM186"/>
      <c r="JN186"/>
      <c r="JO186"/>
      <c r="JP186"/>
      <c r="JQ186"/>
      <c r="JR186"/>
      <c r="JS186"/>
      <c r="JT186"/>
      <c r="JU186"/>
      <c r="JV186"/>
      <c r="JW186"/>
      <c r="JX186"/>
      <c r="JY186"/>
      <c r="JZ186"/>
      <c r="KA186"/>
      <c r="KB186"/>
      <c r="KC186"/>
      <c r="KD186"/>
      <c r="KE186"/>
      <c r="KF186"/>
      <c r="KG186"/>
      <c r="KH186"/>
      <c r="KI186"/>
      <c r="KJ186"/>
      <c r="KK186"/>
      <c r="KL186"/>
      <c r="KM186"/>
      <c r="KN186"/>
      <c r="KO186"/>
      <c r="KP186"/>
      <c r="KQ186"/>
      <c r="KR186"/>
      <c r="KS186"/>
      <c r="KT186"/>
      <c r="KU186"/>
      <c r="KV186"/>
      <c r="KW186"/>
      <c r="KX186"/>
      <c r="KY186"/>
      <c r="KZ186"/>
      <c r="LA186"/>
      <c r="LB186"/>
      <c r="LC186"/>
      <c r="LD186"/>
      <c r="LE186"/>
      <c r="LF186"/>
      <c r="LG186"/>
      <c r="LH186"/>
      <c r="LI186"/>
      <c r="LJ186"/>
      <c r="LK186"/>
      <c r="LL186"/>
      <c r="LM186"/>
      <c r="LN186"/>
      <c r="LO186"/>
      <c r="LP186"/>
      <c r="LQ186"/>
      <c r="LR186"/>
      <c r="LS186"/>
      <c r="LT186"/>
      <c r="LU186"/>
      <c r="LV186"/>
      <c r="LW186"/>
      <c r="LX186"/>
      <c r="LY186"/>
      <c r="LZ186"/>
      <c r="MA186"/>
      <c r="MB186"/>
      <c r="MC186"/>
      <c r="MD186"/>
      <c r="ME186"/>
      <c r="MF186"/>
      <c r="MG186"/>
      <c r="MH186"/>
      <c r="MI186"/>
      <c r="MJ186"/>
      <c r="MK186"/>
      <c r="ML186"/>
      <c r="MM186"/>
      <c r="MN186"/>
      <c r="MO186"/>
      <c r="MP186"/>
      <c r="MQ186"/>
      <c r="MR186"/>
      <c r="MS186"/>
      <c r="MT186"/>
      <c r="MU186"/>
      <c r="MV186"/>
      <c r="MW186"/>
      <c r="MX186"/>
      <c r="MY186"/>
      <c r="MZ186"/>
      <c r="NA186"/>
      <c r="NB186"/>
      <c r="NC186"/>
      <c r="ND186"/>
      <c r="NE186"/>
      <c r="NF186"/>
      <c r="NG186"/>
      <c r="NH186"/>
      <c r="NI186"/>
      <c r="NJ186"/>
      <c r="NK186"/>
      <c r="NL186"/>
      <c r="NM186"/>
      <c r="NN186"/>
      <c r="NO186"/>
      <c r="NP186"/>
      <c r="NQ186"/>
      <c r="NR186"/>
      <c r="NS186"/>
      <c r="NT186"/>
      <c r="NU186"/>
      <c r="NV186"/>
      <c r="NW186"/>
      <c r="NX186"/>
      <c r="NY186"/>
      <c r="NZ186"/>
      <c r="OA186"/>
      <c r="OB186"/>
      <c r="OC186"/>
      <c r="OD186"/>
      <c r="OE186"/>
      <c r="OF186"/>
      <c r="OG186"/>
      <c r="OH186"/>
      <c r="OI186"/>
      <c r="OJ186"/>
      <c r="OK186"/>
      <c r="OL186"/>
      <c r="OM186"/>
      <c r="ON186"/>
      <c r="OO186"/>
      <c r="OP186"/>
      <c r="OQ186"/>
      <c r="OR186"/>
      <c r="OS186"/>
      <c r="OT186"/>
      <c r="OU186"/>
      <c r="OV186"/>
      <c r="OW186"/>
      <c r="OX186"/>
      <c r="OY186"/>
      <c r="OZ186"/>
      <c r="PA186"/>
      <c r="PB186"/>
      <c r="PC186"/>
      <c r="PD186"/>
      <c r="PE186"/>
      <c r="PF186"/>
      <c r="PG186"/>
      <c r="PH186"/>
      <c r="PI186"/>
      <c r="PJ186"/>
      <c r="PK186"/>
      <c r="PL186"/>
      <c r="PM186"/>
      <c r="PN186"/>
      <c r="PO186"/>
      <c r="PP186"/>
      <c r="PQ186"/>
      <c r="PR186"/>
      <c r="PS186"/>
      <c r="PT186"/>
      <c r="PU186"/>
      <c r="PV186"/>
      <c r="PW186"/>
      <c r="PX186"/>
      <c r="PY186"/>
      <c r="PZ186"/>
      <c r="QA186"/>
      <c r="QB186"/>
      <c r="QC186"/>
      <c r="QD186"/>
      <c r="QE186"/>
      <c r="QF186"/>
      <c r="QG186"/>
      <c r="QH186"/>
      <c r="QI186"/>
      <c r="QJ186"/>
      <c r="QK186"/>
      <c r="QL186"/>
      <c r="QM186"/>
      <c r="QN186"/>
      <c r="QO186"/>
      <c r="QP186"/>
      <c r="QQ186"/>
      <c r="QR186"/>
      <c r="QS186"/>
      <c r="QT186"/>
      <c r="QU186"/>
      <c r="QV186"/>
      <c r="QW186"/>
      <c r="QX186"/>
      <c r="QY186"/>
      <c r="QZ186"/>
      <c r="RA186"/>
      <c r="RB186"/>
      <c r="RC186"/>
      <c r="RD186"/>
      <c r="RE186"/>
      <c r="RF186"/>
      <c r="RG186"/>
      <c r="RH186"/>
      <c r="RI186"/>
      <c r="RJ186"/>
      <c r="RK186"/>
      <c r="RL186"/>
      <c r="RM186"/>
      <c r="RN186"/>
      <c r="RO186"/>
      <c r="RP186"/>
      <c r="RQ186"/>
      <c r="RR186"/>
      <c r="RS186"/>
    </row>
    <row r="187" spans="3:487" x14ac:dyDescent="0.25">
      <c r="C187" s="2" t="s">
        <v>159</v>
      </c>
      <c r="D187" s="34">
        <v>1</v>
      </c>
      <c r="F187" s="2" t="s">
        <v>232</v>
      </c>
      <c r="G187" s="34">
        <v>1</v>
      </c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  <c r="CN187"/>
      <c r="CO187"/>
      <c r="CP187"/>
      <c r="CQ187"/>
      <c r="CR187"/>
      <c r="CS187"/>
      <c r="CT187"/>
      <c r="CU187"/>
      <c r="CV187"/>
      <c r="CW187"/>
      <c r="CX187"/>
      <c r="CY187"/>
      <c r="CZ187"/>
      <c r="DA187"/>
      <c r="DB187"/>
      <c r="DC187"/>
      <c r="DD187"/>
      <c r="DE187"/>
      <c r="DF187"/>
      <c r="DG187"/>
      <c r="DH187"/>
      <c r="DI187"/>
      <c r="DJ187"/>
      <c r="DK187"/>
      <c r="DL187"/>
      <c r="DM187"/>
      <c r="DN187"/>
      <c r="DO187"/>
      <c r="DP187"/>
      <c r="DQ187"/>
      <c r="DR187"/>
      <c r="DS187"/>
      <c r="DT187"/>
      <c r="DU187"/>
      <c r="DV187"/>
      <c r="DW187"/>
      <c r="DX187"/>
      <c r="DY187"/>
      <c r="DZ187"/>
      <c r="EA187"/>
      <c r="EB187"/>
      <c r="EC187"/>
      <c r="ED187"/>
      <c r="EE187"/>
      <c r="EF187"/>
      <c r="EG187"/>
      <c r="EH187"/>
      <c r="EI187"/>
      <c r="EJ187"/>
      <c r="EK187"/>
      <c r="EL187"/>
      <c r="EM187"/>
      <c r="EN187"/>
      <c r="EO187"/>
      <c r="EP187"/>
      <c r="EQ187"/>
      <c r="ER187"/>
      <c r="ES187"/>
      <c r="ET187"/>
      <c r="EU187"/>
      <c r="EV187"/>
      <c r="EW187"/>
      <c r="EX187"/>
      <c r="EY187"/>
      <c r="EZ187"/>
      <c r="FA187"/>
      <c r="FB187"/>
      <c r="FC187"/>
      <c r="FD187"/>
      <c r="FE187"/>
      <c r="FF187"/>
      <c r="FG187"/>
      <c r="FH187"/>
      <c r="FI187"/>
      <c r="FJ187"/>
      <c r="FK187"/>
      <c r="FL187"/>
      <c r="FM187"/>
      <c r="FN187"/>
      <c r="FO187"/>
      <c r="FP187"/>
      <c r="FQ187"/>
      <c r="FR187"/>
      <c r="FS187"/>
      <c r="FT187"/>
      <c r="FU187"/>
      <c r="FV187"/>
      <c r="FW187"/>
      <c r="FX187"/>
      <c r="FY187"/>
      <c r="FZ187"/>
      <c r="GA187"/>
      <c r="GB187"/>
      <c r="GC187"/>
      <c r="GD187"/>
      <c r="GE187"/>
      <c r="GF187"/>
      <c r="GG187"/>
      <c r="GH187"/>
      <c r="GI187"/>
      <c r="GJ187"/>
      <c r="GK187"/>
      <c r="GL187"/>
      <c r="GM187"/>
      <c r="GN187"/>
      <c r="GO187"/>
      <c r="GP187"/>
      <c r="GQ187"/>
      <c r="GR187"/>
      <c r="GS187"/>
      <c r="GT187"/>
      <c r="GU187"/>
      <c r="GV187"/>
      <c r="GW187"/>
      <c r="GX187"/>
      <c r="GY187"/>
      <c r="GZ187"/>
      <c r="HA187"/>
      <c r="HB187"/>
      <c r="HC187"/>
      <c r="HD187"/>
      <c r="HE187"/>
      <c r="HF187"/>
      <c r="HG187"/>
      <c r="HH187"/>
      <c r="HI187"/>
      <c r="HJ187"/>
      <c r="HK187"/>
      <c r="HL187"/>
      <c r="HM187"/>
      <c r="HN187"/>
      <c r="HO187"/>
      <c r="HP187"/>
      <c r="HQ187"/>
      <c r="HR187"/>
      <c r="HS187"/>
      <c r="HT187"/>
      <c r="HU187"/>
      <c r="HV187"/>
      <c r="HW187"/>
      <c r="HX187"/>
      <c r="HY187"/>
      <c r="HZ187"/>
      <c r="IA187"/>
      <c r="IB187"/>
      <c r="IC187"/>
      <c r="ID187"/>
      <c r="IE187"/>
      <c r="IF187"/>
      <c r="IG187"/>
      <c r="IH187"/>
      <c r="II187"/>
      <c r="IJ187"/>
      <c r="IK187"/>
      <c r="IL187"/>
      <c r="IM187"/>
      <c r="IN187"/>
      <c r="IO187"/>
      <c r="IP187"/>
      <c r="IQ187"/>
      <c r="IR187"/>
      <c r="IS187"/>
      <c r="IT187"/>
      <c r="IU187"/>
      <c r="IV187"/>
      <c r="IW187"/>
      <c r="IX187"/>
      <c r="IY187"/>
      <c r="IZ187"/>
      <c r="JA187"/>
      <c r="JB187"/>
      <c r="JC187"/>
      <c r="JD187"/>
      <c r="JE187"/>
      <c r="JF187"/>
      <c r="JG187"/>
      <c r="JH187"/>
      <c r="JI187"/>
      <c r="JJ187"/>
      <c r="JK187"/>
      <c r="JL187"/>
      <c r="JM187"/>
      <c r="JN187"/>
      <c r="JO187"/>
      <c r="JP187"/>
      <c r="JQ187"/>
      <c r="JR187"/>
      <c r="JS187"/>
      <c r="JT187"/>
      <c r="JU187"/>
      <c r="JV187"/>
      <c r="JW187"/>
      <c r="JX187"/>
      <c r="JY187"/>
      <c r="JZ187"/>
      <c r="KA187"/>
      <c r="KB187"/>
      <c r="KC187"/>
      <c r="KD187"/>
      <c r="KE187"/>
      <c r="KF187"/>
      <c r="KG187"/>
      <c r="KH187"/>
      <c r="KI187"/>
      <c r="KJ187"/>
      <c r="KK187"/>
      <c r="KL187"/>
      <c r="KM187"/>
      <c r="KN187"/>
      <c r="KO187"/>
      <c r="KP187"/>
      <c r="KQ187"/>
      <c r="KR187"/>
      <c r="KS187"/>
      <c r="KT187"/>
      <c r="KU187"/>
      <c r="KV187"/>
      <c r="KW187"/>
      <c r="KX187"/>
      <c r="KY187"/>
      <c r="KZ187"/>
      <c r="LA187"/>
      <c r="LB187"/>
      <c r="LC187"/>
      <c r="LD187"/>
      <c r="LE187"/>
      <c r="LF187"/>
      <c r="LG187"/>
      <c r="LH187"/>
      <c r="LI187"/>
      <c r="LJ187"/>
      <c r="LK187"/>
      <c r="LL187"/>
      <c r="LM187"/>
      <c r="LN187"/>
      <c r="LO187"/>
      <c r="LP187"/>
      <c r="LQ187"/>
      <c r="LR187"/>
      <c r="LS187"/>
      <c r="LT187"/>
      <c r="LU187"/>
      <c r="LV187"/>
      <c r="LW187"/>
      <c r="LX187"/>
      <c r="LY187"/>
      <c r="LZ187"/>
      <c r="MA187"/>
      <c r="MB187"/>
      <c r="MC187"/>
      <c r="MD187"/>
      <c r="ME187"/>
      <c r="MF187"/>
      <c r="MG187"/>
      <c r="MH187"/>
      <c r="MI187"/>
      <c r="MJ187"/>
      <c r="MK187"/>
      <c r="ML187"/>
      <c r="MM187"/>
      <c r="MN187"/>
      <c r="MO187"/>
      <c r="MP187"/>
      <c r="MQ187"/>
      <c r="MR187"/>
      <c r="MS187"/>
      <c r="MT187"/>
      <c r="MU187"/>
      <c r="MV187"/>
      <c r="MW187"/>
      <c r="MX187"/>
      <c r="MY187"/>
      <c r="MZ187"/>
      <c r="NA187"/>
      <c r="NB187"/>
      <c r="NC187"/>
      <c r="ND187"/>
      <c r="NE187"/>
      <c r="NF187"/>
      <c r="NG187"/>
      <c r="NH187"/>
      <c r="NI187"/>
      <c r="NJ187"/>
      <c r="NK187"/>
      <c r="NL187"/>
      <c r="NM187"/>
      <c r="NN187"/>
      <c r="NO187"/>
      <c r="NP187"/>
      <c r="NQ187"/>
      <c r="NR187"/>
      <c r="NS187"/>
      <c r="NT187"/>
      <c r="NU187"/>
      <c r="NV187"/>
      <c r="NW187"/>
      <c r="NX187"/>
      <c r="NY187"/>
      <c r="NZ187"/>
      <c r="OA187"/>
      <c r="OB187"/>
      <c r="OC187"/>
      <c r="OD187"/>
      <c r="OE187"/>
      <c r="OF187"/>
      <c r="OG187"/>
      <c r="OH187"/>
      <c r="OI187"/>
      <c r="OJ187"/>
      <c r="OK187"/>
      <c r="OL187"/>
      <c r="OM187"/>
      <c r="ON187"/>
      <c r="OO187"/>
      <c r="OP187"/>
      <c r="OQ187"/>
      <c r="OR187"/>
      <c r="OS187"/>
      <c r="OT187"/>
      <c r="OU187"/>
      <c r="OV187"/>
      <c r="OW187"/>
      <c r="OX187"/>
      <c r="OY187"/>
      <c r="OZ187"/>
      <c r="PA187"/>
      <c r="PB187"/>
      <c r="PC187"/>
      <c r="PD187"/>
      <c r="PE187"/>
      <c r="PF187"/>
      <c r="PG187"/>
      <c r="PH187"/>
      <c r="PI187"/>
      <c r="PJ187"/>
      <c r="PK187"/>
      <c r="PL187"/>
      <c r="PM187"/>
      <c r="PN187"/>
      <c r="PO187"/>
      <c r="PP187"/>
      <c r="PQ187"/>
      <c r="PR187"/>
      <c r="PS187"/>
      <c r="PT187"/>
      <c r="PU187"/>
      <c r="PV187"/>
      <c r="PW187"/>
      <c r="PX187"/>
      <c r="PY187"/>
      <c r="PZ187"/>
      <c r="QA187"/>
      <c r="QB187"/>
      <c r="QC187"/>
      <c r="QD187"/>
      <c r="QE187"/>
      <c r="QF187"/>
      <c r="QG187"/>
      <c r="QH187"/>
      <c r="QI187"/>
      <c r="QJ187"/>
      <c r="QK187"/>
      <c r="QL187"/>
      <c r="QM187"/>
      <c r="QN187"/>
      <c r="QO187"/>
      <c r="QP187"/>
      <c r="QQ187"/>
      <c r="QR187"/>
      <c r="QS187"/>
      <c r="QT187"/>
      <c r="QU187"/>
      <c r="QV187"/>
      <c r="QW187"/>
      <c r="QX187"/>
      <c r="QY187"/>
      <c r="QZ187"/>
      <c r="RA187"/>
      <c r="RB187"/>
      <c r="RC187"/>
      <c r="RD187"/>
      <c r="RE187"/>
      <c r="RF187"/>
      <c r="RG187"/>
      <c r="RH187"/>
      <c r="RI187"/>
      <c r="RJ187"/>
      <c r="RK187"/>
      <c r="RL187"/>
      <c r="RM187"/>
      <c r="RN187"/>
      <c r="RO187"/>
      <c r="RP187"/>
      <c r="RQ187"/>
      <c r="RR187"/>
      <c r="RS187"/>
    </row>
    <row r="188" spans="3:487" x14ac:dyDescent="0.25">
      <c r="C188" s="2" t="s">
        <v>3651</v>
      </c>
      <c r="D188" s="34">
        <v>1</v>
      </c>
      <c r="F188" s="2" t="s">
        <v>120</v>
      </c>
      <c r="G188" s="34">
        <v>1</v>
      </c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  <c r="CN188"/>
      <c r="CO188"/>
      <c r="CP188"/>
      <c r="CQ188"/>
      <c r="CR188"/>
      <c r="CS188"/>
      <c r="CT188"/>
      <c r="CU188"/>
      <c r="CV188"/>
      <c r="CW188"/>
      <c r="CX188"/>
      <c r="CY188"/>
      <c r="CZ188"/>
      <c r="DA188"/>
      <c r="DB188"/>
      <c r="DC188"/>
      <c r="DD188"/>
      <c r="DE188"/>
      <c r="DF188"/>
      <c r="DG188"/>
      <c r="DH188"/>
      <c r="DI188"/>
      <c r="DJ188"/>
      <c r="DK188"/>
      <c r="DL188"/>
      <c r="DM188"/>
      <c r="DN188"/>
      <c r="DO188"/>
      <c r="DP188"/>
      <c r="DQ188"/>
      <c r="DR188"/>
      <c r="DS188"/>
      <c r="DT188"/>
      <c r="DU188"/>
      <c r="DV188"/>
      <c r="DW188"/>
      <c r="DX188"/>
      <c r="DY188"/>
      <c r="DZ188"/>
      <c r="EA188"/>
      <c r="EB188"/>
      <c r="EC188"/>
      <c r="ED188"/>
      <c r="EE188"/>
      <c r="EF188"/>
      <c r="EG188"/>
      <c r="EH188"/>
      <c r="EI188"/>
      <c r="EJ188"/>
      <c r="EK188"/>
      <c r="EL188"/>
      <c r="EM188"/>
      <c r="EN188"/>
      <c r="EO188"/>
      <c r="EP188"/>
      <c r="EQ188"/>
      <c r="ER188"/>
      <c r="ES188"/>
      <c r="ET188"/>
      <c r="EU188"/>
      <c r="EV188"/>
      <c r="EW188"/>
      <c r="EX188"/>
      <c r="EY188"/>
      <c r="EZ188"/>
      <c r="FA188"/>
      <c r="FB188"/>
      <c r="FC188"/>
      <c r="FD188"/>
      <c r="FE188"/>
      <c r="FF188"/>
      <c r="FG188"/>
      <c r="FH188"/>
      <c r="FI188"/>
      <c r="FJ188"/>
      <c r="FK188"/>
      <c r="FL188"/>
      <c r="FM188"/>
      <c r="FN188"/>
      <c r="FO188"/>
      <c r="FP188"/>
      <c r="FQ188"/>
      <c r="FR188"/>
      <c r="FS188"/>
      <c r="FT188"/>
      <c r="FU188"/>
      <c r="FV188"/>
      <c r="FW188"/>
      <c r="FX188"/>
      <c r="FY188"/>
      <c r="FZ188"/>
      <c r="GA188"/>
      <c r="GB188"/>
      <c r="GC188"/>
      <c r="GD188"/>
      <c r="GE188"/>
      <c r="GF188"/>
      <c r="GG188"/>
      <c r="GH188"/>
      <c r="GI188"/>
      <c r="GJ188"/>
      <c r="GK188"/>
      <c r="GL188"/>
      <c r="GM188"/>
      <c r="GN188"/>
      <c r="GO188"/>
      <c r="GP188"/>
      <c r="GQ188"/>
      <c r="GR188"/>
      <c r="GS188"/>
      <c r="GT188"/>
      <c r="GU188"/>
      <c r="GV188"/>
      <c r="GW188"/>
      <c r="GX188"/>
      <c r="GY188"/>
      <c r="GZ188"/>
      <c r="HA188"/>
      <c r="HB188"/>
      <c r="HC188"/>
      <c r="HD188"/>
      <c r="HE188"/>
      <c r="HF188"/>
      <c r="HG188"/>
      <c r="HH188"/>
      <c r="HI188"/>
      <c r="HJ188"/>
      <c r="HK188"/>
      <c r="HL188"/>
      <c r="HM188"/>
      <c r="HN188"/>
      <c r="HO188"/>
      <c r="HP188"/>
      <c r="HQ188"/>
      <c r="HR188"/>
      <c r="HS188"/>
      <c r="HT188"/>
      <c r="HU188"/>
      <c r="HV188"/>
      <c r="HW188"/>
      <c r="HX188"/>
      <c r="HY188"/>
      <c r="HZ188"/>
      <c r="IA188"/>
      <c r="IB188"/>
      <c r="IC188"/>
      <c r="ID188"/>
      <c r="IE188"/>
      <c r="IF188"/>
      <c r="IG188"/>
      <c r="IH188"/>
      <c r="II188"/>
      <c r="IJ188"/>
      <c r="IK188"/>
      <c r="IL188"/>
      <c r="IM188"/>
      <c r="IN188"/>
      <c r="IO188"/>
      <c r="IP188"/>
      <c r="IQ188"/>
      <c r="IR188"/>
      <c r="IS188"/>
      <c r="IT188"/>
      <c r="IU188"/>
      <c r="IV188"/>
      <c r="IW188"/>
      <c r="IX188"/>
      <c r="IY188"/>
      <c r="IZ188"/>
      <c r="JA188"/>
      <c r="JB188"/>
      <c r="JC188"/>
      <c r="JD188"/>
      <c r="JE188"/>
      <c r="JF188"/>
      <c r="JG188"/>
      <c r="JH188"/>
      <c r="JI188"/>
      <c r="JJ188"/>
      <c r="JK188"/>
      <c r="JL188"/>
      <c r="JM188"/>
      <c r="JN188"/>
      <c r="JO188"/>
      <c r="JP188"/>
      <c r="JQ188"/>
      <c r="JR188"/>
      <c r="JS188"/>
      <c r="JT188"/>
      <c r="JU188"/>
      <c r="JV188"/>
      <c r="JW188"/>
      <c r="JX188"/>
      <c r="JY188"/>
      <c r="JZ188"/>
      <c r="KA188"/>
      <c r="KB188"/>
      <c r="KC188"/>
      <c r="KD188"/>
      <c r="KE188"/>
      <c r="KF188"/>
      <c r="KG188"/>
      <c r="KH188"/>
      <c r="KI188"/>
      <c r="KJ188"/>
      <c r="KK188"/>
      <c r="KL188"/>
      <c r="KM188"/>
      <c r="KN188"/>
      <c r="KO188"/>
      <c r="KP188"/>
      <c r="KQ188"/>
      <c r="KR188"/>
      <c r="KS188"/>
      <c r="KT188"/>
      <c r="KU188"/>
      <c r="KV188"/>
      <c r="KW188"/>
      <c r="KX188"/>
      <c r="KY188"/>
      <c r="KZ188"/>
      <c r="LA188"/>
      <c r="LB188"/>
      <c r="LC188"/>
      <c r="LD188"/>
      <c r="LE188"/>
      <c r="LF188"/>
      <c r="LG188"/>
      <c r="LH188"/>
      <c r="LI188"/>
      <c r="LJ188"/>
      <c r="LK188"/>
      <c r="LL188"/>
      <c r="LM188"/>
      <c r="LN188"/>
      <c r="LO188"/>
      <c r="LP188"/>
      <c r="LQ188"/>
      <c r="LR188"/>
      <c r="LS188"/>
      <c r="LT188"/>
      <c r="LU188"/>
      <c r="LV188"/>
      <c r="LW188"/>
      <c r="LX188"/>
      <c r="LY188"/>
      <c r="LZ188"/>
      <c r="MA188"/>
      <c r="MB188"/>
      <c r="MC188"/>
      <c r="MD188"/>
      <c r="ME188"/>
      <c r="MF188"/>
      <c r="MG188"/>
      <c r="MH188"/>
      <c r="MI188"/>
      <c r="MJ188"/>
      <c r="MK188"/>
      <c r="ML188"/>
      <c r="MM188"/>
      <c r="MN188"/>
      <c r="MO188"/>
      <c r="MP188"/>
      <c r="MQ188"/>
      <c r="MR188"/>
      <c r="MS188"/>
      <c r="MT188"/>
      <c r="MU188"/>
      <c r="MV188"/>
      <c r="MW188"/>
      <c r="MX188"/>
      <c r="MY188"/>
      <c r="MZ188"/>
      <c r="NA188"/>
      <c r="NB188"/>
      <c r="NC188"/>
      <c r="ND188"/>
      <c r="NE188"/>
      <c r="NF188"/>
      <c r="NG188"/>
      <c r="NH188"/>
      <c r="NI188"/>
      <c r="NJ188"/>
      <c r="NK188"/>
      <c r="NL188"/>
      <c r="NM188"/>
      <c r="NN188"/>
      <c r="NO188"/>
      <c r="NP188"/>
      <c r="NQ188"/>
      <c r="NR188"/>
      <c r="NS188"/>
      <c r="NT188"/>
      <c r="NU188"/>
      <c r="NV188"/>
      <c r="NW188"/>
      <c r="NX188"/>
      <c r="NY188"/>
      <c r="NZ188"/>
      <c r="OA188"/>
      <c r="OB188"/>
      <c r="OC188"/>
      <c r="OD188"/>
      <c r="OE188"/>
      <c r="OF188"/>
      <c r="OG188"/>
      <c r="OH188"/>
      <c r="OI188"/>
      <c r="OJ188"/>
      <c r="OK188"/>
      <c r="OL188"/>
      <c r="OM188"/>
      <c r="ON188"/>
      <c r="OO188"/>
      <c r="OP188"/>
      <c r="OQ188"/>
      <c r="OR188"/>
      <c r="OS188"/>
      <c r="OT188"/>
      <c r="OU188"/>
      <c r="OV188"/>
      <c r="OW188"/>
      <c r="OX188"/>
      <c r="OY188"/>
      <c r="OZ188"/>
      <c r="PA188"/>
      <c r="PB188"/>
      <c r="PC188"/>
      <c r="PD188"/>
      <c r="PE188"/>
      <c r="PF188"/>
      <c r="PG188"/>
      <c r="PH188"/>
      <c r="PI188"/>
      <c r="PJ188"/>
      <c r="PK188"/>
      <c r="PL188"/>
      <c r="PM188"/>
      <c r="PN188"/>
      <c r="PO188"/>
      <c r="PP188"/>
      <c r="PQ188"/>
      <c r="PR188"/>
      <c r="PS188"/>
      <c r="PT188"/>
      <c r="PU188"/>
      <c r="PV188"/>
      <c r="PW188"/>
      <c r="PX188"/>
      <c r="PY188"/>
      <c r="PZ188"/>
      <c r="QA188"/>
      <c r="QB188"/>
      <c r="QC188"/>
      <c r="QD188"/>
      <c r="QE188"/>
      <c r="QF188"/>
      <c r="QG188"/>
      <c r="QH188"/>
      <c r="QI188"/>
      <c r="QJ188"/>
      <c r="QK188"/>
      <c r="QL188"/>
      <c r="QM188"/>
      <c r="QN188"/>
      <c r="QO188"/>
      <c r="QP188"/>
      <c r="QQ188"/>
      <c r="QR188"/>
      <c r="QS188"/>
      <c r="QT188"/>
      <c r="QU188"/>
      <c r="QV188"/>
      <c r="QW188"/>
      <c r="QX188"/>
      <c r="QY188"/>
      <c r="QZ188"/>
      <c r="RA188"/>
      <c r="RB188"/>
      <c r="RC188"/>
      <c r="RD188"/>
      <c r="RE188"/>
      <c r="RF188"/>
      <c r="RG188"/>
      <c r="RH188"/>
      <c r="RI188"/>
      <c r="RJ188"/>
      <c r="RK188"/>
      <c r="RL188"/>
      <c r="RM188"/>
      <c r="RN188"/>
      <c r="RO188"/>
      <c r="RP188"/>
      <c r="RQ188"/>
      <c r="RR188"/>
      <c r="RS188"/>
    </row>
    <row r="189" spans="3:487" x14ac:dyDescent="0.25">
      <c r="C189" s="2" t="s">
        <v>303</v>
      </c>
      <c r="D189" s="34">
        <v>1</v>
      </c>
      <c r="F189" s="2" t="s">
        <v>272</v>
      </c>
      <c r="G189" s="34">
        <v>1</v>
      </c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  <c r="CN189"/>
      <c r="CO189"/>
      <c r="CP189"/>
      <c r="CQ189"/>
      <c r="CR189"/>
      <c r="CS189"/>
      <c r="CT189"/>
      <c r="CU189"/>
      <c r="CV189"/>
      <c r="CW189"/>
      <c r="CX189"/>
      <c r="CY189"/>
      <c r="CZ189"/>
      <c r="DA189"/>
      <c r="DB189"/>
      <c r="DC189"/>
      <c r="DD189"/>
      <c r="DE189"/>
      <c r="DF189"/>
      <c r="DG189"/>
      <c r="DH189"/>
      <c r="DI189"/>
      <c r="DJ189"/>
      <c r="DK189"/>
      <c r="DL189"/>
      <c r="DM189"/>
      <c r="DN189"/>
      <c r="DO189"/>
      <c r="DP189"/>
      <c r="DQ189"/>
      <c r="DR189"/>
      <c r="DS189"/>
      <c r="DT189"/>
      <c r="DU189"/>
      <c r="DV189"/>
      <c r="DW189"/>
      <c r="DX189"/>
      <c r="DY189"/>
      <c r="DZ189"/>
      <c r="EA189"/>
      <c r="EB189"/>
      <c r="EC189"/>
      <c r="ED189"/>
      <c r="EE189"/>
      <c r="EF189"/>
      <c r="EG189"/>
      <c r="EH189"/>
      <c r="EI189"/>
      <c r="EJ189"/>
      <c r="EK189"/>
      <c r="EL189"/>
      <c r="EM189"/>
      <c r="EN189"/>
      <c r="EO189"/>
      <c r="EP189"/>
      <c r="EQ189"/>
      <c r="ER189"/>
      <c r="ES189"/>
      <c r="ET189"/>
      <c r="EU189"/>
      <c r="EV189"/>
      <c r="EW189"/>
      <c r="EX189"/>
      <c r="EY189"/>
      <c r="EZ189"/>
      <c r="FA189"/>
      <c r="FB189"/>
      <c r="FC189"/>
      <c r="FD189"/>
      <c r="FE189"/>
      <c r="FF189"/>
      <c r="FG189"/>
      <c r="FH189"/>
      <c r="FI189"/>
      <c r="FJ189"/>
      <c r="FK189"/>
      <c r="FL189"/>
      <c r="FM189"/>
      <c r="FN189"/>
      <c r="FO189"/>
      <c r="FP189"/>
      <c r="FQ189"/>
      <c r="FR189"/>
      <c r="FS189"/>
      <c r="FT189"/>
      <c r="FU189"/>
      <c r="FV189"/>
      <c r="FW189"/>
      <c r="FX189"/>
      <c r="FY189"/>
      <c r="FZ189"/>
      <c r="GA189"/>
      <c r="GB189"/>
      <c r="GC189"/>
      <c r="GD189"/>
      <c r="GE189"/>
      <c r="GF189"/>
      <c r="GG189"/>
      <c r="GH189"/>
      <c r="GI189"/>
      <c r="GJ189"/>
      <c r="GK189"/>
      <c r="GL189"/>
      <c r="GM189"/>
      <c r="GN189"/>
      <c r="GO189"/>
      <c r="GP189"/>
      <c r="GQ189"/>
      <c r="GR189"/>
      <c r="GS189"/>
      <c r="GT189"/>
      <c r="GU189"/>
      <c r="GV189"/>
      <c r="GW189"/>
      <c r="GX189"/>
      <c r="GY189"/>
      <c r="GZ189"/>
      <c r="HA189"/>
      <c r="HB189"/>
      <c r="HC189"/>
      <c r="HD189"/>
      <c r="HE189"/>
      <c r="HF189"/>
      <c r="HG189"/>
      <c r="HH189"/>
      <c r="HI189"/>
      <c r="HJ189"/>
      <c r="HK189"/>
      <c r="HL189"/>
      <c r="HM189"/>
      <c r="HN189"/>
      <c r="HO189"/>
      <c r="HP189"/>
      <c r="HQ189"/>
      <c r="HR189"/>
      <c r="HS189"/>
      <c r="HT189"/>
      <c r="HU189"/>
      <c r="HV189"/>
      <c r="HW189"/>
      <c r="HX189"/>
      <c r="HY189"/>
      <c r="HZ189"/>
      <c r="IA189"/>
      <c r="IB189"/>
      <c r="IC189"/>
      <c r="ID189"/>
      <c r="IE189"/>
      <c r="IF189"/>
      <c r="IG189"/>
      <c r="IH189"/>
      <c r="II189"/>
      <c r="IJ189"/>
      <c r="IK189"/>
      <c r="IL189"/>
      <c r="IM189"/>
      <c r="IN189"/>
      <c r="IO189"/>
      <c r="IP189"/>
      <c r="IQ189"/>
      <c r="IR189"/>
      <c r="IS189"/>
      <c r="IT189"/>
      <c r="IU189"/>
      <c r="IV189"/>
      <c r="IW189"/>
      <c r="IX189"/>
      <c r="IY189"/>
      <c r="IZ189"/>
      <c r="JA189"/>
      <c r="JB189"/>
      <c r="JC189"/>
      <c r="JD189"/>
      <c r="JE189"/>
      <c r="JF189"/>
      <c r="JG189"/>
      <c r="JH189"/>
      <c r="JI189"/>
      <c r="JJ189"/>
      <c r="JK189"/>
      <c r="JL189"/>
      <c r="JM189"/>
      <c r="JN189"/>
      <c r="JO189"/>
      <c r="JP189"/>
      <c r="JQ189"/>
      <c r="JR189"/>
      <c r="JS189"/>
      <c r="JT189"/>
      <c r="JU189"/>
      <c r="JV189"/>
      <c r="JW189"/>
      <c r="JX189"/>
      <c r="JY189"/>
      <c r="JZ189"/>
      <c r="KA189"/>
      <c r="KB189"/>
      <c r="KC189"/>
      <c r="KD189"/>
      <c r="KE189"/>
      <c r="KF189"/>
      <c r="KG189"/>
      <c r="KH189"/>
      <c r="KI189"/>
      <c r="KJ189"/>
      <c r="KK189"/>
      <c r="KL189"/>
      <c r="KM189"/>
      <c r="KN189"/>
      <c r="KO189"/>
      <c r="KP189"/>
      <c r="KQ189"/>
      <c r="KR189"/>
      <c r="KS189"/>
      <c r="KT189"/>
      <c r="KU189"/>
      <c r="KV189"/>
      <c r="KW189"/>
      <c r="KX189"/>
      <c r="KY189"/>
      <c r="KZ189"/>
      <c r="LA189"/>
      <c r="LB189"/>
      <c r="LC189"/>
      <c r="LD189"/>
      <c r="LE189"/>
      <c r="LF189"/>
      <c r="LG189"/>
      <c r="LH189"/>
      <c r="LI189"/>
      <c r="LJ189"/>
      <c r="LK189"/>
      <c r="LL189"/>
      <c r="LM189"/>
      <c r="LN189"/>
      <c r="LO189"/>
      <c r="LP189"/>
      <c r="LQ189"/>
      <c r="LR189"/>
      <c r="LS189"/>
      <c r="LT189"/>
      <c r="LU189"/>
      <c r="LV189"/>
      <c r="LW189"/>
      <c r="LX189"/>
      <c r="LY189"/>
      <c r="LZ189"/>
      <c r="MA189"/>
      <c r="MB189"/>
      <c r="MC189"/>
      <c r="MD189"/>
      <c r="ME189"/>
      <c r="MF189"/>
      <c r="MG189"/>
      <c r="MH189"/>
      <c r="MI189"/>
      <c r="MJ189"/>
      <c r="MK189"/>
      <c r="ML189"/>
      <c r="MM189"/>
      <c r="MN189"/>
      <c r="MO189"/>
      <c r="MP189"/>
      <c r="MQ189"/>
      <c r="MR189"/>
      <c r="MS189"/>
      <c r="MT189"/>
      <c r="MU189"/>
      <c r="MV189"/>
      <c r="MW189"/>
      <c r="MX189"/>
      <c r="MY189"/>
      <c r="MZ189"/>
      <c r="NA189"/>
      <c r="NB189"/>
      <c r="NC189"/>
      <c r="ND189"/>
      <c r="NE189"/>
      <c r="NF189"/>
      <c r="NG189"/>
      <c r="NH189"/>
      <c r="NI189"/>
      <c r="NJ189"/>
      <c r="NK189"/>
      <c r="NL189"/>
      <c r="NM189"/>
      <c r="NN189"/>
      <c r="NO189"/>
      <c r="NP189"/>
      <c r="NQ189"/>
      <c r="NR189"/>
      <c r="NS189"/>
      <c r="NT189"/>
      <c r="NU189"/>
      <c r="NV189"/>
      <c r="NW189"/>
      <c r="NX189"/>
      <c r="NY189"/>
      <c r="NZ189"/>
      <c r="OA189"/>
      <c r="OB189"/>
      <c r="OC189"/>
      <c r="OD189"/>
      <c r="OE189"/>
      <c r="OF189"/>
      <c r="OG189"/>
      <c r="OH189"/>
      <c r="OI189"/>
      <c r="OJ189"/>
      <c r="OK189"/>
      <c r="OL189"/>
      <c r="OM189"/>
      <c r="ON189"/>
      <c r="OO189"/>
      <c r="OP189"/>
      <c r="OQ189"/>
      <c r="OR189"/>
      <c r="OS189"/>
      <c r="OT189"/>
      <c r="OU189"/>
      <c r="OV189"/>
      <c r="OW189"/>
      <c r="OX189"/>
      <c r="OY189"/>
      <c r="OZ189"/>
      <c r="PA189"/>
      <c r="PB189"/>
      <c r="PC189"/>
      <c r="PD189"/>
      <c r="PE189"/>
      <c r="PF189"/>
      <c r="PG189"/>
      <c r="PH189"/>
      <c r="PI189"/>
      <c r="PJ189"/>
      <c r="PK189"/>
      <c r="PL189"/>
      <c r="PM189"/>
      <c r="PN189"/>
      <c r="PO189"/>
      <c r="PP189"/>
      <c r="PQ189"/>
      <c r="PR189"/>
      <c r="PS189"/>
      <c r="PT189"/>
      <c r="PU189"/>
      <c r="PV189"/>
      <c r="PW189"/>
      <c r="PX189"/>
      <c r="PY189"/>
      <c r="PZ189"/>
      <c r="QA189"/>
      <c r="QB189"/>
      <c r="QC189"/>
      <c r="QD189"/>
      <c r="QE189"/>
      <c r="QF189"/>
      <c r="QG189"/>
      <c r="QH189"/>
      <c r="QI189"/>
      <c r="QJ189"/>
      <c r="QK189"/>
      <c r="QL189"/>
      <c r="QM189"/>
      <c r="QN189"/>
      <c r="QO189"/>
      <c r="QP189"/>
      <c r="QQ189"/>
      <c r="QR189"/>
      <c r="QS189"/>
      <c r="QT189"/>
      <c r="QU189"/>
      <c r="QV189"/>
      <c r="QW189"/>
      <c r="QX189"/>
      <c r="QY189"/>
      <c r="QZ189"/>
      <c r="RA189"/>
      <c r="RB189"/>
      <c r="RC189"/>
      <c r="RD189"/>
      <c r="RE189"/>
      <c r="RF189"/>
      <c r="RG189"/>
      <c r="RH189"/>
      <c r="RI189"/>
      <c r="RJ189"/>
      <c r="RK189"/>
      <c r="RL189"/>
      <c r="RM189"/>
      <c r="RN189"/>
      <c r="RO189"/>
      <c r="RP189"/>
      <c r="RQ189"/>
      <c r="RR189"/>
      <c r="RS189"/>
    </row>
    <row r="190" spans="3:487" x14ac:dyDescent="0.25">
      <c r="C190" s="2" t="s">
        <v>3666</v>
      </c>
      <c r="D190" s="34">
        <v>1</v>
      </c>
      <c r="F190" s="2" t="s">
        <v>209</v>
      </c>
      <c r="G190" s="34">
        <v>1</v>
      </c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  <c r="CN190"/>
      <c r="CO190"/>
      <c r="CP190"/>
      <c r="CQ190"/>
      <c r="CR190"/>
      <c r="CS190"/>
      <c r="CT190"/>
      <c r="CU190"/>
      <c r="CV190"/>
      <c r="CW190"/>
      <c r="CX190"/>
      <c r="CY190"/>
      <c r="CZ190"/>
      <c r="DA190"/>
      <c r="DB190"/>
      <c r="DC190"/>
      <c r="DD190"/>
      <c r="DE190"/>
      <c r="DF190"/>
      <c r="DG190"/>
      <c r="DH190"/>
      <c r="DI190"/>
      <c r="DJ190"/>
      <c r="DK190"/>
      <c r="DL190"/>
      <c r="DM190"/>
      <c r="DN190"/>
      <c r="DO190"/>
      <c r="DP190"/>
      <c r="DQ190"/>
      <c r="DR190"/>
      <c r="DS190"/>
      <c r="DT190"/>
      <c r="DU190"/>
      <c r="DV190"/>
      <c r="DW190"/>
      <c r="DX190"/>
      <c r="DY190"/>
      <c r="DZ190"/>
      <c r="EA190"/>
      <c r="EB190"/>
      <c r="EC190"/>
      <c r="ED190"/>
      <c r="EE190"/>
      <c r="EF190"/>
      <c r="EG190"/>
      <c r="EH190"/>
      <c r="EI190"/>
      <c r="EJ190"/>
      <c r="EK190"/>
      <c r="EL190"/>
      <c r="EM190"/>
      <c r="EN190"/>
      <c r="EO190"/>
      <c r="EP190"/>
      <c r="EQ190"/>
      <c r="ER190"/>
      <c r="ES190"/>
      <c r="ET190"/>
      <c r="EU190"/>
      <c r="EV190"/>
      <c r="EW190"/>
      <c r="EX190"/>
      <c r="EY190"/>
      <c r="EZ190"/>
      <c r="FA190"/>
      <c r="FB190"/>
      <c r="FC190"/>
      <c r="FD190"/>
      <c r="FE190"/>
      <c r="FF190"/>
      <c r="FG190"/>
      <c r="FH190"/>
      <c r="FI190"/>
      <c r="FJ190"/>
      <c r="FK190"/>
      <c r="FL190"/>
      <c r="FM190"/>
      <c r="FN190"/>
      <c r="FO190"/>
      <c r="FP190"/>
      <c r="FQ190"/>
      <c r="FR190"/>
      <c r="FS190"/>
      <c r="FT190"/>
      <c r="FU190"/>
      <c r="FV190"/>
      <c r="FW190"/>
      <c r="FX190"/>
      <c r="FY190"/>
      <c r="FZ190"/>
      <c r="GA190"/>
      <c r="GB190"/>
      <c r="GC190"/>
      <c r="GD190"/>
      <c r="GE190"/>
      <c r="GF190"/>
      <c r="GG190"/>
      <c r="GH190"/>
      <c r="GI190"/>
      <c r="GJ190"/>
      <c r="GK190"/>
      <c r="GL190"/>
      <c r="GM190"/>
      <c r="GN190"/>
      <c r="GO190"/>
      <c r="GP190"/>
      <c r="GQ190"/>
      <c r="GR190"/>
      <c r="GS190"/>
      <c r="GT190"/>
      <c r="GU190"/>
      <c r="GV190"/>
      <c r="GW190"/>
      <c r="GX190"/>
      <c r="GY190"/>
      <c r="GZ190"/>
      <c r="HA190"/>
      <c r="HB190"/>
      <c r="HC190"/>
      <c r="HD190"/>
      <c r="HE190"/>
      <c r="HF190"/>
      <c r="HG190"/>
      <c r="HH190"/>
      <c r="HI190"/>
      <c r="HJ190"/>
      <c r="HK190"/>
      <c r="HL190"/>
      <c r="HM190"/>
      <c r="HN190"/>
      <c r="HO190"/>
      <c r="HP190"/>
      <c r="HQ190"/>
      <c r="HR190"/>
      <c r="HS190"/>
      <c r="HT190"/>
      <c r="HU190"/>
      <c r="HV190"/>
      <c r="HW190"/>
      <c r="HX190"/>
      <c r="HY190"/>
      <c r="HZ190"/>
      <c r="IA190"/>
      <c r="IB190"/>
      <c r="IC190"/>
      <c r="ID190"/>
      <c r="IE190"/>
      <c r="IF190"/>
      <c r="IG190"/>
      <c r="IH190"/>
      <c r="II190"/>
      <c r="IJ190"/>
      <c r="IK190"/>
      <c r="IL190"/>
      <c r="IM190"/>
      <c r="IN190"/>
      <c r="IO190"/>
      <c r="IP190"/>
      <c r="IQ190"/>
      <c r="IR190"/>
      <c r="IS190"/>
      <c r="IT190"/>
      <c r="IU190"/>
      <c r="IV190"/>
      <c r="IW190"/>
      <c r="IX190"/>
      <c r="IY190"/>
      <c r="IZ190"/>
      <c r="JA190"/>
      <c r="JB190"/>
      <c r="JC190"/>
      <c r="JD190"/>
      <c r="JE190"/>
      <c r="JF190"/>
      <c r="JG190"/>
      <c r="JH190"/>
      <c r="JI190"/>
      <c r="JJ190"/>
      <c r="JK190"/>
      <c r="JL190"/>
      <c r="JM190"/>
      <c r="JN190"/>
      <c r="JO190"/>
      <c r="JP190"/>
      <c r="JQ190"/>
      <c r="JR190"/>
      <c r="JS190"/>
      <c r="JT190"/>
      <c r="JU190"/>
      <c r="JV190"/>
      <c r="JW190"/>
      <c r="JX190"/>
      <c r="JY190"/>
      <c r="JZ190"/>
      <c r="KA190"/>
      <c r="KB190"/>
      <c r="KC190"/>
      <c r="KD190"/>
      <c r="KE190"/>
      <c r="KF190"/>
      <c r="KG190"/>
      <c r="KH190"/>
      <c r="KI190"/>
      <c r="KJ190"/>
      <c r="KK190"/>
      <c r="KL190"/>
      <c r="KM190"/>
      <c r="KN190"/>
      <c r="KO190"/>
      <c r="KP190"/>
      <c r="KQ190"/>
      <c r="KR190"/>
      <c r="KS190"/>
      <c r="KT190"/>
      <c r="KU190"/>
      <c r="KV190"/>
      <c r="KW190"/>
      <c r="KX190"/>
      <c r="KY190"/>
      <c r="KZ190"/>
      <c r="LA190"/>
      <c r="LB190"/>
      <c r="LC190"/>
      <c r="LD190"/>
      <c r="LE190"/>
      <c r="LF190"/>
      <c r="LG190"/>
      <c r="LH190"/>
      <c r="LI190"/>
      <c r="LJ190"/>
      <c r="LK190"/>
      <c r="LL190"/>
      <c r="LM190"/>
      <c r="LN190"/>
      <c r="LO190"/>
      <c r="LP190"/>
      <c r="LQ190"/>
      <c r="LR190"/>
      <c r="LS190"/>
      <c r="LT190"/>
      <c r="LU190"/>
      <c r="LV190"/>
      <c r="LW190"/>
      <c r="LX190"/>
      <c r="LY190"/>
      <c r="LZ190"/>
      <c r="MA190"/>
      <c r="MB190"/>
      <c r="MC190"/>
      <c r="MD190"/>
      <c r="ME190"/>
      <c r="MF190"/>
      <c r="MG190"/>
      <c r="MH190"/>
      <c r="MI190"/>
      <c r="MJ190"/>
      <c r="MK190"/>
      <c r="ML190"/>
      <c r="MM190"/>
      <c r="MN190"/>
      <c r="MO190"/>
      <c r="MP190"/>
      <c r="MQ190"/>
      <c r="MR190"/>
      <c r="MS190"/>
      <c r="MT190"/>
      <c r="MU190"/>
      <c r="MV190"/>
      <c r="MW190"/>
      <c r="MX190"/>
      <c r="MY190"/>
      <c r="MZ190"/>
      <c r="NA190"/>
      <c r="NB190"/>
      <c r="NC190"/>
      <c r="ND190"/>
      <c r="NE190"/>
      <c r="NF190"/>
      <c r="NG190"/>
      <c r="NH190"/>
      <c r="NI190"/>
      <c r="NJ190"/>
      <c r="NK190"/>
      <c r="NL190"/>
      <c r="NM190"/>
      <c r="NN190"/>
      <c r="NO190"/>
      <c r="NP190"/>
      <c r="NQ190"/>
      <c r="NR190"/>
      <c r="NS190"/>
      <c r="NT190"/>
      <c r="NU190"/>
      <c r="NV190"/>
      <c r="NW190"/>
      <c r="NX190"/>
      <c r="NY190"/>
      <c r="NZ190"/>
      <c r="OA190"/>
      <c r="OB190"/>
      <c r="OC190"/>
      <c r="OD190"/>
      <c r="OE190"/>
      <c r="OF190"/>
      <c r="OG190"/>
      <c r="OH190"/>
      <c r="OI190"/>
      <c r="OJ190"/>
      <c r="OK190"/>
      <c r="OL190"/>
      <c r="OM190"/>
      <c r="ON190"/>
      <c r="OO190"/>
      <c r="OP190"/>
      <c r="OQ190"/>
      <c r="OR190"/>
      <c r="OS190"/>
      <c r="OT190"/>
      <c r="OU190"/>
      <c r="OV190"/>
      <c r="OW190"/>
      <c r="OX190"/>
      <c r="OY190"/>
      <c r="OZ190"/>
      <c r="PA190"/>
      <c r="PB190"/>
      <c r="PC190"/>
      <c r="PD190"/>
      <c r="PE190"/>
      <c r="PF190"/>
      <c r="PG190"/>
      <c r="PH190"/>
      <c r="PI190"/>
      <c r="PJ190"/>
      <c r="PK190"/>
      <c r="PL190"/>
      <c r="PM190"/>
      <c r="PN190"/>
      <c r="PO190"/>
      <c r="PP190"/>
      <c r="PQ190"/>
      <c r="PR190"/>
      <c r="PS190"/>
      <c r="PT190"/>
      <c r="PU190"/>
      <c r="PV190"/>
      <c r="PW190"/>
      <c r="PX190"/>
      <c r="PY190"/>
      <c r="PZ190"/>
      <c r="QA190"/>
      <c r="QB190"/>
      <c r="QC190"/>
      <c r="QD190"/>
      <c r="QE190"/>
      <c r="QF190"/>
      <c r="QG190"/>
      <c r="QH190"/>
      <c r="QI190"/>
      <c r="QJ190"/>
      <c r="QK190"/>
      <c r="QL190"/>
      <c r="QM190"/>
      <c r="QN190"/>
      <c r="QO190"/>
      <c r="QP190"/>
      <c r="QQ190"/>
      <c r="QR190"/>
      <c r="QS190"/>
      <c r="QT190"/>
      <c r="QU190"/>
      <c r="QV190"/>
      <c r="QW190"/>
      <c r="QX190"/>
      <c r="QY190"/>
      <c r="QZ190"/>
      <c r="RA190"/>
      <c r="RB190"/>
      <c r="RC190"/>
      <c r="RD190"/>
      <c r="RE190"/>
      <c r="RF190"/>
      <c r="RG190"/>
      <c r="RH190"/>
      <c r="RI190"/>
      <c r="RJ190"/>
      <c r="RK190"/>
      <c r="RL190"/>
      <c r="RM190"/>
      <c r="RN190"/>
      <c r="RO190"/>
      <c r="RP190"/>
      <c r="RQ190"/>
      <c r="RR190"/>
      <c r="RS190"/>
    </row>
    <row r="191" spans="3:487" x14ac:dyDescent="0.25">
      <c r="C191" s="2" t="s">
        <v>305</v>
      </c>
      <c r="D191" s="34">
        <v>1</v>
      </c>
      <c r="F191" s="2" t="s">
        <v>118</v>
      </c>
      <c r="G191" s="34">
        <v>1</v>
      </c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  <c r="CN191"/>
      <c r="CO191"/>
      <c r="CP191"/>
      <c r="CQ191"/>
      <c r="CR191"/>
      <c r="CS191"/>
      <c r="CT191"/>
      <c r="CU191"/>
      <c r="CV191"/>
      <c r="CW191"/>
      <c r="CX191"/>
      <c r="CY191"/>
      <c r="CZ191"/>
      <c r="DA191"/>
      <c r="DB191"/>
      <c r="DC191"/>
      <c r="DD191"/>
      <c r="DE191"/>
      <c r="DF191"/>
      <c r="DG191"/>
      <c r="DH191"/>
      <c r="DI191"/>
      <c r="DJ191"/>
      <c r="DK191"/>
      <c r="DL191"/>
      <c r="DM191"/>
      <c r="DN191"/>
      <c r="DO191"/>
      <c r="DP191"/>
      <c r="DQ191"/>
      <c r="DR191"/>
      <c r="DS191"/>
      <c r="DT191"/>
      <c r="DU191"/>
      <c r="DV191"/>
      <c r="DW191"/>
      <c r="DX191"/>
      <c r="DY191"/>
      <c r="DZ191"/>
      <c r="EA191"/>
      <c r="EB191"/>
      <c r="EC191"/>
      <c r="ED191"/>
      <c r="EE191"/>
      <c r="EF191"/>
      <c r="EG191"/>
      <c r="EH191"/>
      <c r="EI191"/>
      <c r="EJ191"/>
      <c r="EK191"/>
      <c r="EL191"/>
      <c r="EM191"/>
      <c r="EN191"/>
      <c r="EO191"/>
      <c r="EP191"/>
      <c r="EQ191"/>
      <c r="ER191"/>
      <c r="ES191"/>
      <c r="ET191"/>
      <c r="EU191"/>
      <c r="EV191"/>
      <c r="EW191"/>
      <c r="EX191"/>
      <c r="EY191"/>
      <c r="EZ191"/>
      <c r="FA191"/>
      <c r="FB191"/>
      <c r="FC191"/>
      <c r="FD191"/>
      <c r="FE191"/>
      <c r="FF191"/>
      <c r="FG191"/>
      <c r="FH191"/>
      <c r="FI191"/>
      <c r="FJ191"/>
      <c r="FK191"/>
      <c r="FL191"/>
      <c r="FM191"/>
      <c r="FN191"/>
      <c r="FO191"/>
      <c r="FP191"/>
      <c r="FQ191"/>
      <c r="FR191"/>
      <c r="FS191"/>
      <c r="FT191"/>
      <c r="FU191"/>
      <c r="FV191"/>
      <c r="FW191"/>
      <c r="FX191"/>
      <c r="FY191"/>
      <c r="FZ191"/>
      <c r="GA191"/>
      <c r="GB191"/>
      <c r="GC191"/>
      <c r="GD191"/>
      <c r="GE191"/>
      <c r="GF191"/>
      <c r="GG191"/>
      <c r="GH191"/>
      <c r="GI191"/>
      <c r="GJ191"/>
      <c r="GK191"/>
      <c r="GL191"/>
      <c r="GM191"/>
      <c r="GN191"/>
      <c r="GO191"/>
      <c r="GP191"/>
      <c r="GQ191"/>
      <c r="GR191"/>
      <c r="GS191"/>
      <c r="GT191"/>
      <c r="GU191"/>
      <c r="GV191"/>
      <c r="GW191"/>
      <c r="GX191"/>
      <c r="GY191"/>
      <c r="GZ191"/>
      <c r="HA191"/>
      <c r="HB191"/>
      <c r="HC191"/>
      <c r="HD191"/>
      <c r="HE191"/>
      <c r="HF191"/>
      <c r="HG191"/>
      <c r="HH191"/>
      <c r="HI191"/>
      <c r="HJ191"/>
      <c r="HK191"/>
      <c r="HL191"/>
      <c r="HM191"/>
      <c r="HN191"/>
      <c r="HO191"/>
      <c r="HP191"/>
      <c r="HQ191"/>
      <c r="HR191"/>
      <c r="HS191"/>
      <c r="HT191"/>
      <c r="HU191"/>
      <c r="HV191"/>
      <c r="HW191"/>
      <c r="HX191"/>
      <c r="HY191"/>
      <c r="HZ191"/>
      <c r="IA191"/>
      <c r="IB191"/>
      <c r="IC191"/>
      <c r="ID191"/>
      <c r="IE191"/>
      <c r="IF191"/>
      <c r="IG191"/>
      <c r="IH191"/>
      <c r="II191"/>
      <c r="IJ191"/>
      <c r="IK191"/>
      <c r="IL191"/>
      <c r="IM191"/>
      <c r="IN191"/>
      <c r="IO191"/>
      <c r="IP191"/>
      <c r="IQ191"/>
      <c r="IR191"/>
      <c r="IS191"/>
      <c r="IT191"/>
      <c r="IU191"/>
      <c r="IV191"/>
      <c r="IW191"/>
      <c r="IX191"/>
      <c r="IY191"/>
      <c r="IZ191"/>
      <c r="JA191"/>
      <c r="JB191"/>
      <c r="JC191"/>
      <c r="JD191"/>
      <c r="JE191"/>
      <c r="JF191"/>
      <c r="JG191"/>
      <c r="JH191"/>
      <c r="JI191"/>
      <c r="JJ191"/>
      <c r="JK191"/>
      <c r="JL191"/>
      <c r="JM191"/>
      <c r="JN191"/>
      <c r="JO191"/>
      <c r="JP191"/>
      <c r="JQ191"/>
      <c r="JR191"/>
      <c r="JS191"/>
      <c r="JT191"/>
      <c r="JU191"/>
      <c r="JV191"/>
      <c r="JW191"/>
      <c r="JX191"/>
      <c r="JY191"/>
      <c r="JZ191"/>
      <c r="KA191"/>
      <c r="KB191"/>
      <c r="KC191"/>
      <c r="KD191"/>
      <c r="KE191"/>
      <c r="KF191"/>
      <c r="KG191"/>
      <c r="KH191"/>
      <c r="KI191"/>
      <c r="KJ191"/>
      <c r="KK191"/>
      <c r="KL191"/>
      <c r="KM191"/>
      <c r="KN191"/>
      <c r="KO191"/>
      <c r="KP191"/>
      <c r="KQ191"/>
      <c r="KR191"/>
      <c r="KS191"/>
      <c r="KT191"/>
      <c r="KU191"/>
      <c r="KV191"/>
      <c r="KW191"/>
      <c r="KX191"/>
      <c r="KY191"/>
      <c r="KZ191"/>
      <c r="LA191"/>
      <c r="LB191"/>
      <c r="LC191"/>
      <c r="LD191"/>
      <c r="LE191"/>
      <c r="LF191"/>
      <c r="LG191"/>
      <c r="LH191"/>
      <c r="LI191"/>
      <c r="LJ191"/>
      <c r="LK191"/>
      <c r="LL191"/>
      <c r="LM191"/>
      <c r="LN191"/>
      <c r="LO191"/>
      <c r="LP191"/>
      <c r="LQ191"/>
      <c r="LR191"/>
      <c r="LS191"/>
      <c r="LT191"/>
      <c r="LU191"/>
      <c r="LV191"/>
      <c r="LW191"/>
      <c r="LX191"/>
      <c r="LY191"/>
      <c r="LZ191"/>
      <c r="MA191"/>
      <c r="MB191"/>
      <c r="MC191"/>
      <c r="MD191"/>
      <c r="ME191"/>
      <c r="MF191"/>
      <c r="MG191"/>
      <c r="MH191"/>
      <c r="MI191"/>
      <c r="MJ191"/>
      <c r="MK191"/>
      <c r="ML191"/>
      <c r="MM191"/>
      <c r="MN191"/>
      <c r="MO191"/>
      <c r="MP191"/>
      <c r="MQ191"/>
      <c r="MR191"/>
      <c r="MS191"/>
      <c r="MT191"/>
      <c r="MU191"/>
      <c r="MV191"/>
      <c r="MW191"/>
      <c r="MX191"/>
      <c r="MY191"/>
      <c r="MZ191"/>
      <c r="NA191"/>
      <c r="NB191"/>
      <c r="NC191"/>
      <c r="ND191"/>
      <c r="NE191"/>
      <c r="NF191"/>
      <c r="NG191"/>
      <c r="NH191"/>
      <c r="NI191"/>
      <c r="NJ191"/>
      <c r="NK191"/>
      <c r="NL191"/>
      <c r="NM191"/>
      <c r="NN191"/>
      <c r="NO191"/>
      <c r="NP191"/>
      <c r="NQ191"/>
      <c r="NR191"/>
      <c r="NS191"/>
      <c r="NT191"/>
      <c r="NU191"/>
      <c r="NV191"/>
      <c r="NW191"/>
      <c r="NX191"/>
      <c r="NY191"/>
      <c r="NZ191"/>
      <c r="OA191"/>
      <c r="OB191"/>
      <c r="OC191"/>
      <c r="OD191"/>
      <c r="OE191"/>
      <c r="OF191"/>
      <c r="OG191"/>
      <c r="OH191"/>
      <c r="OI191"/>
      <c r="OJ191"/>
      <c r="OK191"/>
      <c r="OL191"/>
      <c r="OM191"/>
      <c r="ON191"/>
      <c r="OO191"/>
      <c r="OP191"/>
      <c r="OQ191"/>
      <c r="OR191"/>
      <c r="OS191"/>
      <c r="OT191"/>
      <c r="OU191"/>
      <c r="OV191"/>
      <c r="OW191"/>
      <c r="OX191"/>
      <c r="OY191"/>
      <c r="OZ191"/>
      <c r="PA191"/>
      <c r="PB191"/>
      <c r="PC191"/>
      <c r="PD191"/>
      <c r="PE191"/>
      <c r="PF191"/>
      <c r="PG191"/>
      <c r="PH191"/>
      <c r="PI191"/>
      <c r="PJ191"/>
      <c r="PK191"/>
      <c r="PL191"/>
      <c r="PM191"/>
      <c r="PN191"/>
      <c r="PO191"/>
      <c r="PP191"/>
      <c r="PQ191"/>
      <c r="PR191"/>
      <c r="PS191"/>
      <c r="PT191"/>
      <c r="PU191"/>
      <c r="PV191"/>
      <c r="PW191"/>
      <c r="PX191"/>
      <c r="PY191"/>
      <c r="PZ191"/>
      <c r="QA191"/>
      <c r="QB191"/>
      <c r="QC191"/>
      <c r="QD191"/>
      <c r="QE191"/>
      <c r="QF191"/>
      <c r="QG191"/>
      <c r="QH191"/>
      <c r="QI191"/>
      <c r="QJ191"/>
      <c r="QK191"/>
      <c r="QL191"/>
      <c r="QM191"/>
      <c r="QN191"/>
      <c r="QO191"/>
      <c r="QP191"/>
      <c r="QQ191"/>
      <c r="QR191"/>
      <c r="QS191"/>
      <c r="QT191"/>
      <c r="QU191"/>
      <c r="QV191"/>
      <c r="QW191"/>
      <c r="QX191"/>
      <c r="QY191"/>
      <c r="QZ191"/>
      <c r="RA191"/>
      <c r="RB191"/>
      <c r="RC191"/>
      <c r="RD191"/>
      <c r="RE191"/>
      <c r="RF191"/>
      <c r="RG191"/>
      <c r="RH191"/>
      <c r="RI191"/>
      <c r="RJ191"/>
      <c r="RK191"/>
      <c r="RL191"/>
      <c r="RM191"/>
      <c r="RN191"/>
      <c r="RO191"/>
      <c r="RP191"/>
      <c r="RQ191"/>
      <c r="RR191"/>
      <c r="RS191"/>
    </row>
    <row r="192" spans="3:487" x14ac:dyDescent="0.25">
      <c r="C192" s="2" t="s">
        <v>302</v>
      </c>
      <c r="D192" s="34">
        <v>1</v>
      </c>
      <c r="F192" s="2" t="s">
        <v>3688</v>
      </c>
      <c r="G192" s="34">
        <v>1</v>
      </c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  <c r="CN192"/>
      <c r="CO192"/>
      <c r="CP192"/>
      <c r="CQ192"/>
      <c r="CR192"/>
      <c r="CS192"/>
      <c r="CT192"/>
      <c r="CU192"/>
      <c r="CV192"/>
      <c r="CW192"/>
      <c r="CX192"/>
      <c r="CY192"/>
      <c r="CZ192"/>
      <c r="DA192"/>
      <c r="DB192"/>
      <c r="DC192"/>
      <c r="DD192"/>
      <c r="DE192"/>
      <c r="DF192"/>
      <c r="DG192"/>
      <c r="DH192"/>
      <c r="DI192"/>
      <c r="DJ192"/>
      <c r="DK192"/>
      <c r="DL192"/>
      <c r="DM192"/>
      <c r="DN192"/>
      <c r="DO192"/>
      <c r="DP192"/>
      <c r="DQ192"/>
      <c r="DR192"/>
      <c r="DS192"/>
      <c r="DT192"/>
      <c r="DU192"/>
      <c r="DV192"/>
      <c r="DW192"/>
      <c r="DX192"/>
      <c r="DY192"/>
      <c r="DZ192"/>
      <c r="EA192"/>
      <c r="EB192"/>
      <c r="EC192"/>
      <c r="ED192"/>
      <c r="EE192"/>
      <c r="EF192"/>
      <c r="EG192"/>
      <c r="EH192"/>
      <c r="EI192"/>
      <c r="EJ192"/>
      <c r="EK192"/>
      <c r="EL192"/>
      <c r="EM192"/>
      <c r="EN192"/>
      <c r="EO192"/>
      <c r="EP192"/>
      <c r="EQ192"/>
      <c r="ER192"/>
      <c r="ES192"/>
      <c r="ET192"/>
      <c r="EU192"/>
      <c r="EV192"/>
      <c r="EW192"/>
      <c r="EX192"/>
      <c r="EY192"/>
      <c r="EZ192"/>
      <c r="FA192"/>
      <c r="FB192"/>
      <c r="FC192"/>
      <c r="FD192"/>
      <c r="FE192"/>
      <c r="FF192"/>
      <c r="FG192"/>
      <c r="FH192"/>
      <c r="FI192"/>
      <c r="FJ192"/>
      <c r="FK192"/>
      <c r="FL192"/>
      <c r="FM192"/>
      <c r="FN192"/>
      <c r="FO192"/>
      <c r="FP192"/>
      <c r="FQ192"/>
      <c r="FR192"/>
      <c r="FS192"/>
      <c r="FT192"/>
      <c r="FU192"/>
      <c r="FV192"/>
      <c r="FW192"/>
      <c r="FX192"/>
      <c r="FY192"/>
      <c r="FZ192"/>
      <c r="GA192"/>
      <c r="GB192"/>
      <c r="GC192"/>
      <c r="GD192"/>
      <c r="GE192"/>
      <c r="GF192"/>
      <c r="GG192"/>
      <c r="GH192"/>
      <c r="GI192"/>
      <c r="GJ192"/>
      <c r="GK192"/>
      <c r="GL192"/>
      <c r="GM192"/>
      <c r="GN192"/>
      <c r="GO192"/>
      <c r="GP192"/>
      <c r="GQ192"/>
      <c r="GR192"/>
      <c r="GS192"/>
      <c r="GT192"/>
      <c r="GU192"/>
      <c r="GV192"/>
      <c r="GW192"/>
      <c r="GX192"/>
      <c r="GY192"/>
      <c r="GZ192"/>
      <c r="HA192"/>
      <c r="HB192"/>
      <c r="HC192"/>
      <c r="HD192"/>
      <c r="HE192"/>
      <c r="HF192"/>
      <c r="HG192"/>
      <c r="HH192"/>
      <c r="HI192"/>
      <c r="HJ192"/>
      <c r="HK192"/>
      <c r="HL192"/>
      <c r="HM192"/>
      <c r="HN192"/>
      <c r="HO192"/>
      <c r="HP192"/>
      <c r="HQ192"/>
      <c r="HR192"/>
      <c r="HS192"/>
      <c r="HT192"/>
      <c r="HU192"/>
      <c r="HV192"/>
      <c r="HW192"/>
      <c r="HX192"/>
      <c r="HY192"/>
      <c r="HZ192"/>
      <c r="IA192"/>
      <c r="IB192"/>
      <c r="IC192"/>
      <c r="ID192"/>
      <c r="IE192"/>
      <c r="IF192"/>
      <c r="IG192"/>
      <c r="IH192"/>
      <c r="II192"/>
      <c r="IJ192"/>
      <c r="IK192"/>
      <c r="IL192"/>
      <c r="IM192"/>
      <c r="IN192"/>
      <c r="IO192"/>
      <c r="IP192"/>
      <c r="IQ192"/>
      <c r="IR192"/>
      <c r="IS192"/>
      <c r="IT192"/>
      <c r="IU192"/>
      <c r="IV192"/>
      <c r="IW192"/>
      <c r="IX192"/>
      <c r="IY192"/>
      <c r="IZ192"/>
      <c r="JA192"/>
      <c r="JB192"/>
      <c r="JC192"/>
      <c r="JD192"/>
      <c r="JE192"/>
      <c r="JF192"/>
      <c r="JG192"/>
      <c r="JH192"/>
      <c r="JI192"/>
      <c r="JJ192"/>
      <c r="JK192"/>
      <c r="JL192"/>
      <c r="JM192"/>
      <c r="JN192"/>
      <c r="JO192"/>
      <c r="JP192"/>
      <c r="JQ192"/>
      <c r="JR192"/>
      <c r="JS192"/>
      <c r="JT192"/>
      <c r="JU192"/>
      <c r="JV192"/>
      <c r="JW192"/>
      <c r="JX192"/>
      <c r="JY192"/>
      <c r="JZ192"/>
      <c r="KA192"/>
      <c r="KB192"/>
      <c r="KC192"/>
      <c r="KD192"/>
      <c r="KE192"/>
      <c r="KF192"/>
      <c r="KG192"/>
      <c r="KH192"/>
      <c r="KI192"/>
      <c r="KJ192"/>
      <c r="KK192"/>
      <c r="KL192"/>
      <c r="KM192"/>
      <c r="KN192"/>
      <c r="KO192"/>
      <c r="KP192"/>
      <c r="KQ192"/>
      <c r="KR192"/>
      <c r="KS192"/>
      <c r="KT192"/>
      <c r="KU192"/>
      <c r="KV192"/>
      <c r="KW192"/>
      <c r="KX192"/>
      <c r="KY192"/>
      <c r="KZ192"/>
      <c r="LA192"/>
      <c r="LB192"/>
      <c r="LC192"/>
      <c r="LD192"/>
      <c r="LE192"/>
      <c r="LF192"/>
      <c r="LG192"/>
      <c r="LH192"/>
      <c r="LI192"/>
      <c r="LJ192"/>
      <c r="LK192"/>
      <c r="LL192"/>
      <c r="LM192"/>
      <c r="LN192"/>
      <c r="LO192"/>
      <c r="LP192"/>
      <c r="LQ192"/>
      <c r="LR192"/>
      <c r="LS192"/>
      <c r="LT192"/>
      <c r="LU192"/>
      <c r="LV192"/>
      <c r="LW192"/>
      <c r="LX192"/>
      <c r="LY192"/>
      <c r="LZ192"/>
      <c r="MA192"/>
      <c r="MB192"/>
      <c r="MC192"/>
      <c r="MD192"/>
      <c r="ME192"/>
      <c r="MF192"/>
      <c r="MG192"/>
      <c r="MH192"/>
      <c r="MI192"/>
      <c r="MJ192"/>
      <c r="MK192"/>
      <c r="ML192"/>
      <c r="MM192"/>
      <c r="MN192"/>
      <c r="MO192"/>
      <c r="MP192"/>
      <c r="MQ192"/>
      <c r="MR192"/>
      <c r="MS192"/>
      <c r="MT192"/>
      <c r="MU192"/>
      <c r="MV192"/>
      <c r="MW192"/>
      <c r="MX192"/>
      <c r="MY192"/>
      <c r="MZ192"/>
      <c r="NA192"/>
      <c r="NB192"/>
      <c r="NC192"/>
      <c r="ND192"/>
      <c r="NE192"/>
      <c r="NF192"/>
      <c r="NG192"/>
      <c r="NH192"/>
      <c r="NI192"/>
      <c r="NJ192"/>
      <c r="NK192"/>
      <c r="NL192"/>
      <c r="NM192"/>
      <c r="NN192"/>
      <c r="NO192"/>
      <c r="NP192"/>
      <c r="NQ192"/>
      <c r="NR192"/>
      <c r="NS192"/>
      <c r="NT192"/>
      <c r="NU192"/>
      <c r="NV192"/>
      <c r="NW192"/>
      <c r="NX192"/>
      <c r="NY192"/>
      <c r="NZ192"/>
      <c r="OA192"/>
      <c r="OB192"/>
      <c r="OC192"/>
      <c r="OD192"/>
      <c r="OE192"/>
      <c r="OF192"/>
      <c r="OG192"/>
      <c r="OH192"/>
      <c r="OI192"/>
      <c r="OJ192"/>
      <c r="OK192"/>
      <c r="OL192"/>
      <c r="OM192"/>
      <c r="ON192"/>
      <c r="OO192"/>
      <c r="OP192"/>
      <c r="OQ192"/>
      <c r="OR192"/>
      <c r="OS192"/>
      <c r="OT192"/>
      <c r="OU192"/>
      <c r="OV192"/>
      <c r="OW192"/>
      <c r="OX192"/>
      <c r="OY192"/>
      <c r="OZ192"/>
      <c r="PA192"/>
      <c r="PB192"/>
      <c r="PC192"/>
      <c r="PD192"/>
      <c r="PE192"/>
      <c r="PF192"/>
      <c r="PG192"/>
      <c r="PH192"/>
      <c r="PI192"/>
      <c r="PJ192"/>
      <c r="PK192"/>
      <c r="PL192"/>
      <c r="PM192"/>
      <c r="PN192"/>
      <c r="PO192"/>
      <c r="PP192"/>
      <c r="PQ192"/>
      <c r="PR192"/>
      <c r="PS192"/>
      <c r="PT192"/>
      <c r="PU192"/>
      <c r="PV192"/>
      <c r="PW192"/>
      <c r="PX192"/>
      <c r="PY192"/>
      <c r="PZ192"/>
      <c r="QA192"/>
      <c r="QB192"/>
      <c r="QC192"/>
      <c r="QD192"/>
      <c r="QE192"/>
      <c r="QF192"/>
      <c r="QG192"/>
      <c r="QH192"/>
      <c r="QI192"/>
      <c r="QJ192"/>
      <c r="QK192"/>
      <c r="QL192"/>
      <c r="QM192"/>
      <c r="QN192"/>
      <c r="QO192"/>
      <c r="QP192"/>
      <c r="QQ192"/>
      <c r="QR192"/>
      <c r="QS192"/>
      <c r="QT192"/>
      <c r="QU192"/>
      <c r="QV192"/>
      <c r="QW192"/>
      <c r="QX192"/>
      <c r="QY192"/>
      <c r="QZ192"/>
      <c r="RA192"/>
      <c r="RB192"/>
      <c r="RC192"/>
      <c r="RD192"/>
      <c r="RE192"/>
      <c r="RF192"/>
      <c r="RG192"/>
      <c r="RH192"/>
      <c r="RI192"/>
      <c r="RJ192"/>
      <c r="RK192"/>
      <c r="RL192"/>
      <c r="RM192"/>
      <c r="RN192"/>
      <c r="RO192"/>
      <c r="RP192"/>
      <c r="RQ192"/>
      <c r="RR192"/>
      <c r="RS192"/>
    </row>
    <row r="193" spans="3:487" x14ac:dyDescent="0.25">
      <c r="C193" s="2" t="s">
        <v>307</v>
      </c>
      <c r="D193" s="34">
        <v>1</v>
      </c>
      <c r="F193" s="2" t="s">
        <v>3485</v>
      </c>
      <c r="G193" s="34">
        <v>1</v>
      </c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  <c r="CN193"/>
      <c r="CO193"/>
      <c r="CP193"/>
      <c r="CQ193"/>
      <c r="CR193"/>
      <c r="CS193"/>
      <c r="CT193"/>
      <c r="CU193"/>
      <c r="CV193"/>
      <c r="CW193"/>
      <c r="CX193"/>
      <c r="CY193"/>
      <c r="CZ193"/>
      <c r="DA193"/>
      <c r="DB193"/>
      <c r="DC193"/>
      <c r="DD193"/>
      <c r="DE193"/>
      <c r="DF193"/>
      <c r="DG193"/>
      <c r="DH193"/>
      <c r="DI193"/>
      <c r="DJ193"/>
      <c r="DK193"/>
      <c r="DL193"/>
      <c r="DM193"/>
      <c r="DN193"/>
      <c r="DO193"/>
      <c r="DP193"/>
      <c r="DQ193"/>
      <c r="DR193"/>
      <c r="DS193"/>
      <c r="DT193"/>
      <c r="DU193"/>
      <c r="DV193"/>
      <c r="DW193"/>
      <c r="DX193"/>
      <c r="DY193"/>
      <c r="DZ193"/>
      <c r="EA193"/>
      <c r="EB193"/>
      <c r="EC193"/>
      <c r="ED193"/>
      <c r="EE193"/>
      <c r="EF193"/>
      <c r="EG193"/>
      <c r="EH193"/>
      <c r="EI193"/>
      <c r="EJ193"/>
      <c r="EK193"/>
      <c r="EL193"/>
      <c r="EM193"/>
      <c r="EN193"/>
      <c r="EO193"/>
      <c r="EP193"/>
      <c r="EQ193"/>
      <c r="ER193"/>
      <c r="ES193"/>
      <c r="ET193"/>
      <c r="EU193"/>
      <c r="EV193"/>
      <c r="EW193"/>
      <c r="EX193"/>
      <c r="EY193"/>
      <c r="EZ193"/>
      <c r="FA193"/>
      <c r="FB193"/>
      <c r="FC193"/>
      <c r="FD193"/>
      <c r="FE193"/>
      <c r="FF193"/>
      <c r="FG193"/>
      <c r="FH193"/>
      <c r="FI193"/>
      <c r="FJ193"/>
      <c r="FK193"/>
      <c r="FL193"/>
      <c r="FM193"/>
      <c r="FN193"/>
      <c r="FO193"/>
      <c r="FP193"/>
      <c r="FQ193"/>
      <c r="FR193"/>
      <c r="FS193"/>
      <c r="FT193"/>
      <c r="FU193"/>
      <c r="FV193"/>
      <c r="FW193"/>
      <c r="FX193"/>
      <c r="FY193"/>
      <c r="FZ193"/>
      <c r="GA193"/>
      <c r="GB193"/>
      <c r="GC193"/>
      <c r="GD193"/>
      <c r="GE193"/>
      <c r="GF193"/>
      <c r="GG193"/>
      <c r="GH193"/>
      <c r="GI193"/>
      <c r="GJ193"/>
      <c r="GK193"/>
      <c r="GL193"/>
      <c r="GM193"/>
      <c r="GN193"/>
      <c r="GO193"/>
      <c r="GP193"/>
      <c r="GQ193"/>
      <c r="GR193"/>
      <c r="GS193"/>
      <c r="GT193"/>
      <c r="GU193"/>
      <c r="GV193"/>
      <c r="GW193"/>
      <c r="GX193"/>
      <c r="GY193"/>
      <c r="GZ193"/>
      <c r="HA193"/>
      <c r="HB193"/>
      <c r="HC193"/>
      <c r="HD193"/>
      <c r="HE193"/>
      <c r="HF193"/>
      <c r="HG193"/>
      <c r="HH193"/>
      <c r="HI193"/>
      <c r="HJ193"/>
      <c r="HK193"/>
      <c r="HL193"/>
      <c r="HM193"/>
      <c r="HN193"/>
      <c r="HO193"/>
      <c r="HP193"/>
      <c r="HQ193"/>
      <c r="HR193"/>
      <c r="HS193"/>
      <c r="HT193"/>
      <c r="HU193"/>
      <c r="HV193"/>
      <c r="HW193"/>
      <c r="HX193"/>
      <c r="HY193"/>
      <c r="HZ193"/>
      <c r="IA193"/>
      <c r="IB193"/>
      <c r="IC193"/>
      <c r="ID193"/>
      <c r="IE193"/>
      <c r="IF193"/>
      <c r="IG193"/>
      <c r="IH193"/>
      <c r="II193"/>
      <c r="IJ193"/>
      <c r="IK193"/>
      <c r="IL193"/>
      <c r="IM193"/>
      <c r="IN193"/>
      <c r="IO193"/>
      <c r="IP193"/>
      <c r="IQ193"/>
      <c r="IR193"/>
      <c r="IS193"/>
      <c r="IT193"/>
      <c r="IU193"/>
      <c r="IV193"/>
      <c r="IW193"/>
      <c r="IX193"/>
      <c r="IY193"/>
      <c r="IZ193"/>
      <c r="JA193"/>
      <c r="JB193"/>
      <c r="JC193"/>
      <c r="JD193"/>
      <c r="JE193"/>
      <c r="JF193"/>
      <c r="JG193"/>
      <c r="JH193"/>
      <c r="JI193"/>
      <c r="JJ193"/>
      <c r="JK193"/>
      <c r="JL193"/>
      <c r="JM193"/>
      <c r="JN193"/>
      <c r="JO193"/>
      <c r="JP193"/>
      <c r="JQ193"/>
      <c r="JR193"/>
      <c r="JS193"/>
      <c r="JT193"/>
      <c r="JU193"/>
      <c r="JV193"/>
      <c r="JW193"/>
      <c r="JX193"/>
      <c r="JY193"/>
      <c r="JZ193"/>
      <c r="KA193"/>
      <c r="KB193"/>
      <c r="KC193"/>
      <c r="KD193"/>
      <c r="KE193"/>
      <c r="KF193"/>
      <c r="KG193"/>
      <c r="KH193"/>
      <c r="KI193"/>
      <c r="KJ193"/>
      <c r="KK193"/>
      <c r="KL193"/>
      <c r="KM193"/>
      <c r="KN193"/>
      <c r="KO193"/>
      <c r="KP193"/>
      <c r="KQ193"/>
      <c r="KR193"/>
      <c r="KS193"/>
      <c r="KT193"/>
      <c r="KU193"/>
      <c r="KV193"/>
      <c r="KW193"/>
      <c r="KX193"/>
      <c r="KY193"/>
      <c r="KZ193"/>
      <c r="LA193"/>
      <c r="LB193"/>
      <c r="LC193"/>
      <c r="LD193"/>
      <c r="LE193"/>
      <c r="LF193"/>
      <c r="LG193"/>
      <c r="LH193"/>
      <c r="LI193"/>
      <c r="LJ193"/>
      <c r="LK193"/>
      <c r="LL193"/>
      <c r="LM193"/>
      <c r="LN193"/>
      <c r="LO193"/>
      <c r="LP193"/>
      <c r="LQ193"/>
      <c r="LR193"/>
      <c r="LS193"/>
      <c r="LT193"/>
      <c r="LU193"/>
      <c r="LV193"/>
      <c r="LW193"/>
      <c r="LX193"/>
      <c r="LY193"/>
      <c r="LZ193"/>
      <c r="MA193"/>
      <c r="MB193"/>
      <c r="MC193"/>
      <c r="MD193"/>
      <c r="ME193"/>
      <c r="MF193"/>
      <c r="MG193"/>
      <c r="MH193"/>
      <c r="MI193"/>
      <c r="MJ193"/>
      <c r="MK193"/>
      <c r="ML193"/>
      <c r="MM193"/>
      <c r="MN193"/>
      <c r="MO193"/>
      <c r="MP193"/>
      <c r="MQ193"/>
      <c r="MR193"/>
      <c r="MS193"/>
      <c r="MT193"/>
      <c r="MU193"/>
      <c r="MV193"/>
      <c r="MW193"/>
      <c r="MX193"/>
      <c r="MY193"/>
      <c r="MZ193"/>
      <c r="NA193"/>
      <c r="NB193"/>
      <c r="NC193"/>
      <c r="ND193"/>
      <c r="NE193"/>
      <c r="NF193"/>
      <c r="NG193"/>
      <c r="NH193"/>
      <c r="NI193"/>
      <c r="NJ193"/>
      <c r="NK193"/>
      <c r="NL193"/>
      <c r="NM193"/>
      <c r="NN193"/>
      <c r="NO193"/>
      <c r="NP193"/>
      <c r="NQ193"/>
      <c r="NR193"/>
      <c r="NS193"/>
      <c r="NT193"/>
      <c r="NU193"/>
      <c r="NV193"/>
      <c r="NW193"/>
      <c r="NX193"/>
      <c r="NY193"/>
      <c r="NZ193"/>
      <c r="OA193"/>
      <c r="OB193"/>
      <c r="OC193"/>
      <c r="OD193"/>
      <c r="OE193"/>
      <c r="OF193"/>
      <c r="OG193"/>
      <c r="OH193"/>
      <c r="OI193"/>
      <c r="OJ193"/>
      <c r="OK193"/>
      <c r="OL193"/>
      <c r="OM193"/>
      <c r="ON193"/>
      <c r="OO193"/>
      <c r="OP193"/>
      <c r="OQ193"/>
      <c r="OR193"/>
      <c r="OS193"/>
      <c r="OT193"/>
      <c r="OU193"/>
      <c r="OV193"/>
      <c r="OW193"/>
      <c r="OX193"/>
      <c r="OY193"/>
      <c r="OZ193"/>
      <c r="PA193"/>
      <c r="PB193"/>
      <c r="PC193"/>
      <c r="PD193"/>
      <c r="PE193"/>
      <c r="PF193"/>
      <c r="PG193"/>
      <c r="PH193"/>
      <c r="PI193"/>
      <c r="PJ193"/>
      <c r="PK193"/>
      <c r="PL193"/>
      <c r="PM193"/>
      <c r="PN193"/>
      <c r="PO193"/>
      <c r="PP193"/>
      <c r="PQ193"/>
      <c r="PR193"/>
      <c r="PS193"/>
      <c r="PT193"/>
      <c r="PU193"/>
      <c r="PV193"/>
      <c r="PW193"/>
      <c r="PX193"/>
      <c r="PY193"/>
      <c r="PZ193"/>
      <c r="QA193"/>
      <c r="QB193"/>
      <c r="QC193"/>
      <c r="QD193"/>
      <c r="QE193"/>
      <c r="QF193"/>
      <c r="QG193"/>
      <c r="QH193"/>
      <c r="QI193"/>
      <c r="QJ193"/>
      <c r="QK193"/>
      <c r="QL193"/>
      <c r="QM193"/>
      <c r="QN193"/>
      <c r="QO193"/>
      <c r="QP193"/>
      <c r="QQ193"/>
      <c r="QR193"/>
      <c r="QS193"/>
      <c r="QT193"/>
      <c r="QU193"/>
      <c r="QV193"/>
      <c r="QW193"/>
      <c r="QX193"/>
      <c r="QY193"/>
      <c r="QZ193"/>
      <c r="RA193"/>
      <c r="RB193"/>
      <c r="RC193"/>
      <c r="RD193"/>
      <c r="RE193"/>
      <c r="RF193"/>
      <c r="RG193"/>
      <c r="RH193"/>
      <c r="RI193"/>
      <c r="RJ193"/>
      <c r="RK193"/>
      <c r="RL193"/>
      <c r="RM193"/>
      <c r="RN193"/>
      <c r="RO193"/>
      <c r="RP193"/>
      <c r="RQ193"/>
      <c r="RR193"/>
      <c r="RS193"/>
    </row>
    <row r="194" spans="3:487" x14ac:dyDescent="0.25">
      <c r="C194" s="2" t="s">
        <v>165</v>
      </c>
      <c r="D194" s="34">
        <v>1</v>
      </c>
      <c r="F194" s="2" t="s">
        <v>3807</v>
      </c>
      <c r="G194" s="34">
        <v>1</v>
      </c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  <c r="CN194"/>
      <c r="CO194"/>
      <c r="CP194"/>
      <c r="CQ194"/>
      <c r="CR194"/>
      <c r="CS194"/>
      <c r="CT194"/>
      <c r="CU194"/>
      <c r="CV194"/>
      <c r="CW194"/>
      <c r="CX194"/>
      <c r="CY194"/>
      <c r="CZ194"/>
      <c r="DA194"/>
      <c r="DB194"/>
      <c r="DC194"/>
      <c r="DD194"/>
      <c r="DE194"/>
      <c r="DF194"/>
      <c r="DG194"/>
      <c r="DH194"/>
      <c r="DI194"/>
      <c r="DJ194"/>
      <c r="DK194"/>
      <c r="DL194"/>
      <c r="DM194"/>
      <c r="DN194"/>
      <c r="DO194"/>
      <c r="DP194"/>
      <c r="DQ194"/>
      <c r="DR194"/>
      <c r="DS194"/>
      <c r="DT194"/>
      <c r="DU194"/>
      <c r="DV194"/>
      <c r="DW194"/>
      <c r="DX194"/>
      <c r="DY194"/>
      <c r="DZ194"/>
      <c r="EA194"/>
      <c r="EB194"/>
      <c r="EC194"/>
      <c r="ED194"/>
      <c r="EE194"/>
      <c r="EF194"/>
      <c r="EG194"/>
      <c r="EH194"/>
      <c r="EI194"/>
      <c r="EJ194"/>
      <c r="EK194"/>
      <c r="EL194"/>
      <c r="EM194"/>
      <c r="EN194"/>
      <c r="EO194"/>
      <c r="EP194"/>
      <c r="EQ194"/>
      <c r="ER194"/>
      <c r="ES194"/>
      <c r="ET194"/>
      <c r="EU194"/>
      <c r="EV194"/>
      <c r="EW194"/>
      <c r="EX194"/>
      <c r="EY194"/>
      <c r="EZ194"/>
      <c r="FA194"/>
      <c r="FB194"/>
      <c r="FC194"/>
      <c r="FD194"/>
      <c r="FE194"/>
      <c r="FF194"/>
      <c r="FG194"/>
      <c r="FH194"/>
      <c r="FI194"/>
      <c r="FJ194"/>
      <c r="FK194"/>
      <c r="FL194"/>
      <c r="FM194"/>
      <c r="FN194"/>
      <c r="FO194"/>
      <c r="FP194"/>
      <c r="FQ194"/>
      <c r="FR194"/>
      <c r="FS194"/>
      <c r="FT194"/>
      <c r="FU194"/>
      <c r="FV194"/>
      <c r="FW194"/>
      <c r="FX194"/>
      <c r="FY194"/>
      <c r="FZ194"/>
      <c r="GA194"/>
      <c r="GB194"/>
      <c r="GC194"/>
      <c r="GD194"/>
      <c r="GE194"/>
      <c r="GF194"/>
      <c r="GG194"/>
      <c r="GH194"/>
      <c r="GI194"/>
      <c r="GJ194"/>
      <c r="GK194"/>
      <c r="GL194"/>
      <c r="GM194"/>
      <c r="GN194"/>
      <c r="GO194"/>
      <c r="GP194"/>
      <c r="GQ194"/>
      <c r="GR194"/>
      <c r="GS194"/>
      <c r="GT194"/>
      <c r="GU194"/>
      <c r="GV194"/>
      <c r="GW194"/>
      <c r="GX194"/>
      <c r="GY194"/>
      <c r="GZ194"/>
      <c r="HA194"/>
      <c r="HB194"/>
      <c r="HC194"/>
      <c r="HD194"/>
      <c r="HE194"/>
      <c r="HF194"/>
      <c r="HG194"/>
      <c r="HH194"/>
      <c r="HI194"/>
      <c r="HJ194"/>
      <c r="HK194"/>
      <c r="HL194"/>
      <c r="HM194"/>
      <c r="HN194"/>
      <c r="HO194"/>
      <c r="HP194"/>
      <c r="HQ194"/>
      <c r="HR194"/>
      <c r="HS194"/>
      <c r="HT194"/>
      <c r="HU194"/>
      <c r="HV194"/>
      <c r="HW194"/>
      <c r="HX194"/>
      <c r="HY194"/>
      <c r="HZ194"/>
      <c r="IA194"/>
      <c r="IB194"/>
      <c r="IC194"/>
      <c r="ID194"/>
      <c r="IE194"/>
      <c r="IF194"/>
      <c r="IG194"/>
      <c r="IH194"/>
      <c r="II194"/>
      <c r="IJ194"/>
      <c r="IK194"/>
      <c r="IL194"/>
      <c r="IM194"/>
      <c r="IN194"/>
      <c r="IO194"/>
      <c r="IP194"/>
      <c r="IQ194"/>
      <c r="IR194"/>
      <c r="IS194"/>
      <c r="IT194"/>
      <c r="IU194"/>
      <c r="IV194"/>
      <c r="IW194"/>
      <c r="IX194"/>
      <c r="IY194"/>
      <c r="IZ194"/>
      <c r="JA194"/>
      <c r="JB194"/>
      <c r="JC194"/>
      <c r="JD194"/>
      <c r="JE194"/>
      <c r="JF194"/>
      <c r="JG194"/>
      <c r="JH194"/>
      <c r="JI194"/>
      <c r="JJ194"/>
      <c r="JK194"/>
      <c r="JL194"/>
      <c r="JM194"/>
      <c r="JN194"/>
      <c r="JO194"/>
      <c r="JP194"/>
      <c r="JQ194"/>
      <c r="JR194"/>
      <c r="JS194"/>
      <c r="JT194"/>
      <c r="JU194"/>
      <c r="JV194"/>
      <c r="JW194"/>
      <c r="JX194"/>
      <c r="JY194"/>
      <c r="JZ194"/>
      <c r="KA194"/>
      <c r="KB194"/>
      <c r="KC194"/>
      <c r="KD194"/>
      <c r="KE194"/>
      <c r="KF194"/>
      <c r="KG194"/>
      <c r="KH194"/>
      <c r="KI194"/>
      <c r="KJ194"/>
      <c r="KK194"/>
      <c r="KL194"/>
      <c r="KM194"/>
      <c r="KN194"/>
      <c r="KO194"/>
      <c r="KP194"/>
      <c r="KQ194"/>
      <c r="KR194"/>
      <c r="KS194"/>
      <c r="KT194"/>
      <c r="KU194"/>
      <c r="KV194"/>
      <c r="KW194"/>
      <c r="KX194"/>
      <c r="KY194"/>
      <c r="KZ194"/>
      <c r="LA194"/>
      <c r="LB194"/>
      <c r="LC194"/>
      <c r="LD194"/>
      <c r="LE194"/>
      <c r="LF194"/>
      <c r="LG194"/>
      <c r="LH194"/>
      <c r="LI194"/>
      <c r="LJ194"/>
      <c r="LK194"/>
      <c r="LL194"/>
      <c r="LM194"/>
      <c r="LN194"/>
      <c r="LO194"/>
      <c r="LP194"/>
      <c r="LQ194"/>
      <c r="LR194"/>
      <c r="LS194"/>
      <c r="LT194"/>
      <c r="LU194"/>
      <c r="LV194"/>
      <c r="LW194"/>
      <c r="LX194"/>
      <c r="LY194"/>
      <c r="LZ194"/>
      <c r="MA194"/>
      <c r="MB194"/>
      <c r="MC194"/>
      <c r="MD194"/>
      <c r="ME194"/>
      <c r="MF194"/>
      <c r="MG194"/>
      <c r="MH194"/>
      <c r="MI194"/>
      <c r="MJ194"/>
      <c r="MK194"/>
      <c r="ML194"/>
      <c r="MM194"/>
      <c r="MN194"/>
      <c r="MO194"/>
      <c r="MP194"/>
      <c r="MQ194"/>
      <c r="MR194"/>
      <c r="MS194"/>
      <c r="MT194"/>
      <c r="MU194"/>
      <c r="MV194"/>
      <c r="MW194"/>
      <c r="MX194"/>
      <c r="MY194"/>
      <c r="MZ194"/>
      <c r="NA194"/>
      <c r="NB194"/>
      <c r="NC194"/>
      <c r="ND194"/>
      <c r="NE194"/>
      <c r="NF194"/>
      <c r="NG194"/>
      <c r="NH194"/>
      <c r="NI194"/>
      <c r="NJ194"/>
      <c r="NK194"/>
      <c r="NL194"/>
      <c r="NM194"/>
      <c r="NN194"/>
      <c r="NO194"/>
      <c r="NP194"/>
      <c r="NQ194"/>
      <c r="NR194"/>
      <c r="NS194"/>
      <c r="NT194"/>
      <c r="NU194"/>
      <c r="NV194"/>
      <c r="NW194"/>
      <c r="NX194"/>
      <c r="NY194"/>
      <c r="NZ194"/>
      <c r="OA194"/>
      <c r="OB194"/>
      <c r="OC194"/>
      <c r="OD194"/>
      <c r="OE194"/>
      <c r="OF194"/>
      <c r="OG194"/>
      <c r="OH194"/>
      <c r="OI194"/>
      <c r="OJ194"/>
      <c r="OK194"/>
      <c r="OL194"/>
      <c r="OM194"/>
      <c r="ON194"/>
      <c r="OO194"/>
      <c r="OP194"/>
      <c r="OQ194"/>
      <c r="OR194"/>
      <c r="OS194"/>
      <c r="OT194"/>
      <c r="OU194"/>
      <c r="OV194"/>
      <c r="OW194"/>
      <c r="OX194"/>
      <c r="OY194"/>
      <c r="OZ194"/>
      <c r="PA194"/>
      <c r="PB194"/>
      <c r="PC194"/>
      <c r="PD194"/>
      <c r="PE194"/>
      <c r="PF194"/>
      <c r="PG194"/>
      <c r="PH194"/>
      <c r="PI194"/>
      <c r="PJ194"/>
      <c r="PK194"/>
      <c r="PL194"/>
      <c r="PM194"/>
      <c r="PN194"/>
      <c r="PO194"/>
      <c r="PP194"/>
      <c r="PQ194"/>
      <c r="PR194"/>
      <c r="PS194"/>
      <c r="PT194"/>
      <c r="PU194"/>
      <c r="PV194"/>
      <c r="PW194"/>
      <c r="PX194"/>
      <c r="PY194"/>
      <c r="PZ194"/>
      <c r="QA194"/>
      <c r="QB194"/>
      <c r="QC194"/>
      <c r="QD194"/>
      <c r="QE194"/>
      <c r="QF194"/>
      <c r="QG194"/>
      <c r="QH194"/>
      <c r="QI194"/>
      <c r="QJ194"/>
      <c r="QK194"/>
      <c r="QL194"/>
      <c r="QM194"/>
      <c r="QN194"/>
      <c r="QO194"/>
      <c r="QP194"/>
      <c r="QQ194"/>
      <c r="QR194"/>
      <c r="QS194"/>
      <c r="QT194"/>
      <c r="QU194"/>
      <c r="QV194"/>
      <c r="QW194"/>
      <c r="QX194"/>
      <c r="QY194"/>
      <c r="QZ194"/>
      <c r="RA194"/>
      <c r="RB194"/>
      <c r="RC194"/>
      <c r="RD194"/>
      <c r="RE194"/>
      <c r="RF194"/>
      <c r="RG194"/>
      <c r="RH194"/>
      <c r="RI194"/>
      <c r="RJ194"/>
      <c r="RK194"/>
      <c r="RL194"/>
      <c r="RM194"/>
      <c r="RN194"/>
      <c r="RO194"/>
      <c r="RP194"/>
      <c r="RQ194"/>
      <c r="RR194"/>
      <c r="RS194"/>
    </row>
    <row r="195" spans="3:487" x14ac:dyDescent="0.25">
      <c r="C195" s="2" t="s">
        <v>309</v>
      </c>
      <c r="D195" s="34">
        <v>1</v>
      </c>
      <c r="F195" s="2" t="s">
        <v>941</v>
      </c>
      <c r="G195" s="34">
        <v>1</v>
      </c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  <c r="CN195"/>
      <c r="CO195"/>
      <c r="CP195"/>
      <c r="CQ195"/>
      <c r="CR195"/>
      <c r="CS195"/>
      <c r="CT195"/>
      <c r="CU195"/>
      <c r="CV195"/>
      <c r="CW195"/>
      <c r="CX195"/>
      <c r="CY195"/>
      <c r="CZ195"/>
      <c r="DA195"/>
      <c r="DB195"/>
      <c r="DC195"/>
      <c r="DD195"/>
      <c r="DE195"/>
      <c r="DF195"/>
      <c r="DG195"/>
      <c r="DH195"/>
      <c r="DI195"/>
      <c r="DJ195"/>
      <c r="DK195"/>
      <c r="DL195"/>
      <c r="DM195"/>
      <c r="DN195"/>
      <c r="DO195"/>
      <c r="DP195"/>
      <c r="DQ195"/>
      <c r="DR195"/>
      <c r="DS195"/>
      <c r="DT195"/>
      <c r="DU195"/>
      <c r="DV195"/>
      <c r="DW195"/>
      <c r="DX195"/>
      <c r="DY195"/>
      <c r="DZ195"/>
      <c r="EA195"/>
      <c r="EB195"/>
      <c r="EC195"/>
      <c r="ED195"/>
      <c r="EE195"/>
      <c r="EF195"/>
      <c r="EG195"/>
      <c r="EH195"/>
      <c r="EI195"/>
      <c r="EJ195"/>
      <c r="EK195"/>
      <c r="EL195"/>
      <c r="EM195"/>
      <c r="EN195"/>
      <c r="EO195"/>
      <c r="EP195"/>
      <c r="EQ195"/>
      <c r="ER195"/>
      <c r="ES195"/>
      <c r="ET195"/>
      <c r="EU195"/>
      <c r="EV195"/>
      <c r="EW195"/>
      <c r="EX195"/>
      <c r="EY195"/>
      <c r="EZ195"/>
      <c r="FA195"/>
      <c r="FB195"/>
      <c r="FC195"/>
      <c r="FD195"/>
      <c r="FE195"/>
      <c r="FF195"/>
      <c r="FG195"/>
      <c r="FH195"/>
      <c r="FI195"/>
      <c r="FJ195"/>
      <c r="FK195"/>
      <c r="FL195"/>
      <c r="FM195"/>
      <c r="FN195"/>
      <c r="FO195"/>
      <c r="FP195"/>
      <c r="FQ195"/>
      <c r="FR195"/>
      <c r="FS195"/>
      <c r="FT195"/>
      <c r="FU195"/>
      <c r="FV195"/>
      <c r="FW195"/>
      <c r="FX195"/>
      <c r="FY195"/>
      <c r="FZ195"/>
      <c r="GA195"/>
      <c r="GB195"/>
      <c r="GC195"/>
      <c r="GD195"/>
      <c r="GE195"/>
      <c r="GF195"/>
      <c r="GG195"/>
      <c r="GH195"/>
      <c r="GI195"/>
      <c r="GJ195"/>
      <c r="GK195"/>
      <c r="GL195"/>
      <c r="GM195"/>
      <c r="GN195"/>
      <c r="GO195"/>
      <c r="GP195"/>
      <c r="GQ195"/>
      <c r="GR195"/>
      <c r="GS195"/>
      <c r="GT195"/>
      <c r="GU195"/>
      <c r="GV195"/>
      <c r="GW195"/>
      <c r="GX195"/>
      <c r="GY195"/>
      <c r="GZ195"/>
      <c r="HA195"/>
      <c r="HB195"/>
      <c r="HC195"/>
      <c r="HD195"/>
      <c r="HE195"/>
      <c r="HF195"/>
      <c r="HG195"/>
      <c r="HH195"/>
      <c r="HI195"/>
      <c r="HJ195"/>
      <c r="HK195"/>
      <c r="HL195"/>
      <c r="HM195"/>
      <c r="HN195"/>
      <c r="HO195"/>
      <c r="HP195"/>
      <c r="HQ195"/>
      <c r="HR195"/>
      <c r="HS195"/>
      <c r="HT195"/>
      <c r="HU195"/>
      <c r="HV195"/>
      <c r="HW195"/>
      <c r="HX195"/>
      <c r="HY195"/>
      <c r="HZ195"/>
      <c r="IA195"/>
      <c r="IB195"/>
      <c r="IC195"/>
      <c r="ID195"/>
      <c r="IE195"/>
      <c r="IF195"/>
      <c r="IG195"/>
      <c r="IH195"/>
      <c r="II195"/>
      <c r="IJ195"/>
      <c r="IK195"/>
      <c r="IL195"/>
      <c r="IM195"/>
      <c r="IN195"/>
      <c r="IO195"/>
      <c r="IP195"/>
      <c r="IQ195"/>
      <c r="IR195"/>
      <c r="IS195"/>
      <c r="IT195"/>
      <c r="IU195"/>
      <c r="IV195"/>
      <c r="IW195"/>
      <c r="IX195"/>
      <c r="IY195"/>
      <c r="IZ195"/>
      <c r="JA195"/>
      <c r="JB195"/>
      <c r="JC195"/>
      <c r="JD195"/>
      <c r="JE195"/>
      <c r="JF195"/>
      <c r="JG195"/>
      <c r="JH195"/>
      <c r="JI195"/>
      <c r="JJ195"/>
      <c r="JK195"/>
      <c r="JL195"/>
      <c r="JM195"/>
      <c r="JN195"/>
      <c r="JO195"/>
      <c r="JP195"/>
      <c r="JQ195"/>
      <c r="JR195"/>
      <c r="JS195"/>
      <c r="JT195"/>
      <c r="JU195"/>
      <c r="JV195"/>
      <c r="JW195"/>
      <c r="JX195"/>
      <c r="JY195"/>
      <c r="JZ195"/>
      <c r="KA195"/>
      <c r="KB195"/>
      <c r="KC195"/>
      <c r="KD195"/>
      <c r="KE195"/>
      <c r="KF195"/>
      <c r="KG195"/>
      <c r="KH195"/>
      <c r="KI195"/>
      <c r="KJ195"/>
      <c r="KK195"/>
      <c r="KL195"/>
      <c r="KM195"/>
      <c r="KN195"/>
      <c r="KO195"/>
      <c r="KP195"/>
      <c r="KQ195"/>
      <c r="KR195"/>
      <c r="KS195"/>
      <c r="KT195"/>
      <c r="KU195"/>
      <c r="KV195"/>
      <c r="KW195"/>
      <c r="KX195"/>
      <c r="KY195"/>
      <c r="KZ195"/>
      <c r="LA195"/>
      <c r="LB195"/>
      <c r="LC195"/>
      <c r="LD195"/>
      <c r="LE195"/>
      <c r="LF195"/>
      <c r="LG195"/>
      <c r="LH195"/>
      <c r="LI195"/>
      <c r="LJ195"/>
      <c r="LK195"/>
      <c r="LL195"/>
      <c r="LM195"/>
      <c r="LN195"/>
      <c r="LO195"/>
      <c r="LP195"/>
      <c r="LQ195"/>
      <c r="LR195"/>
      <c r="LS195"/>
      <c r="LT195"/>
      <c r="LU195"/>
      <c r="LV195"/>
      <c r="LW195"/>
      <c r="LX195"/>
      <c r="LY195"/>
      <c r="LZ195"/>
      <c r="MA195"/>
      <c r="MB195"/>
      <c r="MC195"/>
      <c r="MD195"/>
      <c r="ME195"/>
      <c r="MF195"/>
      <c r="MG195"/>
      <c r="MH195"/>
      <c r="MI195"/>
      <c r="MJ195"/>
      <c r="MK195"/>
      <c r="ML195"/>
      <c r="MM195"/>
      <c r="MN195"/>
      <c r="MO195"/>
      <c r="MP195"/>
      <c r="MQ195"/>
      <c r="MR195"/>
      <c r="MS195"/>
      <c r="MT195"/>
      <c r="MU195"/>
      <c r="MV195"/>
      <c r="MW195"/>
      <c r="MX195"/>
      <c r="MY195"/>
      <c r="MZ195"/>
      <c r="NA195"/>
      <c r="NB195"/>
      <c r="NC195"/>
      <c r="ND195"/>
      <c r="NE195"/>
      <c r="NF195"/>
      <c r="NG195"/>
      <c r="NH195"/>
      <c r="NI195"/>
      <c r="NJ195"/>
      <c r="NK195"/>
      <c r="NL195"/>
      <c r="NM195"/>
      <c r="NN195"/>
      <c r="NO195"/>
      <c r="NP195"/>
      <c r="NQ195"/>
      <c r="NR195"/>
      <c r="NS195"/>
      <c r="NT195"/>
      <c r="NU195"/>
      <c r="NV195"/>
      <c r="NW195"/>
      <c r="NX195"/>
      <c r="NY195"/>
      <c r="NZ195"/>
      <c r="OA195"/>
      <c r="OB195"/>
      <c r="OC195"/>
      <c r="OD195"/>
      <c r="OE195"/>
      <c r="OF195"/>
      <c r="OG195"/>
      <c r="OH195"/>
      <c r="OI195"/>
      <c r="OJ195"/>
      <c r="OK195"/>
      <c r="OL195"/>
      <c r="OM195"/>
      <c r="ON195"/>
      <c r="OO195"/>
      <c r="OP195"/>
      <c r="OQ195"/>
      <c r="OR195"/>
      <c r="OS195"/>
      <c r="OT195"/>
      <c r="OU195"/>
      <c r="OV195"/>
      <c r="OW195"/>
      <c r="OX195"/>
      <c r="OY195"/>
      <c r="OZ195"/>
      <c r="PA195"/>
      <c r="PB195"/>
      <c r="PC195"/>
      <c r="PD195"/>
      <c r="PE195"/>
      <c r="PF195"/>
      <c r="PG195"/>
      <c r="PH195"/>
      <c r="PI195"/>
      <c r="PJ195"/>
      <c r="PK195"/>
      <c r="PL195"/>
      <c r="PM195"/>
      <c r="PN195"/>
      <c r="PO195"/>
      <c r="PP195"/>
      <c r="PQ195"/>
      <c r="PR195"/>
      <c r="PS195"/>
      <c r="PT195"/>
      <c r="PU195"/>
      <c r="PV195"/>
      <c r="PW195"/>
      <c r="PX195"/>
      <c r="PY195"/>
      <c r="PZ195"/>
      <c r="QA195"/>
      <c r="QB195"/>
      <c r="QC195"/>
      <c r="QD195"/>
      <c r="QE195"/>
      <c r="QF195"/>
      <c r="QG195"/>
      <c r="QH195"/>
      <c r="QI195"/>
      <c r="QJ195"/>
      <c r="QK195"/>
      <c r="QL195"/>
      <c r="QM195"/>
      <c r="QN195"/>
      <c r="QO195"/>
      <c r="QP195"/>
      <c r="QQ195"/>
      <c r="QR195"/>
      <c r="QS195"/>
      <c r="QT195"/>
      <c r="QU195"/>
      <c r="QV195"/>
      <c r="QW195"/>
      <c r="QX195"/>
      <c r="QY195"/>
      <c r="QZ195"/>
      <c r="RA195"/>
      <c r="RB195"/>
      <c r="RC195"/>
      <c r="RD195"/>
      <c r="RE195"/>
      <c r="RF195"/>
      <c r="RG195"/>
      <c r="RH195"/>
      <c r="RI195"/>
      <c r="RJ195"/>
      <c r="RK195"/>
      <c r="RL195"/>
      <c r="RM195"/>
      <c r="RN195"/>
      <c r="RO195"/>
      <c r="RP195"/>
      <c r="RQ195"/>
      <c r="RR195"/>
      <c r="RS195"/>
    </row>
    <row r="196" spans="3:487" x14ac:dyDescent="0.25">
      <c r="C196" s="2" t="s">
        <v>141</v>
      </c>
      <c r="D196" s="34">
        <v>1</v>
      </c>
      <c r="F196" s="2" t="s">
        <v>122</v>
      </c>
      <c r="G196" s="34">
        <v>1</v>
      </c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  <c r="CN196"/>
      <c r="CO196"/>
      <c r="CP196"/>
      <c r="CQ196"/>
      <c r="CR196"/>
      <c r="CS196"/>
      <c r="CT196"/>
      <c r="CU196"/>
      <c r="CV196"/>
      <c r="CW196"/>
      <c r="CX196"/>
      <c r="CY196"/>
      <c r="CZ196"/>
      <c r="DA196"/>
      <c r="DB196"/>
      <c r="DC196"/>
      <c r="DD196"/>
      <c r="DE196"/>
      <c r="DF196"/>
      <c r="DG196"/>
      <c r="DH196"/>
      <c r="DI196"/>
      <c r="DJ196"/>
      <c r="DK196"/>
      <c r="DL196"/>
      <c r="DM196"/>
      <c r="DN196"/>
      <c r="DO196"/>
      <c r="DP196"/>
      <c r="DQ196"/>
      <c r="DR196"/>
      <c r="DS196"/>
      <c r="DT196"/>
      <c r="DU196"/>
      <c r="DV196"/>
      <c r="DW196"/>
      <c r="DX196"/>
      <c r="DY196"/>
      <c r="DZ196"/>
      <c r="EA196"/>
      <c r="EB196"/>
      <c r="EC196"/>
      <c r="ED196"/>
      <c r="EE196"/>
      <c r="EF196"/>
      <c r="EG196"/>
      <c r="EH196"/>
      <c r="EI196"/>
      <c r="EJ196"/>
      <c r="EK196"/>
      <c r="EL196"/>
      <c r="EM196"/>
      <c r="EN196"/>
      <c r="EO196"/>
      <c r="EP196"/>
      <c r="EQ196"/>
      <c r="ER196"/>
      <c r="ES196"/>
      <c r="ET196"/>
      <c r="EU196"/>
      <c r="EV196"/>
      <c r="EW196"/>
      <c r="EX196"/>
      <c r="EY196"/>
      <c r="EZ196"/>
      <c r="FA196"/>
      <c r="FB196"/>
      <c r="FC196"/>
      <c r="FD196"/>
      <c r="FE196"/>
      <c r="FF196"/>
      <c r="FG196"/>
      <c r="FH196"/>
      <c r="FI196"/>
      <c r="FJ196"/>
      <c r="FK196"/>
      <c r="FL196"/>
      <c r="FM196"/>
      <c r="FN196"/>
      <c r="FO196"/>
      <c r="FP196"/>
      <c r="FQ196"/>
      <c r="FR196"/>
      <c r="FS196"/>
      <c r="FT196"/>
      <c r="FU196"/>
      <c r="FV196"/>
      <c r="FW196"/>
      <c r="FX196"/>
      <c r="FY196"/>
      <c r="FZ196"/>
      <c r="GA196"/>
      <c r="GB196"/>
      <c r="GC196"/>
      <c r="GD196"/>
      <c r="GE196"/>
      <c r="GF196"/>
      <c r="GG196"/>
      <c r="GH196"/>
      <c r="GI196"/>
      <c r="GJ196"/>
      <c r="GK196"/>
      <c r="GL196"/>
      <c r="GM196"/>
      <c r="GN196"/>
      <c r="GO196"/>
      <c r="GP196"/>
      <c r="GQ196"/>
      <c r="GR196"/>
      <c r="GS196"/>
      <c r="GT196"/>
      <c r="GU196"/>
      <c r="GV196"/>
      <c r="GW196"/>
      <c r="GX196"/>
      <c r="GY196"/>
      <c r="GZ196"/>
      <c r="HA196"/>
      <c r="HB196"/>
      <c r="HC196"/>
      <c r="HD196"/>
      <c r="HE196"/>
      <c r="HF196"/>
      <c r="HG196"/>
      <c r="HH196"/>
      <c r="HI196"/>
      <c r="HJ196"/>
      <c r="HK196"/>
      <c r="HL196"/>
      <c r="HM196"/>
      <c r="HN196"/>
      <c r="HO196"/>
      <c r="HP196"/>
      <c r="HQ196"/>
      <c r="HR196"/>
      <c r="HS196"/>
      <c r="HT196"/>
      <c r="HU196"/>
      <c r="HV196"/>
      <c r="HW196"/>
      <c r="HX196"/>
      <c r="HY196"/>
      <c r="HZ196"/>
      <c r="IA196"/>
      <c r="IB196"/>
      <c r="IC196"/>
      <c r="ID196"/>
      <c r="IE196"/>
      <c r="IF196"/>
      <c r="IG196"/>
      <c r="IH196"/>
      <c r="II196"/>
      <c r="IJ196"/>
      <c r="IK196"/>
      <c r="IL196"/>
      <c r="IM196"/>
      <c r="IN196"/>
      <c r="IO196"/>
      <c r="IP196"/>
      <c r="IQ196"/>
      <c r="IR196"/>
      <c r="IS196"/>
      <c r="IT196"/>
      <c r="IU196"/>
      <c r="IV196"/>
      <c r="IW196"/>
      <c r="IX196"/>
      <c r="IY196"/>
      <c r="IZ196"/>
      <c r="JA196"/>
      <c r="JB196"/>
      <c r="JC196"/>
      <c r="JD196"/>
      <c r="JE196"/>
      <c r="JF196"/>
      <c r="JG196"/>
      <c r="JH196"/>
      <c r="JI196"/>
      <c r="JJ196"/>
      <c r="JK196"/>
      <c r="JL196"/>
      <c r="JM196"/>
      <c r="JN196"/>
      <c r="JO196"/>
      <c r="JP196"/>
      <c r="JQ196"/>
      <c r="JR196"/>
      <c r="JS196"/>
      <c r="JT196"/>
      <c r="JU196"/>
      <c r="JV196"/>
      <c r="JW196"/>
      <c r="JX196"/>
      <c r="JY196"/>
      <c r="JZ196"/>
      <c r="KA196"/>
      <c r="KB196"/>
      <c r="KC196"/>
      <c r="KD196"/>
      <c r="KE196"/>
      <c r="KF196"/>
      <c r="KG196"/>
      <c r="KH196"/>
      <c r="KI196"/>
      <c r="KJ196"/>
      <c r="KK196"/>
      <c r="KL196"/>
      <c r="KM196"/>
      <c r="KN196"/>
      <c r="KO196"/>
      <c r="KP196"/>
      <c r="KQ196"/>
      <c r="KR196"/>
      <c r="KS196"/>
      <c r="KT196"/>
      <c r="KU196"/>
      <c r="KV196"/>
      <c r="KW196"/>
      <c r="KX196"/>
      <c r="KY196"/>
      <c r="KZ196"/>
      <c r="LA196"/>
      <c r="LB196"/>
      <c r="LC196"/>
      <c r="LD196"/>
      <c r="LE196"/>
      <c r="LF196"/>
      <c r="LG196"/>
      <c r="LH196"/>
      <c r="LI196"/>
      <c r="LJ196"/>
      <c r="LK196"/>
      <c r="LL196"/>
      <c r="LM196"/>
      <c r="LN196"/>
      <c r="LO196"/>
      <c r="LP196"/>
      <c r="LQ196"/>
      <c r="LR196"/>
      <c r="LS196"/>
      <c r="LT196"/>
      <c r="LU196"/>
      <c r="LV196"/>
      <c r="LW196"/>
      <c r="LX196"/>
      <c r="LY196"/>
      <c r="LZ196"/>
      <c r="MA196"/>
      <c r="MB196"/>
      <c r="MC196"/>
      <c r="MD196"/>
      <c r="ME196"/>
      <c r="MF196"/>
      <c r="MG196"/>
      <c r="MH196"/>
      <c r="MI196"/>
      <c r="MJ196"/>
      <c r="MK196"/>
      <c r="ML196"/>
      <c r="MM196"/>
      <c r="MN196"/>
      <c r="MO196"/>
      <c r="MP196"/>
      <c r="MQ196"/>
      <c r="MR196"/>
      <c r="MS196"/>
      <c r="MT196"/>
      <c r="MU196"/>
      <c r="MV196"/>
      <c r="MW196"/>
      <c r="MX196"/>
      <c r="MY196"/>
      <c r="MZ196"/>
      <c r="NA196"/>
      <c r="NB196"/>
      <c r="NC196"/>
      <c r="ND196"/>
      <c r="NE196"/>
      <c r="NF196"/>
      <c r="NG196"/>
      <c r="NH196"/>
      <c r="NI196"/>
      <c r="NJ196"/>
      <c r="NK196"/>
      <c r="NL196"/>
      <c r="NM196"/>
      <c r="NN196"/>
      <c r="NO196"/>
      <c r="NP196"/>
      <c r="NQ196"/>
      <c r="NR196"/>
      <c r="NS196"/>
      <c r="NT196"/>
      <c r="NU196"/>
      <c r="NV196"/>
      <c r="NW196"/>
      <c r="NX196"/>
      <c r="NY196"/>
      <c r="NZ196"/>
      <c r="OA196"/>
      <c r="OB196"/>
      <c r="OC196"/>
      <c r="OD196"/>
      <c r="OE196"/>
      <c r="OF196"/>
      <c r="OG196"/>
      <c r="OH196"/>
      <c r="OI196"/>
      <c r="OJ196"/>
      <c r="OK196"/>
      <c r="OL196"/>
      <c r="OM196"/>
      <c r="ON196"/>
      <c r="OO196"/>
      <c r="OP196"/>
      <c r="OQ196"/>
      <c r="OR196"/>
      <c r="OS196"/>
      <c r="OT196"/>
      <c r="OU196"/>
      <c r="OV196"/>
      <c r="OW196"/>
      <c r="OX196"/>
      <c r="OY196"/>
      <c r="OZ196"/>
      <c r="PA196"/>
      <c r="PB196"/>
      <c r="PC196"/>
      <c r="PD196"/>
      <c r="PE196"/>
      <c r="PF196"/>
      <c r="PG196"/>
      <c r="PH196"/>
      <c r="PI196"/>
      <c r="PJ196"/>
      <c r="PK196"/>
      <c r="PL196"/>
      <c r="PM196"/>
      <c r="PN196"/>
      <c r="PO196"/>
      <c r="PP196"/>
      <c r="PQ196"/>
      <c r="PR196"/>
      <c r="PS196"/>
      <c r="PT196"/>
      <c r="PU196"/>
      <c r="PV196"/>
      <c r="PW196"/>
      <c r="PX196"/>
      <c r="PY196"/>
      <c r="PZ196"/>
      <c r="QA196"/>
      <c r="QB196"/>
      <c r="QC196"/>
      <c r="QD196"/>
      <c r="QE196"/>
      <c r="QF196"/>
      <c r="QG196"/>
      <c r="QH196"/>
      <c r="QI196"/>
      <c r="QJ196"/>
      <c r="QK196"/>
      <c r="QL196"/>
      <c r="QM196"/>
      <c r="QN196"/>
      <c r="QO196"/>
      <c r="QP196"/>
      <c r="QQ196"/>
      <c r="QR196"/>
      <c r="QS196"/>
      <c r="QT196"/>
      <c r="QU196"/>
      <c r="QV196"/>
      <c r="QW196"/>
      <c r="QX196"/>
      <c r="QY196"/>
      <c r="QZ196"/>
      <c r="RA196"/>
      <c r="RB196"/>
      <c r="RC196"/>
      <c r="RD196"/>
      <c r="RE196"/>
      <c r="RF196"/>
      <c r="RG196"/>
      <c r="RH196"/>
      <c r="RI196"/>
      <c r="RJ196"/>
      <c r="RK196"/>
      <c r="RL196"/>
      <c r="RM196"/>
      <c r="RN196"/>
      <c r="RO196"/>
      <c r="RP196"/>
      <c r="RQ196"/>
      <c r="RR196"/>
      <c r="RS196"/>
    </row>
    <row r="197" spans="3:487" x14ac:dyDescent="0.25">
      <c r="C197" s="2" t="s">
        <v>311</v>
      </c>
      <c r="D197" s="34">
        <v>1</v>
      </c>
      <c r="F197" s="2" t="s">
        <v>192</v>
      </c>
      <c r="G197" s="34">
        <v>1</v>
      </c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  <c r="CN197"/>
      <c r="CO197"/>
      <c r="CP197"/>
      <c r="CQ197"/>
      <c r="CR197"/>
      <c r="CS197"/>
      <c r="CT197"/>
      <c r="CU197"/>
      <c r="CV197"/>
      <c r="CW197"/>
      <c r="CX197"/>
      <c r="CY197"/>
      <c r="CZ197"/>
      <c r="DA197"/>
      <c r="DB197"/>
      <c r="DC197"/>
      <c r="DD197"/>
      <c r="DE197"/>
      <c r="DF197"/>
      <c r="DG197"/>
      <c r="DH197"/>
      <c r="DI197"/>
      <c r="DJ197"/>
      <c r="DK197"/>
      <c r="DL197"/>
      <c r="DM197"/>
      <c r="DN197"/>
      <c r="DO197"/>
      <c r="DP197"/>
      <c r="DQ197"/>
      <c r="DR197"/>
      <c r="DS197"/>
      <c r="DT197"/>
      <c r="DU197"/>
      <c r="DV197"/>
      <c r="DW197"/>
      <c r="DX197"/>
      <c r="DY197"/>
      <c r="DZ197"/>
      <c r="EA197"/>
      <c r="EB197"/>
      <c r="EC197"/>
      <c r="ED197"/>
      <c r="EE197"/>
      <c r="EF197"/>
      <c r="EG197"/>
      <c r="EH197"/>
      <c r="EI197"/>
      <c r="EJ197"/>
      <c r="EK197"/>
      <c r="EL197"/>
      <c r="EM197"/>
      <c r="EN197"/>
      <c r="EO197"/>
      <c r="EP197"/>
      <c r="EQ197"/>
      <c r="ER197"/>
      <c r="ES197"/>
      <c r="ET197"/>
      <c r="EU197"/>
      <c r="EV197"/>
      <c r="EW197"/>
      <c r="EX197"/>
      <c r="EY197"/>
      <c r="EZ197"/>
      <c r="FA197"/>
      <c r="FB197"/>
      <c r="FC197"/>
      <c r="FD197"/>
      <c r="FE197"/>
      <c r="FF197"/>
      <c r="FG197"/>
      <c r="FH197"/>
      <c r="FI197"/>
      <c r="FJ197"/>
      <c r="FK197"/>
      <c r="FL197"/>
      <c r="FM197"/>
      <c r="FN197"/>
      <c r="FO197"/>
      <c r="FP197"/>
      <c r="FQ197"/>
      <c r="FR197"/>
      <c r="FS197"/>
      <c r="FT197"/>
      <c r="FU197"/>
      <c r="FV197"/>
      <c r="FW197"/>
      <c r="FX197"/>
      <c r="FY197"/>
      <c r="FZ197"/>
      <c r="GA197"/>
      <c r="GB197"/>
      <c r="GC197"/>
      <c r="GD197"/>
      <c r="GE197"/>
      <c r="GF197"/>
      <c r="GG197"/>
      <c r="GH197"/>
      <c r="GI197"/>
      <c r="GJ197"/>
      <c r="GK197"/>
      <c r="GL197"/>
      <c r="GM197"/>
      <c r="GN197"/>
      <c r="GO197"/>
      <c r="GP197"/>
      <c r="GQ197"/>
      <c r="GR197"/>
      <c r="GS197"/>
      <c r="GT197"/>
      <c r="GU197"/>
      <c r="GV197"/>
      <c r="GW197"/>
      <c r="GX197"/>
      <c r="GY197"/>
      <c r="GZ197"/>
      <c r="HA197"/>
      <c r="HB197"/>
      <c r="HC197"/>
      <c r="HD197"/>
      <c r="HE197"/>
      <c r="HF197"/>
      <c r="HG197"/>
      <c r="HH197"/>
      <c r="HI197"/>
      <c r="HJ197"/>
      <c r="HK197"/>
      <c r="HL197"/>
      <c r="HM197"/>
      <c r="HN197"/>
      <c r="HO197"/>
      <c r="HP197"/>
      <c r="HQ197"/>
      <c r="HR197"/>
      <c r="HS197"/>
      <c r="HT197"/>
      <c r="HU197"/>
      <c r="HV197"/>
      <c r="HW197"/>
      <c r="HX197"/>
      <c r="HY197"/>
      <c r="HZ197"/>
      <c r="IA197"/>
      <c r="IB197"/>
      <c r="IC197"/>
      <c r="ID197"/>
      <c r="IE197"/>
      <c r="IF197"/>
      <c r="IG197"/>
      <c r="IH197"/>
      <c r="II197"/>
      <c r="IJ197"/>
      <c r="IK197"/>
      <c r="IL197"/>
      <c r="IM197"/>
      <c r="IN197"/>
      <c r="IO197"/>
      <c r="IP197"/>
      <c r="IQ197"/>
      <c r="IR197"/>
      <c r="IS197"/>
      <c r="IT197"/>
      <c r="IU197"/>
      <c r="IV197"/>
      <c r="IW197"/>
      <c r="IX197"/>
      <c r="IY197"/>
      <c r="IZ197"/>
      <c r="JA197"/>
      <c r="JB197"/>
      <c r="JC197"/>
      <c r="JD197"/>
      <c r="JE197"/>
      <c r="JF197"/>
      <c r="JG197"/>
      <c r="JH197"/>
      <c r="JI197"/>
      <c r="JJ197"/>
      <c r="JK197"/>
      <c r="JL197"/>
      <c r="JM197"/>
      <c r="JN197"/>
      <c r="JO197"/>
      <c r="JP197"/>
      <c r="JQ197"/>
      <c r="JR197"/>
      <c r="JS197"/>
      <c r="JT197"/>
      <c r="JU197"/>
      <c r="JV197"/>
      <c r="JW197"/>
      <c r="JX197"/>
      <c r="JY197"/>
      <c r="JZ197"/>
      <c r="KA197"/>
      <c r="KB197"/>
      <c r="KC197"/>
      <c r="KD197"/>
      <c r="KE197"/>
      <c r="KF197"/>
      <c r="KG197"/>
      <c r="KH197"/>
      <c r="KI197"/>
      <c r="KJ197"/>
      <c r="KK197"/>
      <c r="KL197"/>
      <c r="KM197"/>
      <c r="KN197"/>
      <c r="KO197"/>
      <c r="KP197"/>
      <c r="KQ197"/>
      <c r="KR197"/>
      <c r="KS197"/>
      <c r="KT197"/>
      <c r="KU197"/>
      <c r="KV197"/>
      <c r="KW197"/>
      <c r="KX197"/>
      <c r="KY197"/>
      <c r="KZ197"/>
      <c r="LA197"/>
      <c r="LB197"/>
      <c r="LC197"/>
      <c r="LD197"/>
      <c r="LE197"/>
      <c r="LF197"/>
      <c r="LG197"/>
      <c r="LH197"/>
      <c r="LI197"/>
      <c r="LJ197"/>
      <c r="LK197"/>
      <c r="LL197"/>
      <c r="LM197"/>
      <c r="LN197"/>
      <c r="LO197"/>
      <c r="LP197"/>
      <c r="LQ197"/>
      <c r="LR197"/>
      <c r="LS197"/>
      <c r="LT197"/>
      <c r="LU197"/>
      <c r="LV197"/>
      <c r="LW197"/>
      <c r="LX197"/>
      <c r="LY197"/>
      <c r="LZ197"/>
      <c r="MA197"/>
      <c r="MB197"/>
      <c r="MC197"/>
      <c r="MD197"/>
      <c r="ME197"/>
      <c r="MF197"/>
      <c r="MG197"/>
      <c r="MH197"/>
      <c r="MI197"/>
      <c r="MJ197"/>
      <c r="MK197"/>
      <c r="ML197"/>
      <c r="MM197"/>
      <c r="MN197"/>
      <c r="MO197"/>
      <c r="MP197"/>
      <c r="MQ197"/>
      <c r="MR197"/>
      <c r="MS197"/>
      <c r="MT197"/>
      <c r="MU197"/>
      <c r="MV197"/>
      <c r="MW197"/>
      <c r="MX197"/>
      <c r="MY197"/>
      <c r="MZ197"/>
      <c r="NA197"/>
      <c r="NB197"/>
      <c r="NC197"/>
      <c r="ND197"/>
      <c r="NE197"/>
      <c r="NF197"/>
      <c r="NG197"/>
      <c r="NH197"/>
      <c r="NI197"/>
      <c r="NJ197"/>
      <c r="NK197"/>
      <c r="NL197"/>
      <c r="NM197"/>
      <c r="NN197"/>
      <c r="NO197"/>
      <c r="NP197"/>
      <c r="NQ197"/>
      <c r="NR197"/>
      <c r="NS197"/>
      <c r="NT197"/>
      <c r="NU197"/>
      <c r="NV197"/>
      <c r="NW197"/>
      <c r="NX197"/>
      <c r="NY197"/>
      <c r="NZ197"/>
      <c r="OA197"/>
      <c r="OB197"/>
      <c r="OC197"/>
      <c r="OD197"/>
      <c r="OE197"/>
      <c r="OF197"/>
      <c r="OG197"/>
      <c r="OH197"/>
      <c r="OI197"/>
      <c r="OJ197"/>
      <c r="OK197"/>
      <c r="OL197"/>
      <c r="OM197"/>
      <c r="ON197"/>
      <c r="OO197"/>
      <c r="OP197"/>
      <c r="OQ197"/>
      <c r="OR197"/>
      <c r="OS197"/>
      <c r="OT197"/>
      <c r="OU197"/>
      <c r="OV197"/>
      <c r="OW197"/>
      <c r="OX197"/>
      <c r="OY197"/>
      <c r="OZ197"/>
      <c r="PA197"/>
      <c r="PB197"/>
      <c r="PC197"/>
      <c r="PD197"/>
      <c r="PE197"/>
      <c r="PF197"/>
      <c r="PG197"/>
      <c r="PH197"/>
      <c r="PI197"/>
      <c r="PJ197"/>
      <c r="PK197"/>
      <c r="PL197"/>
      <c r="PM197"/>
      <c r="PN197"/>
      <c r="PO197"/>
      <c r="PP197"/>
      <c r="PQ197"/>
      <c r="PR197"/>
      <c r="PS197"/>
      <c r="PT197"/>
      <c r="PU197"/>
      <c r="PV197"/>
      <c r="PW197"/>
      <c r="PX197"/>
      <c r="PY197"/>
      <c r="PZ197"/>
      <c r="QA197"/>
      <c r="QB197"/>
      <c r="QC197"/>
      <c r="QD197"/>
      <c r="QE197"/>
      <c r="QF197"/>
      <c r="QG197"/>
      <c r="QH197"/>
      <c r="QI197"/>
      <c r="QJ197"/>
      <c r="QK197"/>
      <c r="QL197"/>
      <c r="QM197"/>
      <c r="QN197"/>
      <c r="QO197"/>
      <c r="QP197"/>
      <c r="QQ197"/>
      <c r="QR197"/>
      <c r="QS197"/>
      <c r="QT197"/>
      <c r="QU197"/>
      <c r="QV197"/>
      <c r="QW197"/>
      <c r="QX197"/>
      <c r="QY197"/>
      <c r="QZ197"/>
      <c r="RA197"/>
      <c r="RB197"/>
      <c r="RC197"/>
      <c r="RD197"/>
      <c r="RE197"/>
      <c r="RF197"/>
      <c r="RG197"/>
      <c r="RH197"/>
      <c r="RI197"/>
      <c r="RJ197"/>
      <c r="RK197"/>
      <c r="RL197"/>
      <c r="RM197"/>
      <c r="RN197"/>
      <c r="RO197"/>
      <c r="RP197"/>
      <c r="RQ197"/>
      <c r="RR197"/>
      <c r="RS197"/>
    </row>
    <row r="198" spans="3:487" x14ac:dyDescent="0.25">
      <c r="C198" s="2" t="s">
        <v>285</v>
      </c>
      <c r="D198" s="34">
        <v>1</v>
      </c>
      <c r="F198" s="2" t="s">
        <v>254</v>
      </c>
      <c r="G198" s="34">
        <v>1</v>
      </c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  <c r="CN198"/>
      <c r="CO198"/>
      <c r="CP198"/>
      <c r="CQ198"/>
      <c r="CR198"/>
      <c r="CS198"/>
      <c r="CT198"/>
      <c r="CU198"/>
      <c r="CV198"/>
      <c r="CW198"/>
      <c r="CX198"/>
      <c r="CY198"/>
      <c r="CZ198"/>
      <c r="DA198"/>
      <c r="DB198"/>
      <c r="DC198"/>
      <c r="DD198"/>
      <c r="DE198"/>
      <c r="DF198"/>
      <c r="DG198"/>
      <c r="DH198"/>
      <c r="DI198"/>
      <c r="DJ198"/>
      <c r="DK198"/>
      <c r="DL198"/>
      <c r="DM198"/>
      <c r="DN198"/>
      <c r="DO198"/>
      <c r="DP198"/>
      <c r="DQ198"/>
      <c r="DR198"/>
      <c r="DS198"/>
      <c r="DT198"/>
      <c r="DU198"/>
      <c r="DV198"/>
      <c r="DW198"/>
      <c r="DX198"/>
      <c r="DY198"/>
      <c r="DZ198"/>
      <c r="EA198"/>
      <c r="EB198"/>
      <c r="EC198"/>
      <c r="ED198"/>
      <c r="EE198"/>
      <c r="EF198"/>
      <c r="EG198"/>
      <c r="EH198"/>
      <c r="EI198"/>
      <c r="EJ198"/>
      <c r="EK198"/>
      <c r="EL198"/>
      <c r="EM198"/>
      <c r="EN198"/>
      <c r="EO198"/>
      <c r="EP198"/>
      <c r="EQ198"/>
      <c r="ER198"/>
      <c r="ES198"/>
      <c r="ET198"/>
      <c r="EU198"/>
      <c r="EV198"/>
      <c r="EW198"/>
      <c r="EX198"/>
      <c r="EY198"/>
      <c r="EZ198"/>
      <c r="FA198"/>
      <c r="FB198"/>
      <c r="FC198"/>
      <c r="FD198"/>
      <c r="FE198"/>
      <c r="FF198"/>
      <c r="FG198"/>
      <c r="FH198"/>
      <c r="FI198"/>
      <c r="FJ198"/>
      <c r="FK198"/>
      <c r="FL198"/>
      <c r="FM198"/>
      <c r="FN198"/>
      <c r="FO198"/>
      <c r="FP198"/>
      <c r="FQ198"/>
      <c r="FR198"/>
      <c r="FS198"/>
      <c r="FT198"/>
      <c r="FU198"/>
      <c r="FV198"/>
      <c r="FW198"/>
      <c r="FX198"/>
      <c r="FY198"/>
      <c r="FZ198"/>
      <c r="GA198"/>
      <c r="GB198"/>
      <c r="GC198"/>
      <c r="GD198"/>
      <c r="GE198"/>
      <c r="GF198"/>
      <c r="GG198"/>
      <c r="GH198"/>
      <c r="GI198"/>
      <c r="GJ198"/>
      <c r="GK198"/>
      <c r="GL198"/>
      <c r="GM198"/>
      <c r="GN198"/>
      <c r="GO198"/>
      <c r="GP198"/>
      <c r="GQ198"/>
      <c r="GR198"/>
      <c r="GS198"/>
      <c r="GT198"/>
      <c r="GU198"/>
      <c r="GV198"/>
      <c r="GW198"/>
      <c r="GX198"/>
      <c r="GY198"/>
      <c r="GZ198"/>
      <c r="HA198"/>
      <c r="HB198"/>
      <c r="HC198"/>
      <c r="HD198"/>
      <c r="HE198"/>
      <c r="HF198"/>
      <c r="HG198"/>
      <c r="HH198"/>
      <c r="HI198"/>
      <c r="HJ198"/>
      <c r="HK198"/>
      <c r="HL198"/>
      <c r="HM198"/>
      <c r="HN198"/>
      <c r="HO198"/>
      <c r="HP198"/>
      <c r="HQ198"/>
      <c r="HR198"/>
      <c r="HS198"/>
      <c r="HT198"/>
      <c r="HU198"/>
      <c r="HV198"/>
      <c r="HW198"/>
      <c r="HX198"/>
      <c r="HY198"/>
      <c r="HZ198"/>
      <c r="IA198"/>
      <c r="IB198"/>
      <c r="IC198"/>
      <c r="ID198"/>
      <c r="IE198"/>
      <c r="IF198"/>
      <c r="IG198"/>
      <c r="IH198"/>
      <c r="II198"/>
      <c r="IJ198"/>
      <c r="IK198"/>
      <c r="IL198"/>
      <c r="IM198"/>
      <c r="IN198"/>
      <c r="IO198"/>
      <c r="IP198"/>
      <c r="IQ198"/>
      <c r="IR198"/>
      <c r="IS198"/>
      <c r="IT198"/>
      <c r="IU198"/>
      <c r="IV198"/>
      <c r="IW198"/>
      <c r="IX198"/>
      <c r="IY198"/>
      <c r="IZ198"/>
      <c r="JA198"/>
      <c r="JB198"/>
      <c r="JC198"/>
      <c r="JD198"/>
      <c r="JE198"/>
      <c r="JF198"/>
      <c r="JG198"/>
      <c r="JH198"/>
      <c r="JI198"/>
      <c r="JJ198"/>
      <c r="JK198"/>
      <c r="JL198"/>
      <c r="JM198"/>
      <c r="JN198"/>
      <c r="JO198"/>
      <c r="JP198"/>
      <c r="JQ198"/>
      <c r="JR198"/>
      <c r="JS198"/>
      <c r="JT198"/>
      <c r="JU198"/>
      <c r="JV198"/>
      <c r="JW198"/>
      <c r="JX198"/>
      <c r="JY198"/>
      <c r="JZ198"/>
      <c r="KA198"/>
      <c r="KB198"/>
      <c r="KC198"/>
      <c r="KD198"/>
      <c r="KE198"/>
      <c r="KF198"/>
      <c r="KG198"/>
      <c r="KH198"/>
      <c r="KI198"/>
      <c r="KJ198"/>
      <c r="KK198"/>
      <c r="KL198"/>
      <c r="KM198"/>
      <c r="KN198"/>
      <c r="KO198"/>
      <c r="KP198"/>
      <c r="KQ198"/>
      <c r="KR198"/>
      <c r="KS198"/>
      <c r="KT198"/>
      <c r="KU198"/>
      <c r="KV198"/>
      <c r="KW198"/>
      <c r="KX198"/>
      <c r="KY198"/>
      <c r="KZ198"/>
      <c r="LA198"/>
      <c r="LB198"/>
      <c r="LC198"/>
      <c r="LD198"/>
      <c r="LE198"/>
      <c r="LF198"/>
      <c r="LG198"/>
      <c r="LH198"/>
      <c r="LI198"/>
      <c r="LJ198"/>
      <c r="LK198"/>
      <c r="LL198"/>
      <c r="LM198"/>
      <c r="LN198"/>
      <c r="LO198"/>
      <c r="LP198"/>
      <c r="LQ198"/>
      <c r="LR198"/>
      <c r="LS198"/>
      <c r="LT198"/>
      <c r="LU198"/>
      <c r="LV198"/>
      <c r="LW198"/>
      <c r="LX198"/>
      <c r="LY198"/>
      <c r="LZ198"/>
      <c r="MA198"/>
      <c r="MB198"/>
      <c r="MC198"/>
      <c r="MD198"/>
      <c r="ME198"/>
      <c r="MF198"/>
      <c r="MG198"/>
      <c r="MH198"/>
      <c r="MI198"/>
      <c r="MJ198"/>
      <c r="MK198"/>
      <c r="ML198"/>
      <c r="MM198"/>
      <c r="MN198"/>
      <c r="MO198"/>
      <c r="MP198"/>
      <c r="MQ198"/>
      <c r="MR198"/>
      <c r="MS198"/>
      <c r="MT198"/>
      <c r="MU198"/>
      <c r="MV198"/>
      <c r="MW198"/>
      <c r="MX198"/>
      <c r="MY198"/>
      <c r="MZ198"/>
      <c r="NA198"/>
      <c r="NB198"/>
      <c r="NC198"/>
      <c r="ND198"/>
      <c r="NE198"/>
      <c r="NF198"/>
      <c r="NG198"/>
      <c r="NH198"/>
      <c r="NI198"/>
      <c r="NJ198"/>
      <c r="NK198"/>
      <c r="NL198"/>
      <c r="NM198"/>
      <c r="NN198"/>
      <c r="NO198"/>
      <c r="NP198"/>
      <c r="NQ198"/>
      <c r="NR198"/>
      <c r="NS198"/>
      <c r="NT198"/>
      <c r="NU198"/>
      <c r="NV198"/>
      <c r="NW198"/>
      <c r="NX198"/>
      <c r="NY198"/>
      <c r="NZ198"/>
      <c r="OA198"/>
      <c r="OB198"/>
      <c r="OC198"/>
      <c r="OD198"/>
      <c r="OE198"/>
      <c r="OF198"/>
      <c r="OG198"/>
      <c r="OH198"/>
      <c r="OI198"/>
      <c r="OJ198"/>
      <c r="OK198"/>
      <c r="OL198"/>
      <c r="OM198"/>
      <c r="ON198"/>
      <c r="OO198"/>
      <c r="OP198"/>
      <c r="OQ198"/>
      <c r="OR198"/>
      <c r="OS198"/>
      <c r="OT198"/>
      <c r="OU198"/>
      <c r="OV198"/>
      <c r="OW198"/>
      <c r="OX198"/>
      <c r="OY198"/>
      <c r="OZ198"/>
      <c r="PA198"/>
      <c r="PB198"/>
      <c r="PC198"/>
      <c r="PD198"/>
      <c r="PE198"/>
      <c r="PF198"/>
      <c r="PG198"/>
      <c r="PH198"/>
      <c r="PI198"/>
      <c r="PJ198"/>
      <c r="PK198"/>
      <c r="PL198"/>
      <c r="PM198"/>
      <c r="PN198"/>
      <c r="PO198"/>
      <c r="PP198"/>
      <c r="PQ198"/>
      <c r="PR198"/>
      <c r="PS198"/>
      <c r="PT198"/>
      <c r="PU198"/>
      <c r="PV198"/>
      <c r="PW198"/>
      <c r="PX198"/>
      <c r="PY198"/>
      <c r="PZ198"/>
      <c r="QA198"/>
      <c r="QB198"/>
      <c r="QC198"/>
      <c r="QD198"/>
      <c r="QE198"/>
      <c r="QF198"/>
      <c r="QG198"/>
      <c r="QH198"/>
      <c r="QI198"/>
      <c r="QJ198"/>
      <c r="QK198"/>
      <c r="QL198"/>
      <c r="QM198"/>
      <c r="QN198"/>
      <c r="QO198"/>
      <c r="QP198"/>
      <c r="QQ198"/>
      <c r="QR198"/>
      <c r="QS198"/>
      <c r="QT198"/>
      <c r="QU198"/>
      <c r="QV198"/>
      <c r="QW198"/>
      <c r="QX198"/>
      <c r="QY198"/>
      <c r="QZ198"/>
      <c r="RA198"/>
      <c r="RB198"/>
      <c r="RC198"/>
      <c r="RD198"/>
      <c r="RE198"/>
      <c r="RF198"/>
      <c r="RG198"/>
      <c r="RH198"/>
      <c r="RI198"/>
      <c r="RJ198"/>
      <c r="RK198"/>
      <c r="RL198"/>
      <c r="RM198"/>
      <c r="RN198"/>
      <c r="RO198"/>
      <c r="RP198"/>
      <c r="RQ198"/>
      <c r="RR198"/>
      <c r="RS198"/>
    </row>
    <row r="199" spans="3:487" x14ac:dyDescent="0.25">
      <c r="C199" s="2" t="s">
        <v>313</v>
      </c>
      <c r="D199" s="34">
        <v>1</v>
      </c>
      <c r="F199" s="2" t="s">
        <v>248</v>
      </c>
      <c r="G199" s="34">
        <v>1</v>
      </c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  <c r="CN199"/>
      <c r="CO199"/>
      <c r="CP199"/>
      <c r="CQ199"/>
      <c r="CR199"/>
      <c r="CS199"/>
      <c r="CT199"/>
      <c r="CU199"/>
      <c r="CV199"/>
      <c r="CW199"/>
      <c r="CX199"/>
      <c r="CY199"/>
      <c r="CZ199"/>
      <c r="DA199"/>
      <c r="DB199"/>
      <c r="DC199"/>
      <c r="DD199"/>
      <c r="DE199"/>
      <c r="DF199"/>
      <c r="DG199"/>
      <c r="DH199"/>
      <c r="DI199"/>
      <c r="DJ199"/>
      <c r="DK199"/>
      <c r="DL199"/>
      <c r="DM199"/>
      <c r="DN199"/>
      <c r="DO199"/>
      <c r="DP199"/>
      <c r="DQ199"/>
      <c r="DR199"/>
      <c r="DS199"/>
      <c r="DT199"/>
      <c r="DU199"/>
      <c r="DV199"/>
      <c r="DW199"/>
      <c r="DX199"/>
      <c r="DY199"/>
      <c r="DZ199"/>
      <c r="EA199"/>
      <c r="EB199"/>
      <c r="EC199"/>
      <c r="ED199"/>
      <c r="EE199"/>
      <c r="EF199"/>
      <c r="EG199"/>
      <c r="EH199"/>
      <c r="EI199"/>
      <c r="EJ199"/>
      <c r="EK199"/>
      <c r="EL199"/>
      <c r="EM199"/>
      <c r="EN199"/>
      <c r="EO199"/>
      <c r="EP199"/>
      <c r="EQ199"/>
      <c r="ER199"/>
      <c r="ES199"/>
      <c r="ET199"/>
      <c r="EU199"/>
      <c r="EV199"/>
      <c r="EW199"/>
      <c r="EX199"/>
      <c r="EY199"/>
      <c r="EZ199"/>
      <c r="FA199"/>
      <c r="FB199"/>
      <c r="FC199"/>
      <c r="FD199"/>
      <c r="FE199"/>
      <c r="FF199"/>
      <c r="FG199"/>
      <c r="FH199"/>
      <c r="FI199"/>
      <c r="FJ199"/>
      <c r="FK199"/>
      <c r="FL199"/>
      <c r="FM199"/>
      <c r="FN199"/>
      <c r="FO199"/>
      <c r="FP199"/>
      <c r="FQ199"/>
      <c r="FR199"/>
      <c r="FS199"/>
      <c r="FT199"/>
      <c r="FU199"/>
      <c r="FV199"/>
      <c r="FW199"/>
      <c r="FX199"/>
      <c r="FY199"/>
      <c r="FZ199"/>
      <c r="GA199"/>
      <c r="GB199"/>
      <c r="GC199"/>
      <c r="GD199"/>
      <c r="GE199"/>
      <c r="GF199"/>
      <c r="GG199"/>
      <c r="GH199"/>
      <c r="GI199"/>
      <c r="GJ199"/>
      <c r="GK199"/>
      <c r="GL199"/>
      <c r="GM199"/>
      <c r="GN199"/>
      <c r="GO199"/>
      <c r="GP199"/>
      <c r="GQ199"/>
      <c r="GR199"/>
      <c r="GS199"/>
      <c r="GT199"/>
      <c r="GU199"/>
      <c r="GV199"/>
      <c r="GW199"/>
      <c r="GX199"/>
      <c r="GY199"/>
      <c r="GZ199"/>
      <c r="HA199"/>
      <c r="HB199"/>
      <c r="HC199"/>
      <c r="HD199"/>
      <c r="HE199"/>
      <c r="HF199"/>
      <c r="HG199"/>
      <c r="HH199"/>
      <c r="HI199"/>
      <c r="HJ199"/>
      <c r="HK199"/>
      <c r="HL199"/>
      <c r="HM199"/>
      <c r="HN199"/>
      <c r="HO199"/>
      <c r="HP199"/>
      <c r="HQ199"/>
      <c r="HR199"/>
      <c r="HS199"/>
      <c r="HT199"/>
      <c r="HU199"/>
      <c r="HV199"/>
      <c r="HW199"/>
      <c r="HX199"/>
      <c r="HY199"/>
      <c r="HZ199"/>
      <c r="IA199"/>
      <c r="IB199"/>
      <c r="IC199"/>
      <c r="ID199"/>
      <c r="IE199"/>
      <c r="IF199"/>
      <c r="IG199"/>
      <c r="IH199"/>
      <c r="II199"/>
      <c r="IJ199"/>
      <c r="IK199"/>
      <c r="IL199"/>
      <c r="IM199"/>
      <c r="IN199"/>
      <c r="IO199"/>
      <c r="IP199"/>
      <c r="IQ199"/>
      <c r="IR199"/>
      <c r="IS199"/>
      <c r="IT199"/>
      <c r="IU199"/>
      <c r="IV199"/>
      <c r="IW199"/>
      <c r="IX199"/>
      <c r="IY199"/>
      <c r="IZ199"/>
      <c r="JA199"/>
      <c r="JB199"/>
      <c r="JC199"/>
      <c r="JD199"/>
      <c r="JE199"/>
      <c r="JF199"/>
      <c r="JG199"/>
      <c r="JH199"/>
      <c r="JI199"/>
      <c r="JJ199"/>
      <c r="JK199"/>
      <c r="JL199"/>
      <c r="JM199"/>
      <c r="JN199"/>
      <c r="JO199"/>
      <c r="JP199"/>
      <c r="JQ199"/>
      <c r="JR199"/>
      <c r="JS199"/>
      <c r="JT199"/>
      <c r="JU199"/>
      <c r="JV199"/>
      <c r="JW199"/>
      <c r="JX199"/>
      <c r="JY199"/>
      <c r="JZ199"/>
      <c r="KA199"/>
      <c r="KB199"/>
      <c r="KC199"/>
      <c r="KD199"/>
      <c r="KE199"/>
      <c r="KF199"/>
      <c r="KG199"/>
      <c r="KH199"/>
      <c r="KI199"/>
      <c r="KJ199"/>
      <c r="KK199"/>
      <c r="KL199"/>
      <c r="KM199"/>
      <c r="KN199"/>
      <c r="KO199"/>
      <c r="KP199"/>
      <c r="KQ199"/>
      <c r="KR199"/>
      <c r="KS199"/>
      <c r="KT199"/>
      <c r="KU199"/>
      <c r="KV199"/>
      <c r="KW199"/>
      <c r="KX199"/>
      <c r="KY199"/>
      <c r="KZ199"/>
      <c r="LA199"/>
      <c r="LB199"/>
      <c r="LC199"/>
      <c r="LD199"/>
      <c r="LE199"/>
      <c r="LF199"/>
      <c r="LG199"/>
      <c r="LH199"/>
      <c r="LI199"/>
      <c r="LJ199"/>
      <c r="LK199"/>
      <c r="LL199"/>
      <c r="LM199"/>
      <c r="LN199"/>
      <c r="LO199"/>
      <c r="LP199"/>
      <c r="LQ199"/>
      <c r="LR199"/>
      <c r="LS199"/>
      <c r="LT199"/>
      <c r="LU199"/>
      <c r="LV199"/>
      <c r="LW199"/>
      <c r="LX199"/>
      <c r="LY199"/>
      <c r="LZ199"/>
      <c r="MA199"/>
      <c r="MB199"/>
      <c r="MC199"/>
      <c r="MD199"/>
      <c r="ME199"/>
      <c r="MF199"/>
      <c r="MG199"/>
      <c r="MH199"/>
      <c r="MI199"/>
      <c r="MJ199"/>
      <c r="MK199"/>
      <c r="ML199"/>
      <c r="MM199"/>
      <c r="MN199"/>
      <c r="MO199"/>
      <c r="MP199"/>
      <c r="MQ199"/>
      <c r="MR199"/>
      <c r="MS199"/>
      <c r="MT199"/>
      <c r="MU199"/>
      <c r="MV199"/>
      <c r="MW199"/>
      <c r="MX199"/>
      <c r="MY199"/>
      <c r="MZ199"/>
      <c r="NA199"/>
      <c r="NB199"/>
      <c r="NC199"/>
      <c r="ND199"/>
      <c r="NE199"/>
      <c r="NF199"/>
      <c r="NG199"/>
      <c r="NH199"/>
      <c r="NI199"/>
      <c r="NJ199"/>
      <c r="NK199"/>
      <c r="NL199"/>
      <c r="NM199"/>
      <c r="NN199"/>
      <c r="NO199"/>
      <c r="NP199"/>
      <c r="NQ199"/>
      <c r="NR199"/>
      <c r="NS199"/>
      <c r="NT199"/>
      <c r="NU199"/>
      <c r="NV199"/>
      <c r="NW199"/>
      <c r="NX199"/>
      <c r="NY199"/>
      <c r="NZ199"/>
      <c r="OA199"/>
      <c r="OB199"/>
      <c r="OC199"/>
      <c r="OD199"/>
      <c r="OE199"/>
      <c r="OF199"/>
      <c r="OG199"/>
      <c r="OH199"/>
      <c r="OI199"/>
      <c r="OJ199"/>
      <c r="OK199"/>
      <c r="OL199"/>
      <c r="OM199"/>
      <c r="ON199"/>
      <c r="OO199"/>
      <c r="OP199"/>
      <c r="OQ199"/>
      <c r="OR199"/>
      <c r="OS199"/>
      <c r="OT199"/>
      <c r="OU199"/>
      <c r="OV199"/>
      <c r="OW199"/>
      <c r="OX199"/>
      <c r="OY199"/>
      <c r="OZ199"/>
      <c r="PA199"/>
      <c r="PB199"/>
      <c r="PC199"/>
      <c r="PD199"/>
      <c r="PE199"/>
      <c r="PF199"/>
      <c r="PG199"/>
      <c r="PH199"/>
      <c r="PI199"/>
      <c r="PJ199"/>
      <c r="PK199"/>
      <c r="PL199"/>
      <c r="PM199"/>
      <c r="PN199"/>
      <c r="PO199"/>
      <c r="PP199"/>
      <c r="PQ199"/>
      <c r="PR199"/>
      <c r="PS199"/>
      <c r="PT199"/>
      <c r="PU199"/>
      <c r="PV199"/>
      <c r="PW199"/>
      <c r="PX199"/>
      <c r="PY199"/>
      <c r="PZ199"/>
      <c r="QA199"/>
      <c r="QB199"/>
      <c r="QC199"/>
      <c r="QD199"/>
      <c r="QE199"/>
      <c r="QF199"/>
      <c r="QG199"/>
      <c r="QH199"/>
      <c r="QI199"/>
      <c r="QJ199"/>
      <c r="QK199"/>
      <c r="QL199"/>
      <c r="QM199"/>
      <c r="QN199"/>
      <c r="QO199"/>
      <c r="QP199"/>
      <c r="QQ199"/>
      <c r="QR199"/>
      <c r="QS199"/>
      <c r="QT199"/>
      <c r="QU199"/>
      <c r="QV199"/>
      <c r="QW199"/>
      <c r="QX199"/>
      <c r="QY199"/>
      <c r="QZ199"/>
      <c r="RA199"/>
      <c r="RB199"/>
      <c r="RC199"/>
      <c r="RD199"/>
      <c r="RE199"/>
      <c r="RF199"/>
      <c r="RG199"/>
      <c r="RH199"/>
      <c r="RI199"/>
      <c r="RJ199"/>
      <c r="RK199"/>
      <c r="RL199"/>
      <c r="RM199"/>
      <c r="RN199"/>
      <c r="RO199"/>
      <c r="RP199"/>
      <c r="RQ199"/>
      <c r="RR199"/>
      <c r="RS199"/>
    </row>
    <row r="200" spans="3:487" x14ac:dyDescent="0.25">
      <c r="C200" s="2" t="s">
        <v>308</v>
      </c>
      <c r="D200" s="34">
        <v>1</v>
      </c>
      <c r="F200" s="2" t="s">
        <v>1267</v>
      </c>
      <c r="G200" s="34">
        <v>1</v>
      </c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  <c r="CN200"/>
      <c r="CO200"/>
      <c r="CP200"/>
      <c r="CQ200"/>
      <c r="CR200"/>
      <c r="CS200"/>
      <c r="CT200"/>
      <c r="CU200"/>
      <c r="CV200"/>
      <c r="CW200"/>
      <c r="CX200"/>
      <c r="CY200"/>
      <c r="CZ200"/>
      <c r="DA200"/>
      <c r="DB200"/>
      <c r="DC200"/>
      <c r="DD200"/>
      <c r="DE200"/>
      <c r="DF200"/>
      <c r="DG200"/>
      <c r="DH200"/>
      <c r="DI200"/>
      <c r="DJ200"/>
      <c r="DK200"/>
      <c r="DL200"/>
      <c r="DM200"/>
      <c r="DN200"/>
      <c r="DO200"/>
      <c r="DP200"/>
      <c r="DQ200"/>
      <c r="DR200"/>
      <c r="DS200"/>
      <c r="DT200"/>
      <c r="DU200"/>
      <c r="DV200"/>
      <c r="DW200"/>
      <c r="DX200"/>
      <c r="DY200"/>
      <c r="DZ200"/>
      <c r="EA200"/>
      <c r="EB200"/>
      <c r="EC200"/>
      <c r="ED200"/>
      <c r="EE200"/>
      <c r="EF200"/>
      <c r="EG200"/>
      <c r="EH200"/>
      <c r="EI200"/>
      <c r="EJ200"/>
      <c r="EK200"/>
      <c r="EL200"/>
      <c r="EM200"/>
      <c r="EN200"/>
      <c r="EO200"/>
      <c r="EP200"/>
      <c r="EQ200"/>
      <c r="ER200"/>
      <c r="ES200"/>
      <c r="ET200"/>
      <c r="EU200"/>
      <c r="EV200"/>
      <c r="EW200"/>
      <c r="EX200"/>
      <c r="EY200"/>
      <c r="EZ200"/>
      <c r="FA200"/>
      <c r="FB200"/>
      <c r="FC200"/>
      <c r="FD200"/>
      <c r="FE200"/>
      <c r="FF200"/>
      <c r="FG200"/>
      <c r="FH200"/>
      <c r="FI200"/>
      <c r="FJ200"/>
      <c r="FK200"/>
      <c r="FL200"/>
      <c r="FM200"/>
      <c r="FN200"/>
      <c r="FO200"/>
      <c r="FP200"/>
      <c r="FQ200"/>
      <c r="FR200"/>
      <c r="FS200"/>
      <c r="FT200"/>
      <c r="FU200"/>
      <c r="FV200"/>
      <c r="FW200"/>
      <c r="FX200"/>
      <c r="FY200"/>
      <c r="FZ200"/>
      <c r="GA200"/>
      <c r="GB200"/>
      <c r="GC200"/>
      <c r="GD200"/>
      <c r="GE200"/>
      <c r="GF200"/>
      <c r="GG200"/>
      <c r="GH200"/>
      <c r="GI200"/>
      <c r="GJ200"/>
      <c r="GK200"/>
      <c r="GL200"/>
      <c r="GM200"/>
      <c r="GN200"/>
      <c r="GO200"/>
      <c r="GP200"/>
      <c r="GQ200"/>
      <c r="GR200"/>
      <c r="GS200"/>
      <c r="GT200"/>
      <c r="GU200"/>
      <c r="GV200"/>
      <c r="GW200"/>
      <c r="GX200"/>
      <c r="GY200"/>
      <c r="GZ200"/>
      <c r="HA200"/>
      <c r="HB200"/>
      <c r="HC200"/>
      <c r="HD200"/>
      <c r="HE200"/>
      <c r="HF200"/>
      <c r="HG200"/>
      <c r="HH200"/>
      <c r="HI200"/>
      <c r="HJ200"/>
      <c r="HK200"/>
      <c r="HL200"/>
      <c r="HM200"/>
      <c r="HN200"/>
      <c r="HO200"/>
      <c r="HP200"/>
      <c r="HQ200"/>
      <c r="HR200"/>
      <c r="HS200"/>
      <c r="HT200"/>
      <c r="HU200"/>
      <c r="HV200"/>
      <c r="HW200"/>
      <c r="HX200"/>
      <c r="HY200"/>
      <c r="HZ200"/>
      <c r="IA200"/>
      <c r="IB200"/>
      <c r="IC200"/>
      <c r="ID200"/>
      <c r="IE200"/>
      <c r="IF200"/>
      <c r="IG200"/>
      <c r="IH200"/>
      <c r="II200"/>
      <c r="IJ200"/>
      <c r="IK200"/>
      <c r="IL200"/>
      <c r="IM200"/>
      <c r="IN200"/>
      <c r="IO200"/>
      <c r="IP200"/>
      <c r="IQ200"/>
      <c r="IR200"/>
      <c r="IS200"/>
      <c r="IT200"/>
      <c r="IU200"/>
      <c r="IV200"/>
      <c r="IW200"/>
      <c r="IX200"/>
      <c r="IY200"/>
      <c r="IZ200"/>
      <c r="JA200"/>
      <c r="JB200"/>
      <c r="JC200"/>
      <c r="JD200"/>
      <c r="JE200"/>
      <c r="JF200"/>
      <c r="JG200"/>
      <c r="JH200"/>
      <c r="JI200"/>
      <c r="JJ200"/>
      <c r="JK200"/>
      <c r="JL200"/>
      <c r="JM200"/>
      <c r="JN200"/>
      <c r="JO200"/>
      <c r="JP200"/>
      <c r="JQ200"/>
      <c r="JR200"/>
      <c r="JS200"/>
      <c r="JT200"/>
      <c r="JU200"/>
      <c r="JV200"/>
      <c r="JW200"/>
      <c r="JX200"/>
      <c r="JY200"/>
      <c r="JZ200"/>
      <c r="KA200"/>
      <c r="KB200"/>
      <c r="KC200"/>
      <c r="KD200"/>
      <c r="KE200"/>
      <c r="KF200"/>
      <c r="KG200"/>
      <c r="KH200"/>
      <c r="KI200"/>
      <c r="KJ200"/>
      <c r="KK200"/>
      <c r="KL200"/>
      <c r="KM200"/>
      <c r="KN200"/>
      <c r="KO200"/>
      <c r="KP200"/>
      <c r="KQ200"/>
      <c r="KR200"/>
      <c r="KS200"/>
      <c r="KT200"/>
      <c r="KU200"/>
      <c r="KV200"/>
      <c r="KW200"/>
      <c r="KX200"/>
      <c r="KY200"/>
      <c r="KZ200"/>
      <c r="LA200"/>
      <c r="LB200"/>
      <c r="LC200"/>
      <c r="LD200"/>
      <c r="LE200"/>
      <c r="LF200"/>
      <c r="LG200"/>
      <c r="LH200"/>
      <c r="LI200"/>
      <c r="LJ200"/>
      <c r="LK200"/>
      <c r="LL200"/>
      <c r="LM200"/>
      <c r="LN200"/>
      <c r="LO200"/>
      <c r="LP200"/>
      <c r="LQ200"/>
      <c r="LR200"/>
      <c r="LS200"/>
      <c r="LT200"/>
      <c r="LU200"/>
      <c r="LV200"/>
      <c r="LW200"/>
      <c r="LX200"/>
      <c r="LY200"/>
      <c r="LZ200"/>
      <c r="MA200"/>
      <c r="MB200"/>
      <c r="MC200"/>
      <c r="MD200"/>
      <c r="ME200"/>
      <c r="MF200"/>
      <c r="MG200"/>
      <c r="MH200"/>
      <c r="MI200"/>
      <c r="MJ200"/>
      <c r="MK200"/>
      <c r="ML200"/>
      <c r="MM200"/>
      <c r="MN200"/>
      <c r="MO200"/>
      <c r="MP200"/>
      <c r="MQ200"/>
      <c r="MR200"/>
      <c r="MS200"/>
      <c r="MT200"/>
      <c r="MU200"/>
      <c r="MV200"/>
      <c r="MW200"/>
      <c r="MX200"/>
      <c r="MY200"/>
      <c r="MZ200"/>
      <c r="NA200"/>
      <c r="NB200"/>
      <c r="NC200"/>
      <c r="ND200"/>
      <c r="NE200"/>
      <c r="NF200"/>
      <c r="NG200"/>
      <c r="NH200"/>
      <c r="NI200"/>
      <c r="NJ200"/>
      <c r="NK200"/>
      <c r="NL200"/>
      <c r="NM200"/>
      <c r="NN200"/>
      <c r="NO200"/>
      <c r="NP200"/>
      <c r="NQ200"/>
      <c r="NR200"/>
      <c r="NS200"/>
      <c r="NT200"/>
      <c r="NU200"/>
      <c r="NV200"/>
      <c r="NW200"/>
      <c r="NX200"/>
      <c r="NY200"/>
      <c r="NZ200"/>
      <c r="OA200"/>
      <c r="OB200"/>
      <c r="OC200"/>
      <c r="OD200"/>
      <c r="OE200"/>
      <c r="OF200"/>
      <c r="OG200"/>
      <c r="OH200"/>
      <c r="OI200"/>
      <c r="OJ200"/>
      <c r="OK200"/>
      <c r="OL200"/>
      <c r="OM200"/>
      <c r="ON200"/>
      <c r="OO200"/>
      <c r="OP200"/>
      <c r="OQ200"/>
      <c r="OR200"/>
      <c r="OS200"/>
      <c r="OT200"/>
      <c r="OU200"/>
      <c r="OV200"/>
      <c r="OW200"/>
      <c r="OX200"/>
      <c r="OY200"/>
      <c r="OZ200"/>
      <c r="PA200"/>
      <c r="PB200"/>
      <c r="PC200"/>
      <c r="PD200"/>
      <c r="PE200"/>
      <c r="PF200"/>
      <c r="PG200"/>
      <c r="PH200"/>
      <c r="PI200"/>
      <c r="PJ200"/>
      <c r="PK200"/>
      <c r="PL200"/>
      <c r="PM200"/>
      <c r="PN200"/>
      <c r="PO200"/>
      <c r="PP200"/>
      <c r="PQ200"/>
      <c r="PR200"/>
      <c r="PS200"/>
      <c r="PT200"/>
      <c r="PU200"/>
      <c r="PV200"/>
      <c r="PW200"/>
      <c r="PX200"/>
      <c r="PY200"/>
      <c r="PZ200"/>
      <c r="QA200"/>
      <c r="QB200"/>
      <c r="QC200"/>
      <c r="QD200"/>
      <c r="QE200"/>
      <c r="QF200"/>
      <c r="QG200"/>
      <c r="QH200"/>
      <c r="QI200"/>
      <c r="QJ200"/>
      <c r="QK200"/>
      <c r="QL200"/>
      <c r="QM200"/>
      <c r="QN200"/>
      <c r="QO200"/>
      <c r="QP200"/>
      <c r="QQ200"/>
      <c r="QR200"/>
      <c r="QS200"/>
      <c r="QT200"/>
      <c r="QU200"/>
      <c r="QV200"/>
      <c r="QW200"/>
      <c r="QX200"/>
      <c r="QY200"/>
      <c r="QZ200"/>
      <c r="RA200"/>
      <c r="RB200"/>
      <c r="RC200"/>
      <c r="RD200"/>
      <c r="RE200"/>
      <c r="RF200"/>
      <c r="RG200"/>
      <c r="RH200"/>
      <c r="RI200"/>
      <c r="RJ200"/>
      <c r="RK200"/>
      <c r="RL200"/>
      <c r="RM200"/>
      <c r="RN200"/>
      <c r="RO200"/>
      <c r="RP200"/>
      <c r="RQ200"/>
      <c r="RR200"/>
      <c r="RS200"/>
    </row>
    <row r="201" spans="3:487" x14ac:dyDescent="0.25">
      <c r="C201" s="2" t="s">
        <v>202</v>
      </c>
      <c r="D201" s="34">
        <v>1</v>
      </c>
      <c r="F201" s="2" t="s">
        <v>3722</v>
      </c>
      <c r="G201" s="34">
        <v>1</v>
      </c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  <c r="CN201"/>
      <c r="CO201"/>
      <c r="CP201"/>
      <c r="CQ201"/>
      <c r="CR201"/>
      <c r="CS201"/>
      <c r="CT201"/>
      <c r="CU201"/>
      <c r="CV201"/>
      <c r="CW201"/>
      <c r="CX201"/>
      <c r="CY201"/>
      <c r="CZ201"/>
      <c r="DA201"/>
      <c r="DB201"/>
      <c r="DC201"/>
      <c r="DD201"/>
      <c r="DE201"/>
      <c r="DF201"/>
      <c r="DG201"/>
      <c r="DH201"/>
      <c r="DI201"/>
      <c r="DJ201"/>
      <c r="DK201"/>
      <c r="DL201"/>
      <c r="DM201"/>
      <c r="DN201"/>
      <c r="DO201"/>
      <c r="DP201"/>
      <c r="DQ201"/>
      <c r="DR201"/>
      <c r="DS201"/>
      <c r="DT201"/>
      <c r="DU201"/>
      <c r="DV201"/>
      <c r="DW201"/>
      <c r="DX201"/>
      <c r="DY201"/>
      <c r="DZ201"/>
      <c r="EA201"/>
      <c r="EB201"/>
      <c r="EC201"/>
      <c r="ED201"/>
      <c r="EE201"/>
      <c r="EF201"/>
      <c r="EG201"/>
      <c r="EH201"/>
      <c r="EI201"/>
      <c r="EJ201"/>
      <c r="EK201"/>
      <c r="EL201"/>
      <c r="EM201"/>
      <c r="EN201"/>
      <c r="EO201"/>
      <c r="EP201"/>
      <c r="EQ201"/>
      <c r="ER201"/>
      <c r="ES201"/>
      <c r="ET201"/>
      <c r="EU201"/>
      <c r="EV201"/>
      <c r="EW201"/>
      <c r="EX201"/>
      <c r="EY201"/>
      <c r="EZ201"/>
      <c r="FA201"/>
      <c r="FB201"/>
      <c r="FC201"/>
      <c r="FD201"/>
      <c r="FE201"/>
      <c r="FF201"/>
      <c r="FG201"/>
      <c r="FH201"/>
      <c r="FI201"/>
      <c r="FJ201"/>
      <c r="FK201"/>
      <c r="FL201"/>
      <c r="FM201"/>
      <c r="FN201"/>
      <c r="FO201"/>
      <c r="FP201"/>
      <c r="FQ201"/>
      <c r="FR201"/>
      <c r="FS201"/>
      <c r="FT201"/>
      <c r="FU201"/>
      <c r="FV201"/>
      <c r="FW201"/>
      <c r="FX201"/>
      <c r="FY201"/>
      <c r="FZ201"/>
      <c r="GA201"/>
      <c r="GB201"/>
      <c r="GC201"/>
      <c r="GD201"/>
      <c r="GE201"/>
      <c r="GF201"/>
      <c r="GG201"/>
      <c r="GH201"/>
      <c r="GI201"/>
      <c r="GJ201"/>
      <c r="GK201"/>
      <c r="GL201"/>
      <c r="GM201"/>
      <c r="GN201"/>
      <c r="GO201"/>
      <c r="GP201"/>
      <c r="GQ201"/>
      <c r="GR201"/>
      <c r="GS201"/>
      <c r="GT201"/>
      <c r="GU201"/>
      <c r="GV201"/>
      <c r="GW201"/>
      <c r="GX201"/>
      <c r="GY201"/>
      <c r="GZ201"/>
      <c r="HA201"/>
      <c r="HB201"/>
      <c r="HC201"/>
      <c r="HD201"/>
      <c r="HE201"/>
      <c r="HF201"/>
      <c r="HG201"/>
      <c r="HH201"/>
      <c r="HI201"/>
      <c r="HJ201"/>
      <c r="HK201"/>
      <c r="HL201"/>
      <c r="HM201"/>
      <c r="HN201"/>
      <c r="HO201"/>
      <c r="HP201"/>
      <c r="HQ201"/>
      <c r="HR201"/>
      <c r="HS201"/>
      <c r="HT201"/>
      <c r="HU201"/>
      <c r="HV201"/>
      <c r="HW201"/>
      <c r="HX201"/>
      <c r="HY201"/>
      <c r="HZ201"/>
      <c r="IA201"/>
      <c r="IB201"/>
      <c r="IC201"/>
      <c r="ID201"/>
      <c r="IE201"/>
      <c r="IF201"/>
      <c r="IG201"/>
      <c r="IH201"/>
      <c r="II201"/>
      <c r="IJ201"/>
      <c r="IK201"/>
      <c r="IL201"/>
      <c r="IM201"/>
      <c r="IN201"/>
      <c r="IO201"/>
      <c r="IP201"/>
      <c r="IQ201"/>
      <c r="IR201"/>
      <c r="IS201"/>
      <c r="IT201"/>
      <c r="IU201"/>
      <c r="IV201"/>
      <c r="IW201"/>
      <c r="IX201"/>
      <c r="IY201"/>
      <c r="IZ201"/>
      <c r="JA201"/>
      <c r="JB201"/>
      <c r="JC201"/>
      <c r="JD201"/>
      <c r="JE201"/>
      <c r="JF201"/>
      <c r="JG201"/>
      <c r="JH201"/>
      <c r="JI201"/>
      <c r="JJ201"/>
      <c r="JK201"/>
      <c r="JL201"/>
      <c r="JM201"/>
      <c r="JN201"/>
      <c r="JO201"/>
      <c r="JP201"/>
      <c r="JQ201"/>
      <c r="JR201"/>
      <c r="JS201"/>
      <c r="JT201"/>
      <c r="JU201"/>
      <c r="JV201"/>
      <c r="JW201"/>
      <c r="JX201"/>
      <c r="JY201"/>
      <c r="JZ201"/>
      <c r="KA201"/>
      <c r="KB201"/>
      <c r="KC201"/>
      <c r="KD201"/>
      <c r="KE201"/>
      <c r="KF201"/>
      <c r="KG201"/>
      <c r="KH201"/>
      <c r="KI201"/>
      <c r="KJ201"/>
      <c r="KK201"/>
      <c r="KL201"/>
      <c r="KM201"/>
      <c r="KN201"/>
      <c r="KO201"/>
      <c r="KP201"/>
      <c r="KQ201"/>
      <c r="KR201"/>
      <c r="KS201"/>
      <c r="KT201"/>
      <c r="KU201"/>
      <c r="KV201"/>
      <c r="KW201"/>
      <c r="KX201"/>
      <c r="KY201"/>
      <c r="KZ201"/>
      <c r="LA201"/>
      <c r="LB201"/>
      <c r="LC201"/>
      <c r="LD201"/>
      <c r="LE201"/>
      <c r="LF201"/>
      <c r="LG201"/>
      <c r="LH201"/>
      <c r="LI201"/>
      <c r="LJ201"/>
      <c r="LK201"/>
      <c r="LL201"/>
      <c r="LM201"/>
      <c r="LN201"/>
      <c r="LO201"/>
      <c r="LP201"/>
      <c r="LQ201"/>
      <c r="LR201"/>
      <c r="LS201"/>
      <c r="LT201"/>
      <c r="LU201"/>
      <c r="LV201"/>
      <c r="LW201"/>
      <c r="LX201"/>
      <c r="LY201"/>
      <c r="LZ201"/>
      <c r="MA201"/>
      <c r="MB201"/>
      <c r="MC201"/>
      <c r="MD201"/>
      <c r="ME201"/>
      <c r="MF201"/>
      <c r="MG201"/>
      <c r="MH201"/>
      <c r="MI201"/>
      <c r="MJ201"/>
      <c r="MK201"/>
      <c r="ML201"/>
      <c r="MM201"/>
      <c r="MN201"/>
      <c r="MO201"/>
      <c r="MP201"/>
      <c r="MQ201"/>
      <c r="MR201"/>
      <c r="MS201"/>
      <c r="MT201"/>
      <c r="MU201"/>
      <c r="MV201"/>
      <c r="MW201"/>
      <c r="MX201"/>
      <c r="MY201"/>
      <c r="MZ201"/>
      <c r="NA201"/>
      <c r="NB201"/>
      <c r="NC201"/>
      <c r="ND201"/>
      <c r="NE201"/>
      <c r="NF201"/>
      <c r="NG201"/>
      <c r="NH201"/>
      <c r="NI201"/>
      <c r="NJ201"/>
      <c r="NK201"/>
      <c r="NL201"/>
      <c r="NM201"/>
      <c r="NN201"/>
      <c r="NO201"/>
      <c r="NP201"/>
      <c r="NQ201"/>
      <c r="NR201"/>
      <c r="NS201"/>
      <c r="NT201"/>
      <c r="NU201"/>
      <c r="NV201"/>
      <c r="NW201"/>
      <c r="NX201"/>
      <c r="NY201"/>
      <c r="NZ201"/>
      <c r="OA201"/>
      <c r="OB201"/>
      <c r="OC201"/>
      <c r="OD201"/>
      <c r="OE201"/>
      <c r="OF201"/>
      <c r="OG201"/>
      <c r="OH201"/>
      <c r="OI201"/>
      <c r="OJ201"/>
      <c r="OK201"/>
      <c r="OL201"/>
      <c r="OM201"/>
      <c r="ON201"/>
      <c r="OO201"/>
      <c r="OP201"/>
      <c r="OQ201"/>
      <c r="OR201"/>
      <c r="OS201"/>
      <c r="OT201"/>
      <c r="OU201"/>
      <c r="OV201"/>
      <c r="OW201"/>
      <c r="OX201"/>
      <c r="OY201"/>
      <c r="OZ201"/>
      <c r="PA201"/>
      <c r="PB201"/>
      <c r="PC201"/>
      <c r="PD201"/>
      <c r="PE201"/>
      <c r="PF201"/>
      <c r="PG201"/>
      <c r="PH201"/>
      <c r="PI201"/>
      <c r="PJ201"/>
      <c r="PK201"/>
      <c r="PL201"/>
      <c r="PM201"/>
      <c r="PN201"/>
      <c r="PO201"/>
      <c r="PP201"/>
      <c r="PQ201"/>
      <c r="PR201"/>
      <c r="PS201"/>
      <c r="PT201"/>
      <c r="PU201"/>
      <c r="PV201"/>
      <c r="PW201"/>
      <c r="PX201"/>
      <c r="PY201"/>
      <c r="PZ201"/>
      <c r="QA201"/>
      <c r="QB201"/>
      <c r="QC201"/>
      <c r="QD201"/>
      <c r="QE201"/>
      <c r="QF201"/>
      <c r="QG201"/>
      <c r="QH201"/>
      <c r="QI201"/>
      <c r="QJ201"/>
      <c r="QK201"/>
      <c r="QL201"/>
      <c r="QM201"/>
      <c r="QN201"/>
      <c r="QO201"/>
      <c r="QP201"/>
      <c r="QQ201"/>
      <c r="QR201"/>
      <c r="QS201"/>
      <c r="QT201"/>
      <c r="QU201"/>
      <c r="QV201"/>
      <c r="QW201"/>
      <c r="QX201"/>
      <c r="QY201"/>
      <c r="QZ201"/>
      <c r="RA201"/>
      <c r="RB201"/>
      <c r="RC201"/>
      <c r="RD201"/>
      <c r="RE201"/>
      <c r="RF201"/>
      <c r="RG201"/>
      <c r="RH201"/>
      <c r="RI201"/>
      <c r="RJ201"/>
      <c r="RK201"/>
      <c r="RL201"/>
      <c r="RM201"/>
      <c r="RN201"/>
      <c r="RO201"/>
      <c r="RP201"/>
      <c r="RQ201"/>
      <c r="RR201"/>
      <c r="RS201"/>
    </row>
    <row r="202" spans="3:487" x14ac:dyDescent="0.25">
      <c r="C202" s="2" t="s">
        <v>228</v>
      </c>
      <c r="D202" s="34">
        <v>1</v>
      </c>
      <c r="F202" s="2" t="s">
        <v>258</v>
      </c>
      <c r="G202" s="34">
        <v>1</v>
      </c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  <c r="CN202"/>
      <c r="CO202"/>
      <c r="CP202"/>
      <c r="CQ202"/>
      <c r="CR202"/>
      <c r="CS202"/>
      <c r="CT202"/>
      <c r="CU202"/>
      <c r="CV202"/>
      <c r="CW202"/>
      <c r="CX202"/>
      <c r="CY202"/>
      <c r="CZ202"/>
      <c r="DA202"/>
      <c r="DB202"/>
      <c r="DC202"/>
      <c r="DD202"/>
      <c r="DE202"/>
      <c r="DF202"/>
      <c r="DG202"/>
      <c r="DH202"/>
      <c r="DI202"/>
      <c r="DJ202"/>
      <c r="DK202"/>
      <c r="DL202"/>
      <c r="DM202"/>
      <c r="DN202"/>
      <c r="DO202"/>
      <c r="DP202"/>
      <c r="DQ202"/>
      <c r="DR202"/>
      <c r="DS202"/>
      <c r="DT202"/>
      <c r="DU202"/>
      <c r="DV202"/>
      <c r="DW202"/>
      <c r="DX202"/>
      <c r="DY202"/>
      <c r="DZ202"/>
      <c r="EA202"/>
      <c r="EB202"/>
      <c r="EC202"/>
      <c r="ED202"/>
      <c r="EE202"/>
      <c r="EF202"/>
      <c r="EG202"/>
      <c r="EH202"/>
      <c r="EI202"/>
      <c r="EJ202"/>
      <c r="EK202"/>
      <c r="EL202"/>
      <c r="EM202"/>
      <c r="EN202"/>
      <c r="EO202"/>
      <c r="EP202"/>
      <c r="EQ202"/>
      <c r="ER202"/>
      <c r="ES202"/>
      <c r="ET202"/>
      <c r="EU202"/>
      <c r="EV202"/>
      <c r="EW202"/>
      <c r="EX202"/>
      <c r="EY202"/>
      <c r="EZ202"/>
      <c r="FA202"/>
      <c r="FB202"/>
      <c r="FC202"/>
      <c r="FD202"/>
      <c r="FE202"/>
      <c r="FF202"/>
      <c r="FG202"/>
      <c r="FH202"/>
      <c r="FI202"/>
      <c r="FJ202"/>
      <c r="FK202"/>
      <c r="FL202"/>
      <c r="FM202"/>
      <c r="FN202"/>
      <c r="FO202"/>
      <c r="FP202"/>
      <c r="FQ202"/>
      <c r="FR202"/>
      <c r="FS202"/>
      <c r="FT202"/>
      <c r="FU202"/>
      <c r="FV202"/>
      <c r="FW202"/>
      <c r="FX202"/>
      <c r="FY202"/>
      <c r="FZ202"/>
      <c r="GA202"/>
      <c r="GB202"/>
      <c r="GC202"/>
      <c r="GD202"/>
      <c r="GE202"/>
      <c r="GF202"/>
      <c r="GG202"/>
      <c r="GH202"/>
      <c r="GI202"/>
      <c r="GJ202"/>
      <c r="GK202"/>
      <c r="GL202"/>
      <c r="GM202"/>
      <c r="GN202"/>
      <c r="GO202"/>
      <c r="GP202"/>
      <c r="GQ202"/>
      <c r="GR202"/>
      <c r="GS202"/>
      <c r="GT202"/>
      <c r="GU202"/>
      <c r="GV202"/>
      <c r="GW202"/>
      <c r="GX202"/>
      <c r="GY202"/>
      <c r="GZ202"/>
      <c r="HA202"/>
      <c r="HB202"/>
      <c r="HC202"/>
      <c r="HD202"/>
      <c r="HE202"/>
      <c r="HF202"/>
      <c r="HG202"/>
      <c r="HH202"/>
      <c r="HI202"/>
      <c r="HJ202"/>
      <c r="HK202"/>
      <c r="HL202"/>
      <c r="HM202"/>
      <c r="HN202"/>
      <c r="HO202"/>
      <c r="HP202"/>
      <c r="HQ202"/>
      <c r="HR202"/>
      <c r="HS202"/>
      <c r="HT202"/>
      <c r="HU202"/>
      <c r="HV202"/>
      <c r="HW202"/>
      <c r="HX202"/>
      <c r="HY202"/>
      <c r="HZ202"/>
      <c r="IA202"/>
      <c r="IB202"/>
      <c r="IC202"/>
      <c r="ID202"/>
      <c r="IE202"/>
      <c r="IF202"/>
      <c r="IG202"/>
      <c r="IH202"/>
      <c r="II202"/>
      <c r="IJ202"/>
      <c r="IK202"/>
      <c r="IL202"/>
      <c r="IM202"/>
      <c r="IN202"/>
      <c r="IO202"/>
      <c r="IP202"/>
      <c r="IQ202"/>
      <c r="IR202"/>
      <c r="IS202"/>
      <c r="IT202"/>
      <c r="IU202"/>
      <c r="IV202"/>
      <c r="IW202"/>
      <c r="IX202"/>
      <c r="IY202"/>
      <c r="IZ202"/>
      <c r="JA202"/>
      <c r="JB202"/>
      <c r="JC202"/>
      <c r="JD202"/>
      <c r="JE202"/>
      <c r="JF202"/>
      <c r="JG202"/>
      <c r="JH202"/>
      <c r="JI202"/>
      <c r="JJ202"/>
      <c r="JK202"/>
      <c r="JL202"/>
      <c r="JM202"/>
      <c r="JN202"/>
      <c r="JO202"/>
      <c r="JP202"/>
      <c r="JQ202"/>
      <c r="JR202"/>
      <c r="JS202"/>
      <c r="JT202"/>
      <c r="JU202"/>
      <c r="JV202"/>
      <c r="JW202"/>
      <c r="JX202"/>
      <c r="JY202"/>
      <c r="JZ202"/>
      <c r="KA202"/>
      <c r="KB202"/>
      <c r="KC202"/>
      <c r="KD202"/>
      <c r="KE202"/>
      <c r="KF202"/>
      <c r="KG202"/>
      <c r="KH202"/>
      <c r="KI202"/>
      <c r="KJ202"/>
      <c r="KK202"/>
      <c r="KL202"/>
      <c r="KM202"/>
      <c r="KN202"/>
      <c r="KO202"/>
      <c r="KP202"/>
      <c r="KQ202"/>
      <c r="KR202"/>
      <c r="KS202"/>
      <c r="KT202"/>
      <c r="KU202"/>
      <c r="KV202"/>
      <c r="KW202"/>
      <c r="KX202"/>
      <c r="KY202"/>
      <c r="KZ202"/>
      <c r="LA202"/>
      <c r="LB202"/>
      <c r="LC202"/>
      <c r="LD202"/>
      <c r="LE202"/>
      <c r="LF202"/>
      <c r="LG202"/>
      <c r="LH202"/>
      <c r="LI202"/>
      <c r="LJ202"/>
      <c r="LK202"/>
      <c r="LL202"/>
      <c r="LM202"/>
      <c r="LN202"/>
      <c r="LO202"/>
      <c r="LP202"/>
      <c r="LQ202"/>
      <c r="LR202"/>
      <c r="LS202"/>
      <c r="LT202"/>
      <c r="LU202"/>
      <c r="LV202"/>
      <c r="LW202"/>
      <c r="LX202"/>
      <c r="LY202"/>
      <c r="LZ202"/>
      <c r="MA202"/>
      <c r="MB202"/>
      <c r="MC202"/>
      <c r="MD202"/>
      <c r="ME202"/>
      <c r="MF202"/>
      <c r="MG202"/>
      <c r="MH202"/>
      <c r="MI202"/>
      <c r="MJ202"/>
      <c r="MK202"/>
      <c r="ML202"/>
      <c r="MM202"/>
      <c r="MN202"/>
      <c r="MO202"/>
      <c r="MP202"/>
      <c r="MQ202"/>
      <c r="MR202"/>
      <c r="MS202"/>
      <c r="MT202"/>
      <c r="MU202"/>
      <c r="MV202"/>
      <c r="MW202"/>
      <c r="MX202"/>
      <c r="MY202"/>
      <c r="MZ202"/>
      <c r="NA202"/>
      <c r="NB202"/>
      <c r="NC202"/>
      <c r="ND202"/>
      <c r="NE202"/>
      <c r="NF202"/>
      <c r="NG202"/>
      <c r="NH202"/>
      <c r="NI202"/>
      <c r="NJ202"/>
      <c r="NK202"/>
      <c r="NL202"/>
      <c r="NM202"/>
      <c r="NN202"/>
      <c r="NO202"/>
      <c r="NP202"/>
      <c r="NQ202"/>
      <c r="NR202"/>
      <c r="NS202"/>
      <c r="NT202"/>
      <c r="NU202"/>
      <c r="NV202"/>
      <c r="NW202"/>
      <c r="NX202"/>
      <c r="NY202"/>
      <c r="NZ202"/>
      <c r="OA202"/>
      <c r="OB202"/>
      <c r="OC202"/>
      <c r="OD202"/>
      <c r="OE202"/>
      <c r="OF202"/>
      <c r="OG202"/>
      <c r="OH202"/>
      <c r="OI202"/>
      <c r="OJ202"/>
      <c r="OK202"/>
      <c r="OL202"/>
      <c r="OM202"/>
      <c r="ON202"/>
      <c r="OO202"/>
      <c r="OP202"/>
      <c r="OQ202"/>
      <c r="OR202"/>
      <c r="OS202"/>
      <c r="OT202"/>
      <c r="OU202"/>
      <c r="OV202"/>
      <c r="OW202"/>
      <c r="OX202"/>
      <c r="OY202"/>
      <c r="OZ202"/>
      <c r="PA202"/>
      <c r="PB202"/>
      <c r="PC202"/>
      <c r="PD202"/>
      <c r="PE202"/>
      <c r="PF202"/>
      <c r="PG202"/>
      <c r="PH202"/>
      <c r="PI202"/>
      <c r="PJ202"/>
      <c r="PK202"/>
      <c r="PL202"/>
      <c r="PM202"/>
      <c r="PN202"/>
      <c r="PO202"/>
      <c r="PP202"/>
      <c r="PQ202"/>
      <c r="PR202"/>
      <c r="PS202"/>
      <c r="PT202"/>
      <c r="PU202"/>
      <c r="PV202"/>
      <c r="PW202"/>
      <c r="PX202"/>
      <c r="PY202"/>
      <c r="PZ202"/>
      <c r="QA202"/>
      <c r="QB202"/>
      <c r="QC202"/>
      <c r="QD202"/>
      <c r="QE202"/>
      <c r="QF202"/>
      <c r="QG202"/>
      <c r="QH202"/>
      <c r="QI202"/>
      <c r="QJ202"/>
      <c r="QK202"/>
      <c r="QL202"/>
      <c r="QM202"/>
      <c r="QN202"/>
      <c r="QO202"/>
      <c r="QP202"/>
      <c r="QQ202"/>
      <c r="QR202"/>
      <c r="QS202"/>
      <c r="QT202"/>
      <c r="QU202"/>
      <c r="QV202"/>
      <c r="QW202"/>
      <c r="QX202"/>
      <c r="QY202"/>
      <c r="QZ202"/>
      <c r="RA202"/>
      <c r="RB202"/>
      <c r="RC202"/>
      <c r="RD202"/>
      <c r="RE202"/>
      <c r="RF202"/>
      <c r="RG202"/>
      <c r="RH202"/>
      <c r="RI202"/>
      <c r="RJ202"/>
      <c r="RK202"/>
      <c r="RL202"/>
      <c r="RM202"/>
      <c r="RN202"/>
      <c r="RO202"/>
      <c r="RP202"/>
      <c r="RQ202"/>
      <c r="RR202"/>
      <c r="RS202"/>
    </row>
    <row r="203" spans="3:487" x14ac:dyDescent="0.25">
      <c r="C203" s="2" t="s">
        <v>317</v>
      </c>
      <c r="D203" s="34">
        <v>1</v>
      </c>
      <c r="F203" s="2" t="s">
        <v>252</v>
      </c>
      <c r="G203" s="34">
        <v>1</v>
      </c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  <c r="CN203"/>
      <c r="CO203"/>
      <c r="CP203"/>
      <c r="CQ203"/>
      <c r="CR203"/>
      <c r="CS203"/>
      <c r="CT203"/>
      <c r="CU203"/>
      <c r="CV203"/>
      <c r="CW203"/>
      <c r="CX203"/>
      <c r="CY203"/>
      <c r="CZ203"/>
      <c r="DA203"/>
      <c r="DB203"/>
      <c r="DC203"/>
      <c r="DD203"/>
      <c r="DE203"/>
      <c r="DF203"/>
      <c r="DG203"/>
      <c r="DH203"/>
      <c r="DI203"/>
      <c r="DJ203"/>
      <c r="DK203"/>
      <c r="DL203"/>
      <c r="DM203"/>
      <c r="DN203"/>
      <c r="DO203"/>
      <c r="DP203"/>
      <c r="DQ203"/>
      <c r="DR203"/>
      <c r="DS203"/>
      <c r="DT203"/>
      <c r="DU203"/>
      <c r="DV203"/>
      <c r="DW203"/>
      <c r="DX203"/>
      <c r="DY203"/>
      <c r="DZ203"/>
      <c r="EA203"/>
      <c r="EB203"/>
      <c r="EC203"/>
      <c r="ED203"/>
      <c r="EE203"/>
      <c r="EF203"/>
      <c r="EG203"/>
      <c r="EH203"/>
      <c r="EI203"/>
      <c r="EJ203"/>
      <c r="EK203"/>
      <c r="EL203"/>
      <c r="EM203"/>
      <c r="EN203"/>
      <c r="EO203"/>
      <c r="EP203"/>
      <c r="EQ203"/>
      <c r="ER203"/>
      <c r="ES203"/>
      <c r="ET203"/>
      <c r="EU203"/>
      <c r="EV203"/>
      <c r="EW203"/>
      <c r="EX203"/>
      <c r="EY203"/>
      <c r="EZ203"/>
      <c r="FA203"/>
      <c r="FB203"/>
      <c r="FC203"/>
      <c r="FD203"/>
      <c r="FE203"/>
      <c r="FF203"/>
      <c r="FG203"/>
      <c r="FH203"/>
      <c r="FI203"/>
      <c r="FJ203"/>
      <c r="FK203"/>
      <c r="FL203"/>
      <c r="FM203"/>
      <c r="FN203"/>
      <c r="FO203"/>
      <c r="FP203"/>
      <c r="FQ203"/>
      <c r="FR203"/>
      <c r="FS203"/>
      <c r="FT203"/>
      <c r="FU203"/>
      <c r="FV203"/>
      <c r="FW203"/>
      <c r="FX203"/>
      <c r="FY203"/>
      <c r="FZ203"/>
      <c r="GA203"/>
      <c r="GB203"/>
      <c r="GC203"/>
      <c r="GD203"/>
      <c r="GE203"/>
      <c r="GF203"/>
      <c r="GG203"/>
      <c r="GH203"/>
      <c r="GI203"/>
      <c r="GJ203"/>
      <c r="GK203"/>
      <c r="GL203"/>
      <c r="GM203"/>
      <c r="GN203"/>
      <c r="GO203"/>
      <c r="GP203"/>
      <c r="GQ203"/>
      <c r="GR203"/>
      <c r="GS203"/>
      <c r="GT203"/>
      <c r="GU203"/>
      <c r="GV203"/>
      <c r="GW203"/>
      <c r="GX203"/>
      <c r="GY203"/>
      <c r="GZ203"/>
      <c r="HA203"/>
      <c r="HB203"/>
      <c r="HC203"/>
      <c r="HD203"/>
      <c r="HE203"/>
      <c r="HF203"/>
      <c r="HG203"/>
      <c r="HH203"/>
      <c r="HI203"/>
      <c r="HJ203"/>
      <c r="HK203"/>
      <c r="HL203"/>
      <c r="HM203"/>
      <c r="HN203"/>
      <c r="HO203"/>
      <c r="HP203"/>
      <c r="HQ203"/>
      <c r="HR203"/>
      <c r="HS203"/>
      <c r="HT203"/>
      <c r="HU203"/>
      <c r="HV203"/>
      <c r="HW203"/>
      <c r="HX203"/>
      <c r="HY203"/>
      <c r="HZ203"/>
      <c r="IA203"/>
      <c r="IB203"/>
      <c r="IC203"/>
      <c r="ID203"/>
      <c r="IE203"/>
      <c r="IF203"/>
      <c r="IG203"/>
      <c r="IH203"/>
      <c r="II203"/>
      <c r="IJ203"/>
      <c r="IK203"/>
      <c r="IL203"/>
      <c r="IM203"/>
      <c r="IN203"/>
      <c r="IO203"/>
      <c r="IP203"/>
      <c r="IQ203"/>
      <c r="IR203"/>
      <c r="IS203"/>
      <c r="IT203"/>
      <c r="IU203"/>
      <c r="IV203"/>
      <c r="IW203"/>
      <c r="IX203"/>
      <c r="IY203"/>
      <c r="IZ203"/>
      <c r="JA203"/>
      <c r="JB203"/>
      <c r="JC203"/>
      <c r="JD203"/>
      <c r="JE203"/>
      <c r="JF203"/>
      <c r="JG203"/>
      <c r="JH203"/>
      <c r="JI203"/>
      <c r="JJ203"/>
      <c r="JK203"/>
      <c r="JL203"/>
      <c r="JM203"/>
      <c r="JN203"/>
      <c r="JO203"/>
      <c r="JP203"/>
      <c r="JQ203"/>
      <c r="JR203"/>
      <c r="JS203"/>
      <c r="JT203"/>
      <c r="JU203"/>
      <c r="JV203"/>
      <c r="JW203"/>
      <c r="JX203"/>
      <c r="JY203"/>
      <c r="JZ203"/>
      <c r="KA203"/>
      <c r="KB203"/>
      <c r="KC203"/>
      <c r="KD203"/>
      <c r="KE203"/>
      <c r="KF203"/>
      <c r="KG203"/>
      <c r="KH203"/>
      <c r="KI203"/>
      <c r="KJ203"/>
      <c r="KK203"/>
      <c r="KL203"/>
      <c r="KM203"/>
      <c r="KN203"/>
      <c r="KO203"/>
      <c r="KP203"/>
      <c r="KQ203"/>
      <c r="KR203"/>
      <c r="KS203"/>
      <c r="KT203"/>
      <c r="KU203"/>
      <c r="KV203"/>
      <c r="KW203"/>
      <c r="KX203"/>
      <c r="KY203"/>
      <c r="KZ203"/>
      <c r="LA203"/>
      <c r="LB203"/>
      <c r="LC203"/>
      <c r="LD203"/>
      <c r="LE203"/>
      <c r="LF203"/>
      <c r="LG203"/>
      <c r="LH203"/>
      <c r="LI203"/>
      <c r="LJ203"/>
      <c r="LK203"/>
      <c r="LL203"/>
      <c r="LM203"/>
      <c r="LN203"/>
      <c r="LO203"/>
      <c r="LP203"/>
      <c r="LQ203"/>
      <c r="LR203"/>
      <c r="LS203"/>
      <c r="LT203"/>
      <c r="LU203"/>
      <c r="LV203"/>
      <c r="LW203"/>
      <c r="LX203"/>
      <c r="LY203"/>
      <c r="LZ203"/>
      <c r="MA203"/>
      <c r="MB203"/>
      <c r="MC203"/>
      <c r="MD203"/>
      <c r="ME203"/>
      <c r="MF203"/>
      <c r="MG203"/>
      <c r="MH203"/>
      <c r="MI203"/>
      <c r="MJ203"/>
      <c r="MK203"/>
      <c r="ML203"/>
      <c r="MM203"/>
      <c r="MN203"/>
      <c r="MO203"/>
      <c r="MP203"/>
      <c r="MQ203"/>
      <c r="MR203"/>
      <c r="MS203"/>
      <c r="MT203"/>
      <c r="MU203"/>
      <c r="MV203"/>
      <c r="MW203"/>
      <c r="MX203"/>
      <c r="MY203"/>
      <c r="MZ203"/>
      <c r="NA203"/>
      <c r="NB203"/>
      <c r="NC203"/>
      <c r="ND203"/>
      <c r="NE203"/>
      <c r="NF203"/>
      <c r="NG203"/>
      <c r="NH203"/>
      <c r="NI203"/>
      <c r="NJ203"/>
      <c r="NK203"/>
      <c r="NL203"/>
      <c r="NM203"/>
      <c r="NN203"/>
      <c r="NO203"/>
      <c r="NP203"/>
      <c r="NQ203"/>
      <c r="NR203"/>
      <c r="NS203"/>
      <c r="NT203"/>
      <c r="NU203"/>
      <c r="NV203"/>
      <c r="NW203"/>
      <c r="NX203"/>
      <c r="NY203"/>
      <c r="NZ203"/>
      <c r="OA203"/>
      <c r="OB203"/>
      <c r="OC203"/>
      <c r="OD203"/>
      <c r="OE203"/>
      <c r="OF203"/>
      <c r="OG203"/>
      <c r="OH203"/>
      <c r="OI203"/>
      <c r="OJ203"/>
      <c r="OK203"/>
      <c r="OL203"/>
      <c r="OM203"/>
      <c r="ON203"/>
      <c r="OO203"/>
      <c r="OP203"/>
      <c r="OQ203"/>
      <c r="OR203"/>
      <c r="OS203"/>
      <c r="OT203"/>
      <c r="OU203"/>
      <c r="OV203"/>
      <c r="OW203"/>
      <c r="OX203"/>
      <c r="OY203"/>
      <c r="OZ203"/>
      <c r="PA203"/>
      <c r="PB203"/>
      <c r="PC203"/>
      <c r="PD203"/>
      <c r="PE203"/>
      <c r="PF203"/>
      <c r="PG203"/>
      <c r="PH203"/>
      <c r="PI203"/>
      <c r="PJ203"/>
      <c r="PK203"/>
      <c r="PL203"/>
      <c r="PM203"/>
      <c r="PN203"/>
      <c r="PO203"/>
      <c r="PP203"/>
      <c r="PQ203"/>
      <c r="PR203"/>
      <c r="PS203"/>
      <c r="PT203"/>
      <c r="PU203"/>
      <c r="PV203"/>
      <c r="PW203"/>
      <c r="PX203"/>
      <c r="PY203"/>
      <c r="PZ203"/>
      <c r="QA203"/>
      <c r="QB203"/>
      <c r="QC203"/>
      <c r="QD203"/>
      <c r="QE203"/>
      <c r="QF203"/>
      <c r="QG203"/>
      <c r="QH203"/>
      <c r="QI203"/>
      <c r="QJ203"/>
      <c r="QK203"/>
      <c r="QL203"/>
      <c r="QM203"/>
      <c r="QN203"/>
      <c r="QO203"/>
      <c r="QP203"/>
      <c r="QQ203"/>
      <c r="QR203"/>
      <c r="QS203"/>
      <c r="QT203"/>
      <c r="QU203"/>
      <c r="QV203"/>
      <c r="QW203"/>
      <c r="QX203"/>
      <c r="QY203"/>
      <c r="QZ203"/>
      <c r="RA203"/>
      <c r="RB203"/>
      <c r="RC203"/>
      <c r="RD203"/>
      <c r="RE203"/>
      <c r="RF203"/>
      <c r="RG203"/>
      <c r="RH203"/>
      <c r="RI203"/>
      <c r="RJ203"/>
      <c r="RK203"/>
      <c r="RL203"/>
      <c r="RM203"/>
      <c r="RN203"/>
      <c r="RO203"/>
      <c r="RP203"/>
      <c r="RQ203"/>
      <c r="RR203"/>
      <c r="RS203"/>
    </row>
    <row r="204" spans="3:487" x14ac:dyDescent="0.25">
      <c r="C204" s="2" t="s">
        <v>287</v>
      </c>
      <c r="D204" s="34">
        <v>1</v>
      </c>
      <c r="F204" s="2" t="s">
        <v>262</v>
      </c>
      <c r="G204" s="34">
        <v>1</v>
      </c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  <c r="CN204"/>
      <c r="CO204"/>
      <c r="CP204"/>
      <c r="CQ204"/>
      <c r="CR204"/>
      <c r="CS204"/>
      <c r="CT204"/>
      <c r="CU204"/>
      <c r="CV204"/>
      <c r="CW204"/>
      <c r="CX204"/>
      <c r="CY204"/>
      <c r="CZ204"/>
      <c r="DA204"/>
      <c r="DB204"/>
      <c r="DC204"/>
      <c r="DD204"/>
      <c r="DE204"/>
      <c r="DF204"/>
      <c r="DG204"/>
      <c r="DH204"/>
      <c r="DI204"/>
      <c r="DJ204"/>
      <c r="DK204"/>
      <c r="DL204"/>
      <c r="DM204"/>
      <c r="DN204"/>
      <c r="DO204"/>
      <c r="DP204"/>
      <c r="DQ204"/>
      <c r="DR204"/>
      <c r="DS204"/>
      <c r="DT204"/>
      <c r="DU204"/>
      <c r="DV204"/>
      <c r="DW204"/>
      <c r="DX204"/>
      <c r="DY204"/>
      <c r="DZ204"/>
      <c r="EA204"/>
      <c r="EB204"/>
      <c r="EC204"/>
      <c r="ED204"/>
      <c r="EE204"/>
      <c r="EF204"/>
      <c r="EG204"/>
      <c r="EH204"/>
      <c r="EI204"/>
      <c r="EJ204"/>
      <c r="EK204"/>
      <c r="EL204"/>
      <c r="EM204"/>
      <c r="EN204"/>
      <c r="EO204"/>
      <c r="EP204"/>
      <c r="EQ204"/>
      <c r="ER204"/>
      <c r="ES204"/>
      <c r="ET204"/>
      <c r="EU204"/>
      <c r="EV204"/>
      <c r="EW204"/>
      <c r="EX204"/>
      <c r="EY204"/>
      <c r="EZ204"/>
      <c r="FA204"/>
      <c r="FB204"/>
      <c r="FC204"/>
      <c r="FD204"/>
      <c r="FE204"/>
      <c r="FF204"/>
      <c r="FG204"/>
      <c r="FH204"/>
      <c r="FI204"/>
      <c r="FJ204"/>
      <c r="FK204"/>
      <c r="FL204"/>
      <c r="FM204"/>
      <c r="FN204"/>
      <c r="FO204"/>
      <c r="FP204"/>
      <c r="FQ204"/>
      <c r="FR204"/>
      <c r="FS204"/>
      <c r="FT204"/>
      <c r="FU204"/>
      <c r="FV204"/>
      <c r="FW204"/>
      <c r="FX204"/>
      <c r="FY204"/>
      <c r="FZ204"/>
      <c r="GA204"/>
      <c r="GB204"/>
      <c r="GC204"/>
      <c r="GD204"/>
      <c r="GE204"/>
      <c r="GF204"/>
      <c r="GG204"/>
      <c r="GH204"/>
      <c r="GI204"/>
      <c r="GJ204"/>
      <c r="GK204"/>
      <c r="GL204"/>
      <c r="GM204"/>
      <c r="GN204"/>
      <c r="GO204"/>
      <c r="GP204"/>
      <c r="GQ204"/>
      <c r="GR204"/>
      <c r="GS204"/>
      <c r="GT204"/>
      <c r="GU204"/>
      <c r="GV204"/>
      <c r="GW204"/>
      <c r="GX204"/>
      <c r="GY204"/>
      <c r="GZ204"/>
      <c r="HA204"/>
      <c r="HB204"/>
      <c r="HC204"/>
      <c r="HD204"/>
      <c r="HE204"/>
      <c r="HF204"/>
      <c r="HG204"/>
      <c r="HH204"/>
      <c r="HI204"/>
      <c r="HJ204"/>
      <c r="HK204"/>
      <c r="HL204"/>
      <c r="HM204"/>
      <c r="HN204"/>
      <c r="HO204"/>
      <c r="HP204"/>
      <c r="HQ204"/>
      <c r="HR204"/>
      <c r="HS204"/>
      <c r="HT204"/>
      <c r="HU204"/>
      <c r="HV204"/>
      <c r="HW204"/>
      <c r="HX204"/>
      <c r="HY204"/>
      <c r="HZ204"/>
      <c r="IA204"/>
      <c r="IB204"/>
      <c r="IC204"/>
      <c r="ID204"/>
      <c r="IE204"/>
      <c r="IF204"/>
      <c r="IG204"/>
      <c r="IH204"/>
      <c r="II204"/>
      <c r="IJ204"/>
      <c r="IK204"/>
      <c r="IL204"/>
      <c r="IM204"/>
      <c r="IN204"/>
      <c r="IO204"/>
      <c r="IP204"/>
      <c r="IQ204"/>
      <c r="IR204"/>
      <c r="IS204"/>
      <c r="IT204"/>
      <c r="IU204"/>
      <c r="IV204"/>
      <c r="IW204"/>
      <c r="IX204"/>
      <c r="IY204"/>
      <c r="IZ204"/>
      <c r="JA204"/>
      <c r="JB204"/>
      <c r="JC204"/>
      <c r="JD204"/>
      <c r="JE204"/>
      <c r="JF204"/>
      <c r="JG204"/>
      <c r="JH204"/>
      <c r="JI204"/>
      <c r="JJ204"/>
      <c r="JK204"/>
      <c r="JL204"/>
      <c r="JM204"/>
      <c r="JN204"/>
      <c r="JO204"/>
      <c r="JP204"/>
      <c r="JQ204"/>
      <c r="JR204"/>
      <c r="JS204"/>
      <c r="JT204"/>
      <c r="JU204"/>
      <c r="JV204"/>
      <c r="JW204"/>
      <c r="JX204"/>
      <c r="JY204"/>
      <c r="JZ204"/>
      <c r="KA204"/>
      <c r="KB204"/>
      <c r="KC204"/>
      <c r="KD204"/>
      <c r="KE204"/>
      <c r="KF204"/>
      <c r="KG204"/>
      <c r="KH204"/>
      <c r="KI204"/>
      <c r="KJ204"/>
      <c r="KK204"/>
      <c r="KL204"/>
      <c r="KM204"/>
      <c r="KN204"/>
      <c r="KO204"/>
      <c r="KP204"/>
      <c r="KQ204"/>
      <c r="KR204"/>
      <c r="KS204"/>
      <c r="KT204"/>
      <c r="KU204"/>
      <c r="KV204"/>
      <c r="KW204"/>
      <c r="KX204"/>
      <c r="KY204"/>
      <c r="KZ204"/>
      <c r="LA204"/>
      <c r="LB204"/>
      <c r="LC204"/>
      <c r="LD204"/>
      <c r="LE204"/>
      <c r="LF204"/>
      <c r="LG204"/>
      <c r="LH204"/>
      <c r="LI204"/>
      <c r="LJ204"/>
      <c r="LK204"/>
      <c r="LL204"/>
      <c r="LM204"/>
      <c r="LN204"/>
      <c r="LO204"/>
      <c r="LP204"/>
      <c r="LQ204"/>
      <c r="LR204"/>
      <c r="LS204"/>
      <c r="LT204"/>
      <c r="LU204"/>
      <c r="LV204"/>
      <c r="LW204"/>
      <c r="LX204"/>
      <c r="LY204"/>
      <c r="LZ204"/>
      <c r="MA204"/>
      <c r="MB204"/>
      <c r="MC204"/>
      <c r="MD204"/>
      <c r="ME204"/>
      <c r="MF204"/>
      <c r="MG204"/>
      <c r="MH204"/>
      <c r="MI204"/>
      <c r="MJ204"/>
      <c r="MK204"/>
      <c r="ML204"/>
      <c r="MM204"/>
      <c r="MN204"/>
      <c r="MO204"/>
      <c r="MP204"/>
      <c r="MQ204"/>
      <c r="MR204"/>
      <c r="MS204"/>
      <c r="MT204"/>
      <c r="MU204"/>
      <c r="MV204"/>
      <c r="MW204"/>
      <c r="MX204"/>
      <c r="MY204"/>
      <c r="MZ204"/>
      <c r="NA204"/>
      <c r="NB204"/>
      <c r="NC204"/>
      <c r="ND204"/>
      <c r="NE204"/>
      <c r="NF204"/>
      <c r="NG204"/>
      <c r="NH204"/>
      <c r="NI204"/>
      <c r="NJ204"/>
      <c r="NK204"/>
      <c r="NL204"/>
      <c r="NM204"/>
      <c r="NN204"/>
      <c r="NO204"/>
      <c r="NP204"/>
      <c r="NQ204"/>
      <c r="NR204"/>
      <c r="NS204"/>
      <c r="NT204"/>
      <c r="NU204"/>
      <c r="NV204"/>
      <c r="NW204"/>
      <c r="NX204"/>
      <c r="NY204"/>
      <c r="NZ204"/>
      <c r="OA204"/>
      <c r="OB204"/>
      <c r="OC204"/>
      <c r="OD204"/>
      <c r="OE204"/>
      <c r="OF204"/>
      <c r="OG204"/>
      <c r="OH204"/>
      <c r="OI204"/>
      <c r="OJ204"/>
      <c r="OK204"/>
      <c r="OL204"/>
      <c r="OM204"/>
      <c r="ON204"/>
      <c r="OO204"/>
      <c r="OP204"/>
      <c r="OQ204"/>
      <c r="OR204"/>
      <c r="OS204"/>
      <c r="OT204"/>
      <c r="OU204"/>
      <c r="OV204"/>
      <c r="OW204"/>
      <c r="OX204"/>
      <c r="OY204"/>
      <c r="OZ204"/>
      <c r="PA204"/>
      <c r="PB204"/>
      <c r="PC204"/>
      <c r="PD204"/>
      <c r="PE204"/>
      <c r="PF204"/>
      <c r="PG204"/>
      <c r="PH204"/>
      <c r="PI204"/>
      <c r="PJ204"/>
      <c r="PK204"/>
      <c r="PL204"/>
      <c r="PM204"/>
      <c r="PN204"/>
      <c r="PO204"/>
      <c r="PP204"/>
      <c r="PQ204"/>
      <c r="PR204"/>
      <c r="PS204"/>
      <c r="PT204"/>
      <c r="PU204"/>
      <c r="PV204"/>
      <c r="PW204"/>
      <c r="PX204"/>
      <c r="PY204"/>
      <c r="PZ204"/>
      <c r="QA204"/>
      <c r="QB204"/>
      <c r="QC204"/>
      <c r="QD204"/>
      <c r="QE204"/>
      <c r="QF204"/>
      <c r="QG204"/>
      <c r="QH204"/>
      <c r="QI204"/>
      <c r="QJ204"/>
      <c r="QK204"/>
      <c r="QL204"/>
      <c r="QM204"/>
      <c r="QN204"/>
      <c r="QO204"/>
      <c r="QP204"/>
      <c r="QQ204"/>
      <c r="QR204"/>
      <c r="QS204"/>
      <c r="QT204"/>
      <c r="QU204"/>
      <c r="QV204"/>
      <c r="QW204"/>
      <c r="QX204"/>
      <c r="QY204"/>
      <c r="QZ204"/>
      <c r="RA204"/>
      <c r="RB204"/>
      <c r="RC204"/>
      <c r="RD204"/>
      <c r="RE204"/>
      <c r="RF204"/>
      <c r="RG204"/>
      <c r="RH204"/>
      <c r="RI204"/>
      <c r="RJ204"/>
      <c r="RK204"/>
      <c r="RL204"/>
      <c r="RM204"/>
      <c r="RN204"/>
      <c r="RO204"/>
      <c r="RP204"/>
      <c r="RQ204"/>
      <c r="RR204"/>
      <c r="RS204"/>
    </row>
    <row r="205" spans="3:487" x14ac:dyDescent="0.25">
      <c r="C205" s="2" t="s">
        <v>319</v>
      </c>
      <c r="D205" s="34">
        <v>1</v>
      </c>
      <c r="F205" s="2" t="s">
        <v>256</v>
      </c>
      <c r="G205" s="34">
        <v>1</v>
      </c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  <c r="CN205"/>
      <c r="CO205"/>
      <c r="CP205"/>
      <c r="CQ205"/>
      <c r="CR205"/>
      <c r="CS205"/>
      <c r="CT205"/>
      <c r="CU205"/>
      <c r="CV205"/>
      <c r="CW205"/>
      <c r="CX205"/>
      <c r="CY205"/>
      <c r="CZ205"/>
      <c r="DA205"/>
      <c r="DB205"/>
      <c r="DC205"/>
      <c r="DD205"/>
      <c r="DE205"/>
      <c r="DF205"/>
      <c r="DG205"/>
      <c r="DH205"/>
      <c r="DI205"/>
      <c r="DJ205"/>
      <c r="DK205"/>
      <c r="DL205"/>
      <c r="DM205"/>
      <c r="DN205"/>
      <c r="DO205"/>
      <c r="DP205"/>
      <c r="DQ205"/>
      <c r="DR205"/>
      <c r="DS205"/>
      <c r="DT205"/>
      <c r="DU205"/>
      <c r="DV205"/>
      <c r="DW205"/>
      <c r="DX205"/>
      <c r="DY205"/>
      <c r="DZ205"/>
      <c r="EA205"/>
      <c r="EB205"/>
      <c r="EC205"/>
      <c r="ED205"/>
      <c r="EE205"/>
      <c r="EF205"/>
      <c r="EG205"/>
      <c r="EH205"/>
      <c r="EI205"/>
      <c r="EJ205"/>
      <c r="EK205"/>
      <c r="EL205"/>
      <c r="EM205"/>
      <c r="EN205"/>
      <c r="EO205"/>
      <c r="EP205"/>
      <c r="EQ205"/>
      <c r="ER205"/>
      <c r="ES205"/>
      <c r="ET205"/>
      <c r="EU205"/>
      <c r="EV205"/>
      <c r="EW205"/>
      <c r="EX205"/>
      <c r="EY205"/>
      <c r="EZ205"/>
      <c r="FA205"/>
      <c r="FB205"/>
      <c r="FC205"/>
      <c r="FD205"/>
      <c r="FE205"/>
      <c r="FF205"/>
      <c r="FG205"/>
      <c r="FH205"/>
      <c r="FI205"/>
      <c r="FJ205"/>
      <c r="FK205"/>
      <c r="FL205"/>
      <c r="FM205"/>
      <c r="FN205"/>
      <c r="FO205"/>
      <c r="FP205"/>
      <c r="FQ205"/>
      <c r="FR205"/>
      <c r="FS205"/>
      <c r="FT205"/>
      <c r="FU205"/>
      <c r="FV205"/>
      <c r="FW205"/>
      <c r="FX205"/>
      <c r="FY205"/>
      <c r="FZ205"/>
      <c r="GA205"/>
      <c r="GB205"/>
      <c r="GC205"/>
      <c r="GD205"/>
      <c r="GE205"/>
      <c r="GF205"/>
      <c r="GG205"/>
      <c r="GH205"/>
      <c r="GI205"/>
      <c r="GJ205"/>
      <c r="GK205"/>
      <c r="GL205"/>
      <c r="GM205"/>
      <c r="GN205"/>
      <c r="GO205"/>
      <c r="GP205"/>
      <c r="GQ205"/>
      <c r="GR205"/>
      <c r="GS205"/>
      <c r="GT205"/>
      <c r="GU205"/>
      <c r="GV205"/>
      <c r="GW205"/>
      <c r="GX205"/>
      <c r="GY205"/>
      <c r="GZ205"/>
      <c r="HA205"/>
      <c r="HB205"/>
      <c r="HC205"/>
      <c r="HD205"/>
      <c r="HE205"/>
      <c r="HF205"/>
      <c r="HG205"/>
      <c r="HH205"/>
      <c r="HI205"/>
      <c r="HJ205"/>
      <c r="HK205"/>
      <c r="HL205"/>
      <c r="HM205"/>
      <c r="HN205"/>
      <c r="HO205"/>
      <c r="HP205"/>
      <c r="HQ205"/>
      <c r="HR205"/>
      <c r="HS205"/>
      <c r="HT205"/>
      <c r="HU205"/>
      <c r="HV205"/>
      <c r="HW205"/>
      <c r="HX205"/>
      <c r="HY205"/>
      <c r="HZ205"/>
      <c r="IA205"/>
      <c r="IB205"/>
      <c r="IC205"/>
      <c r="ID205"/>
      <c r="IE205"/>
      <c r="IF205"/>
      <c r="IG205"/>
      <c r="IH205"/>
      <c r="II205"/>
      <c r="IJ205"/>
      <c r="IK205"/>
      <c r="IL205"/>
      <c r="IM205"/>
      <c r="IN205"/>
      <c r="IO205"/>
      <c r="IP205"/>
      <c r="IQ205"/>
      <c r="IR205"/>
      <c r="IS205"/>
      <c r="IT205"/>
      <c r="IU205"/>
      <c r="IV205"/>
      <c r="IW205"/>
      <c r="IX205"/>
      <c r="IY205"/>
      <c r="IZ205"/>
      <c r="JA205"/>
      <c r="JB205"/>
      <c r="JC205"/>
      <c r="JD205"/>
      <c r="JE205"/>
      <c r="JF205"/>
      <c r="JG205"/>
      <c r="JH205"/>
      <c r="JI205"/>
      <c r="JJ205"/>
      <c r="JK205"/>
      <c r="JL205"/>
      <c r="JM205"/>
      <c r="JN205"/>
      <c r="JO205"/>
      <c r="JP205"/>
      <c r="JQ205"/>
      <c r="JR205"/>
      <c r="JS205"/>
      <c r="JT205"/>
      <c r="JU205"/>
      <c r="JV205"/>
      <c r="JW205"/>
      <c r="JX205"/>
      <c r="JY205"/>
      <c r="JZ205"/>
      <c r="KA205"/>
      <c r="KB205"/>
      <c r="KC205"/>
      <c r="KD205"/>
      <c r="KE205"/>
      <c r="KF205"/>
      <c r="KG205"/>
      <c r="KH205"/>
      <c r="KI205"/>
      <c r="KJ205"/>
      <c r="KK205"/>
      <c r="KL205"/>
      <c r="KM205"/>
      <c r="KN205"/>
      <c r="KO205"/>
      <c r="KP205"/>
      <c r="KQ205"/>
      <c r="KR205"/>
      <c r="KS205"/>
      <c r="KT205"/>
      <c r="KU205"/>
      <c r="KV205"/>
      <c r="KW205"/>
      <c r="KX205"/>
      <c r="KY205"/>
      <c r="KZ205"/>
      <c r="LA205"/>
      <c r="LB205"/>
      <c r="LC205"/>
      <c r="LD205"/>
      <c r="LE205"/>
      <c r="LF205"/>
      <c r="LG205"/>
      <c r="LH205"/>
      <c r="LI205"/>
      <c r="LJ205"/>
      <c r="LK205"/>
      <c r="LL205"/>
      <c r="LM205"/>
      <c r="LN205"/>
      <c r="LO205"/>
      <c r="LP205"/>
      <c r="LQ205"/>
      <c r="LR205"/>
      <c r="LS205"/>
      <c r="LT205"/>
      <c r="LU205"/>
      <c r="LV205"/>
      <c r="LW205"/>
      <c r="LX205"/>
      <c r="LY205"/>
      <c r="LZ205"/>
      <c r="MA205"/>
      <c r="MB205"/>
      <c r="MC205"/>
      <c r="MD205"/>
      <c r="ME205"/>
      <c r="MF205"/>
      <c r="MG205"/>
      <c r="MH205"/>
      <c r="MI205"/>
      <c r="MJ205"/>
      <c r="MK205"/>
      <c r="ML205"/>
      <c r="MM205"/>
      <c r="MN205"/>
      <c r="MO205"/>
      <c r="MP205"/>
      <c r="MQ205"/>
      <c r="MR205"/>
      <c r="MS205"/>
      <c r="MT205"/>
      <c r="MU205"/>
      <c r="MV205"/>
      <c r="MW205"/>
      <c r="MX205"/>
      <c r="MY205"/>
      <c r="MZ205"/>
      <c r="NA205"/>
      <c r="NB205"/>
      <c r="NC205"/>
      <c r="ND205"/>
      <c r="NE205"/>
      <c r="NF205"/>
      <c r="NG205"/>
      <c r="NH205"/>
      <c r="NI205"/>
      <c r="NJ205"/>
      <c r="NK205"/>
      <c r="NL205"/>
      <c r="NM205"/>
      <c r="NN205"/>
      <c r="NO205"/>
      <c r="NP205"/>
      <c r="NQ205"/>
      <c r="NR205"/>
      <c r="NS205"/>
      <c r="NT205"/>
      <c r="NU205"/>
      <c r="NV205"/>
      <c r="NW205"/>
      <c r="NX205"/>
      <c r="NY205"/>
      <c r="NZ205"/>
      <c r="OA205"/>
      <c r="OB205"/>
      <c r="OC205"/>
      <c r="OD205"/>
      <c r="OE205"/>
      <c r="OF205"/>
      <c r="OG205"/>
      <c r="OH205"/>
      <c r="OI205"/>
      <c r="OJ205"/>
      <c r="OK205"/>
      <c r="OL205"/>
      <c r="OM205"/>
      <c r="ON205"/>
      <c r="OO205"/>
      <c r="OP205"/>
      <c r="OQ205"/>
      <c r="OR205"/>
      <c r="OS205"/>
      <c r="OT205"/>
      <c r="OU205"/>
      <c r="OV205"/>
      <c r="OW205"/>
      <c r="OX205"/>
      <c r="OY205"/>
      <c r="OZ205"/>
      <c r="PA205"/>
      <c r="PB205"/>
      <c r="PC205"/>
      <c r="PD205"/>
      <c r="PE205"/>
      <c r="PF205"/>
      <c r="PG205"/>
      <c r="PH205"/>
      <c r="PI205"/>
      <c r="PJ205"/>
      <c r="PK205"/>
      <c r="PL205"/>
      <c r="PM205"/>
      <c r="PN205"/>
      <c r="PO205"/>
      <c r="PP205"/>
      <c r="PQ205"/>
      <c r="PR205"/>
      <c r="PS205"/>
      <c r="PT205"/>
      <c r="PU205"/>
      <c r="PV205"/>
      <c r="PW205"/>
      <c r="PX205"/>
      <c r="PY205"/>
      <c r="PZ205"/>
      <c r="QA205"/>
      <c r="QB205"/>
      <c r="QC205"/>
      <c r="QD205"/>
      <c r="QE205"/>
      <c r="QF205"/>
      <c r="QG205"/>
      <c r="QH205"/>
      <c r="QI205"/>
      <c r="QJ205"/>
      <c r="QK205"/>
      <c r="QL205"/>
      <c r="QM205"/>
      <c r="QN205"/>
      <c r="QO205"/>
      <c r="QP205"/>
      <c r="QQ205"/>
      <c r="QR205"/>
      <c r="QS205"/>
      <c r="QT205"/>
      <c r="QU205"/>
      <c r="QV205"/>
      <c r="QW205"/>
      <c r="QX205"/>
      <c r="QY205"/>
      <c r="QZ205"/>
      <c r="RA205"/>
      <c r="RB205"/>
      <c r="RC205"/>
      <c r="RD205"/>
      <c r="RE205"/>
      <c r="RF205"/>
      <c r="RG205"/>
      <c r="RH205"/>
      <c r="RI205"/>
      <c r="RJ205"/>
      <c r="RK205"/>
      <c r="RL205"/>
      <c r="RM205"/>
      <c r="RN205"/>
      <c r="RO205"/>
      <c r="RP205"/>
      <c r="RQ205"/>
      <c r="RR205"/>
      <c r="RS205"/>
    </row>
    <row r="206" spans="3:487" x14ac:dyDescent="0.25">
      <c r="C206" s="2" t="s">
        <v>289</v>
      </c>
      <c r="D206" s="34">
        <v>1</v>
      </c>
      <c r="F206" s="2" t="s">
        <v>3629</v>
      </c>
      <c r="G206" s="34">
        <v>1</v>
      </c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  <c r="CN206"/>
      <c r="CO206"/>
      <c r="CP206"/>
      <c r="CQ206"/>
      <c r="CR206"/>
      <c r="CS206"/>
      <c r="CT206"/>
      <c r="CU206"/>
      <c r="CV206"/>
      <c r="CW206"/>
      <c r="CX206"/>
      <c r="CY206"/>
      <c r="CZ206"/>
      <c r="DA206"/>
      <c r="DB206"/>
      <c r="DC206"/>
      <c r="DD206"/>
      <c r="DE206"/>
      <c r="DF206"/>
      <c r="DG206"/>
      <c r="DH206"/>
      <c r="DI206"/>
      <c r="DJ206"/>
      <c r="DK206"/>
      <c r="DL206"/>
      <c r="DM206"/>
      <c r="DN206"/>
      <c r="DO206"/>
      <c r="DP206"/>
      <c r="DQ206"/>
      <c r="DR206"/>
      <c r="DS206"/>
      <c r="DT206"/>
      <c r="DU206"/>
      <c r="DV206"/>
      <c r="DW206"/>
      <c r="DX206"/>
      <c r="DY206"/>
      <c r="DZ206"/>
      <c r="EA206"/>
      <c r="EB206"/>
      <c r="EC206"/>
      <c r="ED206"/>
      <c r="EE206"/>
      <c r="EF206"/>
      <c r="EG206"/>
      <c r="EH206"/>
      <c r="EI206"/>
      <c r="EJ206"/>
      <c r="EK206"/>
      <c r="EL206"/>
      <c r="EM206"/>
      <c r="EN206"/>
      <c r="EO206"/>
      <c r="EP206"/>
      <c r="EQ206"/>
      <c r="ER206"/>
      <c r="ES206"/>
      <c r="ET206"/>
      <c r="EU206"/>
      <c r="EV206"/>
      <c r="EW206"/>
      <c r="EX206"/>
      <c r="EY206"/>
      <c r="EZ206"/>
      <c r="FA206"/>
      <c r="FB206"/>
      <c r="FC206"/>
      <c r="FD206"/>
      <c r="FE206"/>
      <c r="FF206"/>
      <c r="FG206"/>
      <c r="FH206"/>
      <c r="FI206"/>
      <c r="FJ206"/>
      <c r="FK206"/>
      <c r="FL206"/>
      <c r="FM206"/>
      <c r="FN206"/>
      <c r="FO206"/>
      <c r="FP206"/>
      <c r="FQ206"/>
      <c r="FR206"/>
      <c r="FS206"/>
      <c r="FT206"/>
      <c r="FU206"/>
      <c r="FV206"/>
      <c r="FW206"/>
      <c r="FX206"/>
      <c r="FY206"/>
      <c r="FZ206"/>
      <c r="GA206"/>
      <c r="GB206"/>
      <c r="GC206"/>
      <c r="GD206"/>
      <c r="GE206"/>
      <c r="GF206"/>
      <c r="GG206"/>
      <c r="GH206"/>
      <c r="GI206"/>
      <c r="GJ206"/>
      <c r="GK206"/>
      <c r="GL206"/>
      <c r="GM206"/>
      <c r="GN206"/>
      <c r="GO206"/>
      <c r="GP206"/>
      <c r="GQ206"/>
      <c r="GR206"/>
      <c r="GS206"/>
      <c r="GT206"/>
      <c r="GU206"/>
      <c r="GV206"/>
      <c r="GW206"/>
      <c r="GX206"/>
      <c r="GY206"/>
      <c r="GZ206"/>
      <c r="HA206"/>
      <c r="HB206"/>
      <c r="HC206"/>
      <c r="HD206"/>
      <c r="HE206"/>
      <c r="HF206"/>
      <c r="HG206"/>
      <c r="HH206"/>
      <c r="HI206"/>
      <c r="HJ206"/>
      <c r="HK206"/>
      <c r="HL206"/>
      <c r="HM206"/>
      <c r="HN206"/>
      <c r="HO206"/>
      <c r="HP206"/>
      <c r="HQ206"/>
      <c r="HR206"/>
      <c r="HS206"/>
      <c r="HT206"/>
      <c r="HU206"/>
      <c r="HV206"/>
      <c r="HW206"/>
      <c r="HX206"/>
      <c r="HY206"/>
      <c r="HZ206"/>
      <c r="IA206"/>
      <c r="IB206"/>
      <c r="IC206"/>
      <c r="ID206"/>
      <c r="IE206"/>
      <c r="IF206"/>
      <c r="IG206"/>
      <c r="IH206"/>
      <c r="II206"/>
      <c r="IJ206"/>
      <c r="IK206"/>
      <c r="IL206"/>
      <c r="IM206"/>
      <c r="IN206"/>
      <c r="IO206"/>
      <c r="IP206"/>
      <c r="IQ206"/>
      <c r="IR206"/>
      <c r="IS206"/>
      <c r="IT206"/>
      <c r="IU206"/>
      <c r="IV206"/>
      <c r="IW206"/>
      <c r="IX206"/>
      <c r="IY206"/>
      <c r="IZ206"/>
      <c r="JA206"/>
      <c r="JB206"/>
      <c r="JC206"/>
      <c r="JD206"/>
      <c r="JE206"/>
      <c r="JF206"/>
      <c r="JG206"/>
      <c r="JH206"/>
      <c r="JI206"/>
      <c r="JJ206"/>
      <c r="JK206"/>
      <c r="JL206"/>
      <c r="JM206"/>
      <c r="JN206"/>
      <c r="JO206"/>
      <c r="JP206"/>
      <c r="JQ206"/>
      <c r="JR206"/>
      <c r="JS206"/>
      <c r="JT206"/>
      <c r="JU206"/>
      <c r="JV206"/>
      <c r="JW206"/>
      <c r="JX206"/>
      <c r="JY206"/>
      <c r="JZ206"/>
      <c r="KA206"/>
      <c r="KB206"/>
      <c r="KC206"/>
      <c r="KD206"/>
      <c r="KE206"/>
      <c r="KF206"/>
      <c r="KG206"/>
      <c r="KH206"/>
      <c r="KI206"/>
      <c r="KJ206"/>
      <c r="KK206"/>
      <c r="KL206"/>
      <c r="KM206"/>
      <c r="KN206"/>
      <c r="KO206"/>
      <c r="KP206"/>
      <c r="KQ206"/>
      <c r="KR206"/>
      <c r="KS206"/>
      <c r="KT206"/>
      <c r="KU206"/>
      <c r="KV206"/>
      <c r="KW206"/>
      <c r="KX206"/>
      <c r="KY206"/>
      <c r="KZ206"/>
      <c r="LA206"/>
      <c r="LB206"/>
      <c r="LC206"/>
      <c r="LD206"/>
      <c r="LE206"/>
      <c r="LF206"/>
      <c r="LG206"/>
      <c r="LH206"/>
      <c r="LI206"/>
      <c r="LJ206"/>
      <c r="LK206"/>
      <c r="LL206"/>
      <c r="LM206"/>
      <c r="LN206"/>
      <c r="LO206"/>
      <c r="LP206"/>
      <c r="LQ206"/>
      <c r="LR206"/>
      <c r="LS206"/>
      <c r="LT206"/>
      <c r="LU206"/>
      <c r="LV206"/>
      <c r="LW206"/>
      <c r="LX206"/>
      <c r="LY206"/>
      <c r="LZ206"/>
      <c r="MA206"/>
      <c r="MB206"/>
      <c r="MC206"/>
      <c r="MD206"/>
      <c r="ME206"/>
      <c r="MF206"/>
      <c r="MG206"/>
      <c r="MH206"/>
      <c r="MI206"/>
      <c r="MJ206"/>
      <c r="MK206"/>
      <c r="ML206"/>
      <c r="MM206"/>
      <c r="MN206"/>
      <c r="MO206"/>
      <c r="MP206"/>
      <c r="MQ206"/>
      <c r="MR206"/>
      <c r="MS206"/>
      <c r="MT206"/>
      <c r="MU206"/>
      <c r="MV206"/>
      <c r="MW206"/>
      <c r="MX206"/>
      <c r="MY206"/>
      <c r="MZ206"/>
      <c r="NA206"/>
      <c r="NB206"/>
      <c r="NC206"/>
      <c r="ND206"/>
      <c r="NE206"/>
      <c r="NF206"/>
      <c r="NG206"/>
      <c r="NH206"/>
      <c r="NI206"/>
      <c r="NJ206"/>
      <c r="NK206"/>
      <c r="NL206"/>
      <c r="NM206"/>
      <c r="NN206"/>
      <c r="NO206"/>
      <c r="NP206"/>
      <c r="NQ206"/>
      <c r="NR206"/>
      <c r="NS206"/>
      <c r="NT206"/>
      <c r="NU206"/>
      <c r="NV206"/>
      <c r="NW206"/>
      <c r="NX206"/>
      <c r="NY206"/>
      <c r="NZ206"/>
      <c r="OA206"/>
      <c r="OB206"/>
      <c r="OC206"/>
      <c r="OD206"/>
      <c r="OE206"/>
      <c r="OF206"/>
      <c r="OG206"/>
      <c r="OH206"/>
      <c r="OI206"/>
      <c r="OJ206"/>
      <c r="OK206"/>
      <c r="OL206"/>
      <c r="OM206"/>
      <c r="ON206"/>
      <c r="OO206"/>
      <c r="OP206"/>
      <c r="OQ206"/>
      <c r="OR206"/>
      <c r="OS206"/>
      <c r="OT206"/>
      <c r="OU206"/>
      <c r="OV206"/>
      <c r="OW206"/>
      <c r="OX206"/>
      <c r="OY206"/>
      <c r="OZ206"/>
      <c r="PA206"/>
      <c r="PB206"/>
      <c r="PC206"/>
      <c r="PD206"/>
      <c r="PE206"/>
      <c r="PF206"/>
      <c r="PG206"/>
      <c r="PH206"/>
      <c r="PI206"/>
      <c r="PJ206"/>
      <c r="PK206"/>
      <c r="PL206"/>
      <c r="PM206"/>
      <c r="PN206"/>
      <c r="PO206"/>
      <c r="PP206"/>
      <c r="PQ206"/>
      <c r="PR206"/>
      <c r="PS206"/>
      <c r="PT206"/>
      <c r="PU206"/>
      <c r="PV206"/>
      <c r="PW206"/>
      <c r="PX206"/>
      <c r="PY206"/>
      <c r="PZ206"/>
      <c r="QA206"/>
      <c r="QB206"/>
      <c r="QC206"/>
      <c r="QD206"/>
      <c r="QE206"/>
      <c r="QF206"/>
      <c r="QG206"/>
      <c r="QH206"/>
      <c r="QI206"/>
      <c r="QJ206"/>
      <c r="QK206"/>
      <c r="QL206"/>
      <c r="QM206"/>
      <c r="QN206"/>
      <c r="QO206"/>
      <c r="QP206"/>
      <c r="QQ206"/>
      <c r="QR206"/>
      <c r="QS206"/>
      <c r="QT206"/>
      <c r="QU206"/>
      <c r="QV206"/>
      <c r="QW206"/>
      <c r="QX206"/>
      <c r="QY206"/>
      <c r="QZ206"/>
      <c r="RA206"/>
      <c r="RB206"/>
      <c r="RC206"/>
      <c r="RD206"/>
      <c r="RE206"/>
      <c r="RF206"/>
      <c r="RG206"/>
      <c r="RH206"/>
      <c r="RI206"/>
      <c r="RJ206"/>
      <c r="RK206"/>
      <c r="RL206"/>
      <c r="RM206"/>
      <c r="RN206"/>
      <c r="RO206"/>
      <c r="RP206"/>
      <c r="RQ206"/>
      <c r="RR206"/>
      <c r="RS206"/>
    </row>
    <row r="207" spans="3:487" x14ac:dyDescent="0.25">
      <c r="C207" s="2" t="s">
        <v>321</v>
      </c>
      <c r="D207" s="34">
        <v>1</v>
      </c>
      <c r="F207" s="2" t="s">
        <v>3704</v>
      </c>
      <c r="G207" s="34">
        <v>1</v>
      </c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  <c r="CN207"/>
      <c r="CO207"/>
      <c r="CP207"/>
      <c r="CQ207"/>
      <c r="CR207"/>
      <c r="CS207"/>
      <c r="CT207"/>
      <c r="CU207"/>
      <c r="CV207"/>
      <c r="CW207"/>
      <c r="CX207"/>
      <c r="CY207"/>
      <c r="CZ207"/>
      <c r="DA207"/>
      <c r="DB207"/>
      <c r="DC207"/>
      <c r="DD207"/>
      <c r="DE207"/>
      <c r="DF207"/>
      <c r="DG207"/>
      <c r="DH207"/>
      <c r="DI207"/>
      <c r="DJ207"/>
      <c r="DK207"/>
      <c r="DL207"/>
      <c r="DM207"/>
      <c r="DN207"/>
      <c r="DO207"/>
      <c r="DP207"/>
      <c r="DQ207"/>
      <c r="DR207"/>
      <c r="DS207"/>
      <c r="DT207"/>
      <c r="DU207"/>
      <c r="DV207"/>
      <c r="DW207"/>
      <c r="DX207"/>
      <c r="DY207"/>
      <c r="DZ207"/>
      <c r="EA207"/>
      <c r="EB207"/>
      <c r="EC207"/>
      <c r="ED207"/>
      <c r="EE207"/>
      <c r="EF207"/>
      <c r="EG207"/>
      <c r="EH207"/>
      <c r="EI207"/>
      <c r="EJ207"/>
      <c r="EK207"/>
      <c r="EL207"/>
      <c r="EM207"/>
      <c r="EN207"/>
      <c r="EO207"/>
      <c r="EP207"/>
      <c r="EQ207"/>
      <c r="ER207"/>
      <c r="ES207"/>
      <c r="ET207"/>
      <c r="EU207"/>
      <c r="EV207"/>
      <c r="EW207"/>
      <c r="EX207"/>
      <c r="EY207"/>
      <c r="EZ207"/>
      <c r="FA207"/>
      <c r="FB207"/>
      <c r="FC207"/>
      <c r="FD207"/>
      <c r="FE207"/>
      <c r="FF207"/>
      <c r="FG207"/>
      <c r="FH207"/>
      <c r="FI207"/>
      <c r="FJ207"/>
      <c r="FK207"/>
      <c r="FL207"/>
      <c r="FM207"/>
      <c r="FN207"/>
      <c r="FO207"/>
      <c r="FP207"/>
      <c r="FQ207"/>
      <c r="FR207"/>
      <c r="FS207"/>
      <c r="FT207"/>
      <c r="FU207"/>
      <c r="FV207"/>
      <c r="FW207"/>
      <c r="FX207"/>
      <c r="FY207"/>
      <c r="FZ207"/>
      <c r="GA207"/>
      <c r="GB207"/>
      <c r="GC207"/>
      <c r="GD207"/>
      <c r="GE207"/>
      <c r="GF207"/>
      <c r="GG207"/>
      <c r="GH207"/>
      <c r="GI207"/>
      <c r="GJ207"/>
      <c r="GK207"/>
      <c r="GL207"/>
      <c r="GM207"/>
      <c r="GN207"/>
      <c r="GO207"/>
      <c r="GP207"/>
      <c r="GQ207"/>
      <c r="GR207"/>
      <c r="GS207"/>
      <c r="GT207"/>
      <c r="GU207"/>
      <c r="GV207"/>
      <c r="GW207"/>
      <c r="GX207"/>
      <c r="GY207"/>
      <c r="GZ207"/>
      <c r="HA207"/>
      <c r="HB207"/>
      <c r="HC207"/>
      <c r="HD207"/>
      <c r="HE207"/>
      <c r="HF207"/>
      <c r="HG207"/>
      <c r="HH207"/>
      <c r="HI207"/>
      <c r="HJ207"/>
      <c r="HK207"/>
      <c r="HL207"/>
      <c r="HM207"/>
      <c r="HN207"/>
      <c r="HO207"/>
      <c r="HP207"/>
      <c r="HQ207"/>
      <c r="HR207"/>
      <c r="HS207"/>
      <c r="HT207"/>
      <c r="HU207"/>
      <c r="HV207"/>
      <c r="HW207"/>
      <c r="HX207"/>
      <c r="HY207"/>
      <c r="HZ207"/>
      <c r="IA207"/>
      <c r="IB207"/>
      <c r="IC207"/>
      <c r="ID207"/>
      <c r="IE207"/>
      <c r="IF207"/>
      <c r="IG207"/>
      <c r="IH207"/>
      <c r="II207"/>
      <c r="IJ207"/>
      <c r="IK207"/>
      <c r="IL207"/>
      <c r="IM207"/>
      <c r="IN207"/>
      <c r="IO207"/>
      <c r="IP207"/>
      <c r="IQ207"/>
      <c r="IR207"/>
      <c r="IS207"/>
      <c r="IT207"/>
      <c r="IU207"/>
      <c r="IV207"/>
      <c r="IW207"/>
      <c r="IX207"/>
      <c r="IY207"/>
      <c r="IZ207"/>
      <c r="JA207"/>
      <c r="JB207"/>
      <c r="JC207"/>
      <c r="JD207"/>
      <c r="JE207"/>
      <c r="JF207"/>
      <c r="JG207"/>
      <c r="JH207"/>
      <c r="JI207"/>
      <c r="JJ207"/>
      <c r="JK207"/>
      <c r="JL207"/>
      <c r="JM207"/>
      <c r="JN207"/>
      <c r="JO207"/>
      <c r="JP207"/>
      <c r="JQ207"/>
      <c r="JR207"/>
      <c r="JS207"/>
      <c r="JT207"/>
      <c r="JU207"/>
      <c r="JV207"/>
      <c r="JW207"/>
      <c r="JX207"/>
      <c r="JY207"/>
      <c r="JZ207"/>
      <c r="KA207"/>
      <c r="KB207"/>
      <c r="KC207"/>
      <c r="KD207"/>
      <c r="KE207"/>
      <c r="KF207"/>
      <c r="KG207"/>
      <c r="KH207"/>
      <c r="KI207"/>
      <c r="KJ207"/>
      <c r="KK207"/>
      <c r="KL207"/>
      <c r="KM207"/>
      <c r="KN207"/>
      <c r="KO207"/>
      <c r="KP207"/>
      <c r="KQ207"/>
      <c r="KR207"/>
      <c r="KS207"/>
      <c r="KT207"/>
      <c r="KU207"/>
      <c r="KV207"/>
      <c r="KW207"/>
      <c r="KX207"/>
      <c r="KY207"/>
      <c r="KZ207"/>
      <c r="LA207"/>
      <c r="LB207"/>
      <c r="LC207"/>
      <c r="LD207"/>
      <c r="LE207"/>
      <c r="LF207"/>
      <c r="LG207"/>
      <c r="LH207"/>
      <c r="LI207"/>
      <c r="LJ207"/>
      <c r="LK207"/>
      <c r="LL207"/>
      <c r="LM207"/>
      <c r="LN207"/>
      <c r="LO207"/>
      <c r="LP207"/>
      <c r="LQ207"/>
      <c r="LR207"/>
      <c r="LS207"/>
      <c r="LT207"/>
      <c r="LU207"/>
      <c r="LV207"/>
      <c r="LW207"/>
      <c r="LX207"/>
      <c r="LY207"/>
      <c r="LZ207"/>
      <c r="MA207"/>
      <c r="MB207"/>
      <c r="MC207"/>
      <c r="MD207"/>
      <c r="ME207"/>
      <c r="MF207"/>
      <c r="MG207"/>
      <c r="MH207"/>
      <c r="MI207"/>
      <c r="MJ207"/>
      <c r="MK207"/>
      <c r="ML207"/>
      <c r="MM207"/>
      <c r="MN207"/>
      <c r="MO207"/>
      <c r="MP207"/>
      <c r="MQ207"/>
      <c r="MR207"/>
      <c r="MS207"/>
      <c r="MT207"/>
      <c r="MU207"/>
      <c r="MV207"/>
      <c r="MW207"/>
      <c r="MX207"/>
      <c r="MY207"/>
      <c r="MZ207"/>
      <c r="NA207"/>
      <c r="NB207"/>
      <c r="NC207"/>
      <c r="ND207"/>
      <c r="NE207"/>
      <c r="NF207"/>
      <c r="NG207"/>
      <c r="NH207"/>
      <c r="NI207"/>
      <c r="NJ207"/>
      <c r="NK207"/>
      <c r="NL207"/>
      <c r="NM207"/>
      <c r="NN207"/>
      <c r="NO207"/>
      <c r="NP207"/>
      <c r="NQ207"/>
      <c r="NR207"/>
      <c r="NS207"/>
      <c r="NT207"/>
      <c r="NU207"/>
      <c r="NV207"/>
      <c r="NW207"/>
      <c r="NX207"/>
      <c r="NY207"/>
      <c r="NZ207"/>
      <c r="OA207"/>
      <c r="OB207"/>
      <c r="OC207"/>
      <c r="OD207"/>
      <c r="OE207"/>
      <c r="OF207"/>
      <c r="OG207"/>
      <c r="OH207"/>
      <c r="OI207"/>
      <c r="OJ207"/>
      <c r="OK207"/>
      <c r="OL207"/>
      <c r="OM207"/>
      <c r="ON207"/>
      <c r="OO207"/>
      <c r="OP207"/>
      <c r="OQ207"/>
      <c r="OR207"/>
      <c r="OS207"/>
      <c r="OT207"/>
      <c r="OU207"/>
      <c r="OV207"/>
      <c r="OW207"/>
      <c r="OX207"/>
      <c r="OY207"/>
      <c r="OZ207"/>
      <c r="PA207"/>
      <c r="PB207"/>
      <c r="PC207"/>
      <c r="PD207"/>
      <c r="PE207"/>
      <c r="PF207"/>
      <c r="PG207"/>
      <c r="PH207"/>
      <c r="PI207"/>
      <c r="PJ207"/>
      <c r="PK207"/>
      <c r="PL207"/>
      <c r="PM207"/>
      <c r="PN207"/>
      <c r="PO207"/>
      <c r="PP207"/>
      <c r="PQ207"/>
      <c r="PR207"/>
      <c r="PS207"/>
      <c r="PT207"/>
      <c r="PU207"/>
      <c r="PV207"/>
      <c r="PW207"/>
      <c r="PX207"/>
      <c r="PY207"/>
      <c r="PZ207"/>
      <c r="QA207"/>
      <c r="QB207"/>
      <c r="QC207"/>
      <c r="QD207"/>
      <c r="QE207"/>
      <c r="QF207"/>
      <c r="QG207"/>
      <c r="QH207"/>
      <c r="QI207"/>
      <c r="QJ207"/>
      <c r="QK207"/>
      <c r="QL207"/>
      <c r="QM207"/>
      <c r="QN207"/>
      <c r="QO207"/>
      <c r="QP207"/>
      <c r="QQ207"/>
      <c r="QR207"/>
      <c r="QS207"/>
      <c r="QT207"/>
      <c r="QU207"/>
      <c r="QV207"/>
      <c r="QW207"/>
      <c r="QX207"/>
      <c r="QY207"/>
      <c r="QZ207"/>
      <c r="RA207"/>
      <c r="RB207"/>
      <c r="RC207"/>
      <c r="RD207"/>
      <c r="RE207"/>
      <c r="RF207"/>
      <c r="RG207"/>
      <c r="RH207"/>
      <c r="RI207"/>
      <c r="RJ207"/>
      <c r="RK207"/>
      <c r="RL207"/>
      <c r="RM207"/>
      <c r="RN207"/>
      <c r="RO207"/>
      <c r="RP207"/>
      <c r="RQ207"/>
      <c r="RR207"/>
      <c r="RS207"/>
    </row>
    <row r="208" spans="3:487" x14ac:dyDescent="0.25">
      <c r="C208" s="2" t="s">
        <v>322</v>
      </c>
      <c r="D208" s="34">
        <v>1</v>
      </c>
      <c r="F208" s="2" t="s">
        <v>213</v>
      </c>
      <c r="G208" s="34">
        <v>1</v>
      </c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  <c r="CN208"/>
      <c r="CO208"/>
      <c r="CP208"/>
      <c r="CQ208"/>
      <c r="CR208"/>
      <c r="CS208"/>
      <c r="CT208"/>
      <c r="CU208"/>
      <c r="CV208"/>
      <c r="CW208"/>
      <c r="CX208"/>
      <c r="CY208"/>
      <c r="CZ208"/>
      <c r="DA208"/>
      <c r="DB208"/>
      <c r="DC208"/>
      <c r="DD208"/>
      <c r="DE208"/>
      <c r="DF208"/>
      <c r="DG208"/>
      <c r="DH208"/>
      <c r="DI208"/>
      <c r="DJ208"/>
      <c r="DK208"/>
      <c r="DL208"/>
      <c r="DM208"/>
      <c r="DN208"/>
      <c r="DO208"/>
      <c r="DP208"/>
      <c r="DQ208"/>
      <c r="DR208"/>
      <c r="DS208"/>
      <c r="DT208"/>
      <c r="DU208"/>
      <c r="DV208"/>
      <c r="DW208"/>
      <c r="DX208"/>
      <c r="DY208"/>
      <c r="DZ208"/>
      <c r="EA208"/>
      <c r="EB208"/>
      <c r="EC208"/>
      <c r="ED208"/>
      <c r="EE208"/>
      <c r="EF208"/>
      <c r="EG208"/>
      <c r="EH208"/>
      <c r="EI208"/>
      <c r="EJ208"/>
      <c r="EK208"/>
      <c r="EL208"/>
      <c r="EM208"/>
      <c r="EN208"/>
      <c r="EO208"/>
      <c r="EP208"/>
      <c r="EQ208"/>
      <c r="ER208"/>
      <c r="ES208"/>
      <c r="ET208"/>
      <c r="EU208"/>
      <c r="EV208"/>
      <c r="EW208"/>
      <c r="EX208"/>
      <c r="EY208"/>
      <c r="EZ208"/>
      <c r="FA208"/>
      <c r="FB208"/>
      <c r="FC208"/>
      <c r="FD208"/>
      <c r="FE208"/>
      <c r="FF208"/>
      <c r="FG208"/>
      <c r="FH208"/>
      <c r="FI208"/>
      <c r="FJ208"/>
      <c r="FK208"/>
      <c r="FL208"/>
      <c r="FM208"/>
      <c r="FN208"/>
      <c r="FO208"/>
      <c r="FP208"/>
      <c r="FQ208"/>
      <c r="FR208"/>
      <c r="FS208"/>
      <c r="FT208"/>
      <c r="FU208"/>
      <c r="FV208"/>
      <c r="FW208"/>
      <c r="FX208"/>
      <c r="FY208"/>
      <c r="FZ208"/>
      <c r="GA208"/>
      <c r="GB208"/>
      <c r="GC208"/>
      <c r="GD208"/>
      <c r="GE208"/>
      <c r="GF208"/>
      <c r="GG208"/>
      <c r="GH208"/>
      <c r="GI208"/>
      <c r="GJ208"/>
      <c r="GK208"/>
      <c r="GL208"/>
      <c r="GM208"/>
      <c r="GN208"/>
      <c r="GO208"/>
      <c r="GP208"/>
      <c r="GQ208"/>
      <c r="GR208"/>
      <c r="GS208"/>
      <c r="GT208"/>
      <c r="GU208"/>
      <c r="GV208"/>
      <c r="GW208"/>
      <c r="GX208"/>
      <c r="GY208"/>
      <c r="GZ208"/>
      <c r="HA208"/>
      <c r="HB208"/>
      <c r="HC208"/>
      <c r="HD208"/>
      <c r="HE208"/>
      <c r="HF208"/>
      <c r="HG208"/>
      <c r="HH208"/>
      <c r="HI208"/>
      <c r="HJ208"/>
      <c r="HK208"/>
      <c r="HL208"/>
      <c r="HM208"/>
      <c r="HN208"/>
      <c r="HO208"/>
      <c r="HP208"/>
      <c r="HQ208"/>
      <c r="HR208"/>
      <c r="HS208"/>
      <c r="HT208"/>
      <c r="HU208"/>
      <c r="HV208"/>
      <c r="HW208"/>
      <c r="HX208"/>
      <c r="HY208"/>
      <c r="HZ208"/>
      <c r="IA208"/>
      <c r="IB208"/>
      <c r="IC208"/>
      <c r="ID208"/>
      <c r="IE208"/>
      <c r="IF208"/>
      <c r="IG208"/>
      <c r="IH208"/>
      <c r="II208"/>
      <c r="IJ208"/>
      <c r="IK208"/>
      <c r="IL208"/>
      <c r="IM208"/>
      <c r="IN208"/>
      <c r="IO208"/>
      <c r="IP208"/>
      <c r="IQ208"/>
      <c r="IR208"/>
      <c r="IS208"/>
      <c r="IT208"/>
      <c r="IU208"/>
      <c r="IV208"/>
      <c r="IW208"/>
      <c r="IX208"/>
      <c r="IY208"/>
      <c r="IZ208"/>
      <c r="JA208"/>
      <c r="JB208"/>
      <c r="JC208"/>
      <c r="JD208"/>
      <c r="JE208"/>
      <c r="JF208"/>
      <c r="JG208"/>
      <c r="JH208"/>
      <c r="JI208"/>
      <c r="JJ208"/>
      <c r="JK208"/>
      <c r="JL208"/>
      <c r="JM208"/>
      <c r="JN208"/>
      <c r="JO208"/>
      <c r="JP208"/>
      <c r="JQ208"/>
      <c r="JR208"/>
      <c r="JS208"/>
      <c r="JT208"/>
      <c r="JU208"/>
      <c r="JV208"/>
      <c r="JW208"/>
      <c r="JX208"/>
      <c r="JY208"/>
      <c r="JZ208"/>
      <c r="KA208"/>
      <c r="KB208"/>
      <c r="KC208"/>
      <c r="KD208"/>
      <c r="KE208"/>
      <c r="KF208"/>
      <c r="KG208"/>
      <c r="KH208"/>
      <c r="KI208"/>
      <c r="KJ208"/>
      <c r="KK208"/>
      <c r="KL208"/>
      <c r="KM208"/>
      <c r="KN208"/>
      <c r="KO208"/>
      <c r="KP208"/>
      <c r="KQ208"/>
      <c r="KR208"/>
      <c r="KS208"/>
      <c r="KT208"/>
      <c r="KU208"/>
      <c r="KV208"/>
      <c r="KW208"/>
      <c r="KX208"/>
      <c r="KY208"/>
      <c r="KZ208"/>
      <c r="LA208"/>
      <c r="LB208"/>
      <c r="LC208"/>
      <c r="LD208"/>
      <c r="LE208"/>
      <c r="LF208"/>
      <c r="LG208"/>
      <c r="LH208"/>
      <c r="LI208"/>
      <c r="LJ208"/>
      <c r="LK208"/>
      <c r="LL208"/>
      <c r="LM208"/>
      <c r="LN208"/>
      <c r="LO208"/>
      <c r="LP208"/>
      <c r="LQ208"/>
      <c r="LR208"/>
      <c r="LS208"/>
      <c r="LT208"/>
      <c r="LU208"/>
      <c r="LV208"/>
      <c r="LW208"/>
      <c r="LX208"/>
      <c r="LY208"/>
      <c r="LZ208"/>
      <c r="MA208"/>
      <c r="MB208"/>
      <c r="MC208"/>
      <c r="MD208"/>
      <c r="ME208"/>
      <c r="MF208"/>
      <c r="MG208"/>
      <c r="MH208"/>
      <c r="MI208"/>
      <c r="MJ208"/>
      <c r="MK208"/>
      <c r="ML208"/>
      <c r="MM208"/>
      <c r="MN208"/>
      <c r="MO208"/>
      <c r="MP208"/>
      <c r="MQ208"/>
      <c r="MR208"/>
      <c r="MS208"/>
      <c r="MT208"/>
      <c r="MU208"/>
      <c r="MV208"/>
      <c r="MW208"/>
      <c r="MX208"/>
      <c r="MY208"/>
      <c r="MZ208"/>
      <c r="NA208"/>
      <c r="NB208"/>
      <c r="NC208"/>
      <c r="ND208"/>
      <c r="NE208"/>
      <c r="NF208"/>
      <c r="NG208"/>
      <c r="NH208"/>
      <c r="NI208"/>
      <c r="NJ208"/>
      <c r="NK208"/>
      <c r="NL208"/>
      <c r="NM208"/>
      <c r="NN208"/>
      <c r="NO208"/>
      <c r="NP208"/>
      <c r="NQ208"/>
      <c r="NR208"/>
      <c r="NS208"/>
      <c r="NT208"/>
      <c r="NU208"/>
      <c r="NV208"/>
      <c r="NW208"/>
      <c r="NX208"/>
      <c r="NY208"/>
      <c r="NZ208"/>
      <c r="OA208"/>
      <c r="OB208"/>
      <c r="OC208"/>
      <c r="OD208"/>
      <c r="OE208"/>
      <c r="OF208"/>
      <c r="OG208"/>
      <c r="OH208"/>
      <c r="OI208"/>
      <c r="OJ208"/>
      <c r="OK208"/>
      <c r="OL208"/>
      <c r="OM208"/>
      <c r="ON208"/>
      <c r="OO208"/>
      <c r="OP208"/>
      <c r="OQ208"/>
      <c r="OR208"/>
      <c r="OS208"/>
      <c r="OT208"/>
      <c r="OU208"/>
      <c r="OV208"/>
      <c r="OW208"/>
      <c r="OX208"/>
      <c r="OY208"/>
      <c r="OZ208"/>
      <c r="PA208"/>
      <c r="PB208"/>
      <c r="PC208"/>
      <c r="PD208"/>
      <c r="PE208"/>
      <c r="PF208"/>
      <c r="PG208"/>
      <c r="PH208"/>
      <c r="PI208"/>
      <c r="PJ208"/>
      <c r="PK208"/>
      <c r="PL208"/>
      <c r="PM208"/>
      <c r="PN208"/>
      <c r="PO208"/>
      <c r="PP208"/>
      <c r="PQ208"/>
      <c r="PR208"/>
      <c r="PS208"/>
      <c r="PT208"/>
      <c r="PU208"/>
      <c r="PV208"/>
      <c r="PW208"/>
      <c r="PX208"/>
      <c r="PY208"/>
      <c r="PZ208"/>
      <c r="QA208"/>
      <c r="QB208"/>
      <c r="QC208"/>
      <c r="QD208"/>
      <c r="QE208"/>
      <c r="QF208"/>
      <c r="QG208"/>
      <c r="QH208"/>
      <c r="QI208"/>
      <c r="QJ208"/>
      <c r="QK208"/>
      <c r="QL208"/>
      <c r="QM208"/>
      <c r="QN208"/>
      <c r="QO208"/>
      <c r="QP208"/>
      <c r="QQ208"/>
      <c r="QR208"/>
      <c r="QS208"/>
      <c r="QT208"/>
      <c r="QU208"/>
      <c r="QV208"/>
      <c r="QW208"/>
      <c r="QX208"/>
      <c r="QY208"/>
      <c r="QZ208"/>
      <c r="RA208"/>
      <c r="RB208"/>
      <c r="RC208"/>
      <c r="RD208"/>
      <c r="RE208"/>
      <c r="RF208"/>
      <c r="RG208"/>
      <c r="RH208"/>
      <c r="RI208"/>
      <c r="RJ208"/>
      <c r="RK208"/>
      <c r="RL208"/>
      <c r="RM208"/>
      <c r="RN208"/>
      <c r="RO208"/>
      <c r="RP208"/>
      <c r="RQ208"/>
      <c r="RR208"/>
      <c r="RS208"/>
    </row>
    <row r="209" spans="3:487" x14ac:dyDescent="0.25">
      <c r="C209" s="2" t="s">
        <v>323</v>
      </c>
      <c r="D209" s="34">
        <v>1</v>
      </c>
      <c r="F209" s="2" t="s">
        <v>124</v>
      </c>
      <c r="G209" s="34">
        <v>1</v>
      </c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  <c r="BT209"/>
      <c r="BU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  <c r="CN209"/>
      <c r="CO209"/>
      <c r="CP209"/>
      <c r="CQ209"/>
      <c r="CR209"/>
      <c r="CS209"/>
      <c r="CT209"/>
      <c r="CU209"/>
      <c r="CV209"/>
      <c r="CW209"/>
      <c r="CX209"/>
      <c r="CY209"/>
      <c r="CZ209"/>
      <c r="DA209"/>
      <c r="DB209"/>
      <c r="DC209"/>
      <c r="DD209"/>
      <c r="DE209"/>
      <c r="DF209"/>
      <c r="DG209"/>
      <c r="DH209"/>
      <c r="DI209"/>
      <c r="DJ209"/>
      <c r="DK209"/>
      <c r="DL209"/>
      <c r="DM209"/>
      <c r="DN209"/>
      <c r="DO209"/>
      <c r="DP209"/>
      <c r="DQ209"/>
      <c r="DR209"/>
      <c r="DS209"/>
      <c r="DT209"/>
      <c r="DU209"/>
      <c r="DV209"/>
      <c r="DW209"/>
      <c r="DX209"/>
      <c r="DY209"/>
      <c r="DZ209"/>
      <c r="EA209"/>
      <c r="EB209"/>
      <c r="EC209"/>
      <c r="ED209"/>
      <c r="EE209"/>
      <c r="EF209"/>
      <c r="EG209"/>
      <c r="EH209"/>
      <c r="EI209"/>
      <c r="EJ209"/>
      <c r="EK209"/>
      <c r="EL209"/>
      <c r="EM209"/>
      <c r="EN209"/>
      <c r="EO209"/>
      <c r="EP209"/>
      <c r="EQ209"/>
      <c r="ER209"/>
      <c r="ES209"/>
      <c r="ET209"/>
      <c r="EU209"/>
      <c r="EV209"/>
      <c r="EW209"/>
      <c r="EX209"/>
      <c r="EY209"/>
      <c r="EZ209"/>
      <c r="FA209"/>
      <c r="FB209"/>
      <c r="FC209"/>
      <c r="FD209"/>
      <c r="FE209"/>
      <c r="FF209"/>
      <c r="FG209"/>
      <c r="FH209"/>
      <c r="FI209"/>
      <c r="FJ209"/>
      <c r="FK209"/>
      <c r="FL209"/>
      <c r="FM209"/>
      <c r="FN209"/>
      <c r="FO209"/>
      <c r="FP209"/>
      <c r="FQ209"/>
      <c r="FR209"/>
      <c r="FS209"/>
      <c r="FT209"/>
      <c r="FU209"/>
      <c r="FV209"/>
      <c r="FW209"/>
      <c r="FX209"/>
      <c r="FY209"/>
      <c r="FZ209"/>
      <c r="GA209"/>
      <c r="GB209"/>
      <c r="GC209"/>
      <c r="GD209"/>
      <c r="GE209"/>
      <c r="GF209"/>
      <c r="GG209"/>
      <c r="GH209"/>
      <c r="GI209"/>
      <c r="GJ209"/>
      <c r="GK209"/>
      <c r="GL209"/>
      <c r="GM209"/>
      <c r="GN209"/>
      <c r="GO209"/>
      <c r="GP209"/>
      <c r="GQ209"/>
      <c r="GR209"/>
      <c r="GS209"/>
      <c r="GT209"/>
      <c r="GU209"/>
      <c r="GV209"/>
      <c r="GW209"/>
      <c r="GX209"/>
      <c r="GY209"/>
      <c r="GZ209"/>
      <c r="HA209"/>
      <c r="HB209"/>
      <c r="HC209"/>
      <c r="HD209"/>
      <c r="HE209"/>
      <c r="HF209"/>
      <c r="HG209"/>
      <c r="HH209"/>
      <c r="HI209"/>
      <c r="HJ209"/>
      <c r="HK209"/>
      <c r="HL209"/>
      <c r="HM209"/>
      <c r="HN209"/>
      <c r="HO209"/>
      <c r="HP209"/>
      <c r="HQ209"/>
      <c r="HR209"/>
      <c r="HS209"/>
      <c r="HT209"/>
      <c r="HU209"/>
      <c r="HV209"/>
      <c r="HW209"/>
      <c r="HX209"/>
      <c r="HY209"/>
      <c r="HZ209"/>
      <c r="IA209"/>
      <c r="IB209"/>
      <c r="IC209"/>
      <c r="ID209"/>
      <c r="IE209"/>
      <c r="IF209"/>
      <c r="IG209"/>
      <c r="IH209"/>
      <c r="II209"/>
      <c r="IJ209"/>
      <c r="IK209"/>
      <c r="IL209"/>
      <c r="IM209"/>
      <c r="IN209"/>
      <c r="IO209"/>
      <c r="IP209"/>
      <c r="IQ209"/>
      <c r="IR209"/>
      <c r="IS209"/>
      <c r="IT209"/>
      <c r="IU209"/>
      <c r="IV209"/>
      <c r="IW209"/>
      <c r="IX209"/>
      <c r="IY209"/>
      <c r="IZ209"/>
      <c r="JA209"/>
      <c r="JB209"/>
      <c r="JC209"/>
      <c r="JD209"/>
      <c r="JE209"/>
      <c r="JF209"/>
      <c r="JG209"/>
      <c r="JH209"/>
      <c r="JI209"/>
      <c r="JJ209"/>
      <c r="JK209"/>
      <c r="JL209"/>
      <c r="JM209"/>
      <c r="JN209"/>
      <c r="JO209"/>
      <c r="JP209"/>
      <c r="JQ209"/>
      <c r="JR209"/>
      <c r="JS209"/>
      <c r="JT209"/>
      <c r="JU209"/>
      <c r="JV209"/>
      <c r="JW209"/>
      <c r="JX209"/>
      <c r="JY209"/>
      <c r="JZ209"/>
      <c r="KA209"/>
      <c r="KB209"/>
      <c r="KC209"/>
      <c r="KD209"/>
      <c r="KE209"/>
      <c r="KF209"/>
      <c r="KG209"/>
      <c r="KH209"/>
      <c r="KI209"/>
      <c r="KJ209"/>
      <c r="KK209"/>
      <c r="KL209"/>
      <c r="KM209"/>
      <c r="KN209"/>
      <c r="KO209"/>
      <c r="KP209"/>
      <c r="KQ209"/>
      <c r="KR209"/>
      <c r="KS209"/>
      <c r="KT209"/>
      <c r="KU209"/>
      <c r="KV209"/>
      <c r="KW209"/>
      <c r="KX209"/>
      <c r="KY209"/>
      <c r="KZ209"/>
      <c r="LA209"/>
      <c r="LB209"/>
      <c r="LC209"/>
      <c r="LD209"/>
      <c r="LE209"/>
      <c r="LF209"/>
      <c r="LG209"/>
      <c r="LH209"/>
      <c r="LI209"/>
      <c r="LJ209"/>
      <c r="LK209"/>
      <c r="LL209"/>
      <c r="LM209"/>
      <c r="LN209"/>
      <c r="LO209"/>
      <c r="LP209"/>
      <c r="LQ209"/>
      <c r="LR209"/>
      <c r="LS209"/>
      <c r="LT209"/>
      <c r="LU209"/>
      <c r="LV209"/>
      <c r="LW209"/>
      <c r="LX209"/>
      <c r="LY209"/>
      <c r="LZ209"/>
      <c r="MA209"/>
      <c r="MB209"/>
      <c r="MC209"/>
      <c r="MD209"/>
      <c r="ME209"/>
      <c r="MF209"/>
      <c r="MG209"/>
      <c r="MH209"/>
      <c r="MI209"/>
      <c r="MJ209"/>
      <c r="MK209"/>
      <c r="ML209"/>
      <c r="MM209"/>
      <c r="MN209"/>
      <c r="MO209"/>
      <c r="MP209"/>
      <c r="MQ209"/>
      <c r="MR209"/>
      <c r="MS209"/>
      <c r="MT209"/>
      <c r="MU209"/>
      <c r="MV209"/>
      <c r="MW209"/>
      <c r="MX209"/>
      <c r="MY209"/>
      <c r="MZ209"/>
      <c r="NA209"/>
      <c r="NB209"/>
      <c r="NC209"/>
      <c r="ND209"/>
      <c r="NE209"/>
      <c r="NF209"/>
      <c r="NG209"/>
      <c r="NH209"/>
      <c r="NI209"/>
      <c r="NJ209"/>
      <c r="NK209"/>
      <c r="NL209"/>
      <c r="NM209"/>
      <c r="NN209"/>
      <c r="NO209"/>
      <c r="NP209"/>
      <c r="NQ209"/>
      <c r="NR209"/>
      <c r="NS209"/>
      <c r="NT209"/>
      <c r="NU209"/>
      <c r="NV209"/>
      <c r="NW209"/>
      <c r="NX209"/>
      <c r="NY209"/>
      <c r="NZ209"/>
      <c r="OA209"/>
      <c r="OB209"/>
      <c r="OC209"/>
      <c r="OD209"/>
      <c r="OE209"/>
      <c r="OF209"/>
      <c r="OG209"/>
      <c r="OH209"/>
      <c r="OI209"/>
      <c r="OJ209"/>
      <c r="OK209"/>
      <c r="OL209"/>
      <c r="OM209"/>
      <c r="ON209"/>
      <c r="OO209"/>
      <c r="OP209"/>
      <c r="OQ209"/>
      <c r="OR209"/>
      <c r="OS209"/>
      <c r="OT209"/>
      <c r="OU209"/>
      <c r="OV209"/>
      <c r="OW209"/>
      <c r="OX209"/>
      <c r="OY209"/>
      <c r="OZ209"/>
      <c r="PA209"/>
      <c r="PB209"/>
      <c r="PC209"/>
      <c r="PD209"/>
      <c r="PE209"/>
      <c r="PF209"/>
      <c r="PG209"/>
      <c r="PH209"/>
      <c r="PI209"/>
      <c r="PJ209"/>
      <c r="PK209"/>
      <c r="PL209"/>
      <c r="PM209"/>
      <c r="PN209"/>
      <c r="PO209"/>
      <c r="PP209"/>
      <c r="PQ209"/>
      <c r="PR209"/>
      <c r="PS209"/>
      <c r="PT209"/>
      <c r="PU209"/>
      <c r="PV209"/>
      <c r="PW209"/>
      <c r="PX209"/>
      <c r="PY209"/>
      <c r="PZ209"/>
      <c r="QA209"/>
      <c r="QB209"/>
      <c r="QC209"/>
      <c r="QD209"/>
      <c r="QE209"/>
      <c r="QF209"/>
      <c r="QG209"/>
      <c r="QH209"/>
      <c r="QI209"/>
      <c r="QJ209"/>
      <c r="QK209"/>
      <c r="QL209"/>
      <c r="QM209"/>
      <c r="QN209"/>
      <c r="QO209"/>
      <c r="QP209"/>
      <c r="QQ209"/>
      <c r="QR209"/>
      <c r="QS209"/>
      <c r="QT209"/>
      <c r="QU209"/>
      <c r="QV209"/>
      <c r="QW209"/>
      <c r="QX209"/>
      <c r="QY209"/>
      <c r="QZ209"/>
      <c r="RA209"/>
      <c r="RB209"/>
      <c r="RC209"/>
      <c r="RD209"/>
      <c r="RE209"/>
      <c r="RF209"/>
      <c r="RG209"/>
      <c r="RH209"/>
      <c r="RI209"/>
      <c r="RJ209"/>
      <c r="RK209"/>
      <c r="RL209"/>
      <c r="RM209"/>
      <c r="RN209"/>
      <c r="RO209"/>
      <c r="RP209"/>
      <c r="RQ209"/>
      <c r="RR209"/>
      <c r="RS209"/>
    </row>
    <row r="210" spans="3:487" x14ac:dyDescent="0.25">
      <c r="C210" s="2" t="s">
        <v>145</v>
      </c>
      <c r="D210" s="34">
        <v>1</v>
      </c>
      <c r="F210" s="2" t="s">
        <v>270</v>
      </c>
      <c r="G210" s="34">
        <v>1</v>
      </c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  <c r="CN210"/>
      <c r="CO210"/>
      <c r="CP210"/>
      <c r="CQ210"/>
      <c r="CR210"/>
      <c r="CS210"/>
      <c r="CT210"/>
      <c r="CU210"/>
      <c r="CV210"/>
      <c r="CW210"/>
      <c r="CX210"/>
      <c r="CY210"/>
      <c r="CZ210"/>
      <c r="DA210"/>
      <c r="DB210"/>
      <c r="DC210"/>
      <c r="DD210"/>
      <c r="DE210"/>
      <c r="DF210"/>
      <c r="DG210"/>
      <c r="DH210"/>
      <c r="DI210"/>
      <c r="DJ210"/>
      <c r="DK210"/>
      <c r="DL210"/>
      <c r="DM210"/>
      <c r="DN210"/>
      <c r="DO210"/>
      <c r="DP210"/>
      <c r="DQ210"/>
      <c r="DR210"/>
      <c r="DS210"/>
      <c r="DT210"/>
      <c r="DU210"/>
      <c r="DV210"/>
      <c r="DW210"/>
      <c r="DX210"/>
      <c r="DY210"/>
      <c r="DZ210"/>
      <c r="EA210"/>
      <c r="EB210"/>
      <c r="EC210"/>
      <c r="ED210"/>
      <c r="EE210"/>
      <c r="EF210"/>
      <c r="EG210"/>
      <c r="EH210"/>
      <c r="EI210"/>
      <c r="EJ210"/>
      <c r="EK210"/>
      <c r="EL210"/>
      <c r="EM210"/>
      <c r="EN210"/>
      <c r="EO210"/>
      <c r="EP210"/>
      <c r="EQ210"/>
      <c r="ER210"/>
      <c r="ES210"/>
      <c r="ET210"/>
      <c r="EU210"/>
      <c r="EV210"/>
      <c r="EW210"/>
      <c r="EX210"/>
      <c r="EY210"/>
      <c r="EZ210"/>
      <c r="FA210"/>
      <c r="FB210"/>
      <c r="FC210"/>
      <c r="FD210"/>
      <c r="FE210"/>
      <c r="FF210"/>
      <c r="FG210"/>
      <c r="FH210"/>
      <c r="FI210"/>
      <c r="FJ210"/>
      <c r="FK210"/>
      <c r="FL210"/>
      <c r="FM210"/>
      <c r="FN210"/>
      <c r="FO210"/>
      <c r="FP210"/>
      <c r="FQ210"/>
      <c r="FR210"/>
      <c r="FS210"/>
      <c r="FT210"/>
      <c r="FU210"/>
      <c r="FV210"/>
      <c r="FW210"/>
      <c r="FX210"/>
      <c r="FY210"/>
      <c r="FZ210"/>
      <c r="GA210"/>
      <c r="GB210"/>
      <c r="GC210"/>
      <c r="GD210"/>
      <c r="GE210"/>
      <c r="GF210"/>
      <c r="GG210"/>
      <c r="GH210"/>
      <c r="GI210"/>
      <c r="GJ210"/>
      <c r="GK210"/>
      <c r="GL210"/>
      <c r="GM210"/>
      <c r="GN210"/>
      <c r="GO210"/>
      <c r="GP210"/>
      <c r="GQ210"/>
      <c r="GR210"/>
      <c r="GS210"/>
      <c r="GT210"/>
      <c r="GU210"/>
      <c r="GV210"/>
      <c r="GW210"/>
      <c r="GX210"/>
      <c r="GY210"/>
      <c r="GZ210"/>
      <c r="HA210"/>
      <c r="HB210"/>
      <c r="HC210"/>
      <c r="HD210"/>
      <c r="HE210"/>
      <c r="HF210"/>
      <c r="HG210"/>
      <c r="HH210"/>
      <c r="HI210"/>
      <c r="HJ210"/>
      <c r="HK210"/>
      <c r="HL210"/>
      <c r="HM210"/>
      <c r="HN210"/>
      <c r="HO210"/>
      <c r="HP210"/>
      <c r="HQ210"/>
      <c r="HR210"/>
      <c r="HS210"/>
      <c r="HT210"/>
      <c r="HU210"/>
      <c r="HV210"/>
      <c r="HW210"/>
      <c r="HX210"/>
      <c r="HY210"/>
      <c r="HZ210"/>
      <c r="IA210"/>
      <c r="IB210"/>
      <c r="IC210"/>
      <c r="ID210"/>
      <c r="IE210"/>
      <c r="IF210"/>
      <c r="IG210"/>
      <c r="IH210"/>
      <c r="II210"/>
      <c r="IJ210"/>
      <c r="IK210"/>
      <c r="IL210"/>
      <c r="IM210"/>
      <c r="IN210"/>
      <c r="IO210"/>
      <c r="IP210"/>
      <c r="IQ210"/>
      <c r="IR210"/>
      <c r="IS210"/>
      <c r="IT210"/>
      <c r="IU210"/>
      <c r="IV210"/>
      <c r="IW210"/>
      <c r="IX210"/>
      <c r="IY210"/>
      <c r="IZ210"/>
      <c r="JA210"/>
      <c r="JB210"/>
      <c r="JC210"/>
      <c r="JD210"/>
      <c r="JE210"/>
      <c r="JF210"/>
      <c r="JG210"/>
      <c r="JH210"/>
      <c r="JI210"/>
      <c r="JJ210"/>
      <c r="JK210"/>
      <c r="JL210"/>
      <c r="JM210"/>
      <c r="JN210"/>
      <c r="JO210"/>
      <c r="JP210"/>
      <c r="JQ210"/>
      <c r="JR210"/>
      <c r="JS210"/>
      <c r="JT210"/>
      <c r="JU210"/>
      <c r="JV210"/>
      <c r="JW210"/>
      <c r="JX210"/>
      <c r="JY210"/>
      <c r="JZ210"/>
      <c r="KA210"/>
      <c r="KB210"/>
      <c r="KC210"/>
      <c r="KD210"/>
      <c r="KE210"/>
      <c r="KF210"/>
      <c r="KG210"/>
      <c r="KH210"/>
      <c r="KI210"/>
      <c r="KJ210"/>
      <c r="KK210"/>
      <c r="KL210"/>
      <c r="KM210"/>
      <c r="KN210"/>
      <c r="KO210"/>
      <c r="KP210"/>
      <c r="KQ210"/>
      <c r="KR210"/>
      <c r="KS210"/>
      <c r="KT210"/>
      <c r="KU210"/>
      <c r="KV210"/>
      <c r="KW210"/>
      <c r="KX210"/>
      <c r="KY210"/>
      <c r="KZ210"/>
      <c r="LA210"/>
      <c r="LB210"/>
      <c r="LC210"/>
      <c r="LD210"/>
      <c r="LE210"/>
      <c r="LF210"/>
      <c r="LG210"/>
      <c r="LH210"/>
      <c r="LI210"/>
      <c r="LJ210"/>
      <c r="LK210"/>
      <c r="LL210"/>
      <c r="LM210"/>
      <c r="LN210"/>
      <c r="LO210"/>
      <c r="LP210"/>
      <c r="LQ210"/>
      <c r="LR210"/>
      <c r="LS210"/>
      <c r="LT210"/>
      <c r="LU210"/>
      <c r="LV210"/>
      <c r="LW210"/>
      <c r="LX210"/>
      <c r="LY210"/>
      <c r="LZ210"/>
      <c r="MA210"/>
      <c r="MB210"/>
      <c r="MC210"/>
      <c r="MD210"/>
      <c r="ME210"/>
      <c r="MF210"/>
      <c r="MG210"/>
      <c r="MH210"/>
      <c r="MI210"/>
      <c r="MJ210"/>
      <c r="MK210"/>
      <c r="ML210"/>
      <c r="MM210"/>
      <c r="MN210"/>
      <c r="MO210"/>
      <c r="MP210"/>
      <c r="MQ210"/>
      <c r="MR210"/>
      <c r="MS210"/>
      <c r="MT210"/>
      <c r="MU210"/>
      <c r="MV210"/>
      <c r="MW210"/>
      <c r="MX210"/>
      <c r="MY210"/>
      <c r="MZ210"/>
      <c r="NA210"/>
      <c r="NB210"/>
      <c r="NC210"/>
      <c r="ND210"/>
      <c r="NE210"/>
      <c r="NF210"/>
      <c r="NG210"/>
      <c r="NH210"/>
      <c r="NI210"/>
      <c r="NJ210"/>
      <c r="NK210"/>
      <c r="NL210"/>
      <c r="NM210"/>
      <c r="NN210"/>
      <c r="NO210"/>
      <c r="NP210"/>
      <c r="NQ210"/>
      <c r="NR210"/>
      <c r="NS210"/>
      <c r="NT210"/>
      <c r="NU210"/>
      <c r="NV210"/>
      <c r="NW210"/>
      <c r="NX210"/>
      <c r="NY210"/>
      <c r="NZ210"/>
      <c r="OA210"/>
      <c r="OB210"/>
      <c r="OC210"/>
      <c r="OD210"/>
      <c r="OE210"/>
      <c r="OF210"/>
      <c r="OG210"/>
      <c r="OH210"/>
      <c r="OI210"/>
      <c r="OJ210"/>
      <c r="OK210"/>
      <c r="OL210"/>
      <c r="OM210"/>
      <c r="ON210"/>
      <c r="OO210"/>
      <c r="OP210"/>
      <c r="OQ210"/>
      <c r="OR210"/>
      <c r="OS210"/>
      <c r="OT210"/>
      <c r="OU210"/>
      <c r="OV210"/>
      <c r="OW210"/>
      <c r="OX210"/>
      <c r="OY210"/>
      <c r="OZ210"/>
      <c r="PA210"/>
      <c r="PB210"/>
      <c r="PC210"/>
      <c r="PD210"/>
      <c r="PE210"/>
      <c r="PF210"/>
      <c r="PG210"/>
      <c r="PH210"/>
      <c r="PI210"/>
      <c r="PJ210"/>
      <c r="PK210"/>
      <c r="PL210"/>
      <c r="PM210"/>
      <c r="PN210"/>
      <c r="PO210"/>
      <c r="PP210"/>
      <c r="PQ210"/>
      <c r="PR210"/>
      <c r="PS210"/>
      <c r="PT210"/>
      <c r="PU210"/>
      <c r="PV210"/>
      <c r="PW210"/>
      <c r="PX210"/>
      <c r="PY210"/>
      <c r="PZ210"/>
      <c r="QA210"/>
      <c r="QB210"/>
      <c r="QC210"/>
      <c r="QD210"/>
      <c r="QE210"/>
      <c r="QF210"/>
      <c r="QG210"/>
      <c r="QH210"/>
      <c r="QI210"/>
      <c r="QJ210"/>
      <c r="QK210"/>
      <c r="QL210"/>
      <c r="QM210"/>
      <c r="QN210"/>
      <c r="QO210"/>
      <c r="QP210"/>
      <c r="QQ210"/>
      <c r="QR210"/>
      <c r="QS210"/>
      <c r="QT210"/>
      <c r="QU210"/>
      <c r="QV210"/>
      <c r="QW210"/>
      <c r="QX210"/>
      <c r="QY210"/>
      <c r="QZ210"/>
      <c r="RA210"/>
      <c r="RB210"/>
      <c r="RC210"/>
      <c r="RD210"/>
      <c r="RE210"/>
      <c r="RF210"/>
      <c r="RG210"/>
      <c r="RH210"/>
      <c r="RI210"/>
      <c r="RJ210"/>
      <c r="RK210"/>
      <c r="RL210"/>
      <c r="RM210"/>
      <c r="RN210"/>
      <c r="RO210"/>
      <c r="RP210"/>
      <c r="RQ210"/>
      <c r="RR210"/>
      <c r="RS210"/>
    </row>
    <row r="211" spans="3:487" x14ac:dyDescent="0.25">
      <c r="C211" s="2" t="s">
        <v>3670</v>
      </c>
      <c r="D211" s="34">
        <v>1</v>
      </c>
      <c r="F211" s="2" t="s">
        <v>128</v>
      </c>
      <c r="G211" s="34">
        <v>1</v>
      </c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  <c r="CN211"/>
      <c r="CO211"/>
      <c r="CP211"/>
      <c r="CQ211"/>
      <c r="CR211"/>
      <c r="CS211"/>
      <c r="CT211"/>
      <c r="CU211"/>
      <c r="CV211"/>
      <c r="CW211"/>
      <c r="CX211"/>
      <c r="CY211"/>
      <c r="CZ211"/>
      <c r="DA211"/>
      <c r="DB211"/>
      <c r="DC211"/>
      <c r="DD211"/>
      <c r="DE211"/>
      <c r="DF211"/>
      <c r="DG211"/>
      <c r="DH211"/>
      <c r="DI211"/>
      <c r="DJ211"/>
      <c r="DK211"/>
      <c r="DL211"/>
      <c r="DM211"/>
      <c r="DN211"/>
      <c r="DO211"/>
      <c r="DP211"/>
      <c r="DQ211"/>
      <c r="DR211"/>
      <c r="DS211"/>
      <c r="DT211"/>
      <c r="DU211"/>
      <c r="DV211"/>
      <c r="DW211"/>
      <c r="DX211"/>
      <c r="DY211"/>
      <c r="DZ211"/>
      <c r="EA211"/>
      <c r="EB211"/>
      <c r="EC211"/>
      <c r="ED211"/>
      <c r="EE211"/>
      <c r="EF211"/>
      <c r="EG211"/>
      <c r="EH211"/>
      <c r="EI211"/>
      <c r="EJ211"/>
      <c r="EK211"/>
      <c r="EL211"/>
      <c r="EM211"/>
      <c r="EN211"/>
      <c r="EO211"/>
      <c r="EP211"/>
      <c r="EQ211"/>
      <c r="ER211"/>
      <c r="ES211"/>
      <c r="ET211"/>
      <c r="EU211"/>
      <c r="EV211"/>
      <c r="EW211"/>
      <c r="EX211"/>
      <c r="EY211"/>
      <c r="EZ211"/>
      <c r="FA211"/>
      <c r="FB211"/>
      <c r="FC211"/>
      <c r="FD211"/>
      <c r="FE211"/>
      <c r="FF211"/>
      <c r="FG211"/>
      <c r="FH211"/>
      <c r="FI211"/>
      <c r="FJ211"/>
      <c r="FK211"/>
      <c r="FL211"/>
      <c r="FM211"/>
      <c r="FN211"/>
      <c r="FO211"/>
      <c r="FP211"/>
      <c r="FQ211"/>
      <c r="FR211"/>
      <c r="FS211"/>
      <c r="FT211"/>
      <c r="FU211"/>
      <c r="FV211"/>
      <c r="FW211"/>
      <c r="FX211"/>
      <c r="FY211"/>
      <c r="FZ211"/>
      <c r="GA211"/>
      <c r="GB211"/>
      <c r="GC211"/>
      <c r="GD211"/>
      <c r="GE211"/>
      <c r="GF211"/>
      <c r="GG211"/>
      <c r="GH211"/>
      <c r="GI211"/>
      <c r="GJ211"/>
      <c r="GK211"/>
      <c r="GL211"/>
      <c r="GM211"/>
      <c r="GN211"/>
      <c r="GO211"/>
      <c r="GP211"/>
      <c r="GQ211"/>
      <c r="GR211"/>
      <c r="GS211"/>
      <c r="GT211"/>
      <c r="GU211"/>
      <c r="GV211"/>
      <c r="GW211"/>
      <c r="GX211"/>
      <c r="GY211"/>
      <c r="GZ211"/>
      <c r="HA211"/>
      <c r="HB211"/>
      <c r="HC211"/>
      <c r="HD211"/>
      <c r="HE211"/>
      <c r="HF211"/>
      <c r="HG211"/>
      <c r="HH211"/>
      <c r="HI211"/>
      <c r="HJ211"/>
      <c r="HK211"/>
      <c r="HL211"/>
      <c r="HM211"/>
      <c r="HN211"/>
      <c r="HO211"/>
      <c r="HP211"/>
      <c r="HQ211"/>
      <c r="HR211"/>
      <c r="HS211"/>
      <c r="HT211"/>
      <c r="HU211"/>
      <c r="HV211"/>
      <c r="HW211"/>
      <c r="HX211"/>
      <c r="HY211"/>
      <c r="HZ211"/>
      <c r="IA211"/>
      <c r="IB211"/>
      <c r="IC211"/>
      <c r="ID211"/>
      <c r="IE211"/>
      <c r="IF211"/>
      <c r="IG211"/>
      <c r="IH211"/>
      <c r="II211"/>
      <c r="IJ211"/>
      <c r="IK211"/>
      <c r="IL211"/>
      <c r="IM211"/>
      <c r="IN211"/>
      <c r="IO211"/>
      <c r="IP211"/>
      <c r="IQ211"/>
      <c r="IR211"/>
      <c r="IS211"/>
      <c r="IT211"/>
      <c r="IU211"/>
      <c r="IV211"/>
      <c r="IW211"/>
      <c r="IX211"/>
      <c r="IY211"/>
      <c r="IZ211"/>
      <c r="JA211"/>
      <c r="JB211"/>
      <c r="JC211"/>
      <c r="JD211"/>
      <c r="JE211"/>
      <c r="JF211"/>
      <c r="JG211"/>
      <c r="JH211"/>
      <c r="JI211"/>
      <c r="JJ211"/>
      <c r="JK211"/>
      <c r="JL211"/>
      <c r="JM211"/>
      <c r="JN211"/>
      <c r="JO211"/>
      <c r="JP211"/>
      <c r="JQ211"/>
      <c r="JR211"/>
      <c r="JS211"/>
      <c r="JT211"/>
      <c r="JU211"/>
      <c r="JV211"/>
      <c r="JW211"/>
      <c r="JX211"/>
      <c r="JY211"/>
      <c r="JZ211"/>
      <c r="KA211"/>
      <c r="KB211"/>
      <c r="KC211"/>
      <c r="KD211"/>
      <c r="KE211"/>
      <c r="KF211"/>
      <c r="KG211"/>
      <c r="KH211"/>
      <c r="KI211"/>
      <c r="KJ211"/>
      <c r="KK211"/>
      <c r="KL211"/>
      <c r="KM211"/>
      <c r="KN211"/>
      <c r="KO211"/>
      <c r="KP211"/>
      <c r="KQ211"/>
      <c r="KR211"/>
      <c r="KS211"/>
      <c r="KT211"/>
      <c r="KU211"/>
      <c r="KV211"/>
      <c r="KW211"/>
      <c r="KX211"/>
      <c r="KY211"/>
      <c r="KZ211"/>
      <c r="LA211"/>
      <c r="LB211"/>
      <c r="LC211"/>
      <c r="LD211"/>
      <c r="LE211"/>
      <c r="LF211"/>
      <c r="LG211"/>
      <c r="LH211"/>
      <c r="LI211"/>
      <c r="LJ211"/>
      <c r="LK211"/>
      <c r="LL211"/>
      <c r="LM211"/>
      <c r="LN211"/>
      <c r="LO211"/>
      <c r="LP211"/>
      <c r="LQ211"/>
      <c r="LR211"/>
      <c r="LS211"/>
      <c r="LT211"/>
      <c r="LU211"/>
      <c r="LV211"/>
      <c r="LW211"/>
      <c r="LX211"/>
      <c r="LY211"/>
      <c r="LZ211"/>
      <c r="MA211"/>
      <c r="MB211"/>
      <c r="MC211"/>
      <c r="MD211"/>
      <c r="ME211"/>
      <c r="MF211"/>
      <c r="MG211"/>
      <c r="MH211"/>
      <c r="MI211"/>
      <c r="MJ211"/>
      <c r="MK211"/>
      <c r="ML211"/>
      <c r="MM211"/>
      <c r="MN211"/>
      <c r="MO211"/>
      <c r="MP211"/>
      <c r="MQ211"/>
      <c r="MR211"/>
      <c r="MS211"/>
      <c r="MT211"/>
      <c r="MU211"/>
      <c r="MV211"/>
      <c r="MW211"/>
      <c r="MX211"/>
      <c r="MY211"/>
      <c r="MZ211"/>
      <c r="NA211"/>
      <c r="NB211"/>
      <c r="NC211"/>
      <c r="ND211"/>
      <c r="NE211"/>
      <c r="NF211"/>
      <c r="NG211"/>
      <c r="NH211"/>
      <c r="NI211"/>
      <c r="NJ211"/>
      <c r="NK211"/>
      <c r="NL211"/>
      <c r="NM211"/>
      <c r="NN211"/>
      <c r="NO211"/>
      <c r="NP211"/>
      <c r="NQ211"/>
      <c r="NR211"/>
      <c r="NS211"/>
      <c r="NT211"/>
      <c r="NU211"/>
      <c r="NV211"/>
      <c r="NW211"/>
      <c r="NX211"/>
      <c r="NY211"/>
      <c r="NZ211"/>
      <c r="OA211"/>
      <c r="OB211"/>
      <c r="OC211"/>
      <c r="OD211"/>
      <c r="OE211"/>
      <c r="OF211"/>
      <c r="OG211"/>
      <c r="OH211"/>
      <c r="OI211"/>
      <c r="OJ211"/>
      <c r="OK211"/>
      <c r="OL211"/>
      <c r="OM211"/>
      <c r="ON211"/>
      <c r="OO211"/>
      <c r="OP211"/>
      <c r="OQ211"/>
      <c r="OR211"/>
      <c r="OS211"/>
      <c r="OT211"/>
      <c r="OU211"/>
      <c r="OV211"/>
      <c r="OW211"/>
      <c r="OX211"/>
      <c r="OY211"/>
      <c r="OZ211"/>
      <c r="PA211"/>
      <c r="PB211"/>
      <c r="PC211"/>
      <c r="PD211"/>
      <c r="PE211"/>
      <c r="PF211"/>
      <c r="PG211"/>
      <c r="PH211"/>
      <c r="PI211"/>
      <c r="PJ211"/>
      <c r="PK211"/>
      <c r="PL211"/>
      <c r="PM211"/>
      <c r="PN211"/>
      <c r="PO211"/>
      <c r="PP211"/>
      <c r="PQ211"/>
      <c r="PR211"/>
      <c r="PS211"/>
      <c r="PT211"/>
      <c r="PU211"/>
      <c r="PV211"/>
      <c r="PW211"/>
      <c r="PX211"/>
      <c r="PY211"/>
      <c r="PZ211"/>
      <c r="QA211"/>
      <c r="QB211"/>
      <c r="QC211"/>
      <c r="QD211"/>
      <c r="QE211"/>
      <c r="QF211"/>
      <c r="QG211"/>
      <c r="QH211"/>
      <c r="QI211"/>
      <c r="QJ211"/>
      <c r="QK211"/>
      <c r="QL211"/>
      <c r="QM211"/>
      <c r="QN211"/>
      <c r="QO211"/>
      <c r="QP211"/>
      <c r="QQ211"/>
      <c r="QR211"/>
      <c r="QS211"/>
      <c r="QT211"/>
      <c r="QU211"/>
      <c r="QV211"/>
      <c r="QW211"/>
      <c r="QX211"/>
      <c r="QY211"/>
      <c r="QZ211"/>
      <c r="RA211"/>
      <c r="RB211"/>
      <c r="RC211"/>
      <c r="RD211"/>
      <c r="RE211"/>
      <c r="RF211"/>
      <c r="RG211"/>
      <c r="RH211"/>
      <c r="RI211"/>
      <c r="RJ211"/>
      <c r="RK211"/>
      <c r="RL211"/>
      <c r="RM211"/>
      <c r="RN211"/>
      <c r="RO211"/>
      <c r="RP211"/>
      <c r="RQ211"/>
      <c r="RR211"/>
      <c r="RS211"/>
    </row>
    <row r="212" spans="3:487" x14ac:dyDescent="0.25">
      <c r="C212" s="2" t="s">
        <v>235</v>
      </c>
      <c r="D212" s="34">
        <v>1</v>
      </c>
      <c r="F212" s="2" t="s">
        <v>138</v>
      </c>
      <c r="G212" s="34">
        <v>1</v>
      </c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  <c r="BS212"/>
      <c r="BT212"/>
      <c r="BU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  <c r="CN212"/>
      <c r="CO212"/>
      <c r="CP212"/>
      <c r="CQ212"/>
      <c r="CR212"/>
      <c r="CS212"/>
      <c r="CT212"/>
      <c r="CU212"/>
      <c r="CV212"/>
      <c r="CW212"/>
      <c r="CX212"/>
      <c r="CY212"/>
      <c r="CZ212"/>
      <c r="DA212"/>
      <c r="DB212"/>
      <c r="DC212"/>
      <c r="DD212"/>
      <c r="DE212"/>
      <c r="DF212"/>
      <c r="DG212"/>
      <c r="DH212"/>
      <c r="DI212"/>
      <c r="DJ212"/>
      <c r="DK212"/>
      <c r="DL212"/>
      <c r="DM212"/>
      <c r="DN212"/>
      <c r="DO212"/>
      <c r="DP212"/>
      <c r="DQ212"/>
      <c r="DR212"/>
      <c r="DS212"/>
      <c r="DT212"/>
      <c r="DU212"/>
      <c r="DV212"/>
      <c r="DW212"/>
      <c r="DX212"/>
      <c r="DY212"/>
      <c r="DZ212"/>
      <c r="EA212"/>
      <c r="EB212"/>
      <c r="EC212"/>
      <c r="ED212"/>
      <c r="EE212"/>
      <c r="EF212"/>
      <c r="EG212"/>
      <c r="EH212"/>
      <c r="EI212"/>
      <c r="EJ212"/>
      <c r="EK212"/>
      <c r="EL212"/>
      <c r="EM212"/>
      <c r="EN212"/>
      <c r="EO212"/>
      <c r="EP212"/>
      <c r="EQ212"/>
      <c r="ER212"/>
      <c r="ES212"/>
      <c r="ET212"/>
      <c r="EU212"/>
      <c r="EV212"/>
      <c r="EW212"/>
      <c r="EX212"/>
      <c r="EY212"/>
      <c r="EZ212"/>
      <c r="FA212"/>
      <c r="FB212"/>
      <c r="FC212"/>
      <c r="FD212"/>
      <c r="FE212"/>
      <c r="FF212"/>
      <c r="FG212"/>
      <c r="FH212"/>
      <c r="FI212"/>
      <c r="FJ212"/>
      <c r="FK212"/>
      <c r="FL212"/>
      <c r="FM212"/>
      <c r="FN212"/>
      <c r="FO212"/>
      <c r="FP212"/>
      <c r="FQ212"/>
      <c r="FR212"/>
      <c r="FS212"/>
      <c r="FT212"/>
      <c r="FU212"/>
      <c r="FV212"/>
      <c r="FW212"/>
      <c r="FX212"/>
      <c r="FY212"/>
      <c r="FZ212"/>
      <c r="GA212"/>
      <c r="GB212"/>
      <c r="GC212"/>
      <c r="GD212"/>
      <c r="GE212"/>
      <c r="GF212"/>
      <c r="GG212"/>
      <c r="GH212"/>
      <c r="GI212"/>
      <c r="GJ212"/>
      <c r="GK212"/>
      <c r="GL212"/>
      <c r="GM212"/>
      <c r="GN212"/>
      <c r="GO212"/>
      <c r="GP212"/>
      <c r="GQ212"/>
      <c r="GR212"/>
      <c r="GS212"/>
      <c r="GT212"/>
      <c r="GU212"/>
      <c r="GV212"/>
      <c r="GW212"/>
      <c r="GX212"/>
      <c r="GY212"/>
      <c r="GZ212"/>
      <c r="HA212"/>
      <c r="HB212"/>
      <c r="HC212"/>
      <c r="HD212"/>
      <c r="HE212"/>
      <c r="HF212"/>
      <c r="HG212"/>
      <c r="HH212"/>
      <c r="HI212"/>
      <c r="HJ212"/>
      <c r="HK212"/>
      <c r="HL212"/>
      <c r="HM212"/>
      <c r="HN212"/>
      <c r="HO212"/>
      <c r="HP212"/>
      <c r="HQ212"/>
      <c r="HR212"/>
      <c r="HS212"/>
      <c r="HT212"/>
      <c r="HU212"/>
      <c r="HV212"/>
      <c r="HW212"/>
      <c r="HX212"/>
      <c r="HY212"/>
      <c r="HZ212"/>
      <c r="IA212"/>
      <c r="IB212"/>
      <c r="IC212"/>
      <c r="ID212"/>
      <c r="IE212"/>
      <c r="IF212"/>
      <c r="IG212"/>
      <c r="IH212"/>
      <c r="II212"/>
      <c r="IJ212"/>
      <c r="IK212"/>
      <c r="IL212"/>
      <c r="IM212"/>
      <c r="IN212"/>
      <c r="IO212"/>
      <c r="IP212"/>
      <c r="IQ212"/>
      <c r="IR212"/>
      <c r="IS212"/>
      <c r="IT212"/>
      <c r="IU212"/>
      <c r="IV212"/>
      <c r="IW212"/>
      <c r="IX212"/>
      <c r="IY212"/>
      <c r="IZ212"/>
      <c r="JA212"/>
      <c r="JB212"/>
      <c r="JC212"/>
      <c r="JD212"/>
      <c r="JE212"/>
      <c r="JF212"/>
      <c r="JG212"/>
      <c r="JH212"/>
      <c r="JI212"/>
      <c r="JJ212"/>
      <c r="JK212"/>
      <c r="JL212"/>
      <c r="JM212"/>
      <c r="JN212"/>
      <c r="JO212"/>
      <c r="JP212"/>
      <c r="JQ212"/>
      <c r="JR212"/>
      <c r="JS212"/>
      <c r="JT212"/>
      <c r="JU212"/>
      <c r="JV212"/>
      <c r="JW212"/>
      <c r="JX212"/>
      <c r="JY212"/>
      <c r="JZ212"/>
      <c r="KA212"/>
      <c r="KB212"/>
      <c r="KC212"/>
      <c r="KD212"/>
      <c r="KE212"/>
      <c r="KF212"/>
      <c r="KG212"/>
      <c r="KH212"/>
      <c r="KI212"/>
      <c r="KJ212"/>
      <c r="KK212"/>
      <c r="KL212"/>
      <c r="KM212"/>
      <c r="KN212"/>
      <c r="KO212"/>
      <c r="KP212"/>
      <c r="KQ212"/>
      <c r="KR212"/>
      <c r="KS212"/>
      <c r="KT212"/>
      <c r="KU212"/>
      <c r="KV212"/>
      <c r="KW212"/>
      <c r="KX212"/>
      <c r="KY212"/>
      <c r="KZ212"/>
      <c r="LA212"/>
      <c r="LB212"/>
      <c r="LC212"/>
      <c r="LD212"/>
      <c r="LE212"/>
      <c r="LF212"/>
      <c r="LG212"/>
      <c r="LH212"/>
      <c r="LI212"/>
      <c r="LJ212"/>
      <c r="LK212"/>
      <c r="LL212"/>
      <c r="LM212"/>
      <c r="LN212"/>
      <c r="LO212"/>
      <c r="LP212"/>
      <c r="LQ212"/>
      <c r="LR212"/>
      <c r="LS212"/>
      <c r="LT212"/>
      <c r="LU212"/>
      <c r="LV212"/>
      <c r="LW212"/>
      <c r="LX212"/>
      <c r="LY212"/>
      <c r="LZ212"/>
      <c r="MA212"/>
      <c r="MB212"/>
      <c r="MC212"/>
      <c r="MD212"/>
      <c r="ME212"/>
      <c r="MF212"/>
      <c r="MG212"/>
      <c r="MH212"/>
      <c r="MI212"/>
      <c r="MJ212"/>
      <c r="MK212"/>
      <c r="ML212"/>
      <c r="MM212"/>
      <c r="MN212"/>
      <c r="MO212"/>
      <c r="MP212"/>
      <c r="MQ212"/>
      <c r="MR212"/>
      <c r="MS212"/>
      <c r="MT212"/>
      <c r="MU212"/>
      <c r="MV212"/>
      <c r="MW212"/>
      <c r="MX212"/>
      <c r="MY212"/>
      <c r="MZ212"/>
      <c r="NA212"/>
      <c r="NB212"/>
      <c r="NC212"/>
      <c r="ND212"/>
      <c r="NE212"/>
      <c r="NF212"/>
      <c r="NG212"/>
      <c r="NH212"/>
      <c r="NI212"/>
      <c r="NJ212"/>
      <c r="NK212"/>
      <c r="NL212"/>
      <c r="NM212"/>
      <c r="NN212"/>
      <c r="NO212"/>
      <c r="NP212"/>
      <c r="NQ212"/>
      <c r="NR212"/>
      <c r="NS212"/>
      <c r="NT212"/>
      <c r="NU212"/>
      <c r="NV212"/>
      <c r="NW212"/>
      <c r="NX212"/>
      <c r="NY212"/>
      <c r="NZ212"/>
      <c r="OA212"/>
      <c r="OB212"/>
      <c r="OC212"/>
      <c r="OD212"/>
      <c r="OE212"/>
      <c r="OF212"/>
      <c r="OG212"/>
      <c r="OH212"/>
      <c r="OI212"/>
      <c r="OJ212"/>
      <c r="OK212"/>
      <c r="OL212"/>
      <c r="OM212"/>
      <c r="ON212"/>
      <c r="OO212"/>
      <c r="OP212"/>
      <c r="OQ212"/>
      <c r="OR212"/>
      <c r="OS212"/>
      <c r="OT212"/>
      <c r="OU212"/>
      <c r="OV212"/>
      <c r="OW212"/>
      <c r="OX212"/>
      <c r="OY212"/>
      <c r="OZ212"/>
      <c r="PA212"/>
      <c r="PB212"/>
      <c r="PC212"/>
      <c r="PD212"/>
      <c r="PE212"/>
      <c r="PF212"/>
      <c r="PG212"/>
      <c r="PH212"/>
      <c r="PI212"/>
      <c r="PJ212"/>
      <c r="PK212"/>
      <c r="PL212"/>
      <c r="PM212"/>
      <c r="PN212"/>
      <c r="PO212"/>
      <c r="PP212"/>
      <c r="PQ212"/>
      <c r="PR212"/>
      <c r="PS212"/>
      <c r="PT212"/>
      <c r="PU212"/>
      <c r="PV212"/>
      <c r="PW212"/>
      <c r="PX212"/>
      <c r="PY212"/>
      <c r="PZ212"/>
      <c r="QA212"/>
      <c r="QB212"/>
      <c r="QC212"/>
      <c r="QD212"/>
      <c r="QE212"/>
      <c r="QF212"/>
      <c r="QG212"/>
      <c r="QH212"/>
      <c r="QI212"/>
      <c r="QJ212"/>
      <c r="QK212"/>
      <c r="QL212"/>
      <c r="QM212"/>
      <c r="QN212"/>
      <c r="QO212"/>
      <c r="QP212"/>
      <c r="QQ212"/>
      <c r="QR212"/>
      <c r="QS212"/>
      <c r="QT212"/>
      <c r="QU212"/>
      <c r="QV212"/>
      <c r="QW212"/>
      <c r="QX212"/>
      <c r="QY212"/>
      <c r="QZ212"/>
      <c r="RA212"/>
      <c r="RB212"/>
      <c r="RC212"/>
      <c r="RD212"/>
      <c r="RE212"/>
      <c r="RF212"/>
      <c r="RG212"/>
      <c r="RH212"/>
      <c r="RI212"/>
      <c r="RJ212"/>
      <c r="RK212"/>
      <c r="RL212"/>
      <c r="RM212"/>
      <c r="RN212"/>
      <c r="RO212"/>
      <c r="RP212"/>
      <c r="RQ212"/>
      <c r="RR212"/>
      <c r="RS212"/>
    </row>
    <row r="213" spans="3:487" x14ac:dyDescent="0.25">
      <c r="C213" s="2" t="s">
        <v>327</v>
      </c>
      <c r="D213" s="34">
        <v>1</v>
      </c>
      <c r="F213" s="2" t="s">
        <v>136</v>
      </c>
      <c r="G213" s="34">
        <v>1</v>
      </c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  <c r="CN213"/>
      <c r="CO213"/>
      <c r="CP213"/>
      <c r="CQ213"/>
      <c r="CR213"/>
      <c r="CS213"/>
      <c r="CT213"/>
      <c r="CU213"/>
      <c r="CV213"/>
      <c r="CW213"/>
      <c r="CX213"/>
      <c r="CY213"/>
      <c r="CZ213"/>
      <c r="DA213"/>
      <c r="DB213"/>
      <c r="DC213"/>
      <c r="DD213"/>
      <c r="DE213"/>
      <c r="DF213"/>
      <c r="DG213"/>
      <c r="DH213"/>
      <c r="DI213"/>
      <c r="DJ213"/>
      <c r="DK213"/>
      <c r="DL213"/>
      <c r="DM213"/>
      <c r="DN213"/>
      <c r="DO213"/>
      <c r="DP213"/>
      <c r="DQ213"/>
      <c r="DR213"/>
      <c r="DS213"/>
      <c r="DT213"/>
      <c r="DU213"/>
      <c r="DV213"/>
      <c r="DW213"/>
      <c r="DX213"/>
      <c r="DY213"/>
      <c r="DZ213"/>
      <c r="EA213"/>
      <c r="EB213"/>
      <c r="EC213"/>
      <c r="ED213"/>
      <c r="EE213"/>
      <c r="EF213"/>
      <c r="EG213"/>
      <c r="EH213"/>
      <c r="EI213"/>
      <c r="EJ213"/>
      <c r="EK213"/>
      <c r="EL213"/>
      <c r="EM213"/>
      <c r="EN213"/>
      <c r="EO213"/>
      <c r="EP213"/>
      <c r="EQ213"/>
      <c r="ER213"/>
      <c r="ES213"/>
      <c r="ET213"/>
      <c r="EU213"/>
      <c r="EV213"/>
      <c r="EW213"/>
      <c r="EX213"/>
      <c r="EY213"/>
      <c r="EZ213"/>
      <c r="FA213"/>
      <c r="FB213"/>
      <c r="FC213"/>
      <c r="FD213"/>
      <c r="FE213"/>
      <c r="FF213"/>
      <c r="FG213"/>
      <c r="FH213"/>
      <c r="FI213"/>
      <c r="FJ213"/>
      <c r="FK213"/>
      <c r="FL213"/>
      <c r="FM213"/>
      <c r="FN213"/>
      <c r="FO213"/>
      <c r="FP213"/>
      <c r="FQ213"/>
      <c r="FR213"/>
      <c r="FS213"/>
      <c r="FT213"/>
      <c r="FU213"/>
      <c r="FV213"/>
      <c r="FW213"/>
      <c r="FX213"/>
      <c r="FY213"/>
      <c r="FZ213"/>
      <c r="GA213"/>
      <c r="GB213"/>
      <c r="GC213"/>
      <c r="GD213"/>
      <c r="GE213"/>
      <c r="GF213"/>
      <c r="GG213"/>
      <c r="GH213"/>
      <c r="GI213"/>
      <c r="GJ213"/>
      <c r="GK213"/>
      <c r="GL213"/>
      <c r="GM213"/>
      <c r="GN213"/>
      <c r="GO213"/>
      <c r="GP213"/>
      <c r="GQ213"/>
      <c r="GR213"/>
      <c r="GS213"/>
      <c r="GT213"/>
      <c r="GU213"/>
      <c r="GV213"/>
      <c r="GW213"/>
      <c r="GX213"/>
      <c r="GY213"/>
      <c r="GZ213"/>
      <c r="HA213"/>
      <c r="HB213"/>
      <c r="HC213"/>
      <c r="HD213"/>
      <c r="HE213"/>
      <c r="HF213"/>
      <c r="HG213"/>
      <c r="HH213"/>
      <c r="HI213"/>
      <c r="HJ213"/>
      <c r="HK213"/>
      <c r="HL213"/>
      <c r="HM213"/>
      <c r="HN213"/>
      <c r="HO213"/>
      <c r="HP213"/>
      <c r="HQ213"/>
      <c r="HR213"/>
      <c r="HS213"/>
      <c r="HT213"/>
      <c r="HU213"/>
      <c r="HV213"/>
      <c r="HW213"/>
      <c r="HX213"/>
      <c r="HY213"/>
      <c r="HZ213"/>
      <c r="IA213"/>
      <c r="IB213"/>
      <c r="IC213"/>
      <c r="ID213"/>
      <c r="IE213"/>
      <c r="IF213"/>
      <c r="IG213"/>
      <c r="IH213"/>
      <c r="II213"/>
      <c r="IJ213"/>
      <c r="IK213"/>
      <c r="IL213"/>
      <c r="IM213"/>
      <c r="IN213"/>
      <c r="IO213"/>
      <c r="IP213"/>
      <c r="IQ213"/>
      <c r="IR213"/>
      <c r="IS213"/>
      <c r="IT213"/>
      <c r="IU213"/>
      <c r="IV213"/>
      <c r="IW213"/>
      <c r="IX213"/>
      <c r="IY213"/>
      <c r="IZ213"/>
      <c r="JA213"/>
      <c r="JB213"/>
      <c r="JC213"/>
      <c r="JD213"/>
      <c r="JE213"/>
      <c r="JF213"/>
      <c r="JG213"/>
      <c r="JH213"/>
      <c r="JI213"/>
      <c r="JJ213"/>
      <c r="JK213"/>
      <c r="JL213"/>
      <c r="JM213"/>
      <c r="JN213"/>
      <c r="JO213"/>
      <c r="JP213"/>
      <c r="JQ213"/>
      <c r="JR213"/>
      <c r="JS213"/>
      <c r="JT213"/>
      <c r="JU213"/>
      <c r="JV213"/>
      <c r="JW213"/>
      <c r="JX213"/>
      <c r="JY213"/>
      <c r="JZ213"/>
      <c r="KA213"/>
      <c r="KB213"/>
      <c r="KC213"/>
      <c r="KD213"/>
      <c r="KE213"/>
      <c r="KF213"/>
      <c r="KG213"/>
      <c r="KH213"/>
      <c r="KI213"/>
      <c r="KJ213"/>
      <c r="KK213"/>
      <c r="KL213"/>
      <c r="KM213"/>
      <c r="KN213"/>
      <c r="KO213"/>
      <c r="KP213"/>
      <c r="KQ213"/>
      <c r="KR213"/>
      <c r="KS213"/>
      <c r="KT213"/>
      <c r="KU213"/>
      <c r="KV213"/>
      <c r="KW213"/>
      <c r="KX213"/>
      <c r="KY213"/>
      <c r="KZ213"/>
      <c r="LA213"/>
      <c r="LB213"/>
      <c r="LC213"/>
      <c r="LD213"/>
      <c r="LE213"/>
      <c r="LF213"/>
      <c r="LG213"/>
      <c r="LH213"/>
      <c r="LI213"/>
      <c r="LJ213"/>
      <c r="LK213"/>
      <c r="LL213"/>
      <c r="LM213"/>
      <c r="LN213"/>
      <c r="LO213"/>
      <c r="LP213"/>
      <c r="LQ213"/>
      <c r="LR213"/>
      <c r="LS213"/>
      <c r="LT213"/>
      <c r="LU213"/>
      <c r="LV213"/>
      <c r="LW213"/>
      <c r="LX213"/>
      <c r="LY213"/>
      <c r="LZ213"/>
      <c r="MA213"/>
      <c r="MB213"/>
      <c r="MC213"/>
      <c r="MD213"/>
      <c r="ME213"/>
      <c r="MF213"/>
      <c r="MG213"/>
      <c r="MH213"/>
      <c r="MI213"/>
      <c r="MJ213"/>
      <c r="MK213"/>
      <c r="ML213"/>
      <c r="MM213"/>
      <c r="MN213"/>
      <c r="MO213"/>
      <c r="MP213"/>
      <c r="MQ213"/>
      <c r="MR213"/>
      <c r="MS213"/>
      <c r="MT213"/>
      <c r="MU213"/>
      <c r="MV213"/>
      <c r="MW213"/>
      <c r="MX213"/>
      <c r="MY213"/>
      <c r="MZ213"/>
      <c r="NA213"/>
      <c r="NB213"/>
      <c r="NC213"/>
      <c r="ND213"/>
      <c r="NE213"/>
      <c r="NF213"/>
      <c r="NG213"/>
      <c r="NH213"/>
      <c r="NI213"/>
      <c r="NJ213"/>
      <c r="NK213"/>
      <c r="NL213"/>
      <c r="NM213"/>
      <c r="NN213"/>
      <c r="NO213"/>
      <c r="NP213"/>
      <c r="NQ213"/>
      <c r="NR213"/>
      <c r="NS213"/>
      <c r="NT213"/>
      <c r="NU213"/>
      <c r="NV213"/>
      <c r="NW213"/>
      <c r="NX213"/>
      <c r="NY213"/>
      <c r="NZ213"/>
      <c r="OA213"/>
      <c r="OB213"/>
      <c r="OC213"/>
      <c r="OD213"/>
      <c r="OE213"/>
      <c r="OF213"/>
      <c r="OG213"/>
      <c r="OH213"/>
      <c r="OI213"/>
      <c r="OJ213"/>
      <c r="OK213"/>
      <c r="OL213"/>
      <c r="OM213"/>
      <c r="ON213"/>
      <c r="OO213"/>
      <c r="OP213"/>
      <c r="OQ213"/>
      <c r="OR213"/>
      <c r="OS213"/>
      <c r="OT213"/>
      <c r="OU213"/>
      <c r="OV213"/>
      <c r="OW213"/>
      <c r="OX213"/>
      <c r="OY213"/>
      <c r="OZ213"/>
      <c r="PA213"/>
      <c r="PB213"/>
      <c r="PC213"/>
      <c r="PD213"/>
      <c r="PE213"/>
      <c r="PF213"/>
      <c r="PG213"/>
      <c r="PH213"/>
      <c r="PI213"/>
      <c r="PJ213"/>
      <c r="PK213"/>
      <c r="PL213"/>
      <c r="PM213"/>
      <c r="PN213"/>
      <c r="PO213"/>
      <c r="PP213"/>
      <c r="PQ213"/>
      <c r="PR213"/>
      <c r="PS213"/>
      <c r="PT213"/>
      <c r="PU213"/>
      <c r="PV213"/>
      <c r="PW213"/>
      <c r="PX213"/>
      <c r="PY213"/>
      <c r="PZ213"/>
      <c r="QA213"/>
      <c r="QB213"/>
      <c r="QC213"/>
      <c r="QD213"/>
      <c r="QE213"/>
      <c r="QF213"/>
      <c r="QG213"/>
      <c r="QH213"/>
      <c r="QI213"/>
      <c r="QJ213"/>
      <c r="QK213"/>
      <c r="QL213"/>
      <c r="QM213"/>
      <c r="QN213"/>
      <c r="QO213"/>
      <c r="QP213"/>
      <c r="QQ213"/>
      <c r="QR213"/>
      <c r="QS213"/>
      <c r="QT213"/>
      <c r="QU213"/>
      <c r="QV213"/>
      <c r="QW213"/>
      <c r="QX213"/>
      <c r="QY213"/>
      <c r="QZ213"/>
      <c r="RA213"/>
      <c r="RB213"/>
      <c r="RC213"/>
      <c r="RD213"/>
      <c r="RE213"/>
      <c r="RF213"/>
      <c r="RG213"/>
      <c r="RH213"/>
      <c r="RI213"/>
      <c r="RJ213"/>
      <c r="RK213"/>
      <c r="RL213"/>
      <c r="RM213"/>
      <c r="RN213"/>
      <c r="RO213"/>
      <c r="RP213"/>
      <c r="RQ213"/>
      <c r="RR213"/>
      <c r="RS213"/>
    </row>
    <row r="214" spans="3:487" x14ac:dyDescent="0.25">
      <c r="C214" s="2" t="s">
        <v>177</v>
      </c>
      <c r="D214" s="34">
        <v>1</v>
      </c>
      <c r="F214" s="2" t="s">
        <v>604</v>
      </c>
      <c r="G214" s="34">
        <v>1</v>
      </c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  <c r="BS214"/>
      <c r="BT214"/>
      <c r="BU214"/>
      <c r="BV214"/>
      <c r="BW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  <c r="CN214"/>
      <c r="CO214"/>
      <c r="CP214"/>
      <c r="CQ214"/>
      <c r="CR214"/>
      <c r="CS214"/>
      <c r="CT214"/>
      <c r="CU214"/>
      <c r="CV214"/>
      <c r="CW214"/>
      <c r="CX214"/>
      <c r="CY214"/>
      <c r="CZ214"/>
      <c r="DA214"/>
      <c r="DB214"/>
      <c r="DC214"/>
      <c r="DD214"/>
      <c r="DE214"/>
      <c r="DF214"/>
      <c r="DG214"/>
      <c r="DH214"/>
      <c r="DI214"/>
      <c r="DJ214"/>
      <c r="DK214"/>
      <c r="DL214"/>
      <c r="DM214"/>
      <c r="DN214"/>
      <c r="DO214"/>
      <c r="DP214"/>
      <c r="DQ214"/>
      <c r="DR214"/>
      <c r="DS214"/>
      <c r="DT214"/>
      <c r="DU214"/>
      <c r="DV214"/>
      <c r="DW214"/>
      <c r="DX214"/>
      <c r="DY214"/>
      <c r="DZ214"/>
      <c r="EA214"/>
      <c r="EB214"/>
      <c r="EC214"/>
      <c r="ED214"/>
      <c r="EE214"/>
      <c r="EF214"/>
      <c r="EG214"/>
      <c r="EH214"/>
      <c r="EI214"/>
      <c r="EJ214"/>
      <c r="EK214"/>
      <c r="EL214"/>
      <c r="EM214"/>
      <c r="EN214"/>
      <c r="EO214"/>
      <c r="EP214"/>
      <c r="EQ214"/>
      <c r="ER214"/>
      <c r="ES214"/>
      <c r="ET214"/>
      <c r="EU214"/>
      <c r="EV214"/>
      <c r="EW214"/>
      <c r="EX214"/>
      <c r="EY214"/>
      <c r="EZ214"/>
      <c r="FA214"/>
      <c r="FB214"/>
      <c r="FC214"/>
      <c r="FD214"/>
      <c r="FE214"/>
      <c r="FF214"/>
      <c r="FG214"/>
      <c r="FH214"/>
      <c r="FI214"/>
      <c r="FJ214"/>
      <c r="FK214"/>
      <c r="FL214"/>
      <c r="FM214"/>
      <c r="FN214"/>
      <c r="FO214"/>
      <c r="FP214"/>
      <c r="FQ214"/>
      <c r="FR214"/>
      <c r="FS214"/>
      <c r="FT214"/>
      <c r="FU214"/>
      <c r="FV214"/>
      <c r="FW214"/>
      <c r="FX214"/>
      <c r="FY214"/>
      <c r="FZ214"/>
      <c r="GA214"/>
      <c r="GB214"/>
      <c r="GC214"/>
      <c r="GD214"/>
      <c r="GE214"/>
      <c r="GF214"/>
      <c r="GG214"/>
      <c r="GH214"/>
      <c r="GI214"/>
      <c r="GJ214"/>
      <c r="GK214"/>
      <c r="GL214"/>
      <c r="GM214"/>
      <c r="GN214"/>
      <c r="GO214"/>
      <c r="GP214"/>
      <c r="GQ214"/>
      <c r="GR214"/>
      <c r="GS214"/>
      <c r="GT214"/>
      <c r="GU214"/>
      <c r="GV214"/>
      <c r="GW214"/>
      <c r="GX214"/>
      <c r="GY214"/>
      <c r="GZ214"/>
      <c r="HA214"/>
      <c r="HB214"/>
      <c r="HC214"/>
      <c r="HD214"/>
      <c r="HE214"/>
      <c r="HF214"/>
      <c r="HG214"/>
      <c r="HH214"/>
      <c r="HI214"/>
      <c r="HJ214"/>
      <c r="HK214"/>
      <c r="HL214"/>
      <c r="HM214"/>
      <c r="HN214"/>
      <c r="HO214"/>
      <c r="HP214"/>
      <c r="HQ214"/>
      <c r="HR214"/>
      <c r="HS214"/>
      <c r="HT214"/>
      <c r="HU214"/>
      <c r="HV214"/>
      <c r="HW214"/>
      <c r="HX214"/>
      <c r="HY214"/>
      <c r="HZ214"/>
      <c r="IA214"/>
      <c r="IB214"/>
      <c r="IC214"/>
      <c r="ID214"/>
      <c r="IE214"/>
      <c r="IF214"/>
      <c r="IG214"/>
      <c r="IH214"/>
      <c r="II214"/>
      <c r="IJ214"/>
      <c r="IK214"/>
      <c r="IL214"/>
      <c r="IM214"/>
      <c r="IN214"/>
      <c r="IO214"/>
      <c r="IP214"/>
      <c r="IQ214"/>
      <c r="IR214"/>
      <c r="IS214"/>
      <c r="IT214"/>
      <c r="IU214"/>
      <c r="IV214"/>
      <c r="IW214"/>
      <c r="IX214"/>
      <c r="IY214"/>
      <c r="IZ214"/>
      <c r="JA214"/>
      <c r="JB214"/>
      <c r="JC214"/>
      <c r="JD214"/>
      <c r="JE214"/>
      <c r="JF214"/>
      <c r="JG214"/>
      <c r="JH214"/>
      <c r="JI214"/>
      <c r="JJ214"/>
      <c r="JK214"/>
      <c r="JL214"/>
      <c r="JM214"/>
      <c r="JN214"/>
      <c r="JO214"/>
      <c r="JP214"/>
      <c r="JQ214"/>
      <c r="JR214"/>
      <c r="JS214"/>
      <c r="JT214"/>
      <c r="JU214"/>
      <c r="JV214"/>
      <c r="JW214"/>
      <c r="JX214"/>
      <c r="JY214"/>
      <c r="JZ214"/>
      <c r="KA214"/>
      <c r="KB214"/>
      <c r="KC214"/>
      <c r="KD214"/>
      <c r="KE214"/>
      <c r="KF214"/>
      <c r="KG214"/>
      <c r="KH214"/>
      <c r="KI214"/>
      <c r="KJ214"/>
      <c r="KK214"/>
      <c r="KL214"/>
      <c r="KM214"/>
      <c r="KN214"/>
      <c r="KO214"/>
      <c r="KP214"/>
      <c r="KQ214"/>
      <c r="KR214"/>
      <c r="KS214"/>
      <c r="KT214"/>
      <c r="KU214"/>
      <c r="KV214"/>
      <c r="KW214"/>
      <c r="KX214"/>
      <c r="KY214"/>
      <c r="KZ214"/>
      <c r="LA214"/>
      <c r="LB214"/>
      <c r="LC214"/>
      <c r="LD214"/>
      <c r="LE214"/>
      <c r="LF214"/>
      <c r="LG214"/>
      <c r="LH214"/>
      <c r="LI214"/>
      <c r="LJ214"/>
      <c r="LK214"/>
      <c r="LL214"/>
      <c r="LM214"/>
      <c r="LN214"/>
      <c r="LO214"/>
      <c r="LP214"/>
      <c r="LQ214"/>
      <c r="LR214"/>
      <c r="LS214"/>
      <c r="LT214"/>
      <c r="LU214"/>
      <c r="LV214"/>
      <c r="LW214"/>
      <c r="LX214"/>
      <c r="LY214"/>
      <c r="LZ214"/>
      <c r="MA214"/>
      <c r="MB214"/>
      <c r="MC214"/>
      <c r="MD214"/>
      <c r="ME214"/>
      <c r="MF214"/>
      <c r="MG214"/>
      <c r="MH214"/>
      <c r="MI214"/>
      <c r="MJ214"/>
      <c r="MK214"/>
      <c r="ML214"/>
      <c r="MM214"/>
      <c r="MN214"/>
      <c r="MO214"/>
      <c r="MP214"/>
      <c r="MQ214"/>
      <c r="MR214"/>
      <c r="MS214"/>
      <c r="MT214"/>
      <c r="MU214"/>
      <c r="MV214"/>
      <c r="MW214"/>
      <c r="MX214"/>
      <c r="MY214"/>
      <c r="MZ214"/>
      <c r="NA214"/>
      <c r="NB214"/>
      <c r="NC214"/>
      <c r="ND214"/>
      <c r="NE214"/>
      <c r="NF214"/>
      <c r="NG214"/>
      <c r="NH214"/>
      <c r="NI214"/>
      <c r="NJ214"/>
      <c r="NK214"/>
      <c r="NL214"/>
      <c r="NM214"/>
      <c r="NN214"/>
      <c r="NO214"/>
      <c r="NP214"/>
      <c r="NQ214"/>
      <c r="NR214"/>
      <c r="NS214"/>
      <c r="NT214"/>
      <c r="NU214"/>
      <c r="NV214"/>
      <c r="NW214"/>
      <c r="NX214"/>
      <c r="NY214"/>
      <c r="NZ214"/>
      <c r="OA214"/>
      <c r="OB214"/>
      <c r="OC214"/>
      <c r="OD214"/>
      <c r="OE214"/>
      <c r="OF214"/>
      <c r="OG214"/>
      <c r="OH214"/>
      <c r="OI214"/>
      <c r="OJ214"/>
      <c r="OK214"/>
      <c r="OL214"/>
      <c r="OM214"/>
      <c r="ON214"/>
      <c r="OO214"/>
      <c r="OP214"/>
      <c r="OQ214"/>
      <c r="OR214"/>
      <c r="OS214"/>
      <c r="OT214"/>
      <c r="OU214"/>
      <c r="OV214"/>
      <c r="OW214"/>
      <c r="OX214"/>
      <c r="OY214"/>
      <c r="OZ214"/>
      <c r="PA214"/>
      <c r="PB214"/>
      <c r="PC214"/>
      <c r="PD214"/>
      <c r="PE214"/>
      <c r="PF214"/>
      <c r="PG214"/>
      <c r="PH214"/>
      <c r="PI214"/>
      <c r="PJ214"/>
      <c r="PK214"/>
      <c r="PL214"/>
      <c r="PM214"/>
      <c r="PN214"/>
      <c r="PO214"/>
      <c r="PP214"/>
      <c r="PQ214"/>
      <c r="PR214"/>
      <c r="PS214"/>
      <c r="PT214"/>
      <c r="PU214"/>
      <c r="PV214"/>
      <c r="PW214"/>
      <c r="PX214"/>
      <c r="PY214"/>
      <c r="PZ214"/>
      <c r="QA214"/>
      <c r="QB214"/>
      <c r="QC214"/>
      <c r="QD214"/>
      <c r="QE214"/>
      <c r="QF214"/>
      <c r="QG214"/>
      <c r="QH214"/>
      <c r="QI214"/>
      <c r="QJ214"/>
      <c r="QK214"/>
      <c r="QL214"/>
      <c r="QM214"/>
      <c r="QN214"/>
      <c r="QO214"/>
      <c r="QP214"/>
      <c r="QQ214"/>
      <c r="QR214"/>
      <c r="QS214"/>
      <c r="QT214"/>
      <c r="QU214"/>
      <c r="QV214"/>
      <c r="QW214"/>
      <c r="QX214"/>
      <c r="QY214"/>
      <c r="QZ214"/>
      <c r="RA214"/>
      <c r="RB214"/>
      <c r="RC214"/>
      <c r="RD214"/>
      <c r="RE214"/>
      <c r="RF214"/>
      <c r="RG214"/>
      <c r="RH214"/>
      <c r="RI214"/>
      <c r="RJ214"/>
      <c r="RK214"/>
      <c r="RL214"/>
      <c r="RM214"/>
      <c r="RN214"/>
      <c r="RO214"/>
      <c r="RP214"/>
      <c r="RQ214"/>
      <c r="RR214"/>
      <c r="RS214"/>
    </row>
    <row r="215" spans="3:487" x14ac:dyDescent="0.25">
      <c r="C215" s="2" t="s">
        <v>3652</v>
      </c>
      <c r="D215" s="34">
        <v>1</v>
      </c>
      <c r="F215" s="2" t="s">
        <v>172</v>
      </c>
      <c r="G215" s="34">
        <v>1</v>
      </c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  <c r="BQ215"/>
      <c r="BR215"/>
      <c r="BS215"/>
      <c r="BT215"/>
      <c r="BU215"/>
      <c r="BV215"/>
      <c r="BW215"/>
      <c r="BX215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  <c r="CN215"/>
      <c r="CO215"/>
      <c r="CP215"/>
      <c r="CQ215"/>
      <c r="CR215"/>
      <c r="CS215"/>
      <c r="CT215"/>
      <c r="CU215"/>
      <c r="CV215"/>
      <c r="CW215"/>
      <c r="CX215"/>
      <c r="CY215"/>
      <c r="CZ215"/>
      <c r="DA215"/>
      <c r="DB215"/>
      <c r="DC215"/>
      <c r="DD215"/>
      <c r="DE215"/>
      <c r="DF215"/>
      <c r="DG215"/>
      <c r="DH215"/>
      <c r="DI215"/>
      <c r="DJ215"/>
      <c r="DK215"/>
      <c r="DL215"/>
      <c r="DM215"/>
      <c r="DN215"/>
      <c r="DO215"/>
      <c r="DP215"/>
      <c r="DQ215"/>
      <c r="DR215"/>
      <c r="DS215"/>
      <c r="DT215"/>
      <c r="DU215"/>
      <c r="DV215"/>
      <c r="DW215"/>
      <c r="DX215"/>
      <c r="DY215"/>
      <c r="DZ215"/>
      <c r="EA215"/>
      <c r="EB215"/>
      <c r="EC215"/>
      <c r="ED215"/>
      <c r="EE215"/>
      <c r="EF215"/>
      <c r="EG215"/>
      <c r="EH215"/>
      <c r="EI215"/>
      <c r="EJ215"/>
      <c r="EK215"/>
      <c r="EL215"/>
      <c r="EM215"/>
      <c r="EN215"/>
      <c r="EO215"/>
      <c r="EP215"/>
      <c r="EQ215"/>
      <c r="ER215"/>
      <c r="ES215"/>
      <c r="ET215"/>
      <c r="EU215"/>
      <c r="EV215"/>
      <c r="EW215"/>
      <c r="EX215"/>
      <c r="EY215"/>
      <c r="EZ215"/>
      <c r="FA215"/>
      <c r="FB215"/>
      <c r="FC215"/>
      <c r="FD215"/>
      <c r="FE215"/>
      <c r="FF215"/>
      <c r="FG215"/>
      <c r="FH215"/>
      <c r="FI215"/>
      <c r="FJ215"/>
      <c r="FK215"/>
      <c r="FL215"/>
      <c r="FM215"/>
      <c r="FN215"/>
      <c r="FO215"/>
      <c r="FP215"/>
      <c r="FQ215"/>
      <c r="FR215"/>
      <c r="FS215"/>
      <c r="FT215"/>
      <c r="FU215"/>
      <c r="FV215"/>
      <c r="FW215"/>
      <c r="FX215"/>
      <c r="FY215"/>
      <c r="FZ215"/>
      <c r="GA215"/>
      <c r="GB215"/>
      <c r="GC215"/>
      <c r="GD215"/>
      <c r="GE215"/>
      <c r="GF215"/>
      <c r="GG215"/>
      <c r="GH215"/>
      <c r="GI215"/>
      <c r="GJ215"/>
      <c r="GK215"/>
      <c r="GL215"/>
      <c r="GM215"/>
      <c r="GN215"/>
      <c r="GO215"/>
      <c r="GP215"/>
      <c r="GQ215"/>
      <c r="GR215"/>
      <c r="GS215"/>
      <c r="GT215"/>
      <c r="GU215"/>
      <c r="GV215"/>
      <c r="GW215"/>
      <c r="GX215"/>
      <c r="GY215"/>
      <c r="GZ215"/>
      <c r="HA215"/>
      <c r="HB215"/>
      <c r="HC215"/>
      <c r="HD215"/>
      <c r="HE215"/>
      <c r="HF215"/>
      <c r="HG215"/>
      <c r="HH215"/>
      <c r="HI215"/>
      <c r="HJ215"/>
      <c r="HK215"/>
      <c r="HL215"/>
      <c r="HM215"/>
      <c r="HN215"/>
      <c r="HO215"/>
      <c r="HP215"/>
      <c r="HQ215"/>
      <c r="HR215"/>
      <c r="HS215"/>
      <c r="HT215"/>
      <c r="HU215"/>
      <c r="HV215"/>
      <c r="HW215"/>
      <c r="HX215"/>
      <c r="HY215"/>
      <c r="HZ215"/>
      <c r="IA215"/>
      <c r="IB215"/>
      <c r="IC215"/>
      <c r="ID215"/>
      <c r="IE215"/>
      <c r="IF215"/>
      <c r="IG215"/>
      <c r="IH215"/>
      <c r="II215"/>
      <c r="IJ215"/>
      <c r="IK215"/>
      <c r="IL215"/>
      <c r="IM215"/>
      <c r="IN215"/>
      <c r="IO215"/>
      <c r="IP215"/>
      <c r="IQ215"/>
      <c r="IR215"/>
      <c r="IS215"/>
      <c r="IT215"/>
      <c r="IU215"/>
      <c r="IV215"/>
      <c r="IW215"/>
      <c r="IX215"/>
      <c r="IY215"/>
      <c r="IZ215"/>
      <c r="JA215"/>
      <c r="JB215"/>
      <c r="JC215"/>
      <c r="JD215"/>
      <c r="JE215"/>
      <c r="JF215"/>
      <c r="JG215"/>
      <c r="JH215"/>
      <c r="JI215"/>
      <c r="JJ215"/>
      <c r="JK215"/>
      <c r="JL215"/>
      <c r="JM215"/>
      <c r="JN215"/>
      <c r="JO215"/>
      <c r="JP215"/>
      <c r="JQ215"/>
      <c r="JR215"/>
      <c r="JS215"/>
      <c r="JT215"/>
      <c r="JU215"/>
      <c r="JV215"/>
      <c r="JW215"/>
      <c r="JX215"/>
      <c r="JY215"/>
      <c r="JZ215"/>
      <c r="KA215"/>
      <c r="KB215"/>
      <c r="KC215"/>
      <c r="KD215"/>
      <c r="KE215"/>
      <c r="KF215"/>
      <c r="KG215"/>
      <c r="KH215"/>
      <c r="KI215"/>
      <c r="KJ215"/>
      <c r="KK215"/>
      <c r="KL215"/>
      <c r="KM215"/>
      <c r="KN215"/>
      <c r="KO215"/>
      <c r="KP215"/>
      <c r="KQ215"/>
      <c r="KR215"/>
      <c r="KS215"/>
      <c r="KT215"/>
      <c r="KU215"/>
      <c r="KV215"/>
      <c r="KW215"/>
      <c r="KX215"/>
      <c r="KY215"/>
      <c r="KZ215"/>
      <c r="LA215"/>
      <c r="LB215"/>
      <c r="LC215"/>
      <c r="LD215"/>
      <c r="LE215"/>
      <c r="LF215"/>
      <c r="LG215"/>
      <c r="LH215"/>
      <c r="LI215"/>
      <c r="LJ215"/>
      <c r="LK215"/>
      <c r="LL215"/>
      <c r="LM215"/>
      <c r="LN215"/>
      <c r="LO215"/>
      <c r="LP215"/>
      <c r="LQ215"/>
      <c r="LR215"/>
      <c r="LS215"/>
      <c r="LT215"/>
      <c r="LU215"/>
      <c r="LV215"/>
      <c r="LW215"/>
      <c r="LX215"/>
      <c r="LY215"/>
      <c r="LZ215"/>
      <c r="MA215"/>
      <c r="MB215"/>
      <c r="MC215"/>
      <c r="MD215"/>
      <c r="ME215"/>
      <c r="MF215"/>
      <c r="MG215"/>
      <c r="MH215"/>
      <c r="MI215"/>
      <c r="MJ215"/>
      <c r="MK215"/>
      <c r="ML215"/>
      <c r="MM215"/>
      <c r="MN215"/>
      <c r="MO215"/>
      <c r="MP215"/>
      <c r="MQ215"/>
      <c r="MR215"/>
      <c r="MS215"/>
      <c r="MT215"/>
      <c r="MU215"/>
      <c r="MV215"/>
      <c r="MW215"/>
      <c r="MX215"/>
      <c r="MY215"/>
      <c r="MZ215"/>
      <c r="NA215"/>
      <c r="NB215"/>
      <c r="NC215"/>
      <c r="ND215"/>
      <c r="NE215"/>
      <c r="NF215"/>
      <c r="NG215"/>
      <c r="NH215"/>
      <c r="NI215"/>
      <c r="NJ215"/>
      <c r="NK215"/>
      <c r="NL215"/>
      <c r="NM215"/>
      <c r="NN215"/>
      <c r="NO215"/>
      <c r="NP215"/>
      <c r="NQ215"/>
      <c r="NR215"/>
      <c r="NS215"/>
      <c r="NT215"/>
      <c r="NU215"/>
      <c r="NV215"/>
      <c r="NW215"/>
      <c r="NX215"/>
      <c r="NY215"/>
      <c r="NZ215"/>
      <c r="OA215"/>
      <c r="OB215"/>
      <c r="OC215"/>
      <c r="OD215"/>
      <c r="OE215"/>
      <c r="OF215"/>
      <c r="OG215"/>
      <c r="OH215"/>
      <c r="OI215"/>
      <c r="OJ215"/>
      <c r="OK215"/>
      <c r="OL215"/>
      <c r="OM215"/>
      <c r="ON215"/>
      <c r="OO215"/>
      <c r="OP215"/>
      <c r="OQ215"/>
      <c r="OR215"/>
      <c r="OS215"/>
      <c r="OT215"/>
      <c r="OU215"/>
      <c r="OV215"/>
      <c r="OW215"/>
      <c r="OX215"/>
      <c r="OY215"/>
      <c r="OZ215"/>
      <c r="PA215"/>
      <c r="PB215"/>
      <c r="PC215"/>
      <c r="PD215"/>
      <c r="PE215"/>
      <c r="PF215"/>
      <c r="PG215"/>
      <c r="PH215"/>
      <c r="PI215"/>
      <c r="PJ215"/>
      <c r="PK215"/>
      <c r="PL215"/>
      <c r="PM215"/>
      <c r="PN215"/>
      <c r="PO215"/>
      <c r="PP215"/>
      <c r="PQ215"/>
      <c r="PR215"/>
      <c r="PS215"/>
      <c r="PT215"/>
      <c r="PU215"/>
      <c r="PV215"/>
      <c r="PW215"/>
      <c r="PX215"/>
      <c r="PY215"/>
      <c r="PZ215"/>
      <c r="QA215"/>
      <c r="QB215"/>
      <c r="QC215"/>
      <c r="QD215"/>
      <c r="QE215"/>
      <c r="QF215"/>
      <c r="QG215"/>
      <c r="QH215"/>
      <c r="QI215"/>
      <c r="QJ215"/>
      <c r="QK215"/>
      <c r="QL215"/>
      <c r="QM215"/>
      <c r="QN215"/>
      <c r="QO215"/>
      <c r="QP215"/>
      <c r="QQ215"/>
      <c r="QR215"/>
      <c r="QS215"/>
      <c r="QT215"/>
      <c r="QU215"/>
      <c r="QV215"/>
      <c r="QW215"/>
      <c r="QX215"/>
      <c r="QY215"/>
      <c r="QZ215"/>
      <c r="RA215"/>
      <c r="RB215"/>
      <c r="RC215"/>
      <c r="RD215"/>
      <c r="RE215"/>
      <c r="RF215"/>
      <c r="RG215"/>
      <c r="RH215"/>
      <c r="RI215"/>
      <c r="RJ215"/>
      <c r="RK215"/>
      <c r="RL215"/>
      <c r="RM215"/>
      <c r="RN215"/>
      <c r="RO215"/>
      <c r="RP215"/>
      <c r="RQ215"/>
      <c r="RR215"/>
      <c r="RS215"/>
    </row>
    <row r="216" spans="3:487" x14ac:dyDescent="0.25">
      <c r="C216" s="2" t="s">
        <v>239</v>
      </c>
      <c r="D216" s="34">
        <v>1</v>
      </c>
      <c r="F216" s="2" t="s">
        <v>65</v>
      </c>
      <c r="G216" s="34">
        <v>462</v>
      </c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  <c r="BR216"/>
      <c r="BS216"/>
      <c r="BT216"/>
      <c r="BU216"/>
      <c r="BV216"/>
      <c r="BW216"/>
      <c r="BX216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  <c r="CN216"/>
      <c r="CO216"/>
      <c r="CP216"/>
      <c r="CQ216"/>
      <c r="CR216"/>
      <c r="CS216"/>
      <c r="CT216"/>
      <c r="CU216"/>
      <c r="CV216"/>
      <c r="CW216"/>
      <c r="CX216"/>
      <c r="CY216"/>
      <c r="CZ216"/>
      <c r="DA216"/>
      <c r="DB216"/>
      <c r="DC216"/>
      <c r="DD216"/>
      <c r="DE216"/>
      <c r="DF216"/>
      <c r="DG216"/>
      <c r="DH216"/>
      <c r="DI216"/>
      <c r="DJ216"/>
      <c r="DK216"/>
      <c r="DL216"/>
      <c r="DM216"/>
      <c r="DN216"/>
      <c r="DO216"/>
      <c r="DP216"/>
      <c r="DQ216"/>
      <c r="DR216"/>
      <c r="DS216"/>
      <c r="DT216"/>
      <c r="DU216"/>
      <c r="DV216"/>
      <c r="DW216"/>
      <c r="DX216"/>
      <c r="DY216"/>
      <c r="DZ216"/>
      <c r="EA216"/>
      <c r="EB216"/>
      <c r="EC216"/>
      <c r="ED216"/>
      <c r="EE216"/>
      <c r="EF216"/>
      <c r="EG216"/>
      <c r="EH216"/>
      <c r="EI216"/>
      <c r="EJ216"/>
      <c r="EK216"/>
      <c r="EL216"/>
      <c r="EM216"/>
      <c r="EN216"/>
      <c r="EO216"/>
      <c r="EP216"/>
      <c r="EQ216"/>
      <c r="ER216"/>
      <c r="ES216"/>
      <c r="ET216"/>
      <c r="EU216"/>
      <c r="EV216"/>
      <c r="EW216"/>
      <c r="EX216"/>
      <c r="EY216"/>
      <c r="EZ216"/>
      <c r="FA216"/>
      <c r="FB216"/>
      <c r="FC216"/>
      <c r="FD216"/>
      <c r="FE216"/>
      <c r="FF216"/>
      <c r="FG216"/>
      <c r="FH216"/>
      <c r="FI216"/>
      <c r="FJ216"/>
      <c r="FK216"/>
      <c r="FL216"/>
      <c r="FM216"/>
      <c r="FN216"/>
      <c r="FO216"/>
      <c r="FP216"/>
      <c r="FQ216"/>
      <c r="FR216"/>
      <c r="FS216"/>
      <c r="FT216"/>
      <c r="FU216"/>
      <c r="FV216"/>
      <c r="FW216"/>
      <c r="FX216"/>
      <c r="FY216"/>
      <c r="FZ216"/>
      <c r="GA216"/>
      <c r="GB216"/>
      <c r="GC216"/>
      <c r="GD216"/>
      <c r="GE216"/>
      <c r="GF216"/>
      <c r="GG216"/>
      <c r="GH216"/>
      <c r="GI216"/>
      <c r="GJ216"/>
      <c r="GK216"/>
      <c r="GL216"/>
      <c r="GM216"/>
      <c r="GN216"/>
      <c r="GO216"/>
      <c r="GP216"/>
      <c r="GQ216"/>
      <c r="GR216"/>
      <c r="GS216"/>
      <c r="GT216"/>
      <c r="GU216"/>
      <c r="GV216"/>
      <c r="GW216"/>
      <c r="GX216"/>
      <c r="GY216"/>
      <c r="GZ216"/>
      <c r="HA216"/>
      <c r="HB216"/>
      <c r="HC216"/>
      <c r="HD216"/>
      <c r="HE216"/>
      <c r="HF216"/>
      <c r="HG216"/>
      <c r="HH216"/>
      <c r="HI216"/>
      <c r="HJ216"/>
      <c r="HK216"/>
      <c r="HL216"/>
      <c r="HM216"/>
      <c r="HN216"/>
      <c r="HO216"/>
      <c r="HP216"/>
      <c r="HQ216"/>
      <c r="HR216"/>
      <c r="HS216"/>
      <c r="HT216"/>
      <c r="HU216"/>
      <c r="HV216"/>
      <c r="HW216"/>
      <c r="HX216"/>
      <c r="HY216"/>
      <c r="HZ216"/>
      <c r="IA216"/>
      <c r="IB216"/>
      <c r="IC216"/>
      <c r="ID216"/>
      <c r="IE216"/>
      <c r="IF216"/>
      <c r="IG216"/>
      <c r="IH216"/>
      <c r="II216"/>
      <c r="IJ216"/>
      <c r="IK216"/>
      <c r="IL216"/>
      <c r="IM216"/>
      <c r="IN216"/>
      <c r="IO216"/>
      <c r="IP216"/>
      <c r="IQ216"/>
      <c r="IR216"/>
      <c r="IS216"/>
      <c r="IT216"/>
      <c r="IU216"/>
      <c r="IV216"/>
      <c r="IW216"/>
      <c r="IX216"/>
      <c r="IY216"/>
      <c r="IZ216"/>
      <c r="JA216"/>
      <c r="JB216"/>
      <c r="JC216"/>
      <c r="JD216"/>
      <c r="JE216"/>
      <c r="JF216"/>
      <c r="JG216"/>
      <c r="JH216"/>
      <c r="JI216"/>
      <c r="JJ216"/>
      <c r="JK216"/>
      <c r="JL216"/>
      <c r="JM216"/>
      <c r="JN216"/>
      <c r="JO216"/>
      <c r="JP216"/>
      <c r="JQ216"/>
      <c r="JR216"/>
      <c r="JS216"/>
      <c r="JT216"/>
      <c r="JU216"/>
      <c r="JV216"/>
      <c r="JW216"/>
      <c r="JX216"/>
      <c r="JY216"/>
      <c r="JZ216"/>
      <c r="KA216"/>
      <c r="KB216"/>
      <c r="KC216"/>
      <c r="KD216"/>
      <c r="KE216"/>
      <c r="KF216"/>
      <c r="KG216"/>
      <c r="KH216"/>
      <c r="KI216"/>
      <c r="KJ216"/>
      <c r="KK216"/>
      <c r="KL216"/>
      <c r="KM216"/>
      <c r="KN216"/>
      <c r="KO216"/>
      <c r="KP216"/>
      <c r="KQ216"/>
      <c r="KR216"/>
      <c r="KS216"/>
      <c r="KT216"/>
      <c r="KU216"/>
      <c r="KV216"/>
      <c r="KW216"/>
      <c r="KX216"/>
      <c r="KY216"/>
      <c r="KZ216"/>
      <c r="LA216"/>
      <c r="LB216"/>
      <c r="LC216"/>
      <c r="LD216"/>
      <c r="LE216"/>
      <c r="LF216"/>
      <c r="LG216"/>
      <c r="LH216"/>
      <c r="LI216"/>
      <c r="LJ216"/>
      <c r="LK216"/>
      <c r="LL216"/>
      <c r="LM216"/>
      <c r="LN216"/>
      <c r="LO216"/>
      <c r="LP216"/>
      <c r="LQ216"/>
      <c r="LR216"/>
      <c r="LS216"/>
      <c r="LT216"/>
      <c r="LU216"/>
      <c r="LV216"/>
      <c r="LW216"/>
      <c r="LX216"/>
      <c r="LY216"/>
      <c r="LZ216"/>
      <c r="MA216"/>
      <c r="MB216"/>
      <c r="MC216"/>
      <c r="MD216"/>
      <c r="ME216"/>
      <c r="MF216"/>
      <c r="MG216"/>
      <c r="MH216"/>
      <c r="MI216"/>
      <c r="MJ216"/>
      <c r="MK216"/>
      <c r="ML216"/>
      <c r="MM216"/>
      <c r="MN216"/>
      <c r="MO216"/>
      <c r="MP216"/>
      <c r="MQ216"/>
      <c r="MR216"/>
      <c r="MS216"/>
      <c r="MT216"/>
      <c r="MU216"/>
      <c r="MV216"/>
      <c r="MW216"/>
      <c r="MX216"/>
      <c r="MY216"/>
      <c r="MZ216"/>
      <c r="NA216"/>
      <c r="NB216"/>
      <c r="NC216"/>
      <c r="ND216"/>
      <c r="NE216"/>
      <c r="NF216"/>
      <c r="NG216"/>
      <c r="NH216"/>
      <c r="NI216"/>
      <c r="NJ216"/>
      <c r="NK216"/>
      <c r="NL216"/>
      <c r="NM216"/>
      <c r="NN216"/>
      <c r="NO216"/>
      <c r="NP216"/>
      <c r="NQ216"/>
      <c r="NR216"/>
      <c r="NS216"/>
      <c r="NT216"/>
      <c r="NU216"/>
      <c r="NV216"/>
      <c r="NW216"/>
      <c r="NX216"/>
      <c r="NY216"/>
      <c r="NZ216"/>
      <c r="OA216"/>
      <c r="OB216"/>
      <c r="OC216"/>
      <c r="OD216"/>
      <c r="OE216"/>
      <c r="OF216"/>
      <c r="OG216"/>
      <c r="OH216"/>
      <c r="OI216"/>
      <c r="OJ216"/>
      <c r="OK216"/>
      <c r="OL216"/>
      <c r="OM216"/>
      <c r="ON216"/>
      <c r="OO216"/>
      <c r="OP216"/>
      <c r="OQ216"/>
      <c r="OR216"/>
      <c r="OS216"/>
      <c r="OT216"/>
      <c r="OU216"/>
      <c r="OV216"/>
      <c r="OW216"/>
      <c r="OX216"/>
      <c r="OY216"/>
      <c r="OZ216"/>
      <c r="PA216"/>
      <c r="PB216"/>
      <c r="PC216"/>
      <c r="PD216"/>
      <c r="PE216"/>
      <c r="PF216"/>
      <c r="PG216"/>
      <c r="PH216"/>
      <c r="PI216"/>
      <c r="PJ216"/>
      <c r="PK216"/>
      <c r="PL216"/>
      <c r="PM216"/>
      <c r="PN216"/>
      <c r="PO216"/>
      <c r="PP216"/>
      <c r="PQ216"/>
      <c r="PR216"/>
      <c r="PS216"/>
      <c r="PT216"/>
      <c r="PU216"/>
      <c r="PV216"/>
      <c r="PW216"/>
      <c r="PX216"/>
      <c r="PY216"/>
      <c r="PZ216"/>
      <c r="QA216"/>
      <c r="QB216"/>
      <c r="QC216"/>
      <c r="QD216"/>
      <c r="QE216"/>
      <c r="QF216"/>
      <c r="QG216"/>
      <c r="QH216"/>
      <c r="QI216"/>
      <c r="QJ216"/>
      <c r="QK216"/>
      <c r="QL216"/>
      <c r="QM216"/>
      <c r="QN216"/>
      <c r="QO216"/>
      <c r="QP216"/>
      <c r="QQ216"/>
      <c r="QR216"/>
      <c r="QS216"/>
      <c r="QT216"/>
      <c r="QU216"/>
      <c r="QV216"/>
      <c r="QW216"/>
      <c r="QX216"/>
      <c r="QY216"/>
      <c r="QZ216"/>
      <c r="RA216"/>
      <c r="RB216"/>
      <c r="RC216"/>
      <c r="RD216"/>
      <c r="RE216"/>
      <c r="RF216"/>
      <c r="RG216"/>
      <c r="RH216"/>
      <c r="RI216"/>
      <c r="RJ216"/>
      <c r="RK216"/>
      <c r="RL216"/>
      <c r="RM216"/>
      <c r="RN216"/>
      <c r="RO216"/>
      <c r="RP216"/>
      <c r="RQ216"/>
      <c r="RR216"/>
      <c r="RS216"/>
    </row>
    <row r="217" spans="3:487" x14ac:dyDescent="0.25">
      <c r="C217" s="2" t="s">
        <v>245</v>
      </c>
      <c r="D217" s="34">
        <v>1</v>
      </c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  <c r="BS217"/>
      <c r="BT217"/>
      <c r="BU217"/>
      <c r="BV217"/>
      <c r="BW217"/>
      <c r="BX217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  <c r="CN217"/>
      <c r="CO217"/>
      <c r="CP217"/>
      <c r="CQ217"/>
      <c r="CR217"/>
      <c r="CS217"/>
      <c r="CT217"/>
      <c r="CU217"/>
      <c r="CV217"/>
      <c r="CW217"/>
      <c r="CX217"/>
      <c r="CY217"/>
      <c r="CZ217"/>
      <c r="DA217"/>
      <c r="DB217"/>
      <c r="DC217"/>
      <c r="DD217"/>
      <c r="DE217"/>
      <c r="DF217"/>
      <c r="DG217"/>
      <c r="DH217"/>
      <c r="DI217"/>
      <c r="DJ217"/>
      <c r="DK217"/>
      <c r="DL217"/>
      <c r="DM217"/>
      <c r="DN217"/>
      <c r="DO217"/>
      <c r="DP217"/>
      <c r="DQ217"/>
      <c r="DR217"/>
      <c r="DS217"/>
      <c r="DT217"/>
      <c r="DU217"/>
      <c r="DV217"/>
      <c r="DW217"/>
      <c r="DX217"/>
      <c r="DY217"/>
      <c r="DZ217"/>
      <c r="EA217"/>
      <c r="EB217"/>
      <c r="EC217"/>
      <c r="ED217"/>
      <c r="EE217"/>
      <c r="EF217"/>
      <c r="EG217"/>
      <c r="EH217"/>
      <c r="EI217"/>
      <c r="EJ217"/>
      <c r="EK217"/>
      <c r="EL217"/>
      <c r="EM217"/>
      <c r="EN217"/>
      <c r="EO217"/>
      <c r="EP217"/>
      <c r="EQ217"/>
      <c r="ER217"/>
      <c r="ES217"/>
      <c r="ET217"/>
      <c r="EU217"/>
      <c r="EV217"/>
      <c r="EW217"/>
      <c r="EX217"/>
      <c r="EY217"/>
      <c r="EZ217"/>
      <c r="FA217"/>
      <c r="FB217"/>
      <c r="FC217"/>
      <c r="FD217"/>
      <c r="FE217"/>
      <c r="FF217"/>
      <c r="FG217"/>
      <c r="FH217"/>
      <c r="FI217"/>
      <c r="FJ217"/>
      <c r="FK217"/>
      <c r="FL217"/>
      <c r="FM217"/>
      <c r="FN217"/>
      <c r="FO217"/>
      <c r="FP217"/>
      <c r="FQ217"/>
      <c r="FR217"/>
      <c r="FS217"/>
      <c r="FT217"/>
      <c r="FU217"/>
      <c r="FV217"/>
      <c r="FW217"/>
      <c r="FX217"/>
      <c r="FY217"/>
      <c r="FZ217"/>
      <c r="GA217"/>
      <c r="GB217"/>
      <c r="GC217"/>
      <c r="GD217"/>
      <c r="GE217"/>
      <c r="GF217"/>
      <c r="GG217"/>
      <c r="GH217"/>
      <c r="GI217"/>
      <c r="GJ217"/>
      <c r="GK217"/>
      <c r="GL217"/>
      <c r="GM217"/>
      <c r="GN217"/>
      <c r="GO217"/>
      <c r="GP217"/>
      <c r="GQ217"/>
      <c r="GR217"/>
      <c r="GS217"/>
      <c r="GT217"/>
      <c r="GU217"/>
      <c r="GV217"/>
      <c r="GW217"/>
      <c r="GX217"/>
      <c r="GY217"/>
      <c r="GZ217"/>
      <c r="HA217"/>
      <c r="HB217"/>
      <c r="HC217"/>
      <c r="HD217"/>
      <c r="HE217"/>
      <c r="HF217"/>
      <c r="HG217"/>
      <c r="HH217"/>
      <c r="HI217"/>
      <c r="HJ217"/>
      <c r="HK217"/>
      <c r="HL217"/>
      <c r="HM217"/>
      <c r="HN217"/>
      <c r="HO217"/>
      <c r="HP217"/>
      <c r="HQ217"/>
      <c r="HR217"/>
      <c r="HS217"/>
      <c r="HT217"/>
      <c r="HU217"/>
      <c r="HV217"/>
      <c r="HW217"/>
      <c r="HX217"/>
      <c r="HY217"/>
      <c r="HZ217"/>
      <c r="IA217"/>
      <c r="IB217"/>
      <c r="IC217"/>
      <c r="ID217"/>
      <c r="IE217"/>
      <c r="IF217"/>
      <c r="IG217"/>
      <c r="IH217"/>
      <c r="II217"/>
      <c r="IJ217"/>
      <c r="IK217"/>
      <c r="IL217"/>
      <c r="IM217"/>
      <c r="IN217"/>
      <c r="IO217"/>
      <c r="IP217"/>
      <c r="IQ217"/>
      <c r="IR217"/>
      <c r="IS217"/>
      <c r="IT217"/>
      <c r="IU217"/>
      <c r="IV217"/>
      <c r="IW217"/>
      <c r="IX217"/>
      <c r="IY217"/>
      <c r="IZ217"/>
      <c r="JA217"/>
      <c r="JB217"/>
      <c r="JC217"/>
      <c r="JD217"/>
      <c r="JE217"/>
      <c r="JF217"/>
      <c r="JG217"/>
      <c r="JH217"/>
      <c r="JI217"/>
      <c r="JJ217"/>
      <c r="JK217"/>
      <c r="JL217"/>
      <c r="JM217"/>
      <c r="JN217"/>
      <c r="JO217"/>
      <c r="JP217"/>
      <c r="JQ217"/>
      <c r="JR217"/>
      <c r="JS217"/>
      <c r="JT217"/>
      <c r="JU217"/>
      <c r="JV217"/>
      <c r="JW217"/>
      <c r="JX217"/>
      <c r="JY217"/>
      <c r="JZ217"/>
      <c r="KA217"/>
      <c r="KB217"/>
      <c r="KC217"/>
      <c r="KD217"/>
      <c r="KE217"/>
      <c r="KF217"/>
      <c r="KG217"/>
      <c r="KH217"/>
      <c r="KI217"/>
      <c r="KJ217"/>
      <c r="KK217"/>
      <c r="KL217"/>
      <c r="KM217"/>
      <c r="KN217"/>
      <c r="KO217"/>
      <c r="KP217"/>
      <c r="KQ217"/>
      <c r="KR217"/>
      <c r="KS217"/>
      <c r="KT217"/>
      <c r="KU217"/>
      <c r="KV217"/>
      <c r="KW217"/>
      <c r="KX217"/>
      <c r="KY217"/>
      <c r="KZ217"/>
      <c r="LA217"/>
      <c r="LB217"/>
      <c r="LC217"/>
      <c r="LD217"/>
      <c r="LE217"/>
      <c r="LF217"/>
      <c r="LG217"/>
      <c r="LH217"/>
      <c r="LI217"/>
      <c r="LJ217"/>
      <c r="LK217"/>
      <c r="LL217"/>
      <c r="LM217"/>
      <c r="LN217"/>
      <c r="LO217"/>
      <c r="LP217"/>
      <c r="LQ217"/>
      <c r="LR217"/>
      <c r="LS217"/>
      <c r="LT217"/>
      <c r="LU217"/>
      <c r="LV217"/>
      <c r="LW217"/>
      <c r="LX217"/>
      <c r="LY217"/>
      <c r="LZ217"/>
      <c r="MA217"/>
      <c r="MB217"/>
      <c r="MC217"/>
      <c r="MD217"/>
      <c r="ME217"/>
      <c r="MF217"/>
      <c r="MG217"/>
      <c r="MH217"/>
      <c r="MI217"/>
      <c r="MJ217"/>
      <c r="MK217"/>
      <c r="ML217"/>
      <c r="MM217"/>
      <c r="MN217"/>
      <c r="MO217"/>
      <c r="MP217"/>
      <c r="MQ217"/>
      <c r="MR217"/>
      <c r="MS217"/>
      <c r="MT217"/>
      <c r="MU217"/>
      <c r="MV217"/>
      <c r="MW217"/>
      <c r="MX217"/>
      <c r="MY217"/>
      <c r="MZ217"/>
      <c r="NA217"/>
      <c r="NB217"/>
      <c r="NC217"/>
      <c r="ND217"/>
      <c r="NE217"/>
      <c r="NF217"/>
      <c r="NG217"/>
      <c r="NH217"/>
      <c r="NI217"/>
      <c r="NJ217"/>
      <c r="NK217"/>
      <c r="NL217"/>
      <c r="NM217"/>
      <c r="NN217"/>
      <c r="NO217"/>
      <c r="NP217"/>
      <c r="NQ217"/>
      <c r="NR217"/>
      <c r="NS217"/>
      <c r="NT217"/>
      <c r="NU217"/>
      <c r="NV217"/>
      <c r="NW217"/>
      <c r="NX217"/>
      <c r="NY217"/>
      <c r="NZ217"/>
      <c r="OA217"/>
      <c r="OB217"/>
      <c r="OC217"/>
      <c r="OD217"/>
      <c r="OE217"/>
      <c r="OF217"/>
      <c r="OG217"/>
      <c r="OH217"/>
      <c r="OI217"/>
      <c r="OJ217"/>
      <c r="OK217"/>
      <c r="OL217"/>
      <c r="OM217"/>
      <c r="ON217"/>
      <c r="OO217"/>
      <c r="OP217"/>
      <c r="OQ217"/>
      <c r="OR217"/>
      <c r="OS217"/>
      <c r="OT217"/>
      <c r="OU217"/>
      <c r="OV217"/>
      <c r="OW217"/>
      <c r="OX217"/>
      <c r="OY217"/>
      <c r="OZ217"/>
      <c r="PA217"/>
      <c r="PB217"/>
      <c r="PC217"/>
      <c r="PD217"/>
      <c r="PE217"/>
      <c r="PF217"/>
      <c r="PG217"/>
      <c r="PH217"/>
      <c r="PI217"/>
      <c r="PJ217"/>
      <c r="PK217"/>
      <c r="PL217"/>
      <c r="PM217"/>
      <c r="PN217"/>
      <c r="PO217"/>
      <c r="PP217"/>
      <c r="PQ217"/>
      <c r="PR217"/>
      <c r="PS217"/>
      <c r="PT217"/>
      <c r="PU217"/>
      <c r="PV217"/>
      <c r="PW217"/>
      <c r="PX217"/>
      <c r="PY217"/>
      <c r="PZ217"/>
      <c r="QA217"/>
      <c r="QB217"/>
      <c r="QC217"/>
      <c r="QD217"/>
      <c r="QE217"/>
      <c r="QF217"/>
      <c r="QG217"/>
      <c r="QH217"/>
      <c r="QI217"/>
      <c r="QJ217"/>
      <c r="QK217"/>
      <c r="QL217"/>
      <c r="QM217"/>
      <c r="QN217"/>
      <c r="QO217"/>
      <c r="QP217"/>
      <c r="QQ217"/>
      <c r="QR217"/>
      <c r="QS217"/>
      <c r="QT217"/>
      <c r="QU217"/>
      <c r="QV217"/>
      <c r="QW217"/>
      <c r="QX217"/>
      <c r="QY217"/>
      <c r="QZ217"/>
      <c r="RA217"/>
      <c r="RB217"/>
      <c r="RC217"/>
      <c r="RD217"/>
      <c r="RE217"/>
      <c r="RF217"/>
      <c r="RG217"/>
      <c r="RH217"/>
      <c r="RI217"/>
      <c r="RJ217"/>
      <c r="RK217"/>
      <c r="RL217"/>
      <c r="RM217"/>
      <c r="RN217"/>
      <c r="RO217"/>
      <c r="RP217"/>
      <c r="RQ217"/>
      <c r="RR217"/>
      <c r="RS217"/>
    </row>
    <row r="218" spans="3:487" x14ac:dyDescent="0.25">
      <c r="C218" s="2" t="s">
        <v>121</v>
      </c>
      <c r="D218" s="34">
        <v>1</v>
      </c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  <c r="BQ218"/>
      <c r="BR218"/>
      <c r="BS218"/>
      <c r="BT218"/>
      <c r="BU218"/>
      <c r="BV218"/>
      <c r="BW218"/>
      <c r="BX218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  <c r="CN218"/>
      <c r="CO218"/>
      <c r="CP218"/>
      <c r="CQ218"/>
      <c r="CR218"/>
      <c r="CS218"/>
      <c r="CT218"/>
      <c r="CU218"/>
      <c r="CV218"/>
      <c r="CW218"/>
      <c r="CX218"/>
      <c r="CY218"/>
      <c r="CZ218"/>
      <c r="DA218"/>
      <c r="DB218"/>
      <c r="DC218"/>
      <c r="DD218"/>
      <c r="DE218"/>
      <c r="DF218"/>
      <c r="DG218"/>
      <c r="DH218"/>
      <c r="DI218"/>
      <c r="DJ218"/>
      <c r="DK218"/>
      <c r="DL218"/>
      <c r="DM218"/>
      <c r="DN218"/>
      <c r="DO218"/>
      <c r="DP218"/>
      <c r="DQ218"/>
      <c r="DR218"/>
      <c r="DS218"/>
      <c r="DT218"/>
      <c r="DU218"/>
      <c r="DV218"/>
      <c r="DW218"/>
      <c r="DX218"/>
      <c r="DY218"/>
      <c r="DZ218"/>
      <c r="EA218"/>
      <c r="EB218"/>
      <c r="EC218"/>
      <c r="ED218"/>
      <c r="EE218"/>
      <c r="EF218"/>
      <c r="EG218"/>
      <c r="EH218"/>
      <c r="EI218"/>
      <c r="EJ218"/>
      <c r="EK218"/>
      <c r="EL218"/>
      <c r="EM218"/>
      <c r="EN218"/>
      <c r="EO218"/>
      <c r="EP218"/>
      <c r="EQ218"/>
      <c r="ER218"/>
      <c r="ES218"/>
      <c r="ET218"/>
      <c r="EU218"/>
      <c r="EV218"/>
      <c r="EW218"/>
      <c r="EX218"/>
      <c r="EY218"/>
      <c r="EZ218"/>
      <c r="FA218"/>
      <c r="FB218"/>
      <c r="FC218"/>
      <c r="FD218"/>
      <c r="FE218"/>
      <c r="FF218"/>
      <c r="FG218"/>
      <c r="FH218"/>
      <c r="FI218"/>
      <c r="FJ218"/>
      <c r="FK218"/>
      <c r="FL218"/>
      <c r="FM218"/>
      <c r="FN218"/>
      <c r="FO218"/>
      <c r="FP218"/>
      <c r="FQ218"/>
      <c r="FR218"/>
      <c r="FS218"/>
      <c r="FT218"/>
      <c r="FU218"/>
      <c r="FV218"/>
      <c r="FW218"/>
      <c r="FX218"/>
      <c r="FY218"/>
      <c r="FZ218"/>
      <c r="GA218"/>
      <c r="GB218"/>
      <c r="GC218"/>
      <c r="GD218"/>
      <c r="GE218"/>
      <c r="GF218"/>
      <c r="GG218"/>
      <c r="GH218"/>
      <c r="GI218"/>
      <c r="GJ218"/>
      <c r="GK218"/>
      <c r="GL218"/>
      <c r="GM218"/>
      <c r="GN218"/>
      <c r="GO218"/>
      <c r="GP218"/>
      <c r="GQ218"/>
      <c r="GR218"/>
      <c r="GS218"/>
      <c r="GT218"/>
      <c r="GU218"/>
      <c r="GV218"/>
      <c r="GW218"/>
      <c r="GX218"/>
      <c r="GY218"/>
      <c r="GZ218"/>
      <c r="HA218"/>
      <c r="HB218"/>
      <c r="HC218"/>
      <c r="HD218"/>
      <c r="HE218"/>
      <c r="HF218"/>
      <c r="HG218"/>
      <c r="HH218"/>
      <c r="HI218"/>
      <c r="HJ218"/>
      <c r="HK218"/>
      <c r="HL218"/>
      <c r="HM218"/>
      <c r="HN218"/>
      <c r="HO218"/>
      <c r="HP218"/>
      <c r="HQ218"/>
      <c r="HR218"/>
      <c r="HS218"/>
      <c r="HT218"/>
      <c r="HU218"/>
      <c r="HV218"/>
      <c r="HW218"/>
      <c r="HX218"/>
      <c r="HY218"/>
      <c r="HZ218"/>
      <c r="IA218"/>
      <c r="IB218"/>
      <c r="IC218"/>
      <c r="ID218"/>
      <c r="IE218"/>
      <c r="IF218"/>
      <c r="IG218"/>
      <c r="IH218"/>
      <c r="II218"/>
      <c r="IJ218"/>
      <c r="IK218"/>
      <c r="IL218"/>
      <c r="IM218"/>
      <c r="IN218"/>
      <c r="IO218"/>
      <c r="IP218"/>
      <c r="IQ218"/>
      <c r="IR218"/>
      <c r="IS218"/>
      <c r="IT218"/>
      <c r="IU218"/>
      <c r="IV218"/>
      <c r="IW218"/>
      <c r="IX218"/>
      <c r="IY218"/>
      <c r="IZ218"/>
      <c r="JA218"/>
      <c r="JB218"/>
      <c r="JC218"/>
      <c r="JD218"/>
      <c r="JE218"/>
      <c r="JF218"/>
      <c r="JG218"/>
      <c r="JH218"/>
      <c r="JI218"/>
      <c r="JJ218"/>
      <c r="JK218"/>
      <c r="JL218"/>
      <c r="JM218"/>
      <c r="JN218"/>
      <c r="JO218"/>
      <c r="JP218"/>
      <c r="JQ218"/>
      <c r="JR218"/>
      <c r="JS218"/>
      <c r="JT218"/>
      <c r="JU218"/>
      <c r="JV218"/>
      <c r="JW218"/>
      <c r="JX218"/>
      <c r="JY218"/>
      <c r="JZ218"/>
      <c r="KA218"/>
      <c r="KB218"/>
      <c r="KC218"/>
      <c r="KD218"/>
      <c r="KE218"/>
      <c r="KF218"/>
      <c r="KG218"/>
      <c r="KH218"/>
      <c r="KI218"/>
      <c r="KJ218"/>
      <c r="KK218"/>
      <c r="KL218"/>
      <c r="KM218"/>
      <c r="KN218"/>
      <c r="KO218"/>
      <c r="KP218"/>
      <c r="KQ218"/>
      <c r="KR218"/>
      <c r="KS218"/>
      <c r="KT218"/>
      <c r="KU218"/>
      <c r="KV218"/>
      <c r="KW218"/>
      <c r="KX218"/>
      <c r="KY218"/>
      <c r="KZ218"/>
      <c r="LA218"/>
      <c r="LB218"/>
      <c r="LC218"/>
      <c r="LD218"/>
      <c r="LE218"/>
      <c r="LF218"/>
      <c r="LG218"/>
      <c r="LH218"/>
      <c r="LI218"/>
      <c r="LJ218"/>
      <c r="LK218"/>
      <c r="LL218"/>
      <c r="LM218"/>
      <c r="LN218"/>
      <c r="LO218"/>
      <c r="LP218"/>
      <c r="LQ218"/>
      <c r="LR218"/>
      <c r="LS218"/>
      <c r="LT218"/>
      <c r="LU218"/>
      <c r="LV218"/>
      <c r="LW218"/>
      <c r="LX218"/>
      <c r="LY218"/>
      <c r="LZ218"/>
      <c r="MA218"/>
      <c r="MB218"/>
      <c r="MC218"/>
      <c r="MD218"/>
      <c r="ME218"/>
      <c r="MF218"/>
      <c r="MG218"/>
      <c r="MH218"/>
      <c r="MI218"/>
      <c r="MJ218"/>
      <c r="MK218"/>
      <c r="ML218"/>
      <c r="MM218"/>
      <c r="MN218"/>
      <c r="MO218"/>
      <c r="MP218"/>
      <c r="MQ218"/>
      <c r="MR218"/>
      <c r="MS218"/>
      <c r="MT218"/>
      <c r="MU218"/>
      <c r="MV218"/>
      <c r="MW218"/>
      <c r="MX218"/>
      <c r="MY218"/>
      <c r="MZ218"/>
      <c r="NA218"/>
      <c r="NB218"/>
      <c r="NC218"/>
      <c r="ND218"/>
      <c r="NE218"/>
      <c r="NF218"/>
      <c r="NG218"/>
      <c r="NH218"/>
      <c r="NI218"/>
      <c r="NJ218"/>
      <c r="NK218"/>
      <c r="NL218"/>
      <c r="NM218"/>
      <c r="NN218"/>
      <c r="NO218"/>
      <c r="NP218"/>
      <c r="NQ218"/>
      <c r="NR218"/>
      <c r="NS218"/>
      <c r="NT218"/>
      <c r="NU218"/>
      <c r="NV218"/>
      <c r="NW218"/>
      <c r="NX218"/>
      <c r="NY218"/>
      <c r="NZ218"/>
      <c r="OA218"/>
      <c r="OB218"/>
      <c r="OC218"/>
      <c r="OD218"/>
      <c r="OE218"/>
      <c r="OF218"/>
      <c r="OG218"/>
      <c r="OH218"/>
      <c r="OI218"/>
      <c r="OJ218"/>
      <c r="OK218"/>
      <c r="OL218"/>
      <c r="OM218"/>
      <c r="ON218"/>
      <c r="OO218"/>
      <c r="OP218"/>
      <c r="OQ218"/>
      <c r="OR218"/>
      <c r="OS218"/>
      <c r="OT218"/>
      <c r="OU218"/>
      <c r="OV218"/>
      <c r="OW218"/>
      <c r="OX218"/>
      <c r="OY218"/>
      <c r="OZ218"/>
      <c r="PA218"/>
      <c r="PB218"/>
      <c r="PC218"/>
      <c r="PD218"/>
      <c r="PE218"/>
      <c r="PF218"/>
      <c r="PG218"/>
      <c r="PH218"/>
      <c r="PI218"/>
      <c r="PJ218"/>
      <c r="PK218"/>
      <c r="PL218"/>
      <c r="PM218"/>
      <c r="PN218"/>
      <c r="PO218"/>
      <c r="PP218"/>
      <c r="PQ218"/>
      <c r="PR218"/>
      <c r="PS218"/>
      <c r="PT218"/>
      <c r="PU218"/>
      <c r="PV218"/>
      <c r="PW218"/>
      <c r="PX218"/>
      <c r="PY218"/>
      <c r="PZ218"/>
      <c r="QA218"/>
      <c r="QB218"/>
      <c r="QC218"/>
      <c r="QD218"/>
      <c r="QE218"/>
      <c r="QF218"/>
      <c r="QG218"/>
      <c r="QH218"/>
      <c r="QI218"/>
      <c r="QJ218"/>
      <c r="QK218"/>
      <c r="QL218"/>
      <c r="QM218"/>
      <c r="QN218"/>
      <c r="QO218"/>
      <c r="QP218"/>
      <c r="QQ218"/>
      <c r="QR218"/>
      <c r="QS218"/>
      <c r="QT218"/>
      <c r="QU218"/>
      <c r="QV218"/>
      <c r="QW218"/>
      <c r="QX218"/>
      <c r="QY218"/>
      <c r="QZ218"/>
      <c r="RA218"/>
      <c r="RB218"/>
      <c r="RC218"/>
      <c r="RD218"/>
      <c r="RE218"/>
      <c r="RF218"/>
      <c r="RG218"/>
      <c r="RH218"/>
      <c r="RI218"/>
      <c r="RJ218"/>
      <c r="RK218"/>
      <c r="RL218"/>
      <c r="RM218"/>
      <c r="RN218"/>
      <c r="RO218"/>
      <c r="RP218"/>
      <c r="RQ218"/>
      <c r="RR218"/>
      <c r="RS218"/>
    </row>
    <row r="219" spans="3:487" x14ac:dyDescent="0.25">
      <c r="C219" s="2" t="s">
        <v>332</v>
      </c>
      <c r="D219" s="34">
        <v>1</v>
      </c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  <c r="BR219"/>
      <c r="BS219"/>
      <c r="BT219"/>
      <c r="BU219"/>
      <c r="BV219"/>
      <c r="BW219"/>
      <c r="BX219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  <c r="CN219"/>
      <c r="CO219"/>
      <c r="CP219"/>
      <c r="CQ219"/>
      <c r="CR219"/>
      <c r="CS219"/>
      <c r="CT219"/>
      <c r="CU219"/>
      <c r="CV219"/>
      <c r="CW219"/>
      <c r="CX219"/>
      <c r="CY219"/>
      <c r="CZ219"/>
      <c r="DA219"/>
      <c r="DB219"/>
      <c r="DC219"/>
      <c r="DD219"/>
      <c r="DE219"/>
      <c r="DF219"/>
      <c r="DG219"/>
      <c r="DH219"/>
      <c r="DI219"/>
      <c r="DJ219"/>
      <c r="DK219"/>
      <c r="DL219"/>
      <c r="DM219"/>
      <c r="DN219"/>
      <c r="DO219"/>
      <c r="DP219"/>
      <c r="DQ219"/>
      <c r="DR219"/>
      <c r="DS219"/>
      <c r="DT219"/>
      <c r="DU219"/>
      <c r="DV219"/>
      <c r="DW219"/>
      <c r="DX219"/>
      <c r="DY219"/>
      <c r="DZ219"/>
      <c r="EA219"/>
      <c r="EB219"/>
      <c r="EC219"/>
      <c r="ED219"/>
      <c r="EE219"/>
      <c r="EF219"/>
      <c r="EG219"/>
      <c r="EH219"/>
      <c r="EI219"/>
      <c r="EJ219"/>
      <c r="EK219"/>
      <c r="EL219"/>
      <c r="EM219"/>
      <c r="EN219"/>
      <c r="EO219"/>
      <c r="EP219"/>
      <c r="EQ219"/>
      <c r="ER219"/>
      <c r="ES219"/>
      <c r="ET219"/>
      <c r="EU219"/>
      <c r="EV219"/>
      <c r="EW219"/>
      <c r="EX219"/>
      <c r="EY219"/>
      <c r="EZ219"/>
      <c r="FA219"/>
      <c r="FB219"/>
      <c r="FC219"/>
      <c r="FD219"/>
      <c r="FE219"/>
      <c r="FF219"/>
      <c r="FG219"/>
      <c r="FH219"/>
      <c r="FI219"/>
      <c r="FJ219"/>
      <c r="FK219"/>
      <c r="FL219"/>
      <c r="FM219"/>
      <c r="FN219"/>
      <c r="FO219"/>
      <c r="FP219"/>
      <c r="FQ219"/>
      <c r="FR219"/>
      <c r="FS219"/>
      <c r="FT219"/>
      <c r="FU219"/>
      <c r="FV219"/>
      <c r="FW219"/>
      <c r="FX219"/>
      <c r="FY219"/>
      <c r="FZ219"/>
      <c r="GA219"/>
      <c r="GB219"/>
      <c r="GC219"/>
      <c r="GD219"/>
      <c r="GE219"/>
      <c r="GF219"/>
      <c r="GG219"/>
      <c r="GH219"/>
      <c r="GI219"/>
      <c r="GJ219"/>
      <c r="GK219"/>
      <c r="GL219"/>
      <c r="GM219"/>
      <c r="GN219"/>
      <c r="GO219"/>
      <c r="GP219"/>
      <c r="GQ219"/>
      <c r="GR219"/>
      <c r="GS219"/>
      <c r="GT219"/>
      <c r="GU219"/>
      <c r="GV219"/>
      <c r="GW219"/>
      <c r="GX219"/>
      <c r="GY219"/>
      <c r="GZ219"/>
      <c r="HA219"/>
      <c r="HB219"/>
      <c r="HC219"/>
      <c r="HD219"/>
      <c r="HE219"/>
      <c r="HF219"/>
      <c r="HG219"/>
      <c r="HH219"/>
      <c r="HI219"/>
      <c r="HJ219"/>
      <c r="HK219"/>
      <c r="HL219"/>
      <c r="HM219"/>
      <c r="HN219"/>
      <c r="HO219"/>
      <c r="HP219"/>
      <c r="HQ219"/>
      <c r="HR219"/>
      <c r="HS219"/>
      <c r="HT219"/>
      <c r="HU219"/>
      <c r="HV219"/>
      <c r="HW219"/>
      <c r="HX219"/>
      <c r="HY219"/>
      <c r="HZ219"/>
      <c r="IA219"/>
      <c r="IB219"/>
      <c r="IC219"/>
      <c r="ID219"/>
      <c r="IE219"/>
      <c r="IF219"/>
      <c r="IG219"/>
      <c r="IH219"/>
      <c r="II219"/>
      <c r="IJ219"/>
      <c r="IK219"/>
      <c r="IL219"/>
      <c r="IM219"/>
      <c r="IN219"/>
      <c r="IO219"/>
      <c r="IP219"/>
      <c r="IQ219"/>
      <c r="IR219"/>
      <c r="IS219"/>
      <c r="IT219"/>
      <c r="IU219"/>
      <c r="IV219"/>
      <c r="IW219"/>
      <c r="IX219"/>
      <c r="IY219"/>
      <c r="IZ219"/>
      <c r="JA219"/>
      <c r="JB219"/>
      <c r="JC219"/>
      <c r="JD219"/>
      <c r="JE219"/>
      <c r="JF219"/>
      <c r="JG219"/>
      <c r="JH219"/>
      <c r="JI219"/>
      <c r="JJ219"/>
      <c r="JK219"/>
      <c r="JL219"/>
      <c r="JM219"/>
      <c r="JN219"/>
      <c r="JO219"/>
      <c r="JP219"/>
      <c r="JQ219"/>
      <c r="JR219"/>
      <c r="JS219"/>
      <c r="JT219"/>
      <c r="JU219"/>
      <c r="JV219"/>
      <c r="JW219"/>
      <c r="JX219"/>
      <c r="JY219"/>
      <c r="JZ219"/>
      <c r="KA219"/>
      <c r="KB219"/>
      <c r="KC219"/>
      <c r="KD219"/>
      <c r="KE219"/>
      <c r="KF219"/>
      <c r="KG219"/>
      <c r="KH219"/>
      <c r="KI219"/>
      <c r="KJ219"/>
      <c r="KK219"/>
      <c r="KL219"/>
      <c r="KM219"/>
      <c r="KN219"/>
      <c r="KO219"/>
      <c r="KP219"/>
      <c r="KQ219"/>
      <c r="KR219"/>
      <c r="KS219"/>
      <c r="KT219"/>
      <c r="KU219"/>
      <c r="KV219"/>
      <c r="KW219"/>
      <c r="KX219"/>
      <c r="KY219"/>
      <c r="KZ219"/>
      <c r="LA219"/>
      <c r="LB219"/>
      <c r="LC219"/>
      <c r="LD219"/>
      <c r="LE219"/>
      <c r="LF219"/>
      <c r="LG219"/>
      <c r="LH219"/>
      <c r="LI219"/>
      <c r="LJ219"/>
      <c r="LK219"/>
      <c r="LL219"/>
      <c r="LM219"/>
      <c r="LN219"/>
      <c r="LO219"/>
      <c r="LP219"/>
      <c r="LQ219"/>
      <c r="LR219"/>
      <c r="LS219"/>
      <c r="LT219"/>
      <c r="LU219"/>
      <c r="LV219"/>
      <c r="LW219"/>
      <c r="LX219"/>
      <c r="LY219"/>
      <c r="LZ219"/>
      <c r="MA219"/>
      <c r="MB219"/>
      <c r="MC219"/>
      <c r="MD219"/>
      <c r="ME219"/>
      <c r="MF219"/>
      <c r="MG219"/>
      <c r="MH219"/>
      <c r="MI219"/>
      <c r="MJ219"/>
      <c r="MK219"/>
      <c r="ML219"/>
      <c r="MM219"/>
      <c r="MN219"/>
      <c r="MO219"/>
      <c r="MP219"/>
      <c r="MQ219"/>
      <c r="MR219"/>
      <c r="MS219"/>
      <c r="MT219"/>
      <c r="MU219"/>
      <c r="MV219"/>
      <c r="MW219"/>
      <c r="MX219"/>
      <c r="MY219"/>
      <c r="MZ219"/>
      <c r="NA219"/>
      <c r="NB219"/>
      <c r="NC219"/>
      <c r="ND219"/>
      <c r="NE219"/>
      <c r="NF219"/>
      <c r="NG219"/>
      <c r="NH219"/>
      <c r="NI219"/>
      <c r="NJ219"/>
      <c r="NK219"/>
      <c r="NL219"/>
      <c r="NM219"/>
      <c r="NN219"/>
      <c r="NO219"/>
      <c r="NP219"/>
      <c r="NQ219"/>
      <c r="NR219"/>
      <c r="NS219"/>
      <c r="NT219"/>
      <c r="NU219"/>
      <c r="NV219"/>
      <c r="NW219"/>
      <c r="NX219"/>
      <c r="NY219"/>
      <c r="NZ219"/>
      <c r="OA219"/>
      <c r="OB219"/>
      <c r="OC219"/>
      <c r="OD219"/>
      <c r="OE219"/>
      <c r="OF219"/>
      <c r="OG219"/>
      <c r="OH219"/>
      <c r="OI219"/>
      <c r="OJ219"/>
      <c r="OK219"/>
      <c r="OL219"/>
      <c r="OM219"/>
      <c r="ON219"/>
      <c r="OO219"/>
      <c r="OP219"/>
      <c r="OQ219"/>
      <c r="OR219"/>
      <c r="OS219"/>
      <c r="OT219"/>
      <c r="OU219"/>
      <c r="OV219"/>
      <c r="OW219"/>
      <c r="OX219"/>
      <c r="OY219"/>
      <c r="OZ219"/>
      <c r="PA219"/>
      <c r="PB219"/>
      <c r="PC219"/>
      <c r="PD219"/>
      <c r="PE219"/>
      <c r="PF219"/>
      <c r="PG219"/>
      <c r="PH219"/>
      <c r="PI219"/>
      <c r="PJ219"/>
      <c r="PK219"/>
      <c r="PL219"/>
      <c r="PM219"/>
      <c r="PN219"/>
      <c r="PO219"/>
      <c r="PP219"/>
      <c r="PQ219"/>
      <c r="PR219"/>
      <c r="PS219"/>
      <c r="PT219"/>
      <c r="PU219"/>
      <c r="PV219"/>
      <c r="PW219"/>
      <c r="PX219"/>
      <c r="PY219"/>
      <c r="PZ219"/>
      <c r="QA219"/>
      <c r="QB219"/>
      <c r="QC219"/>
      <c r="QD219"/>
      <c r="QE219"/>
      <c r="QF219"/>
      <c r="QG219"/>
      <c r="QH219"/>
      <c r="QI219"/>
      <c r="QJ219"/>
      <c r="QK219"/>
      <c r="QL219"/>
      <c r="QM219"/>
      <c r="QN219"/>
      <c r="QO219"/>
      <c r="QP219"/>
      <c r="QQ219"/>
      <c r="QR219"/>
      <c r="QS219"/>
      <c r="QT219"/>
      <c r="QU219"/>
      <c r="QV219"/>
      <c r="QW219"/>
      <c r="QX219"/>
      <c r="QY219"/>
      <c r="QZ219"/>
      <c r="RA219"/>
      <c r="RB219"/>
      <c r="RC219"/>
      <c r="RD219"/>
      <c r="RE219"/>
      <c r="RF219"/>
      <c r="RG219"/>
      <c r="RH219"/>
      <c r="RI219"/>
      <c r="RJ219"/>
      <c r="RK219"/>
      <c r="RL219"/>
      <c r="RM219"/>
      <c r="RN219"/>
      <c r="RO219"/>
      <c r="RP219"/>
      <c r="RQ219"/>
      <c r="RR219"/>
      <c r="RS219"/>
    </row>
    <row r="220" spans="3:487" x14ac:dyDescent="0.25">
      <c r="C220" s="2" t="s">
        <v>3814</v>
      </c>
      <c r="D220" s="34">
        <v>1</v>
      </c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  <c r="BQ220"/>
      <c r="BR220"/>
      <c r="BS220"/>
      <c r="BT220"/>
      <c r="BU220"/>
      <c r="BV220"/>
      <c r="BW220"/>
      <c r="BX220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  <c r="CN220"/>
      <c r="CO220"/>
      <c r="CP220"/>
      <c r="CQ220"/>
      <c r="CR220"/>
      <c r="CS220"/>
      <c r="CT220"/>
      <c r="CU220"/>
      <c r="CV220"/>
      <c r="CW220"/>
      <c r="CX220"/>
      <c r="CY220"/>
      <c r="CZ220"/>
      <c r="DA220"/>
      <c r="DB220"/>
      <c r="DC220"/>
      <c r="DD220"/>
      <c r="DE220"/>
      <c r="DF220"/>
      <c r="DG220"/>
      <c r="DH220"/>
      <c r="DI220"/>
      <c r="DJ220"/>
      <c r="DK220"/>
      <c r="DL220"/>
      <c r="DM220"/>
      <c r="DN220"/>
      <c r="DO220"/>
      <c r="DP220"/>
      <c r="DQ220"/>
      <c r="DR220"/>
      <c r="DS220"/>
      <c r="DT220"/>
      <c r="DU220"/>
      <c r="DV220"/>
      <c r="DW220"/>
      <c r="DX220"/>
      <c r="DY220"/>
      <c r="DZ220"/>
      <c r="EA220"/>
      <c r="EB220"/>
      <c r="EC220"/>
      <c r="ED220"/>
      <c r="EE220"/>
      <c r="EF220"/>
      <c r="EG220"/>
      <c r="EH220"/>
      <c r="EI220"/>
      <c r="EJ220"/>
      <c r="EK220"/>
      <c r="EL220"/>
      <c r="EM220"/>
      <c r="EN220"/>
      <c r="EO220"/>
      <c r="EP220"/>
      <c r="EQ220"/>
      <c r="ER220"/>
      <c r="ES220"/>
      <c r="ET220"/>
      <c r="EU220"/>
      <c r="EV220"/>
      <c r="EW220"/>
      <c r="EX220"/>
      <c r="EY220"/>
      <c r="EZ220"/>
      <c r="FA220"/>
      <c r="FB220"/>
      <c r="FC220"/>
      <c r="FD220"/>
      <c r="FE220"/>
      <c r="FF220"/>
      <c r="FG220"/>
      <c r="FH220"/>
      <c r="FI220"/>
      <c r="FJ220"/>
      <c r="FK220"/>
      <c r="FL220"/>
      <c r="FM220"/>
      <c r="FN220"/>
      <c r="FO220"/>
      <c r="FP220"/>
      <c r="FQ220"/>
      <c r="FR220"/>
      <c r="FS220"/>
      <c r="FT220"/>
      <c r="FU220"/>
      <c r="FV220"/>
      <c r="FW220"/>
      <c r="FX220"/>
      <c r="FY220"/>
      <c r="FZ220"/>
      <c r="GA220"/>
      <c r="GB220"/>
      <c r="GC220"/>
      <c r="GD220"/>
      <c r="GE220"/>
      <c r="GF220"/>
      <c r="GG220"/>
      <c r="GH220"/>
      <c r="GI220"/>
      <c r="GJ220"/>
      <c r="GK220"/>
      <c r="GL220"/>
      <c r="GM220"/>
      <c r="GN220"/>
      <c r="GO220"/>
      <c r="GP220"/>
      <c r="GQ220"/>
      <c r="GR220"/>
      <c r="GS220"/>
      <c r="GT220"/>
      <c r="GU220"/>
      <c r="GV220"/>
      <c r="GW220"/>
      <c r="GX220"/>
      <c r="GY220"/>
      <c r="GZ220"/>
      <c r="HA220"/>
      <c r="HB220"/>
      <c r="HC220"/>
      <c r="HD220"/>
      <c r="HE220"/>
      <c r="HF220"/>
      <c r="HG220"/>
      <c r="HH220"/>
      <c r="HI220"/>
      <c r="HJ220"/>
      <c r="HK220"/>
      <c r="HL220"/>
      <c r="HM220"/>
      <c r="HN220"/>
      <c r="HO220"/>
      <c r="HP220"/>
      <c r="HQ220"/>
      <c r="HR220"/>
      <c r="HS220"/>
      <c r="HT220"/>
      <c r="HU220"/>
      <c r="HV220"/>
      <c r="HW220"/>
      <c r="HX220"/>
      <c r="HY220"/>
      <c r="HZ220"/>
      <c r="IA220"/>
      <c r="IB220"/>
      <c r="IC220"/>
      <c r="ID220"/>
      <c r="IE220"/>
      <c r="IF220"/>
      <c r="IG220"/>
      <c r="IH220"/>
      <c r="II220"/>
      <c r="IJ220"/>
      <c r="IK220"/>
      <c r="IL220"/>
      <c r="IM220"/>
      <c r="IN220"/>
      <c r="IO220"/>
      <c r="IP220"/>
      <c r="IQ220"/>
      <c r="IR220"/>
      <c r="IS220"/>
      <c r="IT220"/>
      <c r="IU220"/>
      <c r="IV220"/>
      <c r="IW220"/>
      <c r="IX220"/>
      <c r="IY220"/>
      <c r="IZ220"/>
      <c r="JA220"/>
      <c r="JB220"/>
      <c r="JC220"/>
      <c r="JD220"/>
      <c r="JE220"/>
      <c r="JF220"/>
      <c r="JG220"/>
      <c r="JH220"/>
      <c r="JI220"/>
      <c r="JJ220"/>
      <c r="JK220"/>
      <c r="JL220"/>
      <c r="JM220"/>
      <c r="JN220"/>
      <c r="JO220"/>
      <c r="JP220"/>
      <c r="JQ220"/>
      <c r="JR220"/>
      <c r="JS220"/>
      <c r="JT220"/>
      <c r="JU220"/>
      <c r="JV220"/>
      <c r="JW220"/>
      <c r="JX220"/>
      <c r="JY220"/>
      <c r="JZ220"/>
      <c r="KA220"/>
      <c r="KB220"/>
      <c r="KC220"/>
      <c r="KD220"/>
      <c r="KE220"/>
      <c r="KF220"/>
      <c r="KG220"/>
      <c r="KH220"/>
      <c r="KI220"/>
      <c r="KJ220"/>
      <c r="KK220"/>
      <c r="KL220"/>
      <c r="KM220"/>
      <c r="KN220"/>
      <c r="KO220"/>
      <c r="KP220"/>
      <c r="KQ220"/>
      <c r="KR220"/>
      <c r="KS220"/>
      <c r="KT220"/>
      <c r="KU220"/>
      <c r="KV220"/>
      <c r="KW220"/>
      <c r="KX220"/>
      <c r="KY220"/>
      <c r="KZ220"/>
      <c r="LA220"/>
      <c r="LB220"/>
      <c r="LC220"/>
      <c r="LD220"/>
      <c r="LE220"/>
      <c r="LF220"/>
      <c r="LG220"/>
      <c r="LH220"/>
      <c r="LI220"/>
      <c r="LJ220"/>
      <c r="LK220"/>
      <c r="LL220"/>
      <c r="LM220"/>
      <c r="LN220"/>
      <c r="LO220"/>
      <c r="LP220"/>
      <c r="LQ220"/>
      <c r="LR220"/>
      <c r="LS220"/>
      <c r="LT220"/>
      <c r="LU220"/>
      <c r="LV220"/>
      <c r="LW220"/>
      <c r="LX220"/>
      <c r="LY220"/>
      <c r="LZ220"/>
      <c r="MA220"/>
      <c r="MB220"/>
      <c r="MC220"/>
      <c r="MD220"/>
      <c r="ME220"/>
      <c r="MF220"/>
      <c r="MG220"/>
      <c r="MH220"/>
      <c r="MI220"/>
      <c r="MJ220"/>
      <c r="MK220"/>
      <c r="ML220"/>
      <c r="MM220"/>
      <c r="MN220"/>
      <c r="MO220"/>
      <c r="MP220"/>
      <c r="MQ220"/>
      <c r="MR220"/>
      <c r="MS220"/>
      <c r="MT220"/>
      <c r="MU220"/>
      <c r="MV220"/>
      <c r="MW220"/>
      <c r="MX220"/>
      <c r="MY220"/>
      <c r="MZ220"/>
      <c r="NA220"/>
      <c r="NB220"/>
      <c r="NC220"/>
      <c r="ND220"/>
      <c r="NE220"/>
      <c r="NF220"/>
      <c r="NG220"/>
      <c r="NH220"/>
      <c r="NI220"/>
      <c r="NJ220"/>
      <c r="NK220"/>
      <c r="NL220"/>
      <c r="NM220"/>
      <c r="NN220"/>
      <c r="NO220"/>
      <c r="NP220"/>
      <c r="NQ220"/>
      <c r="NR220"/>
      <c r="NS220"/>
      <c r="NT220"/>
      <c r="NU220"/>
      <c r="NV220"/>
      <c r="NW220"/>
      <c r="NX220"/>
      <c r="NY220"/>
      <c r="NZ220"/>
      <c r="OA220"/>
      <c r="OB220"/>
      <c r="OC220"/>
      <c r="OD220"/>
      <c r="OE220"/>
      <c r="OF220"/>
      <c r="OG220"/>
      <c r="OH220"/>
      <c r="OI220"/>
      <c r="OJ220"/>
      <c r="OK220"/>
      <c r="OL220"/>
      <c r="OM220"/>
      <c r="ON220"/>
      <c r="OO220"/>
      <c r="OP220"/>
      <c r="OQ220"/>
      <c r="OR220"/>
      <c r="OS220"/>
      <c r="OT220"/>
      <c r="OU220"/>
      <c r="OV220"/>
      <c r="OW220"/>
      <c r="OX220"/>
      <c r="OY220"/>
      <c r="OZ220"/>
      <c r="PA220"/>
      <c r="PB220"/>
      <c r="PC220"/>
      <c r="PD220"/>
      <c r="PE220"/>
      <c r="PF220"/>
      <c r="PG220"/>
      <c r="PH220"/>
      <c r="PI220"/>
      <c r="PJ220"/>
      <c r="PK220"/>
      <c r="PL220"/>
      <c r="PM220"/>
      <c r="PN220"/>
      <c r="PO220"/>
      <c r="PP220"/>
      <c r="PQ220"/>
      <c r="PR220"/>
      <c r="PS220"/>
      <c r="PT220"/>
      <c r="PU220"/>
      <c r="PV220"/>
      <c r="PW220"/>
      <c r="PX220"/>
      <c r="PY220"/>
      <c r="PZ220"/>
      <c r="QA220"/>
      <c r="QB220"/>
      <c r="QC220"/>
      <c r="QD220"/>
      <c r="QE220"/>
      <c r="QF220"/>
      <c r="QG220"/>
      <c r="QH220"/>
      <c r="QI220"/>
      <c r="QJ220"/>
      <c r="QK220"/>
      <c r="QL220"/>
      <c r="QM220"/>
      <c r="QN220"/>
      <c r="QO220"/>
      <c r="QP220"/>
      <c r="QQ220"/>
      <c r="QR220"/>
      <c r="QS220"/>
      <c r="QT220"/>
      <c r="QU220"/>
      <c r="QV220"/>
      <c r="QW220"/>
      <c r="QX220"/>
      <c r="QY220"/>
      <c r="QZ220"/>
      <c r="RA220"/>
      <c r="RB220"/>
      <c r="RC220"/>
      <c r="RD220"/>
      <c r="RE220"/>
      <c r="RF220"/>
      <c r="RG220"/>
      <c r="RH220"/>
      <c r="RI220"/>
      <c r="RJ220"/>
      <c r="RK220"/>
      <c r="RL220"/>
      <c r="RM220"/>
      <c r="RN220"/>
      <c r="RO220"/>
      <c r="RP220"/>
      <c r="RQ220"/>
      <c r="RR220"/>
      <c r="RS220"/>
    </row>
    <row r="221" spans="3:487" x14ac:dyDescent="0.25">
      <c r="C221" s="2" t="s">
        <v>149</v>
      </c>
      <c r="D221" s="34">
        <v>1</v>
      </c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  <c r="BQ221"/>
      <c r="BR221"/>
      <c r="BS221"/>
      <c r="BT221"/>
      <c r="BU221"/>
      <c r="BV221"/>
      <c r="BW221"/>
      <c r="BX221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  <c r="CN221"/>
      <c r="CO221"/>
      <c r="CP221"/>
      <c r="CQ221"/>
      <c r="CR221"/>
      <c r="CS221"/>
      <c r="CT221"/>
      <c r="CU221"/>
      <c r="CV221"/>
      <c r="CW221"/>
      <c r="CX221"/>
      <c r="CY221"/>
      <c r="CZ221"/>
      <c r="DA221"/>
      <c r="DB221"/>
      <c r="DC221"/>
      <c r="DD221"/>
      <c r="DE221"/>
      <c r="DF221"/>
      <c r="DG221"/>
      <c r="DH221"/>
      <c r="DI221"/>
      <c r="DJ221"/>
      <c r="DK221"/>
      <c r="DL221"/>
      <c r="DM221"/>
      <c r="DN221"/>
      <c r="DO221"/>
      <c r="DP221"/>
      <c r="DQ221"/>
      <c r="DR221"/>
      <c r="DS221"/>
      <c r="DT221"/>
      <c r="DU221"/>
      <c r="DV221"/>
      <c r="DW221"/>
      <c r="DX221"/>
      <c r="DY221"/>
      <c r="DZ221"/>
      <c r="EA221"/>
      <c r="EB221"/>
      <c r="EC221"/>
      <c r="ED221"/>
      <c r="EE221"/>
      <c r="EF221"/>
      <c r="EG221"/>
      <c r="EH221"/>
      <c r="EI221"/>
      <c r="EJ221"/>
      <c r="EK221"/>
      <c r="EL221"/>
      <c r="EM221"/>
      <c r="EN221"/>
      <c r="EO221"/>
      <c r="EP221"/>
      <c r="EQ221"/>
      <c r="ER221"/>
      <c r="ES221"/>
      <c r="ET221"/>
      <c r="EU221"/>
      <c r="EV221"/>
      <c r="EW221"/>
      <c r="EX221"/>
      <c r="EY221"/>
      <c r="EZ221"/>
      <c r="FA221"/>
      <c r="FB221"/>
      <c r="FC221"/>
      <c r="FD221"/>
      <c r="FE221"/>
      <c r="FF221"/>
      <c r="FG221"/>
      <c r="FH221"/>
      <c r="FI221"/>
      <c r="FJ221"/>
      <c r="FK221"/>
      <c r="FL221"/>
      <c r="FM221"/>
      <c r="FN221"/>
      <c r="FO221"/>
      <c r="FP221"/>
      <c r="FQ221"/>
      <c r="FR221"/>
      <c r="FS221"/>
      <c r="FT221"/>
      <c r="FU221"/>
      <c r="FV221"/>
      <c r="FW221"/>
      <c r="FX221"/>
      <c r="FY221"/>
      <c r="FZ221"/>
      <c r="GA221"/>
      <c r="GB221"/>
      <c r="GC221"/>
      <c r="GD221"/>
      <c r="GE221"/>
      <c r="GF221"/>
      <c r="GG221"/>
      <c r="GH221"/>
      <c r="GI221"/>
      <c r="GJ221"/>
      <c r="GK221"/>
      <c r="GL221"/>
      <c r="GM221"/>
      <c r="GN221"/>
      <c r="GO221"/>
      <c r="GP221"/>
      <c r="GQ221"/>
      <c r="GR221"/>
      <c r="GS221"/>
      <c r="GT221"/>
      <c r="GU221"/>
      <c r="GV221"/>
      <c r="GW221"/>
      <c r="GX221"/>
      <c r="GY221"/>
      <c r="GZ221"/>
      <c r="HA221"/>
      <c r="HB221"/>
      <c r="HC221"/>
      <c r="HD221"/>
      <c r="HE221"/>
      <c r="HF221"/>
      <c r="HG221"/>
      <c r="HH221"/>
      <c r="HI221"/>
      <c r="HJ221"/>
      <c r="HK221"/>
      <c r="HL221"/>
      <c r="HM221"/>
      <c r="HN221"/>
      <c r="HO221"/>
      <c r="HP221"/>
      <c r="HQ221"/>
      <c r="HR221"/>
      <c r="HS221"/>
      <c r="HT221"/>
      <c r="HU221"/>
      <c r="HV221"/>
      <c r="HW221"/>
      <c r="HX221"/>
      <c r="HY221"/>
      <c r="HZ221"/>
      <c r="IA221"/>
      <c r="IB221"/>
      <c r="IC221"/>
      <c r="ID221"/>
      <c r="IE221"/>
      <c r="IF221"/>
      <c r="IG221"/>
      <c r="IH221"/>
      <c r="II221"/>
      <c r="IJ221"/>
      <c r="IK221"/>
      <c r="IL221"/>
      <c r="IM221"/>
      <c r="IN221"/>
      <c r="IO221"/>
      <c r="IP221"/>
      <c r="IQ221"/>
      <c r="IR221"/>
      <c r="IS221"/>
      <c r="IT221"/>
      <c r="IU221"/>
      <c r="IV221"/>
      <c r="IW221"/>
      <c r="IX221"/>
      <c r="IY221"/>
      <c r="IZ221"/>
      <c r="JA221"/>
      <c r="JB221"/>
      <c r="JC221"/>
      <c r="JD221"/>
      <c r="JE221"/>
      <c r="JF221"/>
      <c r="JG221"/>
      <c r="JH221"/>
      <c r="JI221"/>
      <c r="JJ221"/>
      <c r="JK221"/>
      <c r="JL221"/>
      <c r="JM221"/>
      <c r="JN221"/>
      <c r="JO221"/>
      <c r="JP221"/>
      <c r="JQ221"/>
      <c r="JR221"/>
      <c r="JS221"/>
      <c r="JT221"/>
      <c r="JU221"/>
      <c r="JV221"/>
      <c r="JW221"/>
      <c r="JX221"/>
      <c r="JY221"/>
      <c r="JZ221"/>
      <c r="KA221"/>
      <c r="KB221"/>
      <c r="KC221"/>
      <c r="KD221"/>
      <c r="KE221"/>
      <c r="KF221"/>
      <c r="KG221"/>
      <c r="KH221"/>
      <c r="KI221"/>
      <c r="KJ221"/>
      <c r="KK221"/>
      <c r="KL221"/>
      <c r="KM221"/>
      <c r="KN221"/>
      <c r="KO221"/>
      <c r="KP221"/>
      <c r="KQ221"/>
      <c r="KR221"/>
      <c r="KS221"/>
      <c r="KT221"/>
      <c r="KU221"/>
      <c r="KV221"/>
      <c r="KW221"/>
      <c r="KX221"/>
      <c r="KY221"/>
      <c r="KZ221"/>
      <c r="LA221"/>
      <c r="LB221"/>
      <c r="LC221"/>
      <c r="LD221"/>
      <c r="LE221"/>
      <c r="LF221"/>
      <c r="LG221"/>
      <c r="LH221"/>
      <c r="LI221"/>
      <c r="LJ221"/>
      <c r="LK221"/>
      <c r="LL221"/>
      <c r="LM221"/>
      <c r="LN221"/>
      <c r="LO221"/>
      <c r="LP221"/>
      <c r="LQ221"/>
      <c r="LR221"/>
      <c r="LS221"/>
      <c r="LT221"/>
      <c r="LU221"/>
      <c r="LV221"/>
      <c r="LW221"/>
      <c r="LX221"/>
      <c r="LY221"/>
      <c r="LZ221"/>
      <c r="MA221"/>
      <c r="MB221"/>
      <c r="MC221"/>
      <c r="MD221"/>
      <c r="ME221"/>
      <c r="MF221"/>
      <c r="MG221"/>
      <c r="MH221"/>
      <c r="MI221"/>
      <c r="MJ221"/>
      <c r="MK221"/>
      <c r="ML221"/>
      <c r="MM221"/>
      <c r="MN221"/>
      <c r="MO221"/>
      <c r="MP221"/>
      <c r="MQ221"/>
      <c r="MR221"/>
      <c r="MS221"/>
      <c r="MT221"/>
      <c r="MU221"/>
      <c r="MV221"/>
      <c r="MW221"/>
      <c r="MX221"/>
      <c r="MY221"/>
      <c r="MZ221"/>
      <c r="NA221"/>
      <c r="NB221"/>
      <c r="NC221"/>
      <c r="ND221"/>
      <c r="NE221"/>
      <c r="NF221"/>
      <c r="NG221"/>
      <c r="NH221"/>
      <c r="NI221"/>
      <c r="NJ221"/>
      <c r="NK221"/>
      <c r="NL221"/>
      <c r="NM221"/>
      <c r="NN221"/>
      <c r="NO221"/>
      <c r="NP221"/>
      <c r="NQ221"/>
      <c r="NR221"/>
      <c r="NS221"/>
      <c r="NT221"/>
      <c r="NU221"/>
      <c r="NV221"/>
      <c r="NW221"/>
      <c r="NX221"/>
      <c r="NY221"/>
      <c r="NZ221"/>
      <c r="OA221"/>
      <c r="OB221"/>
      <c r="OC221"/>
      <c r="OD221"/>
      <c r="OE221"/>
      <c r="OF221"/>
      <c r="OG221"/>
      <c r="OH221"/>
      <c r="OI221"/>
      <c r="OJ221"/>
      <c r="OK221"/>
      <c r="OL221"/>
      <c r="OM221"/>
      <c r="ON221"/>
      <c r="OO221"/>
      <c r="OP221"/>
      <c r="OQ221"/>
      <c r="OR221"/>
      <c r="OS221"/>
      <c r="OT221"/>
      <c r="OU221"/>
      <c r="OV221"/>
      <c r="OW221"/>
      <c r="OX221"/>
      <c r="OY221"/>
      <c r="OZ221"/>
      <c r="PA221"/>
      <c r="PB221"/>
      <c r="PC221"/>
      <c r="PD221"/>
      <c r="PE221"/>
      <c r="PF221"/>
      <c r="PG221"/>
      <c r="PH221"/>
      <c r="PI221"/>
      <c r="PJ221"/>
      <c r="PK221"/>
      <c r="PL221"/>
      <c r="PM221"/>
      <c r="PN221"/>
      <c r="PO221"/>
      <c r="PP221"/>
      <c r="PQ221"/>
      <c r="PR221"/>
      <c r="PS221"/>
      <c r="PT221"/>
      <c r="PU221"/>
      <c r="PV221"/>
      <c r="PW221"/>
      <c r="PX221"/>
      <c r="PY221"/>
      <c r="PZ221"/>
      <c r="QA221"/>
      <c r="QB221"/>
      <c r="QC221"/>
      <c r="QD221"/>
      <c r="QE221"/>
      <c r="QF221"/>
      <c r="QG221"/>
      <c r="QH221"/>
      <c r="QI221"/>
      <c r="QJ221"/>
      <c r="QK221"/>
      <c r="QL221"/>
      <c r="QM221"/>
      <c r="QN221"/>
      <c r="QO221"/>
      <c r="QP221"/>
      <c r="QQ221"/>
      <c r="QR221"/>
      <c r="QS221"/>
      <c r="QT221"/>
      <c r="QU221"/>
      <c r="QV221"/>
      <c r="QW221"/>
      <c r="QX221"/>
      <c r="QY221"/>
      <c r="QZ221"/>
      <c r="RA221"/>
      <c r="RB221"/>
      <c r="RC221"/>
      <c r="RD221"/>
      <c r="RE221"/>
      <c r="RF221"/>
      <c r="RG221"/>
      <c r="RH221"/>
      <c r="RI221"/>
      <c r="RJ221"/>
      <c r="RK221"/>
      <c r="RL221"/>
      <c r="RM221"/>
      <c r="RN221"/>
      <c r="RO221"/>
      <c r="RP221"/>
      <c r="RQ221"/>
      <c r="RR221"/>
      <c r="RS221"/>
    </row>
    <row r="222" spans="3:487" x14ac:dyDescent="0.25">
      <c r="C222" s="2" t="s">
        <v>339</v>
      </c>
      <c r="D222" s="34">
        <v>1</v>
      </c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  <c r="BN222"/>
      <c r="BO222"/>
      <c r="BP222"/>
      <c r="BQ222"/>
      <c r="BR222"/>
      <c r="BS222"/>
      <c r="BT222"/>
      <c r="BU222"/>
      <c r="BV222"/>
      <c r="BW222"/>
      <c r="BX22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  <c r="CN222"/>
      <c r="CO222"/>
      <c r="CP222"/>
      <c r="CQ222"/>
      <c r="CR222"/>
      <c r="CS222"/>
      <c r="CT222"/>
      <c r="CU222"/>
      <c r="CV222"/>
      <c r="CW222"/>
      <c r="CX222"/>
      <c r="CY222"/>
      <c r="CZ222"/>
      <c r="DA222"/>
      <c r="DB222"/>
      <c r="DC222"/>
      <c r="DD222"/>
      <c r="DE222"/>
      <c r="DF222"/>
      <c r="DG222"/>
      <c r="DH222"/>
      <c r="DI222"/>
      <c r="DJ222"/>
      <c r="DK222"/>
      <c r="DL222"/>
      <c r="DM222"/>
      <c r="DN222"/>
      <c r="DO222"/>
      <c r="DP222"/>
      <c r="DQ222"/>
      <c r="DR222"/>
      <c r="DS222"/>
      <c r="DT222"/>
      <c r="DU222"/>
      <c r="DV222"/>
      <c r="DW222"/>
      <c r="DX222"/>
      <c r="DY222"/>
      <c r="DZ222"/>
      <c r="EA222"/>
      <c r="EB222"/>
      <c r="EC222"/>
      <c r="ED222"/>
      <c r="EE222"/>
      <c r="EF222"/>
      <c r="EG222"/>
      <c r="EH222"/>
      <c r="EI222"/>
      <c r="EJ222"/>
      <c r="EK222"/>
      <c r="EL222"/>
      <c r="EM222"/>
      <c r="EN222"/>
      <c r="EO222"/>
      <c r="EP222"/>
      <c r="EQ222"/>
      <c r="ER222"/>
      <c r="ES222"/>
      <c r="ET222"/>
      <c r="EU222"/>
      <c r="EV222"/>
      <c r="EW222"/>
      <c r="EX222"/>
      <c r="EY222"/>
      <c r="EZ222"/>
      <c r="FA222"/>
      <c r="FB222"/>
      <c r="FC222"/>
      <c r="FD222"/>
      <c r="FE222"/>
      <c r="FF222"/>
      <c r="FG222"/>
      <c r="FH222"/>
      <c r="FI222"/>
      <c r="FJ222"/>
      <c r="FK222"/>
      <c r="FL222"/>
      <c r="FM222"/>
      <c r="FN222"/>
      <c r="FO222"/>
      <c r="FP222"/>
      <c r="FQ222"/>
      <c r="FR222"/>
      <c r="FS222"/>
      <c r="FT222"/>
      <c r="FU222"/>
      <c r="FV222"/>
      <c r="FW222"/>
      <c r="FX222"/>
      <c r="FY222"/>
      <c r="FZ222"/>
      <c r="GA222"/>
      <c r="GB222"/>
      <c r="GC222"/>
      <c r="GD222"/>
      <c r="GE222"/>
      <c r="GF222"/>
      <c r="GG222"/>
      <c r="GH222"/>
      <c r="GI222"/>
      <c r="GJ222"/>
      <c r="GK222"/>
      <c r="GL222"/>
      <c r="GM222"/>
      <c r="GN222"/>
      <c r="GO222"/>
      <c r="GP222"/>
      <c r="GQ222"/>
      <c r="GR222"/>
      <c r="GS222"/>
      <c r="GT222"/>
      <c r="GU222"/>
      <c r="GV222"/>
      <c r="GW222"/>
      <c r="GX222"/>
      <c r="GY222"/>
      <c r="GZ222"/>
      <c r="HA222"/>
      <c r="HB222"/>
      <c r="HC222"/>
      <c r="HD222"/>
      <c r="HE222"/>
      <c r="HF222"/>
      <c r="HG222"/>
      <c r="HH222"/>
      <c r="HI222"/>
      <c r="HJ222"/>
      <c r="HK222"/>
      <c r="HL222"/>
      <c r="HM222"/>
      <c r="HN222"/>
      <c r="HO222"/>
      <c r="HP222"/>
      <c r="HQ222"/>
      <c r="HR222"/>
      <c r="HS222"/>
      <c r="HT222"/>
      <c r="HU222"/>
      <c r="HV222"/>
      <c r="HW222"/>
      <c r="HX222"/>
      <c r="HY222"/>
      <c r="HZ222"/>
      <c r="IA222"/>
      <c r="IB222"/>
      <c r="IC222"/>
      <c r="ID222"/>
      <c r="IE222"/>
      <c r="IF222"/>
      <c r="IG222"/>
      <c r="IH222"/>
      <c r="II222"/>
      <c r="IJ222"/>
      <c r="IK222"/>
      <c r="IL222"/>
      <c r="IM222"/>
      <c r="IN222"/>
      <c r="IO222"/>
      <c r="IP222"/>
      <c r="IQ222"/>
      <c r="IR222"/>
      <c r="IS222"/>
      <c r="IT222"/>
      <c r="IU222"/>
      <c r="IV222"/>
      <c r="IW222"/>
      <c r="IX222"/>
      <c r="IY222"/>
      <c r="IZ222"/>
      <c r="JA222"/>
      <c r="JB222"/>
      <c r="JC222"/>
      <c r="JD222"/>
      <c r="JE222"/>
      <c r="JF222"/>
      <c r="JG222"/>
      <c r="JH222"/>
      <c r="JI222"/>
      <c r="JJ222"/>
      <c r="JK222"/>
      <c r="JL222"/>
      <c r="JM222"/>
      <c r="JN222"/>
      <c r="JO222"/>
      <c r="JP222"/>
      <c r="JQ222"/>
      <c r="JR222"/>
      <c r="JS222"/>
      <c r="JT222"/>
      <c r="JU222"/>
      <c r="JV222"/>
      <c r="JW222"/>
      <c r="JX222"/>
      <c r="JY222"/>
      <c r="JZ222"/>
      <c r="KA222"/>
      <c r="KB222"/>
      <c r="KC222"/>
      <c r="KD222"/>
      <c r="KE222"/>
      <c r="KF222"/>
      <c r="KG222"/>
      <c r="KH222"/>
      <c r="KI222"/>
      <c r="KJ222"/>
      <c r="KK222"/>
      <c r="KL222"/>
      <c r="KM222"/>
      <c r="KN222"/>
      <c r="KO222"/>
      <c r="KP222"/>
      <c r="KQ222"/>
      <c r="KR222"/>
      <c r="KS222"/>
      <c r="KT222"/>
      <c r="KU222"/>
      <c r="KV222"/>
      <c r="KW222"/>
      <c r="KX222"/>
      <c r="KY222"/>
      <c r="KZ222"/>
      <c r="LA222"/>
      <c r="LB222"/>
      <c r="LC222"/>
      <c r="LD222"/>
      <c r="LE222"/>
      <c r="LF222"/>
      <c r="LG222"/>
      <c r="LH222"/>
      <c r="LI222"/>
      <c r="LJ222"/>
      <c r="LK222"/>
      <c r="LL222"/>
      <c r="LM222"/>
      <c r="LN222"/>
      <c r="LO222"/>
      <c r="LP222"/>
      <c r="LQ222"/>
      <c r="LR222"/>
      <c r="LS222"/>
      <c r="LT222"/>
      <c r="LU222"/>
      <c r="LV222"/>
      <c r="LW222"/>
      <c r="LX222"/>
      <c r="LY222"/>
      <c r="LZ222"/>
      <c r="MA222"/>
      <c r="MB222"/>
      <c r="MC222"/>
      <c r="MD222"/>
      <c r="ME222"/>
      <c r="MF222"/>
      <c r="MG222"/>
      <c r="MH222"/>
      <c r="MI222"/>
      <c r="MJ222"/>
      <c r="MK222"/>
      <c r="ML222"/>
      <c r="MM222"/>
      <c r="MN222"/>
      <c r="MO222"/>
      <c r="MP222"/>
      <c r="MQ222"/>
      <c r="MR222"/>
      <c r="MS222"/>
      <c r="MT222"/>
      <c r="MU222"/>
      <c r="MV222"/>
      <c r="MW222"/>
      <c r="MX222"/>
      <c r="MY222"/>
      <c r="MZ222"/>
      <c r="NA222"/>
      <c r="NB222"/>
      <c r="NC222"/>
      <c r="ND222"/>
      <c r="NE222"/>
      <c r="NF222"/>
      <c r="NG222"/>
      <c r="NH222"/>
      <c r="NI222"/>
      <c r="NJ222"/>
      <c r="NK222"/>
      <c r="NL222"/>
      <c r="NM222"/>
      <c r="NN222"/>
      <c r="NO222"/>
      <c r="NP222"/>
      <c r="NQ222"/>
      <c r="NR222"/>
      <c r="NS222"/>
      <c r="NT222"/>
      <c r="NU222"/>
      <c r="NV222"/>
      <c r="NW222"/>
      <c r="NX222"/>
      <c r="NY222"/>
      <c r="NZ222"/>
      <c r="OA222"/>
      <c r="OB222"/>
      <c r="OC222"/>
      <c r="OD222"/>
      <c r="OE222"/>
      <c r="OF222"/>
      <c r="OG222"/>
      <c r="OH222"/>
      <c r="OI222"/>
      <c r="OJ222"/>
      <c r="OK222"/>
      <c r="OL222"/>
      <c r="OM222"/>
      <c r="ON222"/>
      <c r="OO222"/>
      <c r="OP222"/>
      <c r="OQ222"/>
      <c r="OR222"/>
      <c r="OS222"/>
      <c r="OT222"/>
      <c r="OU222"/>
      <c r="OV222"/>
      <c r="OW222"/>
      <c r="OX222"/>
      <c r="OY222"/>
      <c r="OZ222"/>
      <c r="PA222"/>
      <c r="PB222"/>
      <c r="PC222"/>
      <c r="PD222"/>
      <c r="PE222"/>
      <c r="PF222"/>
      <c r="PG222"/>
      <c r="PH222"/>
      <c r="PI222"/>
      <c r="PJ222"/>
      <c r="PK222"/>
      <c r="PL222"/>
      <c r="PM222"/>
      <c r="PN222"/>
      <c r="PO222"/>
      <c r="PP222"/>
      <c r="PQ222"/>
      <c r="PR222"/>
      <c r="PS222"/>
      <c r="PT222"/>
      <c r="PU222"/>
      <c r="PV222"/>
      <c r="PW222"/>
      <c r="PX222"/>
      <c r="PY222"/>
      <c r="PZ222"/>
      <c r="QA222"/>
      <c r="QB222"/>
      <c r="QC222"/>
      <c r="QD222"/>
      <c r="QE222"/>
      <c r="QF222"/>
      <c r="QG222"/>
      <c r="QH222"/>
      <c r="QI222"/>
      <c r="QJ222"/>
      <c r="QK222"/>
      <c r="QL222"/>
      <c r="QM222"/>
      <c r="QN222"/>
      <c r="QO222"/>
      <c r="QP222"/>
      <c r="QQ222"/>
      <c r="QR222"/>
      <c r="QS222"/>
      <c r="QT222"/>
      <c r="QU222"/>
      <c r="QV222"/>
      <c r="QW222"/>
      <c r="QX222"/>
      <c r="QY222"/>
      <c r="QZ222"/>
      <c r="RA222"/>
      <c r="RB222"/>
      <c r="RC222"/>
      <c r="RD222"/>
      <c r="RE222"/>
      <c r="RF222"/>
      <c r="RG222"/>
      <c r="RH222"/>
      <c r="RI222"/>
      <c r="RJ222"/>
      <c r="RK222"/>
      <c r="RL222"/>
      <c r="RM222"/>
      <c r="RN222"/>
      <c r="RO222"/>
      <c r="RP222"/>
      <c r="RQ222"/>
      <c r="RR222"/>
      <c r="RS222"/>
    </row>
    <row r="223" spans="3:487" x14ac:dyDescent="0.25">
      <c r="C223" s="2" t="s">
        <v>251</v>
      </c>
      <c r="D223" s="34">
        <v>1</v>
      </c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  <c r="BN223"/>
      <c r="BO223"/>
      <c r="BP223"/>
      <c r="BQ223"/>
      <c r="BR223"/>
      <c r="BS223"/>
      <c r="BT223"/>
      <c r="BU223"/>
      <c r="BV223"/>
      <c r="BW223"/>
      <c r="BX223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  <c r="CN223"/>
      <c r="CO223"/>
      <c r="CP223"/>
      <c r="CQ223"/>
      <c r="CR223"/>
      <c r="CS223"/>
      <c r="CT223"/>
      <c r="CU223"/>
      <c r="CV223"/>
      <c r="CW223"/>
      <c r="CX223"/>
      <c r="CY223"/>
      <c r="CZ223"/>
      <c r="DA223"/>
      <c r="DB223"/>
      <c r="DC223"/>
      <c r="DD223"/>
      <c r="DE223"/>
      <c r="DF223"/>
      <c r="DG223"/>
      <c r="DH223"/>
      <c r="DI223"/>
      <c r="DJ223"/>
      <c r="DK223"/>
      <c r="DL223"/>
      <c r="DM223"/>
      <c r="DN223"/>
      <c r="DO223"/>
      <c r="DP223"/>
      <c r="DQ223"/>
      <c r="DR223"/>
      <c r="DS223"/>
      <c r="DT223"/>
      <c r="DU223"/>
      <c r="DV223"/>
      <c r="DW223"/>
      <c r="DX223"/>
      <c r="DY223"/>
      <c r="DZ223"/>
      <c r="EA223"/>
      <c r="EB223"/>
      <c r="EC223"/>
      <c r="ED223"/>
      <c r="EE223"/>
      <c r="EF223"/>
      <c r="EG223"/>
      <c r="EH223"/>
      <c r="EI223"/>
      <c r="EJ223"/>
      <c r="EK223"/>
      <c r="EL223"/>
      <c r="EM223"/>
      <c r="EN223"/>
      <c r="EO223"/>
      <c r="EP223"/>
      <c r="EQ223"/>
      <c r="ER223"/>
      <c r="ES223"/>
      <c r="ET223"/>
      <c r="EU223"/>
      <c r="EV223"/>
      <c r="EW223"/>
      <c r="EX223"/>
      <c r="EY223"/>
      <c r="EZ223"/>
      <c r="FA223"/>
      <c r="FB223"/>
      <c r="FC223"/>
      <c r="FD223"/>
      <c r="FE223"/>
      <c r="FF223"/>
      <c r="FG223"/>
      <c r="FH223"/>
      <c r="FI223"/>
      <c r="FJ223"/>
      <c r="FK223"/>
      <c r="FL223"/>
      <c r="FM223"/>
      <c r="FN223"/>
      <c r="FO223"/>
      <c r="FP223"/>
      <c r="FQ223"/>
      <c r="FR223"/>
      <c r="FS223"/>
      <c r="FT223"/>
      <c r="FU223"/>
      <c r="FV223"/>
      <c r="FW223"/>
      <c r="FX223"/>
      <c r="FY223"/>
      <c r="FZ223"/>
      <c r="GA223"/>
      <c r="GB223"/>
      <c r="GC223"/>
      <c r="GD223"/>
      <c r="GE223"/>
      <c r="GF223"/>
      <c r="GG223"/>
      <c r="GH223"/>
      <c r="GI223"/>
      <c r="GJ223"/>
      <c r="GK223"/>
      <c r="GL223"/>
      <c r="GM223"/>
      <c r="GN223"/>
      <c r="GO223"/>
      <c r="GP223"/>
      <c r="GQ223"/>
      <c r="GR223"/>
      <c r="GS223"/>
      <c r="GT223"/>
      <c r="GU223"/>
      <c r="GV223"/>
      <c r="GW223"/>
      <c r="GX223"/>
      <c r="GY223"/>
      <c r="GZ223"/>
      <c r="HA223"/>
      <c r="HB223"/>
      <c r="HC223"/>
      <c r="HD223"/>
      <c r="HE223"/>
      <c r="HF223"/>
      <c r="HG223"/>
      <c r="HH223"/>
      <c r="HI223"/>
      <c r="HJ223"/>
      <c r="HK223"/>
      <c r="HL223"/>
      <c r="HM223"/>
      <c r="HN223"/>
      <c r="HO223"/>
      <c r="HP223"/>
      <c r="HQ223"/>
      <c r="HR223"/>
      <c r="HS223"/>
      <c r="HT223"/>
      <c r="HU223"/>
      <c r="HV223"/>
      <c r="HW223"/>
      <c r="HX223"/>
      <c r="HY223"/>
      <c r="HZ223"/>
      <c r="IA223"/>
      <c r="IB223"/>
      <c r="IC223"/>
      <c r="ID223"/>
      <c r="IE223"/>
      <c r="IF223"/>
      <c r="IG223"/>
      <c r="IH223"/>
      <c r="II223"/>
      <c r="IJ223"/>
      <c r="IK223"/>
      <c r="IL223"/>
      <c r="IM223"/>
      <c r="IN223"/>
      <c r="IO223"/>
      <c r="IP223"/>
      <c r="IQ223"/>
      <c r="IR223"/>
      <c r="IS223"/>
      <c r="IT223"/>
      <c r="IU223"/>
      <c r="IV223"/>
      <c r="IW223"/>
      <c r="IX223"/>
      <c r="IY223"/>
      <c r="IZ223"/>
      <c r="JA223"/>
      <c r="JB223"/>
      <c r="JC223"/>
      <c r="JD223"/>
      <c r="JE223"/>
      <c r="JF223"/>
      <c r="JG223"/>
      <c r="JH223"/>
      <c r="JI223"/>
      <c r="JJ223"/>
      <c r="JK223"/>
      <c r="JL223"/>
      <c r="JM223"/>
      <c r="JN223"/>
      <c r="JO223"/>
      <c r="JP223"/>
      <c r="JQ223"/>
      <c r="JR223"/>
      <c r="JS223"/>
      <c r="JT223"/>
      <c r="JU223"/>
      <c r="JV223"/>
      <c r="JW223"/>
      <c r="JX223"/>
      <c r="JY223"/>
      <c r="JZ223"/>
      <c r="KA223"/>
      <c r="KB223"/>
      <c r="KC223"/>
      <c r="KD223"/>
      <c r="KE223"/>
      <c r="KF223"/>
      <c r="KG223"/>
      <c r="KH223"/>
      <c r="KI223"/>
      <c r="KJ223"/>
      <c r="KK223"/>
      <c r="KL223"/>
      <c r="KM223"/>
      <c r="KN223"/>
      <c r="KO223"/>
      <c r="KP223"/>
      <c r="KQ223"/>
      <c r="KR223"/>
      <c r="KS223"/>
      <c r="KT223"/>
      <c r="KU223"/>
      <c r="KV223"/>
      <c r="KW223"/>
      <c r="KX223"/>
      <c r="KY223"/>
      <c r="KZ223"/>
      <c r="LA223"/>
      <c r="LB223"/>
      <c r="LC223"/>
      <c r="LD223"/>
      <c r="LE223"/>
      <c r="LF223"/>
      <c r="LG223"/>
      <c r="LH223"/>
      <c r="LI223"/>
      <c r="LJ223"/>
      <c r="LK223"/>
      <c r="LL223"/>
      <c r="LM223"/>
      <c r="LN223"/>
      <c r="LO223"/>
      <c r="LP223"/>
      <c r="LQ223"/>
      <c r="LR223"/>
      <c r="LS223"/>
      <c r="LT223"/>
      <c r="LU223"/>
      <c r="LV223"/>
      <c r="LW223"/>
      <c r="LX223"/>
      <c r="LY223"/>
      <c r="LZ223"/>
      <c r="MA223"/>
      <c r="MB223"/>
      <c r="MC223"/>
      <c r="MD223"/>
      <c r="ME223"/>
      <c r="MF223"/>
      <c r="MG223"/>
      <c r="MH223"/>
      <c r="MI223"/>
      <c r="MJ223"/>
      <c r="MK223"/>
      <c r="ML223"/>
      <c r="MM223"/>
      <c r="MN223"/>
      <c r="MO223"/>
      <c r="MP223"/>
      <c r="MQ223"/>
      <c r="MR223"/>
      <c r="MS223"/>
      <c r="MT223"/>
      <c r="MU223"/>
      <c r="MV223"/>
      <c r="MW223"/>
      <c r="MX223"/>
      <c r="MY223"/>
      <c r="MZ223"/>
      <c r="NA223"/>
      <c r="NB223"/>
      <c r="NC223"/>
      <c r="ND223"/>
      <c r="NE223"/>
      <c r="NF223"/>
      <c r="NG223"/>
      <c r="NH223"/>
      <c r="NI223"/>
      <c r="NJ223"/>
      <c r="NK223"/>
      <c r="NL223"/>
      <c r="NM223"/>
      <c r="NN223"/>
      <c r="NO223"/>
      <c r="NP223"/>
      <c r="NQ223"/>
      <c r="NR223"/>
      <c r="NS223"/>
      <c r="NT223"/>
      <c r="NU223"/>
      <c r="NV223"/>
      <c r="NW223"/>
      <c r="NX223"/>
      <c r="NY223"/>
      <c r="NZ223"/>
      <c r="OA223"/>
      <c r="OB223"/>
      <c r="OC223"/>
      <c r="OD223"/>
      <c r="OE223"/>
      <c r="OF223"/>
      <c r="OG223"/>
      <c r="OH223"/>
      <c r="OI223"/>
      <c r="OJ223"/>
      <c r="OK223"/>
      <c r="OL223"/>
      <c r="OM223"/>
      <c r="ON223"/>
      <c r="OO223"/>
      <c r="OP223"/>
      <c r="OQ223"/>
      <c r="OR223"/>
      <c r="OS223"/>
      <c r="OT223"/>
      <c r="OU223"/>
      <c r="OV223"/>
      <c r="OW223"/>
      <c r="OX223"/>
      <c r="OY223"/>
      <c r="OZ223"/>
      <c r="PA223"/>
      <c r="PB223"/>
      <c r="PC223"/>
      <c r="PD223"/>
      <c r="PE223"/>
      <c r="PF223"/>
      <c r="PG223"/>
      <c r="PH223"/>
      <c r="PI223"/>
      <c r="PJ223"/>
      <c r="PK223"/>
      <c r="PL223"/>
      <c r="PM223"/>
      <c r="PN223"/>
      <c r="PO223"/>
      <c r="PP223"/>
      <c r="PQ223"/>
      <c r="PR223"/>
      <c r="PS223"/>
      <c r="PT223"/>
      <c r="PU223"/>
      <c r="PV223"/>
      <c r="PW223"/>
      <c r="PX223"/>
      <c r="PY223"/>
      <c r="PZ223"/>
      <c r="QA223"/>
      <c r="QB223"/>
      <c r="QC223"/>
      <c r="QD223"/>
      <c r="QE223"/>
      <c r="QF223"/>
      <c r="QG223"/>
      <c r="QH223"/>
      <c r="QI223"/>
      <c r="QJ223"/>
      <c r="QK223"/>
      <c r="QL223"/>
      <c r="QM223"/>
      <c r="QN223"/>
      <c r="QO223"/>
      <c r="QP223"/>
      <c r="QQ223"/>
      <c r="QR223"/>
      <c r="QS223"/>
      <c r="QT223"/>
      <c r="QU223"/>
      <c r="QV223"/>
      <c r="QW223"/>
      <c r="QX223"/>
      <c r="QY223"/>
      <c r="QZ223"/>
      <c r="RA223"/>
      <c r="RB223"/>
      <c r="RC223"/>
      <c r="RD223"/>
      <c r="RE223"/>
      <c r="RF223"/>
      <c r="RG223"/>
      <c r="RH223"/>
      <c r="RI223"/>
      <c r="RJ223"/>
      <c r="RK223"/>
      <c r="RL223"/>
      <c r="RM223"/>
      <c r="RN223"/>
      <c r="RO223"/>
      <c r="RP223"/>
      <c r="RQ223"/>
      <c r="RR223"/>
      <c r="RS223"/>
    </row>
    <row r="224" spans="3:487" x14ac:dyDescent="0.25">
      <c r="C224" s="2" t="s">
        <v>3641</v>
      </c>
      <c r="D224" s="34">
        <v>1</v>
      </c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  <c r="BT224"/>
      <c r="BU224"/>
      <c r="BV224"/>
      <c r="BW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  <c r="CN224"/>
      <c r="CO224"/>
      <c r="CP224"/>
      <c r="CQ224"/>
      <c r="CR224"/>
      <c r="CS224"/>
      <c r="CT224"/>
      <c r="CU224"/>
      <c r="CV224"/>
      <c r="CW224"/>
      <c r="CX224"/>
      <c r="CY224"/>
      <c r="CZ224"/>
      <c r="DA224"/>
      <c r="DB224"/>
      <c r="DC224"/>
      <c r="DD224"/>
      <c r="DE224"/>
      <c r="DF224"/>
      <c r="DG224"/>
      <c r="DH224"/>
      <c r="DI224"/>
      <c r="DJ224"/>
      <c r="DK224"/>
      <c r="DL224"/>
      <c r="DM224"/>
      <c r="DN224"/>
      <c r="DO224"/>
      <c r="DP224"/>
      <c r="DQ224"/>
      <c r="DR224"/>
      <c r="DS224"/>
      <c r="DT224"/>
      <c r="DU224"/>
      <c r="DV224"/>
      <c r="DW224"/>
      <c r="DX224"/>
      <c r="DY224"/>
      <c r="DZ224"/>
      <c r="EA224"/>
      <c r="EB224"/>
      <c r="EC224"/>
      <c r="ED224"/>
      <c r="EE224"/>
      <c r="EF224"/>
      <c r="EG224"/>
      <c r="EH224"/>
      <c r="EI224"/>
      <c r="EJ224"/>
      <c r="EK224"/>
      <c r="EL224"/>
      <c r="EM224"/>
      <c r="EN224"/>
      <c r="EO224"/>
      <c r="EP224"/>
      <c r="EQ224"/>
      <c r="ER224"/>
      <c r="ES224"/>
      <c r="ET224"/>
      <c r="EU224"/>
      <c r="EV224"/>
      <c r="EW224"/>
      <c r="EX224"/>
      <c r="EY224"/>
      <c r="EZ224"/>
      <c r="FA224"/>
      <c r="FB224"/>
      <c r="FC224"/>
      <c r="FD224"/>
      <c r="FE224"/>
      <c r="FF224"/>
      <c r="FG224"/>
      <c r="FH224"/>
      <c r="FI224"/>
      <c r="FJ224"/>
      <c r="FK224"/>
      <c r="FL224"/>
      <c r="FM224"/>
      <c r="FN224"/>
      <c r="FO224"/>
      <c r="FP224"/>
      <c r="FQ224"/>
      <c r="FR224"/>
      <c r="FS224"/>
      <c r="FT224"/>
      <c r="FU224"/>
      <c r="FV224"/>
      <c r="FW224"/>
      <c r="FX224"/>
      <c r="FY224"/>
      <c r="FZ224"/>
      <c r="GA224"/>
      <c r="GB224"/>
      <c r="GC224"/>
      <c r="GD224"/>
      <c r="GE224"/>
      <c r="GF224"/>
      <c r="GG224"/>
      <c r="GH224"/>
      <c r="GI224"/>
      <c r="GJ224"/>
      <c r="GK224"/>
      <c r="GL224"/>
      <c r="GM224"/>
      <c r="GN224"/>
      <c r="GO224"/>
      <c r="GP224"/>
      <c r="GQ224"/>
      <c r="GR224"/>
      <c r="GS224"/>
      <c r="GT224"/>
      <c r="GU224"/>
      <c r="GV224"/>
      <c r="GW224"/>
      <c r="GX224"/>
      <c r="GY224"/>
      <c r="GZ224"/>
      <c r="HA224"/>
      <c r="HB224"/>
      <c r="HC224"/>
      <c r="HD224"/>
      <c r="HE224"/>
      <c r="HF224"/>
      <c r="HG224"/>
      <c r="HH224"/>
      <c r="HI224"/>
      <c r="HJ224"/>
      <c r="HK224"/>
      <c r="HL224"/>
      <c r="HM224"/>
      <c r="HN224"/>
      <c r="HO224"/>
      <c r="HP224"/>
      <c r="HQ224"/>
      <c r="HR224"/>
      <c r="HS224"/>
      <c r="HT224"/>
      <c r="HU224"/>
      <c r="HV224"/>
      <c r="HW224"/>
      <c r="HX224"/>
      <c r="HY224"/>
      <c r="HZ224"/>
      <c r="IA224"/>
      <c r="IB224"/>
      <c r="IC224"/>
      <c r="ID224"/>
      <c r="IE224"/>
      <c r="IF224"/>
      <c r="IG224"/>
      <c r="IH224"/>
      <c r="II224"/>
      <c r="IJ224"/>
      <c r="IK224"/>
      <c r="IL224"/>
      <c r="IM224"/>
      <c r="IN224"/>
      <c r="IO224"/>
      <c r="IP224"/>
      <c r="IQ224"/>
      <c r="IR224"/>
      <c r="IS224"/>
      <c r="IT224"/>
      <c r="IU224"/>
      <c r="IV224"/>
      <c r="IW224"/>
      <c r="IX224"/>
      <c r="IY224"/>
      <c r="IZ224"/>
      <c r="JA224"/>
      <c r="JB224"/>
      <c r="JC224"/>
      <c r="JD224"/>
      <c r="JE224"/>
      <c r="JF224"/>
      <c r="JG224"/>
      <c r="JH224"/>
      <c r="JI224"/>
      <c r="JJ224"/>
      <c r="JK224"/>
      <c r="JL224"/>
      <c r="JM224"/>
      <c r="JN224"/>
      <c r="JO224"/>
      <c r="JP224"/>
      <c r="JQ224"/>
      <c r="JR224"/>
      <c r="JS224"/>
      <c r="JT224"/>
      <c r="JU224"/>
      <c r="JV224"/>
      <c r="JW224"/>
      <c r="JX224"/>
      <c r="JY224"/>
      <c r="JZ224"/>
      <c r="KA224"/>
      <c r="KB224"/>
      <c r="KC224"/>
      <c r="KD224"/>
      <c r="KE224"/>
      <c r="KF224"/>
      <c r="KG224"/>
      <c r="KH224"/>
      <c r="KI224"/>
      <c r="KJ224"/>
      <c r="KK224"/>
      <c r="KL224"/>
      <c r="KM224"/>
      <c r="KN224"/>
      <c r="KO224"/>
      <c r="KP224"/>
      <c r="KQ224"/>
      <c r="KR224"/>
      <c r="KS224"/>
      <c r="KT224"/>
      <c r="KU224"/>
      <c r="KV224"/>
      <c r="KW224"/>
      <c r="KX224"/>
      <c r="KY224"/>
      <c r="KZ224"/>
      <c r="LA224"/>
      <c r="LB224"/>
      <c r="LC224"/>
      <c r="LD224"/>
      <c r="LE224"/>
      <c r="LF224"/>
      <c r="LG224"/>
      <c r="LH224"/>
      <c r="LI224"/>
      <c r="LJ224"/>
      <c r="LK224"/>
      <c r="LL224"/>
      <c r="LM224"/>
      <c r="LN224"/>
      <c r="LO224"/>
      <c r="LP224"/>
      <c r="LQ224"/>
      <c r="LR224"/>
      <c r="LS224"/>
      <c r="LT224"/>
      <c r="LU224"/>
      <c r="LV224"/>
      <c r="LW224"/>
      <c r="LX224"/>
      <c r="LY224"/>
      <c r="LZ224"/>
      <c r="MA224"/>
      <c r="MB224"/>
      <c r="MC224"/>
      <c r="MD224"/>
      <c r="ME224"/>
      <c r="MF224"/>
      <c r="MG224"/>
      <c r="MH224"/>
      <c r="MI224"/>
      <c r="MJ224"/>
      <c r="MK224"/>
      <c r="ML224"/>
      <c r="MM224"/>
      <c r="MN224"/>
      <c r="MO224"/>
      <c r="MP224"/>
      <c r="MQ224"/>
      <c r="MR224"/>
      <c r="MS224"/>
      <c r="MT224"/>
      <c r="MU224"/>
      <c r="MV224"/>
      <c r="MW224"/>
      <c r="MX224"/>
      <c r="MY224"/>
      <c r="MZ224"/>
      <c r="NA224"/>
      <c r="NB224"/>
      <c r="NC224"/>
      <c r="ND224"/>
      <c r="NE224"/>
      <c r="NF224"/>
      <c r="NG224"/>
      <c r="NH224"/>
      <c r="NI224"/>
      <c r="NJ224"/>
      <c r="NK224"/>
      <c r="NL224"/>
      <c r="NM224"/>
      <c r="NN224"/>
      <c r="NO224"/>
      <c r="NP224"/>
      <c r="NQ224"/>
      <c r="NR224"/>
      <c r="NS224"/>
      <c r="NT224"/>
      <c r="NU224"/>
      <c r="NV224"/>
      <c r="NW224"/>
      <c r="NX224"/>
      <c r="NY224"/>
      <c r="NZ224"/>
      <c r="OA224"/>
      <c r="OB224"/>
      <c r="OC224"/>
      <c r="OD224"/>
      <c r="OE224"/>
      <c r="OF224"/>
      <c r="OG224"/>
      <c r="OH224"/>
      <c r="OI224"/>
      <c r="OJ224"/>
      <c r="OK224"/>
      <c r="OL224"/>
      <c r="OM224"/>
      <c r="ON224"/>
      <c r="OO224"/>
      <c r="OP224"/>
      <c r="OQ224"/>
      <c r="OR224"/>
      <c r="OS224"/>
      <c r="OT224"/>
      <c r="OU224"/>
      <c r="OV224"/>
      <c r="OW224"/>
      <c r="OX224"/>
      <c r="OY224"/>
      <c r="OZ224"/>
      <c r="PA224"/>
      <c r="PB224"/>
      <c r="PC224"/>
      <c r="PD224"/>
      <c r="PE224"/>
      <c r="PF224"/>
      <c r="PG224"/>
      <c r="PH224"/>
      <c r="PI224"/>
      <c r="PJ224"/>
      <c r="PK224"/>
      <c r="PL224"/>
      <c r="PM224"/>
      <c r="PN224"/>
      <c r="PO224"/>
      <c r="PP224"/>
      <c r="PQ224"/>
      <c r="PR224"/>
      <c r="PS224"/>
      <c r="PT224"/>
      <c r="PU224"/>
      <c r="PV224"/>
      <c r="PW224"/>
      <c r="PX224"/>
      <c r="PY224"/>
      <c r="PZ224"/>
      <c r="QA224"/>
      <c r="QB224"/>
      <c r="QC224"/>
      <c r="QD224"/>
      <c r="QE224"/>
      <c r="QF224"/>
      <c r="QG224"/>
      <c r="QH224"/>
      <c r="QI224"/>
      <c r="QJ224"/>
      <c r="QK224"/>
      <c r="QL224"/>
      <c r="QM224"/>
      <c r="QN224"/>
      <c r="QO224"/>
      <c r="QP224"/>
      <c r="QQ224"/>
      <c r="QR224"/>
      <c r="QS224"/>
      <c r="QT224"/>
      <c r="QU224"/>
      <c r="QV224"/>
      <c r="QW224"/>
      <c r="QX224"/>
      <c r="QY224"/>
      <c r="QZ224"/>
      <c r="RA224"/>
      <c r="RB224"/>
      <c r="RC224"/>
      <c r="RD224"/>
      <c r="RE224"/>
      <c r="RF224"/>
      <c r="RG224"/>
      <c r="RH224"/>
      <c r="RI224"/>
      <c r="RJ224"/>
      <c r="RK224"/>
      <c r="RL224"/>
      <c r="RM224"/>
      <c r="RN224"/>
      <c r="RO224"/>
      <c r="RP224"/>
      <c r="RQ224"/>
      <c r="RR224"/>
      <c r="RS224"/>
    </row>
    <row r="225" spans="3:487" x14ac:dyDescent="0.25">
      <c r="C225" s="2" t="s">
        <v>185</v>
      </c>
      <c r="D225" s="34">
        <v>1</v>
      </c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  <c r="BS225"/>
      <c r="BT225"/>
      <c r="BU225"/>
      <c r="BV225"/>
      <c r="BW225"/>
      <c r="BX225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  <c r="CL225"/>
      <c r="CM225"/>
      <c r="CN225"/>
      <c r="CO225"/>
      <c r="CP225"/>
      <c r="CQ225"/>
      <c r="CR225"/>
      <c r="CS225"/>
      <c r="CT225"/>
      <c r="CU225"/>
      <c r="CV225"/>
      <c r="CW225"/>
      <c r="CX225"/>
      <c r="CY225"/>
      <c r="CZ225"/>
      <c r="DA225"/>
      <c r="DB225"/>
      <c r="DC225"/>
      <c r="DD225"/>
      <c r="DE225"/>
      <c r="DF225"/>
      <c r="DG225"/>
      <c r="DH225"/>
      <c r="DI225"/>
      <c r="DJ225"/>
      <c r="DK225"/>
      <c r="DL225"/>
      <c r="DM225"/>
      <c r="DN225"/>
      <c r="DO225"/>
      <c r="DP225"/>
      <c r="DQ225"/>
      <c r="DR225"/>
      <c r="DS225"/>
      <c r="DT225"/>
      <c r="DU225"/>
      <c r="DV225"/>
      <c r="DW225"/>
      <c r="DX225"/>
      <c r="DY225"/>
      <c r="DZ225"/>
      <c r="EA225"/>
      <c r="EB225"/>
      <c r="EC225"/>
      <c r="ED225"/>
      <c r="EE225"/>
      <c r="EF225"/>
      <c r="EG225"/>
      <c r="EH225"/>
      <c r="EI225"/>
      <c r="EJ225"/>
      <c r="EK225"/>
      <c r="EL225"/>
      <c r="EM225"/>
      <c r="EN225"/>
      <c r="EO225"/>
      <c r="EP225"/>
      <c r="EQ225"/>
      <c r="ER225"/>
      <c r="ES225"/>
      <c r="ET225"/>
      <c r="EU225"/>
      <c r="EV225"/>
      <c r="EW225"/>
      <c r="EX225"/>
      <c r="EY225"/>
      <c r="EZ225"/>
      <c r="FA225"/>
      <c r="FB225"/>
      <c r="FC225"/>
      <c r="FD225"/>
      <c r="FE225"/>
      <c r="FF225"/>
      <c r="FG225"/>
      <c r="FH225"/>
      <c r="FI225"/>
      <c r="FJ225"/>
      <c r="FK225"/>
      <c r="FL225"/>
      <c r="FM225"/>
      <c r="FN225"/>
      <c r="FO225"/>
      <c r="FP225"/>
      <c r="FQ225"/>
      <c r="FR225"/>
      <c r="FS225"/>
      <c r="FT225"/>
      <c r="FU225"/>
      <c r="FV225"/>
      <c r="FW225"/>
      <c r="FX225"/>
      <c r="FY225"/>
      <c r="FZ225"/>
      <c r="GA225"/>
      <c r="GB225"/>
      <c r="GC225"/>
      <c r="GD225"/>
      <c r="GE225"/>
      <c r="GF225"/>
      <c r="GG225"/>
      <c r="GH225"/>
      <c r="GI225"/>
      <c r="GJ225"/>
      <c r="GK225"/>
      <c r="GL225"/>
      <c r="GM225"/>
      <c r="GN225"/>
      <c r="GO225"/>
      <c r="GP225"/>
      <c r="GQ225"/>
      <c r="GR225"/>
      <c r="GS225"/>
      <c r="GT225"/>
      <c r="GU225"/>
      <c r="GV225"/>
      <c r="GW225"/>
      <c r="GX225"/>
      <c r="GY225"/>
      <c r="GZ225"/>
      <c r="HA225"/>
      <c r="HB225"/>
      <c r="HC225"/>
      <c r="HD225"/>
      <c r="HE225"/>
      <c r="HF225"/>
      <c r="HG225"/>
      <c r="HH225"/>
      <c r="HI225"/>
      <c r="HJ225"/>
      <c r="HK225"/>
      <c r="HL225"/>
      <c r="HM225"/>
      <c r="HN225"/>
      <c r="HO225"/>
      <c r="HP225"/>
      <c r="HQ225"/>
      <c r="HR225"/>
      <c r="HS225"/>
      <c r="HT225"/>
      <c r="HU225"/>
      <c r="HV225"/>
      <c r="HW225"/>
      <c r="HX225"/>
      <c r="HY225"/>
      <c r="HZ225"/>
      <c r="IA225"/>
      <c r="IB225"/>
      <c r="IC225"/>
      <c r="ID225"/>
      <c r="IE225"/>
      <c r="IF225"/>
      <c r="IG225"/>
      <c r="IH225"/>
      <c r="II225"/>
      <c r="IJ225"/>
      <c r="IK225"/>
      <c r="IL225"/>
      <c r="IM225"/>
      <c r="IN225"/>
      <c r="IO225"/>
      <c r="IP225"/>
      <c r="IQ225"/>
      <c r="IR225"/>
      <c r="IS225"/>
      <c r="IT225"/>
      <c r="IU225"/>
      <c r="IV225"/>
      <c r="IW225"/>
      <c r="IX225"/>
      <c r="IY225"/>
      <c r="IZ225"/>
      <c r="JA225"/>
      <c r="JB225"/>
      <c r="JC225"/>
      <c r="JD225"/>
      <c r="JE225"/>
      <c r="JF225"/>
      <c r="JG225"/>
      <c r="JH225"/>
      <c r="JI225"/>
      <c r="JJ225"/>
      <c r="JK225"/>
      <c r="JL225"/>
      <c r="JM225"/>
      <c r="JN225"/>
      <c r="JO225"/>
      <c r="JP225"/>
      <c r="JQ225"/>
      <c r="JR225"/>
      <c r="JS225"/>
      <c r="JT225"/>
      <c r="JU225"/>
      <c r="JV225"/>
      <c r="JW225"/>
      <c r="JX225"/>
      <c r="JY225"/>
      <c r="JZ225"/>
      <c r="KA225"/>
      <c r="KB225"/>
      <c r="KC225"/>
      <c r="KD225"/>
      <c r="KE225"/>
      <c r="KF225"/>
      <c r="KG225"/>
      <c r="KH225"/>
      <c r="KI225"/>
      <c r="KJ225"/>
      <c r="KK225"/>
      <c r="KL225"/>
      <c r="KM225"/>
      <c r="KN225"/>
      <c r="KO225"/>
      <c r="KP225"/>
      <c r="KQ225"/>
      <c r="KR225"/>
      <c r="KS225"/>
      <c r="KT225"/>
      <c r="KU225"/>
      <c r="KV225"/>
      <c r="KW225"/>
      <c r="KX225"/>
      <c r="KY225"/>
      <c r="KZ225"/>
      <c r="LA225"/>
      <c r="LB225"/>
      <c r="LC225"/>
      <c r="LD225"/>
      <c r="LE225"/>
      <c r="LF225"/>
      <c r="LG225"/>
      <c r="LH225"/>
      <c r="LI225"/>
      <c r="LJ225"/>
      <c r="LK225"/>
      <c r="LL225"/>
      <c r="LM225"/>
      <c r="LN225"/>
      <c r="LO225"/>
      <c r="LP225"/>
      <c r="LQ225"/>
      <c r="LR225"/>
      <c r="LS225"/>
      <c r="LT225"/>
      <c r="LU225"/>
      <c r="LV225"/>
      <c r="LW225"/>
      <c r="LX225"/>
      <c r="LY225"/>
      <c r="LZ225"/>
      <c r="MA225"/>
      <c r="MB225"/>
      <c r="MC225"/>
      <c r="MD225"/>
      <c r="ME225"/>
      <c r="MF225"/>
      <c r="MG225"/>
      <c r="MH225"/>
      <c r="MI225"/>
      <c r="MJ225"/>
      <c r="MK225"/>
      <c r="ML225"/>
      <c r="MM225"/>
      <c r="MN225"/>
      <c r="MO225"/>
      <c r="MP225"/>
      <c r="MQ225"/>
      <c r="MR225"/>
      <c r="MS225"/>
      <c r="MT225"/>
      <c r="MU225"/>
      <c r="MV225"/>
      <c r="MW225"/>
      <c r="MX225"/>
      <c r="MY225"/>
      <c r="MZ225"/>
      <c r="NA225"/>
      <c r="NB225"/>
      <c r="NC225"/>
      <c r="ND225"/>
      <c r="NE225"/>
      <c r="NF225"/>
      <c r="NG225"/>
      <c r="NH225"/>
      <c r="NI225"/>
      <c r="NJ225"/>
      <c r="NK225"/>
      <c r="NL225"/>
      <c r="NM225"/>
      <c r="NN225"/>
      <c r="NO225"/>
      <c r="NP225"/>
      <c r="NQ225"/>
      <c r="NR225"/>
      <c r="NS225"/>
      <c r="NT225"/>
      <c r="NU225"/>
      <c r="NV225"/>
      <c r="NW225"/>
      <c r="NX225"/>
      <c r="NY225"/>
      <c r="NZ225"/>
      <c r="OA225"/>
      <c r="OB225"/>
      <c r="OC225"/>
      <c r="OD225"/>
      <c r="OE225"/>
      <c r="OF225"/>
      <c r="OG225"/>
      <c r="OH225"/>
      <c r="OI225"/>
      <c r="OJ225"/>
      <c r="OK225"/>
      <c r="OL225"/>
      <c r="OM225"/>
      <c r="ON225"/>
      <c r="OO225"/>
      <c r="OP225"/>
      <c r="OQ225"/>
      <c r="OR225"/>
      <c r="OS225"/>
      <c r="OT225"/>
      <c r="OU225"/>
      <c r="OV225"/>
      <c r="OW225"/>
      <c r="OX225"/>
      <c r="OY225"/>
      <c r="OZ225"/>
      <c r="PA225"/>
      <c r="PB225"/>
      <c r="PC225"/>
      <c r="PD225"/>
      <c r="PE225"/>
      <c r="PF225"/>
      <c r="PG225"/>
      <c r="PH225"/>
      <c r="PI225"/>
      <c r="PJ225"/>
      <c r="PK225"/>
      <c r="PL225"/>
      <c r="PM225"/>
      <c r="PN225"/>
      <c r="PO225"/>
      <c r="PP225"/>
      <c r="PQ225"/>
      <c r="PR225"/>
      <c r="PS225"/>
      <c r="PT225"/>
      <c r="PU225"/>
      <c r="PV225"/>
      <c r="PW225"/>
      <c r="PX225"/>
      <c r="PY225"/>
      <c r="PZ225"/>
      <c r="QA225"/>
      <c r="QB225"/>
      <c r="QC225"/>
      <c r="QD225"/>
      <c r="QE225"/>
      <c r="QF225"/>
      <c r="QG225"/>
      <c r="QH225"/>
      <c r="QI225"/>
      <c r="QJ225"/>
      <c r="QK225"/>
      <c r="QL225"/>
      <c r="QM225"/>
      <c r="QN225"/>
      <c r="QO225"/>
      <c r="QP225"/>
      <c r="QQ225"/>
      <c r="QR225"/>
      <c r="QS225"/>
      <c r="QT225"/>
      <c r="QU225"/>
      <c r="QV225"/>
      <c r="QW225"/>
      <c r="QX225"/>
      <c r="QY225"/>
      <c r="QZ225"/>
      <c r="RA225"/>
      <c r="RB225"/>
      <c r="RC225"/>
      <c r="RD225"/>
      <c r="RE225"/>
      <c r="RF225"/>
      <c r="RG225"/>
      <c r="RH225"/>
      <c r="RI225"/>
      <c r="RJ225"/>
      <c r="RK225"/>
      <c r="RL225"/>
      <c r="RM225"/>
      <c r="RN225"/>
      <c r="RO225"/>
      <c r="RP225"/>
      <c r="RQ225"/>
      <c r="RR225"/>
      <c r="RS225"/>
    </row>
    <row r="226" spans="3:487" x14ac:dyDescent="0.25">
      <c r="C226" s="2" t="s">
        <v>341</v>
      </c>
      <c r="D226" s="34">
        <v>1</v>
      </c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  <c r="BN226"/>
      <c r="BO226"/>
      <c r="BP226"/>
      <c r="BQ226"/>
      <c r="BR226"/>
      <c r="BS226"/>
      <c r="BT226"/>
      <c r="BU226"/>
      <c r="BV226"/>
      <c r="BW226"/>
      <c r="BX226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  <c r="CL226"/>
      <c r="CM226"/>
      <c r="CN226"/>
      <c r="CO226"/>
      <c r="CP226"/>
      <c r="CQ226"/>
      <c r="CR226"/>
      <c r="CS226"/>
      <c r="CT226"/>
      <c r="CU226"/>
      <c r="CV226"/>
      <c r="CW226"/>
      <c r="CX226"/>
      <c r="CY226"/>
      <c r="CZ226"/>
      <c r="DA226"/>
      <c r="DB226"/>
      <c r="DC226"/>
      <c r="DD226"/>
      <c r="DE226"/>
      <c r="DF226"/>
      <c r="DG226"/>
      <c r="DH226"/>
      <c r="DI226"/>
      <c r="DJ226"/>
      <c r="DK226"/>
      <c r="DL226"/>
      <c r="DM226"/>
      <c r="DN226"/>
      <c r="DO226"/>
      <c r="DP226"/>
      <c r="DQ226"/>
      <c r="DR226"/>
      <c r="DS226"/>
      <c r="DT226"/>
      <c r="DU226"/>
      <c r="DV226"/>
      <c r="DW226"/>
      <c r="DX226"/>
      <c r="DY226"/>
      <c r="DZ226"/>
      <c r="EA226"/>
      <c r="EB226"/>
      <c r="EC226"/>
      <c r="ED226"/>
      <c r="EE226"/>
      <c r="EF226"/>
      <c r="EG226"/>
      <c r="EH226"/>
      <c r="EI226"/>
      <c r="EJ226"/>
      <c r="EK226"/>
      <c r="EL226"/>
      <c r="EM226"/>
      <c r="EN226"/>
      <c r="EO226"/>
      <c r="EP226"/>
      <c r="EQ226"/>
      <c r="ER226"/>
      <c r="ES226"/>
      <c r="ET226"/>
      <c r="EU226"/>
      <c r="EV226"/>
      <c r="EW226"/>
      <c r="EX226"/>
      <c r="EY226"/>
      <c r="EZ226"/>
      <c r="FA226"/>
      <c r="FB226"/>
      <c r="FC226"/>
      <c r="FD226"/>
      <c r="FE226"/>
      <c r="FF226"/>
      <c r="FG226"/>
      <c r="FH226"/>
      <c r="FI226"/>
      <c r="FJ226"/>
      <c r="FK226"/>
      <c r="FL226"/>
      <c r="FM226"/>
      <c r="FN226"/>
      <c r="FO226"/>
      <c r="FP226"/>
      <c r="FQ226"/>
      <c r="FR226"/>
      <c r="FS226"/>
      <c r="FT226"/>
      <c r="FU226"/>
      <c r="FV226"/>
      <c r="FW226"/>
      <c r="FX226"/>
      <c r="FY226"/>
      <c r="FZ226"/>
      <c r="GA226"/>
      <c r="GB226"/>
      <c r="GC226"/>
      <c r="GD226"/>
      <c r="GE226"/>
      <c r="GF226"/>
      <c r="GG226"/>
      <c r="GH226"/>
      <c r="GI226"/>
      <c r="GJ226"/>
      <c r="GK226"/>
      <c r="GL226"/>
      <c r="GM226"/>
      <c r="GN226"/>
      <c r="GO226"/>
      <c r="GP226"/>
      <c r="GQ226"/>
      <c r="GR226"/>
      <c r="GS226"/>
      <c r="GT226"/>
      <c r="GU226"/>
      <c r="GV226"/>
      <c r="GW226"/>
      <c r="GX226"/>
      <c r="GY226"/>
      <c r="GZ226"/>
      <c r="HA226"/>
      <c r="HB226"/>
      <c r="HC226"/>
      <c r="HD226"/>
      <c r="HE226"/>
      <c r="HF226"/>
      <c r="HG226"/>
      <c r="HH226"/>
      <c r="HI226"/>
      <c r="HJ226"/>
      <c r="HK226"/>
      <c r="HL226"/>
      <c r="HM226"/>
      <c r="HN226"/>
      <c r="HO226"/>
      <c r="HP226"/>
      <c r="HQ226"/>
      <c r="HR226"/>
      <c r="HS226"/>
      <c r="HT226"/>
      <c r="HU226"/>
      <c r="HV226"/>
      <c r="HW226"/>
      <c r="HX226"/>
      <c r="HY226"/>
      <c r="HZ226"/>
      <c r="IA226"/>
      <c r="IB226"/>
      <c r="IC226"/>
      <c r="ID226"/>
      <c r="IE226"/>
      <c r="IF226"/>
      <c r="IG226"/>
      <c r="IH226"/>
      <c r="II226"/>
      <c r="IJ226"/>
      <c r="IK226"/>
      <c r="IL226"/>
      <c r="IM226"/>
      <c r="IN226"/>
      <c r="IO226"/>
      <c r="IP226"/>
      <c r="IQ226"/>
      <c r="IR226"/>
      <c r="IS226"/>
      <c r="IT226"/>
      <c r="IU226"/>
      <c r="IV226"/>
      <c r="IW226"/>
      <c r="IX226"/>
      <c r="IY226"/>
      <c r="IZ226"/>
      <c r="JA226"/>
      <c r="JB226"/>
      <c r="JC226"/>
      <c r="JD226"/>
      <c r="JE226"/>
      <c r="JF226"/>
      <c r="JG226"/>
      <c r="JH226"/>
      <c r="JI226"/>
      <c r="JJ226"/>
      <c r="JK226"/>
      <c r="JL226"/>
      <c r="JM226"/>
      <c r="JN226"/>
      <c r="JO226"/>
      <c r="JP226"/>
      <c r="JQ226"/>
      <c r="JR226"/>
      <c r="JS226"/>
      <c r="JT226"/>
      <c r="JU226"/>
      <c r="JV226"/>
      <c r="JW226"/>
      <c r="JX226"/>
      <c r="JY226"/>
      <c r="JZ226"/>
      <c r="KA226"/>
      <c r="KB226"/>
      <c r="KC226"/>
      <c r="KD226"/>
      <c r="KE226"/>
      <c r="KF226"/>
      <c r="KG226"/>
      <c r="KH226"/>
      <c r="KI226"/>
      <c r="KJ226"/>
      <c r="KK226"/>
      <c r="KL226"/>
      <c r="KM226"/>
      <c r="KN226"/>
      <c r="KO226"/>
      <c r="KP226"/>
      <c r="KQ226"/>
      <c r="KR226"/>
      <c r="KS226"/>
      <c r="KT226"/>
      <c r="KU226"/>
      <c r="KV226"/>
      <c r="KW226"/>
      <c r="KX226"/>
      <c r="KY226"/>
      <c r="KZ226"/>
      <c r="LA226"/>
      <c r="LB226"/>
      <c r="LC226"/>
      <c r="LD226"/>
      <c r="LE226"/>
      <c r="LF226"/>
      <c r="LG226"/>
      <c r="LH226"/>
      <c r="LI226"/>
      <c r="LJ226"/>
      <c r="LK226"/>
      <c r="LL226"/>
      <c r="LM226"/>
      <c r="LN226"/>
      <c r="LO226"/>
      <c r="LP226"/>
      <c r="LQ226"/>
      <c r="LR226"/>
      <c r="LS226"/>
      <c r="LT226"/>
      <c r="LU226"/>
      <c r="LV226"/>
      <c r="LW226"/>
      <c r="LX226"/>
      <c r="LY226"/>
      <c r="LZ226"/>
      <c r="MA226"/>
      <c r="MB226"/>
      <c r="MC226"/>
      <c r="MD226"/>
      <c r="ME226"/>
      <c r="MF226"/>
      <c r="MG226"/>
      <c r="MH226"/>
      <c r="MI226"/>
      <c r="MJ226"/>
      <c r="MK226"/>
      <c r="ML226"/>
      <c r="MM226"/>
      <c r="MN226"/>
      <c r="MO226"/>
      <c r="MP226"/>
      <c r="MQ226"/>
      <c r="MR226"/>
      <c r="MS226"/>
      <c r="MT226"/>
      <c r="MU226"/>
      <c r="MV226"/>
      <c r="MW226"/>
      <c r="MX226"/>
      <c r="MY226"/>
      <c r="MZ226"/>
      <c r="NA226"/>
      <c r="NB226"/>
      <c r="NC226"/>
      <c r="ND226"/>
      <c r="NE226"/>
      <c r="NF226"/>
      <c r="NG226"/>
      <c r="NH226"/>
      <c r="NI226"/>
      <c r="NJ226"/>
      <c r="NK226"/>
      <c r="NL226"/>
      <c r="NM226"/>
      <c r="NN226"/>
      <c r="NO226"/>
      <c r="NP226"/>
      <c r="NQ226"/>
      <c r="NR226"/>
      <c r="NS226"/>
      <c r="NT226"/>
      <c r="NU226"/>
      <c r="NV226"/>
      <c r="NW226"/>
      <c r="NX226"/>
      <c r="NY226"/>
      <c r="NZ226"/>
      <c r="OA226"/>
      <c r="OB226"/>
      <c r="OC226"/>
      <c r="OD226"/>
      <c r="OE226"/>
      <c r="OF226"/>
      <c r="OG226"/>
      <c r="OH226"/>
      <c r="OI226"/>
      <c r="OJ226"/>
      <c r="OK226"/>
      <c r="OL226"/>
      <c r="OM226"/>
      <c r="ON226"/>
      <c r="OO226"/>
      <c r="OP226"/>
      <c r="OQ226"/>
      <c r="OR226"/>
      <c r="OS226"/>
      <c r="OT226"/>
      <c r="OU226"/>
      <c r="OV226"/>
      <c r="OW226"/>
      <c r="OX226"/>
      <c r="OY226"/>
      <c r="OZ226"/>
      <c r="PA226"/>
      <c r="PB226"/>
      <c r="PC226"/>
      <c r="PD226"/>
      <c r="PE226"/>
      <c r="PF226"/>
      <c r="PG226"/>
      <c r="PH226"/>
      <c r="PI226"/>
      <c r="PJ226"/>
      <c r="PK226"/>
      <c r="PL226"/>
      <c r="PM226"/>
      <c r="PN226"/>
      <c r="PO226"/>
      <c r="PP226"/>
      <c r="PQ226"/>
      <c r="PR226"/>
      <c r="PS226"/>
      <c r="PT226"/>
      <c r="PU226"/>
      <c r="PV226"/>
      <c r="PW226"/>
      <c r="PX226"/>
      <c r="PY226"/>
      <c r="PZ226"/>
      <c r="QA226"/>
      <c r="QB226"/>
      <c r="QC226"/>
      <c r="QD226"/>
      <c r="QE226"/>
      <c r="QF226"/>
      <c r="QG226"/>
      <c r="QH226"/>
      <c r="QI226"/>
      <c r="QJ226"/>
      <c r="QK226"/>
      <c r="QL226"/>
      <c r="QM226"/>
      <c r="QN226"/>
      <c r="QO226"/>
      <c r="QP226"/>
      <c r="QQ226"/>
      <c r="QR226"/>
      <c r="QS226"/>
      <c r="QT226"/>
      <c r="QU226"/>
      <c r="QV226"/>
      <c r="QW226"/>
      <c r="QX226"/>
      <c r="QY226"/>
      <c r="QZ226"/>
      <c r="RA226"/>
      <c r="RB226"/>
      <c r="RC226"/>
      <c r="RD226"/>
      <c r="RE226"/>
      <c r="RF226"/>
      <c r="RG226"/>
      <c r="RH226"/>
      <c r="RI226"/>
      <c r="RJ226"/>
      <c r="RK226"/>
      <c r="RL226"/>
      <c r="RM226"/>
      <c r="RN226"/>
      <c r="RO226"/>
      <c r="RP226"/>
      <c r="RQ226"/>
      <c r="RR226"/>
      <c r="RS226"/>
    </row>
    <row r="227" spans="3:487" x14ac:dyDescent="0.25">
      <c r="C227" s="2" t="s">
        <v>255</v>
      </c>
      <c r="D227" s="34">
        <v>1</v>
      </c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  <c r="BN227"/>
      <c r="BO227"/>
      <c r="BP227"/>
      <c r="BQ227"/>
      <c r="BR227"/>
      <c r="BS227"/>
      <c r="BT227"/>
      <c r="BU227"/>
      <c r="BV227"/>
      <c r="BW227"/>
      <c r="BX227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  <c r="CL227"/>
      <c r="CM227"/>
      <c r="CN227"/>
      <c r="CO227"/>
      <c r="CP227"/>
      <c r="CQ227"/>
      <c r="CR227"/>
      <c r="CS227"/>
      <c r="CT227"/>
      <c r="CU227"/>
      <c r="CV227"/>
      <c r="CW227"/>
      <c r="CX227"/>
      <c r="CY227"/>
      <c r="CZ227"/>
      <c r="DA227"/>
      <c r="DB227"/>
      <c r="DC227"/>
      <c r="DD227"/>
      <c r="DE227"/>
      <c r="DF227"/>
      <c r="DG227"/>
      <c r="DH227"/>
      <c r="DI227"/>
      <c r="DJ227"/>
      <c r="DK227"/>
      <c r="DL227"/>
      <c r="DM227"/>
      <c r="DN227"/>
      <c r="DO227"/>
      <c r="DP227"/>
      <c r="DQ227"/>
      <c r="DR227"/>
      <c r="DS227"/>
      <c r="DT227"/>
      <c r="DU227"/>
      <c r="DV227"/>
      <c r="DW227"/>
      <c r="DX227"/>
      <c r="DY227"/>
      <c r="DZ227"/>
      <c r="EA227"/>
      <c r="EB227"/>
      <c r="EC227"/>
      <c r="ED227"/>
      <c r="EE227"/>
      <c r="EF227"/>
      <c r="EG227"/>
      <c r="EH227"/>
      <c r="EI227"/>
      <c r="EJ227"/>
      <c r="EK227"/>
      <c r="EL227"/>
      <c r="EM227"/>
      <c r="EN227"/>
      <c r="EO227"/>
      <c r="EP227"/>
      <c r="EQ227"/>
      <c r="ER227"/>
      <c r="ES227"/>
      <c r="ET227"/>
      <c r="EU227"/>
      <c r="EV227"/>
      <c r="EW227"/>
      <c r="EX227"/>
      <c r="EY227"/>
      <c r="EZ227"/>
      <c r="FA227"/>
      <c r="FB227"/>
      <c r="FC227"/>
      <c r="FD227"/>
      <c r="FE227"/>
      <c r="FF227"/>
      <c r="FG227"/>
      <c r="FH227"/>
      <c r="FI227"/>
      <c r="FJ227"/>
      <c r="FK227"/>
      <c r="FL227"/>
      <c r="FM227"/>
      <c r="FN227"/>
      <c r="FO227"/>
      <c r="FP227"/>
      <c r="FQ227"/>
      <c r="FR227"/>
      <c r="FS227"/>
      <c r="FT227"/>
      <c r="FU227"/>
      <c r="FV227"/>
      <c r="FW227"/>
      <c r="FX227"/>
      <c r="FY227"/>
      <c r="FZ227"/>
      <c r="GA227"/>
      <c r="GB227"/>
      <c r="GC227"/>
      <c r="GD227"/>
      <c r="GE227"/>
      <c r="GF227"/>
      <c r="GG227"/>
      <c r="GH227"/>
      <c r="GI227"/>
      <c r="GJ227"/>
      <c r="GK227"/>
      <c r="GL227"/>
      <c r="GM227"/>
      <c r="GN227"/>
      <c r="GO227"/>
      <c r="GP227"/>
      <c r="GQ227"/>
      <c r="GR227"/>
      <c r="GS227"/>
      <c r="GT227"/>
      <c r="GU227"/>
      <c r="GV227"/>
      <c r="GW227"/>
      <c r="GX227"/>
      <c r="GY227"/>
      <c r="GZ227"/>
      <c r="HA227"/>
      <c r="HB227"/>
      <c r="HC227"/>
      <c r="HD227"/>
      <c r="HE227"/>
      <c r="HF227"/>
      <c r="HG227"/>
      <c r="HH227"/>
      <c r="HI227"/>
      <c r="HJ227"/>
      <c r="HK227"/>
      <c r="HL227"/>
      <c r="HM227"/>
      <c r="HN227"/>
      <c r="HO227"/>
      <c r="HP227"/>
      <c r="HQ227"/>
      <c r="HR227"/>
      <c r="HS227"/>
      <c r="HT227"/>
      <c r="HU227"/>
      <c r="HV227"/>
      <c r="HW227"/>
      <c r="HX227"/>
      <c r="HY227"/>
      <c r="HZ227"/>
      <c r="IA227"/>
      <c r="IB227"/>
      <c r="IC227"/>
      <c r="ID227"/>
      <c r="IE227"/>
      <c r="IF227"/>
      <c r="IG227"/>
      <c r="IH227"/>
      <c r="II227"/>
      <c r="IJ227"/>
      <c r="IK227"/>
      <c r="IL227"/>
      <c r="IM227"/>
      <c r="IN227"/>
      <c r="IO227"/>
      <c r="IP227"/>
      <c r="IQ227"/>
      <c r="IR227"/>
      <c r="IS227"/>
      <c r="IT227"/>
      <c r="IU227"/>
      <c r="IV227"/>
      <c r="IW227"/>
      <c r="IX227"/>
      <c r="IY227"/>
      <c r="IZ227"/>
      <c r="JA227"/>
      <c r="JB227"/>
      <c r="JC227"/>
      <c r="JD227"/>
      <c r="JE227"/>
      <c r="JF227"/>
      <c r="JG227"/>
      <c r="JH227"/>
      <c r="JI227"/>
      <c r="JJ227"/>
      <c r="JK227"/>
      <c r="JL227"/>
      <c r="JM227"/>
      <c r="JN227"/>
      <c r="JO227"/>
      <c r="JP227"/>
      <c r="JQ227"/>
      <c r="JR227"/>
      <c r="JS227"/>
      <c r="JT227"/>
      <c r="JU227"/>
      <c r="JV227"/>
      <c r="JW227"/>
      <c r="JX227"/>
      <c r="JY227"/>
      <c r="JZ227"/>
      <c r="KA227"/>
      <c r="KB227"/>
      <c r="KC227"/>
      <c r="KD227"/>
      <c r="KE227"/>
      <c r="KF227"/>
      <c r="KG227"/>
      <c r="KH227"/>
      <c r="KI227"/>
      <c r="KJ227"/>
      <c r="KK227"/>
      <c r="KL227"/>
      <c r="KM227"/>
      <c r="KN227"/>
      <c r="KO227"/>
      <c r="KP227"/>
      <c r="KQ227"/>
      <c r="KR227"/>
      <c r="KS227"/>
      <c r="KT227"/>
      <c r="KU227"/>
      <c r="KV227"/>
      <c r="KW227"/>
      <c r="KX227"/>
      <c r="KY227"/>
      <c r="KZ227"/>
      <c r="LA227"/>
      <c r="LB227"/>
      <c r="LC227"/>
      <c r="LD227"/>
      <c r="LE227"/>
      <c r="LF227"/>
      <c r="LG227"/>
      <c r="LH227"/>
      <c r="LI227"/>
      <c r="LJ227"/>
      <c r="LK227"/>
      <c r="LL227"/>
      <c r="LM227"/>
      <c r="LN227"/>
      <c r="LO227"/>
      <c r="LP227"/>
      <c r="LQ227"/>
      <c r="LR227"/>
      <c r="LS227"/>
      <c r="LT227"/>
      <c r="LU227"/>
      <c r="LV227"/>
      <c r="LW227"/>
      <c r="LX227"/>
      <c r="LY227"/>
      <c r="LZ227"/>
      <c r="MA227"/>
      <c r="MB227"/>
      <c r="MC227"/>
      <c r="MD227"/>
      <c r="ME227"/>
      <c r="MF227"/>
      <c r="MG227"/>
      <c r="MH227"/>
      <c r="MI227"/>
      <c r="MJ227"/>
      <c r="MK227"/>
      <c r="ML227"/>
      <c r="MM227"/>
      <c r="MN227"/>
      <c r="MO227"/>
      <c r="MP227"/>
      <c r="MQ227"/>
      <c r="MR227"/>
      <c r="MS227"/>
      <c r="MT227"/>
      <c r="MU227"/>
      <c r="MV227"/>
      <c r="MW227"/>
      <c r="MX227"/>
      <c r="MY227"/>
      <c r="MZ227"/>
      <c r="NA227"/>
      <c r="NB227"/>
      <c r="NC227"/>
      <c r="ND227"/>
      <c r="NE227"/>
      <c r="NF227"/>
      <c r="NG227"/>
      <c r="NH227"/>
      <c r="NI227"/>
      <c r="NJ227"/>
      <c r="NK227"/>
      <c r="NL227"/>
      <c r="NM227"/>
      <c r="NN227"/>
      <c r="NO227"/>
      <c r="NP227"/>
      <c r="NQ227"/>
      <c r="NR227"/>
      <c r="NS227"/>
      <c r="NT227"/>
      <c r="NU227"/>
      <c r="NV227"/>
      <c r="NW227"/>
      <c r="NX227"/>
      <c r="NY227"/>
      <c r="NZ227"/>
      <c r="OA227"/>
      <c r="OB227"/>
      <c r="OC227"/>
      <c r="OD227"/>
      <c r="OE227"/>
      <c r="OF227"/>
      <c r="OG227"/>
      <c r="OH227"/>
      <c r="OI227"/>
      <c r="OJ227"/>
      <c r="OK227"/>
      <c r="OL227"/>
      <c r="OM227"/>
      <c r="ON227"/>
      <c r="OO227"/>
      <c r="OP227"/>
      <c r="OQ227"/>
      <c r="OR227"/>
      <c r="OS227"/>
      <c r="OT227"/>
      <c r="OU227"/>
      <c r="OV227"/>
      <c r="OW227"/>
      <c r="OX227"/>
      <c r="OY227"/>
      <c r="OZ227"/>
      <c r="PA227"/>
      <c r="PB227"/>
      <c r="PC227"/>
      <c r="PD227"/>
      <c r="PE227"/>
      <c r="PF227"/>
      <c r="PG227"/>
      <c r="PH227"/>
      <c r="PI227"/>
      <c r="PJ227"/>
      <c r="PK227"/>
      <c r="PL227"/>
      <c r="PM227"/>
      <c r="PN227"/>
      <c r="PO227"/>
      <c r="PP227"/>
      <c r="PQ227"/>
      <c r="PR227"/>
      <c r="PS227"/>
      <c r="PT227"/>
      <c r="PU227"/>
      <c r="PV227"/>
      <c r="PW227"/>
      <c r="PX227"/>
      <c r="PY227"/>
      <c r="PZ227"/>
      <c r="QA227"/>
      <c r="QB227"/>
      <c r="QC227"/>
      <c r="QD227"/>
      <c r="QE227"/>
      <c r="QF227"/>
      <c r="QG227"/>
      <c r="QH227"/>
      <c r="QI227"/>
      <c r="QJ227"/>
      <c r="QK227"/>
      <c r="QL227"/>
      <c r="QM227"/>
      <c r="QN227"/>
      <c r="QO227"/>
      <c r="QP227"/>
      <c r="QQ227"/>
      <c r="QR227"/>
      <c r="QS227"/>
      <c r="QT227"/>
      <c r="QU227"/>
      <c r="QV227"/>
      <c r="QW227"/>
      <c r="QX227"/>
      <c r="QY227"/>
      <c r="QZ227"/>
      <c r="RA227"/>
      <c r="RB227"/>
      <c r="RC227"/>
      <c r="RD227"/>
      <c r="RE227"/>
      <c r="RF227"/>
      <c r="RG227"/>
      <c r="RH227"/>
      <c r="RI227"/>
      <c r="RJ227"/>
      <c r="RK227"/>
      <c r="RL227"/>
      <c r="RM227"/>
      <c r="RN227"/>
      <c r="RO227"/>
      <c r="RP227"/>
      <c r="RQ227"/>
      <c r="RR227"/>
      <c r="RS227"/>
    </row>
    <row r="228" spans="3:487" x14ac:dyDescent="0.25">
      <c r="C228" s="2" t="s">
        <v>135</v>
      </c>
      <c r="D228" s="34">
        <v>1</v>
      </c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  <c r="BN228"/>
      <c r="BO228"/>
      <c r="BP228"/>
      <c r="BQ228"/>
      <c r="BR228"/>
      <c r="BS228"/>
      <c r="BT228"/>
      <c r="BU228"/>
      <c r="BV228"/>
      <c r="BW228"/>
      <c r="BX228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  <c r="CL228"/>
      <c r="CM228"/>
      <c r="CN228"/>
      <c r="CO228"/>
      <c r="CP228"/>
      <c r="CQ228"/>
      <c r="CR228"/>
      <c r="CS228"/>
      <c r="CT228"/>
      <c r="CU228"/>
      <c r="CV228"/>
      <c r="CW228"/>
      <c r="CX228"/>
      <c r="CY228"/>
      <c r="CZ228"/>
      <c r="DA228"/>
      <c r="DB228"/>
      <c r="DC228"/>
      <c r="DD228"/>
      <c r="DE228"/>
      <c r="DF228"/>
      <c r="DG228"/>
      <c r="DH228"/>
      <c r="DI228"/>
      <c r="DJ228"/>
      <c r="DK228"/>
      <c r="DL228"/>
      <c r="DM228"/>
      <c r="DN228"/>
      <c r="DO228"/>
      <c r="DP228"/>
      <c r="DQ228"/>
      <c r="DR228"/>
      <c r="DS228"/>
      <c r="DT228"/>
      <c r="DU228"/>
      <c r="DV228"/>
      <c r="DW228"/>
      <c r="DX228"/>
      <c r="DY228"/>
      <c r="DZ228"/>
      <c r="EA228"/>
      <c r="EB228"/>
      <c r="EC228"/>
      <c r="ED228"/>
      <c r="EE228"/>
      <c r="EF228"/>
      <c r="EG228"/>
      <c r="EH228"/>
      <c r="EI228"/>
      <c r="EJ228"/>
      <c r="EK228"/>
      <c r="EL228"/>
      <c r="EM228"/>
      <c r="EN228"/>
      <c r="EO228"/>
      <c r="EP228"/>
      <c r="EQ228"/>
      <c r="ER228"/>
      <c r="ES228"/>
      <c r="ET228"/>
      <c r="EU228"/>
      <c r="EV228"/>
      <c r="EW228"/>
      <c r="EX228"/>
      <c r="EY228"/>
      <c r="EZ228"/>
      <c r="FA228"/>
      <c r="FB228"/>
      <c r="FC228"/>
      <c r="FD228"/>
      <c r="FE228"/>
      <c r="FF228"/>
      <c r="FG228"/>
      <c r="FH228"/>
      <c r="FI228"/>
      <c r="FJ228"/>
      <c r="FK228"/>
      <c r="FL228"/>
      <c r="FM228"/>
      <c r="FN228"/>
      <c r="FO228"/>
      <c r="FP228"/>
      <c r="FQ228"/>
      <c r="FR228"/>
      <c r="FS228"/>
      <c r="FT228"/>
      <c r="FU228"/>
      <c r="FV228"/>
      <c r="FW228"/>
      <c r="FX228"/>
      <c r="FY228"/>
      <c r="FZ228"/>
      <c r="GA228"/>
      <c r="GB228"/>
      <c r="GC228"/>
      <c r="GD228"/>
      <c r="GE228"/>
      <c r="GF228"/>
      <c r="GG228"/>
      <c r="GH228"/>
      <c r="GI228"/>
      <c r="GJ228"/>
      <c r="GK228"/>
      <c r="GL228"/>
      <c r="GM228"/>
      <c r="GN228"/>
      <c r="GO228"/>
      <c r="GP228"/>
      <c r="GQ228"/>
      <c r="GR228"/>
      <c r="GS228"/>
      <c r="GT228"/>
      <c r="GU228"/>
      <c r="GV228"/>
      <c r="GW228"/>
      <c r="GX228"/>
      <c r="GY228"/>
      <c r="GZ228"/>
      <c r="HA228"/>
      <c r="HB228"/>
      <c r="HC228"/>
      <c r="HD228"/>
      <c r="HE228"/>
      <c r="HF228"/>
      <c r="HG228"/>
      <c r="HH228"/>
      <c r="HI228"/>
      <c r="HJ228"/>
      <c r="HK228"/>
      <c r="HL228"/>
      <c r="HM228"/>
      <c r="HN228"/>
      <c r="HO228"/>
      <c r="HP228"/>
      <c r="HQ228"/>
      <c r="HR228"/>
      <c r="HS228"/>
      <c r="HT228"/>
      <c r="HU228"/>
      <c r="HV228"/>
      <c r="HW228"/>
      <c r="HX228"/>
      <c r="HY228"/>
      <c r="HZ228"/>
      <c r="IA228"/>
      <c r="IB228"/>
      <c r="IC228"/>
      <c r="ID228"/>
      <c r="IE228"/>
      <c r="IF228"/>
      <c r="IG228"/>
      <c r="IH228"/>
      <c r="II228"/>
      <c r="IJ228"/>
      <c r="IK228"/>
      <c r="IL228"/>
      <c r="IM228"/>
      <c r="IN228"/>
      <c r="IO228"/>
      <c r="IP228"/>
      <c r="IQ228"/>
      <c r="IR228"/>
      <c r="IS228"/>
      <c r="IT228"/>
      <c r="IU228"/>
      <c r="IV228"/>
      <c r="IW228"/>
      <c r="IX228"/>
      <c r="IY228"/>
      <c r="IZ228"/>
      <c r="JA228"/>
      <c r="JB228"/>
      <c r="JC228"/>
      <c r="JD228"/>
      <c r="JE228"/>
      <c r="JF228"/>
      <c r="JG228"/>
      <c r="JH228"/>
      <c r="JI228"/>
      <c r="JJ228"/>
      <c r="JK228"/>
      <c r="JL228"/>
      <c r="JM228"/>
      <c r="JN228"/>
      <c r="JO228"/>
      <c r="JP228"/>
      <c r="JQ228"/>
      <c r="JR228"/>
      <c r="JS228"/>
      <c r="JT228"/>
      <c r="JU228"/>
      <c r="JV228"/>
      <c r="JW228"/>
      <c r="JX228"/>
      <c r="JY228"/>
      <c r="JZ228"/>
      <c r="KA228"/>
      <c r="KB228"/>
      <c r="KC228"/>
      <c r="KD228"/>
      <c r="KE228"/>
      <c r="KF228"/>
      <c r="KG228"/>
      <c r="KH228"/>
      <c r="KI228"/>
      <c r="KJ228"/>
      <c r="KK228"/>
      <c r="KL228"/>
      <c r="KM228"/>
      <c r="KN228"/>
      <c r="KO228"/>
      <c r="KP228"/>
      <c r="KQ228"/>
      <c r="KR228"/>
      <c r="KS228"/>
      <c r="KT228"/>
      <c r="KU228"/>
      <c r="KV228"/>
      <c r="KW228"/>
      <c r="KX228"/>
      <c r="KY228"/>
      <c r="KZ228"/>
      <c r="LA228"/>
      <c r="LB228"/>
      <c r="LC228"/>
      <c r="LD228"/>
      <c r="LE228"/>
      <c r="LF228"/>
      <c r="LG228"/>
      <c r="LH228"/>
      <c r="LI228"/>
      <c r="LJ228"/>
      <c r="LK228"/>
      <c r="LL228"/>
      <c r="LM228"/>
      <c r="LN228"/>
      <c r="LO228"/>
      <c r="LP228"/>
      <c r="LQ228"/>
      <c r="LR228"/>
      <c r="LS228"/>
      <c r="LT228"/>
      <c r="LU228"/>
      <c r="LV228"/>
      <c r="LW228"/>
      <c r="LX228"/>
      <c r="LY228"/>
      <c r="LZ228"/>
      <c r="MA228"/>
      <c r="MB228"/>
      <c r="MC228"/>
      <c r="MD228"/>
      <c r="ME228"/>
      <c r="MF228"/>
      <c r="MG228"/>
      <c r="MH228"/>
      <c r="MI228"/>
      <c r="MJ228"/>
      <c r="MK228"/>
      <c r="ML228"/>
      <c r="MM228"/>
      <c r="MN228"/>
      <c r="MO228"/>
      <c r="MP228"/>
      <c r="MQ228"/>
      <c r="MR228"/>
      <c r="MS228"/>
      <c r="MT228"/>
      <c r="MU228"/>
      <c r="MV228"/>
      <c r="MW228"/>
      <c r="MX228"/>
      <c r="MY228"/>
      <c r="MZ228"/>
      <c r="NA228"/>
      <c r="NB228"/>
      <c r="NC228"/>
      <c r="ND228"/>
      <c r="NE228"/>
      <c r="NF228"/>
      <c r="NG228"/>
      <c r="NH228"/>
      <c r="NI228"/>
      <c r="NJ228"/>
      <c r="NK228"/>
      <c r="NL228"/>
      <c r="NM228"/>
      <c r="NN228"/>
      <c r="NO228"/>
      <c r="NP228"/>
      <c r="NQ228"/>
      <c r="NR228"/>
      <c r="NS228"/>
      <c r="NT228"/>
      <c r="NU228"/>
      <c r="NV228"/>
      <c r="NW228"/>
      <c r="NX228"/>
      <c r="NY228"/>
      <c r="NZ228"/>
      <c r="OA228"/>
      <c r="OB228"/>
      <c r="OC228"/>
      <c r="OD228"/>
      <c r="OE228"/>
      <c r="OF228"/>
      <c r="OG228"/>
      <c r="OH228"/>
      <c r="OI228"/>
      <c r="OJ228"/>
      <c r="OK228"/>
      <c r="OL228"/>
      <c r="OM228"/>
      <c r="ON228"/>
      <c r="OO228"/>
      <c r="OP228"/>
      <c r="OQ228"/>
      <c r="OR228"/>
      <c r="OS228"/>
      <c r="OT228"/>
      <c r="OU228"/>
      <c r="OV228"/>
      <c r="OW228"/>
      <c r="OX228"/>
      <c r="OY228"/>
      <c r="OZ228"/>
      <c r="PA228"/>
      <c r="PB228"/>
      <c r="PC228"/>
      <c r="PD228"/>
      <c r="PE228"/>
      <c r="PF228"/>
      <c r="PG228"/>
      <c r="PH228"/>
      <c r="PI228"/>
      <c r="PJ228"/>
      <c r="PK228"/>
      <c r="PL228"/>
      <c r="PM228"/>
      <c r="PN228"/>
      <c r="PO228"/>
      <c r="PP228"/>
      <c r="PQ228"/>
      <c r="PR228"/>
      <c r="PS228"/>
      <c r="PT228"/>
      <c r="PU228"/>
      <c r="PV228"/>
      <c r="PW228"/>
      <c r="PX228"/>
      <c r="PY228"/>
      <c r="PZ228"/>
      <c r="QA228"/>
      <c r="QB228"/>
      <c r="QC228"/>
      <c r="QD228"/>
      <c r="QE228"/>
      <c r="QF228"/>
      <c r="QG228"/>
      <c r="QH228"/>
      <c r="QI228"/>
      <c r="QJ228"/>
      <c r="QK228"/>
      <c r="QL228"/>
      <c r="QM228"/>
      <c r="QN228"/>
      <c r="QO228"/>
      <c r="QP228"/>
      <c r="QQ228"/>
      <c r="QR228"/>
      <c r="QS228"/>
      <c r="QT228"/>
      <c r="QU228"/>
      <c r="QV228"/>
      <c r="QW228"/>
      <c r="QX228"/>
      <c r="QY228"/>
      <c r="QZ228"/>
      <c r="RA228"/>
      <c r="RB228"/>
      <c r="RC228"/>
      <c r="RD228"/>
      <c r="RE228"/>
      <c r="RF228"/>
      <c r="RG228"/>
      <c r="RH228"/>
      <c r="RI228"/>
      <c r="RJ228"/>
      <c r="RK228"/>
      <c r="RL228"/>
      <c r="RM228"/>
      <c r="RN228"/>
      <c r="RO228"/>
      <c r="RP228"/>
      <c r="RQ228"/>
      <c r="RR228"/>
      <c r="RS228"/>
    </row>
    <row r="229" spans="3:487" x14ac:dyDescent="0.25">
      <c r="C229" s="2" t="s">
        <v>3675</v>
      </c>
      <c r="D229" s="34">
        <v>1</v>
      </c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  <c r="BN229"/>
      <c r="BO229"/>
      <c r="BP229"/>
      <c r="BQ229"/>
      <c r="BR229"/>
      <c r="BS229"/>
      <c r="BT229"/>
      <c r="BU229"/>
      <c r="BV229"/>
      <c r="BW229"/>
      <c r="BX229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  <c r="CL229"/>
      <c r="CM229"/>
      <c r="CN229"/>
      <c r="CO229"/>
      <c r="CP229"/>
      <c r="CQ229"/>
      <c r="CR229"/>
      <c r="CS229"/>
      <c r="CT229"/>
      <c r="CU229"/>
      <c r="CV229"/>
      <c r="CW229"/>
      <c r="CX229"/>
      <c r="CY229"/>
      <c r="CZ229"/>
      <c r="DA229"/>
      <c r="DB229"/>
      <c r="DC229"/>
      <c r="DD229"/>
      <c r="DE229"/>
      <c r="DF229"/>
      <c r="DG229"/>
      <c r="DH229"/>
      <c r="DI229"/>
      <c r="DJ229"/>
      <c r="DK229"/>
      <c r="DL229"/>
      <c r="DM229"/>
      <c r="DN229"/>
      <c r="DO229"/>
      <c r="DP229"/>
      <c r="DQ229"/>
      <c r="DR229"/>
      <c r="DS229"/>
      <c r="DT229"/>
      <c r="DU229"/>
      <c r="DV229"/>
      <c r="DW229"/>
      <c r="DX229"/>
      <c r="DY229"/>
      <c r="DZ229"/>
      <c r="EA229"/>
      <c r="EB229"/>
      <c r="EC229"/>
      <c r="ED229"/>
      <c r="EE229"/>
      <c r="EF229"/>
      <c r="EG229"/>
      <c r="EH229"/>
      <c r="EI229"/>
      <c r="EJ229"/>
      <c r="EK229"/>
      <c r="EL229"/>
      <c r="EM229"/>
      <c r="EN229"/>
      <c r="EO229"/>
      <c r="EP229"/>
      <c r="EQ229"/>
      <c r="ER229"/>
      <c r="ES229"/>
      <c r="ET229"/>
      <c r="EU229"/>
      <c r="EV229"/>
      <c r="EW229"/>
      <c r="EX229"/>
      <c r="EY229"/>
      <c r="EZ229"/>
      <c r="FA229"/>
      <c r="FB229"/>
      <c r="FC229"/>
      <c r="FD229"/>
      <c r="FE229"/>
      <c r="FF229"/>
      <c r="FG229"/>
      <c r="FH229"/>
      <c r="FI229"/>
      <c r="FJ229"/>
      <c r="FK229"/>
      <c r="FL229"/>
      <c r="FM229"/>
      <c r="FN229"/>
      <c r="FO229"/>
      <c r="FP229"/>
      <c r="FQ229"/>
      <c r="FR229"/>
      <c r="FS229"/>
      <c r="FT229"/>
      <c r="FU229"/>
      <c r="FV229"/>
      <c r="FW229"/>
      <c r="FX229"/>
      <c r="FY229"/>
      <c r="FZ229"/>
      <c r="GA229"/>
      <c r="GB229"/>
      <c r="GC229"/>
      <c r="GD229"/>
      <c r="GE229"/>
      <c r="GF229"/>
      <c r="GG229"/>
      <c r="GH229"/>
      <c r="GI229"/>
      <c r="GJ229"/>
      <c r="GK229"/>
      <c r="GL229"/>
      <c r="GM229"/>
      <c r="GN229"/>
      <c r="GO229"/>
      <c r="GP229"/>
      <c r="GQ229"/>
      <c r="GR229"/>
      <c r="GS229"/>
      <c r="GT229"/>
      <c r="GU229"/>
      <c r="GV229"/>
      <c r="GW229"/>
      <c r="GX229"/>
      <c r="GY229"/>
      <c r="GZ229"/>
      <c r="HA229"/>
      <c r="HB229"/>
      <c r="HC229"/>
      <c r="HD229"/>
      <c r="HE229"/>
      <c r="HF229"/>
      <c r="HG229"/>
      <c r="HH229"/>
      <c r="HI229"/>
      <c r="HJ229"/>
      <c r="HK229"/>
      <c r="HL229"/>
      <c r="HM229"/>
      <c r="HN229"/>
      <c r="HO229"/>
      <c r="HP229"/>
      <c r="HQ229"/>
      <c r="HR229"/>
      <c r="HS229"/>
      <c r="HT229"/>
      <c r="HU229"/>
      <c r="HV229"/>
      <c r="HW229"/>
      <c r="HX229"/>
      <c r="HY229"/>
      <c r="HZ229"/>
      <c r="IA229"/>
      <c r="IB229"/>
      <c r="IC229"/>
      <c r="ID229"/>
      <c r="IE229"/>
      <c r="IF229"/>
      <c r="IG229"/>
      <c r="IH229"/>
      <c r="II229"/>
      <c r="IJ229"/>
      <c r="IK229"/>
      <c r="IL229"/>
      <c r="IM229"/>
      <c r="IN229"/>
      <c r="IO229"/>
      <c r="IP229"/>
      <c r="IQ229"/>
      <c r="IR229"/>
      <c r="IS229"/>
      <c r="IT229"/>
      <c r="IU229"/>
      <c r="IV229"/>
      <c r="IW229"/>
      <c r="IX229"/>
      <c r="IY229"/>
      <c r="IZ229"/>
      <c r="JA229"/>
      <c r="JB229"/>
      <c r="JC229"/>
      <c r="JD229"/>
      <c r="JE229"/>
      <c r="JF229"/>
      <c r="JG229"/>
      <c r="JH229"/>
      <c r="JI229"/>
      <c r="JJ229"/>
      <c r="JK229"/>
      <c r="JL229"/>
      <c r="JM229"/>
      <c r="JN229"/>
      <c r="JO229"/>
      <c r="JP229"/>
      <c r="JQ229"/>
      <c r="JR229"/>
      <c r="JS229"/>
      <c r="JT229"/>
      <c r="JU229"/>
      <c r="JV229"/>
      <c r="JW229"/>
      <c r="JX229"/>
      <c r="JY229"/>
      <c r="JZ229"/>
      <c r="KA229"/>
      <c r="KB229"/>
      <c r="KC229"/>
      <c r="KD229"/>
      <c r="KE229"/>
      <c r="KF229"/>
      <c r="KG229"/>
      <c r="KH229"/>
      <c r="KI229"/>
      <c r="KJ229"/>
      <c r="KK229"/>
      <c r="KL229"/>
      <c r="KM229"/>
      <c r="KN229"/>
      <c r="KO229"/>
      <c r="KP229"/>
      <c r="KQ229"/>
      <c r="KR229"/>
      <c r="KS229"/>
      <c r="KT229"/>
      <c r="KU229"/>
      <c r="KV229"/>
      <c r="KW229"/>
      <c r="KX229"/>
      <c r="KY229"/>
      <c r="KZ229"/>
      <c r="LA229"/>
      <c r="LB229"/>
      <c r="LC229"/>
      <c r="LD229"/>
      <c r="LE229"/>
      <c r="LF229"/>
      <c r="LG229"/>
      <c r="LH229"/>
      <c r="LI229"/>
      <c r="LJ229"/>
      <c r="LK229"/>
      <c r="LL229"/>
      <c r="LM229"/>
      <c r="LN229"/>
      <c r="LO229"/>
      <c r="LP229"/>
      <c r="LQ229"/>
      <c r="LR229"/>
      <c r="LS229"/>
      <c r="LT229"/>
      <c r="LU229"/>
      <c r="LV229"/>
      <c r="LW229"/>
      <c r="LX229"/>
      <c r="LY229"/>
      <c r="LZ229"/>
      <c r="MA229"/>
      <c r="MB229"/>
      <c r="MC229"/>
      <c r="MD229"/>
      <c r="ME229"/>
      <c r="MF229"/>
      <c r="MG229"/>
      <c r="MH229"/>
      <c r="MI229"/>
      <c r="MJ229"/>
      <c r="MK229"/>
      <c r="ML229"/>
      <c r="MM229"/>
      <c r="MN229"/>
      <c r="MO229"/>
      <c r="MP229"/>
      <c r="MQ229"/>
      <c r="MR229"/>
      <c r="MS229"/>
      <c r="MT229"/>
      <c r="MU229"/>
      <c r="MV229"/>
      <c r="MW229"/>
      <c r="MX229"/>
      <c r="MY229"/>
      <c r="MZ229"/>
      <c r="NA229"/>
      <c r="NB229"/>
      <c r="NC229"/>
      <c r="ND229"/>
      <c r="NE229"/>
      <c r="NF229"/>
      <c r="NG229"/>
      <c r="NH229"/>
      <c r="NI229"/>
      <c r="NJ229"/>
      <c r="NK229"/>
      <c r="NL229"/>
      <c r="NM229"/>
      <c r="NN229"/>
      <c r="NO229"/>
      <c r="NP229"/>
      <c r="NQ229"/>
      <c r="NR229"/>
      <c r="NS229"/>
      <c r="NT229"/>
      <c r="NU229"/>
      <c r="NV229"/>
      <c r="NW229"/>
      <c r="NX229"/>
      <c r="NY229"/>
      <c r="NZ229"/>
      <c r="OA229"/>
      <c r="OB229"/>
      <c r="OC229"/>
      <c r="OD229"/>
      <c r="OE229"/>
      <c r="OF229"/>
      <c r="OG229"/>
      <c r="OH229"/>
      <c r="OI229"/>
      <c r="OJ229"/>
      <c r="OK229"/>
      <c r="OL229"/>
      <c r="OM229"/>
      <c r="ON229"/>
      <c r="OO229"/>
      <c r="OP229"/>
      <c r="OQ229"/>
      <c r="OR229"/>
      <c r="OS229"/>
      <c r="OT229"/>
      <c r="OU229"/>
      <c r="OV229"/>
      <c r="OW229"/>
      <c r="OX229"/>
      <c r="OY229"/>
      <c r="OZ229"/>
      <c r="PA229"/>
      <c r="PB229"/>
      <c r="PC229"/>
      <c r="PD229"/>
      <c r="PE229"/>
      <c r="PF229"/>
      <c r="PG229"/>
      <c r="PH229"/>
      <c r="PI229"/>
      <c r="PJ229"/>
      <c r="PK229"/>
      <c r="PL229"/>
      <c r="PM229"/>
      <c r="PN229"/>
      <c r="PO229"/>
      <c r="PP229"/>
      <c r="PQ229"/>
      <c r="PR229"/>
      <c r="PS229"/>
      <c r="PT229"/>
      <c r="PU229"/>
      <c r="PV229"/>
      <c r="PW229"/>
      <c r="PX229"/>
      <c r="PY229"/>
      <c r="PZ229"/>
      <c r="QA229"/>
      <c r="QB229"/>
      <c r="QC229"/>
      <c r="QD229"/>
      <c r="QE229"/>
      <c r="QF229"/>
      <c r="QG229"/>
      <c r="QH229"/>
      <c r="QI229"/>
      <c r="QJ229"/>
      <c r="QK229"/>
      <c r="QL229"/>
      <c r="QM229"/>
      <c r="QN229"/>
      <c r="QO229"/>
      <c r="QP229"/>
      <c r="QQ229"/>
      <c r="QR229"/>
      <c r="QS229"/>
      <c r="QT229"/>
      <c r="QU229"/>
      <c r="QV229"/>
      <c r="QW229"/>
      <c r="QX229"/>
      <c r="QY229"/>
      <c r="QZ229"/>
      <c r="RA229"/>
      <c r="RB229"/>
      <c r="RC229"/>
      <c r="RD229"/>
      <c r="RE229"/>
      <c r="RF229"/>
      <c r="RG229"/>
      <c r="RH229"/>
      <c r="RI229"/>
      <c r="RJ229"/>
      <c r="RK229"/>
      <c r="RL229"/>
      <c r="RM229"/>
      <c r="RN229"/>
      <c r="RO229"/>
      <c r="RP229"/>
      <c r="RQ229"/>
      <c r="RR229"/>
      <c r="RS229"/>
    </row>
    <row r="230" spans="3:487" x14ac:dyDescent="0.25">
      <c r="C230" s="2" t="s">
        <v>330</v>
      </c>
      <c r="D230" s="34">
        <v>1</v>
      </c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  <c r="BN230"/>
      <c r="BO230"/>
      <c r="BP230"/>
      <c r="BQ230"/>
      <c r="BR230"/>
      <c r="BS230"/>
      <c r="BT230"/>
      <c r="BU230"/>
      <c r="BV230"/>
      <c r="BW230"/>
      <c r="BX230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  <c r="CL230"/>
      <c r="CM230"/>
      <c r="CN230"/>
      <c r="CO230"/>
      <c r="CP230"/>
      <c r="CQ230"/>
      <c r="CR230"/>
      <c r="CS230"/>
      <c r="CT230"/>
      <c r="CU230"/>
      <c r="CV230"/>
      <c r="CW230"/>
      <c r="CX230"/>
      <c r="CY230"/>
      <c r="CZ230"/>
      <c r="DA230"/>
      <c r="DB230"/>
      <c r="DC230"/>
      <c r="DD230"/>
      <c r="DE230"/>
      <c r="DF230"/>
      <c r="DG230"/>
      <c r="DH230"/>
      <c r="DI230"/>
      <c r="DJ230"/>
      <c r="DK230"/>
      <c r="DL230"/>
      <c r="DM230"/>
      <c r="DN230"/>
      <c r="DO230"/>
      <c r="DP230"/>
      <c r="DQ230"/>
      <c r="DR230"/>
      <c r="DS230"/>
      <c r="DT230"/>
      <c r="DU230"/>
      <c r="DV230"/>
      <c r="DW230"/>
      <c r="DX230"/>
      <c r="DY230"/>
      <c r="DZ230"/>
      <c r="EA230"/>
      <c r="EB230"/>
      <c r="EC230"/>
      <c r="ED230"/>
      <c r="EE230"/>
      <c r="EF230"/>
      <c r="EG230"/>
      <c r="EH230"/>
      <c r="EI230"/>
      <c r="EJ230"/>
      <c r="EK230"/>
      <c r="EL230"/>
      <c r="EM230"/>
      <c r="EN230"/>
      <c r="EO230"/>
      <c r="EP230"/>
      <c r="EQ230"/>
      <c r="ER230"/>
      <c r="ES230"/>
      <c r="ET230"/>
      <c r="EU230"/>
      <c r="EV230"/>
      <c r="EW230"/>
      <c r="EX230"/>
      <c r="EY230"/>
      <c r="EZ230"/>
      <c r="FA230"/>
      <c r="FB230"/>
      <c r="FC230"/>
      <c r="FD230"/>
      <c r="FE230"/>
      <c r="FF230"/>
      <c r="FG230"/>
      <c r="FH230"/>
      <c r="FI230"/>
      <c r="FJ230"/>
      <c r="FK230"/>
      <c r="FL230"/>
      <c r="FM230"/>
      <c r="FN230"/>
      <c r="FO230"/>
      <c r="FP230"/>
      <c r="FQ230"/>
      <c r="FR230"/>
      <c r="FS230"/>
      <c r="FT230"/>
      <c r="FU230"/>
      <c r="FV230"/>
      <c r="FW230"/>
      <c r="FX230"/>
      <c r="FY230"/>
      <c r="FZ230"/>
      <c r="GA230"/>
      <c r="GB230"/>
      <c r="GC230"/>
      <c r="GD230"/>
      <c r="GE230"/>
      <c r="GF230"/>
      <c r="GG230"/>
      <c r="GH230"/>
      <c r="GI230"/>
      <c r="GJ230"/>
      <c r="GK230"/>
      <c r="GL230"/>
      <c r="GM230"/>
      <c r="GN230"/>
      <c r="GO230"/>
      <c r="GP230"/>
      <c r="GQ230"/>
      <c r="GR230"/>
      <c r="GS230"/>
      <c r="GT230"/>
      <c r="GU230"/>
      <c r="GV230"/>
      <c r="GW230"/>
      <c r="GX230"/>
      <c r="GY230"/>
      <c r="GZ230"/>
      <c r="HA230"/>
      <c r="HB230"/>
      <c r="HC230"/>
      <c r="HD230"/>
      <c r="HE230"/>
      <c r="HF230"/>
      <c r="HG230"/>
      <c r="HH230"/>
      <c r="HI230"/>
      <c r="HJ230"/>
      <c r="HK230"/>
      <c r="HL230"/>
      <c r="HM230"/>
      <c r="HN230"/>
      <c r="HO230"/>
      <c r="HP230"/>
      <c r="HQ230"/>
      <c r="HR230"/>
      <c r="HS230"/>
      <c r="HT230"/>
      <c r="HU230"/>
      <c r="HV230"/>
      <c r="HW230"/>
      <c r="HX230"/>
      <c r="HY230"/>
      <c r="HZ230"/>
      <c r="IA230"/>
      <c r="IB230"/>
      <c r="IC230"/>
      <c r="ID230"/>
      <c r="IE230"/>
      <c r="IF230"/>
      <c r="IG230"/>
      <c r="IH230"/>
      <c r="II230"/>
      <c r="IJ230"/>
      <c r="IK230"/>
      <c r="IL230"/>
      <c r="IM230"/>
      <c r="IN230"/>
      <c r="IO230"/>
      <c r="IP230"/>
      <c r="IQ230"/>
      <c r="IR230"/>
      <c r="IS230"/>
      <c r="IT230"/>
      <c r="IU230"/>
      <c r="IV230"/>
      <c r="IW230"/>
      <c r="IX230"/>
      <c r="IY230"/>
      <c r="IZ230"/>
      <c r="JA230"/>
      <c r="JB230"/>
      <c r="JC230"/>
      <c r="JD230"/>
      <c r="JE230"/>
      <c r="JF230"/>
      <c r="JG230"/>
      <c r="JH230"/>
      <c r="JI230"/>
      <c r="JJ230"/>
      <c r="JK230"/>
      <c r="JL230"/>
      <c r="JM230"/>
      <c r="JN230"/>
      <c r="JO230"/>
      <c r="JP230"/>
      <c r="JQ230"/>
      <c r="JR230"/>
      <c r="JS230"/>
      <c r="JT230"/>
      <c r="JU230"/>
      <c r="JV230"/>
      <c r="JW230"/>
      <c r="JX230"/>
      <c r="JY230"/>
      <c r="JZ230"/>
      <c r="KA230"/>
      <c r="KB230"/>
      <c r="KC230"/>
      <c r="KD230"/>
      <c r="KE230"/>
      <c r="KF230"/>
      <c r="KG230"/>
      <c r="KH230"/>
      <c r="KI230"/>
      <c r="KJ230"/>
      <c r="KK230"/>
      <c r="KL230"/>
      <c r="KM230"/>
      <c r="KN230"/>
      <c r="KO230"/>
      <c r="KP230"/>
      <c r="KQ230"/>
      <c r="KR230"/>
      <c r="KS230"/>
      <c r="KT230"/>
      <c r="KU230"/>
      <c r="KV230"/>
      <c r="KW230"/>
      <c r="KX230"/>
      <c r="KY230"/>
      <c r="KZ230"/>
      <c r="LA230"/>
      <c r="LB230"/>
      <c r="LC230"/>
      <c r="LD230"/>
      <c r="LE230"/>
      <c r="LF230"/>
      <c r="LG230"/>
      <c r="LH230"/>
      <c r="LI230"/>
      <c r="LJ230"/>
      <c r="LK230"/>
      <c r="LL230"/>
      <c r="LM230"/>
      <c r="LN230"/>
      <c r="LO230"/>
      <c r="LP230"/>
      <c r="LQ230"/>
      <c r="LR230"/>
      <c r="LS230"/>
      <c r="LT230"/>
      <c r="LU230"/>
      <c r="LV230"/>
      <c r="LW230"/>
      <c r="LX230"/>
      <c r="LY230"/>
      <c r="LZ230"/>
      <c r="MA230"/>
      <c r="MB230"/>
      <c r="MC230"/>
      <c r="MD230"/>
      <c r="ME230"/>
      <c r="MF230"/>
      <c r="MG230"/>
      <c r="MH230"/>
      <c r="MI230"/>
      <c r="MJ230"/>
      <c r="MK230"/>
      <c r="ML230"/>
      <c r="MM230"/>
      <c r="MN230"/>
      <c r="MO230"/>
      <c r="MP230"/>
      <c r="MQ230"/>
      <c r="MR230"/>
      <c r="MS230"/>
      <c r="MT230"/>
      <c r="MU230"/>
      <c r="MV230"/>
      <c r="MW230"/>
      <c r="MX230"/>
      <c r="MY230"/>
      <c r="MZ230"/>
      <c r="NA230"/>
      <c r="NB230"/>
      <c r="NC230"/>
      <c r="ND230"/>
      <c r="NE230"/>
      <c r="NF230"/>
      <c r="NG230"/>
      <c r="NH230"/>
      <c r="NI230"/>
      <c r="NJ230"/>
      <c r="NK230"/>
      <c r="NL230"/>
      <c r="NM230"/>
      <c r="NN230"/>
      <c r="NO230"/>
      <c r="NP230"/>
      <c r="NQ230"/>
      <c r="NR230"/>
      <c r="NS230"/>
      <c r="NT230"/>
      <c r="NU230"/>
      <c r="NV230"/>
      <c r="NW230"/>
      <c r="NX230"/>
      <c r="NY230"/>
      <c r="NZ230"/>
      <c r="OA230"/>
      <c r="OB230"/>
      <c r="OC230"/>
      <c r="OD230"/>
      <c r="OE230"/>
      <c r="OF230"/>
      <c r="OG230"/>
      <c r="OH230"/>
      <c r="OI230"/>
      <c r="OJ230"/>
      <c r="OK230"/>
      <c r="OL230"/>
      <c r="OM230"/>
      <c r="ON230"/>
      <c r="OO230"/>
      <c r="OP230"/>
      <c r="OQ230"/>
      <c r="OR230"/>
      <c r="OS230"/>
      <c r="OT230"/>
      <c r="OU230"/>
      <c r="OV230"/>
      <c r="OW230"/>
      <c r="OX230"/>
      <c r="OY230"/>
      <c r="OZ230"/>
      <c r="PA230"/>
      <c r="PB230"/>
      <c r="PC230"/>
      <c r="PD230"/>
      <c r="PE230"/>
      <c r="PF230"/>
      <c r="PG230"/>
      <c r="PH230"/>
      <c r="PI230"/>
      <c r="PJ230"/>
      <c r="PK230"/>
      <c r="PL230"/>
      <c r="PM230"/>
      <c r="PN230"/>
      <c r="PO230"/>
      <c r="PP230"/>
      <c r="PQ230"/>
      <c r="PR230"/>
      <c r="PS230"/>
      <c r="PT230"/>
      <c r="PU230"/>
      <c r="PV230"/>
      <c r="PW230"/>
      <c r="PX230"/>
      <c r="PY230"/>
      <c r="PZ230"/>
      <c r="QA230"/>
      <c r="QB230"/>
      <c r="QC230"/>
      <c r="QD230"/>
      <c r="QE230"/>
      <c r="QF230"/>
      <c r="QG230"/>
      <c r="QH230"/>
      <c r="QI230"/>
      <c r="QJ230"/>
      <c r="QK230"/>
      <c r="QL230"/>
      <c r="QM230"/>
      <c r="QN230"/>
      <c r="QO230"/>
      <c r="QP230"/>
      <c r="QQ230"/>
      <c r="QR230"/>
      <c r="QS230"/>
      <c r="QT230"/>
      <c r="QU230"/>
      <c r="QV230"/>
      <c r="QW230"/>
      <c r="QX230"/>
      <c r="QY230"/>
      <c r="QZ230"/>
      <c r="RA230"/>
      <c r="RB230"/>
      <c r="RC230"/>
      <c r="RD230"/>
      <c r="RE230"/>
      <c r="RF230"/>
      <c r="RG230"/>
      <c r="RH230"/>
      <c r="RI230"/>
      <c r="RJ230"/>
      <c r="RK230"/>
      <c r="RL230"/>
      <c r="RM230"/>
      <c r="RN230"/>
      <c r="RO230"/>
      <c r="RP230"/>
      <c r="RQ230"/>
      <c r="RR230"/>
      <c r="RS230"/>
    </row>
    <row r="231" spans="3:487" x14ac:dyDescent="0.25">
      <c r="C231" s="2" t="s">
        <v>3677</v>
      </c>
      <c r="D231" s="34">
        <v>1</v>
      </c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  <c r="BN231"/>
      <c r="BO231"/>
      <c r="BP231"/>
      <c r="BQ231"/>
      <c r="BR231"/>
      <c r="BS231"/>
      <c r="BT231"/>
      <c r="BU231"/>
      <c r="BV231"/>
      <c r="BW231"/>
      <c r="BX231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  <c r="CL231"/>
      <c r="CM231"/>
      <c r="CN231"/>
      <c r="CO231"/>
      <c r="CP231"/>
      <c r="CQ231"/>
      <c r="CR231"/>
      <c r="CS231"/>
      <c r="CT231"/>
      <c r="CU231"/>
      <c r="CV231"/>
      <c r="CW231"/>
      <c r="CX231"/>
      <c r="CY231"/>
      <c r="CZ231"/>
      <c r="DA231"/>
      <c r="DB231"/>
      <c r="DC231"/>
      <c r="DD231"/>
      <c r="DE231"/>
      <c r="DF231"/>
      <c r="DG231"/>
      <c r="DH231"/>
      <c r="DI231"/>
      <c r="DJ231"/>
      <c r="DK231"/>
      <c r="DL231"/>
      <c r="DM231"/>
      <c r="DN231"/>
      <c r="DO231"/>
      <c r="DP231"/>
      <c r="DQ231"/>
      <c r="DR231"/>
      <c r="DS231"/>
      <c r="DT231"/>
      <c r="DU231"/>
      <c r="DV231"/>
      <c r="DW231"/>
      <c r="DX231"/>
      <c r="DY231"/>
      <c r="DZ231"/>
      <c r="EA231"/>
      <c r="EB231"/>
      <c r="EC231"/>
      <c r="ED231"/>
      <c r="EE231"/>
      <c r="EF231"/>
      <c r="EG231"/>
      <c r="EH231"/>
      <c r="EI231"/>
      <c r="EJ231"/>
      <c r="EK231"/>
      <c r="EL231"/>
      <c r="EM231"/>
      <c r="EN231"/>
      <c r="EO231"/>
      <c r="EP231"/>
      <c r="EQ231"/>
      <c r="ER231"/>
      <c r="ES231"/>
      <c r="ET231"/>
      <c r="EU231"/>
      <c r="EV231"/>
      <c r="EW231"/>
      <c r="EX231"/>
      <c r="EY231"/>
      <c r="EZ231"/>
      <c r="FA231"/>
      <c r="FB231"/>
      <c r="FC231"/>
      <c r="FD231"/>
      <c r="FE231"/>
      <c r="FF231"/>
      <c r="FG231"/>
      <c r="FH231"/>
      <c r="FI231"/>
      <c r="FJ231"/>
      <c r="FK231"/>
      <c r="FL231"/>
      <c r="FM231"/>
      <c r="FN231"/>
      <c r="FO231"/>
      <c r="FP231"/>
      <c r="FQ231"/>
      <c r="FR231"/>
      <c r="FS231"/>
      <c r="FT231"/>
      <c r="FU231"/>
      <c r="FV231"/>
      <c r="FW231"/>
      <c r="FX231"/>
      <c r="FY231"/>
      <c r="FZ231"/>
      <c r="GA231"/>
      <c r="GB231"/>
      <c r="GC231"/>
      <c r="GD231"/>
      <c r="GE231"/>
      <c r="GF231"/>
      <c r="GG231"/>
      <c r="GH231"/>
      <c r="GI231"/>
      <c r="GJ231"/>
      <c r="GK231"/>
      <c r="GL231"/>
      <c r="GM231"/>
      <c r="GN231"/>
      <c r="GO231"/>
      <c r="GP231"/>
      <c r="GQ231"/>
      <c r="GR231"/>
      <c r="GS231"/>
      <c r="GT231"/>
      <c r="GU231"/>
      <c r="GV231"/>
      <c r="GW231"/>
      <c r="GX231"/>
      <c r="GY231"/>
      <c r="GZ231"/>
      <c r="HA231"/>
      <c r="HB231"/>
      <c r="HC231"/>
      <c r="HD231"/>
      <c r="HE231"/>
      <c r="HF231"/>
      <c r="HG231"/>
      <c r="HH231"/>
      <c r="HI231"/>
      <c r="HJ231"/>
      <c r="HK231"/>
      <c r="HL231"/>
      <c r="HM231"/>
      <c r="HN231"/>
      <c r="HO231"/>
      <c r="HP231"/>
      <c r="HQ231"/>
      <c r="HR231"/>
      <c r="HS231"/>
      <c r="HT231"/>
      <c r="HU231"/>
      <c r="HV231"/>
      <c r="HW231"/>
      <c r="HX231"/>
      <c r="HY231"/>
      <c r="HZ231"/>
      <c r="IA231"/>
      <c r="IB231"/>
      <c r="IC231"/>
      <c r="ID231"/>
      <c r="IE231"/>
      <c r="IF231"/>
      <c r="IG231"/>
      <c r="IH231"/>
      <c r="II231"/>
      <c r="IJ231"/>
      <c r="IK231"/>
      <c r="IL231"/>
      <c r="IM231"/>
      <c r="IN231"/>
      <c r="IO231"/>
      <c r="IP231"/>
      <c r="IQ231"/>
      <c r="IR231"/>
      <c r="IS231"/>
      <c r="IT231"/>
      <c r="IU231"/>
      <c r="IV231"/>
      <c r="IW231"/>
      <c r="IX231"/>
      <c r="IY231"/>
      <c r="IZ231"/>
      <c r="JA231"/>
      <c r="JB231"/>
      <c r="JC231"/>
      <c r="JD231"/>
      <c r="JE231"/>
      <c r="JF231"/>
      <c r="JG231"/>
      <c r="JH231"/>
      <c r="JI231"/>
      <c r="JJ231"/>
      <c r="JK231"/>
      <c r="JL231"/>
      <c r="JM231"/>
      <c r="JN231"/>
      <c r="JO231"/>
      <c r="JP231"/>
      <c r="JQ231"/>
      <c r="JR231"/>
      <c r="JS231"/>
      <c r="JT231"/>
      <c r="JU231"/>
      <c r="JV231"/>
      <c r="JW231"/>
      <c r="JX231"/>
      <c r="JY231"/>
      <c r="JZ231"/>
      <c r="KA231"/>
      <c r="KB231"/>
      <c r="KC231"/>
      <c r="KD231"/>
      <c r="KE231"/>
      <c r="KF231"/>
      <c r="KG231"/>
      <c r="KH231"/>
      <c r="KI231"/>
      <c r="KJ231"/>
      <c r="KK231"/>
      <c r="KL231"/>
      <c r="KM231"/>
      <c r="KN231"/>
      <c r="KO231"/>
      <c r="KP231"/>
      <c r="KQ231"/>
      <c r="KR231"/>
      <c r="KS231"/>
      <c r="KT231"/>
      <c r="KU231"/>
      <c r="KV231"/>
      <c r="KW231"/>
      <c r="KX231"/>
      <c r="KY231"/>
      <c r="KZ231"/>
      <c r="LA231"/>
      <c r="LB231"/>
      <c r="LC231"/>
      <c r="LD231"/>
      <c r="LE231"/>
      <c r="LF231"/>
      <c r="LG231"/>
      <c r="LH231"/>
      <c r="LI231"/>
      <c r="LJ231"/>
      <c r="LK231"/>
      <c r="LL231"/>
      <c r="LM231"/>
      <c r="LN231"/>
      <c r="LO231"/>
      <c r="LP231"/>
      <c r="LQ231"/>
      <c r="LR231"/>
      <c r="LS231"/>
      <c r="LT231"/>
      <c r="LU231"/>
      <c r="LV231"/>
      <c r="LW231"/>
      <c r="LX231"/>
      <c r="LY231"/>
      <c r="LZ231"/>
      <c r="MA231"/>
      <c r="MB231"/>
      <c r="MC231"/>
      <c r="MD231"/>
      <c r="ME231"/>
      <c r="MF231"/>
      <c r="MG231"/>
      <c r="MH231"/>
      <c r="MI231"/>
      <c r="MJ231"/>
      <c r="MK231"/>
      <c r="ML231"/>
      <c r="MM231"/>
      <c r="MN231"/>
      <c r="MO231"/>
      <c r="MP231"/>
      <c r="MQ231"/>
      <c r="MR231"/>
      <c r="MS231"/>
      <c r="MT231"/>
      <c r="MU231"/>
      <c r="MV231"/>
      <c r="MW231"/>
      <c r="MX231"/>
      <c r="MY231"/>
      <c r="MZ231"/>
      <c r="NA231"/>
      <c r="NB231"/>
      <c r="NC231"/>
      <c r="ND231"/>
      <c r="NE231"/>
      <c r="NF231"/>
      <c r="NG231"/>
      <c r="NH231"/>
      <c r="NI231"/>
      <c r="NJ231"/>
      <c r="NK231"/>
      <c r="NL231"/>
      <c r="NM231"/>
      <c r="NN231"/>
      <c r="NO231"/>
      <c r="NP231"/>
      <c r="NQ231"/>
      <c r="NR231"/>
      <c r="NS231"/>
      <c r="NT231"/>
      <c r="NU231"/>
      <c r="NV231"/>
      <c r="NW231"/>
      <c r="NX231"/>
      <c r="NY231"/>
      <c r="NZ231"/>
      <c r="OA231"/>
      <c r="OB231"/>
      <c r="OC231"/>
      <c r="OD231"/>
      <c r="OE231"/>
      <c r="OF231"/>
      <c r="OG231"/>
      <c r="OH231"/>
      <c r="OI231"/>
      <c r="OJ231"/>
      <c r="OK231"/>
      <c r="OL231"/>
      <c r="OM231"/>
      <c r="ON231"/>
      <c r="OO231"/>
      <c r="OP231"/>
      <c r="OQ231"/>
      <c r="OR231"/>
      <c r="OS231"/>
      <c r="OT231"/>
      <c r="OU231"/>
      <c r="OV231"/>
      <c r="OW231"/>
      <c r="OX231"/>
      <c r="OY231"/>
      <c r="OZ231"/>
      <c r="PA231"/>
      <c r="PB231"/>
      <c r="PC231"/>
      <c r="PD231"/>
      <c r="PE231"/>
      <c r="PF231"/>
      <c r="PG231"/>
      <c r="PH231"/>
      <c r="PI231"/>
      <c r="PJ231"/>
      <c r="PK231"/>
      <c r="PL231"/>
      <c r="PM231"/>
      <c r="PN231"/>
      <c r="PO231"/>
      <c r="PP231"/>
      <c r="PQ231"/>
      <c r="PR231"/>
      <c r="PS231"/>
      <c r="PT231"/>
      <c r="PU231"/>
      <c r="PV231"/>
      <c r="PW231"/>
      <c r="PX231"/>
      <c r="PY231"/>
      <c r="PZ231"/>
      <c r="QA231"/>
      <c r="QB231"/>
      <c r="QC231"/>
      <c r="QD231"/>
      <c r="QE231"/>
      <c r="QF231"/>
      <c r="QG231"/>
      <c r="QH231"/>
      <c r="QI231"/>
      <c r="QJ231"/>
      <c r="QK231"/>
      <c r="QL231"/>
      <c r="QM231"/>
      <c r="QN231"/>
      <c r="QO231"/>
      <c r="QP231"/>
      <c r="QQ231"/>
      <c r="QR231"/>
      <c r="QS231"/>
      <c r="QT231"/>
      <c r="QU231"/>
      <c r="QV231"/>
      <c r="QW231"/>
      <c r="QX231"/>
      <c r="QY231"/>
      <c r="QZ231"/>
      <c r="RA231"/>
      <c r="RB231"/>
      <c r="RC231"/>
      <c r="RD231"/>
      <c r="RE231"/>
      <c r="RF231"/>
      <c r="RG231"/>
      <c r="RH231"/>
      <c r="RI231"/>
      <c r="RJ231"/>
      <c r="RK231"/>
      <c r="RL231"/>
      <c r="RM231"/>
      <c r="RN231"/>
      <c r="RO231"/>
      <c r="RP231"/>
      <c r="RQ231"/>
      <c r="RR231"/>
      <c r="RS231"/>
    </row>
    <row r="232" spans="3:487" x14ac:dyDescent="0.25">
      <c r="C232" s="2" t="s">
        <v>281</v>
      </c>
      <c r="D232" s="34">
        <v>1</v>
      </c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  <c r="BN232"/>
      <c r="BO232"/>
      <c r="BP232"/>
      <c r="BQ232"/>
      <c r="BR232"/>
      <c r="BS232"/>
      <c r="BT232"/>
      <c r="BU232"/>
      <c r="BV232"/>
      <c r="BW232"/>
      <c r="BX23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  <c r="CL232"/>
      <c r="CM232"/>
      <c r="CN232"/>
      <c r="CO232"/>
      <c r="CP232"/>
      <c r="CQ232"/>
      <c r="CR232"/>
      <c r="CS232"/>
      <c r="CT232"/>
      <c r="CU232"/>
      <c r="CV232"/>
      <c r="CW232"/>
      <c r="CX232"/>
      <c r="CY232"/>
      <c r="CZ232"/>
      <c r="DA232"/>
      <c r="DB232"/>
      <c r="DC232"/>
      <c r="DD232"/>
      <c r="DE232"/>
      <c r="DF232"/>
      <c r="DG232"/>
      <c r="DH232"/>
      <c r="DI232"/>
      <c r="DJ232"/>
      <c r="DK232"/>
      <c r="DL232"/>
      <c r="DM232"/>
      <c r="DN232"/>
      <c r="DO232"/>
      <c r="DP232"/>
      <c r="DQ232"/>
      <c r="DR232"/>
      <c r="DS232"/>
      <c r="DT232"/>
      <c r="DU232"/>
      <c r="DV232"/>
      <c r="DW232"/>
      <c r="DX232"/>
      <c r="DY232"/>
      <c r="DZ232"/>
      <c r="EA232"/>
      <c r="EB232"/>
      <c r="EC232"/>
      <c r="ED232"/>
      <c r="EE232"/>
      <c r="EF232"/>
      <c r="EG232"/>
      <c r="EH232"/>
      <c r="EI232"/>
      <c r="EJ232"/>
      <c r="EK232"/>
      <c r="EL232"/>
      <c r="EM232"/>
      <c r="EN232"/>
      <c r="EO232"/>
      <c r="EP232"/>
      <c r="EQ232"/>
      <c r="ER232"/>
      <c r="ES232"/>
      <c r="ET232"/>
      <c r="EU232"/>
      <c r="EV232"/>
      <c r="EW232"/>
      <c r="EX232"/>
      <c r="EY232"/>
      <c r="EZ232"/>
      <c r="FA232"/>
      <c r="FB232"/>
      <c r="FC232"/>
      <c r="FD232"/>
      <c r="FE232"/>
      <c r="FF232"/>
      <c r="FG232"/>
      <c r="FH232"/>
      <c r="FI232"/>
      <c r="FJ232"/>
      <c r="FK232"/>
      <c r="FL232"/>
      <c r="FM232"/>
      <c r="FN232"/>
      <c r="FO232"/>
      <c r="FP232"/>
      <c r="FQ232"/>
      <c r="FR232"/>
      <c r="FS232"/>
      <c r="FT232"/>
      <c r="FU232"/>
      <c r="FV232"/>
      <c r="FW232"/>
      <c r="FX232"/>
      <c r="FY232"/>
      <c r="FZ232"/>
      <c r="GA232"/>
      <c r="GB232"/>
      <c r="GC232"/>
      <c r="GD232"/>
      <c r="GE232"/>
      <c r="GF232"/>
      <c r="GG232"/>
      <c r="GH232"/>
      <c r="GI232"/>
      <c r="GJ232"/>
      <c r="GK232"/>
      <c r="GL232"/>
      <c r="GM232"/>
      <c r="GN232"/>
      <c r="GO232"/>
      <c r="GP232"/>
      <c r="GQ232"/>
      <c r="GR232"/>
      <c r="GS232"/>
      <c r="GT232"/>
      <c r="GU232"/>
      <c r="GV232"/>
      <c r="GW232"/>
      <c r="GX232"/>
      <c r="GY232"/>
      <c r="GZ232"/>
      <c r="HA232"/>
      <c r="HB232"/>
      <c r="HC232"/>
      <c r="HD232"/>
      <c r="HE232"/>
      <c r="HF232"/>
      <c r="HG232"/>
      <c r="HH232"/>
      <c r="HI232"/>
      <c r="HJ232"/>
      <c r="HK232"/>
      <c r="HL232"/>
      <c r="HM232"/>
      <c r="HN232"/>
      <c r="HO232"/>
      <c r="HP232"/>
      <c r="HQ232"/>
      <c r="HR232"/>
      <c r="HS232"/>
      <c r="HT232"/>
      <c r="HU232"/>
      <c r="HV232"/>
      <c r="HW232"/>
      <c r="HX232"/>
      <c r="HY232"/>
      <c r="HZ232"/>
      <c r="IA232"/>
      <c r="IB232"/>
      <c r="IC232"/>
      <c r="ID232"/>
      <c r="IE232"/>
      <c r="IF232"/>
      <c r="IG232"/>
      <c r="IH232"/>
      <c r="II232"/>
      <c r="IJ232"/>
      <c r="IK232"/>
      <c r="IL232"/>
      <c r="IM232"/>
      <c r="IN232"/>
      <c r="IO232"/>
      <c r="IP232"/>
      <c r="IQ232"/>
      <c r="IR232"/>
      <c r="IS232"/>
      <c r="IT232"/>
      <c r="IU232"/>
      <c r="IV232"/>
      <c r="IW232"/>
      <c r="IX232"/>
      <c r="IY232"/>
      <c r="IZ232"/>
      <c r="JA232"/>
      <c r="JB232"/>
      <c r="JC232"/>
      <c r="JD232"/>
      <c r="JE232"/>
      <c r="JF232"/>
      <c r="JG232"/>
      <c r="JH232"/>
      <c r="JI232"/>
      <c r="JJ232"/>
      <c r="JK232"/>
      <c r="JL232"/>
      <c r="JM232"/>
      <c r="JN232"/>
      <c r="JO232"/>
      <c r="JP232"/>
      <c r="JQ232"/>
      <c r="JR232"/>
      <c r="JS232"/>
      <c r="JT232"/>
      <c r="JU232"/>
      <c r="JV232"/>
      <c r="JW232"/>
      <c r="JX232"/>
      <c r="JY232"/>
      <c r="JZ232"/>
      <c r="KA232"/>
      <c r="KB232"/>
      <c r="KC232"/>
      <c r="KD232"/>
      <c r="KE232"/>
      <c r="KF232"/>
      <c r="KG232"/>
      <c r="KH232"/>
      <c r="KI232"/>
      <c r="KJ232"/>
      <c r="KK232"/>
      <c r="KL232"/>
      <c r="KM232"/>
      <c r="KN232"/>
      <c r="KO232"/>
      <c r="KP232"/>
      <c r="KQ232"/>
      <c r="KR232"/>
      <c r="KS232"/>
      <c r="KT232"/>
      <c r="KU232"/>
      <c r="KV232"/>
      <c r="KW232"/>
      <c r="KX232"/>
      <c r="KY232"/>
      <c r="KZ232"/>
      <c r="LA232"/>
      <c r="LB232"/>
      <c r="LC232"/>
      <c r="LD232"/>
      <c r="LE232"/>
      <c r="LF232"/>
      <c r="LG232"/>
      <c r="LH232"/>
      <c r="LI232"/>
      <c r="LJ232"/>
      <c r="LK232"/>
      <c r="LL232"/>
      <c r="LM232"/>
      <c r="LN232"/>
      <c r="LO232"/>
      <c r="LP232"/>
      <c r="LQ232"/>
      <c r="LR232"/>
      <c r="LS232"/>
      <c r="LT232"/>
      <c r="LU232"/>
      <c r="LV232"/>
      <c r="LW232"/>
      <c r="LX232"/>
      <c r="LY232"/>
      <c r="LZ232"/>
      <c r="MA232"/>
      <c r="MB232"/>
      <c r="MC232"/>
      <c r="MD232"/>
      <c r="ME232"/>
      <c r="MF232"/>
      <c r="MG232"/>
      <c r="MH232"/>
      <c r="MI232"/>
      <c r="MJ232"/>
      <c r="MK232"/>
      <c r="ML232"/>
      <c r="MM232"/>
      <c r="MN232"/>
      <c r="MO232"/>
      <c r="MP232"/>
      <c r="MQ232"/>
      <c r="MR232"/>
      <c r="MS232"/>
      <c r="MT232"/>
      <c r="MU232"/>
      <c r="MV232"/>
      <c r="MW232"/>
      <c r="MX232"/>
      <c r="MY232"/>
      <c r="MZ232"/>
      <c r="NA232"/>
      <c r="NB232"/>
      <c r="NC232"/>
      <c r="ND232"/>
      <c r="NE232"/>
      <c r="NF232"/>
      <c r="NG232"/>
      <c r="NH232"/>
      <c r="NI232"/>
      <c r="NJ232"/>
      <c r="NK232"/>
      <c r="NL232"/>
      <c r="NM232"/>
      <c r="NN232"/>
      <c r="NO232"/>
      <c r="NP232"/>
      <c r="NQ232"/>
      <c r="NR232"/>
      <c r="NS232"/>
      <c r="NT232"/>
      <c r="NU232"/>
      <c r="NV232"/>
      <c r="NW232"/>
      <c r="NX232"/>
      <c r="NY232"/>
      <c r="NZ232"/>
      <c r="OA232"/>
      <c r="OB232"/>
      <c r="OC232"/>
      <c r="OD232"/>
      <c r="OE232"/>
      <c r="OF232"/>
      <c r="OG232"/>
      <c r="OH232"/>
      <c r="OI232"/>
      <c r="OJ232"/>
      <c r="OK232"/>
      <c r="OL232"/>
      <c r="OM232"/>
      <c r="ON232"/>
      <c r="OO232"/>
      <c r="OP232"/>
      <c r="OQ232"/>
      <c r="OR232"/>
      <c r="OS232"/>
      <c r="OT232"/>
      <c r="OU232"/>
      <c r="OV232"/>
      <c r="OW232"/>
      <c r="OX232"/>
      <c r="OY232"/>
      <c r="OZ232"/>
      <c r="PA232"/>
      <c r="PB232"/>
      <c r="PC232"/>
      <c r="PD232"/>
      <c r="PE232"/>
      <c r="PF232"/>
      <c r="PG232"/>
      <c r="PH232"/>
      <c r="PI232"/>
      <c r="PJ232"/>
      <c r="PK232"/>
      <c r="PL232"/>
      <c r="PM232"/>
      <c r="PN232"/>
      <c r="PO232"/>
      <c r="PP232"/>
      <c r="PQ232"/>
      <c r="PR232"/>
      <c r="PS232"/>
      <c r="PT232"/>
      <c r="PU232"/>
      <c r="PV232"/>
      <c r="PW232"/>
      <c r="PX232"/>
      <c r="PY232"/>
      <c r="PZ232"/>
      <c r="QA232"/>
      <c r="QB232"/>
      <c r="QC232"/>
      <c r="QD232"/>
      <c r="QE232"/>
      <c r="QF232"/>
      <c r="QG232"/>
      <c r="QH232"/>
      <c r="QI232"/>
      <c r="QJ232"/>
      <c r="QK232"/>
      <c r="QL232"/>
      <c r="QM232"/>
      <c r="QN232"/>
      <c r="QO232"/>
      <c r="QP232"/>
      <c r="QQ232"/>
      <c r="QR232"/>
      <c r="QS232"/>
      <c r="QT232"/>
      <c r="QU232"/>
      <c r="QV232"/>
      <c r="QW232"/>
      <c r="QX232"/>
      <c r="QY232"/>
      <c r="QZ232"/>
      <c r="RA232"/>
      <c r="RB232"/>
      <c r="RC232"/>
      <c r="RD232"/>
      <c r="RE232"/>
      <c r="RF232"/>
      <c r="RG232"/>
      <c r="RH232"/>
      <c r="RI232"/>
      <c r="RJ232"/>
      <c r="RK232"/>
      <c r="RL232"/>
      <c r="RM232"/>
      <c r="RN232"/>
      <c r="RO232"/>
      <c r="RP232"/>
      <c r="RQ232"/>
      <c r="RR232"/>
      <c r="RS232"/>
    </row>
    <row r="233" spans="3:487" x14ac:dyDescent="0.25">
      <c r="C233" s="2" t="s">
        <v>3674</v>
      </c>
      <c r="D233" s="34">
        <v>1</v>
      </c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  <c r="BN233"/>
      <c r="BO233"/>
      <c r="BP233"/>
      <c r="BQ233"/>
      <c r="BR233"/>
      <c r="BS233"/>
      <c r="BT233"/>
      <c r="BU233"/>
      <c r="BV233"/>
      <c r="BW233"/>
      <c r="BX233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  <c r="CL233"/>
      <c r="CM233"/>
      <c r="CN233"/>
      <c r="CO233"/>
      <c r="CP233"/>
      <c r="CQ233"/>
      <c r="CR233"/>
      <c r="CS233"/>
      <c r="CT233"/>
      <c r="CU233"/>
      <c r="CV233"/>
      <c r="CW233"/>
      <c r="CX233"/>
      <c r="CY233"/>
      <c r="CZ233"/>
      <c r="DA233"/>
      <c r="DB233"/>
      <c r="DC233"/>
      <c r="DD233"/>
      <c r="DE233"/>
      <c r="DF233"/>
      <c r="DG233"/>
      <c r="DH233"/>
      <c r="DI233"/>
      <c r="DJ233"/>
      <c r="DK233"/>
      <c r="DL233"/>
      <c r="DM233"/>
      <c r="DN233"/>
      <c r="DO233"/>
      <c r="DP233"/>
      <c r="DQ233"/>
      <c r="DR233"/>
      <c r="DS233"/>
      <c r="DT233"/>
      <c r="DU233"/>
      <c r="DV233"/>
      <c r="DW233"/>
      <c r="DX233"/>
      <c r="DY233"/>
      <c r="DZ233"/>
      <c r="EA233"/>
      <c r="EB233"/>
      <c r="EC233"/>
      <c r="ED233"/>
      <c r="EE233"/>
      <c r="EF233"/>
      <c r="EG233"/>
      <c r="EH233"/>
      <c r="EI233"/>
      <c r="EJ233"/>
      <c r="EK233"/>
      <c r="EL233"/>
      <c r="EM233"/>
      <c r="EN233"/>
      <c r="EO233"/>
      <c r="EP233"/>
      <c r="EQ233"/>
      <c r="ER233"/>
      <c r="ES233"/>
      <c r="ET233"/>
      <c r="EU233"/>
      <c r="EV233"/>
      <c r="EW233"/>
      <c r="EX233"/>
      <c r="EY233"/>
      <c r="EZ233"/>
      <c r="FA233"/>
      <c r="FB233"/>
      <c r="FC233"/>
      <c r="FD233"/>
      <c r="FE233"/>
      <c r="FF233"/>
      <c r="FG233"/>
      <c r="FH233"/>
      <c r="FI233"/>
      <c r="FJ233"/>
      <c r="FK233"/>
      <c r="FL233"/>
      <c r="FM233"/>
      <c r="FN233"/>
      <c r="FO233"/>
      <c r="FP233"/>
      <c r="FQ233"/>
      <c r="FR233"/>
      <c r="FS233"/>
      <c r="FT233"/>
      <c r="FU233"/>
      <c r="FV233"/>
      <c r="FW233"/>
      <c r="FX233"/>
      <c r="FY233"/>
      <c r="FZ233"/>
      <c r="GA233"/>
      <c r="GB233"/>
      <c r="GC233"/>
      <c r="GD233"/>
      <c r="GE233"/>
      <c r="GF233"/>
      <c r="GG233"/>
      <c r="GH233"/>
      <c r="GI233"/>
      <c r="GJ233"/>
      <c r="GK233"/>
      <c r="GL233"/>
      <c r="GM233"/>
      <c r="GN233"/>
      <c r="GO233"/>
      <c r="GP233"/>
      <c r="GQ233"/>
      <c r="GR233"/>
      <c r="GS233"/>
      <c r="GT233"/>
      <c r="GU233"/>
      <c r="GV233"/>
      <c r="GW233"/>
      <c r="GX233"/>
      <c r="GY233"/>
      <c r="GZ233"/>
      <c r="HA233"/>
      <c r="HB233"/>
      <c r="HC233"/>
      <c r="HD233"/>
      <c r="HE233"/>
      <c r="HF233"/>
      <c r="HG233"/>
      <c r="HH233"/>
      <c r="HI233"/>
      <c r="HJ233"/>
      <c r="HK233"/>
      <c r="HL233"/>
      <c r="HM233"/>
      <c r="HN233"/>
      <c r="HO233"/>
      <c r="HP233"/>
      <c r="HQ233"/>
      <c r="HR233"/>
      <c r="HS233"/>
      <c r="HT233"/>
      <c r="HU233"/>
      <c r="HV233"/>
      <c r="HW233"/>
      <c r="HX233"/>
      <c r="HY233"/>
      <c r="HZ233"/>
      <c r="IA233"/>
      <c r="IB233"/>
      <c r="IC233"/>
      <c r="ID233"/>
      <c r="IE233"/>
      <c r="IF233"/>
      <c r="IG233"/>
      <c r="IH233"/>
      <c r="II233"/>
      <c r="IJ233"/>
      <c r="IK233"/>
      <c r="IL233"/>
      <c r="IM233"/>
      <c r="IN233"/>
      <c r="IO233"/>
      <c r="IP233"/>
      <c r="IQ233"/>
      <c r="IR233"/>
      <c r="IS233"/>
      <c r="IT233"/>
      <c r="IU233"/>
      <c r="IV233"/>
      <c r="IW233"/>
      <c r="IX233"/>
      <c r="IY233"/>
      <c r="IZ233"/>
      <c r="JA233"/>
      <c r="JB233"/>
      <c r="JC233"/>
      <c r="JD233"/>
      <c r="JE233"/>
      <c r="JF233"/>
      <c r="JG233"/>
      <c r="JH233"/>
      <c r="JI233"/>
      <c r="JJ233"/>
      <c r="JK233"/>
      <c r="JL233"/>
      <c r="JM233"/>
      <c r="JN233"/>
      <c r="JO233"/>
      <c r="JP233"/>
      <c r="JQ233"/>
      <c r="JR233"/>
      <c r="JS233"/>
      <c r="JT233"/>
      <c r="JU233"/>
      <c r="JV233"/>
      <c r="JW233"/>
      <c r="JX233"/>
      <c r="JY233"/>
      <c r="JZ233"/>
      <c r="KA233"/>
      <c r="KB233"/>
      <c r="KC233"/>
      <c r="KD233"/>
      <c r="KE233"/>
      <c r="KF233"/>
      <c r="KG233"/>
      <c r="KH233"/>
      <c r="KI233"/>
      <c r="KJ233"/>
      <c r="KK233"/>
      <c r="KL233"/>
      <c r="KM233"/>
      <c r="KN233"/>
      <c r="KO233"/>
      <c r="KP233"/>
      <c r="KQ233"/>
      <c r="KR233"/>
      <c r="KS233"/>
      <c r="KT233"/>
      <c r="KU233"/>
      <c r="KV233"/>
      <c r="KW233"/>
      <c r="KX233"/>
      <c r="KY233"/>
      <c r="KZ233"/>
      <c r="LA233"/>
      <c r="LB233"/>
      <c r="LC233"/>
      <c r="LD233"/>
      <c r="LE233"/>
      <c r="LF233"/>
      <c r="LG233"/>
      <c r="LH233"/>
      <c r="LI233"/>
      <c r="LJ233"/>
      <c r="LK233"/>
      <c r="LL233"/>
      <c r="LM233"/>
      <c r="LN233"/>
      <c r="LO233"/>
      <c r="LP233"/>
      <c r="LQ233"/>
      <c r="LR233"/>
      <c r="LS233"/>
      <c r="LT233"/>
      <c r="LU233"/>
      <c r="LV233"/>
      <c r="LW233"/>
      <c r="LX233"/>
      <c r="LY233"/>
      <c r="LZ233"/>
      <c r="MA233"/>
      <c r="MB233"/>
      <c r="MC233"/>
      <c r="MD233"/>
      <c r="ME233"/>
      <c r="MF233"/>
      <c r="MG233"/>
      <c r="MH233"/>
      <c r="MI233"/>
      <c r="MJ233"/>
      <c r="MK233"/>
      <c r="ML233"/>
      <c r="MM233"/>
      <c r="MN233"/>
      <c r="MO233"/>
      <c r="MP233"/>
      <c r="MQ233"/>
      <c r="MR233"/>
      <c r="MS233"/>
      <c r="MT233"/>
      <c r="MU233"/>
      <c r="MV233"/>
      <c r="MW233"/>
      <c r="MX233"/>
      <c r="MY233"/>
      <c r="MZ233"/>
      <c r="NA233"/>
      <c r="NB233"/>
      <c r="NC233"/>
      <c r="ND233"/>
      <c r="NE233"/>
      <c r="NF233"/>
      <c r="NG233"/>
      <c r="NH233"/>
      <c r="NI233"/>
      <c r="NJ233"/>
      <c r="NK233"/>
      <c r="NL233"/>
      <c r="NM233"/>
      <c r="NN233"/>
      <c r="NO233"/>
      <c r="NP233"/>
      <c r="NQ233"/>
      <c r="NR233"/>
      <c r="NS233"/>
      <c r="NT233"/>
      <c r="NU233"/>
      <c r="NV233"/>
      <c r="NW233"/>
      <c r="NX233"/>
      <c r="NY233"/>
      <c r="NZ233"/>
      <c r="OA233"/>
      <c r="OB233"/>
      <c r="OC233"/>
      <c r="OD233"/>
      <c r="OE233"/>
      <c r="OF233"/>
      <c r="OG233"/>
      <c r="OH233"/>
      <c r="OI233"/>
      <c r="OJ233"/>
      <c r="OK233"/>
      <c r="OL233"/>
      <c r="OM233"/>
      <c r="ON233"/>
      <c r="OO233"/>
      <c r="OP233"/>
      <c r="OQ233"/>
      <c r="OR233"/>
      <c r="OS233"/>
      <c r="OT233"/>
      <c r="OU233"/>
      <c r="OV233"/>
      <c r="OW233"/>
      <c r="OX233"/>
      <c r="OY233"/>
      <c r="OZ233"/>
      <c r="PA233"/>
      <c r="PB233"/>
      <c r="PC233"/>
      <c r="PD233"/>
      <c r="PE233"/>
      <c r="PF233"/>
      <c r="PG233"/>
      <c r="PH233"/>
      <c r="PI233"/>
      <c r="PJ233"/>
      <c r="PK233"/>
      <c r="PL233"/>
      <c r="PM233"/>
      <c r="PN233"/>
      <c r="PO233"/>
      <c r="PP233"/>
      <c r="PQ233"/>
      <c r="PR233"/>
      <c r="PS233"/>
      <c r="PT233"/>
      <c r="PU233"/>
      <c r="PV233"/>
      <c r="PW233"/>
      <c r="PX233"/>
      <c r="PY233"/>
      <c r="PZ233"/>
      <c r="QA233"/>
      <c r="QB233"/>
      <c r="QC233"/>
      <c r="QD233"/>
      <c r="QE233"/>
      <c r="QF233"/>
      <c r="QG233"/>
      <c r="QH233"/>
      <c r="QI233"/>
      <c r="QJ233"/>
      <c r="QK233"/>
      <c r="QL233"/>
      <c r="QM233"/>
      <c r="QN233"/>
      <c r="QO233"/>
      <c r="QP233"/>
      <c r="QQ233"/>
      <c r="QR233"/>
      <c r="QS233"/>
      <c r="QT233"/>
      <c r="QU233"/>
      <c r="QV233"/>
      <c r="QW233"/>
      <c r="QX233"/>
      <c r="QY233"/>
      <c r="QZ233"/>
      <c r="RA233"/>
      <c r="RB233"/>
      <c r="RC233"/>
      <c r="RD233"/>
      <c r="RE233"/>
      <c r="RF233"/>
      <c r="RG233"/>
      <c r="RH233"/>
      <c r="RI233"/>
      <c r="RJ233"/>
      <c r="RK233"/>
      <c r="RL233"/>
      <c r="RM233"/>
      <c r="RN233"/>
      <c r="RO233"/>
      <c r="RP233"/>
      <c r="RQ233"/>
      <c r="RR233"/>
      <c r="RS233"/>
    </row>
    <row r="234" spans="3:487" x14ac:dyDescent="0.25">
      <c r="C234" s="2" t="s">
        <v>161</v>
      </c>
      <c r="D234" s="34">
        <v>1</v>
      </c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  <c r="BN234"/>
      <c r="BO234"/>
      <c r="BP234"/>
      <c r="BQ234"/>
      <c r="BR234"/>
      <c r="BS234"/>
      <c r="BT234"/>
      <c r="BU234"/>
      <c r="BV234"/>
      <c r="BW234"/>
      <c r="BX234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  <c r="CL234"/>
      <c r="CM234"/>
      <c r="CN234"/>
      <c r="CO234"/>
      <c r="CP234"/>
      <c r="CQ234"/>
      <c r="CR234"/>
      <c r="CS234"/>
      <c r="CT234"/>
      <c r="CU234"/>
      <c r="CV234"/>
      <c r="CW234"/>
      <c r="CX234"/>
      <c r="CY234"/>
      <c r="CZ234"/>
      <c r="DA234"/>
      <c r="DB234"/>
      <c r="DC234"/>
      <c r="DD234"/>
      <c r="DE234"/>
      <c r="DF234"/>
      <c r="DG234"/>
      <c r="DH234"/>
      <c r="DI234"/>
      <c r="DJ234"/>
      <c r="DK234"/>
      <c r="DL234"/>
      <c r="DM234"/>
      <c r="DN234"/>
      <c r="DO234"/>
      <c r="DP234"/>
      <c r="DQ234"/>
      <c r="DR234"/>
      <c r="DS234"/>
      <c r="DT234"/>
      <c r="DU234"/>
      <c r="DV234"/>
      <c r="DW234"/>
      <c r="DX234"/>
      <c r="DY234"/>
      <c r="DZ234"/>
      <c r="EA234"/>
      <c r="EB234"/>
      <c r="EC234"/>
      <c r="ED234"/>
      <c r="EE234"/>
      <c r="EF234"/>
      <c r="EG234"/>
      <c r="EH234"/>
      <c r="EI234"/>
      <c r="EJ234"/>
      <c r="EK234"/>
      <c r="EL234"/>
      <c r="EM234"/>
      <c r="EN234"/>
      <c r="EO234"/>
      <c r="EP234"/>
      <c r="EQ234"/>
      <c r="ER234"/>
      <c r="ES234"/>
      <c r="ET234"/>
      <c r="EU234"/>
      <c r="EV234"/>
      <c r="EW234"/>
      <c r="EX234"/>
      <c r="EY234"/>
      <c r="EZ234"/>
      <c r="FA234"/>
      <c r="FB234"/>
      <c r="FC234"/>
      <c r="FD234"/>
      <c r="FE234"/>
      <c r="FF234"/>
      <c r="FG234"/>
      <c r="FH234"/>
      <c r="FI234"/>
      <c r="FJ234"/>
      <c r="FK234"/>
      <c r="FL234"/>
      <c r="FM234"/>
      <c r="FN234"/>
      <c r="FO234"/>
      <c r="FP234"/>
      <c r="FQ234"/>
      <c r="FR234"/>
      <c r="FS234"/>
      <c r="FT234"/>
      <c r="FU234"/>
      <c r="FV234"/>
      <c r="FW234"/>
      <c r="FX234"/>
      <c r="FY234"/>
      <c r="FZ234"/>
      <c r="GA234"/>
      <c r="GB234"/>
      <c r="GC234"/>
      <c r="GD234"/>
      <c r="GE234"/>
      <c r="GF234"/>
      <c r="GG234"/>
      <c r="GH234"/>
      <c r="GI234"/>
      <c r="GJ234"/>
      <c r="GK234"/>
      <c r="GL234"/>
      <c r="GM234"/>
      <c r="GN234"/>
      <c r="GO234"/>
      <c r="GP234"/>
      <c r="GQ234"/>
      <c r="GR234"/>
      <c r="GS234"/>
      <c r="GT234"/>
      <c r="GU234"/>
      <c r="GV234"/>
      <c r="GW234"/>
      <c r="GX234"/>
      <c r="GY234"/>
      <c r="GZ234"/>
      <c r="HA234"/>
      <c r="HB234"/>
      <c r="HC234"/>
      <c r="HD234"/>
      <c r="HE234"/>
      <c r="HF234"/>
      <c r="HG234"/>
      <c r="HH234"/>
      <c r="HI234"/>
      <c r="HJ234"/>
      <c r="HK234"/>
      <c r="HL234"/>
      <c r="HM234"/>
      <c r="HN234"/>
      <c r="HO234"/>
      <c r="HP234"/>
      <c r="HQ234"/>
      <c r="HR234"/>
      <c r="HS234"/>
      <c r="HT234"/>
      <c r="HU234"/>
      <c r="HV234"/>
      <c r="HW234"/>
      <c r="HX234"/>
      <c r="HY234"/>
      <c r="HZ234"/>
      <c r="IA234"/>
      <c r="IB234"/>
      <c r="IC234"/>
      <c r="ID234"/>
      <c r="IE234"/>
      <c r="IF234"/>
      <c r="IG234"/>
      <c r="IH234"/>
      <c r="II234"/>
      <c r="IJ234"/>
      <c r="IK234"/>
      <c r="IL234"/>
      <c r="IM234"/>
      <c r="IN234"/>
      <c r="IO234"/>
      <c r="IP234"/>
      <c r="IQ234"/>
      <c r="IR234"/>
      <c r="IS234"/>
      <c r="IT234"/>
      <c r="IU234"/>
      <c r="IV234"/>
      <c r="IW234"/>
      <c r="IX234"/>
      <c r="IY234"/>
      <c r="IZ234"/>
      <c r="JA234"/>
      <c r="JB234"/>
      <c r="JC234"/>
      <c r="JD234"/>
      <c r="JE234"/>
      <c r="JF234"/>
      <c r="JG234"/>
      <c r="JH234"/>
      <c r="JI234"/>
      <c r="JJ234"/>
      <c r="JK234"/>
      <c r="JL234"/>
      <c r="JM234"/>
      <c r="JN234"/>
      <c r="JO234"/>
      <c r="JP234"/>
      <c r="JQ234"/>
      <c r="JR234"/>
      <c r="JS234"/>
      <c r="JT234"/>
      <c r="JU234"/>
      <c r="JV234"/>
      <c r="JW234"/>
      <c r="JX234"/>
      <c r="JY234"/>
      <c r="JZ234"/>
      <c r="KA234"/>
      <c r="KB234"/>
      <c r="KC234"/>
      <c r="KD234"/>
      <c r="KE234"/>
      <c r="KF234"/>
      <c r="KG234"/>
      <c r="KH234"/>
      <c r="KI234"/>
      <c r="KJ234"/>
      <c r="KK234"/>
      <c r="KL234"/>
      <c r="KM234"/>
      <c r="KN234"/>
      <c r="KO234"/>
      <c r="KP234"/>
      <c r="KQ234"/>
      <c r="KR234"/>
      <c r="KS234"/>
      <c r="KT234"/>
      <c r="KU234"/>
      <c r="KV234"/>
      <c r="KW234"/>
      <c r="KX234"/>
      <c r="KY234"/>
      <c r="KZ234"/>
      <c r="LA234"/>
      <c r="LB234"/>
      <c r="LC234"/>
      <c r="LD234"/>
      <c r="LE234"/>
      <c r="LF234"/>
      <c r="LG234"/>
      <c r="LH234"/>
      <c r="LI234"/>
      <c r="LJ234"/>
      <c r="LK234"/>
      <c r="LL234"/>
      <c r="LM234"/>
      <c r="LN234"/>
      <c r="LO234"/>
      <c r="LP234"/>
      <c r="LQ234"/>
      <c r="LR234"/>
      <c r="LS234"/>
      <c r="LT234"/>
      <c r="LU234"/>
      <c r="LV234"/>
      <c r="LW234"/>
      <c r="LX234"/>
      <c r="LY234"/>
      <c r="LZ234"/>
      <c r="MA234"/>
      <c r="MB234"/>
      <c r="MC234"/>
      <c r="MD234"/>
      <c r="ME234"/>
      <c r="MF234"/>
      <c r="MG234"/>
      <c r="MH234"/>
      <c r="MI234"/>
      <c r="MJ234"/>
      <c r="MK234"/>
      <c r="ML234"/>
      <c r="MM234"/>
      <c r="MN234"/>
      <c r="MO234"/>
      <c r="MP234"/>
      <c r="MQ234"/>
      <c r="MR234"/>
      <c r="MS234"/>
      <c r="MT234"/>
      <c r="MU234"/>
      <c r="MV234"/>
      <c r="MW234"/>
      <c r="MX234"/>
      <c r="MY234"/>
      <c r="MZ234"/>
      <c r="NA234"/>
      <c r="NB234"/>
      <c r="NC234"/>
      <c r="ND234"/>
      <c r="NE234"/>
      <c r="NF234"/>
      <c r="NG234"/>
      <c r="NH234"/>
      <c r="NI234"/>
      <c r="NJ234"/>
      <c r="NK234"/>
      <c r="NL234"/>
      <c r="NM234"/>
      <c r="NN234"/>
      <c r="NO234"/>
      <c r="NP234"/>
      <c r="NQ234"/>
      <c r="NR234"/>
      <c r="NS234"/>
      <c r="NT234"/>
      <c r="NU234"/>
      <c r="NV234"/>
      <c r="NW234"/>
      <c r="NX234"/>
      <c r="NY234"/>
      <c r="NZ234"/>
      <c r="OA234"/>
      <c r="OB234"/>
      <c r="OC234"/>
      <c r="OD234"/>
      <c r="OE234"/>
      <c r="OF234"/>
      <c r="OG234"/>
      <c r="OH234"/>
      <c r="OI234"/>
      <c r="OJ234"/>
      <c r="OK234"/>
      <c r="OL234"/>
      <c r="OM234"/>
      <c r="ON234"/>
      <c r="OO234"/>
      <c r="OP234"/>
      <c r="OQ234"/>
      <c r="OR234"/>
      <c r="OS234"/>
      <c r="OT234"/>
      <c r="OU234"/>
      <c r="OV234"/>
      <c r="OW234"/>
      <c r="OX234"/>
      <c r="OY234"/>
      <c r="OZ234"/>
      <c r="PA234"/>
      <c r="PB234"/>
      <c r="PC234"/>
      <c r="PD234"/>
      <c r="PE234"/>
      <c r="PF234"/>
      <c r="PG234"/>
      <c r="PH234"/>
      <c r="PI234"/>
      <c r="PJ234"/>
      <c r="PK234"/>
      <c r="PL234"/>
      <c r="PM234"/>
      <c r="PN234"/>
      <c r="PO234"/>
      <c r="PP234"/>
      <c r="PQ234"/>
      <c r="PR234"/>
      <c r="PS234"/>
      <c r="PT234"/>
      <c r="PU234"/>
      <c r="PV234"/>
      <c r="PW234"/>
      <c r="PX234"/>
      <c r="PY234"/>
      <c r="PZ234"/>
      <c r="QA234"/>
      <c r="QB234"/>
      <c r="QC234"/>
      <c r="QD234"/>
      <c r="QE234"/>
      <c r="QF234"/>
      <c r="QG234"/>
      <c r="QH234"/>
      <c r="QI234"/>
      <c r="QJ234"/>
      <c r="QK234"/>
      <c r="QL234"/>
      <c r="QM234"/>
      <c r="QN234"/>
      <c r="QO234"/>
      <c r="QP234"/>
      <c r="QQ234"/>
      <c r="QR234"/>
      <c r="QS234"/>
      <c r="QT234"/>
      <c r="QU234"/>
      <c r="QV234"/>
      <c r="QW234"/>
      <c r="QX234"/>
      <c r="QY234"/>
      <c r="QZ234"/>
      <c r="RA234"/>
      <c r="RB234"/>
      <c r="RC234"/>
      <c r="RD234"/>
      <c r="RE234"/>
      <c r="RF234"/>
      <c r="RG234"/>
      <c r="RH234"/>
      <c r="RI234"/>
      <c r="RJ234"/>
      <c r="RK234"/>
      <c r="RL234"/>
      <c r="RM234"/>
      <c r="RN234"/>
      <c r="RO234"/>
      <c r="RP234"/>
      <c r="RQ234"/>
      <c r="RR234"/>
      <c r="RS234"/>
    </row>
    <row r="235" spans="3:487" x14ac:dyDescent="0.25">
      <c r="C235" s="2" t="s">
        <v>335</v>
      </c>
      <c r="D235" s="34">
        <v>1</v>
      </c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M235"/>
      <c r="BN235"/>
      <c r="BO235"/>
      <c r="BP235"/>
      <c r="BQ235"/>
      <c r="BR235"/>
      <c r="BS235"/>
      <c r="BT235"/>
      <c r="BU235"/>
      <c r="BV235"/>
      <c r="BW235"/>
      <c r="BX235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  <c r="CL235"/>
      <c r="CM235"/>
      <c r="CN235"/>
      <c r="CO235"/>
      <c r="CP235"/>
      <c r="CQ235"/>
      <c r="CR235"/>
      <c r="CS235"/>
      <c r="CT235"/>
      <c r="CU235"/>
      <c r="CV235"/>
      <c r="CW235"/>
      <c r="CX235"/>
      <c r="CY235"/>
      <c r="CZ235"/>
      <c r="DA235"/>
      <c r="DB235"/>
      <c r="DC235"/>
      <c r="DD235"/>
      <c r="DE235"/>
      <c r="DF235"/>
      <c r="DG235"/>
      <c r="DH235"/>
      <c r="DI235"/>
      <c r="DJ235"/>
      <c r="DK235"/>
      <c r="DL235"/>
      <c r="DM235"/>
      <c r="DN235"/>
      <c r="DO235"/>
      <c r="DP235"/>
      <c r="DQ235"/>
      <c r="DR235"/>
      <c r="DS235"/>
      <c r="DT235"/>
      <c r="DU235"/>
      <c r="DV235"/>
      <c r="DW235"/>
      <c r="DX235"/>
      <c r="DY235"/>
      <c r="DZ235"/>
      <c r="EA235"/>
      <c r="EB235"/>
      <c r="EC235"/>
      <c r="ED235"/>
      <c r="EE235"/>
      <c r="EF235"/>
      <c r="EG235"/>
      <c r="EH235"/>
      <c r="EI235"/>
      <c r="EJ235"/>
      <c r="EK235"/>
      <c r="EL235"/>
      <c r="EM235"/>
      <c r="EN235"/>
      <c r="EO235"/>
      <c r="EP235"/>
      <c r="EQ235"/>
      <c r="ER235"/>
      <c r="ES235"/>
      <c r="ET235"/>
      <c r="EU235"/>
      <c r="EV235"/>
      <c r="EW235"/>
      <c r="EX235"/>
      <c r="EY235"/>
      <c r="EZ235"/>
      <c r="FA235"/>
      <c r="FB235"/>
      <c r="FC235"/>
      <c r="FD235"/>
      <c r="FE235"/>
      <c r="FF235"/>
      <c r="FG235"/>
      <c r="FH235"/>
      <c r="FI235"/>
      <c r="FJ235"/>
      <c r="FK235"/>
      <c r="FL235"/>
      <c r="FM235"/>
      <c r="FN235"/>
      <c r="FO235"/>
      <c r="FP235"/>
      <c r="FQ235"/>
      <c r="FR235"/>
      <c r="FS235"/>
      <c r="FT235"/>
      <c r="FU235"/>
      <c r="FV235"/>
      <c r="FW235"/>
      <c r="FX235"/>
      <c r="FY235"/>
      <c r="FZ235"/>
      <c r="GA235"/>
      <c r="GB235"/>
      <c r="GC235"/>
      <c r="GD235"/>
      <c r="GE235"/>
      <c r="GF235"/>
      <c r="GG235"/>
      <c r="GH235"/>
      <c r="GI235"/>
      <c r="GJ235"/>
      <c r="GK235"/>
      <c r="GL235"/>
      <c r="GM235"/>
      <c r="GN235"/>
      <c r="GO235"/>
      <c r="GP235"/>
      <c r="GQ235"/>
      <c r="GR235"/>
      <c r="GS235"/>
      <c r="GT235"/>
      <c r="GU235"/>
      <c r="GV235"/>
      <c r="GW235"/>
      <c r="GX235"/>
      <c r="GY235"/>
      <c r="GZ235"/>
      <c r="HA235"/>
      <c r="HB235"/>
      <c r="HC235"/>
      <c r="HD235"/>
      <c r="HE235"/>
      <c r="HF235"/>
      <c r="HG235"/>
      <c r="HH235"/>
      <c r="HI235"/>
      <c r="HJ235"/>
      <c r="HK235"/>
      <c r="HL235"/>
      <c r="HM235"/>
      <c r="HN235"/>
      <c r="HO235"/>
      <c r="HP235"/>
      <c r="HQ235"/>
      <c r="HR235"/>
      <c r="HS235"/>
      <c r="HT235"/>
      <c r="HU235"/>
      <c r="HV235"/>
      <c r="HW235"/>
      <c r="HX235"/>
      <c r="HY235"/>
      <c r="HZ235"/>
      <c r="IA235"/>
      <c r="IB235"/>
      <c r="IC235"/>
      <c r="ID235"/>
      <c r="IE235"/>
      <c r="IF235"/>
      <c r="IG235"/>
      <c r="IH235"/>
      <c r="II235"/>
      <c r="IJ235"/>
      <c r="IK235"/>
      <c r="IL235"/>
      <c r="IM235"/>
      <c r="IN235"/>
      <c r="IO235"/>
      <c r="IP235"/>
      <c r="IQ235"/>
      <c r="IR235"/>
      <c r="IS235"/>
      <c r="IT235"/>
      <c r="IU235"/>
      <c r="IV235"/>
      <c r="IW235"/>
      <c r="IX235"/>
      <c r="IY235"/>
      <c r="IZ235"/>
      <c r="JA235"/>
      <c r="JB235"/>
      <c r="JC235"/>
      <c r="JD235"/>
      <c r="JE235"/>
      <c r="JF235"/>
      <c r="JG235"/>
      <c r="JH235"/>
      <c r="JI235"/>
      <c r="JJ235"/>
      <c r="JK235"/>
      <c r="JL235"/>
      <c r="JM235"/>
      <c r="JN235"/>
      <c r="JO235"/>
      <c r="JP235"/>
      <c r="JQ235"/>
      <c r="JR235"/>
      <c r="JS235"/>
      <c r="JT235"/>
      <c r="JU235"/>
      <c r="JV235"/>
      <c r="JW235"/>
      <c r="JX235"/>
      <c r="JY235"/>
      <c r="JZ235"/>
      <c r="KA235"/>
      <c r="KB235"/>
      <c r="KC235"/>
      <c r="KD235"/>
      <c r="KE235"/>
      <c r="KF235"/>
      <c r="KG235"/>
      <c r="KH235"/>
      <c r="KI235"/>
      <c r="KJ235"/>
      <c r="KK235"/>
      <c r="KL235"/>
      <c r="KM235"/>
      <c r="KN235"/>
      <c r="KO235"/>
      <c r="KP235"/>
      <c r="KQ235"/>
      <c r="KR235"/>
      <c r="KS235"/>
      <c r="KT235"/>
      <c r="KU235"/>
      <c r="KV235"/>
      <c r="KW235"/>
      <c r="KX235"/>
      <c r="KY235"/>
      <c r="KZ235"/>
      <c r="LA235"/>
      <c r="LB235"/>
      <c r="LC235"/>
      <c r="LD235"/>
      <c r="LE235"/>
      <c r="LF235"/>
      <c r="LG235"/>
      <c r="LH235"/>
      <c r="LI235"/>
      <c r="LJ235"/>
      <c r="LK235"/>
      <c r="LL235"/>
      <c r="LM235"/>
      <c r="LN235"/>
      <c r="LO235"/>
      <c r="LP235"/>
      <c r="LQ235"/>
      <c r="LR235"/>
      <c r="LS235"/>
      <c r="LT235"/>
      <c r="LU235"/>
      <c r="LV235"/>
      <c r="LW235"/>
      <c r="LX235"/>
      <c r="LY235"/>
      <c r="LZ235"/>
      <c r="MA235"/>
      <c r="MB235"/>
      <c r="MC235"/>
      <c r="MD235"/>
      <c r="ME235"/>
      <c r="MF235"/>
      <c r="MG235"/>
      <c r="MH235"/>
      <c r="MI235"/>
      <c r="MJ235"/>
      <c r="MK235"/>
      <c r="ML235"/>
      <c r="MM235"/>
      <c r="MN235"/>
      <c r="MO235"/>
      <c r="MP235"/>
      <c r="MQ235"/>
      <c r="MR235"/>
      <c r="MS235"/>
      <c r="MT235"/>
      <c r="MU235"/>
      <c r="MV235"/>
      <c r="MW235"/>
      <c r="MX235"/>
      <c r="MY235"/>
      <c r="MZ235"/>
      <c r="NA235"/>
      <c r="NB235"/>
      <c r="NC235"/>
      <c r="ND235"/>
      <c r="NE235"/>
      <c r="NF235"/>
      <c r="NG235"/>
      <c r="NH235"/>
      <c r="NI235"/>
      <c r="NJ235"/>
      <c r="NK235"/>
      <c r="NL235"/>
      <c r="NM235"/>
      <c r="NN235"/>
      <c r="NO235"/>
      <c r="NP235"/>
      <c r="NQ235"/>
      <c r="NR235"/>
      <c r="NS235"/>
      <c r="NT235"/>
      <c r="NU235"/>
      <c r="NV235"/>
      <c r="NW235"/>
      <c r="NX235"/>
      <c r="NY235"/>
      <c r="NZ235"/>
      <c r="OA235"/>
      <c r="OB235"/>
      <c r="OC235"/>
      <c r="OD235"/>
      <c r="OE235"/>
      <c r="OF235"/>
      <c r="OG235"/>
      <c r="OH235"/>
      <c r="OI235"/>
      <c r="OJ235"/>
      <c r="OK235"/>
      <c r="OL235"/>
      <c r="OM235"/>
      <c r="ON235"/>
      <c r="OO235"/>
      <c r="OP235"/>
      <c r="OQ235"/>
      <c r="OR235"/>
      <c r="OS235"/>
      <c r="OT235"/>
      <c r="OU235"/>
      <c r="OV235"/>
      <c r="OW235"/>
      <c r="OX235"/>
      <c r="OY235"/>
      <c r="OZ235"/>
      <c r="PA235"/>
      <c r="PB235"/>
      <c r="PC235"/>
      <c r="PD235"/>
      <c r="PE235"/>
      <c r="PF235"/>
      <c r="PG235"/>
      <c r="PH235"/>
      <c r="PI235"/>
      <c r="PJ235"/>
      <c r="PK235"/>
      <c r="PL235"/>
      <c r="PM235"/>
      <c r="PN235"/>
      <c r="PO235"/>
      <c r="PP235"/>
      <c r="PQ235"/>
      <c r="PR235"/>
      <c r="PS235"/>
      <c r="PT235"/>
      <c r="PU235"/>
      <c r="PV235"/>
      <c r="PW235"/>
      <c r="PX235"/>
      <c r="PY235"/>
      <c r="PZ235"/>
      <c r="QA235"/>
      <c r="QB235"/>
      <c r="QC235"/>
      <c r="QD235"/>
      <c r="QE235"/>
      <c r="QF235"/>
      <c r="QG235"/>
      <c r="QH235"/>
      <c r="QI235"/>
      <c r="QJ235"/>
      <c r="QK235"/>
      <c r="QL235"/>
      <c r="QM235"/>
      <c r="QN235"/>
      <c r="QO235"/>
      <c r="QP235"/>
      <c r="QQ235"/>
      <c r="QR235"/>
      <c r="QS235"/>
      <c r="QT235"/>
      <c r="QU235"/>
      <c r="QV235"/>
      <c r="QW235"/>
      <c r="QX235"/>
      <c r="QY235"/>
      <c r="QZ235"/>
      <c r="RA235"/>
      <c r="RB235"/>
      <c r="RC235"/>
      <c r="RD235"/>
      <c r="RE235"/>
      <c r="RF235"/>
      <c r="RG235"/>
      <c r="RH235"/>
      <c r="RI235"/>
      <c r="RJ235"/>
      <c r="RK235"/>
      <c r="RL235"/>
      <c r="RM235"/>
      <c r="RN235"/>
      <c r="RO235"/>
      <c r="RP235"/>
      <c r="RQ235"/>
      <c r="RR235"/>
      <c r="RS235"/>
    </row>
    <row r="236" spans="3:487" x14ac:dyDescent="0.25">
      <c r="C236" s="2" t="s">
        <v>338</v>
      </c>
      <c r="D236" s="34">
        <v>1</v>
      </c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  <c r="BN236"/>
      <c r="BO236"/>
      <c r="BP236"/>
      <c r="BQ236"/>
      <c r="BR236"/>
      <c r="BS236"/>
      <c r="BT236"/>
      <c r="BU236"/>
      <c r="BV236"/>
      <c r="BW236"/>
      <c r="BX236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  <c r="CL236"/>
      <c r="CM236"/>
      <c r="CN236"/>
      <c r="CO236"/>
      <c r="CP236"/>
      <c r="CQ236"/>
      <c r="CR236"/>
      <c r="CS236"/>
      <c r="CT236"/>
      <c r="CU236"/>
      <c r="CV236"/>
      <c r="CW236"/>
      <c r="CX236"/>
      <c r="CY236"/>
      <c r="CZ236"/>
      <c r="DA236"/>
      <c r="DB236"/>
      <c r="DC236"/>
      <c r="DD236"/>
      <c r="DE236"/>
      <c r="DF236"/>
      <c r="DG236"/>
      <c r="DH236"/>
      <c r="DI236"/>
      <c r="DJ236"/>
      <c r="DK236"/>
      <c r="DL236"/>
      <c r="DM236"/>
      <c r="DN236"/>
      <c r="DO236"/>
      <c r="DP236"/>
      <c r="DQ236"/>
      <c r="DR236"/>
      <c r="DS236"/>
      <c r="DT236"/>
      <c r="DU236"/>
      <c r="DV236"/>
      <c r="DW236"/>
      <c r="DX236"/>
      <c r="DY236"/>
      <c r="DZ236"/>
      <c r="EA236"/>
      <c r="EB236"/>
      <c r="EC236"/>
      <c r="ED236"/>
      <c r="EE236"/>
      <c r="EF236"/>
      <c r="EG236"/>
      <c r="EH236"/>
      <c r="EI236"/>
      <c r="EJ236"/>
      <c r="EK236"/>
      <c r="EL236"/>
      <c r="EM236"/>
      <c r="EN236"/>
      <c r="EO236"/>
      <c r="EP236"/>
      <c r="EQ236"/>
      <c r="ER236"/>
      <c r="ES236"/>
      <c r="ET236"/>
      <c r="EU236"/>
      <c r="EV236"/>
      <c r="EW236"/>
      <c r="EX236"/>
      <c r="EY236"/>
      <c r="EZ236"/>
      <c r="FA236"/>
      <c r="FB236"/>
      <c r="FC236"/>
      <c r="FD236"/>
      <c r="FE236"/>
      <c r="FF236"/>
      <c r="FG236"/>
      <c r="FH236"/>
      <c r="FI236"/>
      <c r="FJ236"/>
      <c r="FK236"/>
      <c r="FL236"/>
      <c r="FM236"/>
      <c r="FN236"/>
      <c r="FO236"/>
      <c r="FP236"/>
      <c r="FQ236"/>
      <c r="FR236"/>
      <c r="FS236"/>
      <c r="FT236"/>
      <c r="FU236"/>
      <c r="FV236"/>
      <c r="FW236"/>
      <c r="FX236"/>
      <c r="FY236"/>
      <c r="FZ236"/>
      <c r="GA236"/>
      <c r="GB236"/>
      <c r="GC236"/>
      <c r="GD236"/>
      <c r="GE236"/>
      <c r="GF236"/>
      <c r="GG236"/>
      <c r="GH236"/>
      <c r="GI236"/>
      <c r="GJ236"/>
      <c r="GK236"/>
      <c r="GL236"/>
      <c r="GM236"/>
      <c r="GN236"/>
      <c r="GO236"/>
      <c r="GP236"/>
      <c r="GQ236"/>
      <c r="GR236"/>
      <c r="GS236"/>
      <c r="GT236"/>
      <c r="GU236"/>
      <c r="GV236"/>
      <c r="GW236"/>
      <c r="GX236"/>
      <c r="GY236"/>
      <c r="GZ236"/>
      <c r="HA236"/>
      <c r="HB236"/>
      <c r="HC236"/>
      <c r="HD236"/>
      <c r="HE236"/>
      <c r="HF236"/>
      <c r="HG236"/>
      <c r="HH236"/>
      <c r="HI236"/>
      <c r="HJ236"/>
      <c r="HK236"/>
      <c r="HL236"/>
      <c r="HM236"/>
      <c r="HN236"/>
      <c r="HO236"/>
      <c r="HP236"/>
      <c r="HQ236"/>
      <c r="HR236"/>
      <c r="HS236"/>
      <c r="HT236"/>
      <c r="HU236"/>
      <c r="HV236"/>
      <c r="HW236"/>
      <c r="HX236"/>
      <c r="HY236"/>
      <c r="HZ236"/>
      <c r="IA236"/>
      <c r="IB236"/>
      <c r="IC236"/>
      <c r="ID236"/>
      <c r="IE236"/>
      <c r="IF236"/>
      <c r="IG236"/>
      <c r="IH236"/>
      <c r="II236"/>
      <c r="IJ236"/>
      <c r="IK236"/>
      <c r="IL236"/>
      <c r="IM236"/>
      <c r="IN236"/>
      <c r="IO236"/>
      <c r="IP236"/>
      <c r="IQ236"/>
      <c r="IR236"/>
      <c r="IS236"/>
      <c r="IT236"/>
      <c r="IU236"/>
      <c r="IV236"/>
      <c r="IW236"/>
      <c r="IX236"/>
      <c r="IY236"/>
      <c r="IZ236"/>
      <c r="JA236"/>
      <c r="JB236"/>
      <c r="JC236"/>
      <c r="JD236"/>
      <c r="JE236"/>
      <c r="JF236"/>
      <c r="JG236"/>
      <c r="JH236"/>
      <c r="JI236"/>
      <c r="JJ236"/>
      <c r="JK236"/>
      <c r="JL236"/>
      <c r="JM236"/>
      <c r="JN236"/>
      <c r="JO236"/>
      <c r="JP236"/>
      <c r="JQ236"/>
      <c r="JR236"/>
      <c r="JS236"/>
      <c r="JT236"/>
      <c r="JU236"/>
      <c r="JV236"/>
      <c r="JW236"/>
      <c r="JX236"/>
      <c r="JY236"/>
      <c r="JZ236"/>
      <c r="KA236"/>
      <c r="KB236"/>
      <c r="KC236"/>
      <c r="KD236"/>
      <c r="KE236"/>
      <c r="KF236"/>
      <c r="KG236"/>
      <c r="KH236"/>
      <c r="KI236"/>
      <c r="KJ236"/>
      <c r="KK236"/>
      <c r="KL236"/>
      <c r="KM236"/>
      <c r="KN236"/>
      <c r="KO236"/>
      <c r="KP236"/>
      <c r="KQ236"/>
      <c r="KR236"/>
      <c r="KS236"/>
      <c r="KT236"/>
      <c r="KU236"/>
      <c r="KV236"/>
      <c r="KW236"/>
      <c r="KX236"/>
      <c r="KY236"/>
      <c r="KZ236"/>
      <c r="LA236"/>
      <c r="LB236"/>
      <c r="LC236"/>
      <c r="LD236"/>
      <c r="LE236"/>
      <c r="LF236"/>
      <c r="LG236"/>
      <c r="LH236"/>
      <c r="LI236"/>
      <c r="LJ236"/>
      <c r="LK236"/>
      <c r="LL236"/>
      <c r="LM236"/>
      <c r="LN236"/>
      <c r="LO236"/>
      <c r="LP236"/>
      <c r="LQ236"/>
      <c r="LR236"/>
      <c r="LS236"/>
      <c r="LT236"/>
      <c r="LU236"/>
      <c r="LV236"/>
      <c r="LW236"/>
      <c r="LX236"/>
      <c r="LY236"/>
      <c r="LZ236"/>
      <c r="MA236"/>
      <c r="MB236"/>
      <c r="MC236"/>
      <c r="MD236"/>
      <c r="ME236"/>
      <c r="MF236"/>
      <c r="MG236"/>
      <c r="MH236"/>
      <c r="MI236"/>
      <c r="MJ236"/>
      <c r="MK236"/>
      <c r="ML236"/>
      <c r="MM236"/>
      <c r="MN236"/>
      <c r="MO236"/>
      <c r="MP236"/>
      <c r="MQ236"/>
      <c r="MR236"/>
      <c r="MS236"/>
      <c r="MT236"/>
      <c r="MU236"/>
      <c r="MV236"/>
      <c r="MW236"/>
      <c r="MX236"/>
      <c r="MY236"/>
      <c r="MZ236"/>
      <c r="NA236"/>
      <c r="NB236"/>
      <c r="NC236"/>
      <c r="ND236"/>
      <c r="NE236"/>
      <c r="NF236"/>
      <c r="NG236"/>
      <c r="NH236"/>
      <c r="NI236"/>
      <c r="NJ236"/>
      <c r="NK236"/>
      <c r="NL236"/>
      <c r="NM236"/>
      <c r="NN236"/>
      <c r="NO236"/>
      <c r="NP236"/>
      <c r="NQ236"/>
      <c r="NR236"/>
      <c r="NS236"/>
      <c r="NT236"/>
      <c r="NU236"/>
      <c r="NV236"/>
      <c r="NW236"/>
      <c r="NX236"/>
      <c r="NY236"/>
      <c r="NZ236"/>
      <c r="OA236"/>
      <c r="OB236"/>
      <c r="OC236"/>
      <c r="OD236"/>
      <c r="OE236"/>
      <c r="OF236"/>
      <c r="OG236"/>
      <c r="OH236"/>
      <c r="OI236"/>
      <c r="OJ236"/>
      <c r="OK236"/>
      <c r="OL236"/>
      <c r="OM236"/>
      <c r="ON236"/>
      <c r="OO236"/>
      <c r="OP236"/>
      <c r="OQ236"/>
      <c r="OR236"/>
      <c r="OS236"/>
      <c r="OT236"/>
      <c r="OU236"/>
      <c r="OV236"/>
      <c r="OW236"/>
      <c r="OX236"/>
      <c r="OY236"/>
      <c r="OZ236"/>
      <c r="PA236"/>
      <c r="PB236"/>
      <c r="PC236"/>
      <c r="PD236"/>
      <c r="PE236"/>
      <c r="PF236"/>
      <c r="PG236"/>
      <c r="PH236"/>
      <c r="PI236"/>
      <c r="PJ236"/>
      <c r="PK236"/>
      <c r="PL236"/>
      <c r="PM236"/>
      <c r="PN236"/>
      <c r="PO236"/>
      <c r="PP236"/>
      <c r="PQ236"/>
      <c r="PR236"/>
      <c r="PS236"/>
      <c r="PT236"/>
      <c r="PU236"/>
      <c r="PV236"/>
      <c r="PW236"/>
      <c r="PX236"/>
      <c r="PY236"/>
      <c r="PZ236"/>
      <c r="QA236"/>
      <c r="QB236"/>
      <c r="QC236"/>
      <c r="QD236"/>
      <c r="QE236"/>
      <c r="QF236"/>
      <c r="QG236"/>
      <c r="QH236"/>
      <c r="QI236"/>
      <c r="QJ236"/>
      <c r="QK236"/>
      <c r="QL236"/>
      <c r="QM236"/>
      <c r="QN236"/>
      <c r="QO236"/>
      <c r="QP236"/>
      <c r="QQ236"/>
      <c r="QR236"/>
      <c r="QS236"/>
      <c r="QT236"/>
      <c r="QU236"/>
      <c r="QV236"/>
      <c r="QW236"/>
      <c r="QX236"/>
      <c r="QY236"/>
      <c r="QZ236"/>
      <c r="RA236"/>
      <c r="RB236"/>
      <c r="RC236"/>
      <c r="RD236"/>
      <c r="RE236"/>
      <c r="RF236"/>
      <c r="RG236"/>
      <c r="RH236"/>
      <c r="RI236"/>
      <c r="RJ236"/>
      <c r="RK236"/>
      <c r="RL236"/>
      <c r="RM236"/>
      <c r="RN236"/>
      <c r="RO236"/>
      <c r="RP236"/>
      <c r="RQ236"/>
      <c r="RR236"/>
      <c r="RS236"/>
    </row>
    <row r="237" spans="3:487" x14ac:dyDescent="0.25">
      <c r="C237" s="2" t="s">
        <v>340</v>
      </c>
      <c r="D237" s="34">
        <v>1</v>
      </c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  <c r="BN237"/>
      <c r="BO237"/>
      <c r="BP237"/>
      <c r="BQ237"/>
      <c r="BR237"/>
      <c r="BS237"/>
      <c r="BT237"/>
      <c r="BU237"/>
      <c r="BV237"/>
      <c r="BW237"/>
      <c r="BX237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  <c r="CL237"/>
      <c r="CM237"/>
      <c r="CN237"/>
      <c r="CO237"/>
      <c r="CP237"/>
      <c r="CQ237"/>
      <c r="CR237"/>
      <c r="CS237"/>
      <c r="CT237"/>
      <c r="CU237"/>
      <c r="CV237"/>
      <c r="CW237"/>
      <c r="CX237"/>
      <c r="CY237"/>
      <c r="CZ237"/>
      <c r="DA237"/>
      <c r="DB237"/>
      <c r="DC237"/>
      <c r="DD237"/>
      <c r="DE237"/>
      <c r="DF237"/>
      <c r="DG237"/>
      <c r="DH237"/>
      <c r="DI237"/>
      <c r="DJ237"/>
      <c r="DK237"/>
      <c r="DL237"/>
      <c r="DM237"/>
      <c r="DN237"/>
      <c r="DO237"/>
      <c r="DP237"/>
      <c r="DQ237"/>
      <c r="DR237"/>
      <c r="DS237"/>
      <c r="DT237"/>
      <c r="DU237"/>
      <c r="DV237"/>
      <c r="DW237"/>
      <c r="DX237"/>
      <c r="DY237"/>
      <c r="DZ237"/>
      <c r="EA237"/>
      <c r="EB237"/>
      <c r="EC237"/>
      <c r="ED237"/>
      <c r="EE237"/>
      <c r="EF237"/>
      <c r="EG237"/>
      <c r="EH237"/>
      <c r="EI237"/>
      <c r="EJ237"/>
      <c r="EK237"/>
      <c r="EL237"/>
      <c r="EM237"/>
      <c r="EN237"/>
      <c r="EO237"/>
      <c r="EP237"/>
      <c r="EQ237"/>
      <c r="ER237"/>
      <c r="ES237"/>
      <c r="ET237"/>
      <c r="EU237"/>
      <c r="EV237"/>
      <c r="EW237"/>
      <c r="EX237"/>
      <c r="EY237"/>
      <c r="EZ237"/>
      <c r="FA237"/>
      <c r="FB237"/>
      <c r="FC237"/>
      <c r="FD237"/>
      <c r="FE237"/>
      <c r="FF237"/>
      <c r="FG237"/>
      <c r="FH237"/>
      <c r="FI237"/>
      <c r="FJ237"/>
      <c r="FK237"/>
      <c r="FL237"/>
      <c r="FM237"/>
      <c r="FN237"/>
      <c r="FO237"/>
      <c r="FP237"/>
      <c r="FQ237"/>
      <c r="FR237"/>
      <c r="FS237"/>
      <c r="FT237"/>
      <c r="FU237"/>
      <c r="FV237"/>
      <c r="FW237"/>
      <c r="FX237"/>
      <c r="FY237"/>
      <c r="FZ237"/>
      <c r="GA237"/>
      <c r="GB237"/>
      <c r="GC237"/>
      <c r="GD237"/>
      <c r="GE237"/>
      <c r="GF237"/>
      <c r="GG237"/>
      <c r="GH237"/>
      <c r="GI237"/>
      <c r="GJ237"/>
      <c r="GK237"/>
      <c r="GL237"/>
      <c r="GM237"/>
      <c r="GN237"/>
      <c r="GO237"/>
      <c r="GP237"/>
      <c r="GQ237"/>
      <c r="GR237"/>
      <c r="GS237"/>
      <c r="GT237"/>
      <c r="GU237"/>
      <c r="GV237"/>
      <c r="GW237"/>
      <c r="GX237"/>
      <c r="GY237"/>
      <c r="GZ237"/>
      <c r="HA237"/>
      <c r="HB237"/>
      <c r="HC237"/>
      <c r="HD237"/>
      <c r="HE237"/>
      <c r="HF237"/>
      <c r="HG237"/>
      <c r="HH237"/>
      <c r="HI237"/>
      <c r="HJ237"/>
      <c r="HK237"/>
      <c r="HL237"/>
      <c r="HM237"/>
      <c r="HN237"/>
      <c r="HO237"/>
      <c r="HP237"/>
      <c r="HQ237"/>
      <c r="HR237"/>
      <c r="HS237"/>
      <c r="HT237"/>
      <c r="HU237"/>
      <c r="HV237"/>
      <c r="HW237"/>
      <c r="HX237"/>
      <c r="HY237"/>
      <c r="HZ237"/>
      <c r="IA237"/>
      <c r="IB237"/>
      <c r="IC237"/>
      <c r="ID237"/>
      <c r="IE237"/>
      <c r="IF237"/>
      <c r="IG237"/>
      <c r="IH237"/>
      <c r="II237"/>
      <c r="IJ237"/>
      <c r="IK237"/>
      <c r="IL237"/>
      <c r="IM237"/>
      <c r="IN237"/>
      <c r="IO237"/>
      <c r="IP237"/>
      <c r="IQ237"/>
      <c r="IR237"/>
      <c r="IS237"/>
      <c r="IT237"/>
      <c r="IU237"/>
      <c r="IV237"/>
      <c r="IW237"/>
      <c r="IX237"/>
      <c r="IY237"/>
      <c r="IZ237"/>
      <c r="JA237"/>
      <c r="JB237"/>
      <c r="JC237"/>
      <c r="JD237"/>
      <c r="JE237"/>
      <c r="JF237"/>
      <c r="JG237"/>
      <c r="JH237"/>
      <c r="JI237"/>
      <c r="JJ237"/>
      <c r="JK237"/>
      <c r="JL237"/>
      <c r="JM237"/>
      <c r="JN237"/>
      <c r="JO237"/>
      <c r="JP237"/>
      <c r="JQ237"/>
      <c r="JR237"/>
      <c r="JS237"/>
      <c r="JT237"/>
      <c r="JU237"/>
      <c r="JV237"/>
      <c r="JW237"/>
      <c r="JX237"/>
      <c r="JY237"/>
      <c r="JZ237"/>
      <c r="KA237"/>
      <c r="KB237"/>
      <c r="KC237"/>
      <c r="KD237"/>
      <c r="KE237"/>
      <c r="KF237"/>
      <c r="KG237"/>
      <c r="KH237"/>
      <c r="KI237"/>
      <c r="KJ237"/>
      <c r="KK237"/>
      <c r="KL237"/>
      <c r="KM237"/>
      <c r="KN237"/>
      <c r="KO237"/>
      <c r="KP237"/>
      <c r="KQ237"/>
      <c r="KR237"/>
      <c r="KS237"/>
      <c r="KT237"/>
      <c r="KU237"/>
      <c r="KV237"/>
      <c r="KW237"/>
      <c r="KX237"/>
      <c r="KY237"/>
      <c r="KZ237"/>
      <c r="LA237"/>
      <c r="LB237"/>
      <c r="LC237"/>
      <c r="LD237"/>
      <c r="LE237"/>
      <c r="LF237"/>
      <c r="LG237"/>
      <c r="LH237"/>
      <c r="LI237"/>
      <c r="LJ237"/>
      <c r="LK237"/>
      <c r="LL237"/>
      <c r="LM237"/>
      <c r="LN237"/>
      <c r="LO237"/>
      <c r="LP237"/>
      <c r="LQ237"/>
      <c r="LR237"/>
      <c r="LS237"/>
      <c r="LT237"/>
      <c r="LU237"/>
      <c r="LV237"/>
      <c r="LW237"/>
      <c r="LX237"/>
      <c r="LY237"/>
      <c r="LZ237"/>
      <c r="MA237"/>
      <c r="MB237"/>
      <c r="MC237"/>
      <c r="MD237"/>
      <c r="ME237"/>
      <c r="MF237"/>
      <c r="MG237"/>
      <c r="MH237"/>
      <c r="MI237"/>
      <c r="MJ237"/>
      <c r="MK237"/>
      <c r="ML237"/>
      <c r="MM237"/>
      <c r="MN237"/>
      <c r="MO237"/>
      <c r="MP237"/>
      <c r="MQ237"/>
      <c r="MR237"/>
      <c r="MS237"/>
      <c r="MT237"/>
      <c r="MU237"/>
      <c r="MV237"/>
      <c r="MW237"/>
      <c r="MX237"/>
      <c r="MY237"/>
      <c r="MZ237"/>
      <c r="NA237"/>
      <c r="NB237"/>
      <c r="NC237"/>
      <c r="ND237"/>
      <c r="NE237"/>
      <c r="NF237"/>
      <c r="NG237"/>
      <c r="NH237"/>
      <c r="NI237"/>
      <c r="NJ237"/>
      <c r="NK237"/>
      <c r="NL237"/>
      <c r="NM237"/>
      <c r="NN237"/>
      <c r="NO237"/>
      <c r="NP237"/>
      <c r="NQ237"/>
      <c r="NR237"/>
      <c r="NS237"/>
      <c r="NT237"/>
      <c r="NU237"/>
      <c r="NV237"/>
      <c r="NW237"/>
      <c r="NX237"/>
      <c r="NY237"/>
      <c r="NZ237"/>
      <c r="OA237"/>
      <c r="OB237"/>
      <c r="OC237"/>
      <c r="OD237"/>
      <c r="OE237"/>
      <c r="OF237"/>
      <c r="OG237"/>
      <c r="OH237"/>
      <c r="OI237"/>
      <c r="OJ237"/>
      <c r="OK237"/>
      <c r="OL237"/>
      <c r="OM237"/>
      <c r="ON237"/>
      <c r="OO237"/>
      <c r="OP237"/>
      <c r="OQ237"/>
      <c r="OR237"/>
      <c r="OS237"/>
      <c r="OT237"/>
      <c r="OU237"/>
      <c r="OV237"/>
      <c r="OW237"/>
      <c r="OX237"/>
      <c r="OY237"/>
      <c r="OZ237"/>
      <c r="PA237"/>
      <c r="PB237"/>
      <c r="PC237"/>
      <c r="PD237"/>
      <c r="PE237"/>
      <c r="PF237"/>
      <c r="PG237"/>
      <c r="PH237"/>
      <c r="PI237"/>
      <c r="PJ237"/>
      <c r="PK237"/>
      <c r="PL237"/>
      <c r="PM237"/>
      <c r="PN237"/>
      <c r="PO237"/>
      <c r="PP237"/>
      <c r="PQ237"/>
      <c r="PR237"/>
      <c r="PS237"/>
      <c r="PT237"/>
      <c r="PU237"/>
      <c r="PV237"/>
      <c r="PW237"/>
      <c r="PX237"/>
      <c r="PY237"/>
      <c r="PZ237"/>
      <c r="QA237"/>
      <c r="QB237"/>
      <c r="QC237"/>
      <c r="QD237"/>
      <c r="QE237"/>
      <c r="QF237"/>
      <c r="QG237"/>
      <c r="QH237"/>
      <c r="QI237"/>
      <c r="QJ237"/>
      <c r="QK237"/>
      <c r="QL237"/>
      <c r="QM237"/>
      <c r="QN237"/>
      <c r="QO237"/>
      <c r="QP237"/>
      <c r="QQ237"/>
      <c r="QR237"/>
      <c r="QS237"/>
      <c r="QT237"/>
      <c r="QU237"/>
      <c r="QV237"/>
      <c r="QW237"/>
      <c r="QX237"/>
      <c r="QY237"/>
      <c r="QZ237"/>
      <c r="RA237"/>
      <c r="RB237"/>
      <c r="RC237"/>
      <c r="RD237"/>
      <c r="RE237"/>
      <c r="RF237"/>
      <c r="RG237"/>
      <c r="RH237"/>
      <c r="RI237"/>
      <c r="RJ237"/>
      <c r="RK237"/>
      <c r="RL237"/>
      <c r="RM237"/>
      <c r="RN237"/>
      <c r="RO237"/>
      <c r="RP237"/>
      <c r="RQ237"/>
      <c r="RR237"/>
      <c r="RS237"/>
    </row>
    <row r="238" spans="3:487" x14ac:dyDescent="0.25">
      <c r="C238" s="2" t="s">
        <v>3662</v>
      </c>
      <c r="D238" s="34">
        <v>1</v>
      </c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  <c r="BN238"/>
      <c r="BO238"/>
      <c r="BP238"/>
      <c r="BQ238"/>
      <c r="BR238"/>
      <c r="BS238"/>
      <c r="BT238"/>
      <c r="BU238"/>
      <c r="BV238"/>
      <c r="BW238"/>
      <c r="BX238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  <c r="CL238"/>
      <c r="CM238"/>
      <c r="CN238"/>
      <c r="CO238"/>
      <c r="CP238"/>
      <c r="CQ238"/>
      <c r="CR238"/>
      <c r="CS238"/>
      <c r="CT238"/>
      <c r="CU238"/>
      <c r="CV238"/>
      <c r="CW238"/>
      <c r="CX238"/>
      <c r="CY238"/>
      <c r="CZ238"/>
      <c r="DA238"/>
      <c r="DB238"/>
      <c r="DC238"/>
      <c r="DD238"/>
      <c r="DE238"/>
      <c r="DF238"/>
      <c r="DG238"/>
      <c r="DH238"/>
      <c r="DI238"/>
      <c r="DJ238"/>
      <c r="DK238"/>
      <c r="DL238"/>
      <c r="DM238"/>
      <c r="DN238"/>
      <c r="DO238"/>
      <c r="DP238"/>
      <c r="DQ238"/>
      <c r="DR238"/>
      <c r="DS238"/>
      <c r="DT238"/>
      <c r="DU238"/>
      <c r="DV238"/>
      <c r="DW238"/>
      <c r="DX238"/>
      <c r="DY238"/>
      <c r="DZ238"/>
      <c r="EA238"/>
      <c r="EB238"/>
      <c r="EC238"/>
      <c r="ED238"/>
      <c r="EE238"/>
      <c r="EF238"/>
      <c r="EG238"/>
      <c r="EH238"/>
      <c r="EI238"/>
      <c r="EJ238"/>
      <c r="EK238"/>
      <c r="EL238"/>
      <c r="EM238"/>
      <c r="EN238"/>
      <c r="EO238"/>
      <c r="EP238"/>
      <c r="EQ238"/>
      <c r="ER238"/>
      <c r="ES238"/>
      <c r="ET238"/>
      <c r="EU238"/>
      <c r="EV238"/>
      <c r="EW238"/>
      <c r="EX238"/>
      <c r="EY238"/>
      <c r="EZ238"/>
      <c r="FA238"/>
      <c r="FB238"/>
      <c r="FC238"/>
      <c r="FD238"/>
      <c r="FE238"/>
      <c r="FF238"/>
      <c r="FG238"/>
      <c r="FH238"/>
      <c r="FI238"/>
      <c r="FJ238"/>
      <c r="FK238"/>
      <c r="FL238"/>
      <c r="FM238"/>
      <c r="FN238"/>
      <c r="FO238"/>
      <c r="FP238"/>
      <c r="FQ238"/>
      <c r="FR238"/>
      <c r="FS238"/>
      <c r="FT238"/>
      <c r="FU238"/>
      <c r="FV238"/>
      <c r="FW238"/>
      <c r="FX238"/>
      <c r="FY238"/>
      <c r="FZ238"/>
      <c r="GA238"/>
      <c r="GB238"/>
      <c r="GC238"/>
      <c r="GD238"/>
      <c r="GE238"/>
      <c r="GF238"/>
      <c r="GG238"/>
      <c r="GH238"/>
      <c r="GI238"/>
      <c r="GJ238"/>
      <c r="GK238"/>
      <c r="GL238"/>
      <c r="GM238"/>
      <c r="GN238"/>
      <c r="GO238"/>
      <c r="GP238"/>
      <c r="GQ238"/>
      <c r="GR238"/>
      <c r="GS238"/>
      <c r="GT238"/>
      <c r="GU238"/>
      <c r="GV238"/>
      <c r="GW238"/>
      <c r="GX238"/>
      <c r="GY238"/>
      <c r="GZ238"/>
      <c r="HA238"/>
      <c r="HB238"/>
      <c r="HC238"/>
      <c r="HD238"/>
      <c r="HE238"/>
      <c r="HF238"/>
      <c r="HG238"/>
      <c r="HH238"/>
      <c r="HI238"/>
      <c r="HJ238"/>
      <c r="HK238"/>
      <c r="HL238"/>
      <c r="HM238"/>
      <c r="HN238"/>
      <c r="HO238"/>
      <c r="HP238"/>
      <c r="HQ238"/>
      <c r="HR238"/>
      <c r="HS238"/>
      <c r="HT238"/>
      <c r="HU238"/>
      <c r="HV238"/>
      <c r="HW238"/>
      <c r="HX238"/>
      <c r="HY238"/>
      <c r="HZ238"/>
      <c r="IA238"/>
      <c r="IB238"/>
      <c r="IC238"/>
      <c r="ID238"/>
      <c r="IE238"/>
      <c r="IF238"/>
      <c r="IG238"/>
      <c r="IH238"/>
      <c r="II238"/>
      <c r="IJ238"/>
      <c r="IK238"/>
      <c r="IL238"/>
      <c r="IM238"/>
      <c r="IN238"/>
      <c r="IO238"/>
      <c r="IP238"/>
      <c r="IQ238"/>
      <c r="IR238"/>
      <c r="IS238"/>
      <c r="IT238"/>
      <c r="IU238"/>
      <c r="IV238"/>
      <c r="IW238"/>
      <c r="IX238"/>
      <c r="IY238"/>
      <c r="IZ238"/>
      <c r="JA238"/>
      <c r="JB238"/>
      <c r="JC238"/>
      <c r="JD238"/>
      <c r="JE238"/>
      <c r="JF238"/>
      <c r="JG238"/>
      <c r="JH238"/>
      <c r="JI238"/>
      <c r="JJ238"/>
      <c r="JK238"/>
      <c r="JL238"/>
      <c r="JM238"/>
      <c r="JN238"/>
      <c r="JO238"/>
      <c r="JP238"/>
      <c r="JQ238"/>
      <c r="JR238"/>
      <c r="JS238"/>
      <c r="JT238"/>
      <c r="JU238"/>
      <c r="JV238"/>
      <c r="JW238"/>
      <c r="JX238"/>
      <c r="JY238"/>
      <c r="JZ238"/>
      <c r="KA238"/>
      <c r="KB238"/>
      <c r="KC238"/>
      <c r="KD238"/>
      <c r="KE238"/>
      <c r="KF238"/>
      <c r="KG238"/>
      <c r="KH238"/>
      <c r="KI238"/>
      <c r="KJ238"/>
      <c r="KK238"/>
      <c r="KL238"/>
      <c r="KM238"/>
      <c r="KN238"/>
      <c r="KO238"/>
      <c r="KP238"/>
      <c r="KQ238"/>
      <c r="KR238"/>
      <c r="KS238"/>
      <c r="KT238"/>
      <c r="KU238"/>
      <c r="KV238"/>
      <c r="KW238"/>
      <c r="KX238"/>
      <c r="KY238"/>
      <c r="KZ238"/>
      <c r="LA238"/>
      <c r="LB238"/>
      <c r="LC238"/>
      <c r="LD238"/>
      <c r="LE238"/>
      <c r="LF238"/>
      <c r="LG238"/>
      <c r="LH238"/>
      <c r="LI238"/>
      <c r="LJ238"/>
      <c r="LK238"/>
      <c r="LL238"/>
      <c r="LM238"/>
      <c r="LN238"/>
      <c r="LO238"/>
      <c r="LP238"/>
      <c r="LQ238"/>
      <c r="LR238"/>
      <c r="LS238"/>
      <c r="LT238"/>
      <c r="LU238"/>
      <c r="LV238"/>
      <c r="LW238"/>
      <c r="LX238"/>
      <c r="LY238"/>
      <c r="LZ238"/>
      <c r="MA238"/>
      <c r="MB238"/>
      <c r="MC238"/>
      <c r="MD238"/>
      <c r="ME238"/>
      <c r="MF238"/>
      <c r="MG238"/>
      <c r="MH238"/>
      <c r="MI238"/>
      <c r="MJ238"/>
      <c r="MK238"/>
      <c r="ML238"/>
      <c r="MM238"/>
      <c r="MN238"/>
      <c r="MO238"/>
      <c r="MP238"/>
      <c r="MQ238"/>
      <c r="MR238"/>
      <c r="MS238"/>
      <c r="MT238"/>
      <c r="MU238"/>
      <c r="MV238"/>
      <c r="MW238"/>
      <c r="MX238"/>
      <c r="MY238"/>
      <c r="MZ238"/>
      <c r="NA238"/>
      <c r="NB238"/>
      <c r="NC238"/>
      <c r="ND238"/>
      <c r="NE238"/>
      <c r="NF238"/>
      <c r="NG238"/>
      <c r="NH238"/>
      <c r="NI238"/>
      <c r="NJ238"/>
      <c r="NK238"/>
      <c r="NL238"/>
      <c r="NM238"/>
      <c r="NN238"/>
      <c r="NO238"/>
      <c r="NP238"/>
      <c r="NQ238"/>
      <c r="NR238"/>
      <c r="NS238"/>
      <c r="NT238"/>
      <c r="NU238"/>
      <c r="NV238"/>
      <c r="NW238"/>
      <c r="NX238"/>
      <c r="NY238"/>
      <c r="NZ238"/>
      <c r="OA238"/>
      <c r="OB238"/>
      <c r="OC238"/>
      <c r="OD238"/>
      <c r="OE238"/>
      <c r="OF238"/>
      <c r="OG238"/>
      <c r="OH238"/>
      <c r="OI238"/>
      <c r="OJ238"/>
      <c r="OK238"/>
      <c r="OL238"/>
      <c r="OM238"/>
      <c r="ON238"/>
      <c r="OO238"/>
      <c r="OP238"/>
      <c r="OQ238"/>
      <c r="OR238"/>
      <c r="OS238"/>
      <c r="OT238"/>
      <c r="OU238"/>
      <c r="OV238"/>
      <c r="OW238"/>
      <c r="OX238"/>
      <c r="OY238"/>
      <c r="OZ238"/>
      <c r="PA238"/>
      <c r="PB238"/>
      <c r="PC238"/>
      <c r="PD238"/>
      <c r="PE238"/>
      <c r="PF238"/>
      <c r="PG238"/>
      <c r="PH238"/>
      <c r="PI238"/>
      <c r="PJ238"/>
      <c r="PK238"/>
      <c r="PL238"/>
      <c r="PM238"/>
      <c r="PN238"/>
      <c r="PO238"/>
      <c r="PP238"/>
      <c r="PQ238"/>
      <c r="PR238"/>
      <c r="PS238"/>
      <c r="PT238"/>
      <c r="PU238"/>
      <c r="PV238"/>
      <c r="PW238"/>
      <c r="PX238"/>
      <c r="PY238"/>
      <c r="PZ238"/>
      <c r="QA238"/>
      <c r="QB238"/>
      <c r="QC238"/>
      <c r="QD238"/>
      <c r="QE238"/>
      <c r="QF238"/>
      <c r="QG238"/>
      <c r="QH238"/>
      <c r="QI238"/>
      <c r="QJ238"/>
      <c r="QK238"/>
      <c r="QL238"/>
      <c r="QM238"/>
      <c r="QN238"/>
      <c r="QO238"/>
      <c r="QP238"/>
      <c r="QQ238"/>
      <c r="QR238"/>
      <c r="QS238"/>
      <c r="QT238"/>
      <c r="QU238"/>
      <c r="QV238"/>
      <c r="QW238"/>
      <c r="QX238"/>
      <c r="QY238"/>
      <c r="QZ238"/>
      <c r="RA238"/>
      <c r="RB238"/>
      <c r="RC238"/>
      <c r="RD238"/>
      <c r="RE238"/>
      <c r="RF238"/>
      <c r="RG238"/>
      <c r="RH238"/>
      <c r="RI238"/>
      <c r="RJ238"/>
      <c r="RK238"/>
      <c r="RL238"/>
      <c r="RM238"/>
      <c r="RN238"/>
      <c r="RO238"/>
      <c r="RP238"/>
      <c r="RQ238"/>
      <c r="RR238"/>
      <c r="RS238"/>
    </row>
    <row r="239" spans="3:487" x14ac:dyDescent="0.25">
      <c r="C239" s="2" t="s">
        <v>3819</v>
      </c>
      <c r="D239" s="34">
        <v>0</v>
      </c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  <c r="BN239"/>
      <c r="BO239"/>
      <c r="BP239"/>
      <c r="BQ239"/>
      <c r="BR239"/>
      <c r="BS239"/>
      <c r="BT239"/>
      <c r="BU239"/>
      <c r="BV239"/>
      <c r="BW239"/>
      <c r="BX239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  <c r="CL239"/>
      <c r="CM239"/>
      <c r="CN239"/>
      <c r="CO239"/>
      <c r="CP239"/>
      <c r="CQ239"/>
      <c r="CR239"/>
      <c r="CS239"/>
      <c r="CT239"/>
      <c r="CU239"/>
      <c r="CV239"/>
      <c r="CW239"/>
      <c r="CX239"/>
      <c r="CY239"/>
      <c r="CZ239"/>
      <c r="DA239"/>
      <c r="DB239"/>
      <c r="DC239"/>
      <c r="DD239"/>
      <c r="DE239"/>
      <c r="DF239"/>
      <c r="DG239"/>
      <c r="DH239"/>
      <c r="DI239"/>
      <c r="DJ239"/>
      <c r="DK239"/>
      <c r="DL239"/>
      <c r="DM239"/>
      <c r="DN239"/>
      <c r="DO239"/>
      <c r="DP239"/>
      <c r="DQ239"/>
      <c r="DR239"/>
      <c r="DS239"/>
      <c r="DT239"/>
      <c r="DU239"/>
      <c r="DV239"/>
      <c r="DW239"/>
      <c r="DX239"/>
      <c r="DY239"/>
      <c r="DZ239"/>
      <c r="EA239"/>
      <c r="EB239"/>
      <c r="EC239"/>
      <c r="ED239"/>
      <c r="EE239"/>
      <c r="EF239"/>
      <c r="EG239"/>
      <c r="EH239"/>
      <c r="EI239"/>
      <c r="EJ239"/>
      <c r="EK239"/>
      <c r="EL239"/>
      <c r="EM239"/>
      <c r="EN239"/>
      <c r="EO239"/>
      <c r="EP239"/>
      <c r="EQ239"/>
      <c r="ER239"/>
      <c r="ES239"/>
      <c r="ET239"/>
      <c r="EU239"/>
      <c r="EV239"/>
      <c r="EW239"/>
      <c r="EX239"/>
      <c r="EY239"/>
      <c r="EZ239"/>
      <c r="FA239"/>
      <c r="FB239"/>
      <c r="FC239"/>
      <c r="FD239"/>
      <c r="FE239"/>
      <c r="FF239"/>
      <c r="FG239"/>
      <c r="FH239"/>
      <c r="FI239"/>
      <c r="FJ239"/>
      <c r="FK239"/>
      <c r="FL239"/>
      <c r="FM239"/>
      <c r="FN239"/>
      <c r="FO239"/>
      <c r="FP239"/>
      <c r="FQ239"/>
      <c r="FR239"/>
      <c r="FS239"/>
      <c r="FT239"/>
      <c r="FU239"/>
      <c r="FV239"/>
      <c r="FW239"/>
      <c r="FX239"/>
      <c r="FY239"/>
      <c r="FZ239"/>
      <c r="GA239"/>
      <c r="GB239"/>
      <c r="GC239"/>
      <c r="GD239"/>
      <c r="GE239"/>
      <c r="GF239"/>
      <c r="GG239"/>
      <c r="GH239"/>
      <c r="GI239"/>
      <c r="GJ239"/>
      <c r="GK239"/>
      <c r="GL239"/>
      <c r="GM239"/>
      <c r="GN239"/>
      <c r="GO239"/>
      <c r="GP239"/>
      <c r="GQ239"/>
      <c r="GR239"/>
      <c r="GS239"/>
      <c r="GT239"/>
      <c r="GU239"/>
      <c r="GV239"/>
      <c r="GW239"/>
      <c r="GX239"/>
      <c r="GY239"/>
      <c r="GZ239"/>
      <c r="HA239"/>
      <c r="HB239"/>
      <c r="HC239"/>
      <c r="HD239"/>
      <c r="HE239"/>
      <c r="HF239"/>
      <c r="HG239"/>
      <c r="HH239"/>
      <c r="HI239"/>
      <c r="HJ239"/>
      <c r="HK239"/>
      <c r="HL239"/>
      <c r="HM239"/>
      <c r="HN239"/>
      <c r="HO239"/>
      <c r="HP239"/>
      <c r="HQ239"/>
      <c r="HR239"/>
      <c r="HS239"/>
      <c r="HT239"/>
      <c r="HU239"/>
      <c r="HV239"/>
      <c r="HW239"/>
      <c r="HX239"/>
      <c r="HY239"/>
      <c r="HZ239"/>
      <c r="IA239"/>
      <c r="IB239"/>
      <c r="IC239"/>
      <c r="ID239"/>
      <c r="IE239"/>
      <c r="IF239"/>
      <c r="IG239"/>
      <c r="IH239"/>
      <c r="II239"/>
      <c r="IJ239"/>
      <c r="IK239"/>
      <c r="IL239"/>
      <c r="IM239"/>
      <c r="IN239"/>
      <c r="IO239"/>
      <c r="IP239"/>
      <c r="IQ239"/>
      <c r="IR239"/>
      <c r="IS239"/>
      <c r="IT239"/>
      <c r="IU239"/>
      <c r="IV239"/>
      <c r="IW239"/>
      <c r="IX239"/>
      <c r="IY239"/>
      <c r="IZ239"/>
      <c r="JA239"/>
      <c r="JB239"/>
      <c r="JC239"/>
      <c r="JD239"/>
      <c r="JE239"/>
      <c r="JF239"/>
      <c r="JG239"/>
      <c r="JH239"/>
      <c r="JI239"/>
      <c r="JJ239"/>
      <c r="JK239"/>
      <c r="JL239"/>
      <c r="JM239"/>
      <c r="JN239"/>
      <c r="JO239"/>
      <c r="JP239"/>
      <c r="JQ239"/>
      <c r="JR239"/>
      <c r="JS239"/>
      <c r="JT239"/>
      <c r="JU239"/>
      <c r="JV239"/>
      <c r="JW239"/>
      <c r="JX239"/>
      <c r="JY239"/>
      <c r="JZ239"/>
      <c r="KA239"/>
      <c r="KB239"/>
      <c r="KC239"/>
      <c r="KD239"/>
      <c r="KE239"/>
      <c r="KF239"/>
      <c r="KG239"/>
      <c r="KH239"/>
      <c r="KI239"/>
      <c r="KJ239"/>
      <c r="KK239"/>
      <c r="KL239"/>
      <c r="KM239"/>
      <c r="KN239"/>
      <c r="KO239"/>
      <c r="KP239"/>
      <c r="KQ239"/>
      <c r="KR239"/>
      <c r="KS239"/>
      <c r="KT239"/>
      <c r="KU239"/>
      <c r="KV239"/>
      <c r="KW239"/>
      <c r="KX239"/>
      <c r="KY239"/>
      <c r="KZ239"/>
      <c r="LA239"/>
      <c r="LB239"/>
      <c r="LC239"/>
      <c r="LD239"/>
      <c r="LE239"/>
      <c r="LF239"/>
      <c r="LG239"/>
      <c r="LH239"/>
      <c r="LI239"/>
      <c r="LJ239"/>
      <c r="LK239"/>
      <c r="LL239"/>
      <c r="LM239"/>
      <c r="LN239"/>
      <c r="LO239"/>
      <c r="LP239"/>
      <c r="LQ239"/>
      <c r="LR239"/>
      <c r="LS239"/>
      <c r="LT239"/>
      <c r="LU239"/>
      <c r="LV239"/>
      <c r="LW239"/>
      <c r="LX239"/>
      <c r="LY239"/>
      <c r="LZ239"/>
      <c r="MA239"/>
      <c r="MB239"/>
      <c r="MC239"/>
      <c r="MD239"/>
      <c r="ME239"/>
      <c r="MF239"/>
      <c r="MG239"/>
      <c r="MH239"/>
      <c r="MI239"/>
      <c r="MJ239"/>
      <c r="MK239"/>
      <c r="ML239"/>
      <c r="MM239"/>
      <c r="MN239"/>
      <c r="MO239"/>
      <c r="MP239"/>
      <c r="MQ239"/>
      <c r="MR239"/>
      <c r="MS239"/>
      <c r="MT239"/>
      <c r="MU239"/>
      <c r="MV239"/>
      <c r="MW239"/>
      <c r="MX239"/>
      <c r="MY239"/>
      <c r="MZ239"/>
      <c r="NA239"/>
      <c r="NB239"/>
      <c r="NC239"/>
      <c r="ND239"/>
      <c r="NE239"/>
      <c r="NF239"/>
      <c r="NG239"/>
      <c r="NH239"/>
      <c r="NI239"/>
      <c r="NJ239"/>
      <c r="NK239"/>
      <c r="NL239"/>
      <c r="NM239"/>
      <c r="NN239"/>
      <c r="NO239"/>
      <c r="NP239"/>
      <c r="NQ239"/>
      <c r="NR239"/>
      <c r="NS239"/>
      <c r="NT239"/>
      <c r="NU239"/>
      <c r="NV239"/>
      <c r="NW239"/>
      <c r="NX239"/>
      <c r="NY239"/>
      <c r="NZ239"/>
      <c r="OA239"/>
      <c r="OB239"/>
      <c r="OC239"/>
      <c r="OD239"/>
      <c r="OE239"/>
      <c r="OF239"/>
      <c r="OG239"/>
      <c r="OH239"/>
      <c r="OI239"/>
      <c r="OJ239"/>
      <c r="OK239"/>
      <c r="OL239"/>
      <c r="OM239"/>
      <c r="ON239"/>
      <c r="OO239"/>
      <c r="OP239"/>
      <c r="OQ239"/>
      <c r="OR239"/>
      <c r="OS239"/>
      <c r="OT239"/>
      <c r="OU239"/>
      <c r="OV239"/>
      <c r="OW239"/>
      <c r="OX239"/>
      <c r="OY239"/>
      <c r="OZ239"/>
      <c r="PA239"/>
      <c r="PB239"/>
      <c r="PC239"/>
      <c r="PD239"/>
      <c r="PE239"/>
      <c r="PF239"/>
      <c r="PG239"/>
      <c r="PH239"/>
      <c r="PI239"/>
      <c r="PJ239"/>
      <c r="PK239"/>
      <c r="PL239"/>
      <c r="PM239"/>
      <c r="PN239"/>
      <c r="PO239"/>
      <c r="PP239"/>
      <c r="PQ239"/>
      <c r="PR239"/>
      <c r="PS239"/>
      <c r="PT239"/>
      <c r="PU239"/>
      <c r="PV239"/>
      <c r="PW239"/>
      <c r="PX239"/>
      <c r="PY239"/>
      <c r="PZ239"/>
      <c r="QA239"/>
      <c r="QB239"/>
      <c r="QC239"/>
      <c r="QD239"/>
      <c r="QE239"/>
      <c r="QF239"/>
      <c r="QG239"/>
      <c r="QH239"/>
      <c r="QI239"/>
      <c r="QJ239"/>
      <c r="QK239"/>
      <c r="QL239"/>
      <c r="QM239"/>
      <c r="QN239"/>
      <c r="QO239"/>
      <c r="QP239"/>
      <c r="QQ239"/>
      <c r="QR239"/>
      <c r="QS239"/>
      <c r="QT239"/>
      <c r="QU239"/>
      <c r="QV239"/>
      <c r="QW239"/>
      <c r="QX239"/>
      <c r="QY239"/>
      <c r="QZ239"/>
      <c r="RA239"/>
      <c r="RB239"/>
      <c r="RC239"/>
      <c r="RD239"/>
      <c r="RE239"/>
      <c r="RF239"/>
      <c r="RG239"/>
      <c r="RH239"/>
      <c r="RI239"/>
      <c r="RJ239"/>
      <c r="RK239"/>
      <c r="RL239"/>
      <c r="RM239"/>
      <c r="RN239"/>
      <c r="RO239"/>
      <c r="RP239"/>
      <c r="RQ239"/>
      <c r="RR239"/>
      <c r="RS239"/>
    </row>
    <row r="240" spans="3:487" x14ac:dyDescent="0.25">
      <c r="C240" s="2" t="s">
        <v>163</v>
      </c>
      <c r="D240" s="34">
        <v>0</v>
      </c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  <c r="BL240"/>
      <c r="BM240"/>
      <c r="BN240"/>
      <c r="BO240"/>
      <c r="BP240"/>
      <c r="BQ240"/>
      <c r="BR240"/>
      <c r="BS240"/>
      <c r="BT240"/>
      <c r="BU240"/>
      <c r="BV240"/>
      <c r="BW240"/>
      <c r="BX240"/>
      <c r="BY240"/>
      <c r="BZ240"/>
      <c r="CA240"/>
      <c r="CB240"/>
      <c r="CC240"/>
      <c r="CD240"/>
      <c r="CE240"/>
      <c r="CF240"/>
      <c r="CG240"/>
      <c r="CH240"/>
      <c r="CI240"/>
      <c r="CJ240"/>
      <c r="CK240"/>
      <c r="CL240"/>
      <c r="CM240"/>
      <c r="CN240"/>
      <c r="CO240"/>
      <c r="CP240"/>
      <c r="CQ240"/>
      <c r="CR240"/>
      <c r="CS240"/>
      <c r="CT240"/>
      <c r="CU240"/>
      <c r="CV240"/>
      <c r="CW240"/>
      <c r="CX240"/>
      <c r="CY240"/>
      <c r="CZ240"/>
      <c r="DA240"/>
      <c r="DB240"/>
      <c r="DC240"/>
      <c r="DD240"/>
      <c r="DE240"/>
      <c r="DF240"/>
      <c r="DG240"/>
      <c r="DH240"/>
      <c r="DI240"/>
      <c r="DJ240"/>
      <c r="DK240"/>
      <c r="DL240"/>
      <c r="DM240"/>
      <c r="DN240"/>
      <c r="DO240"/>
      <c r="DP240"/>
      <c r="DQ240"/>
      <c r="DR240"/>
      <c r="DS240"/>
      <c r="DT240"/>
      <c r="DU240"/>
      <c r="DV240"/>
      <c r="DW240"/>
      <c r="DX240"/>
      <c r="DY240"/>
      <c r="DZ240"/>
      <c r="EA240"/>
      <c r="EB240"/>
      <c r="EC240"/>
      <c r="ED240"/>
      <c r="EE240"/>
      <c r="EF240"/>
      <c r="EG240"/>
      <c r="EH240"/>
      <c r="EI240"/>
      <c r="EJ240"/>
      <c r="EK240"/>
      <c r="EL240"/>
      <c r="EM240"/>
      <c r="EN240"/>
      <c r="EO240"/>
      <c r="EP240"/>
      <c r="EQ240"/>
      <c r="ER240"/>
      <c r="ES240"/>
      <c r="ET240"/>
      <c r="EU240"/>
      <c r="EV240"/>
      <c r="EW240"/>
      <c r="EX240"/>
      <c r="EY240"/>
      <c r="EZ240"/>
      <c r="FA240"/>
      <c r="FB240"/>
      <c r="FC240"/>
      <c r="FD240"/>
      <c r="FE240"/>
      <c r="FF240"/>
      <c r="FG240"/>
      <c r="FH240"/>
      <c r="FI240"/>
      <c r="FJ240"/>
      <c r="FK240"/>
      <c r="FL240"/>
      <c r="FM240"/>
      <c r="FN240"/>
      <c r="FO240"/>
      <c r="FP240"/>
      <c r="FQ240"/>
      <c r="FR240"/>
      <c r="FS240"/>
      <c r="FT240"/>
      <c r="FU240"/>
      <c r="FV240"/>
      <c r="FW240"/>
      <c r="FX240"/>
      <c r="FY240"/>
      <c r="FZ240"/>
      <c r="GA240"/>
      <c r="GB240"/>
      <c r="GC240"/>
      <c r="GD240"/>
      <c r="GE240"/>
      <c r="GF240"/>
      <c r="GG240"/>
      <c r="GH240"/>
      <c r="GI240"/>
      <c r="GJ240"/>
      <c r="GK240"/>
      <c r="GL240"/>
      <c r="GM240"/>
      <c r="GN240"/>
      <c r="GO240"/>
      <c r="GP240"/>
      <c r="GQ240"/>
      <c r="GR240"/>
      <c r="GS240"/>
      <c r="GT240"/>
      <c r="GU240"/>
      <c r="GV240"/>
      <c r="GW240"/>
      <c r="GX240"/>
      <c r="GY240"/>
      <c r="GZ240"/>
      <c r="HA240"/>
      <c r="HB240"/>
      <c r="HC240"/>
      <c r="HD240"/>
      <c r="HE240"/>
      <c r="HF240"/>
      <c r="HG240"/>
      <c r="HH240"/>
      <c r="HI240"/>
      <c r="HJ240"/>
      <c r="HK240"/>
      <c r="HL240"/>
      <c r="HM240"/>
      <c r="HN240"/>
      <c r="HO240"/>
      <c r="HP240"/>
      <c r="HQ240"/>
      <c r="HR240"/>
      <c r="HS240"/>
      <c r="HT240"/>
      <c r="HU240"/>
      <c r="HV240"/>
      <c r="HW240"/>
      <c r="HX240"/>
      <c r="HY240"/>
      <c r="HZ240"/>
      <c r="IA240"/>
      <c r="IB240"/>
      <c r="IC240"/>
      <c r="ID240"/>
      <c r="IE240"/>
      <c r="IF240"/>
      <c r="IG240"/>
      <c r="IH240"/>
      <c r="II240"/>
      <c r="IJ240"/>
      <c r="IK240"/>
      <c r="IL240"/>
      <c r="IM240"/>
      <c r="IN240"/>
      <c r="IO240"/>
      <c r="IP240"/>
      <c r="IQ240"/>
      <c r="IR240"/>
      <c r="IS240"/>
      <c r="IT240"/>
      <c r="IU240"/>
      <c r="IV240"/>
      <c r="IW240"/>
      <c r="IX240"/>
      <c r="IY240"/>
      <c r="IZ240"/>
      <c r="JA240"/>
      <c r="JB240"/>
      <c r="JC240"/>
      <c r="JD240"/>
      <c r="JE240"/>
      <c r="JF240"/>
      <c r="JG240"/>
      <c r="JH240"/>
      <c r="JI240"/>
      <c r="JJ240"/>
      <c r="JK240"/>
      <c r="JL240"/>
      <c r="JM240"/>
      <c r="JN240"/>
      <c r="JO240"/>
      <c r="JP240"/>
      <c r="JQ240"/>
      <c r="JR240"/>
      <c r="JS240"/>
      <c r="JT240"/>
      <c r="JU240"/>
      <c r="JV240"/>
      <c r="JW240"/>
      <c r="JX240"/>
      <c r="JY240"/>
      <c r="JZ240"/>
      <c r="KA240"/>
      <c r="KB240"/>
      <c r="KC240"/>
      <c r="KD240"/>
      <c r="KE240"/>
      <c r="KF240"/>
      <c r="KG240"/>
      <c r="KH240"/>
      <c r="KI240"/>
      <c r="KJ240"/>
      <c r="KK240"/>
      <c r="KL240"/>
      <c r="KM240"/>
      <c r="KN240"/>
      <c r="KO240"/>
      <c r="KP240"/>
      <c r="KQ240"/>
      <c r="KR240"/>
      <c r="KS240"/>
      <c r="KT240"/>
      <c r="KU240"/>
      <c r="KV240"/>
      <c r="KW240"/>
      <c r="KX240"/>
      <c r="KY240"/>
      <c r="KZ240"/>
      <c r="LA240"/>
      <c r="LB240"/>
      <c r="LC240"/>
      <c r="LD240"/>
      <c r="LE240"/>
      <c r="LF240"/>
      <c r="LG240"/>
      <c r="LH240"/>
      <c r="LI240"/>
      <c r="LJ240"/>
      <c r="LK240"/>
      <c r="LL240"/>
      <c r="LM240"/>
      <c r="LN240"/>
      <c r="LO240"/>
      <c r="LP240"/>
      <c r="LQ240"/>
      <c r="LR240"/>
      <c r="LS240"/>
      <c r="LT240"/>
      <c r="LU240"/>
      <c r="LV240"/>
      <c r="LW240"/>
      <c r="LX240"/>
      <c r="LY240"/>
      <c r="LZ240"/>
      <c r="MA240"/>
      <c r="MB240"/>
      <c r="MC240"/>
      <c r="MD240"/>
      <c r="ME240"/>
      <c r="MF240"/>
      <c r="MG240"/>
      <c r="MH240"/>
      <c r="MI240"/>
      <c r="MJ240"/>
      <c r="MK240"/>
      <c r="ML240"/>
      <c r="MM240"/>
      <c r="MN240"/>
      <c r="MO240"/>
      <c r="MP240"/>
      <c r="MQ240"/>
      <c r="MR240"/>
      <c r="MS240"/>
      <c r="MT240"/>
      <c r="MU240"/>
      <c r="MV240"/>
      <c r="MW240"/>
      <c r="MX240"/>
      <c r="MY240"/>
      <c r="MZ240"/>
      <c r="NA240"/>
      <c r="NB240"/>
      <c r="NC240"/>
      <c r="ND240"/>
      <c r="NE240"/>
      <c r="NF240"/>
      <c r="NG240"/>
      <c r="NH240"/>
      <c r="NI240"/>
      <c r="NJ240"/>
      <c r="NK240"/>
      <c r="NL240"/>
      <c r="NM240"/>
      <c r="NN240"/>
      <c r="NO240"/>
      <c r="NP240"/>
      <c r="NQ240"/>
      <c r="NR240"/>
      <c r="NS240"/>
      <c r="NT240"/>
      <c r="NU240"/>
      <c r="NV240"/>
      <c r="NW240"/>
      <c r="NX240"/>
      <c r="NY240"/>
      <c r="NZ240"/>
      <c r="OA240"/>
      <c r="OB240"/>
      <c r="OC240"/>
      <c r="OD240"/>
      <c r="OE240"/>
      <c r="OF240"/>
      <c r="OG240"/>
      <c r="OH240"/>
      <c r="OI240"/>
      <c r="OJ240"/>
      <c r="OK240"/>
      <c r="OL240"/>
      <c r="OM240"/>
      <c r="ON240"/>
      <c r="OO240"/>
      <c r="OP240"/>
      <c r="OQ240"/>
      <c r="OR240"/>
      <c r="OS240"/>
      <c r="OT240"/>
      <c r="OU240"/>
      <c r="OV240"/>
      <c r="OW240"/>
      <c r="OX240"/>
      <c r="OY240"/>
      <c r="OZ240"/>
      <c r="PA240"/>
      <c r="PB240"/>
      <c r="PC240"/>
      <c r="PD240"/>
      <c r="PE240"/>
      <c r="PF240"/>
      <c r="PG240"/>
      <c r="PH240"/>
      <c r="PI240"/>
      <c r="PJ240"/>
      <c r="PK240"/>
      <c r="PL240"/>
      <c r="PM240"/>
      <c r="PN240"/>
      <c r="PO240"/>
      <c r="PP240"/>
      <c r="PQ240"/>
      <c r="PR240"/>
      <c r="PS240"/>
      <c r="PT240"/>
      <c r="PU240"/>
      <c r="PV240"/>
      <c r="PW240"/>
      <c r="PX240"/>
      <c r="PY240"/>
      <c r="PZ240"/>
      <c r="QA240"/>
      <c r="QB240"/>
      <c r="QC240"/>
      <c r="QD240"/>
      <c r="QE240"/>
      <c r="QF240"/>
      <c r="QG240"/>
      <c r="QH240"/>
      <c r="QI240"/>
      <c r="QJ240"/>
      <c r="QK240"/>
      <c r="QL240"/>
      <c r="QM240"/>
      <c r="QN240"/>
      <c r="QO240"/>
      <c r="QP240"/>
      <c r="QQ240"/>
      <c r="QR240"/>
      <c r="QS240"/>
      <c r="QT240"/>
      <c r="QU240"/>
      <c r="QV240"/>
      <c r="QW240"/>
      <c r="QX240"/>
      <c r="QY240"/>
      <c r="QZ240"/>
      <c r="RA240"/>
      <c r="RB240"/>
      <c r="RC240"/>
      <c r="RD240"/>
      <c r="RE240"/>
      <c r="RF240"/>
      <c r="RG240"/>
      <c r="RH240"/>
      <c r="RI240"/>
      <c r="RJ240"/>
      <c r="RK240"/>
      <c r="RL240"/>
      <c r="RM240"/>
      <c r="RN240"/>
      <c r="RO240"/>
      <c r="RP240"/>
      <c r="RQ240"/>
      <c r="RR240"/>
      <c r="RS240"/>
    </row>
    <row r="241" spans="3:487" x14ac:dyDescent="0.25">
      <c r="C241" s="2" t="s">
        <v>3826</v>
      </c>
      <c r="D241" s="34">
        <v>0</v>
      </c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  <c r="BN241"/>
      <c r="BO241"/>
      <c r="BP241"/>
      <c r="BQ241"/>
      <c r="BR241"/>
      <c r="BS241"/>
      <c r="BT241"/>
      <c r="BU241"/>
      <c r="BV241"/>
      <c r="BW241"/>
      <c r="BX241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  <c r="CL241"/>
      <c r="CM241"/>
      <c r="CN241"/>
      <c r="CO241"/>
      <c r="CP241"/>
      <c r="CQ241"/>
      <c r="CR241"/>
      <c r="CS241"/>
      <c r="CT241"/>
      <c r="CU241"/>
      <c r="CV241"/>
      <c r="CW241"/>
      <c r="CX241"/>
      <c r="CY241"/>
      <c r="CZ241"/>
      <c r="DA241"/>
      <c r="DB241"/>
      <c r="DC241"/>
      <c r="DD241"/>
      <c r="DE241"/>
      <c r="DF241"/>
      <c r="DG241"/>
      <c r="DH241"/>
      <c r="DI241"/>
      <c r="DJ241"/>
      <c r="DK241"/>
      <c r="DL241"/>
      <c r="DM241"/>
      <c r="DN241"/>
      <c r="DO241"/>
      <c r="DP241"/>
      <c r="DQ241"/>
      <c r="DR241"/>
      <c r="DS241"/>
      <c r="DT241"/>
      <c r="DU241"/>
      <c r="DV241"/>
      <c r="DW241"/>
      <c r="DX241"/>
      <c r="DY241"/>
      <c r="DZ241"/>
      <c r="EA241"/>
      <c r="EB241"/>
      <c r="EC241"/>
      <c r="ED241"/>
      <c r="EE241"/>
      <c r="EF241"/>
      <c r="EG241"/>
      <c r="EH241"/>
      <c r="EI241"/>
      <c r="EJ241"/>
      <c r="EK241"/>
      <c r="EL241"/>
      <c r="EM241"/>
      <c r="EN241"/>
      <c r="EO241"/>
      <c r="EP241"/>
      <c r="EQ241"/>
      <c r="ER241"/>
      <c r="ES241"/>
      <c r="ET241"/>
      <c r="EU241"/>
      <c r="EV241"/>
      <c r="EW241"/>
      <c r="EX241"/>
      <c r="EY241"/>
      <c r="EZ241"/>
      <c r="FA241"/>
      <c r="FB241"/>
      <c r="FC241"/>
      <c r="FD241"/>
      <c r="FE241"/>
      <c r="FF241"/>
      <c r="FG241"/>
      <c r="FH241"/>
      <c r="FI241"/>
      <c r="FJ241"/>
      <c r="FK241"/>
      <c r="FL241"/>
      <c r="FM241"/>
      <c r="FN241"/>
      <c r="FO241"/>
      <c r="FP241"/>
      <c r="FQ241"/>
      <c r="FR241"/>
      <c r="FS241"/>
      <c r="FT241"/>
      <c r="FU241"/>
      <c r="FV241"/>
      <c r="FW241"/>
      <c r="FX241"/>
      <c r="FY241"/>
      <c r="FZ241"/>
      <c r="GA241"/>
      <c r="GB241"/>
      <c r="GC241"/>
      <c r="GD241"/>
      <c r="GE241"/>
      <c r="GF241"/>
      <c r="GG241"/>
      <c r="GH241"/>
      <c r="GI241"/>
      <c r="GJ241"/>
      <c r="GK241"/>
      <c r="GL241"/>
      <c r="GM241"/>
      <c r="GN241"/>
      <c r="GO241"/>
      <c r="GP241"/>
      <c r="GQ241"/>
      <c r="GR241"/>
      <c r="GS241"/>
      <c r="GT241"/>
      <c r="GU241"/>
      <c r="GV241"/>
      <c r="GW241"/>
      <c r="GX241"/>
      <c r="GY241"/>
      <c r="GZ241"/>
      <c r="HA241"/>
      <c r="HB241"/>
      <c r="HC241"/>
      <c r="HD241"/>
      <c r="HE241"/>
      <c r="HF241"/>
      <c r="HG241"/>
      <c r="HH241"/>
      <c r="HI241"/>
      <c r="HJ241"/>
      <c r="HK241"/>
      <c r="HL241"/>
      <c r="HM241"/>
      <c r="HN241"/>
      <c r="HO241"/>
      <c r="HP241"/>
      <c r="HQ241"/>
      <c r="HR241"/>
      <c r="HS241"/>
      <c r="HT241"/>
      <c r="HU241"/>
      <c r="HV241"/>
      <c r="HW241"/>
      <c r="HX241"/>
      <c r="HY241"/>
      <c r="HZ241"/>
      <c r="IA241"/>
      <c r="IB241"/>
      <c r="IC241"/>
      <c r="ID241"/>
      <c r="IE241"/>
      <c r="IF241"/>
      <c r="IG241"/>
      <c r="IH241"/>
      <c r="II241"/>
      <c r="IJ241"/>
      <c r="IK241"/>
      <c r="IL241"/>
      <c r="IM241"/>
      <c r="IN241"/>
      <c r="IO241"/>
      <c r="IP241"/>
      <c r="IQ241"/>
      <c r="IR241"/>
      <c r="IS241"/>
      <c r="IT241"/>
      <c r="IU241"/>
      <c r="IV241"/>
      <c r="IW241"/>
      <c r="IX241"/>
      <c r="IY241"/>
      <c r="IZ241"/>
      <c r="JA241"/>
      <c r="JB241"/>
      <c r="JC241"/>
      <c r="JD241"/>
      <c r="JE241"/>
      <c r="JF241"/>
      <c r="JG241"/>
      <c r="JH241"/>
      <c r="JI241"/>
      <c r="JJ241"/>
      <c r="JK241"/>
      <c r="JL241"/>
      <c r="JM241"/>
      <c r="JN241"/>
      <c r="JO241"/>
      <c r="JP241"/>
      <c r="JQ241"/>
      <c r="JR241"/>
      <c r="JS241"/>
      <c r="JT241"/>
      <c r="JU241"/>
      <c r="JV241"/>
      <c r="JW241"/>
      <c r="JX241"/>
      <c r="JY241"/>
      <c r="JZ241"/>
      <c r="KA241"/>
      <c r="KB241"/>
      <c r="KC241"/>
      <c r="KD241"/>
      <c r="KE241"/>
      <c r="KF241"/>
      <c r="KG241"/>
      <c r="KH241"/>
      <c r="KI241"/>
      <c r="KJ241"/>
      <c r="KK241"/>
      <c r="KL241"/>
      <c r="KM241"/>
      <c r="KN241"/>
      <c r="KO241"/>
      <c r="KP241"/>
      <c r="KQ241"/>
      <c r="KR241"/>
      <c r="KS241"/>
      <c r="KT241"/>
      <c r="KU241"/>
      <c r="KV241"/>
      <c r="KW241"/>
      <c r="KX241"/>
      <c r="KY241"/>
      <c r="KZ241"/>
      <c r="LA241"/>
      <c r="LB241"/>
      <c r="LC241"/>
      <c r="LD241"/>
      <c r="LE241"/>
      <c r="LF241"/>
      <c r="LG241"/>
      <c r="LH241"/>
      <c r="LI241"/>
      <c r="LJ241"/>
      <c r="LK241"/>
      <c r="LL241"/>
      <c r="LM241"/>
      <c r="LN241"/>
      <c r="LO241"/>
      <c r="LP241"/>
      <c r="LQ241"/>
      <c r="LR241"/>
      <c r="LS241"/>
      <c r="LT241"/>
      <c r="LU241"/>
      <c r="LV241"/>
      <c r="LW241"/>
      <c r="LX241"/>
      <c r="LY241"/>
      <c r="LZ241"/>
      <c r="MA241"/>
      <c r="MB241"/>
      <c r="MC241"/>
      <c r="MD241"/>
      <c r="ME241"/>
      <c r="MF241"/>
      <c r="MG241"/>
      <c r="MH241"/>
      <c r="MI241"/>
      <c r="MJ241"/>
      <c r="MK241"/>
      <c r="ML241"/>
      <c r="MM241"/>
      <c r="MN241"/>
      <c r="MO241"/>
      <c r="MP241"/>
      <c r="MQ241"/>
      <c r="MR241"/>
      <c r="MS241"/>
      <c r="MT241"/>
      <c r="MU241"/>
      <c r="MV241"/>
      <c r="MW241"/>
      <c r="MX241"/>
      <c r="MY241"/>
      <c r="MZ241"/>
      <c r="NA241"/>
      <c r="NB241"/>
      <c r="NC241"/>
      <c r="ND241"/>
      <c r="NE241"/>
      <c r="NF241"/>
      <c r="NG241"/>
      <c r="NH241"/>
      <c r="NI241"/>
      <c r="NJ241"/>
      <c r="NK241"/>
      <c r="NL241"/>
      <c r="NM241"/>
      <c r="NN241"/>
      <c r="NO241"/>
      <c r="NP241"/>
      <c r="NQ241"/>
      <c r="NR241"/>
      <c r="NS241"/>
      <c r="NT241"/>
      <c r="NU241"/>
      <c r="NV241"/>
      <c r="NW241"/>
      <c r="NX241"/>
      <c r="NY241"/>
      <c r="NZ241"/>
      <c r="OA241"/>
      <c r="OB241"/>
      <c r="OC241"/>
      <c r="OD241"/>
      <c r="OE241"/>
      <c r="OF241"/>
      <c r="OG241"/>
      <c r="OH241"/>
      <c r="OI241"/>
      <c r="OJ241"/>
      <c r="OK241"/>
      <c r="OL241"/>
      <c r="OM241"/>
      <c r="ON241"/>
      <c r="OO241"/>
      <c r="OP241"/>
      <c r="OQ241"/>
      <c r="OR241"/>
      <c r="OS241"/>
      <c r="OT241"/>
      <c r="OU241"/>
      <c r="OV241"/>
      <c r="OW241"/>
      <c r="OX241"/>
      <c r="OY241"/>
      <c r="OZ241"/>
      <c r="PA241"/>
      <c r="PB241"/>
      <c r="PC241"/>
      <c r="PD241"/>
      <c r="PE241"/>
      <c r="PF241"/>
      <c r="PG241"/>
      <c r="PH241"/>
      <c r="PI241"/>
      <c r="PJ241"/>
      <c r="PK241"/>
      <c r="PL241"/>
      <c r="PM241"/>
      <c r="PN241"/>
      <c r="PO241"/>
      <c r="PP241"/>
      <c r="PQ241"/>
      <c r="PR241"/>
      <c r="PS241"/>
      <c r="PT241"/>
      <c r="PU241"/>
      <c r="PV241"/>
      <c r="PW241"/>
      <c r="PX241"/>
      <c r="PY241"/>
      <c r="PZ241"/>
      <c r="QA241"/>
      <c r="QB241"/>
      <c r="QC241"/>
      <c r="QD241"/>
      <c r="QE241"/>
      <c r="QF241"/>
      <c r="QG241"/>
      <c r="QH241"/>
      <c r="QI241"/>
      <c r="QJ241"/>
      <c r="QK241"/>
      <c r="QL241"/>
      <c r="QM241"/>
      <c r="QN241"/>
      <c r="QO241"/>
      <c r="QP241"/>
      <c r="QQ241"/>
      <c r="QR241"/>
      <c r="QS241"/>
      <c r="QT241"/>
      <c r="QU241"/>
      <c r="QV241"/>
      <c r="QW241"/>
      <c r="QX241"/>
      <c r="QY241"/>
      <c r="QZ241"/>
      <c r="RA241"/>
      <c r="RB241"/>
      <c r="RC241"/>
      <c r="RD241"/>
      <c r="RE241"/>
      <c r="RF241"/>
      <c r="RG241"/>
      <c r="RH241"/>
      <c r="RI241"/>
      <c r="RJ241"/>
      <c r="RK241"/>
      <c r="RL241"/>
      <c r="RM241"/>
      <c r="RN241"/>
      <c r="RO241"/>
      <c r="RP241"/>
      <c r="RQ241"/>
      <c r="RR241"/>
      <c r="RS241"/>
    </row>
    <row r="242" spans="3:487" x14ac:dyDescent="0.25">
      <c r="C242" s="2" t="s">
        <v>3830</v>
      </c>
      <c r="D242" s="34">
        <v>0</v>
      </c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  <c r="BL242"/>
      <c r="BM242"/>
      <c r="BN242"/>
      <c r="BO242"/>
      <c r="BP242"/>
      <c r="BQ242"/>
      <c r="BR242"/>
      <c r="BS242"/>
      <c r="BT242"/>
      <c r="BU242"/>
      <c r="BV242"/>
      <c r="BW242"/>
      <c r="BX242"/>
      <c r="BY242"/>
      <c r="BZ242"/>
      <c r="CA242"/>
      <c r="CB242"/>
      <c r="CC242"/>
      <c r="CD242"/>
      <c r="CE242"/>
      <c r="CF242"/>
      <c r="CG242"/>
      <c r="CH242"/>
      <c r="CI242"/>
      <c r="CJ242"/>
      <c r="CK242"/>
      <c r="CL242"/>
      <c r="CM242"/>
      <c r="CN242"/>
      <c r="CO242"/>
      <c r="CP242"/>
      <c r="CQ242"/>
      <c r="CR242"/>
      <c r="CS242"/>
      <c r="CT242"/>
      <c r="CU242"/>
      <c r="CV242"/>
      <c r="CW242"/>
      <c r="CX242"/>
      <c r="CY242"/>
      <c r="CZ242"/>
      <c r="DA242"/>
      <c r="DB242"/>
      <c r="DC242"/>
      <c r="DD242"/>
      <c r="DE242"/>
      <c r="DF242"/>
      <c r="DG242"/>
      <c r="DH242"/>
      <c r="DI242"/>
      <c r="DJ242"/>
      <c r="DK242"/>
      <c r="DL242"/>
      <c r="DM242"/>
      <c r="DN242"/>
      <c r="DO242"/>
      <c r="DP242"/>
      <c r="DQ242"/>
      <c r="DR242"/>
      <c r="DS242"/>
      <c r="DT242"/>
      <c r="DU242"/>
      <c r="DV242"/>
      <c r="DW242"/>
      <c r="DX242"/>
      <c r="DY242"/>
      <c r="DZ242"/>
      <c r="EA242"/>
      <c r="EB242"/>
      <c r="EC242"/>
      <c r="ED242"/>
      <c r="EE242"/>
      <c r="EF242"/>
      <c r="EG242"/>
      <c r="EH242"/>
      <c r="EI242"/>
      <c r="EJ242"/>
      <c r="EK242"/>
      <c r="EL242"/>
      <c r="EM242"/>
      <c r="EN242"/>
      <c r="EO242"/>
      <c r="EP242"/>
      <c r="EQ242"/>
      <c r="ER242"/>
      <c r="ES242"/>
      <c r="ET242"/>
      <c r="EU242"/>
      <c r="EV242"/>
      <c r="EW242"/>
      <c r="EX242"/>
      <c r="EY242"/>
      <c r="EZ242"/>
      <c r="FA242"/>
      <c r="FB242"/>
      <c r="FC242"/>
      <c r="FD242"/>
      <c r="FE242"/>
      <c r="FF242"/>
      <c r="FG242"/>
      <c r="FH242"/>
      <c r="FI242"/>
      <c r="FJ242"/>
      <c r="FK242"/>
      <c r="FL242"/>
      <c r="FM242"/>
      <c r="FN242"/>
      <c r="FO242"/>
      <c r="FP242"/>
      <c r="FQ242"/>
      <c r="FR242"/>
      <c r="FS242"/>
      <c r="FT242"/>
      <c r="FU242"/>
      <c r="FV242"/>
      <c r="FW242"/>
      <c r="FX242"/>
      <c r="FY242"/>
      <c r="FZ242"/>
      <c r="GA242"/>
      <c r="GB242"/>
      <c r="GC242"/>
      <c r="GD242"/>
      <c r="GE242"/>
      <c r="GF242"/>
      <c r="GG242"/>
      <c r="GH242"/>
      <c r="GI242"/>
      <c r="GJ242"/>
      <c r="GK242"/>
      <c r="GL242"/>
      <c r="GM242"/>
      <c r="GN242"/>
      <c r="GO242"/>
      <c r="GP242"/>
      <c r="GQ242"/>
      <c r="GR242"/>
      <c r="GS242"/>
      <c r="GT242"/>
      <c r="GU242"/>
      <c r="GV242"/>
      <c r="GW242"/>
      <c r="GX242"/>
      <c r="GY242"/>
      <c r="GZ242"/>
      <c r="HA242"/>
      <c r="HB242"/>
      <c r="HC242"/>
      <c r="HD242"/>
      <c r="HE242"/>
      <c r="HF242"/>
      <c r="HG242"/>
      <c r="HH242"/>
      <c r="HI242"/>
      <c r="HJ242"/>
      <c r="HK242"/>
      <c r="HL242"/>
      <c r="HM242"/>
      <c r="HN242"/>
      <c r="HO242"/>
      <c r="HP242"/>
      <c r="HQ242"/>
      <c r="HR242"/>
      <c r="HS242"/>
      <c r="HT242"/>
      <c r="HU242"/>
      <c r="HV242"/>
      <c r="HW242"/>
      <c r="HX242"/>
      <c r="HY242"/>
      <c r="HZ242"/>
      <c r="IA242"/>
      <c r="IB242"/>
      <c r="IC242"/>
      <c r="ID242"/>
      <c r="IE242"/>
      <c r="IF242"/>
      <c r="IG242"/>
      <c r="IH242"/>
      <c r="II242"/>
      <c r="IJ242"/>
      <c r="IK242"/>
      <c r="IL242"/>
      <c r="IM242"/>
      <c r="IN242"/>
      <c r="IO242"/>
      <c r="IP242"/>
      <c r="IQ242"/>
      <c r="IR242"/>
      <c r="IS242"/>
      <c r="IT242"/>
      <c r="IU242"/>
      <c r="IV242"/>
      <c r="IW242"/>
      <c r="IX242"/>
      <c r="IY242"/>
      <c r="IZ242"/>
      <c r="JA242"/>
      <c r="JB242"/>
      <c r="JC242"/>
      <c r="JD242"/>
      <c r="JE242"/>
      <c r="JF242"/>
      <c r="JG242"/>
      <c r="JH242"/>
      <c r="JI242"/>
      <c r="JJ242"/>
      <c r="JK242"/>
      <c r="JL242"/>
      <c r="JM242"/>
      <c r="JN242"/>
      <c r="JO242"/>
      <c r="JP242"/>
      <c r="JQ242"/>
      <c r="JR242"/>
      <c r="JS242"/>
      <c r="JT242"/>
      <c r="JU242"/>
      <c r="JV242"/>
      <c r="JW242"/>
      <c r="JX242"/>
      <c r="JY242"/>
      <c r="JZ242"/>
      <c r="KA242"/>
      <c r="KB242"/>
      <c r="KC242"/>
      <c r="KD242"/>
      <c r="KE242"/>
      <c r="KF242"/>
      <c r="KG242"/>
      <c r="KH242"/>
      <c r="KI242"/>
      <c r="KJ242"/>
      <c r="KK242"/>
      <c r="KL242"/>
      <c r="KM242"/>
      <c r="KN242"/>
      <c r="KO242"/>
      <c r="KP242"/>
      <c r="KQ242"/>
      <c r="KR242"/>
      <c r="KS242"/>
      <c r="KT242"/>
      <c r="KU242"/>
      <c r="KV242"/>
      <c r="KW242"/>
      <c r="KX242"/>
      <c r="KY242"/>
      <c r="KZ242"/>
      <c r="LA242"/>
      <c r="LB242"/>
      <c r="LC242"/>
      <c r="LD242"/>
      <c r="LE242"/>
      <c r="LF242"/>
      <c r="LG242"/>
      <c r="LH242"/>
      <c r="LI242"/>
      <c r="LJ242"/>
      <c r="LK242"/>
      <c r="LL242"/>
      <c r="LM242"/>
      <c r="LN242"/>
      <c r="LO242"/>
      <c r="LP242"/>
      <c r="LQ242"/>
      <c r="LR242"/>
      <c r="LS242"/>
      <c r="LT242"/>
      <c r="LU242"/>
      <c r="LV242"/>
      <c r="LW242"/>
      <c r="LX242"/>
      <c r="LY242"/>
      <c r="LZ242"/>
      <c r="MA242"/>
      <c r="MB242"/>
      <c r="MC242"/>
      <c r="MD242"/>
      <c r="ME242"/>
      <c r="MF242"/>
      <c r="MG242"/>
      <c r="MH242"/>
      <c r="MI242"/>
      <c r="MJ242"/>
      <c r="MK242"/>
      <c r="ML242"/>
      <c r="MM242"/>
      <c r="MN242"/>
      <c r="MO242"/>
      <c r="MP242"/>
      <c r="MQ242"/>
      <c r="MR242"/>
      <c r="MS242"/>
      <c r="MT242"/>
      <c r="MU242"/>
      <c r="MV242"/>
      <c r="MW242"/>
      <c r="MX242"/>
      <c r="MY242"/>
      <c r="MZ242"/>
      <c r="NA242"/>
      <c r="NB242"/>
      <c r="NC242"/>
      <c r="ND242"/>
      <c r="NE242"/>
      <c r="NF242"/>
      <c r="NG242"/>
      <c r="NH242"/>
      <c r="NI242"/>
      <c r="NJ242"/>
      <c r="NK242"/>
      <c r="NL242"/>
      <c r="NM242"/>
      <c r="NN242"/>
      <c r="NO242"/>
      <c r="NP242"/>
      <c r="NQ242"/>
      <c r="NR242"/>
      <c r="NS242"/>
      <c r="NT242"/>
      <c r="NU242"/>
      <c r="NV242"/>
      <c r="NW242"/>
      <c r="NX242"/>
      <c r="NY242"/>
      <c r="NZ242"/>
      <c r="OA242"/>
      <c r="OB242"/>
      <c r="OC242"/>
      <c r="OD242"/>
      <c r="OE242"/>
      <c r="OF242"/>
      <c r="OG242"/>
      <c r="OH242"/>
      <c r="OI242"/>
      <c r="OJ242"/>
      <c r="OK242"/>
      <c r="OL242"/>
      <c r="OM242"/>
      <c r="ON242"/>
      <c r="OO242"/>
      <c r="OP242"/>
      <c r="OQ242"/>
      <c r="OR242"/>
      <c r="OS242"/>
      <c r="OT242"/>
      <c r="OU242"/>
      <c r="OV242"/>
      <c r="OW242"/>
      <c r="OX242"/>
      <c r="OY242"/>
      <c r="OZ242"/>
      <c r="PA242"/>
      <c r="PB242"/>
      <c r="PC242"/>
      <c r="PD242"/>
      <c r="PE242"/>
      <c r="PF242"/>
      <c r="PG242"/>
      <c r="PH242"/>
      <c r="PI242"/>
      <c r="PJ242"/>
      <c r="PK242"/>
      <c r="PL242"/>
      <c r="PM242"/>
      <c r="PN242"/>
      <c r="PO242"/>
      <c r="PP242"/>
      <c r="PQ242"/>
      <c r="PR242"/>
      <c r="PS242"/>
      <c r="PT242"/>
      <c r="PU242"/>
      <c r="PV242"/>
      <c r="PW242"/>
      <c r="PX242"/>
      <c r="PY242"/>
      <c r="PZ242"/>
      <c r="QA242"/>
      <c r="QB242"/>
      <c r="QC242"/>
      <c r="QD242"/>
      <c r="QE242"/>
      <c r="QF242"/>
      <c r="QG242"/>
      <c r="QH242"/>
      <c r="QI242"/>
      <c r="QJ242"/>
      <c r="QK242"/>
      <c r="QL242"/>
      <c r="QM242"/>
      <c r="QN242"/>
      <c r="QO242"/>
      <c r="QP242"/>
      <c r="QQ242"/>
      <c r="QR242"/>
      <c r="QS242"/>
      <c r="QT242"/>
      <c r="QU242"/>
      <c r="QV242"/>
      <c r="QW242"/>
      <c r="QX242"/>
      <c r="QY242"/>
      <c r="QZ242"/>
      <c r="RA242"/>
      <c r="RB242"/>
      <c r="RC242"/>
      <c r="RD242"/>
      <c r="RE242"/>
      <c r="RF242"/>
      <c r="RG242"/>
      <c r="RH242"/>
      <c r="RI242"/>
      <c r="RJ242"/>
      <c r="RK242"/>
      <c r="RL242"/>
      <c r="RM242"/>
      <c r="RN242"/>
      <c r="RO242"/>
      <c r="RP242"/>
      <c r="RQ242"/>
      <c r="RR242"/>
      <c r="RS242"/>
    </row>
    <row r="243" spans="3:487" x14ac:dyDescent="0.25">
      <c r="C243" s="2" t="s">
        <v>3838</v>
      </c>
      <c r="D243" s="34">
        <v>0</v>
      </c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  <c r="BL243"/>
      <c r="BM243"/>
      <c r="BN243"/>
      <c r="BO243"/>
      <c r="BP243"/>
      <c r="BQ243"/>
      <c r="BR243"/>
      <c r="BS243"/>
      <c r="BT243"/>
      <c r="BU243"/>
      <c r="BV243"/>
      <c r="BW243"/>
      <c r="BX243"/>
      <c r="BY243"/>
      <c r="BZ243"/>
      <c r="CA243"/>
      <c r="CB243"/>
      <c r="CC243"/>
      <c r="CD243"/>
      <c r="CE243"/>
      <c r="CF243"/>
      <c r="CG243"/>
      <c r="CH243"/>
      <c r="CI243"/>
      <c r="CJ243"/>
      <c r="CK243"/>
      <c r="CL243"/>
      <c r="CM243"/>
      <c r="CN243"/>
      <c r="CO243"/>
      <c r="CP243"/>
      <c r="CQ243"/>
      <c r="CR243"/>
      <c r="CS243"/>
      <c r="CT243"/>
      <c r="CU243"/>
      <c r="CV243"/>
      <c r="CW243"/>
      <c r="CX243"/>
      <c r="CY243"/>
      <c r="CZ243"/>
      <c r="DA243"/>
      <c r="DB243"/>
      <c r="DC243"/>
      <c r="DD243"/>
      <c r="DE243"/>
      <c r="DF243"/>
      <c r="DG243"/>
      <c r="DH243"/>
      <c r="DI243"/>
      <c r="DJ243"/>
      <c r="DK243"/>
      <c r="DL243"/>
      <c r="DM243"/>
      <c r="DN243"/>
      <c r="DO243"/>
      <c r="DP243"/>
      <c r="DQ243"/>
      <c r="DR243"/>
      <c r="DS243"/>
      <c r="DT243"/>
      <c r="DU243"/>
      <c r="DV243"/>
      <c r="DW243"/>
      <c r="DX243"/>
      <c r="DY243"/>
      <c r="DZ243"/>
      <c r="EA243"/>
      <c r="EB243"/>
      <c r="EC243"/>
      <c r="ED243"/>
      <c r="EE243"/>
      <c r="EF243"/>
      <c r="EG243"/>
      <c r="EH243"/>
      <c r="EI243"/>
      <c r="EJ243"/>
      <c r="EK243"/>
      <c r="EL243"/>
      <c r="EM243"/>
      <c r="EN243"/>
      <c r="EO243"/>
      <c r="EP243"/>
      <c r="EQ243"/>
      <c r="ER243"/>
      <c r="ES243"/>
      <c r="ET243"/>
      <c r="EU243"/>
      <c r="EV243"/>
      <c r="EW243"/>
      <c r="EX243"/>
      <c r="EY243"/>
      <c r="EZ243"/>
      <c r="FA243"/>
      <c r="FB243"/>
      <c r="FC243"/>
      <c r="FD243"/>
      <c r="FE243"/>
      <c r="FF243"/>
      <c r="FG243"/>
      <c r="FH243"/>
      <c r="FI243"/>
      <c r="FJ243"/>
      <c r="FK243"/>
      <c r="FL243"/>
      <c r="FM243"/>
      <c r="FN243"/>
      <c r="FO243"/>
      <c r="FP243"/>
      <c r="FQ243"/>
      <c r="FR243"/>
      <c r="FS243"/>
      <c r="FT243"/>
      <c r="FU243"/>
      <c r="FV243"/>
      <c r="FW243"/>
      <c r="FX243"/>
      <c r="FY243"/>
      <c r="FZ243"/>
      <c r="GA243"/>
      <c r="GB243"/>
      <c r="GC243"/>
      <c r="GD243"/>
      <c r="GE243"/>
      <c r="GF243"/>
      <c r="GG243"/>
      <c r="GH243"/>
      <c r="GI243"/>
      <c r="GJ243"/>
      <c r="GK243"/>
      <c r="GL243"/>
      <c r="GM243"/>
      <c r="GN243"/>
      <c r="GO243"/>
      <c r="GP243"/>
      <c r="GQ243"/>
      <c r="GR243"/>
      <c r="GS243"/>
      <c r="GT243"/>
      <c r="GU243"/>
      <c r="GV243"/>
      <c r="GW243"/>
      <c r="GX243"/>
      <c r="GY243"/>
      <c r="GZ243"/>
      <c r="HA243"/>
      <c r="HB243"/>
      <c r="HC243"/>
      <c r="HD243"/>
      <c r="HE243"/>
      <c r="HF243"/>
      <c r="HG243"/>
      <c r="HH243"/>
      <c r="HI243"/>
      <c r="HJ243"/>
      <c r="HK243"/>
      <c r="HL243"/>
      <c r="HM243"/>
      <c r="HN243"/>
      <c r="HO243"/>
      <c r="HP243"/>
      <c r="HQ243"/>
      <c r="HR243"/>
      <c r="HS243"/>
      <c r="HT243"/>
      <c r="HU243"/>
      <c r="HV243"/>
      <c r="HW243"/>
      <c r="HX243"/>
      <c r="HY243"/>
      <c r="HZ243"/>
      <c r="IA243"/>
      <c r="IB243"/>
      <c r="IC243"/>
      <c r="ID243"/>
      <c r="IE243"/>
      <c r="IF243"/>
      <c r="IG243"/>
      <c r="IH243"/>
      <c r="II243"/>
      <c r="IJ243"/>
      <c r="IK243"/>
      <c r="IL243"/>
      <c r="IM243"/>
      <c r="IN243"/>
      <c r="IO243"/>
      <c r="IP243"/>
      <c r="IQ243"/>
      <c r="IR243"/>
      <c r="IS243"/>
      <c r="IT243"/>
      <c r="IU243"/>
      <c r="IV243"/>
      <c r="IW243"/>
      <c r="IX243"/>
      <c r="IY243"/>
      <c r="IZ243"/>
      <c r="JA243"/>
      <c r="JB243"/>
      <c r="JC243"/>
      <c r="JD243"/>
      <c r="JE243"/>
      <c r="JF243"/>
      <c r="JG243"/>
      <c r="JH243"/>
      <c r="JI243"/>
      <c r="JJ243"/>
      <c r="JK243"/>
      <c r="JL243"/>
      <c r="JM243"/>
      <c r="JN243"/>
      <c r="JO243"/>
      <c r="JP243"/>
      <c r="JQ243"/>
      <c r="JR243"/>
      <c r="JS243"/>
      <c r="JT243"/>
      <c r="JU243"/>
      <c r="JV243"/>
      <c r="JW243"/>
      <c r="JX243"/>
      <c r="JY243"/>
      <c r="JZ243"/>
      <c r="KA243"/>
      <c r="KB243"/>
      <c r="KC243"/>
      <c r="KD243"/>
      <c r="KE243"/>
      <c r="KF243"/>
      <c r="KG243"/>
      <c r="KH243"/>
      <c r="KI243"/>
      <c r="KJ243"/>
      <c r="KK243"/>
      <c r="KL243"/>
      <c r="KM243"/>
      <c r="KN243"/>
      <c r="KO243"/>
      <c r="KP243"/>
      <c r="KQ243"/>
      <c r="KR243"/>
      <c r="KS243"/>
      <c r="KT243"/>
      <c r="KU243"/>
      <c r="KV243"/>
      <c r="KW243"/>
      <c r="KX243"/>
      <c r="KY243"/>
      <c r="KZ243"/>
      <c r="LA243"/>
      <c r="LB243"/>
      <c r="LC243"/>
      <c r="LD243"/>
      <c r="LE243"/>
      <c r="LF243"/>
      <c r="LG243"/>
      <c r="LH243"/>
      <c r="LI243"/>
      <c r="LJ243"/>
      <c r="LK243"/>
      <c r="LL243"/>
      <c r="LM243"/>
      <c r="LN243"/>
      <c r="LO243"/>
      <c r="LP243"/>
      <c r="LQ243"/>
      <c r="LR243"/>
      <c r="LS243"/>
      <c r="LT243"/>
      <c r="LU243"/>
      <c r="LV243"/>
      <c r="LW243"/>
      <c r="LX243"/>
      <c r="LY243"/>
      <c r="LZ243"/>
      <c r="MA243"/>
      <c r="MB243"/>
      <c r="MC243"/>
      <c r="MD243"/>
      <c r="ME243"/>
      <c r="MF243"/>
      <c r="MG243"/>
      <c r="MH243"/>
      <c r="MI243"/>
      <c r="MJ243"/>
      <c r="MK243"/>
      <c r="ML243"/>
      <c r="MM243"/>
      <c r="MN243"/>
      <c r="MO243"/>
      <c r="MP243"/>
      <c r="MQ243"/>
      <c r="MR243"/>
      <c r="MS243"/>
      <c r="MT243"/>
      <c r="MU243"/>
      <c r="MV243"/>
      <c r="MW243"/>
      <c r="MX243"/>
      <c r="MY243"/>
      <c r="MZ243"/>
      <c r="NA243"/>
      <c r="NB243"/>
      <c r="NC243"/>
      <c r="ND243"/>
      <c r="NE243"/>
      <c r="NF243"/>
      <c r="NG243"/>
      <c r="NH243"/>
      <c r="NI243"/>
      <c r="NJ243"/>
      <c r="NK243"/>
      <c r="NL243"/>
      <c r="NM243"/>
      <c r="NN243"/>
      <c r="NO243"/>
      <c r="NP243"/>
      <c r="NQ243"/>
      <c r="NR243"/>
      <c r="NS243"/>
      <c r="NT243"/>
      <c r="NU243"/>
      <c r="NV243"/>
      <c r="NW243"/>
      <c r="NX243"/>
      <c r="NY243"/>
      <c r="NZ243"/>
      <c r="OA243"/>
      <c r="OB243"/>
      <c r="OC243"/>
      <c r="OD243"/>
      <c r="OE243"/>
      <c r="OF243"/>
      <c r="OG243"/>
      <c r="OH243"/>
      <c r="OI243"/>
      <c r="OJ243"/>
      <c r="OK243"/>
      <c r="OL243"/>
      <c r="OM243"/>
      <c r="ON243"/>
      <c r="OO243"/>
      <c r="OP243"/>
      <c r="OQ243"/>
      <c r="OR243"/>
      <c r="OS243"/>
      <c r="OT243"/>
      <c r="OU243"/>
      <c r="OV243"/>
      <c r="OW243"/>
      <c r="OX243"/>
      <c r="OY243"/>
      <c r="OZ243"/>
      <c r="PA243"/>
      <c r="PB243"/>
      <c r="PC243"/>
      <c r="PD243"/>
      <c r="PE243"/>
      <c r="PF243"/>
      <c r="PG243"/>
      <c r="PH243"/>
      <c r="PI243"/>
      <c r="PJ243"/>
      <c r="PK243"/>
      <c r="PL243"/>
      <c r="PM243"/>
      <c r="PN243"/>
      <c r="PO243"/>
      <c r="PP243"/>
      <c r="PQ243"/>
      <c r="PR243"/>
      <c r="PS243"/>
      <c r="PT243"/>
      <c r="PU243"/>
      <c r="PV243"/>
      <c r="PW243"/>
      <c r="PX243"/>
      <c r="PY243"/>
      <c r="PZ243"/>
      <c r="QA243"/>
      <c r="QB243"/>
      <c r="QC243"/>
      <c r="QD243"/>
      <c r="QE243"/>
      <c r="QF243"/>
      <c r="QG243"/>
      <c r="QH243"/>
      <c r="QI243"/>
      <c r="QJ243"/>
      <c r="QK243"/>
      <c r="QL243"/>
      <c r="QM243"/>
      <c r="QN243"/>
      <c r="QO243"/>
      <c r="QP243"/>
      <c r="QQ243"/>
      <c r="QR243"/>
      <c r="QS243"/>
      <c r="QT243"/>
      <c r="QU243"/>
      <c r="QV243"/>
      <c r="QW243"/>
      <c r="QX243"/>
      <c r="QY243"/>
      <c r="QZ243"/>
      <c r="RA243"/>
      <c r="RB243"/>
      <c r="RC243"/>
      <c r="RD243"/>
      <c r="RE243"/>
      <c r="RF243"/>
      <c r="RG243"/>
      <c r="RH243"/>
      <c r="RI243"/>
      <c r="RJ243"/>
      <c r="RK243"/>
      <c r="RL243"/>
      <c r="RM243"/>
      <c r="RN243"/>
      <c r="RO243"/>
      <c r="RP243"/>
      <c r="RQ243"/>
      <c r="RR243"/>
      <c r="RS243"/>
    </row>
    <row r="244" spans="3:487" x14ac:dyDescent="0.25">
      <c r="C244" s="2" t="s">
        <v>3810</v>
      </c>
      <c r="D244" s="34">
        <v>0</v>
      </c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  <c r="BN244"/>
      <c r="BO244"/>
      <c r="BP244"/>
      <c r="BQ244"/>
      <c r="BR244"/>
      <c r="BS244"/>
      <c r="BT244"/>
      <c r="BU244"/>
      <c r="BV244"/>
      <c r="BW244"/>
      <c r="BX244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  <c r="CL244"/>
      <c r="CM244"/>
      <c r="CN244"/>
      <c r="CO244"/>
      <c r="CP244"/>
      <c r="CQ244"/>
      <c r="CR244"/>
      <c r="CS244"/>
      <c r="CT244"/>
      <c r="CU244"/>
      <c r="CV244"/>
      <c r="CW244"/>
      <c r="CX244"/>
      <c r="CY244"/>
      <c r="CZ244"/>
      <c r="DA244"/>
      <c r="DB244"/>
      <c r="DC244"/>
      <c r="DD244"/>
      <c r="DE244"/>
      <c r="DF244"/>
      <c r="DG244"/>
      <c r="DH244"/>
      <c r="DI244"/>
      <c r="DJ244"/>
      <c r="DK244"/>
      <c r="DL244"/>
      <c r="DM244"/>
      <c r="DN244"/>
      <c r="DO244"/>
      <c r="DP244"/>
      <c r="DQ244"/>
      <c r="DR244"/>
      <c r="DS244"/>
      <c r="DT244"/>
      <c r="DU244"/>
      <c r="DV244"/>
      <c r="DW244"/>
      <c r="DX244"/>
      <c r="DY244"/>
      <c r="DZ244"/>
      <c r="EA244"/>
      <c r="EB244"/>
      <c r="EC244"/>
      <c r="ED244"/>
      <c r="EE244"/>
      <c r="EF244"/>
      <c r="EG244"/>
      <c r="EH244"/>
      <c r="EI244"/>
      <c r="EJ244"/>
      <c r="EK244"/>
      <c r="EL244"/>
      <c r="EM244"/>
      <c r="EN244"/>
      <c r="EO244"/>
      <c r="EP244"/>
      <c r="EQ244"/>
      <c r="ER244"/>
      <c r="ES244"/>
      <c r="ET244"/>
      <c r="EU244"/>
      <c r="EV244"/>
      <c r="EW244"/>
      <c r="EX244"/>
      <c r="EY244"/>
      <c r="EZ244"/>
      <c r="FA244"/>
      <c r="FB244"/>
      <c r="FC244"/>
      <c r="FD244"/>
      <c r="FE244"/>
      <c r="FF244"/>
      <c r="FG244"/>
      <c r="FH244"/>
      <c r="FI244"/>
      <c r="FJ244"/>
      <c r="FK244"/>
      <c r="FL244"/>
      <c r="FM244"/>
      <c r="FN244"/>
      <c r="FO244"/>
      <c r="FP244"/>
      <c r="FQ244"/>
      <c r="FR244"/>
      <c r="FS244"/>
      <c r="FT244"/>
      <c r="FU244"/>
      <c r="FV244"/>
      <c r="FW244"/>
      <c r="FX244"/>
      <c r="FY244"/>
      <c r="FZ244"/>
      <c r="GA244"/>
      <c r="GB244"/>
      <c r="GC244"/>
      <c r="GD244"/>
      <c r="GE244"/>
      <c r="GF244"/>
      <c r="GG244"/>
      <c r="GH244"/>
      <c r="GI244"/>
      <c r="GJ244"/>
      <c r="GK244"/>
      <c r="GL244"/>
      <c r="GM244"/>
      <c r="GN244"/>
      <c r="GO244"/>
      <c r="GP244"/>
      <c r="GQ244"/>
      <c r="GR244"/>
      <c r="GS244"/>
      <c r="GT244"/>
      <c r="GU244"/>
      <c r="GV244"/>
      <c r="GW244"/>
      <c r="GX244"/>
      <c r="GY244"/>
      <c r="GZ244"/>
      <c r="HA244"/>
      <c r="HB244"/>
      <c r="HC244"/>
      <c r="HD244"/>
      <c r="HE244"/>
      <c r="HF244"/>
      <c r="HG244"/>
      <c r="HH244"/>
      <c r="HI244"/>
      <c r="HJ244"/>
      <c r="HK244"/>
      <c r="HL244"/>
      <c r="HM244"/>
      <c r="HN244"/>
      <c r="HO244"/>
      <c r="HP244"/>
      <c r="HQ244"/>
      <c r="HR244"/>
      <c r="HS244"/>
      <c r="HT244"/>
      <c r="HU244"/>
      <c r="HV244"/>
      <c r="HW244"/>
      <c r="HX244"/>
      <c r="HY244"/>
      <c r="HZ244"/>
      <c r="IA244"/>
      <c r="IB244"/>
      <c r="IC244"/>
      <c r="ID244"/>
      <c r="IE244"/>
      <c r="IF244"/>
      <c r="IG244"/>
      <c r="IH244"/>
      <c r="II244"/>
      <c r="IJ244"/>
      <c r="IK244"/>
      <c r="IL244"/>
      <c r="IM244"/>
      <c r="IN244"/>
      <c r="IO244"/>
      <c r="IP244"/>
      <c r="IQ244"/>
      <c r="IR244"/>
      <c r="IS244"/>
      <c r="IT244"/>
      <c r="IU244"/>
      <c r="IV244"/>
      <c r="IW244"/>
      <c r="IX244"/>
      <c r="IY244"/>
      <c r="IZ244"/>
      <c r="JA244"/>
      <c r="JB244"/>
      <c r="JC244"/>
      <c r="JD244"/>
      <c r="JE244"/>
      <c r="JF244"/>
      <c r="JG244"/>
      <c r="JH244"/>
      <c r="JI244"/>
      <c r="JJ244"/>
      <c r="JK244"/>
      <c r="JL244"/>
      <c r="JM244"/>
      <c r="JN244"/>
      <c r="JO244"/>
      <c r="JP244"/>
      <c r="JQ244"/>
      <c r="JR244"/>
      <c r="JS244"/>
      <c r="JT244"/>
      <c r="JU244"/>
      <c r="JV244"/>
      <c r="JW244"/>
      <c r="JX244"/>
      <c r="JY244"/>
      <c r="JZ244"/>
      <c r="KA244"/>
      <c r="KB244"/>
      <c r="KC244"/>
      <c r="KD244"/>
      <c r="KE244"/>
      <c r="KF244"/>
      <c r="KG244"/>
      <c r="KH244"/>
      <c r="KI244"/>
      <c r="KJ244"/>
      <c r="KK244"/>
      <c r="KL244"/>
      <c r="KM244"/>
      <c r="KN244"/>
      <c r="KO244"/>
      <c r="KP244"/>
      <c r="KQ244"/>
      <c r="KR244"/>
      <c r="KS244"/>
      <c r="KT244"/>
      <c r="KU244"/>
      <c r="KV244"/>
      <c r="KW244"/>
      <c r="KX244"/>
      <c r="KY244"/>
      <c r="KZ244"/>
      <c r="LA244"/>
      <c r="LB244"/>
      <c r="LC244"/>
      <c r="LD244"/>
      <c r="LE244"/>
      <c r="LF244"/>
      <c r="LG244"/>
      <c r="LH244"/>
      <c r="LI244"/>
      <c r="LJ244"/>
      <c r="LK244"/>
      <c r="LL244"/>
      <c r="LM244"/>
      <c r="LN244"/>
      <c r="LO244"/>
      <c r="LP244"/>
      <c r="LQ244"/>
      <c r="LR244"/>
      <c r="LS244"/>
      <c r="LT244"/>
      <c r="LU244"/>
      <c r="LV244"/>
      <c r="LW244"/>
      <c r="LX244"/>
      <c r="LY244"/>
      <c r="LZ244"/>
      <c r="MA244"/>
      <c r="MB244"/>
      <c r="MC244"/>
      <c r="MD244"/>
      <c r="ME244"/>
      <c r="MF244"/>
      <c r="MG244"/>
      <c r="MH244"/>
      <c r="MI244"/>
      <c r="MJ244"/>
      <c r="MK244"/>
      <c r="ML244"/>
      <c r="MM244"/>
      <c r="MN244"/>
      <c r="MO244"/>
      <c r="MP244"/>
      <c r="MQ244"/>
      <c r="MR244"/>
      <c r="MS244"/>
      <c r="MT244"/>
      <c r="MU244"/>
      <c r="MV244"/>
      <c r="MW244"/>
      <c r="MX244"/>
      <c r="MY244"/>
      <c r="MZ244"/>
      <c r="NA244"/>
      <c r="NB244"/>
      <c r="NC244"/>
      <c r="ND244"/>
      <c r="NE244"/>
      <c r="NF244"/>
      <c r="NG244"/>
      <c r="NH244"/>
      <c r="NI244"/>
      <c r="NJ244"/>
      <c r="NK244"/>
      <c r="NL244"/>
      <c r="NM244"/>
      <c r="NN244"/>
      <c r="NO244"/>
      <c r="NP244"/>
      <c r="NQ244"/>
      <c r="NR244"/>
      <c r="NS244"/>
      <c r="NT244"/>
      <c r="NU244"/>
      <c r="NV244"/>
      <c r="NW244"/>
      <c r="NX244"/>
      <c r="NY244"/>
      <c r="NZ244"/>
      <c r="OA244"/>
      <c r="OB244"/>
      <c r="OC244"/>
      <c r="OD244"/>
      <c r="OE244"/>
      <c r="OF244"/>
      <c r="OG244"/>
      <c r="OH244"/>
      <c r="OI244"/>
      <c r="OJ244"/>
      <c r="OK244"/>
      <c r="OL244"/>
      <c r="OM244"/>
      <c r="ON244"/>
      <c r="OO244"/>
      <c r="OP244"/>
      <c r="OQ244"/>
      <c r="OR244"/>
      <c r="OS244"/>
      <c r="OT244"/>
      <c r="OU244"/>
      <c r="OV244"/>
      <c r="OW244"/>
      <c r="OX244"/>
      <c r="OY244"/>
      <c r="OZ244"/>
      <c r="PA244"/>
      <c r="PB244"/>
      <c r="PC244"/>
      <c r="PD244"/>
      <c r="PE244"/>
      <c r="PF244"/>
      <c r="PG244"/>
      <c r="PH244"/>
      <c r="PI244"/>
      <c r="PJ244"/>
      <c r="PK244"/>
      <c r="PL244"/>
      <c r="PM244"/>
      <c r="PN244"/>
      <c r="PO244"/>
      <c r="PP244"/>
      <c r="PQ244"/>
      <c r="PR244"/>
      <c r="PS244"/>
      <c r="PT244"/>
      <c r="PU244"/>
      <c r="PV244"/>
      <c r="PW244"/>
      <c r="PX244"/>
      <c r="PY244"/>
      <c r="PZ244"/>
      <c r="QA244"/>
      <c r="QB244"/>
      <c r="QC244"/>
      <c r="QD244"/>
      <c r="QE244"/>
      <c r="QF244"/>
      <c r="QG244"/>
      <c r="QH244"/>
      <c r="QI244"/>
      <c r="QJ244"/>
      <c r="QK244"/>
      <c r="QL244"/>
      <c r="QM244"/>
      <c r="QN244"/>
      <c r="QO244"/>
      <c r="QP244"/>
      <c r="QQ244"/>
      <c r="QR244"/>
      <c r="QS244"/>
      <c r="QT244"/>
      <c r="QU244"/>
      <c r="QV244"/>
      <c r="QW244"/>
      <c r="QX244"/>
      <c r="QY244"/>
      <c r="QZ244"/>
      <c r="RA244"/>
      <c r="RB244"/>
      <c r="RC244"/>
      <c r="RD244"/>
      <c r="RE244"/>
      <c r="RF244"/>
      <c r="RG244"/>
      <c r="RH244"/>
      <c r="RI244"/>
      <c r="RJ244"/>
      <c r="RK244"/>
      <c r="RL244"/>
      <c r="RM244"/>
      <c r="RN244"/>
      <c r="RO244"/>
      <c r="RP244"/>
      <c r="RQ244"/>
      <c r="RR244"/>
      <c r="RS244"/>
    </row>
    <row r="245" spans="3:487" x14ac:dyDescent="0.25">
      <c r="C245" s="2" t="s">
        <v>3823</v>
      </c>
      <c r="D245" s="34">
        <v>0</v>
      </c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  <c r="BF245"/>
      <c r="BG245"/>
      <c r="BH245"/>
      <c r="BI245"/>
      <c r="BJ245"/>
      <c r="BK245"/>
      <c r="BL245"/>
      <c r="BM245"/>
      <c r="BN245"/>
      <c r="BO245"/>
      <c r="BP245"/>
      <c r="BQ245"/>
      <c r="BR245"/>
      <c r="BS245"/>
      <c r="BT245"/>
      <c r="BU245"/>
      <c r="BV245"/>
      <c r="BW245"/>
      <c r="BX245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  <c r="CL245"/>
      <c r="CM245"/>
      <c r="CN245"/>
      <c r="CO245"/>
      <c r="CP245"/>
      <c r="CQ245"/>
      <c r="CR245"/>
      <c r="CS245"/>
      <c r="CT245"/>
      <c r="CU245"/>
      <c r="CV245"/>
      <c r="CW245"/>
      <c r="CX245"/>
      <c r="CY245"/>
      <c r="CZ245"/>
      <c r="DA245"/>
      <c r="DB245"/>
      <c r="DC245"/>
      <c r="DD245"/>
      <c r="DE245"/>
      <c r="DF245"/>
      <c r="DG245"/>
      <c r="DH245"/>
      <c r="DI245"/>
      <c r="DJ245"/>
      <c r="DK245"/>
      <c r="DL245"/>
      <c r="DM245"/>
      <c r="DN245"/>
      <c r="DO245"/>
      <c r="DP245"/>
      <c r="DQ245"/>
      <c r="DR245"/>
      <c r="DS245"/>
      <c r="DT245"/>
      <c r="DU245"/>
      <c r="DV245"/>
      <c r="DW245"/>
      <c r="DX245"/>
      <c r="DY245"/>
      <c r="DZ245"/>
      <c r="EA245"/>
      <c r="EB245"/>
      <c r="EC245"/>
      <c r="ED245"/>
      <c r="EE245"/>
      <c r="EF245"/>
      <c r="EG245"/>
      <c r="EH245"/>
      <c r="EI245"/>
      <c r="EJ245"/>
      <c r="EK245"/>
      <c r="EL245"/>
      <c r="EM245"/>
      <c r="EN245"/>
      <c r="EO245"/>
      <c r="EP245"/>
      <c r="EQ245"/>
      <c r="ER245"/>
      <c r="ES245"/>
      <c r="ET245"/>
      <c r="EU245"/>
      <c r="EV245"/>
      <c r="EW245"/>
      <c r="EX245"/>
      <c r="EY245"/>
      <c r="EZ245"/>
      <c r="FA245"/>
      <c r="FB245"/>
      <c r="FC245"/>
      <c r="FD245"/>
      <c r="FE245"/>
      <c r="FF245"/>
      <c r="FG245"/>
      <c r="FH245"/>
      <c r="FI245"/>
      <c r="FJ245"/>
      <c r="FK245"/>
      <c r="FL245"/>
      <c r="FM245"/>
      <c r="FN245"/>
      <c r="FO245"/>
      <c r="FP245"/>
      <c r="FQ245"/>
      <c r="FR245"/>
      <c r="FS245"/>
      <c r="FT245"/>
      <c r="FU245"/>
      <c r="FV245"/>
      <c r="FW245"/>
      <c r="FX245"/>
      <c r="FY245"/>
      <c r="FZ245"/>
      <c r="GA245"/>
      <c r="GB245"/>
      <c r="GC245"/>
      <c r="GD245"/>
      <c r="GE245"/>
      <c r="GF245"/>
      <c r="GG245"/>
      <c r="GH245"/>
      <c r="GI245"/>
      <c r="GJ245"/>
      <c r="GK245"/>
      <c r="GL245"/>
      <c r="GM245"/>
      <c r="GN245"/>
      <c r="GO245"/>
      <c r="GP245"/>
      <c r="GQ245"/>
      <c r="GR245"/>
      <c r="GS245"/>
      <c r="GT245"/>
      <c r="GU245"/>
      <c r="GV245"/>
      <c r="GW245"/>
      <c r="GX245"/>
      <c r="GY245"/>
      <c r="GZ245"/>
      <c r="HA245"/>
      <c r="HB245"/>
      <c r="HC245"/>
      <c r="HD245"/>
      <c r="HE245"/>
      <c r="HF245"/>
      <c r="HG245"/>
      <c r="HH245"/>
      <c r="HI245"/>
      <c r="HJ245"/>
      <c r="HK245"/>
      <c r="HL245"/>
      <c r="HM245"/>
      <c r="HN245"/>
      <c r="HO245"/>
      <c r="HP245"/>
      <c r="HQ245"/>
      <c r="HR245"/>
      <c r="HS245"/>
      <c r="HT245"/>
      <c r="HU245"/>
      <c r="HV245"/>
      <c r="HW245"/>
      <c r="HX245"/>
      <c r="HY245"/>
      <c r="HZ245"/>
      <c r="IA245"/>
      <c r="IB245"/>
      <c r="IC245"/>
      <c r="ID245"/>
      <c r="IE245"/>
      <c r="IF245"/>
      <c r="IG245"/>
      <c r="IH245"/>
      <c r="II245"/>
      <c r="IJ245"/>
      <c r="IK245"/>
      <c r="IL245"/>
      <c r="IM245"/>
      <c r="IN245"/>
      <c r="IO245"/>
      <c r="IP245"/>
      <c r="IQ245"/>
      <c r="IR245"/>
      <c r="IS245"/>
      <c r="IT245"/>
      <c r="IU245"/>
      <c r="IV245"/>
      <c r="IW245"/>
      <c r="IX245"/>
      <c r="IY245"/>
      <c r="IZ245"/>
      <c r="JA245"/>
      <c r="JB245"/>
      <c r="JC245"/>
      <c r="JD245"/>
      <c r="JE245"/>
      <c r="JF245"/>
      <c r="JG245"/>
      <c r="JH245"/>
      <c r="JI245"/>
      <c r="JJ245"/>
      <c r="JK245"/>
      <c r="JL245"/>
      <c r="JM245"/>
      <c r="JN245"/>
      <c r="JO245"/>
      <c r="JP245"/>
      <c r="JQ245"/>
      <c r="JR245"/>
      <c r="JS245"/>
      <c r="JT245"/>
      <c r="JU245"/>
      <c r="JV245"/>
      <c r="JW245"/>
      <c r="JX245"/>
      <c r="JY245"/>
      <c r="JZ245"/>
      <c r="KA245"/>
      <c r="KB245"/>
      <c r="KC245"/>
      <c r="KD245"/>
      <c r="KE245"/>
      <c r="KF245"/>
      <c r="KG245"/>
      <c r="KH245"/>
      <c r="KI245"/>
      <c r="KJ245"/>
      <c r="KK245"/>
      <c r="KL245"/>
      <c r="KM245"/>
      <c r="KN245"/>
      <c r="KO245"/>
      <c r="KP245"/>
      <c r="KQ245"/>
      <c r="KR245"/>
      <c r="KS245"/>
      <c r="KT245"/>
      <c r="KU245"/>
      <c r="KV245"/>
      <c r="KW245"/>
      <c r="KX245"/>
      <c r="KY245"/>
      <c r="KZ245"/>
      <c r="LA245"/>
      <c r="LB245"/>
      <c r="LC245"/>
      <c r="LD245"/>
      <c r="LE245"/>
      <c r="LF245"/>
      <c r="LG245"/>
      <c r="LH245"/>
      <c r="LI245"/>
      <c r="LJ245"/>
      <c r="LK245"/>
      <c r="LL245"/>
      <c r="LM245"/>
      <c r="LN245"/>
      <c r="LO245"/>
      <c r="LP245"/>
      <c r="LQ245"/>
      <c r="LR245"/>
      <c r="LS245"/>
      <c r="LT245"/>
      <c r="LU245"/>
      <c r="LV245"/>
      <c r="LW245"/>
      <c r="LX245"/>
      <c r="LY245"/>
      <c r="LZ245"/>
      <c r="MA245"/>
      <c r="MB245"/>
      <c r="MC245"/>
      <c r="MD245"/>
      <c r="ME245"/>
      <c r="MF245"/>
      <c r="MG245"/>
      <c r="MH245"/>
      <c r="MI245"/>
      <c r="MJ245"/>
      <c r="MK245"/>
      <c r="ML245"/>
      <c r="MM245"/>
      <c r="MN245"/>
      <c r="MO245"/>
      <c r="MP245"/>
      <c r="MQ245"/>
      <c r="MR245"/>
      <c r="MS245"/>
      <c r="MT245"/>
      <c r="MU245"/>
      <c r="MV245"/>
      <c r="MW245"/>
      <c r="MX245"/>
      <c r="MY245"/>
      <c r="MZ245"/>
      <c r="NA245"/>
      <c r="NB245"/>
      <c r="NC245"/>
      <c r="ND245"/>
      <c r="NE245"/>
      <c r="NF245"/>
      <c r="NG245"/>
      <c r="NH245"/>
      <c r="NI245"/>
      <c r="NJ245"/>
      <c r="NK245"/>
      <c r="NL245"/>
      <c r="NM245"/>
      <c r="NN245"/>
      <c r="NO245"/>
      <c r="NP245"/>
      <c r="NQ245"/>
      <c r="NR245"/>
      <c r="NS245"/>
      <c r="NT245"/>
      <c r="NU245"/>
      <c r="NV245"/>
      <c r="NW245"/>
      <c r="NX245"/>
      <c r="NY245"/>
      <c r="NZ245"/>
      <c r="OA245"/>
      <c r="OB245"/>
      <c r="OC245"/>
      <c r="OD245"/>
      <c r="OE245"/>
      <c r="OF245"/>
      <c r="OG245"/>
      <c r="OH245"/>
      <c r="OI245"/>
      <c r="OJ245"/>
      <c r="OK245"/>
      <c r="OL245"/>
      <c r="OM245"/>
      <c r="ON245"/>
      <c r="OO245"/>
      <c r="OP245"/>
      <c r="OQ245"/>
      <c r="OR245"/>
      <c r="OS245"/>
      <c r="OT245"/>
      <c r="OU245"/>
      <c r="OV245"/>
      <c r="OW245"/>
      <c r="OX245"/>
      <c r="OY245"/>
      <c r="OZ245"/>
      <c r="PA245"/>
      <c r="PB245"/>
      <c r="PC245"/>
      <c r="PD245"/>
      <c r="PE245"/>
      <c r="PF245"/>
      <c r="PG245"/>
      <c r="PH245"/>
      <c r="PI245"/>
      <c r="PJ245"/>
      <c r="PK245"/>
      <c r="PL245"/>
      <c r="PM245"/>
      <c r="PN245"/>
      <c r="PO245"/>
      <c r="PP245"/>
      <c r="PQ245"/>
      <c r="PR245"/>
      <c r="PS245"/>
      <c r="PT245"/>
      <c r="PU245"/>
      <c r="PV245"/>
      <c r="PW245"/>
      <c r="PX245"/>
      <c r="PY245"/>
      <c r="PZ245"/>
      <c r="QA245"/>
      <c r="QB245"/>
      <c r="QC245"/>
      <c r="QD245"/>
      <c r="QE245"/>
      <c r="QF245"/>
      <c r="QG245"/>
      <c r="QH245"/>
      <c r="QI245"/>
      <c r="QJ245"/>
      <c r="QK245"/>
      <c r="QL245"/>
      <c r="QM245"/>
      <c r="QN245"/>
      <c r="QO245"/>
      <c r="QP245"/>
      <c r="QQ245"/>
      <c r="QR245"/>
      <c r="QS245"/>
      <c r="QT245"/>
      <c r="QU245"/>
      <c r="QV245"/>
      <c r="QW245"/>
      <c r="QX245"/>
      <c r="QY245"/>
      <c r="QZ245"/>
      <c r="RA245"/>
      <c r="RB245"/>
      <c r="RC245"/>
      <c r="RD245"/>
      <c r="RE245"/>
      <c r="RF245"/>
      <c r="RG245"/>
      <c r="RH245"/>
      <c r="RI245"/>
      <c r="RJ245"/>
      <c r="RK245"/>
      <c r="RL245"/>
      <c r="RM245"/>
      <c r="RN245"/>
      <c r="RO245"/>
      <c r="RP245"/>
      <c r="RQ245"/>
      <c r="RR245"/>
      <c r="RS245"/>
    </row>
    <row r="246" spans="3:487" x14ac:dyDescent="0.25">
      <c r="C246" s="2" t="s">
        <v>3762</v>
      </c>
      <c r="D246" s="34">
        <v>0</v>
      </c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  <c r="BF246"/>
      <c r="BG246"/>
      <c r="BH246"/>
      <c r="BI246"/>
      <c r="BJ246"/>
      <c r="BK246"/>
      <c r="BL246"/>
      <c r="BM246"/>
      <c r="BN246"/>
      <c r="BO246"/>
      <c r="BP246"/>
      <c r="BQ246"/>
      <c r="BR246"/>
      <c r="BS246"/>
      <c r="BT246"/>
      <c r="BU246"/>
      <c r="BV246"/>
      <c r="BW246"/>
      <c r="BX246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  <c r="CL246"/>
      <c r="CM246"/>
      <c r="CN246"/>
      <c r="CO246"/>
      <c r="CP246"/>
      <c r="CQ246"/>
      <c r="CR246"/>
      <c r="CS246"/>
      <c r="CT246"/>
      <c r="CU246"/>
      <c r="CV246"/>
      <c r="CW246"/>
      <c r="CX246"/>
      <c r="CY246"/>
      <c r="CZ246"/>
      <c r="DA246"/>
      <c r="DB246"/>
      <c r="DC246"/>
      <c r="DD246"/>
      <c r="DE246"/>
      <c r="DF246"/>
      <c r="DG246"/>
      <c r="DH246"/>
      <c r="DI246"/>
      <c r="DJ246"/>
      <c r="DK246"/>
      <c r="DL246"/>
      <c r="DM246"/>
      <c r="DN246"/>
      <c r="DO246"/>
      <c r="DP246"/>
      <c r="DQ246"/>
      <c r="DR246"/>
      <c r="DS246"/>
      <c r="DT246"/>
      <c r="DU246"/>
      <c r="DV246"/>
      <c r="DW246"/>
      <c r="DX246"/>
      <c r="DY246"/>
      <c r="DZ246"/>
      <c r="EA246"/>
      <c r="EB246"/>
      <c r="EC246"/>
      <c r="ED246"/>
      <c r="EE246"/>
      <c r="EF246"/>
      <c r="EG246"/>
      <c r="EH246"/>
      <c r="EI246"/>
      <c r="EJ246"/>
      <c r="EK246"/>
      <c r="EL246"/>
      <c r="EM246"/>
      <c r="EN246"/>
      <c r="EO246"/>
      <c r="EP246"/>
      <c r="EQ246"/>
      <c r="ER246"/>
      <c r="ES246"/>
      <c r="ET246"/>
      <c r="EU246"/>
      <c r="EV246"/>
      <c r="EW246"/>
      <c r="EX246"/>
      <c r="EY246"/>
      <c r="EZ246"/>
      <c r="FA246"/>
      <c r="FB246"/>
      <c r="FC246"/>
      <c r="FD246"/>
      <c r="FE246"/>
      <c r="FF246"/>
      <c r="FG246"/>
      <c r="FH246"/>
      <c r="FI246"/>
      <c r="FJ246"/>
      <c r="FK246"/>
      <c r="FL246"/>
      <c r="FM246"/>
      <c r="FN246"/>
      <c r="FO246"/>
      <c r="FP246"/>
      <c r="FQ246"/>
      <c r="FR246"/>
      <c r="FS246"/>
      <c r="FT246"/>
      <c r="FU246"/>
      <c r="FV246"/>
      <c r="FW246"/>
      <c r="FX246"/>
      <c r="FY246"/>
      <c r="FZ246"/>
      <c r="GA246"/>
      <c r="GB246"/>
      <c r="GC246"/>
      <c r="GD246"/>
      <c r="GE246"/>
      <c r="GF246"/>
      <c r="GG246"/>
      <c r="GH246"/>
      <c r="GI246"/>
      <c r="GJ246"/>
      <c r="GK246"/>
      <c r="GL246"/>
      <c r="GM246"/>
      <c r="GN246"/>
      <c r="GO246"/>
      <c r="GP246"/>
      <c r="GQ246"/>
      <c r="GR246"/>
      <c r="GS246"/>
      <c r="GT246"/>
      <c r="GU246"/>
      <c r="GV246"/>
      <c r="GW246"/>
      <c r="GX246"/>
      <c r="GY246"/>
      <c r="GZ246"/>
      <c r="HA246"/>
      <c r="HB246"/>
      <c r="HC246"/>
      <c r="HD246"/>
      <c r="HE246"/>
      <c r="HF246"/>
      <c r="HG246"/>
      <c r="HH246"/>
      <c r="HI246"/>
      <c r="HJ246"/>
      <c r="HK246"/>
      <c r="HL246"/>
      <c r="HM246"/>
      <c r="HN246"/>
      <c r="HO246"/>
      <c r="HP246"/>
      <c r="HQ246"/>
      <c r="HR246"/>
      <c r="HS246"/>
      <c r="HT246"/>
      <c r="HU246"/>
      <c r="HV246"/>
      <c r="HW246"/>
      <c r="HX246"/>
      <c r="HY246"/>
      <c r="HZ246"/>
      <c r="IA246"/>
      <c r="IB246"/>
      <c r="IC246"/>
      <c r="ID246"/>
      <c r="IE246"/>
      <c r="IF246"/>
      <c r="IG246"/>
      <c r="IH246"/>
      <c r="II246"/>
      <c r="IJ246"/>
      <c r="IK246"/>
      <c r="IL246"/>
      <c r="IM246"/>
      <c r="IN246"/>
      <c r="IO246"/>
      <c r="IP246"/>
      <c r="IQ246"/>
      <c r="IR246"/>
      <c r="IS246"/>
      <c r="IT246"/>
      <c r="IU246"/>
      <c r="IV246"/>
      <c r="IW246"/>
      <c r="IX246"/>
      <c r="IY246"/>
      <c r="IZ246"/>
      <c r="JA246"/>
      <c r="JB246"/>
      <c r="JC246"/>
      <c r="JD246"/>
      <c r="JE246"/>
      <c r="JF246"/>
      <c r="JG246"/>
      <c r="JH246"/>
      <c r="JI246"/>
      <c r="JJ246"/>
      <c r="JK246"/>
      <c r="JL246"/>
      <c r="JM246"/>
      <c r="JN246"/>
      <c r="JO246"/>
      <c r="JP246"/>
      <c r="JQ246"/>
      <c r="JR246"/>
      <c r="JS246"/>
      <c r="JT246"/>
      <c r="JU246"/>
      <c r="JV246"/>
      <c r="JW246"/>
      <c r="JX246"/>
      <c r="JY246"/>
      <c r="JZ246"/>
      <c r="KA246"/>
      <c r="KB246"/>
      <c r="KC246"/>
      <c r="KD246"/>
      <c r="KE246"/>
      <c r="KF246"/>
      <c r="KG246"/>
      <c r="KH246"/>
      <c r="KI246"/>
      <c r="KJ246"/>
      <c r="KK246"/>
      <c r="KL246"/>
      <c r="KM246"/>
      <c r="KN246"/>
      <c r="KO246"/>
      <c r="KP246"/>
      <c r="KQ246"/>
      <c r="KR246"/>
      <c r="KS246"/>
      <c r="KT246"/>
      <c r="KU246"/>
      <c r="KV246"/>
      <c r="KW246"/>
      <c r="KX246"/>
      <c r="KY246"/>
      <c r="KZ246"/>
      <c r="LA246"/>
      <c r="LB246"/>
      <c r="LC246"/>
      <c r="LD246"/>
      <c r="LE246"/>
      <c r="LF246"/>
      <c r="LG246"/>
      <c r="LH246"/>
      <c r="LI246"/>
      <c r="LJ246"/>
      <c r="LK246"/>
      <c r="LL246"/>
      <c r="LM246"/>
      <c r="LN246"/>
      <c r="LO246"/>
      <c r="LP246"/>
      <c r="LQ246"/>
      <c r="LR246"/>
      <c r="LS246"/>
      <c r="LT246"/>
      <c r="LU246"/>
      <c r="LV246"/>
      <c r="LW246"/>
      <c r="LX246"/>
      <c r="LY246"/>
      <c r="LZ246"/>
      <c r="MA246"/>
      <c r="MB246"/>
      <c r="MC246"/>
      <c r="MD246"/>
      <c r="ME246"/>
      <c r="MF246"/>
      <c r="MG246"/>
      <c r="MH246"/>
      <c r="MI246"/>
      <c r="MJ246"/>
      <c r="MK246"/>
      <c r="ML246"/>
      <c r="MM246"/>
      <c r="MN246"/>
      <c r="MO246"/>
      <c r="MP246"/>
      <c r="MQ246"/>
      <c r="MR246"/>
      <c r="MS246"/>
      <c r="MT246"/>
      <c r="MU246"/>
      <c r="MV246"/>
      <c r="MW246"/>
      <c r="MX246"/>
      <c r="MY246"/>
      <c r="MZ246"/>
      <c r="NA246"/>
      <c r="NB246"/>
      <c r="NC246"/>
      <c r="ND246"/>
      <c r="NE246"/>
      <c r="NF246"/>
      <c r="NG246"/>
      <c r="NH246"/>
      <c r="NI246"/>
      <c r="NJ246"/>
      <c r="NK246"/>
      <c r="NL246"/>
      <c r="NM246"/>
      <c r="NN246"/>
      <c r="NO246"/>
      <c r="NP246"/>
      <c r="NQ246"/>
      <c r="NR246"/>
      <c r="NS246"/>
      <c r="NT246"/>
      <c r="NU246"/>
      <c r="NV246"/>
      <c r="NW246"/>
      <c r="NX246"/>
      <c r="NY246"/>
      <c r="NZ246"/>
      <c r="OA246"/>
      <c r="OB246"/>
      <c r="OC246"/>
      <c r="OD246"/>
      <c r="OE246"/>
      <c r="OF246"/>
      <c r="OG246"/>
      <c r="OH246"/>
      <c r="OI246"/>
      <c r="OJ246"/>
      <c r="OK246"/>
      <c r="OL246"/>
      <c r="OM246"/>
      <c r="ON246"/>
      <c r="OO246"/>
      <c r="OP246"/>
      <c r="OQ246"/>
      <c r="OR246"/>
      <c r="OS246"/>
      <c r="OT246"/>
      <c r="OU246"/>
      <c r="OV246"/>
      <c r="OW246"/>
      <c r="OX246"/>
      <c r="OY246"/>
      <c r="OZ246"/>
      <c r="PA246"/>
      <c r="PB246"/>
      <c r="PC246"/>
      <c r="PD246"/>
      <c r="PE246"/>
      <c r="PF246"/>
      <c r="PG246"/>
      <c r="PH246"/>
      <c r="PI246"/>
      <c r="PJ246"/>
      <c r="PK246"/>
      <c r="PL246"/>
      <c r="PM246"/>
      <c r="PN246"/>
      <c r="PO246"/>
      <c r="PP246"/>
      <c r="PQ246"/>
      <c r="PR246"/>
      <c r="PS246"/>
      <c r="PT246"/>
      <c r="PU246"/>
      <c r="PV246"/>
      <c r="PW246"/>
      <c r="PX246"/>
      <c r="PY246"/>
      <c r="PZ246"/>
      <c r="QA246"/>
      <c r="QB246"/>
      <c r="QC246"/>
      <c r="QD246"/>
      <c r="QE246"/>
      <c r="QF246"/>
      <c r="QG246"/>
      <c r="QH246"/>
      <c r="QI246"/>
      <c r="QJ246"/>
      <c r="QK246"/>
      <c r="QL246"/>
      <c r="QM246"/>
      <c r="QN246"/>
      <c r="QO246"/>
      <c r="QP246"/>
      <c r="QQ246"/>
      <c r="QR246"/>
      <c r="QS246"/>
      <c r="QT246"/>
      <c r="QU246"/>
      <c r="QV246"/>
      <c r="QW246"/>
      <c r="QX246"/>
      <c r="QY246"/>
      <c r="QZ246"/>
      <c r="RA246"/>
      <c r="RB246"/>
      <c r="RC246"/>
      <c r="RD246"/>
      <c r="RE246"/>
      <c r="RF246"/>
      <c r="RG246"/>
      <c r="RH246"/>
      <c r="RI246"/>
      <c r="RJ246"/>
      <c r="RK246"/>
      <c r="RL246"/>
      <c r="RM246"/>
      <c r="RN246"/>
      <c r="RO246"/>
      <c r="RP246"/>
      <c r="RQ246"/>
      <c r="RR246"/>
      <c r="RS246"/>
    </row>
    <row r="247" spans="3:487" x14ac:dyDescent="0.25">
      <c r="C247" s="2" t="s">
        <v>3768</v>
      </c>
      <c r="D247" s="34">
        <v>0</v>
      </c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  <c r="BF247"/>
      <c r="BG247"/>
      <c r="BH247"/>
      <c r="BI247"/>
      <c r="BJ247"/>
      <c r="BK247"/>
      <c r="BL247"/>
      <c r="BM247"/>
      <c r="BN247"/>
      <c r="BO247"/>
      <c r="BP247"/>
      <c r="BQ247"/>
      <c r="BR247"/>
      <c r="BS247"/>
      <c r="BT247"/>
      <c r="BU247"/>
      <c r="BV247"/>
      <c r="BW247"/>
      <c r="BX247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  <c r="CL247"/>
      <c r="CM247"/>
      <c r="CN247"/>
      <c r="CO247"/>
      <c r="CP247"/>
      <c r="CQ247"/>
      <c r="CR247"/>
      <c r="CS247"/>
      <c r="CT247"/>
      <c r="CU247"/>
      <c r="CV247"/>
      <c r="CW247"/>
      <c r="CX247"/>
      <c r="CY247"/>
      <c r="CZ247"/>
      <c r="DA247"/>
      <c r="DB247"/>
      <c r="DC247"/>
      <c r="DD247"/>
      <c r="DE247"/>
      <c r="DF247"/>
      <c r="DG247"/>
      <c r="DH247"/>
      <c r="DI247"/>
      <c r="DJ247"/>
      <c r="DK247"/>
      <c r="DL247"/>
      <c r="DM247"/>
      <c r="DN247"/>
      <c r="DO247"/>
      <c r="DP247"/>
      <c r="DQ247"/>
      <c r="DR247"/>
      <c r="DS247"/>
      <c r="DT247"/>
      <c r="DU247"/>
      <c r="DV247"/>
      <c r="DW247"/>
      <c r="DX247"/>
      <c r="DY247"/>
      <c r="DZ247"/>
      <c r="EA247"/>
      <c r="EB247"/>
      <c r="EC247"/>
      <c r="ED247"/>
      <c r="EE247"/>
      <c r="EF247"/>
      <c r="EG247"/>
      <c r="EH247"/>
      <c r="EI247"/>
      <c r="EJ247"/>
      <c r="EK247"/>
      <c r="EL247"/>
      <c r="EM247"/>
      <c r="EN247"/>
      <c r="EO247"/>
      <c r="EP247"/>
      <c r="EQ247"/>
      <c r="ER247"/>
      <c r="ES247"/>
      <c r="ET247"/>
      <c r="EU247"/>
      <c r="EV247"/>
      <c r="EW247"/>
      <c r="EX247"/>
      <c r="EY247"/>
      <c r="EZ247"/>
      <c r="FA247"/>
      <c r="FB247"/>
      <c r="FC247"/>
      <c r="FD247"/>
      <c r="FE247"/>
      <c r="FF247"/>
      <c r="FG247"/>
      <c r="FH247"/>
      <c r="FI247"/>
      <c r="FJ247"/>
      <c r="FK247"/>
      <c r="FL247"/>
      <c r="FM247"/>
      <c r="FN247"/>
      <c r="FO247"/>
      <c r="FP247"/>
      <c r="FQ247"/>
      <c r="FR247"/>
      <c r="FS247"/>
      <c r="FT247"/>
      <c r="FU247"/>
      <c r="FV247"/>
      <c r="FW247"/>
      <c r="FX247"/>
      <c r="FY247"/>
      <c r="FZ247"/>
      <c r="GA247"/>
      <c r="GB247"/>
      <c r="GC247"/>
      <c r="GD247"/>
      <c r="GE247"/>
      <c r="GF247"/>
      <c r="GG247"/>
      <c r="GH247"/>
      <c r="GI247"/>
      <c r="GJ247"/>
      <c r="GK247"/>
      <c r="GL247"/>
      <c r="GM247"/>
      <c r="GN247"/>
      <c r="GO247"/>
      <c r="GP247"/>
      <c r="GQ247"/>
      <c r="GR247"/>
      <c r="GS247"/>
      <c r="GT247"/>
      <c r="GU247"/>
      <c r="GV247"/>
      <c r="GW247"/>
      <c r="GX247"/>
      <c r="GY247"/>
      <c r="GZ247"/>
      <c r="HA247"/>
      <c r="HB247"/>
      <c r="HC247"/>
      <c r="HD247"/>
      <c r="HE247"/>
      <c r="HF247"/>
      <c r="HG247"/>
      <c r="HH247"/>
      <c r="HI247"/>
      <c r="HJ247"/>
      <c r="HK247"/>
      <c r="HL247"/>
      <c r="HM247"/>
      <c r="HN247"/>
      <c r="HO247"/>
      <c r="HP247"/>
      <c r="HQ247"/>
      <c r="HR247"/>
      <c r="HS247"/>
      <c r="HT247"/>
      <c r="HU247"/>
      <c r="HV247"/>
      <c r="HW247"/>
      <c r="HX247"/>
      <c r="HY247"/>
      <c r="HZ247"/>
      <c r="IA247"/>
      <c r="IB247"/>
      <c r="IC247"/>
      <c r="ID247"/>
      <c r="IE247"/>
      <c r="IF247"/>
      <c r="IG247"/>
      <c r="IH247"/>
      <c r="II247"/>
      <c r="IJ247"/>
      <c r="IK247"/>
      <c r="IL247"/>
      <c r="IM247"/>
      <c r="IN247"/>
      <c r="IO247"/>
      <c r="IP247"/>
      <c r="IQ247"/>
      <c r="IR247"/>
      <c r="IS247"/>
      <c r="IT247"/>
      <c r="IU247"/>
      <c r="IV247"/>
      <c r="IW247"/>
      <c r="IX247"/>
      <c r="IY247"/>
      <c r="IZ247"/>
      <c r="JA247"/>
      <c r="JB247"/>
      <c r="JC247"/>
      <c r="JD247"/>
      <c r="JE247"/>
      <c r="JF247"/>
      <c r="JG247"/>
      <c r="JH247"/>
      <c r="JI247"/>
      <c r="JJ247"/>
      <c r="JK247"/>
      <c r="JL247"/>
      <c r="JM247"/>
      <c r="JN247"/>
      <c r="JO247"/>
      <c r="JP247"/>
      <c r="JQ247"/>
      <c r="JR247"/>
      <c r="JS247"/>
      <c r="JT247"/>
      <c r="JU247"/>
      <c r="JV247"/>
      <c r="JW247"/>
      <c r="JX247"/>
      <c r="JY247"/>
      <c r="JZ247"/>
      <c r="KA247"/>
      <c r="KB247"/>
      <c r="KC247"/>
      <c r="KD247"/>
      <c r="KE247"/>
      <c r="KF247"/>
      <c r="KG247"/>
      <c r="KH247"/>
      <c r="KI247"/>
      <c r="KJ247"/>
      <c r="KK247"/>
      <c r="KL247"/>
      <c r="KM247"/>
      <c r="KN247"/>
      <c r="KO247"/>
      <c r="KP247"/>
      <c r="KQ247"/>
      <c r="KR247"/>
      <c r="KS247"/>
      <c r="KT247"/>
      <c r="KU247"/>
      <c r="KV247"/>
      <c r="KW247"/>
      <c r="KX247"/>
      <c r="KY247"/>
      <c r="KZ247"/>
      <c r="LA247"/>
      <c r="LB247"/>
      <c r="LC247"/>
      <c r="LD247"/>
      <c r="LE247"/>
      <c r="LF247"/>
      <c r="LG247"/>
      <c r="LH247"/>
      <c r="LI247"/>
      <c r="LJ247"/>
      <c r="LK247"/>
      <c r="LL247"/>
      <c r="LM247"/>
      <c r="LN247"/>
      <c r="LO247"/>
      <c r="LP247"/>
      <c r="LQ247"/>
      <c r="LR247"/>
      <c r="LS247"/>
      <c r="LT247"/>
      <c r="LU247"/>
      <c r="LV247"/>
      <c r="LW247"/>
      <c r="LX247"/>
      <c r="LY247"/>
      <c r="LZ247"/>
      <c r="MA247"/>
      <c r="MB247"/>
      <c r="MC247"/>
      <c r="MD247"/>
      <c r="ME247"/>
      <c r="MF247"/>
      <c r="MG247"/>
      <c r="MH247"/>
      <c r="MI247"/>
      <c r="MJ247"/>
      <c r="MK247"/>
      <c r="ML247"/>
      <c r="MM247"/>
      <c r="MN247"/>
      <c r="MO247"/>
      <c r="MP247"/>
      <c r="MQ247"/>
      <c r="MR247"/>
      <c r="MS247"/>
      <c r="MT247"/>
      <c r="MU247"/>
      <c r="MV247"/>
      <c r="MW247"/>
      <c r="MX247"/>
      <c r="MY247"/>
      <c r="MZ247"/>
      <c r="NA247"/>
      <c r="NB247"/>
      <c r="NC247"/>
      <c r="ND247"/>
      <c r="NE247"/>
      <c r="NF247"/>
      <c r="NG247"/>
      <c r="NH247"/>
      <c r="NI247"/>
      <c r="NJ247"/>
      <c r="NK247"/>
      <c r="NL247"/>
      <c r="NM247"/>
      <c r="NN247"/>
      <c r="NO247"/>
      <c r="NP247"/>
      <c r="NQ247"/>
      <c r="NR247"/>
      <c r="NS247"/>
      <c r="NT247"/>
      <c r="NU247"/>
      <c r="NV247"/>
      <c r="NW247"/>
      <c r="NX247"/>
      <c r="NY247"/>
      <c r="NZ247"/>
      <c r="OA247"/>
      <c r="OB247"/>
      <c r="OC247"/>
      <c r="OD247"/>
      <c r="OE247"/>
      <c r="OF247"/>
      <c r="OG247"/>
      <c r="OH247"/>
      <c r="OI247"/>
      <c r="OJ247"/>
      <c r="OK247"/>
      <c r="OL247"/>
      <c r="OM247"/>
      <c r="ON247"/>
      <c r="OO247"/>
      <c r="OP247"/>
      <c r="OQ247"/>
      <c r="OR247"/>
      <c r="OS247"/>
      <c r="OT247"/>
      <c r="OU247"/>
      <c r="OV247"/>
      <c r="OW247"/>
      <c r="OX247"/>
      <c r="OY247"/>
      <c r="OZ247"/>
      <c r="PA247"/>
      <c r="PB247"/>
      <c r="PC247"/>
      <c r="PD247"/>
      <c r="PE247"/>
      <c r="PF247"/>
      <c r="PG247"/>
      <c r="PH247"/>
      <c r="PI247"/>
      <c r="PJ247"/>
      <c r="PK247"/>
      <c r="PL247"/>
      <c r="PM247"/>
      <c r="PN247"/>
      <c r="PO247"/>
      <c r="PP247"/>
      <c r="PQ247"/>
      <c r="PR247"/>
      <c r="PS247"/>
      <c r="PT247"/>
      <c r="PU247"/>
      <c r="PV247"/>
      <c r="PW247"/>
      <c r="PX247"/>
      <c r="PY247"/>
      <c r="PZ247"/>
      <c r="QA247"/>
      <c r="QB247"/>
      <c r="QC247"/>
      <c r="QD247"/>
      <c r="QE247"/>
      <c r="QF247"/>
      <c r="QG247"/>
      <c r="QH247"/>
      <c r="QI247"/>
      <c r="QJ247"/>
      <c r="QK247"/>
      <c r="QL247"/>
      <c r="QM247"/>
      <c r="QN247"/>
      <c r="QO247"/>
      <c r="QP247"/>
      <c r="QQ247"/>
      <c r="QR247"/>
      <c r="QS247"/>
      <c r="QT247"/>
      <c r="QU247"/>
      <c r="QV247"/>
      <c r="QW247"/>
      <c r="QX247"/>
      <c r="QY247"/>
      <c r="QZ247"/>
      <c r="RA247"/>
      <c r="RB247"/>
      <c r="RC247"/>
      <c r="RD247"/>
      <c r="RE247"/>
      <c r="RF247"/>
      <c r="RG247"/>
      <c r="RH247"/>
      <c r="RI247"/>
      <c r="RJ247"/>
      <c r="RK247"/>
      <c r="RL247"/>
      <c r="RM247"/>
      <c r="RN247"/>
      <c r="RO247"/>
      <c r="RP247"/>
      <c r="RQ247"/>
      <c r="RR247"/>
      <c r="RS247"/>
    </row>
    <row r="248" spans="3:487" x14ac:dyDescent="0.25">
      <c r="C248" s="2" t="s">
        <v>3813</v>
      </c>
      <c r="D248" s="34">
        <v>0</v>
      </c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  <c r="BL248"/>
      <c r="BM248"/>
      <c r="BN248"/>
      <c r="BO248"/>
      <c r="BP248"/>
      <c r="BQ248"/>
      <c r="BR248"/>
      <c r="BS248"/>
      <c r="BT248"/>
      <c r="BU248"/>
      <c r="BV248"/>
      <c r="BW248"/>
      <c r="BX248"/>
      <c r="BY248"/>
      <c r="BZ248"/>
      <c r="CA248"/>
      <c r="CB248"/>
      <c r="CC248"/>
      <c r="CD248"/>
      <c r="CE248"/>
      <c r="CF248"/>
      <c r="CG248"/>
      <c r="CH248"/>
      <c r="CI248"/>
      <c r="CJ248"/>
      <c r="CK248"/>
      <c r="CL248"/>
      <c r="CM248"/>
      <c r="CN248"/>
      <c r="CO248"/>
      <c r="CP248"/>
      <c r="CQ248"/>
      <c r="CR248"/>
      <c r="CS248"/>
      <c r="CT248"/>
      <c r="CU248"/>
      <c r="CV248"/>
      <c r="CW248"/>
      <c r="CX248"/>
      <c r="CY248"/>
      <c r="CZ248"/>
      <c r="DA248"/>
      <c r="DB248"/>
      <c r="DC248"/>
      <c r="DD248"/>
      <c r="DE248"/>
      <c r="DF248"/>
      <c r="DG248"/>
      <c r="DH248"/>
      <c r="DI248"/>
      <c r="DJ248"/>
      <c r="DK248"/>
      <c r="DL248"/>
      <c r="DM248"/>
      <c r="DN248"/>
      <c r="DO248"/>
      <c r="DP248"/>
      <c r="DQ248"/>
      <c r="DR248"/>
      <c r="DS248"/>
      <c r="DT248"/>
      <c r="DU248"/>
      <c r="DV248"/>
      <c r="DW248"/>
      <c r="DX248"/>
      <c r="DY248"/>
      <c r="DZ248"/>
      <c r="EA248"/>
      <c r="EB248"/>
      <c r="EC248"/>
      <c r="ED248"/>
      <c r="EE248"/>
      <c r="EF248"/>
      <c r="EG248"/>
      <c r="EH248"/>
      <c r="EI248"/>
      <c r="EJ248"/>
      <c r="EK248"/>
      <c r="EL248"/>
      <c r="EM248"/>
      <c r="EN248"/>
      <c r="EO248"/>
      <c r="EP248"/>
      <c r="EQ248"/>
      <c r="ER248"/>
      <c r="ES248"/>
      <c r="ET248"/>
      <c r="EU248"/>
      <c r="EV248"/>
      <c r="EW248"/>
      <c r="EX248"/>
      <c r="EY248"/>
      <c r="EZ248"/>
      <c r="FA248"/>
      <c r="FB248"/>
      <c r="FC248"/>
      <c r="FD248"/>
      <c r="FE248"/>
      <c r="FF248"/>
      <c r="FG248"/>
      <c r="FH248"/>
      <c r="FI248"/>
      <c r="FJ248"/>
      <c r="FK248"/>
      <c r="FL248"/>
      <c r="FM248"/>
      <c r="FN248"/>
      <c r="FO248"/>
      <c r="FP248"/>
      <c r="FQ248"/>
      <c r="FR248"/>
      <c r="FS248"/>
      <c r="FT248"/>
      <c r="FU248"/>
      <c r="FV248"/>
      <c r="FW248"/>
      <c r="FX248"/>
      <c r="FY248"/>
      <c r="FZ248"/>
      <c r="GA248"/>
      <c r="GB248"/>
      <c r="GC248"/>
      <c r="GD248"/>
      <c r="GE248"/>
      <c r="GF248"/>
      <c r="GG248"/>
      <c r="GH248"/>
      <c r="GI248"/>
      <c r="GJ248"/>
      <c r="GK248"/>
      <c r="GL248"/>
      <c r="GM248"/>
      <c r="GN248"/>
      <c r="GO248"/>
      <c r="GP248"/>
      <c r="GQ248"/>
      <c r="GR248"/>
      <c r="GS248"/>
      <c r="GT248"/>
      <c r="GU248"/>
      <c r="GV248"/>
      <c r="GW248"/>
      <c r="GX248"/>
      <c r="GY248"/>
      <c r="GZ248"/>
      <c r="HA248"/>
      <c r="HB248"/>
      <c r="HC248"/>
      <c r="HD248"/>
      <c r="HE248"/>
      <c r="HF248"/>
      <c r="HG248"/>
      <c r="HH248"/>
      <c r="HI248"/>
      <c r="HJ248"/>
      <c r="HK248"/>
      <c r="HL248"/>
      <c r="HM248"/>
      <c r="HN248"/>
      <c r="HO248"/>
      <c r="HP248"/>
      <c r="HQ248"/>
      <c r="HR248"/>
      <c r="HS248"/>
      <c r="HT248"/>
      <c r="HU248"/>
      <c r="HV248"/>
      <c r="HW248"/>
      <c r="HX248"/>
      <c r="HY248"/>
      <c r="HZ248"/>
      <c r="IA248"/>
      <c r="IB248"/>
      <c r="IC248"/>
      <c r="ID248"/>
      <c r="IE248"/>
      <c r="IF248"/>
      <c r="IG248"/>
      <c r="IH248"/>
      <c r="II248"/>
      <c r="IJ248"/>
      <c r="IK248"/>
      <c r="IL248"/>
      <c r="IM248"/>
      <c r="IN248"/>
      <c r="IO248"/>
      <c r="IP248"/>
      <c r="IQ248"/>
      <c r="IR248"/>
      <c r="IS248"/>
      <c r="IT248"/>
      <c r="IU248"/>
      <c r="IV248"/>
      <c r="IW248"/>
      <c r="IX248"/>
      <c r="IY248"/>
      <c r="IZ248"/>
      <c r="JA248"/>
      <c r="JB248"/>
      <c r="JC248"/>
      <c r="JD248"/>
      <c r="JE248"/>
      <c r="JF248"/>
      <c r="JG248"/>
      <c r="JH248"/>
      <c r="JI248"/>
      <c r="JJ248"/>
      <c r="JK248"/>
      <c r="JL248"/>
      <c r="JM248"/>
      <c r="JN248"/>
      <c r="JO248"/>
      <c r="JP248"/>
      <c r="JQ248"/>
      <c r="JR248"/>
      <c r="JS248"/>
      <c r="JT248"/>
      <c r="JU248"/>
      <c r="JV248"/>
      <c r="JW248"/>
      <c r="JX248"/>
      <c r="JY248"/>
      <c r="JZ248"/>
      <c r="KA248"/>
      <c r="KB248"/>
      <c r="KC248"/>
      <c r="KD248"/>
      <c r="KE248"/>
      <c r="KF248"/>
      <c r="KG248"/>
      <c r="KH248"/>
      <c r="KI248"/>
      <c r="KJ248"/>
      <c r="KK248"/>
      <c r="KL248"/>
      <c r="KM248"/>
      <c r="KN248"/>
      <c r="KO248"/>
      <c r="KP248"/>
      <c r="KQ248"/>
      <c r="KR248"/>
      <c r="KS248"/>
      <c r="KT248"/>
      <c r="KU248"/>
      <c r="KV248"/>
      <c r="KW248"/>
      <c r="KX248"/>
      <c r="KY248"/>
      <c r="KZ248"/>
      <c r="LA248"/>
      <c r="LB248"/>
      <c r="LC248"/>
      <c r="LD248"/>
      <c r="LE248"/>
      <c r="LF248"/>
      <c r="LG248"/>
      <c r="LH248"/>
      <c r="LI248"/>
      <c r="LJ248"/>
      <c r="LK248"/>
      <c r="LL248"/>
      <c r="LM248"/>
      <c r="LN248"/>
      <c r="LO248"/>
      <c r="LP248"/>
      <c r="LQ248"/>
      <c r="LR248"/>
      <c r="LS248"/>
      <c r="LT248"/>
      <c r="LU248"/>
      <c r="LV248"/>
      <c r="LW248"/>
      <c r="LX248"/>
      <c r="LY248"/>
      <c r="LZ248"/>
      <c r="MA248"/>
      <c r="MB248"/>
      <c r="MC248"/>
      <c r="MD248"/>
      <c r="ME248"/>
      <c r="MF248"/>
      <c r="MG248"/>
      <c r="MH248"/>
      <c r="MI248"/>
      <c r="MJ248"/>
      <c r="MK248"/>
      <c r="ML248"/>
      <c r="MM248"/>
      <c r="MN248"/>
      <c r="MO248"/>
      <c r="MP248"/>
      <c r="MQ248"/>
      <c r="MR248"/>
      <c r="MS248"/>
      <c r="MT248"/>
      <c r="MU248"/>
      <c r="MV248"/>
      <c r="MW248"/>
      <c r="MX248"/>
      <c r="MY248"/>
      <c r="MZ248"/>
      <c r="NA248"/>
      <c r="NB248"/>
      <c r="NC248"/>
      <c r="ND248"/>
      <c r="NE248"/>
      <c r="NF248"/>
      <c r="NG248"/>
      <c r="NH248"/>
      <c r="NI248"/>
      <c r="NJ248"/>
      <c r="NK248"/>
      <c r="NL248"/>
      <c r="NM248"/>
      <c r="NN248"/>
      <c r="NO248"/>
      <c r="NP248"/>
      <c r="NQ248"/>
      <c r="NR248"/>
      <c r="NS248"/>
      <c r="NT248"/>
      <c r="NU248"/>
      <c r="NV248"/>
      <c r="NW248"/>
      <c r="NX248"/>
      <c r="NY248"/>
      <c r="NZ248"/>
      <c r="OA248"/>
      <c r="OB248"/>
      <c r="OC248"/>
      <c r="OD248"/>
      <c r="OE248"/>
      <c r="OF248"/>
      <c r="OG248"/>
      <c r="OH248"/>
      <c r="OI248"/>
      <c r="OJ248"/>
      <c r="OK248"/>
      <c r="OL248"/>
      <c r="OM248"/>
      <c r="ON248"/>
      <c r="OO248"/>
      <c r="OP248"/>
      <c r="OQ248"/>
      <c r="OR248"/>
      <c r="OS248"/>
      <c r="OT248"/>
      <c r="OU248"/>
      <c r="OV248"/>
      <c r="OW248"/>
      <c r="OX248"/>
      <c r="OY248"/>
      <c r="OZ248"/>
      <c r="PA248"/>
      <c r="PB248"/>
      <c r="PC248"/>
      <c r="PD248"/>
      <c r="PE248"/>
      <c r="PF248"/>
      <c r="PG248"/>
      <c r="PH248"/>
      <c r="PI248"/>
      <c r="PJ248"/>
      <c r="PK248"/>
      <c r="PL248"/>
      <c r="PM248"/>
      <c r="PN248"/>
      <c r="PO248"/>
      <c r="PP248"/>
      <c r="PQ248"/>
      <c r="PR248"/>
      <c r="PS248"/>
      <c r="PT248"/>
      <c r="PU248"/>
      <c r="PV248"/>
      <c r="PW248"/>
      <c r="PX248"/>
      <c r="PY248"/>
      <c r="PZ248"/>
      <c r="QA248"/>
      <c r="QB248"/>
      <c r="QC248"/>
      <c r="QD248"/>
      <c r="QE248"/>
      <c r="QF248"/>
      <c r="QG248"/>
      <c r="QH248"/>
      <c r="QI248"/>
      <c r="QJ248"/>
      <c r="QK248"/>
      <c r="QL248"/>
      <c r="QM248"/>
      <c r="QN248"/>
      <c r="QO248"/>
      <c r="QP248"/>
      <c r="QQ248"/>
      <c r="QR248"/>
      <c r="QS248"/>
      <c r="QT248"/>
      <c r="QU248"/>
      <c r="QV248"/>
      <c r="QW248"/>
      <c r="QX248"/>
      <c r="QY248"/>
      <c r="QZ248"/>
      <c r="RA248"/>
      <c r="RB248"/>
      <c r="RC248"/>
      <c r="RD248"/>
      <c r="RE248"/>
      <c r="RF248"/>
      <c r="RG248"/>
      <c r="RH248"/>
      <c r="RI248"/>
      <c r="RJ248"/>
      <c r="RK248"/>
      <c r="RL248"/>
      <c r="RM248"/>
      <c r="RN248"/>
      <c r="RO248"/>
      <c r="RP248"/>
      <c r="RQ248"/>
      <c r="RR248"/>
      <c r="RS248"/>
    </row>
    <row r="249" spans="3:487" x14ac:dyDescent="0.25">
      <c r="C249" s="2" t="s">
        <v>3767</v>
      </c>
      <c r="D249" s="34">
        <v>0</v>
      </c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D249"/>
      <c r="BE249"/>
      <c r="BF249"/>
      <c r="BG249"/>
      <c r="BH249"/>
      <c r="BI249"/>
      <c r="BJ249"/>
      <c r="BK249"/>
      <c r="BL249"/>
      <c r="BM249"/>
      <c r="BN249"/>
      <c r="BO249"/>
      <c r="BP249"/>
      <c r="BQ249"/>
      <c r="BR249"/>
      <c r="BS249"/>
      <c r="BT249"/>
      <c r="BU249"/>
      <c r="BV249"/>
      <c r="BW249"/>
      <c r="BX249"/>
      <c r="BY249"/>
      <c r="BZ249"/>
      <c r="CA249"/>
      <c r="CB249"/>
      <c r="CC249"/>
      <c r="CD249"/>
      <c r="CE249"/>
      <c r="CF249"/>
      <c r="CG249"/>
      <c r="CH249"/>
      <c r="CI249"/>
      <c r="CJ249"/>
      <c r="CK249"/>
      <c r="CL249"/>
      <c r="CM249"/>
      <c r="CN249"/>
      <c r="CO249"/>
      <c r="CP249"/>
      <c r="CQ249"/>
      <c r="CR249"/>
      <c r="CS249"/>
      <c r="CT249"/>
      <c r="CU249"/>
      <c r="CV249"/>
      <c r="CW249"/>
      <c r="CX249"/>
      <c r="CY249"/>
      <c r="CZ249"/>
      <c r="DA249"/>
      <c r="DB249"/>
      <c r="DC249"/>
      <c r="DD249"/>
      <c r="DE249"/>
      <c r="DF249"/>
      <c r="DG249"/>
      <c r="DH249"/>
      <c r="DI249"/>
      <c r="DJ249"/>
      <c r="DK249"/>
      <c r="DL249"/>
      <c r="DM249"/>
      <c r="DN249"/>
      <c r="DO249"/>
      <c r="DP249"/>
      <c r="DQ249"/>
      <c r="DR249"/>
      <c r="DS249"/>
      <c r="DT249"/>
      <c r="DU249"/>
      <c r="DV249"/>
      <c r="DW249"/>
      <c r="DX249"/>
      <c r="DY249"/>
      <c r="DZ249"/>
      <c r="EA249"/>
      <c r="EB249"/>
      <c r="EC249"/>
      <c r="ED249"/>
      <c r="EE249"/>
      <c r="EF249"/>
      <c r="EG249"/>
      <c r="EH249"/>
      <c r="EI249"/>
      <c r="EJ249"/>
      <c r="EK249"/>
      <c r="EL249"/>
      <c r="EM249"/>
      <c r="EN249"/>
      <c r="EO249"/>
      <c r="EP249"/>
      <c r="EQ249"/>
      <c r="ER249"/>
      <c r="ES249"/>
      <c r="ET249"/>
      <c r="EU249"/>
      <c r="EV249"/>
      <c r="EW249"/>
      <c r="EX249"/>
      <c r="EY249"/>
      <c r="EZ249"/>
      <c r="FA249"/>
      <c r="FB249"/>
      <c r="FC249"/>
      <c r="FD249"/>
      <c r="FE249"/>
      <c r="FF249"/>
      <c r="FG249"/>
      <c r="FH249"/>
      <c r="FI249"/>
      <c r="FJ249"/>
      <c r="FK249"/>
      <c r="FL249"/>
      <c r="FM249"/>
      <c r="FN249"/>
      <c r="FO249"/>
      <c r="FP249"/>
      <c r="FQ249"/>
      <c r="FR249"/>
      <c r="FS249"/>
      <c r="FT249"/>
      <c r="FU249"/>
      <c r="FV249"/>
      <c r="FW249"/>
      <c r="FX249"/>
      <c r="FY249"/>
      <c r="FZ249"/>
      <c r="GA249"/>
      <c r="GB249"/>
      <c r="GC249"/>
      <c r="GD249"/>
      <c r="GE249"/>
      <c r="GF249"/>
      <c r="GG249"/>
      <c r="GH249"/>
      <c r="GI249"/>
      <c r="GJ249"/>
      <c r="GK249"/>
      <c r="GL249"/>
      <c r="GM249"/>
      <c r="GN249"/>
      <c r="GO249"/>
      <c r="GP249"/>
      <c r="GQ249"/>
      <c r="GR249"/>
      <c r="GS249"/>
      <c r="GT249"/>
      <c r="GU249"/>
      <c r="GV249"/>
      <c r="GW249"/>
      <c r="GX249"/>
      <c r="GY249"/>
      <c r="GZ249"/>
      <c r="HA249"/>
      <c r="HB249"/>
      <c r="HC249"/>
      <c r="HD249"/>
      <c r="HE249"/>
      <c r="HF249"/>
      <c r="HG249"/>
      <c r="HH249"/>
      <c r="HI249"/>
      <c r="HJ249"/>
      <c r="HK249"/>
      <c r="HL249"/>
      <c r="HM249"/>
      <c r="HN249"/>
      <c r="HO249"/>
      <c r="HP249"/>
      <c r="HQ249"/>
      <c r="HR249"/>
      <c r="HS249"/>
      <c r="HT249"/>
      <c r="HU249"/>
      <c r="HV249"/>
      <c r="HW249"/>
      <c r="HX249"/>
      <c r="HY249"/>
      <c r="HZ249"/>
      <c r="IA249"/>
      <c r="IB249"/>
      <c r="IC249"/>
      <c r="ID249"/>
      <c r="IE249"/>
      <c r="IF249"/>
      <c r="IG249"/>
      <c r="IH249"/>
      <c r="II249"/>
      <c r="IJ249"/>
      <c r="IK249"/>
      <c r="IL249"/>
      <c r="IM249"/>
      <c r="IN249"/>
      <c r="IO249"/>
      <c r="IP249"/>
      <c r="IQ249"/>
      <c r="IR249"/>
      <c r="IS249"/>
      <c r="IT249"/>
      <c r="IU249"/>
      <c r="IV249"/>
      <c r="IW249"/>
      <c r="IX249"/>
      <c r="IY249"/>
      <c r="IZ249"/>
      <c r="JA249"/>
      <c r="JB249"/>
      <c r="JC249"/>
      <c r="JD249"/>
      <c r="JE249"/>
      <c r="JF249"/>
      <c r="JG249"/>
      <c r="JH249"/>
      <c r="JI249"/>
      <c r="JJ249"/>
      <c r="JK249"/>
      <c r="JL249"/>
      <c r="JM249"/>
      <c r="JN249"/>
      <c r="JO249"/>
      <c r="JP249"/>
      <c r="JQ249"/>
      <c r="JR249"/>
      <c r="JS249"/>
      <c r="JT249"/>
      <c r="JU249"/>
      <c r="JV249"/>
      <c r="JW249"/>
      <c r="JX249"/>
      <c r="JY249"/>
      <c r="JZ249"/>
      <c r="KA249"/>
      <c r="KB249"/>
      <c r="KC249"/>
      <c r="KD249"/>
      <c r="KE249"/>
      <c r="KF249"/>
      <c r="KG249"/>
      <c r="KH249"/>
      <c r="KI249"/>
      <c r="KJ249"/>
      <c r="KK249"/>
      <c r="KL249"/>
      <c r="KM249"/>
      <c r="KN249"/>
      <c r="KO249"/>
      <c r="KP249"/>
      <c r="KQ249"/>
      <c r="KR249"/>
      <c r="KS249"/>
      <c r="KT249"/>
      <c r="KU249"/>
      <c r="KV249"/>
      <c r="KW249"/>
      <c r="KX249"/>
      <c r="KY249"/>
      <c r="KZ249"/>
      <c r="LA249"/>
      <c r="LB249"/>
      <c r="LC249"/>
      <c r="LD249"/>
      <c r="LE249"/>
      <c r="LF249"/>
      <c r="LG249"/>
      <c r="LH249"/>
      <c r="LI249"/>
      <c r="LJ249"/>
      <c r="LK249"/>
      <c r="LL249"/>
      <c r="LM249"/>
      <c r="LN249"/>
      <c r="LO249"/>
      <c r="LP249"/>
      <c r="LQ249"/>
      <c r="LR249"/>
      <c r="LS249"/>
      <c r="LT249"/>
      <c r="LU249"/>
      <c r="LV249"/>
      <c r="LW249"/>
      <c r="LX249"/>
      <c r="LY249"/>
      <c r="LZ249"/>
      <c r="MA249"/>
      <c r="MB249"/>
      <c r="MC249"/>
      <c r="MD249"/>
      <c r="ME249"/>
      <c r="MF249"/>
      <c r="MG249"/>
      <c r="MH249"/>
      <c r="MI249"/>
      <c r="MJ249"/>
      <c r="MK249"/>
      <c r="ML249"/>
      <c r="MM249"/>
      <c r="MN249"/>
      <c r="MO249"/>
      <c r="MP249"/>
      <c r="MQ249"/>
      <c r="MR249"/>
      <c r="MS249"/>
      <c r="MT249"/>
      <c r="MU249"/>
      <c r="MV249"/>
      <c r="MW249"/>
      <c r="MX249"/>
      <c r="MY249"/>
      <c r="MZ249"/>
      <c r="NA249"/>
      <c r="NB249"/>
      <c r="NC249"/>
      <c r="ND249"/>
      <c r="NE249"/>
      <c r="NF249"/>
      <c r="NG249"/>
      <c r="NH249"/>
      <c r="NI249"/>
      <c r="NJ249"/>
      <c r="NK249"/>
      <c r="NL249"/>
      <c r="NM249"/>
      <c r="NN249"/>
      <c r="NO249"/>
      <c r="NP249"/>
      <c r="NQ249"/>
      <c r="NR249"/>
      <c r="NS249"/>
      <c r="NT249"/>
      <c r="NU249"/>
      <c r="NV249"/>
      <c r="NW249"/>
      <c r="NX249"/>
      <c r="NY249"/>
      <c r="NZ249"/>
      <c r="OA249"/>
      <c r="OB249"/>
      <c r="OC249"/>
      <c r="OD249"/>
      <c r="OE249"/>
      <c r="OF249"/>
      <c r="OG249"/>
      <c r="OH249"/>
      <c r="OI249"/>
      <c r="OJ249"/>
      <c r="OK249"/>
      <c r="OL249"/>
      <c r="OM249"/>
      <c r="ON249"/>
      <c r="OO249"/>
      <c r="OP249"/>
      <c r="OQ249"/>
      <c r="OR249"/>
      <c r="OS249"/>
      <c r="OT249"/>
      <c r="OU249"/>
      <c r="OV249"/>
      <c r="OW249"/>
      <c r="OX249"/>
      <c r="OY249"/>
      <c r="OZ249"/>
      <c r="PA249"/>
      <c r="PB249"/>
      <c r="PC249"/>
      <c r="PD249"/>
      <c r="PE249"/>
      <c r="PF249"/>
      <c r="PG249"/>
      <c r="PH249"/>
      <c r="PI249"/>
      <c r="PJ249"/>
      <c r="PK249"/>
      <c r="PL249"/>
      <c r="PM249"/>
      <c r="PN249"/>
      <c r="PO249"/>
      <c r="PP249"/>
      <c r="PQ249"/>
      <c r="PR249"/>
      <c r="PS249"/>
      <c r="PT249"/>
      <c r="PU249"/>
      <c r="PV249"/>
      <c r="PW249"/>
      <c r="PX249"/>
      <c r="PY249"/>
      <c r="PZ249"/>
      <c r="QA249"/>
      <c r="QB249"/>
      <c r="QC249"/>
      <c r="QD249"/>
      <c r="QE249"/>
      <c r="QF249"/>
      <c r="QG249"/>
      <c r="QH249"/>
      <c r="QI249"/>
      <c r="QJ249"/>
      <c r="QK249"/>
      <c r="QL249"/>
      <c r="QM249"/>
      <c r="QN249"/>
      <c r="QO249"/>
      <c r="QP249"/>
      <c r="QQ249"/>
      <c r="QR249"/>
      <c r="QS249"/>
      <c r="QT249"/>
      <c r="QU249"/>
      <c r="QV249"/>
      <c r="QW249"/>
      <c r="QX249"/>
      <c r="QY249"/>
      <c r="QZ249"/>
      <c r="RA249"/>
      <c r="RB249"/>
      <c r="RC249"/>
      <c r="RD249"/>
      <c r="RE249"/>
      <c r="RF249"/>
      <c r="RG249"/>
      <c r="RH249"/>
      <c r="RI249"/>
      <c r="RJ249"/>
      <c r="RK249"/>
      <c r="RL249"/>
      <c r="RM249"/>
      <c r="RN249"/>
      <c r="RO249"/>
      <c r="RP249"/>
      <c r="RQ249"/>
      <c r="RR249"/>
      <c r="RS249"/>
    </row>
    <row r="250" spans="3:487" x14ac:dyDescent="0.25">
      <c r="C250" s="2" t="s">
        <v>3832</v>
      </c>
      <c r="D250" s="34">
        <v>0</v>
      </c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  <c r="CN250"/>
      <c r="CO250"/>
      <c r="CP250"/>
      <c r="CQ250"/>
      <c r="CR250"/>
      <c r="CS250"/>
      <c r="CT250"/>
      <c r="CU250"/>
      <c r="CV250"/>
      <c r="CW250"/>
      <c r="CX250"/>
      <c r="CY250"/>
      <c r="CZ250"/>
      <c r="DA250"/>
      <c r="DB250"/>
      <c r="DC250"/>
      <c r="DD250"/>
      <c r="DE250"/>
      <c r="DF250"/>
      <c r="DG250"/>
      <c r="DH250"/>
      <c r="DI250"/>
      <c r="DJ250"/>
      <c r="DK250"/>
      <c r="DL250"/>
      <c r="DM250"/>
      <c r="DN250"/>
      <c r="DO250"/>
      <c r="DP250"/>
      <c r="DQ250"/>
      <c r="DR250"/>
      <c r="DS250"/>
      <c r="DT250"/>
      <c r="DU250"/>
      <c r="DV250"/>
      <c r="DW250"/>
      <c r="DX250"/>
      <c r="DY250"/>
      <c r="DZ250"/>
      <c r="EA250"/>
      <c r="EB250"/>
      <c r="EC250"/>
      <c r="ED250"/>
      <c r="EE250"/>
      <c r="EF250"/>
      <c r="EG250"/>
      <c r="EH250"/>
      <c r="EI250"/>
      <c r="EJ250"/>
      <c r="EK250"/>
      <c r="EL250"/>
      <c r="EM250"/>
      <c r="EN250"/>
      <c r="EO250"/>
      <c r="EP250"/>
      <c r="EQ250"/>
      <c r="ER250"/>
      <c r="ES250"/>
      <c r="ET250"/>
      <c r="EU250"/>
      <c r="EV250"/>
      <c r="EW250"/>
      <c r="EX250"/>
      <c r="EY250"/>
      <c r="EZ250"/>
      <c r="FA250"/>
      <c r="FB250"/>
      <c r="FC250"/>
      <c r="FD250"/>
      <c r="FE250"/>
      <c r="FF250"/>
      <c r="FG250"/>
      <c r="FH250"/>
      <c r="FI250"/>
      <c r="FJ250"/>
      <c r="FK250"/>
      <c r="FL250"/>
      <c r="FM250"/>
      <c r="FN250"/>
      <c r="FO250"/>
      <c r="FP250"/>
      <c r="FQ250"/>
      <c r="FR250"/>
      <c r="FS250"/>
      <c r="FT250"/>
      <c r="FU250"/>
      <c r="FV250"/>
      <c r="FW250"/>
      <c r="FX250"/>
      <c r="FY250"/>
      <c r="FZ250"/>
      <c r="GA250"/>
      <c r="GB250"/>
      <c r="GC250"/>
      <c r="GD250"/>
      <c r="GE250"/>
      <c r="GF250"/>
      <c r="GG250"/>
      <c r="GH250"/>
      <c r="GI250"/>
      <c r="GJ250"/>
      <c r="GK250"/>
      <c r="GL250"/>
      <c r="GM250"/>
      <c r="GN250"/>
      <c r="GO250"/>
      <c r="GP250"/>
      <c r="GQ250"/>
      <c r="GR250"/>
      <c r="GS250"/>
      <c r="GT250"/>
      <c r="GU250"/>
      <c r="GV250"/>
      <c r="GW250"/>
      <c r="GX250"/>
      <c r="GY250"/>
      <c r="GZ250"/>
      <c r="HA250"/>
      <c r="HB250"/>
      <c r="HC250"/>
      <c r="HD250"/>
      <c r="HE250"/>
      <c r="HF250"/>
      <c r="HG250"/>
      <c r="HH250"/>
      <c r="HI250"/>
      <c r="HJ250"/>
      <c r="HK250"/>
      <c r="HL250"/>
      <c r="HM250"/>
      <c r="HN250"/>
      <c r="HO250"/>
      <c r="HP250"/>
      <c r="HQ250"/>
      <c r="HR250"/>
      <c r="HS250"/>
      <c r="HT250"/>
      <c r="HU250"/>
      <c r="HV250"/>
      <c r="HW250"/>
      <c r="HX250"/>
      <c r="HY250"/>
      <c r="HZ250"/>
      <c r="IA250"/>
      <c r="IB250"/>
      <c r="IC250"/>
      <c r="ID250"/>
      <c r="IE250"/>
      <c r="IF250"/>
      <c r="IG250"/>
      <c r="IH250"/>
      <c r="II250"/>
      <c r="IJ250"/>
      <c r="IK250"/>
      <c r="IL250"/>
      <c r="IM250"/>
      <c r="IN250"/>
      <c r="IO250"/>
      <c r="IP250"/>
      <c r="IQ250"/>
      <c r="IR250"/>
      <c r="IS250"/>
      <c r="IT250"/>
      <c r="IU250"/>
      <c r="IV250"/>
      <c r="IW250"/>
      <c r="IX250"/>
      <c r="IY250"/>
      <c r="IZ250"/>
      <c r="JA250"/>
      <c r="JB250"/>
      <c r="JC250"/>
      <c r="JD250"/>
      <c r="JE250"/>
      <c r="JF250"/>
      <c r="JG250"/>
      <c r="JH250"/>
      <c r="JI250"/>
      <c r="JJ250"/>
      <c r="JK250"/>
      <c r="JL250"/>
      <c r="JM250"/>
      <c r="JN250"/>
      <c r="JO250"/>
      <c r="JP250"/>
      <c r="JQ250"/>
      <c r="JR250"/>
      <c r="JS250"/>
      <c r="JT250"/>
      <c r="JU250"/>
      <c r="JV250"/>
      <c r="JW250"/>
      <c r="JX250"/>
      <c r="JY250"/>
      <c r="JZ250"/>
      <c r="KA250"/>
      <c r="KB250"/>
      <c r="KC250"/>
      <c r="KD250"/>
      <c r="KE250"/>
      <c r="KF250"/>
      <c r="KG250"/>
      <c r="KH250"/>
      <c r="KI250"/>
      <c r="KJ250"/>
      <c r="KK250"/>
      <c r="KL250"/>
      <c r="KM250"/>
      <c r="KN250"/>
      <c r="KO250"/>
      <c r="KP250"/>
      <c r="KQ250"/>
      <c r="KR250"/>
      <c r="KS250"/>
      <c r="KT250"/>
      <c r="KU250"/>
      <c r="KV250"/>
      <c r="KW250"/>
      <c r="KX250"/>
      <c r="KY250"/>
      <c r="KZ250"/>
      <c r="LA250"/>
      <c r="LB250"/>
      <c r="LC250"/>
      <c r="LD250"/>
      <c r="LE250"/>
      <c r="LF250"/>
      <c r="LG250"/>
      <c r="LH250"/>
      <c r="LI250"/>
      <c r="LJ250"/>
      <c r="LK250"/>
      <c r="LL250"/>
      <c r="LM250"/>
      <c r="LN250"/>
      <c r="LO250"/>
      <c r="LP250"/>
      <c r="LQ250"/>
      <c r="LR250"/>
      <c r="LS250"/>
      <c r="LT250"/>
      <c r="LU250"/>
      <c r="LV250"/>
      <c r="LW250"/>
      <c r="LX250"/>
      <c r="LY250"/>
      <c r="LZ250"/>
      <c r="MA250"/>
      <c r="MB250"/>
      <c r="MC250"/>
      <c r="MD250"/>
      <c r="ME250"/>
      <c r="MF250"/>
      <c r="MG250"/>
      <c r="MH250"/>
      <c r="MI250"/>
      <c r="MJ250"/>
      <c r="MK250"/>
      <c r="ML250"/>
      <c r="MM250"/>
      <c r="MN250"/>
      <c r="MO250"/>
      <c r="MP250"/>
      <c r="MQ250"/>
      <c r="MR250"/>
      <c r="MS250"/>
      <c r="MT250"/>
      <c r="MU250"/>
      <c r="MV250"/>
      <c r="MW250"/>
      <c r="MX250"/>
      <c r="MY250"/>
      <c r="MZ250"/>
      <c r="NA250"/>
      <c r="NB250"/>
      <c r="NC250"/>
      <c r="ND250"/>
      <c r="NE250"/>
      <c r="NF250"/>
      <c r="NG250"/>
      <c r="NH250"/>
      <c r="NI250"/>
      <c r="NJ250"/>
      <c r="NK250"/>
      <c r="NL250"/>
      <c r="NM250"/>
      <c r="NN250"/>
      <c r="NO250"/>
      <c r="NP250"/>
      <c r="NQ250"/>
      <c r="NR250"/>
      <c r="NS250"/>
      <c r="NT250"/>
      <c r="NU250"/>
      <c r="NV250"/>
      <c r="NW250"/>
      <c r="NX250"/>
      <c r="NY250"/>
      <c r="NZ250"/>
      <c r="OA250"/>
      <c r="OB250"/>
      <c r="OC250"/>
      <c r="OD250"/>
      <c r="OE250"/>
      <c r="OF250"/>
      <c r="OG250"/>
      <c r="OH250"/>
      <c r="OI250"/>
      <c r="OJ250"/>
      <c r="OK250"/>
      <c r="OL250"/>
      <c r="OM250"/>
      <c r="ON250"/>
      <c r="OO250"/>
      <c r="OP250"/>
      <c r="OQ250"/>
      <c r="OR250"/>
      <c r="OS250"/>
      <c r="OT250"/>
      <c r="OU250"/>
      <c r="OV250"/>
      <c r="OW250"/>
      <c r="OX250"/>
      <c r="OY250"/>
      <c r="OZ250"/>
      <c r="PA250"/>
      <c r="PB250"/>
      <c r="PC250"/>
      <c r="PD250"/>
      <c r="PE250"/>
      <c r="PF250"/>
      <c r="PG250"/>
      <c r="PH250"/>
      <c r="PI250"/>
      <c r="PJ250"/>
      <c r="PK250"/>
      <c r="PL250"/>
      <c r="PM250"/>
      <c r="PN250"/>
      <c r="PO250"/>
      <c r="PP250"/>
      <c r="PQ250"/>
      <c r="PR250"/>
      <c r="PS250"/>
      <c r="PT250"/>
      <c r="PU250"/>
      <c r="PV250"/>
      <c r="PW250"/>
      <c r="PX250"/>
      <c r="PY250"/>
      <c r="PZ250"/>
      <c r="QA250"/>
      <c r="QB250"/>
      <c r="QC250"/>
      <c r="QD250"/>
      <c r="QE250"/>
      <c r="QF250"/>
      <c r="QG250"/>
      <c r="QH250"/>
      <c r="QI250"/>
      <c r="QJ250"/>
      <c r="QK250"/>
      <c r="QL250"/>
      <c r="QM250"/>
      <c r="QN250"/>
      <c r="QO250"/>
      <c r="QP250"/>
      <c r="QQ250"/>
      <c r="QR250"/>
      <c r="QS250"/>
      <c r="QT250"/>
      <c r="QU250"/>
      <c r="QV250"/>
      <c r="QW250"/>
      <c r="QX250"/>
      <c r="QY250"/>
      <c r="QZ250"/>
      <c r="RA250"/>
      <c r="RB250"/>
      <c r="RC250"/>
      <c r="RD250"/>
      <c r="RE250"/>
      <c r="RF250"/>
      <c r="RG250"/>
      <c r="RH250"/>
      <c r="RI250"/>
      <c r="RJ250"/>
      <c r="RK250"/>
      <c r="RL250"/>
      <c r="RM250"/>
      <c r="RN250"/>
      <c r="RO250"/>
      <c r="RP250"/>
      <c r="RQ250"/>
      <c r="RR250"/>
      <c r="RS250"/>
    </row>
    <row r="251" spans="3:487" x14ac:dyDescent="0.25">
      <c r="C251" s="2" t="s">
        <v>3818</v>
      </c>
      <c r="D251" s="34">
        <v>0</v>
      </c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S251"/>
      <c r="BT251"/>
      <c r="BU251"/>
      <c r="BV251"/>
      <c r="BW251"/>
      <c r="BX251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  <c r="CL251"/>
      <c r="CM251"/>
      <c r="CN251"/>
      <c r="CO251"/>
      <c r="CP251"/>
      <c r="CQ251"/>
      <c r="CR251"/>
      <c r="CS251"/>
      <c r="CT251"/>
      <c r="CU251"/>
      <c r="CV251"/>
      <c r="CW251"/>
      <c r="CX251"/>
      <c r="CY251"/>
      <c r="CZ251"/>
      <c r="DA251"/>
      <c r="DB251"/>
      <c r="DC251"/>
      <c r="DD251"/>
      <c r="DE251"/>
      <c r="DF251"/>
      <c r="DG251"/>
      <c r="DH251"/>
      <c r="DI251"/>
      <c r="DJ251"/>
      <c r="DK251"/>
      <c r="DL251"/>
      <c r="DM251"/>
      <c r="DN251"/>
      <c r="DO251"/>
      <c r="DP251"/>
      <c r="DQ251"/>
      <c r="DR251"/>
      <c r="DS251"/>
      <c r="DT251"/>
      <c r="DU251"/>
      <c r="DV251"/>
      <c r="DW251"/>
      <c r="DX251"/>
      <c r="DY251"/>
      <c r="DZ251"/>
      <c r="EA251"/>
      <c r="EB251"/>
      <c r="EC251"/>
      <c r="ED251"/>
      <c r="EE251"/>
      <c r="EF251"/>
      <c r="EG251"/>
      <c r="EH251"/>
      <c r="EI251"/>
      <c r="EJ251"/>
      <c r="EK251"/>
      <c r="EL251"/>
      <c r="EM251"/>
      <c r="EN251"/>
      <c r="EO251"/>
      <c r="EP251"/>
      <c r="EQ251"/>
      <c r="ER251"/>
      <c r="ES251"/>
      <c r="ET251"/>
      <c r="EU251"/>
      <c r="EV251"/>
      <c r="EW251"/>
      <c r="EX251"/>
      <c r="EY251"/>
      <c r="EZ251"/>
      <c r="FA251"/>
      <c r="FB251"/>
      <c r="FC251"/>
      <c r="FD251"/>
      <c r="FE251"/>
      <c r="FF251"/>
      <c r="FG251"/>
      <c r="FH251"/>
      <c r="FI251"/>
      <c r="FJ251"/>
      <c r="FK251"/>
      <c r="FL251"/>
      <c r="FM251"/>
      <c r="FN251"/>
      <c r="FO251"/>
      <c r="FP251"/>
      <c r="FQ251"/>
      <c r="FR251"/>
      <c r="FS251"/>
      <c r="FT251"/>
      <c r="FU251"/>
      <c r="FV251"/>
      <c r="FW251"/>
      <c r="FX251"/>
      <c r="FY251"/>
      <c r="FZ251"/>
      <c r="GA251"/>
      <c r="GB251"/>
      <c r="GC251"/>
      <c r="GD251"/>
      <c r="GE251"/>
      <c r="GF251"/>
      <c r="GG251"/>
      <c r="GH251"/>
      <c r="GI251"/>
      <c r="GJ251"/>
      <c r="GK251"/>
      <c r="GL251"/>
      <c r="GM251"/>
      <c r="GN251"/>
      <c r="GO251"/>
      <c r="GP251"/>
      <c r="GQ251"/>
      <c r="GR251"/>
      <c r="GS251"/>
      <c r="GT251"/>
      <c r="GU251"/>
      <c r="GV251"/>
      <c r="GW251"/>
      <c r="GX251"/>
      <c r="GY251"/>
      <c r="GZ251"/>
      <c r="HA251"/>
      <c r="HB251"/>
      <c r="HC251"/>
      <c r="HD251"/>
      <c r="HE251"/>
      <c r="HF251"/>
      <c r="HG251"/>
      <c r="HH251"/>
      <c r="HI251"/>
      <c r="HJ251"/>
      <c r="HK251"/>
      <c r="HL251"/>
      <c r="HM251"/>
      <c r="HN251"/>
      <c r="HO251"/>
      <c r="HP251"/>
      <c r="HQ251"/>
      <c r="HR251"/>
      <c r="HS251"/>
      <c r="HT251"/>
      <c r="HU251"/>
      <c r="HV251"/>
      <c r="HW251"/>
      <c r="HX251"/>
      <c r="HY251"/>
      <c r="HZ251"/>
      <c r="IA251"/>
      <c r="IB251"/>
      <c r="IC251"/>
      <c r="ID251"/>
      <c r="IE251"/>
      <c r="IF251"/>
      <c r="IG251"/>
      <c r="IH251"/>
      <c r="II251"/>
      <c r="IJ251"/>
      <c r="IK251"/>
      <c r="IL251"/>
      <c r="IM251"/>
      <c r="IN251"/>
      <c r="IO251"/>
      <c r="IP251"/>
      <c r="IQ251"/>
      <c r="IR251"/>
      <c r="IS251"/>
      <c r="IT251"/>
      <c r="IU251"/>
      <c r="IV251"/>
      <c r="IW251"/>
      <c r="IX251"/>
      <c r="IY251"/>
      <c r="IZ251"/>
      <c r="JA251"/>
      <c r="JB251"/>
      <c r="JC251"/>
      <c r="JD251"/>
      <c r="JE251"/>
      <c r="JF251"/>
      <c r="JG251"/>
      <c r="JH251"/>
      <c r="JI251"/>
      <c r="JJ251"/>
      <c r="JK251"/>
      <c r="JL251"/>
      <c r="JM251"/>
      <c r="JN251"/>
      <c r="JO251"/>
      <c r="JP251"/>
      <c r="JQ251"/>
      <c r="JR251"/>
      <c r="JS251"/>
      <c r="JT251"/>
      <c r="JU251"/>
      <c r="JV251"/>
      <c r="JW251"/>
      <c r="JX251"/>
      <c r="JY251"/>
      <c r="JZ251"/>
      <c r="KA251"/>
      <c r="KB251"/>
      <c r="KC251"/>
      <c r="KD251"/>
      <c r="KE251"/>
      <c r="KF251"/>
      <c r="KG251"/>
      <c r="KH251"/>
      <c r="KI251"/>
      <c r="KJ251"/>
      <c r="KK251"/>
      <c r="KL251"/>
      <c r="KM251"/>
      <c r="KN251"/>
      <c r="KO251"/>
      <c r="KP251"/>
      <c r="KQ251"/>
      <c r="KR251"/>
      <c r="KS251"/>
      <c r="KT251"/>
      <c r="KU251"/>
      <c r="KV251"/>
      <c r="KW251"/>
      <c r="KX251"/>
      <c r="KY251"/>
      <c r="KZ251"/>
      <c r="LA251"/>
      <c r="LB251"/>
      <c r="LC251"/>
      <c r="LD251"/>
      <c r="LE251"/>
      <c r="LF251"/>
      <c r="LG251"/>
      <c r="LH251"/>
      <c r="LI251"/>
      <c r="LJ251"/>
      <c r="LK251"/>
      <c r="LL251"/>
      <c r="LM251"/>
      <c r="LN251"/>
      <c r="LO251"/>
      <c r="LP251"/>
      <c r="LQ251"/>
      <c r="LR251"/>
      <c r="LS251"/>
      <c r="LT251"/>
      <c r="LU251"/>
      <c r="LV251"/>
      <c r="LW251"/>
      <c r="LX251"/>
      <c r="LY251"/>
      <c r="LZ251"/>
      <c r="MA251"/>
      <c r="MB251"/>
      <c r="MC251"/>
      <c r="MD251"/>
      <c r="ME251"/>
      <c r="MF251"/>
      <c r="MG251"/>
      <c r="MH251"/>
      <c r="MI251"/>
      <c r="MJ251"/>
      <c r="MK251"/>
      <c r="ML251"/>
      <c r="MM251"/>
      <c r="MN251"/>
      <c r="MO251"/>
      <c r="MP251"/>
      <c r="MQ251"/>
      <c r="MR251"/>
      <c r="MS251"/>
      <c r="MT251"/>
      <c r="MU251"/>
      <c r="MV251"/>
      <c r="MW251"/>
      <c r="MX251"/>
      <c r="MY251"/>
      <c r="MZ251"/>
      <c r="NA251"/>
      <c r="NB251"/>
      <c r="NC251"/>
      <c r="ND251"/>
      <c r="NE251"/>
      <c r="NF251"/>
      <c r="NG251"/>
      <c r="NH251"/>
      <c r="NI251"/>
      <c r="NJ251"/>
      <c r="NK251"/>
      <c r="NL251"/>
      <c r="NM251"/>
      <c r="NN251"/>
      <c r="NO251"/>
      <c r="NP251"/>
      <c r="NQ251"/>
      <c r="NR251"/>
      <c r="NS251"/>
      <c r="NT251"/>
      <c r="NU251"/>
      <c r="NV251"/>
      <c r="NW251"/>
      <c r="NX251"/>
      <c r="NY251"/>
      <c r="NZ251"/>
      <c r="OA251"/>
      <c r="OB251"/>
      <c r="OC251"/>
      <c r="OD251"/>
      <c r="OE251"/>
      <c r="OF251"/>
      <c r="OG251"/>
      <c r="OH251"/>
      <c r="OI251"/>
      <c r="OJ251"/>
      <c r="OK251"/>
      <c r="OL251"/>
      <c r="OM251"/>
      <c r="ON251"/>
      <c r="OO251"/>
      <c r="OP251"/>
      <c r="OQ251"/>
      <c r="OR251"/>
      <c r="OS251"/>
      <c r="OT251"/>
      <c r="OU251"/>
      <c r="OV251"/>
      <c r="OW251"/>
      <c r="OX251"/>
      <c r="OY251"/>
      <c r="OZ251"/>
      <c r="PA251"/>
      <c r="PB251"/>
      <c r="PC251"/>
      <c r="PD251"/>
      <c r="PE251"/>
      <c r="PF251"/>
      <c r="PG251"/>
      <c r="PH251"/>
      <c r="PI251"/>
      <c r="PJ251"/>
      <c r="PK251"/>
      <c r="PL251"/>
      <c r="PM251"/>
      <c r="PN251"/>
      <c r="PO251"/>
      <c r="PP251"/>
      <c r="PQ251"/>
      <c r="PR251"/>
      <c r="PS251"/>
      <c r="PT251"/>
      <c r="PU251"/>
      <c r="PV251"/>
      <c r="PW251"/>
      <c r="PX251"/>
      <c r="PY251"/>
      <c r="PZ251"/>
      <c r="QA251"/>
      <c r="QB251"/>
      <c r="QC251"/>
      <c r="QD251"/>
      <c r="QE251"/>
      <c r="QF251"/>
      <c r="QG251"/>
      <c r="QH251"/>
      <c r="QI251"/>
      <c r="QJ251"/>
      <c r="QK251"/>
      <c r="QL251"/>
      <c r="QM251"/>
      <c r="QN251"/>
      <c r="QO251"/>
      <c r="QP251"/>
      <c r="QQ251"/>
      <c r="QR251"/>
      <c r="QS251"/>
      <c r="QT251"/>
      <c r="QU251"/>
      <c r="QV251"/>
      <c r="QW251"/>
      <c r="QX251"/>
      <c r="QY251"/>
      <c r="QZ251"/>
      <c r="RA251"/>
      <c r="RB251"/>
      <c r="RC251"/>
      <c r="RD251"/>
      <c r="RE251"/>
      <c r="RF251"/>
      <c r="RG251"/>
      <c r="RH251"/>
      <c r="RI251"/>
      <c r="RJ251"/>
      <c r="RK251"/>
      <c r="RL251"/>
      <c r="RM251"/>
      <c r="RN251"/>
      <c r="RO251"/>
      <c r="RP251"/>
      <c r="RQ251"/>
      <c r="RR251"/>
      <c r="RS251"/>
    </row>
    <row r="252" spans="3:487" x14ac:dyDescent="0.25">
      <c r="C252" s="2" t="s">
        <v>3672</v>
      </c>
      <c r="D252" s="34">
        <v>0</v>
      </c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D252"/>
      <c r="BE252"/>
      <c r="BF252"/>
      <c r="BG252"/>
      <c r="BH252"/>
      <c r="BI252"/>
      <c r="BJ252"/>
      <c r="BK252"/>
      <c r="BL252"/>
      <c r="BM252"/>
      <c r="BN252"/>
      <c r="BO252"/>
      <c r="BP252"/>
      <c r="BQ252"/>
      <c r="BR252"/>
      <c r="BS252"/>
      <c r="BT252"/>
      <c r="BU252"/>
      <c r="BV252"/>
      <c r="BW252"/>
      <c r="BX252"/>
      <c r="BY252"/>
      <c r="BZ252"/>
      <c r="CA252"/>
      <c r="CB252"/>
      <c r="CC252"/>
      <c r="CD252"/>
      <c r="CE252"/>
      <c r="CF252"/>
      <c r="CG252"/>
      <c r="CH252"/>
      <c r="CI252"/>
      <c r="CJ252"/>
      <c r="CK252"/>
      <c r="CL252"/>
      <c r="CM252"/>
      <c r="CN252"/>
      <c r="CO252"/>
      <c r="CP252"/>
      <c r="CQ252"/>
      <c r="CR252"/>
      <c r="CS252"/>
      <c r="CT252"/>
      <c r="CU252"/>
      <c r="CV252"/>
      <c r="CW252"/>
      <c r="CX252"/>
      <c r="CY252"/>
      <c r="CZ252"/>
      <c r="DA252"/>
      <c r="DB252"/>
      <c r="DC252"/>
      <c r="DD252"/>
      <c r="DE252"/>
      <c r="DF252"/>
      <c r="DG252"/>
      <c r="DH252"/>
      <c r="DI252"/>
      <c r="DJ252"/>
      <c r="DK252"/>
      <c r="DL252"/>
      <c r="DM252"/>
      <c r="DN252"/>
      <c r="DO252"/>
      <c r="DP252"/>
      <c r="DQ252"/>
      <c r="DR252"/>
      <c r="DS252"/>
      <c r="DT252"/>
      <c r="DU252"/>
      <c r="DV252"/>
      <c r="DW252"/>
      <c r="DX252"/>
      <c r="DY252"/>
      <c r="DZ252"/>
      <c r="EA252"/>
      <c r="EB252"/>
      <c r="EC252"/>
      <c r="ED252"/>
      <c r="EE252"/>
      <c r="EF252"/>
      <c r="EG252"/>
      <c r="EH252"/>
      <c r="EI252"/>
      <c r="EJ252"/>
      <c r="EK252"/>
      <c r="EL252"/>
      <c r="EM252"/>
      <c r="EN252"/>
      <c r="EO252"/>
      <c r="EP252"/>
      <c r="EQ252"/>
      <c r="ER252"/>
      <c r="ES252"/>
      <c r="ET252"/>
      <c r="EU252"/>
      <c r="EV252"/>
      <c r="EW252"/>
      <c r="EX252"/>
      <c r="EY252"/>
      <c r="EZ252"/>
      <c r="FA252"/>
      <c r="FB252"/>
      <c r="FC252"/>
      <c r="FD252"/>
      <c r="FE252"/>
      <c r="FF252"/>
      <c r="FG252"/>
      <c r="FH252"/>
      <c r="FI252"/>
      <c r="FJ252"/>
      <c r="FK252"/>
      <c r="FL252"/>
      <c r="FM252"/>
      <c r="FN252"/>
      <c r="FO252"/>
      <c r="FP252"/>
      <c r="FQ252"/>
      <c r="FR252"/>
      <c r="FS252"/>
      <c r="FT252"/>
      <c r="FU252"/>
      <c r="FV252"/>
      <c r="FW252"/>
      <c r="FX252"/>
      <c r="FY252"/>
      <c r="FZ252"/>
      <c r="GA252"/>
      <c r="GB252"/>
      <c r="GC252"/>
      <c r="GD252"/>
      <c r="GE252"/>
      <c r="GF252"/>
      <c r="GG252"/>
      <c r="GH252"/>
      <c r="GI252"/>
      <c r="GJ252"/>
      <c r="GK252"/>
      <c r="GL252"/>
      <c r="GM252"/>
      <c r="GN252"/>
      <c r="GO252"/>
      <c r="GP252"/>
      <c r="GQ252"/>
      <c r="GR252"/>
      <c r="GS252"/>
      <c r="GT252"/>
      <c r="GU252"/>
      <c r="GV252"/>
      <c r="GW252"/>
      <c r="GX252"/>
      <c r="GY252"/>
      <c r="GZ252"/>
      <c r="HA252"/>
      <c r="HB252"/>
      <c r="HC252"/>
      <c r="HD252"/>
      <c r="HE252"/>
      <c r="HF252"/>
      <c r="HG252"/>
      <c r="HH252"/>
      <c r="HI252"/>
      <c r="HJ252"/>
      <c r="HK252"/>
      <c r="HL252"/>
      <c r="HM252"/>
      <c r="HN252"/>
      <c r="HO252"/>
      <c r="HP252"/>
      <c r="HQ252"/>
      <c r="HR252"/>
      <c r="HS252"/>
      <c r="HT252"/>
      <c r="HU252"/>
      <c r="HV252"/>
      <c r="HW252"/>
      <c r="HX252"/>
      <c r="HY252"/>
      <c r="HZ252"/>
      <c r="IA252"/>
      <c r="IB252"/>
      <c r="IC252"/>
      <c r="ID252"/>
      <c r="IE252"/>
      <c r="IF252"/>
      <c r="IG252"/>
      <c r="IH252"/>
      <c r="II252"/>
      <c r="IJ252"/>
      <c r="IK252"/>
      <c r="IL252"/>
      <c r="IM252"/>
      <c r="IN252"/>
      <c r="IO252"/>
      <c r="IP252"/>
      <c r="IQ252"/>
      <c r="IR252"/>
      <c r="IS252"/>
      <c r="IT252"/>
      <c r="IU252"/>
      <c r="IV252"/>
      <c r="IW252"/>
      <c r="IX252"/>
      <c r="IY252"/>
      <c r="IZ252"/>
      <c r="JA252"/>
      <c r="JB252"/>
      <c r="JC252"/>
      <c r="JD252"/>
      <c r="JE252"/>
      <c r="JF252"/>
      <c r="JG252"/>
      <c r="JH252"/>
      <c r="JI252"/>
      <c r="JJ252"/>
      <c r="JK252"/>
      <c r="JL252"/>
      <c r="JM252"/>
      <c r="JN252"/>
      <c r="JO252"/>
      <c r="JP252"/>
      <c r="JQ252"/>
      <c r="JR252"/>
      <c r="JS252"/>
      <c r="JT252"/>
      <c r="JU252"/>
      <c r="JV252"/>
      <c r="JW252"/>
      <c r="JX252"/>
      <c r="JY252"/>
      <c r="JZ252"/>
      <c r="KA252"/>
      <c r="KB252"/>
      <c r="KC252"/>
      <c r="KD252"/>
      <c r="KE252"/>
      <c r="KF252"/>
      <c r="KG252"/>
      <c r="KH252"/>
      <c r="KI252"/>
      <c r="KJ252"/>
      <c r="KK252"/>
      <c r="KL252"/>
      <c r="KM252"/>
      <c r="KN252"/>
      <c r="KO252"/>
      <c r="KP252"/>
      <c r="KQ252"/>
      <c r="KR252"/>
      <c r="KS252"/>
      <c r="KT252"/>
      <c r="KU252"/>
      <c r="KV252"/>
      <c r="KW252"/>
      <c r="KX252"/>
      <c r="KY252"/>
      <c r="KZ252"/>
      <c r="LA252"/>
      <c r="LB252"/>
      <c r="LC252"/>
      <c r="LD252"/>
      <c r="LE252"/>
      <c r="LF252"/>
      <c r="LG252"/>
      <c r="LH252"/>
      <c r="LI252"/>
      <c r="LJ252"/>
      <c r="LK252"/>
      <c r="LL252"/>
      <c r="LM252"/>
      <c r="LN252"/>
      <c r="LO252"/>
      <c r="LP252"/>
      <c r="LQ252"/>
      <c r="LR252"/>
      <c r="LS252"/>
      <c r="LT252"/>
      <c r="LU252"/>
      <c r="LV252"/>
      <c r="LW252"/>
      <c r="LX252"/>
      <c r="LY252"/>
      <c r="LZ252"/>
      <c r="MA252"/>
      <c r="MB252"/>
      <c r="MC252"/>
      <c r="MD252"/>
      <c r="ME252"/>
      <c r="MF252"/>
      <c r="MG252"/>
      <c r="MH252"/>
      <c r="MI252"/>
      <c r="MJ252"/>
      <c r="MK252"/>
      <c r="ML252"/>
      <c r="MM252"/>
      <c r="MN252"/>
      <c r="MO252"/>
      <c r="MP252"/>
      <c r="MQ252"/>
      <c r="MR252"/>
      <c r="MS252"/>
      <c r="MT252"/>
      <c r="MU252"/>
      <c r="MV252"/>
      <c r="MW252"/>
      <c r="MX252"/>
      <c r="MY252"/>
      <c r="MZ252"/>
      <c r="NA252"/>
      <c r="NB252"/>
      <c r="NC252"/>
      <c r="ND252"/>
      <c r="NE252"/>
      <c r="NF252"/>
      <c r="NG252"/>
      <c r="NH252"/>
      <c r="NI252"/>
      <c r="NJ252"/>
      <c r="NK252"/>
      <c r="NL252"/>
      <c r="NM252"/>
      <c r="NN252"/>
      <c r="NO252"/>
      <c r="NP252"/>
      <c r="NQ252"/>
      <c r="NR252"/>
      <c r="NS252"/>
      <c r="NT252"/>
      <c r="NU252"/>
      <c r="NV252"/>
      <c r="NW252"/>
      <c r="NX252"/>
      <c r="NY252"/>
      <c r="NZ252"/>
      <c r="OA252"/>
      <c r="OB252"/>
      <c r="OC252"/>
      <c r="OD252"/>
      <c r="OE252"/>
      <c r="OF252"/>
      <c r="OG252"/>
      <c r="OH252"/>
      <c r="OI252"/>
      <c r="OJ252"/>
      <c r="OK252"/>
      <c r="OL252"/>
      <c r="OM252"/>
      <c r="ON252"/>
      <c r="OO252"/>
      <c r="OP252"/>
      <c r="OQ252"/>
      <c r="OR252"/>
      <c r="OS252"/>
      <c r="OT252"/>
      <c r="OU252"/>
      <c r="OV252"/>
      <c r="OW252"/>
      <c r="OX252"/>
      <c r="OY252"/>
      <c r="OZ252"/>
      <c r="PA252"/>
      <c r="PB252"/>
      <c r="PC252"/>
      <c r="PD252"/>
      <c r="PE252"/>
      <c r="PF252"/>
      <c r="PG252"/>
      <c r="PH252"/>
      <c r="PI252"/>
      <c r="PJ252"/>
      <c r="PK252"/>
      <c r="PL252"/>
      <c r="PM252"/>
      <c r="PN252"/>
      <c r="PO252"/>
      <c r="PP252"/>
      <c r="PQ252"/>
      <c r="PR252"/>
      <c r="PS252"/>
      <c r="PT252"/>
      <c r="PU252"/>
      <c r="PV252"/>
      <c r="PW252"/>
      <c r="PX252"/>
      <c r="PY252"/>
      <c r="PZ252"/>
      <c r="QA252"/>
      <c r="QB252"/>
      <c r="QC252"/>
      <c r="QD252"/>
      <c r="QE252"/>
      <c r="QF252"/>
      <c r="QG252"/>
      <c r="QH252"/>
      <c r="QI252"/>
      <c r="QJ252"/>
      <c r="QK252"/>
      <c r="QL252"/>
      <c r="QM252"/>
      <c r="QN252"/>
      <c r="QO252"/>
      <c r="QP252"/>
      <c r="QQ252"/>
      <c r="QR252"/>
      <c r="QS252"/>
      <c r="QT252"/>
      <c r="QU252"/>
      <c r="QV252"/>
      <c r="QW252"/>
      <c r="QX252"/>
      <c r="QY252"/>
      <c r="QZ252"/>
      <c r="RA252"/>
      <c r="RB252"/>
      <c r="RC252"/>
      <c r="RD252"/>
      <c r="RE252"/>
      <c r="RF252"/>
      <c r="RG252"/>
      <c r="RH252"/>
      <c r="RI252"/>
      <c r="RJ252"/>
      <c r="RK252"/>
      <c r="RL252"/>
      <c r="RM252"/>
      <c r="RN252"/>
      <c r="RO252"/>
      <c r="RP252"/>
      <c r="RQ252"/>
      <c r="RR252"/>
      <c r="RS252"/>
    </row>
    <row r="253" spans="3:487" x14ac:dyDescent="0.25">
      <c r="C253" s="2" t="s">
        <v>3811</v>
      </c>
      <c r="D253" s="34">
        <v>0</v>
      </c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  <c r="BC253"/>
      <c r="BD253"/>
      <c r="BE253"/>
      <c r="BF253"/>
      <c r="BG253"/>
      <c r="BH253"/>
      <c r="BI253"/>
      <c r="BJ253"/>
      <c r="BK253"/>
      <c r="BL253"/>
      <c r="BM253"/>
      <c r="BN253"/>
      <c r="BO253"/>
      <c r="BP253"/>
      <c r="BQ253"/>
      <c r="BR253"/>
      <c r="BS253"/>
      <c r="BT253"/>
      <c r="BU253"/>
      <c r="BV253"/>
      <c r="BW253"/>
      <c r="BX253"/>
      <c r="BY253"/>
      <c r="BZ253"/>
      <c r="CA253"/>
      <c r="CB253"/>
      <c r="CC253"/>
      <c r="CD253"/>
      <c r="CE253"/>
      <c r="CF253"/>
      <c r="CG253"/>
      <c r="CH253"/>
      <c r="CI253"/>
      <c r="CJ253"/>
      <c r="CK253"/>
      <c r="CL253"/>
      <c r="CM253"/>
      <c r="CN253"/>
      <c r="CO253"/>
      <c r="CP253"/>
      <c r="CQ253"/>
      <c r="CR253"/>
      <c r="CS253"/>
      <c r="CT253"/>
      <c r="CU253"/>
      <c r="CV253"/>
      <c r="CW253"/>
      <c r="CX253"/>
      <c r="CY253"/>
      <c r="CZ253"/>
      <c r="DA253"/>
      <c r="DB253"/>
      <c r="DC253"/>
      <c r="DD253"/>
      <c r="DE253"/>
      <c r="DF253"/>
      <c r="DG253"/>
      <c r="DH253"/>
      <c r="DI253"/>
      <c r="DJ253"/>
      <c r="DK253"/>
      <c r="DL253"/>
      <c r="DM253"/>
      <c r="DN253"/>
      <c r="DO253"/>
      <c r="DP253"/>
      <c r="DQ253"/>
      <c r="DR253"/>
      <c r="DS253"/>
      <c r="DT253"/>
      <c r="DU253"/>
      <c r="DV253"/>
      <c r="DW253"/>
      <c r="DX253"/>
      <c r="DY253"/>
      <c r="DZ253"/>
      <c r="EA253"/>
      <c r="EB253"/>
      <c r="EC253"/>
      <c r="ED253"/>
      <c r="EE253"/>
      <c r="EF253"/>
      <c r="EG253"/>
      <c r="EH253"/>
      <c r="EI253"/>
      <c r="EJ253"/>
      <c r="EK253"/>
      <c r="EL253"/>
      <c r="EM253"/>
      <c r="EN253"/>
      <c r="EO253"/>
      <c r="EP253"/>
      <c r="EQ253"/>
      <c r="ER253"/>
      <c r="ES253"/>
      <c r="ET253"/>
      <c r="EU253"/>
      <c r="EV253"/>
      <c r="EW253"/>
      <c r="EX253"/>
      <c r="EY253"/>
      <c r="EZ253"/>
      <c r="FA253"/>
      <c r="FB253"/>
      <c r="FC253"/>
      <c r="FD253"/>
      <c r="FE253"/>
      <c r="FF253"/>
      <c r="FG253"/>
      <c r="FH253"/>
      <c r="FI253"/>
      <c r="FJ253"/>
      <c r="FK253"/>
      <c r="FL253"/>
      <c r="FM253"/>
      <c r="FN253"/>
      <c r="FO253"/>
      <c r="FP253"/>
      <c r="FQ253"/>
      <c r="FR253"/>
      <c r="FS253"/>
      <c r="FT253"/>
      <c r="FU253"/>
      <c r="FV253"/>
      <c r="FW253"/>
      <c r="FX253"/>
      <c r="FY253"/>
      <c r="FZ253"/>
      <c r="GA253"/>
      <c r="GB253"/>
      <c r="GC253"/>
      <c r="GD253"/>
      <c r="GE253"/>
      <c r="GF253"/>
      <c r="GG253"/>
      <c r="GH253"/>
      <c r="GI253"/>
      <c r="GJ253"/>
      <c r="GK253"/>
      <c r="GL253"/>
      <c r="GM253"/>
      <c r="GN253"/>
      <c r="GO253"/>
      <c r="GP253"/>
      <c r="GQ253"/>
      <c r="GR253"/>
      <c r="GS253"/>
      <c r="GT253"/>
      <c r="GU253"/>
      <c r="GV253"/>
      <c r="GW253"/>
      <c r="GX253"/>
      <c r="GY253"/>
      <c r="GZ253"/>
      <c r="HA253"/>
      <c r="HB253"/>
      <c r="HC253"/>
      <c r="HD253"/>
      <c r="HE253"/>
      <c r="HF253"/>
      <c r="HG253"/>
      <c r="HH253"/>
      <c r="HI253"/>
      <c r="HJ253"/>
      <c r="HK253"/>
      <c r="HL253"/>
      <c r="HM253"/>
      <c r="HN253"/>
      <c r="HO253"/>
      <c r="HP253"/>
      <c r="HQ253"/>
      <c r="HR253"/>
      <c r="HS253"/>
      <c r="HT253"/>
      <c r="HU253"/>
      <c r="HV253"/>
      <c r="HW253"/>
      <c r="HX253"/>
      <c r="HY253"/>
      <c r="HZ253"/>
      <c r="IA253"/>
      <c r="IB253"/>
      <c r="IC253"/>
      <c r="ID253"/>
      <c r="IE253"/>
      <c r="IF253"/>
      <c r="IG253"/>
      <c r="IH253"/>
      <c r="II253"/>
      <c r="IJ253"/>
      <c r="IK253"/>
      <c r="IL253"/>
      <c r="IM253"/>
      <c r="IN253"/>
      <c r="IO253"/>
      <c r="IP253"/>
      <c r="IQ253"/>
      <c r="IR253"/>
      <c r="IS253"/>
      <c r="IT253"/>
      <c r="IU253"/>
      <c r="IV253"/>
      <c r="IW253"/>
      <c r="IX253"/>
      <c r="IY253"/>
      <c r="IZ253"/>
      <c r="JA253"/>
      <c r="JB253"/>
      <c r="JC253"/>
      <c r="JD253"/>
      <c r="JE253"/>
      <c r="JF253"/>
      <c r="JG253"/>
      <c r="JH253"/>
      <c r="JI253"/>
      <c r="JJ253"/>
      <c r="JK253"/>
      <c r="JL253"/>
      <c r="JM253"/>
      <c r="JN253"/>
      <c r="JO253"/>
      <c r="JP253"/>
      <c r="JQ253"/>
      <c r="JR253"/>
      <c r="JS253"/>
      <c r="JT253"/>
      <c r="JU253"/>
      <c r="JV253"/>
      <c r="JW253"/>
      <c r="JX253"/>
      <c r="JY253"/>
      <c r="JZ253"/>
      <c r="KA253"/>
      <c r="KB253"/>
      <c r="KC253"/>
      <c r="KD253"/>
      <c r="KE253"/>
      <c r="KF253"/>
      <c r="KG253"/>
      <c r="KH253"/>
      <c r="KI253"/>
      <c r="KJ253"/>
      <c r="KK253"/>
      <c r="KL253"/>
      <c r="KM253"/>
      <c r="KN253"/>
      <c r="KO253"/>
      <c r="KP253"/>
      <c r="KQ253"/>
      <c r="KR253"/>
      <c r="KS253"/>
      <c r="KT253"/>
      <c r="KU253"/>
      <c r="KV253"/>
      <c r="KW253"/>
      <c r="KX253"/>
      <c r="KY253"/>
      <c r="KZ253"/>
      <c r="LA253"/>
      <c r="LB253"/>
      <c r="LC253"/>
      <c r="LD253"/>
      <c r="LE253"/>
      <c r="LF253"/>
      <c r="LG253"/>
      <c r="LH253"/>
      <c r="LI253"/>
      <c r="LJ253"/>
      <c r="LK253"/>
      <c r="LL253"/>
      <c r="LM253"/>
      <c r="LN253"/>
      <c r="LO253"/>
      <c r="LP253"/>
      <c r="LQ253"/>
      <c r="LR253"/>
      <c r="LS253"/>
      <c r="LT253"/>
      <c r="LU253"/>
      <c r="LV253"/>
      <c r="LW253"/>
      <c r="LX253"/>
      <c r="LY253"/>
      <c r="LZ253"/>
      <c r="MA253"/>
      <c r="MB253"/>
      <c r="MC253"/>
      <c r="MD253"/>
      <c r="ME253"/>
      <c r="MF253"/>
      <c r="MG253"/>
      <c r="MH253"/>
      <c r="MI253"/>
      <c r="MJ253"/>
      <c r="MK253"/>
      <c r="ML253"/>
      <c r="MM253"/>
      <c r="MN253"/>
      <c r="MO253"/>
      <c r="MP253"/>
      <c r="MQ253"/>
      <c r="MR253"/>
      <c r="MS253"/>
      <c r="MT253"/>
      <c r="MU253"/>
      <c r="MV253"/>
      <c r="MW253"/>
      <c r="MX253"/>
      <c r="MY253"/>
      <c r="MZ253"/>
      <c r="NA253"/>
      <c r="NB253"/>
      <c r="NC253"/>
      <c r="ND253"/>
      <c r="NE253"/>
      <c r="NF253"/>
      <c r="NG253"/>
      <c r="NH253"/>
      <c r="NI253"/>
      <c r="NJ253"/>
      <c r="NK253"/>
      <c r="NL253"/>
      <c r="NM253"/>
      <c r="NN253"/>
      <c r="NO253"/>
      <c r="NP253"/>
      <c r="NQ253"/>
      <c r="NR253"/>
      <c r="NS253"/>
      <c r="NT253"/>
      <c r="NU253"/>
      <c r="NV253"/>
      <c r="NW253"/>
      <c r="NX253"/>
      <c r="NY253"/>
      <c r="NZ253"/>
      <c r="OA253"/>
      <c r="OB253"/>
      <c r="OC253"/>
      <c r="OD253"/>
      <c r="OE253"/>
      <c r="OF253"/>
      <c r="OG253"/>
      <c r="OH253"/>
      <c r="OI253"/>
      <c r="OJ253"/>
      <c r="OK253"/>
      <c r="OL253"/>
      <c r="OM253"/>
      <c r="ON253"/>
      <c r="OO253"/>
      <c r="OP253"/>
      <c r="OQ253"/>
      <c r="OR253"/>
      <c r="OS253"/>
      <c r="OT253"/>
      <c r="OU253"/>
      <c r="OV253"/>
      <c r="OW253"/>
      <c r="OX253"/>
      <c r="OY253"/>
      <c r="OZ253"/>
      <c r="PA253"/>
      <c r="PB253"/>
      <c r="PC253"/>
      <c r="PD253"/>
      <c r="PE253"/>
      <c r="PF253"/>
      <c r="PG253"/>
      <c r="PH253"/>
      <c r="PI253"/>
      <c r="PJ253"/>
      <c r="PK253"/>
      <c r="PL253"/>
      <c r="PM253"/>
      <c r="PN253"/>
      <c r="PO253"/>
      <c r="PP253"/>
      <c r="PQ253"/>
      <c r="PR253"/>
      <c r="PS253"/>
      <c r="PT253"/>
      <c r="PU253"/>
      <c r="PV253"/>
      <c r="PW253"/>
      <c r="PX253"/>
      <c r="PY253"/>
      <c r="PZ253"/>
      <c r="QA253"/>
      <c r="QB253"/>
      <c r="QC253"/>
      <c r="QD253"/>
      <c r="QE253"/>
      <c r="QF253"/>
      <c r="QG253"/>
      <c r="QH253"/>
      <c r="QI253"/>
      <c r="QJ253"/>
      <c r="QK253"/>
      <c r="QL253"/>
      <c r="QM253"/>
      <c r="QN253"/>
      <c r="QO253"/>
      <c r="QP253"/>
      <c r="QQ253"/>
      <c r="QR253"/>
      <c r="QS253"/>
      <c r="QT253"/>
      <c r="QU253"/>
      <c r="QV253"/>
      <c r="QW253"/>
      <c r="QX253"/>
      <c r="QY253"/>
      <c r="QZ253"/>
      <c r="RA253"/>
      <c r="RB253"/>
      <c r="RC253"/>
      <c r="RD253"/>
      <c r="RE253"/>
      <c r="RF253"/>
      <c r="RG253"/>
      <c r="RH253"/>
      <c r="RI253"/>
      <c r="RJ253"/>
      <c r="RK253"/>
      <c r="RL253"/>
      <c r="RM253"/>
      <c r="RN253"/>
      <c r="RO253"/>
      <c r="RP253"/>
      <c r="RQ253"/>
      <c r="RR253"/>
      <c r="RS253"/>
    </row>
    <row r="254" spans="3:487" x14ac:dyDescent="0.25">
      <c r="C254" s="2" t="s">
        <v>3812</v>
      </c>
      <c r="D254" s="34">
        <v>0</v>
      </c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D254"/>
      <c r="BE254"/>
      <c r="BF254"/>
      <c r="BG254"/>
      <c r="BH254"/>
      <c r="BI254"/>
      <c r="BJ254"/>
      <c r="BK254"/>
      <c r="BL254"/>
      <c r="BM254"/>
      <c r="BN254"/>
      <c r="BO254"/>
      <c r="BP254"/>
      <c r="BQ254"/>
      <c r="BR254"/>
      <c r="BS254"/>
      <c r="BT254"/>
      <c r="BU254"/>
      <c r="BV254"/>
      <c r="BW254"/>
      <c r="BX254"/>
      <c r="BY254"/>
      <c r="BZ254"/>
      <c r="CA254"/>
      <c r="CB254"/>
      <c r="CC254"/>
      <c r="CD254"/>
      <c r="CE254"/>
      <c r="CF254"/>
      <c r="CG254"/>
      <c r="CH254"/>
      <c r="CI254"/>
      <c r="CJ254"/>
      <c r="CK254"/>
      <c r="CL254"/>
      <c r="CM254"/>
      <c r="CN254"/>
      <c r="CO254"/>
      <c r="CP254"/>
      <c r="CQ254"/>
      <c r="CR254"/>
      <c r="CS254"/>
      <c r="CT254"/>
      <c r="CU254"/>
      <c r="CV254"/>
      <c r="CW254"/>
      <c r="CX254"/>
      <c r="CY254"/>
      <c r="CZ254"/>
      <c r="DA254"/>
      <c r="DB254"/>
      <c r="DC254"/>
      <c r="DD254"/>
      <c r="DE254"/>
      <c r="DF254"/>
      <c r="DG254"/>
      <c r="DH254"/>
      <c r="DI254"/>
      <c r="DJ254"/>
      <c r="DK254"/>
      <c r="DL254"/>
      <c r="DM254"/>
      <c r="DN254"/>
      <c r="DO254"/>
      <c r="DP254"/>
      <c r="DQ254"/>
      <c r="DR254"/>
      <c r="DS254"/>
      <c r="DT254"/>
      <c r="DU254"/>
      <c r="DV254"/>
      <c r="DW254"/>
      <c r="DX254"/>
      <c r="DY254"/>
      <c r="DZ254"/>
      <c r="EA254"/>
      <c r="EB254"/>
      <c r="EC254"/>
      <c r="ED254"/>
      <c r="EE254"/>
      <c r="EF254"/>
      <c r="EG254"/>
      <c r="EH254"/>
      <c r="EI254"/>
      <c r="EJ254"/>
      <c r="EK254"/>
      <c r="EL254"/>
      <c r="EM254"/>
      <c r="EN254"/>
      <c r="EO254"/>
      <c r="EP254"/>
      <c r="EQ254"/>
      <c r="ER254"/>
      <c r="ES254"/>
      <c r="ET254"/>
      <c r="EU254"/>
      <c r="EV254"/>
      <c r="EW254"/>
      <c r="EX254"/>
      <c r="EY254"/>
      <c r="EZ254"/>
      <c r="FA254"/>
      <c r="FB254"/>
      <c r="FC254"/>
      <c r="FD254"/>
      <c r="FE254"/>
      <c r="FF254"/>
      <c r="FG254"/>
      <c r="FH254"/>
      <c r="FI254"/>
      <c r="FJ254"/>
      <c r="FK254"/>
      <c r="FL254"/>
      <c r="FM254"/>
      <c r="FN254"/>
      <c r="FO254"/>
      <c r="FP254"/>
      <c r="FQ254"/>
      <c r="FR254"/>
      <c r="FS254"/>
      <c r="FT254"/>
      <c r="FU254"/>
      <c r="FV254"/>
      <c r="FW254"/>
      <c r="FX254"/>
      <c r="FY254"/>
      <c r="FZ254"/>
      <c r="GA254"/>
      <c r="GB254"/>
      <c r="GC254"/>
      <c r="GD254"/>
      <c r="GE254"/>
      <c r="GF254"/>
      <c r="GG254"/>
      <c r="GH254"/>
      <c r="GI254"/>
      <c r="GJ254"/>
      <c r="GK254"/>
      <c r="GL254"/>
      <c r="GM254"/>
      <c r="GN254"/>
      <c r="GO254"/>
      <c r="GP254"/>
      <c r="GQ254"/>
      <c r="GR254"/>
      <c r="GS254"/>
      <c r="GT254"/>
      <c r="GU254"/>
      <c r="GV254"/>
      <c r="GW254"/>
      <c r="GX254"/>
      <c r="GY254"/>
      <c r="GZ254"/>
      <c r="HA254"/>
      <c r="HB254"/>
      <c r="HC254"/>
      <c r="HD254"/>
      <c r="HE254"/>
      <c r="HF254"/>
      <c r="HG254"/>
      <c r="HH254"/>
      <c r="HI254"/>
      <c r="HJ254"/>
      <c r="HK254"/>
      <c r="HL254"/>
      <c r="HM254"/>
      <c r="HN254"/>
      <c r="HO254"/>
      <c r="HP254"/>
      <c r="HQ254"/>
      <c r="HR254"/>
      <c r="HS254"/>
      <c r="HT254"/>
      <c r="HU254"/>
      <c r="HV254"/>
      <c r="HW254"/>
      <c r="HX254"/>
      <c r="HY254"/>
      <c r="HZ254"/>
      <c r="IA254"/>
      <c r="IB254"/>
      <c r="IC254"/>
      <c r="ID254"/>
      <c r="IE254"/>
      <c r="IF254"/>
      <c r="IG254"/>
      <c r="IH254"/>
      <c r="II254"/>
      <c r="IJ254"/>
      <c r="IK254"/>
      <c r="IL254"/>
      <c r="IM254"/>
      <c r="IN254"/>
      <c r="IO254"/>
      <c r="IP254"/>
      <c r="IQ254"/>
      <c r="IR254"/>
      <c r="IS254"/>
      <c r="IT254"/>
      <c r="IU254"/>
      <c r="IV254"/>
      <c r="IW254"/>
      <c r="IX254"/>
      <c r="IY254"/>
      <c r="IZ254"/>
      <c r="JA254"/>
      <c r="JB254"/>
      <c r="JC254"/>
      <c r="JD254"/>
      <c r="JE254"/>
      <c r="JF254"/>
      <c r="JG254"/>
      <c r="JH254"/>
      <c r="JI254"/>
      <c r="JJ254"/>
      <c r="JK254"/>
      <c r="JL254"/>
      <c r="JM254"/>
      <c r="JN254"/>
      <c r="JO254"/>
      <c r="JP254"/>
      <c r="JQ254"/>
      <c r="JR254"/>
      <c r="JS254"/>
      <c r="JT254"/>
      <c r="JU254"/>
      <c r="JV254"/>
      <c r="JW254"/>
      <c r="JX254"/>
      <c r="JY254"/>
      <c r="JZ254"/>
      <c r="KA254"/>
      <c r="KB254"/>
      <c r="KC254"/>
      <c r="KD254"/>
      <c r="KE254"/>
      <c r="KF254"/>
      <c r="KG254"/>
      <c r="KH254"/>
      <c r="KI254"/>
      <c r="KJ254"/>
      <c r="KK254"/>
      <c r="KL254"/>
      <c r="KM254"/>
      <c r="KN254"/>
      <c r="KO254"/>
      <c r="KP254"/>
      <c r="KQ254"/>
      <c r="KR254"/>
      <c r="KS254"/>
      <c r="KT254"/>
      <c r="KU254"/>
      <c r="KV254"/>
      <c r="KW254"/>
      <c r="KX254"/>
      <c r="KY254"/>
      <c r="KZ254"/>
      <c r="LA254"/>
      <c r="LB254"/>
      <c r="LC254"/>
      <c r="LD254"/>
      <c r="LE254"/>
      <c r="LF254"/>
      <c r="LG254"/>
      <c r="LH254"/>
      <c r="LI254"/>
      <c r="LJ254"/>
      <c r="LK254"/>
      <c r="LL254"/>
      <c r="LM254"/>
      <c r="LN254"/>
      <c r="LO254"/>
      <c r="LP254"/>
      <c r="LQ254"/>
      <c r="LR254"/>
      <c r="LS254"/>
      <c r="LT254"/>
      <c r="LU254"/>
      <c r="LV254"/>
      <c r="LW254"/>
      <c r="LX254"/>
      <c r="LY254"/>
      <c r="LZ254"/>
      <c r="MA254"/>
      <c r="MB254"/>
      <c r="MC254"/>
      <c r="MD254"/>
      <c r="ME254"/>
      <c r="MF254"/>
      <c r="MG254"/>
      <c r="MH254"/>
      <c r="MI254"/>
      <c r="MJ254"/>
      <c r="MK254"/>
      <c r="ML254"/>
      <c r="MM254"/>
      <c r="MN254"/>
      <c r="MO254"/>
      <c r="MP254"/>
      <c r="MQ254"/>
      <c r="MR254"/>
      <c r="MS254"/>
      <c r="MT254"/>
      <c r="MU254"/>
      <c r="MV254"/>
      <c r="MW254"/>
      <c r="MX254"/>
      <c r="MY254"/>
      <c r="MZ254"/>
      <c r="NA254"/>
      <c r="NB254"/>
      <c r="NC254"/>
      <c r="ND254"/>
      <c r="NE254"/>
      <c r="NF254"/>
      <c r="NG254"/>
      <c r="NH254"/>
      <c r="NI254"/>
      <c r="NJ254"/>
      <c r="NK254"/>
      <c r="NL254"/>
      <c r="NM254"/>
      <c r="NN254"/>
      <c r="NO254"/>
      <c r="NP254"/>
      <c r="NQ254"/>
      <c r="NR254"/>
      <c r="NS254"/>
      <c r="NT254"/>
      <c r="NU254"/>
      <c r="NV254"/>
      <c r="NW254"/>
      <c r="NX254"/>
      <c r="NY254"/>
      <c r="NZ254"/>
      <c r="OA254"/>
      <c r="OB254"/>
      <c r="OC254"/>
      <c r="OD254"/>
      <c r="OE254"/>
      <c r="OF254"/>
      <c r="OG254"/>
      <c r="OH254"/>
      <c r="OI254"/>
      <c r="OJ254"/>
      <c r="OK254"/>
      <c r="OL254"/>
      <c r="OM254"/>
      <c r="ON254"/>
      <c r="OO254"/>
      <c r="OP254"/>
      <c r="OQ254"/>
      <c r="OR254"/>
      <c r="OS254"/>
      <c r="OT254"/>
      <c r="OU254"/>
      <c r="OV254"/>
      <c r="OW254"/>
      <c r="OX254"/>
      <c r="OY254"/>
      <c r="OZ254"/>
      <c r="PA254"/>
      <c r="PB254"/>
      <c r="PC254"/>
      <c r="PD254"/>
      <c r="PE254"/>
      <c r="PF254"/>
      <c r="PG254"/>
      <c r="PH254"/>
      <c r="PI254"/>
      <c r="PJ254"/>
      <c r="PK254"/>
      <c r="PL254"/>
      <c r="PM254"/>
      <c r="PN254"/>
      <c r="PO254"/>
      <c r="PP254"/>
      <c r="PQ254"/>
      <c r="PR254"/>
      <c r="PS254"/>
      <c r="PT254"/>
      <c r="PU254"/>
      <c r="PV254"/>
      <c r="PW254"/>
      <c r="PX254"/>
      <c r="PY254"/>
      <c r="PZ254"/>
      <c r="QA254"/>
      <c r="QB254"/>
      <c r="QC254"/>
      <c r="QD254"/>
      <c r="QE254"/>
      <c r="QF254"/>
      <c r="QG254"/>
      <c r="QH254"/>
      <c r="QI254"/>
      <c r="QJ254"/>
      <c r="QK254"/>
      <c r="QL254"/>
      <c r="QM254"/>
      <c r="QN254"/>
      <c r="QO254"/>
      <c r="QP254"/>
      <c r="QQ254"/>
      <c r="QR254"/>
      <c r="QS254"/>
      <c r="QT254"/>
      <c r="QU254"/>
      <c r="QV254"/>
      <c r="QW254"/>
      <c r="QX254"/>
      <c r="QY254"/>
      <c r="QZ254"/>
      <c r="RA254"/>
      <c r="RB254"/>
      <c r="RC254"/>
      <c r="RD254"/>
      <c r="RE254"/>
      <c r="RF254"/>
      <c r="RG254"/>
      <c r="RH254"/>
      <c r="RI254"/>
      <c r="RJ254"/>
      <c r="RK254"/>
      <c r="RL254"/>
      <c r="RM254"/>
      <c r="RN254"/>
      <c r="RO254"/>
      <c r="RP254"/>
      <c r="RQ254"/>
      <c r="RR254"/>
      <c r="RS254"/>
    </row>
    <row r="255" spans="3:487" x14ac:dyDescent="0.25">
      <c r="C255" s="2" t="s">
        <v>3673</v>
      </c>
      <c r="D255" s="34">
        <v>0</v>
      </c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D255"/>
      <c r="BE255"/>
      <c r="BF255"/>
      <c r="BG255"/>
      <c r="BH255"/>
      <c r="BI255"/>
      <c r="BJ255"/>
      <c r="BK255"/>
      <c r="BL255"/>
      <c r="BM255"/>
      <c r="BN255"/>
      <c r="BO255"/>
      <c r="BP255"/>
      <c r="BQ255"/>
      <c r="BR255"/>
      <c r="BS255"/>
      <c r="BT255"/>
      <c r="BU255"/>
      <c r="BV255"/>
      <c r="BW255"/>
      <c r="BX255"/>
      <c r="BY255"/>
      <c r="BZ255"/>
      <c r="CA255"/>
      <c r="CB255"/>
      <c r="CC255"/>
      <c r="CD255"/>
      <c r="CE255"/>
      <c r="CF255"/>
      <c r="CG255"/>
      <c r="CH255"/>
      <c r="CI255"/>
      <c r="CJ255"/>
      <c r="CK255"/>
      <c r="CL255"/>
      <c r="CM255"/>
      <c r="CN255"/>
      <c r="CO255"/>
      <c r="CP255"/>
      <c r="CQ255"/>
      <c r="CR255"/>
      <c r="CS255"/>
      <c r="CT255"/>
      <c r="CU255"/>
      <c r="CV255"/>
      <c r="CW255"/>
      <c r="CX255"/>
      <c r="CY255"/>
      <c r="CZ255"/>
      <c r="DA255"/>
      <c r="DB255"/>
      <c r="DC255"/>
      <c r="DD255"/>
      <c r="DE255"/>
      <c r="DF255"/>
      <c r="DG255"/>
      <c r="DH255"/>
      <c r="DI255"/>
      <c r="DJ255"/>
      <c r="DK255"/>
      <c r="DL255"/>
      <c r="DM255"/>
      <c r="DN255"/>
      <c r="DO255"/>
      <c r="DP255"/>
      <c r="DQ255"/>
      <c r="DR255"/>
      <c r="DS255"/>
      <c r="DT255"/>
      <c r="DU255"/>
      <c r="DV255"/>
      <c r="DW255"/>
      <c r="DX255"/>
      <c r="DY255"/>
      <c r="DZ255"/>
      <c r="EA255"/>
      <c r="EB255"/>
      <c r="EC255"/>
      <c r="ED255"/>
      <c r="EE255"/>
      <c r="EF255"/>
      <c r="EG255"/>
      <c r="EH255"/>
      <c r="EI255"/>
      <c r="EJ255"/>
      <c r="EK255"/>
      <c r="EL255"/>
      <c r="EM255"/>
      <c r="EN255"/>
      <c r="EO255"/>
      <c r="EP255"/>
      <c r="EQ255"/>
      <c r="ER255"/>
      <c r="ES255"/>
      <c r="ET255"/>
      <c r="EU255"/>
      <c r="EV255"/>
      <c r="EW255"/>
      <c r="EX255"/>
      <c r="EY255"/>
      <c r="EZ255"/>
      <c r="FA255"/>
      <c r="FB255"/>
      <c r="FC255"/>
      <c r="FD255"/>
      <c r="FE255"/>
      <c r="FF255"/>
      <c r="FG255"/>
      <c r="FH255"/>
      <c r="FI255"/>
      <c r="FJ255"/>
      <c r="FK255"/>
      <c r="FL255"/>
      <c r="FM255"/>
      <c r="FN255"/>
      <c r="FO255"/>
      <c r="FP255"/>
      <c r="FQ255"/>
      <c r="FR255"/>
      <c r="FS255"/>
      <c r="FT255"/>
      <c r="FU255"/>
      <c r="FV255"/>
      <c r="FW255"/>
      <c r="FX255"/>
      <c r="FY255"/>
      <c r="FZ255"/>
      <c r="GA255"/>
      <c r="GB255"/>
      <c r="GC255"/>
      <c r="GD255"/>
      <c r="GE255"/>
      <c r="GF255"/>
      <c r="GG255"/>
      <c r="GH255"/>
      <c r="GI255"/>
      <c r="GJ255"/>
      <c r="GK255"/>
      <c r="GL255"/>
      <c r="GM255"/>
      <c r="GN255"/>
      <c r="GO255"/>
      <c r="GP255"/>
      <c r="GQ255"/>
      <c r="GR255"/>
      <c r="GS255"/>
      <c r="GT255"/>
      <c r="GU255"/>
      <c r="GV255"/>
      <c r="GW255"/>
      <c r="GX255"/>
      <c r="GY255"/>
      <c r="GZ255"/>
      <c r="HA255"/>
      <c r="HB255"/>
      <c r="HC255"/>
      <c r="HD255"/>
      <c r="HE255"/>
      <c r="HF255"/>
      <c r="HG255"/>
      <c r="HH255"/>
      <c r="HI255"/>
      <c r="HJ255"/>
      <c r="HK255"/>
      <c r="HL255"/>
      <c r="HM255"/>
      <c r="HN255"/>
      <c r="HO255"/>
      <c r="HP255"/>
      <c r="HQ255"/>
      <c r="HR255"/>
      <c r="HS255"/>
      <c r="HT255"/>
      <c r="HU255"/>
      <c r="HV255"/>
      <c r="HW255"/>
      <c r="HX255"/>
      <c r="HY255"/>
      <c r="HZ255"/>
      <c r="IA255"/>
      <c r="IB255"/>
      <c r="IC255"/>
      <c r="ID255"/>
      <c r="IE255"/>
      <c r="IF255"/>
      <c r="IG255"/>
      <c r="IH255"/>
      <c r="II255"/>
      <c r="IJ255"/>
      <c r="IK255"/>
      <c r="IL255"/>
      <c r="IM255"/>
      <c r="IN255"/>
      <c r="IO255"/>
      <c r="IP255"/>
      <c r="IQ255"/>
      <c r="IR255"/>
      <c r="IS255"/>
      <c r="IT255"/>
      <c r="IU255"/>
      <c r="IV255"/>
      <c r="IW255"/>
      <c r="IX255"/>
      <c r="IY255"/>
      <c r="IZ255"/>
      <c r="JA255"/>
      <c r="JB255"/>
      <c r="JC255"/>
      <c r="JD255"/>
      <c r="JE255"/>
      <c r="JF255"/>
      <c r="JG255"/>
      <c r="JH255"/>
      <c r="JI255"/>
      <c r="JJ255"/>
      <c r="JK255"/>
      <c r="JL255"/>
      <c r="JM255"/>
      <c r="JN255"/>
      <c r="JO255"/>
      <c r="JP255"/>
      <c r="JQ255"/>
      <c r="JR255"/>
      <c r="JS255"/>
      <c r="JT255"/>
      <c r="JU255"/>
      <c r="JV255"/>
      <c r="JW255"/>
      <c r="JX255"/>
      <c r="JY255"/>
      <c r="JZ255"/>
      <c r="KA255"/>
      <c r="KB255"/>
      <c r="KC255"/>
      <c r="KD255"/>
      <c r="KE255"/>
      <c r="KF255"/>
      <c r="KG255"/>
      <c r="KH255"/>
      <c r="KI255"/>
      <c r="KJ255"/>
      <c r="KK255"/>
      <c r="KL255"/>
      <c r="KM255"/>
      <c r="KN255"/>
      <c r="KO255"/>
      <c r="KP255"/>
      <c r="KQ255"/>
      <c r="KR255"/>
      <c r="KS255"/>
      <c r="KT255"/>
      <c r="KU255"/>
      <c r="KV255"/>
      <c r="KW255"/>
      <c r="KX255"/>
      <c r="KY255"/>
      <c r="KZ255"/>
      <c r="LA255"/>
      <c r="LB255"/>
      <c r="LC255"/>
      <c r="LD255"/>
      <c r="LE255"/>
      <c r="LF255"/>
      <c r="LG255"/>
      <c r="LH255"/>
      <c r="LI255"/>
      <c r="LJ255"/>
      <c r="LK255"/>
      <c r="LL255"/>
      <c r="LM255"/>
      <c r="LN255"/>
      <c r="LO255"/>
      <c r="LP255"/>
      <c r="LQ255"/>
      <c r="LR255"/>
      <c r="LS255"/>
      <c r="LT255"/>
      <c r="LU255"/>
      <c r="LV255"/>
      <c r="LW255"/>
      <c r="LX255"/>
      <c r="LY255"/>
      <c r="LZ255"/>
      <c r="MA255"/>
      <c r="MB255"/>
      <c r="MC255"/>
      <c r="MD255"/>
      <c r="ME255"/>
      <c r="MF255"/>
      <c r="MG255"/>
      <c r="MH255"/>
      <c r="MI255"/>
      <c r="MJ255"/>
      <c r="MK255"/>
      <c r="ML255"/>
      <c r="MM255"/>
      <c r="MN255"/>
      <c r="MO255"/>
      <c r="MP255"/>
      <c r="MQ255"/>
      <c r="MR255"/>
      <c r="MS255"/>
      <c r="MT255"/>
      <c r="MU255"/>
      <c r="MV255"/>
      <c r="MW255"/>
      <c r="MX255"/>
      <c r="MY255"/>
      <c r="MZ255"/>
      <c r="NA255"/>
      <c r="NB255"/>
      <c r="NC255"/>
      <c r="ND255"/>
      <c r="NE255"/>
      <c r="NF255"/>
      <c r="NG255"/>
      <c r="NH255"/>
      <c r="NI255"/>
      <c r="NJ255"/>
      <c r="NK255"/>
      <c r="NL255"/>
      <c r="NM255"/>
      <c r="NN255"/>
      <c r="NO255"/>
      <c r="NP255"/>
      <c r="NQ255"/>
      <c r="NR255"/>
      <c r="NS255"/>
      <c r="NT255"/>
      <c r="NU255"/>
      <c r="NV255"/>
      <c r="NW255"/>
      <c r="NX255"/>
      <c r="NY255"/>
      <c r="NZ255"/>
      <c r="OA255"/>
      <c r="OB255"/>
      <c r="OC255"/>
      <c r="OD255"/>
      <c r="OE255"/>
      <c r="OF255"/>
      <c r="OG255"/>
      <c r="OH255"/>
      <c r="OI255"/>
      <c r="OJ255"/>
      <c r="OK255"/>
      <c r="OL255"/>
      <c r="OM255"/>
      <c r="ON255"/>
      <c r="OO255"/>
      <c r="OP255"/>
      <c r="OQ255"/>
      <c r="OR255"/>
      <c r="OS255"/>
      <c r="OT255"/>
      <c r="OU255"/>
      <c r="OV255"/>
      <c r="OW255"/>
      <c r="OX255"/>
      <c r="OY255"/>
      <c r="OZ255"/>
      <c r="PA255"/>
      <c r="PB255"/>
      <c r="PC255"/>
      <c r="PD255"/>
      <c r="PE255"/>
      <c r="PF255"/>
      <c r="PG255"/>
      <c r="PH255"/>
      <c r="PI255"/>
      <c r="PJ255"/>
      <c r="PK255"/>
      <c r="PL255"/>
      <c r="PM255"/>
      <c r="PN255"/>
      <c r="PO255"/>
      <c r="PP255"/>
      <c r="PQ255"/>
      <c r="PR255"/>
      <c r="PS255"/>
      <c r="PT255"/>
      <c r="PU255"/>
      <c r="PV255"/>
      <c r="PW255"/>
      <c r="PX255"/>
      <c r="PY255"/>
      <c r="PZ255"/>
      <c r="QA255"/>
      <c r="QB255"/>
      <c r="QC255"/>
      <c r="QD255"/>
      <c r="QE255"/>
      <c r="QF255"/>
      <c r="QG255"/>
      <c r="QH255"/>
      <c r="QI255"/>
      <c r="QJ255"/>
      <c r="QK255"/>
      <c r="QL255"/>
      <c r="QM255"/>
      <c r="QN255"/>
      <c r="QO255"/>
      <c r="QP255"/>
      <c r="QQ255"/>
      <c r="QR255"/>
      <c r="QS255"/>
      <c r="QT255"/>
      <c r="QU255"/>
      <c r="QV255"/>
      <c r="QW255"/>
      <c r="QX255"/>
      <c r="QY255"/>
      <c r="QZ255"/>
      <c r="RA255"/>
      <c r="RB255"/>
      <c r="RC255"/>
      <c r="RD255"/>
      <c r="RE255"/>
      <c r="RF255"/>
      <c r="RG255"/>
      <c r="RH255"/>
      <c r="RI255"/>
      <c r="RJ255"/>
      <c r="RK255"/>
      <c r="RL255"/>
      <c r="RM255"/>
      <c r="RN255"/>
      <c r="RO255"/>
      <c r="RP255"/>
      <c r="RQ255"/>
      <c r="RR255"/>
      <c r="RS255"/>
    </row>
    <row r="256" spans="3:487" x14ac:dyDescent="0.25">
      <c r="C256" s="2" t="s">
        <v>3753</v>
      </c>
      <c r="D256" s="34">
        <v>0</v>
      </c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D256"/>
      <c r="BE256"/>
      <c r="BF256"/>
      <c r="BG256"/>
      <c r="BH256"/>
      <c r="BI256"/>
      <c r="BJ256"/>
      <c r="BK256"/>
      <c r="BL256"/>
      <c r="BM256"/>
      <c r="BN256"/>
      <c r="BO256"/>
      <c r="BP256"/>
      <c r="BQ256"/>
      <c r="BR256"/>
      <c r="BS256"/>
      <c r="BT256"/>
      <c r="BU256"/>
      <c r="BV256"/>
      <c r="BW256"/>
      <c r="BX256"/>
      <c r="BY256"/>
      <c r="BZ256"/>
      <c r="CA256"/>
      <c r="CB256"/>
      <c r="CC256"/>
      <c r="CD256"/>
      <c r="CE256"/>
      <c r="CF256"/>
      <c r="CG256"/>
      <c r="CH256"/>
      <c r="CI256"/>
      <c r="CJ256"/>
      <c r="CK256"/>
      <c r="CL256"/>
      <c r="CM256"/>
      <c r="CN256"/>
      <c r="CO256"/>
      <c r="CP256"/>
      <c r="CQ256"/>
      <c r="CR256"/>
      <c r="CS256"/>
      <c r="CT256"/>
      <c r="CU256"/>
      <c r="CV256"/>
      <c r="CW256"/>
      <c r="CX256"/>
      <c r="CY256"/>
      <c r="CZ256"/>
      <c r="DA256"/>
      <c r="DB256"/>
      <c r="DC256"/>
      <c r="DD256"/>
      <c r="DE256"/>
      <c r="DF256"/>
      <c r="DG256"/>
      <c r="DH256"/>
      <c r="DI256"/>
      <c r="DJ256"/>
      <c r="DK256"/>
      <c r="DL256"/>
      <c r="DM256"/>
      <c r="DN256"/>
      <c r="DO256"/>
      <c r="DP256"/>
      <c r="DQ256"/>
      <c r="DR256"/>
      <c r="DS256"/>
      <c r="DT256"/>
      <c r="DU256"/>
      <c r="DV256"/>
      <c r="DW256"/>
      <c r="DX256"/>
      <c r="DY256"/>
      <c r="DZ256"/>
      <c r="EA256"/>
      <c r="EB256"/>
      <c r="EC256"/>
      <c r="ED256"/>
      <c r="EE256"/>
      <c r="EF256"/>
      <c r="EG256"/>
      <c r="EH256"/>
      <c r="EI256"/>
      <c r="EJ256"/>
      <c r="EK256"/>
      <c r="EL256"/>
      <c r="EM256"/>
      <c r="EN256"/>
      <c r="EO256"/>
      <c r="EP256"/>
      <c r="EQ256"/>
      <c r="ER256"/>
      <c r="ES256"/>
      <c r="ET256"/>
      <c r="EU256"/>
      <c r="EV256"/>
      <c r="EW256"/>
      <c r="EX256"/>
      <c r="EY256"/>
      <c r="EZ256"/>
      <c r="FA256"/>
      <c r="FB256"/>
      <c r="FC256"/>
      <c r="FD256"/>
      <c r="FE256"/>
      <c r="FF256"/>
      <c r="FG256"/>
      <c r="FH256"/>
      <c r="FI256"/>
      <c r="FJ256"/>
      <c r="FK256"/>
      <c r="FL256"/>
      <c r="FM256"/>
      <c r="FN256"/>
      <c r="FO256"/>
      <c r="FP256"/>
      <c r="FQ256"/>
      <c r="FR256"/>
      <c r="FS256"/>
      <c r="FT256"/>
      <c r="FU256"/>
      <c r="FV256"/>
      <c r="FW256"/>
      <c r="FX256"/>
      <c r="FY256"/>
      <c r="FZ256"/>
      <c r="GA256"/>
      <c r="GB256"/>
      <c r="GC256"/>
      <c r="GD256"/>
      <c r="GE256"/>
      <c r="GF256"/>
      <c r="GG256"/>
      <c r="GH256"/>
      <c r="GI256"/>
      <c r="GJ256"/>
      <c r="GK256"/>
      <c r="GL256"/>
      <c r="GM256"/>
      <c r="GN256"/>
      <c r="GO256"/>
      <c r="GP256"/>
      <c r="GQ256"/>
      <c r="GR256"/>
      <c r="GS256"/>
      <c r="GT256"/>
      <c r="GU256"/>
      <c r="GV256"/>
      <c r="GW256"/>
      <c r="GX256"/>
      <c r="GY256"/>
      <c r="GZ256"/>
      <c r="HA256"/>
      <c r="HB256"/>
      <c r="HC256"/>
      <c r="HD256"/>
      <c r="HE256"/>
      <c r="HF256"/>
      <c r="HG256"/>
      <c r="HH256"/>
      <c r="HI256"/>
      <c r="HJ256"/>
      <c r="HK256"/>
      <c r="HL256"/>
      <c r="HM256"/>
      <c r="HN256"/>
      <c r="HO256"/>
      <c r="HP256"/>
      <c r="HQ256"/>
      <c r="HR256"/>
      <c r="HS256"/>
      <c r="HT256"/>
      <c r="HU256"/>
      <c r="HV256"/>
      <c r="HW256"/>
      <c r="HX256"/>
      <c r="HY256"/>
      <c r="HZ256"/>
      <c r="IA256"/>
      <c r="IB256"/>
      <c r="IC256"/>
      <c r="ID256"/>
      <c r="IE256"/>
      <c r="IF256"/>
      <c r="IG256"/>
      <c r="IH256"/>
      <c r="II256"/>
      <c r="IJ256"/>
      <c r="IK256"/>
      <c r="IL256"/>
      <c r="IM256"/>
      <c r="IN256"/>
      <c r="IO256"/>
      <c r="IP256"/>
      <c r="IQ256"/>
      <c r="IR256"/>
      <c r="IS256"/>
      <c r="IT256"/>
      <c r="IU256"/>
      <c r="IV256"/>
      <c r="IW256"/>
      <c r="IX256"/>
      <c r="IY256"/>
      <c r="IZ256"/>
      <c r="JA256"/>
      <c r="JB256"/>
      <c r="JC256"/>
      <c r="JD256"/>
      <c r="JE256"/>
      <c r="JF256"/>
      <c r="JG256"/>
      <c r="JH256"/>
      <c r="JI256"/>
      <c r="JJ256"/>
      <c r="JK256"/>
      <c r="JL256"/>
      <c r="JM256"/>
      <c r="JN256"/>
      <c r="JO256"/>
      <c r="JP256"/>
      <c r="JQ256"/>
      <c r="JR256"/>
      <c r="JS256"/>
      <c r="JT256"/>
      <c r="JU256"/>
      <c r="JV256"/>
      <c r="JW256"/>
      <c r="JX256"/>
      <c r="JY256"/>
      <c r="JZ256"/>
      <c r="KA256"/>
      <c r="KB256"/>
      <c r="KC256"/>
      <c r="KD256"/>
      <c r="KE256"/>
      <c r="KF256"/>
      <c r="KG256"/>
      <c r="KH256"/>
      <c r="KI256"/>
      <c r="KJ256"/>
      <c r="KK256"/>
      <c r="KL256"/>
      <c r="KM256"/>
      <c r="KN256"/>
      <c r="KO256"/>
      <c r="KP256"/>
      <c r="KQ256"/>
      <c r="KR256"/>
      <c r="KS256"/>
      <c r="KT256"/>
      <c r="KU256"/>
      <c r="KV256"/>
      <c r="KW256"/>
      <c r="KX256"/>
      <c r="KY256"/>
      <c r="KZ256"/>
      <c r="LA256"/>
      <c r="LB256"/>
      <c r="LC256"/>
      <c r="LD256"/>
      <c r="LE256"/>
      <c r="LF256"/>
      <c r="LG256"/>
      <c r="LH256"/>
      <c r="LI256"/>
      <c r="LJ256"/>
      <c r="LK256"/>
      <c r="LL256"/>
      <c r="LM256"/>
      <c r="LN256"/>
      <c r="LO256"/>
      <c r="LP256"/>
      <c r="LQ256"/>
      <c r="LR256"/>
      <c r="LS256"/>
      <c r="LT256"/>
      <c r="LU256"/>
      <c r="LV256"/>
      <c r="LW256"/>
      <c r="LX256"/>
      <c r="LY256"/>
      <c r="LZ256"/>
      <c r="MA256"/>
      <c r="MB256"/>
      <c r="MC256"/>
      <c r="MD256"/>
      <c r="ME256"/>
      <c r="MF256"/>
      <c r="MG256"/>
      <c r="MH256"/>
      <c r="MI256"/>
      <c r="MJ256"/>
      <c r="MK256"/>
      <c r="ML256"/>
      <c r="MM256"/>
      <c r="MN256"/>
      <c r="MO256"/>
      <c r="MP256"/>
      <c r="MQ256"/>
      <c r="MR256"/>
      <c r="MS256"/>
      <c r="MT256"/>
      <c r="MU256"/>
      <c r="MV256"/>
      <c r="MW256"/>
      <c r="MX256"/>
      <c r="MY256"/>
      <c r="MZ256"/>
      <c r="NA256"/>
      <c r="NB256"/>
      <c r="NC256"/>
      <c r="ND256"/>
      <c r="NE256"/>
      <c r="NF256"/>
      <c r="NG256"/>
      <c r="NH256"/>
      <c r="NI256"/>
      <c r="NJ256"/>
      <c r="NK256"/>
      <c r="NL256"/>
      <c r="NM256"/>
      <c r="NN256"/>
      <c r="NO256"/>
      <c r="NP256"/>
      <c r="NQ256"/>
      <c r="NR256"/>
      <c r="NS256"/>
      <c r="NT256"/>
      <c r="NU256"/>
      <c r="NV256"/>
      <c r="NW256"/>
      <c r="NX256"/>
      <c r="NY256"/>
      <c r="NZ256"/>
      <c r="OA256"/>
      <c r="OB256"/>
      <c r="OC256"/>
      <c r="OD256"/>
      <c r="OE256"/>
      <c r="OF256"/>
      <c r="OG256"/>
      <c r="OH256"/>
      <c r="OI256"/>
      <c r="OJ256"/>
      <c r="OK256"/>
      <c r="OL256"/>
      <c r="OM256"/>
      <c r="ON256"/>
      <c r="OO256"/>
      <c r="OP256"/>
      <c r="OQ256"/>
      <c r="OR256"/>
      <c r="OS256"/>
      <c r="OT256"/>
      <c r="OU256"/>
      <c r="OV256"/>
      <c r="OW256"/>
      <c r="OX256"/>
      <c r="OY256"/>
      <c r="OZ256"/>
      <c r="PA256"/>
      <c r="PB256"/>
      <c r="PC256"/>
      <c r="PD256"/>
      <c r="PE256"/>
      <c r="PF256"/>
      <c r="PG256"/>
      <c r="PH256"/>
      <c r="PI256"/>
      <c r="PJ256"/>
      <c r="PK256"/>
      <c r="PL256"/>
      <c r="PM256"/>
      <c r="PN256"/>
      <c r="PO256"/>
      <c r="PP256"/>
      <c r="PQ256"/>
      <c r="PR256"/>
      <c r="PS256"/>
      <c r="PT256"/>
      <c r="PU256"/>
      <c r="PV256"/>
      <c r="PW256"/>
      <c r="PX256"/>
      <c r="PY256"/>
      <c r="PZ256"/>
      <c r="QA256"/>
      <c r="QB256"/>
      <c r="QC256"/>
      <c r="QD256"/>
      <c r="QE256"/>
      <c r="QF256"/>
      <c r="QG256"/>
      <c r="QH256"/>
      <c r="QI256"/>
      <c r="QJ256"/>
      <c r="QK256"/>
      <c r="QL256"/>
      <c r="QM256"/>
      <c r="QN256"/>
      <c r="QO256"/>
      <c r="QP256"/>
      <c r="QQ256"/>
      <c r="QR256"/>
      <c r="QS256"/>
      <c r="QT256"/>
      <c r="QU256"/>
      <c r="QV256"/>
      <c r="QW256"/>
      <c r="QX256"/>
      <c r="QY256"/>
      <c r="QZ256"/>
      <c r="RA256"/>
      <c r="RB256"/>
      <c r="RC256"/>
      <c r="RD256"/>
      <c r="RE256"/>
      <c r="RF256"/>
      <c r="RG256"/>
      <c r="RH256"/>
      <c r="RI256"/>
      <c r="RJ256"/>
      <c r="RK256"/>
      <c r="RL256"/>
      <c r="RM256"/>
      <c r="RN256"/>
      <c r="RO256"/>
      <c r="RP256"/>
      <c r="RQ256"/>
      <c r="RR256"/>
      <c r="RS256"/>
    </row>
    <row r="257" spans="3:487" x14ac:dyDescent="0.25">
      <c r="C257" s="2" t="s">
        <v>3756</v>
      </c>
      <c r="D257" s="34">
        <v>0</v>
      </c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D257"/>
      <c r="BE257"/>
      <c r="BF257"/>
      <c r="BG257"/>
      <c r="BH257"/>
      <c r="BI257"/>
      <c r="BJ257"/>
      <c r="BK257"/>
      <c r="BL257"/>
      <c r="BM257"/>
      <c r="BN257"/>
      <c r="BO257"/>
      <c r="BP257"/>
      <c r="BQ257"/>
      <c r="BR257"/>
      <c r="BS257"/>
      <c r="BT257"/>
      <c r="BU257"/>
      <c r="BV257"/>
      <c r="BW257"/>
      <c r="BX257"/>
      <c r="BY257"/>
      <c r="BZ257"/>
      <c r="CA257"/>
      <c r="CB257"/>
      <c r="CC257"/>
      <c r="CD257"/>
      <c r="CE257"/>
      <c r="CF257"/>
      <c r="CG257"/>
      <c r="CH257"/>
      <c r="CI257"/>
      <c r="CJ257"/>
      <c r="CK257"/>
      <c r="CL257"/>
      <c r="CM257"/>
      <c r="CN257"/>
      <c r="CO257"/>
      <c r="CP257"/>
      <c r="CQ257"/>
      <c r="CR257"/>
      <c r="CS257"/>
      <c r="CT257"/>
      <c r="CU257"/>
      <c r="CV257"/>
      <c r="CW257"/>
      <c r="CX257"/>
      <c r="CY257"/>
      <c r="CZ257"/>
      <c r="DA257"/>
      <c r="DB257"/>
      <c r="DC257"/>
      <c r="DD257"/>
      <c r="DE257"/>
      <c r="DF257"/>
      <c r="DG257"/>
      <c r="DH257"/>
      <c r="DI257"/>
      <c r="DJ257"/>
      <c r="DK257"/>
      <c r="DL257"/>
      <c r="DM257"/>
      <c r="DN257"/>
      <c r="DO257"/>
      <c r="DP257"/>
      <c r="DQ257"/>
      <c r="DR257"/>
      <c r="DS257"/>
      <c r="DT257"/>
      <c r="DU257"/>
      <c r="DV257"/>
      <c r="DW257"/>
      <c r="DX257"/>
      <c r="DY257"/>
      <c r="DZ257"/>
      <c r="EA257"/>
      <c r="EB257"/>
      <c r="EC257"/>
      <c r="ED257"/>
      <c r="EE257"/>
      <c r="EF257"/>
      <c r="EG257"/>
      <c r="EH257"/>
      <c r="EI257"/>
      <c r="EJ257"/>
      <c r="EK257"/>
      <c r="EL257"/>
      <c r="EM257"/>
      <c r="EN257"/>
      <c r="EO257"/>
      <c r="EP257"/>
      <c r="EQ257"/>
      <c r="ER257"/>
      <c r="ES257"/>
      <c r="ET257"/>
      <c r="EU257"/>
      <c r="EV257"/>
      <c r="EW257"/>
      <c r="EX257"/>
      <c r="EY257"/>
      <c r="EZ257"/>
      <c r="FA257"/>
      <c r="FB257"/>
      <c r="FC257"/>
      <c r="FD257"/>
      <c r="FE257"/>
      <c r="FF257"/>
      <c r="FG257"/>
      <c r="FH257"/>
      <c r="FI257"/>
      <c r="FJ257"/>
      <c r="FK257"/>
      <c r="FL257"/>
      <c r="FM257"/>
      <c r="FN257"/>
      <c r="FO257"/>
      <c r="FP257"/>
      <c r="FQ257"/>
      <c r="FR257"/>
      <c r="FS257"/>
      <c r="FT257"/>
      <c r="FU257"/>
      <c r="FV257"/>
      <c r="FW257"/>
      <c r="FX257"/>
      <c r="FY257"/>
      <c r="FZ257"/>
      <c r="GA257"/>
      <c r="GB257"/>
      <c r="GC257"/>
      <c r="GD257"/>
      <c r="GE257"/>
      <c r="GF257"/>
      <c r="GG257"/>
      <c r="GH257"/>
      <c r="GI257"/>
      <c r="GJ257"/>
      <c r="GK257"/>
      <c r="GL257"/>
      <c r="GM257"/>
      <c r="GN257"/>
      <c r="GO257"/>
      <c r="GP257"/>
      <c r="GQ257"/>
      <c r="GR257"/>
      <c r="GS257"/>
      <c r="GT257"/>
      <c r="GU257"/>
      <c r="GV257"/>
      <c r="GW257"/>
      <c r="GX257"/>
      <c r="GY257"/>
      <c r="GZ257"/>
      <c r="HA257"/>
      <c r="HB257"/>
      <c r="HC257"/>
      <c r="HD257"/>
      <c r="HE257"/>
      <c r="HF257"/>
      <c r="HG257"/>
      <c r="HH257"/>
      <c r="HI257"/>
      <c r="HJ257"/>
      <c r="HK257"/>
      <c r="HL257"/>
      <c r="HM257"/>
      <c r="HN257"/>
      <c r="HO257"/>
      <c r="HP257"/>
      <c r="HQ257"/>
      <c r="HR257"/>
      <c r="HS257"/>
      <c r="HT257"/>
      <c r="HU257"/>
      <c r="HV257"/>
      <c r="HW257"/>
      <c r="HX257"/>
      <c r="HY257"/>
      <c r="HZ257"/>
      <c r="IA257"/>
      <c r="IB257"/>
      <c r="IC257"/>
      <c r="ID257"/>
      <c r="IE257"/>
      <c r="IF257"/>
      <c r="IG257"/>
      <c r="IH257"/>
      <c r="II257"/>
      <c r="IJ257"/>
      <c r="IK257"/>
      <c r="IL257"/>
      <c r="IM257"/>
      <c r="IN257"/>
      <c r="IO257"/>
      <c r="IP257"/>
      <c r="IQ257"/>
      <c r="IR257"/>
      <c r="IS257"/>
      <c r="IT257"/>
      <c r="IU257"/>
      <c r="IV257"/>
      <c r="IW257"/>
      <c r="IX257"/>
      <c r="IY257"/>
      <c r="IZ257"/>
      <c r="JA257"/>
      <c r="JB257"/>
      <c r="JC257"/>
      <c r="JD257"/>
      <c r="JE257"/>
      <c r="JF257"/>
      <c r="JG257"/>
      <c r="JH257"/>
      <c r="JI257"/>
      <c r="JJ257"/>
      <c r="JK257"/>
      <c r="JL257"/>
      <c r="JM257"/>
      <c r="JN257"/>
      <c r="JO257"/>
      <c r="JP257"/>
      <c r="JQ257"/>
      <c r="JR257"/>
      <c r="JS257"/>
      <c r="JT257"/>
      <c r="JU257"/>
      <c r="JV257"/>
      <c r="JW257"/>
      <c r="JX257"/>
      <c r="JY257"/>
      <c r="JZ257"/>
      <c r="KA257"/>
      <c r="KB257"/>
      <c r="KC257"/>
      <c r="KD257"/>
      <c r="KE257"/>
      <c r="KF257"/>
      <c r="KG257"/>
      <c r="KH257"/>
      <c r="KI257"/>
      <c r="KJ257"/>
      <c r="KK257"/>
      <c r="KL257"/>
      <c r="KM257"/>
      <c r="KN257"/>
      <c r="KO257"/>
      <c r="KP257"/>
      <c r="KQ257"/>
      <c r="KR257"/>
      <c r="KS257"/>
      <c r="KT257"/>
      <c r="KU257"/>
      <c r="KV257"/>
      <c r="KW257"/>
      <c r="KX257"/>
      <c r="KY257"/>
      <c r="KZ257"/>
      <c r="LA257"/>
      <c r="LB257"/>
      <c r="LC257"/>
      <c r="LD257"/>
      <c r="LE257"/>
      <c r="LF257"/>
      <c r="LG257"/>
      <c r="LH257"/>
      <c r="LI257"/>
      <c r="LJ257"/>
      <c r="LK257"/>
      <c r="LL257"/>
      <c r="LM257"/>
      <c r="LN257"/>
      <c r="LO257"/>
      <c r="LP257"/>
      <c r="LQ257"/>
      <c r="LR257"/>
      <c r="LS257"/>
      <c r="LT257"/>
      <c r="LU257"/>
      <c r="LV257"/>
      <c r="LW257"/>
      <c r="LX257"/>
      <c r="LY257"/>
      <c r="LZ257"/>
      <c r="MA257"/>
      <c r="MB257"/>
      <c r="MC257"/>
      <c r="MD257"/>
      <c r="ME257"/>
      <c r="MF257"/>
      <c r="MG257"/>
      <c r="MH257"/>
      <c r="MI257"/>
      <c r="MJ257"/>
      <c r="MK257"/>
      <c r="ML257"/>
      <c r="MM257"/>
      <c r="MN257"/>
      <c r="MO257"/>
      <c r="MP257"/>
      <c r="MQ257"/>
      <c r="MR257"/>
      <c r="MS257"/>
      <c r="MT257"/>
      <c r="MU257"/>
      <c r="MV257"/>
      <c r="MW257"/>
      <c r="MX257"/>
      <c r="MY257"/>
      <c r="MZ257"/>
      <c r="NA257"/>
      <c r="NB257"/>
      <c r="NC257"/>
      <c r="ND257"/>
      <c r="NE257"/>
      <c r="NF257"/>
      <c r="NG257"/>
      <c r="NH257"/>
      <c r="NI257"/>
      <c r="NJ257"/>
      <c r="NK257"/>
      <c r="NL257"/>
      <c r="NM257"/>
      <c r="NN257"/>
      <c r="NO257"/>
      <c r="NP257"/>
      <c r="NQ257"/>
      <c r="NR257"/>
      <c r="NS257"/>
      <c r="NT257"/>
      <c r="NU257"/>
      <c r="NV257"/>
      <c r="NW257"/>
      <c r="NX257"/>
      <c r="NY257"/>
      <c r="NZ257"/>
      <c r="OA257"/>
      <c r="OB257"/>
      <c r="OC257"/>
      <c r="OD257"/>
      <c r="OE257"/>
      <c r="OF257"/>
      <c r="OG257"/>
      <c r="OH257"/>
      <c r="OI257"/>
      <c r="OJ257"/>
      <c r="OK257"/>
      <c r="OL257"/>
      <c r="OM257"/>
      <c r="ON257"/>
      <c r="OO257"/>
      <c r="OP257"/>
      <c r="OQ257"/>
      <c r="OR257"/>
      <c r="OS257"/>
      <c r="OT257"/>
      <c r="OU257"/>
      <c r="OV257"/>
      <c r="OW257"/>
      <c r="OX257"/>
      <c r="OY257"/>
      <c r="OZ257"/>
      <c r="PA257"/>
      <c r="PB257"/>
      <c r="PC257"/>
      <c r="PD257"/>
      <c r="PE257"/>
      <c r="PF257"/>
      <c r="PG257"/>
      <c r="PH257"/>
      <c r="PI257"/>
      <c r="PJ257"/>
      <c r="PK257"/>
      <c r="PL257"/>
      <c r="PM257"/>
      <c r="PN257"/>
      <c r="PO257"/>
      <c r="PP257"/>
      <c r="PQ257"/>
      <c r="PR257"/>
      <c r="PS257"/>
      <c r="PT257"/>
      <c r="PU257"/>
      <c r="PV257"/>
      <c r="PW257"/>
      <c r="PX257"/>
      <c r="PY257"/>
      <c r="PZ257"/>
      <c r="QA257"/>
      <c r="QB257"/>
      <c r="QC257"/>
      <c r="QD257"/>
      <c r="QE257"/>
      <c r="QF257"/>
      <c r="QG257"/>
      <c r="QH257"/>
      <c r="QI257"/>
      <c r="QJ257"/>
      <c r="QK257"/>
      <c r="QL257"/>
      <c r="QM257"/>
      <c r="QN257"/>
      <c r="QO257"/>
      <c r="QP257"/>
      <c r="QQ257"/>
      <c r="QR257"/>
      <c r="QS257"/>
      <c r="QT257"/>
      <c r="QU257"/>
      <c r="QV257"/>
      <c r="QW257"/>
      <c r="QX257"/>
      <c r="QY257"/>
      <c r="QZ257"/>
      <c r="RA257"/>
      <c r="RB257"/>
      <c r="RC257"/>
      <c r="RD257"/>
      <c r="RE257"/>
      <c r="RF257"/>
      <c r="RG257"/>
      <c r="RH257"/>
      <c r="RI257"/>
      <c r="RJ257"/>
      <c r="RK257"/>
      <c r="RL257"/>
      <c r="RM257"/>
      <c r="RN257"/>
      <c r="RO257"/>
      <c r="RP257"/>
      <c r="RQ257"/>
      <c r="RR257"/>
      <c r="RS257"/>
    </row>
    <row r="258" spans="3:487" x14ac:dyDescent="0.25">
      <c r="C258" s="2" t="s">
        <v>3752</v>
      </c>
      <c r="D258" s="34">
        <v>0</v>
      </c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D258"/>
      <c r="BE258"/>
      <c r="BF258"/>
      <c r="BG258"/>
      <c r="BH258"/>
      <c r="BI258"/>
      <c r="BJ258"/>
      <c r="BK258"/>
      <c r="BL258"/>
      <c r="BM258"/>
      <c r="BN258"/>
      <c r="BO258"/>
      <c r="BP258"/>
      <c r="BQ258"/>
      <c r="BR258"/>
      <c r="BS258"/>
      <c r="BT258"/>
      <c r="BU258"/>
      <c r="BV258"/>
      <c r="BW258"/>
      <c r="BX258"/>
      <c r="BY258"/>
      <c r="BZ258"/>
      <c r="CA258"/>
      <c r="CB258"/>
      <c r="CC258"/>
      <c r="CD258"/>
      <c r="CE258"/>
      <c r="CF258"/>
      <c r="CG258"/>
      <c r="CH258"/>
      <c r="CI258"/>
      <c r="CJ258"/>
      <c r="CK258"/>
      <c r="CL258"/>
      <c r="CM258"/>
      <c r="CN258"/>
      <c r="CO258"/>
      <c r="CP258"/>
      <c r="CQ258"/>
      <c r="CR258"/>
      <c r="CS258"/>
      <c r="CT258"/>
      <c r="CU258"/>
      <c r="CV258"/>
      <c r="CW258"/>
      <c r="CX258"/>
      <c r="CY258"/>
      <c r="CZ258"/>
      <c r="DA258"/>
      <c r="DB258"/>
      <c r="DC258"/>
      <c r="DD258"/>
      <c r="DE258"/>
      <c r="DF258"/>
      <c r="DG258"/>
      <c r="DH258"/>
      <c r="DI258"/>
      <c r="DJ258"/>
      <c r="DK258"/>
      <c r="DL258"/>
      <c r="DM258"/>
      <c r="DN258"/>
      <c r="DO258"/>
      <c r="DP258"/>
      <c r="DQ258"/>
      <c r="DR258"/>
      <c r="DS258"/>
      <c r="DT258"/>
      <c r="DU258"/>
      <c r="DV258"/>
      <c r="DW258"/>
      <c r="DX258"/>
      <c r="DY258"/>
      <c r="DZ258"/>
      <c r="EA258"/>
      <c r="EB258"/>
      <c r="EC258"/>
      <c r="ED258"/>
      <c r="EE258"/>
      <c r="EF258"/>
      <c r="EG258"/>
      <c r="EH258"/>
      <c r="EI258"/>
      <c r="EJ258"/>
      <c r="EK258"/>
      <c r="EL258"/>
      <c r="EM258"/>
      <c r="EN258"/>
      <c r="EO258"/>
      <c r="EP258"/>
      <c r="EQ258"/>
      <c r="ER258"/>
      <c r="ES258"/>
      <c r="ET258"/>
      <c r="EU258"/>
      <c r="EV258"/>
      <c r="EW258"/>
      <c r="EX258"/>
      <c r="EY258"/>
      <c r="EZ258"/>
      <c r="FA258"/>
      <c r="FB258"/>
      <c r="FC258"/>
      <c r="FD258"/>
      <c r="FE258"/>
      <c r="FF258"/>
      <c r="FG258"/>
      <c r="FH258"/>
      <c r="FI258"/>
      <c r="FJ258"/>
      <c r="FK258"/>
      <c r="FL258"/>
      <c r="FM258"/>
      <c r="FN258"/>
      <c r="FO258"/>
      <c r="FP258"/>
      <c r="FQ258"/>
      <c r="FR258"/>
      <c r="FS258"/>
      <c r="FT258"/>
      <c r="FU258"/>
      <c r="FV258"/>
      <c r="FW258"/>
      <c r="FX258"/>
      <c r="FY258"/>
      <c r="FZ258"/>
      <c r="GA258"/>
      <c r="GB258"/>
      <c r="GC258"/>
      <c r="GD258"/>
      <c r="GE258"/>
      <c r="GF258"/>
      <c r="GG258"/>
      <c r="GH258"/>
      <c r="GI258"/>
      <c r="GJ258"/>
      <c r="GK258"/>
      <c r="GL258"/>
      <c r="GM258"/>
      <c r="GN258"/>
      <c r="GO258"/>
      <c r="GP258"/>
      <c r="GQ258"/>
      <c r="GR258"/>
      <c r="GS258"/>
      <c r="GT258"/>
      <c r="GU258"/>
      <c r="GV258"/>
      <c r="GW258"/>
      <c r="GX258"/>
      <c r="GY258"/>
      <c r="GZ258"/>
      <c r="HA258"/>
      <c r="HB258"/>
      <c r="HC258"/>
      <c r="HD258"/>
      <c r="HE258"/>
      <c r="HF258"/>
      <c r="HG258"/>
      <c r="HH258"/>
      <c r="HI258"/>
      <c r="HJ258"/>
      <c r="HK258"/>
      <c r="HL258"/>
      <c r="HM258"/>
      <c r="HN258"/>
      <c r="HO258"/>
      <c r="HP258"/>
      <c r="HQ258"/>
      <c r="HR258"/>
      <c r="HS258"/>
      <c r="HT258"/>
      <c r="HU258"/>
      <c r="HV258"/>
      <c r="HW258"/>
      <c r="HX258"/>
      <c r="HY258"/>
      <c r="HZ258"/>
      <c r="IA258"/>
      <c r="IB258"/>
      <c r="IC258"/>
      <c r="ID258"/>
      <c r="IE258"/>
      <c r="IF258"/>
      <c r="IG258"/>
      <c r="IH258"/>
      <c r="II258"/>
      <c r="IJ258"/>
      <c r="IK258"/>
      <c r="IL258"/>
      <c r="IM258"/>
      <c r="IN258"/>
      <c r="IO258"/>
      <c r="IP258"/>
      <c r="IQ258"/>
      <c r="IR258"/>
      <c r="IS258"/>
      <c r="IT258"/>
      <c r="IU258"/>
      <c r="IV258"/>
      <c r="IW258"/>
      <c r="IX258"/>
      <c r="IY258"/>
      <c r="IZ258"/>
      <c r="JA258"/>
      <c r="JB258"/>
      <c r="JC258"/>
      <c r="JD258"/>
      <c r="JE258"/>
      <c r="JF258"/>
      <c r="JG258"/>
      <c r="JH258"/>
      <c r="JI258"/>
      <c r="JJ258"/>
      <c r="JK258"/>
      <c r="JL258"/>
      <c r="JM258"/>
      <c r="JN258"/>
      <c r="JO258"/>
      <c r="JP258"/>
      <c r="JQ258"/>
      <c r="JR258"/>
      <c r="JS258"/>
      <c r="JT258"/>
      <c r="JU258"/>
      <c r="JV258"/>
      <c r="JW258"/>
      <c r="JX258"/>
      <c r="JY258"/>
      <c r="JZ258"/>
      <c r="KA258"/>
      <c r="KB258"/>
      <c r="KC258"/>
      <c r="KD258"/>
      <c r="KE258"/>
      <c r="KF258"/>
      <c r="KG258"/>
      <c r="KH258"/>
      <c r="KI258"/>
      <c r="KJ258"/>
      <c r="KK258"/>
      <c r="KL258"/>
      <c r="KM258"/>
      <c r="KN258"/>
      <c r="KO258"/>
      <c r="KP258"/>
      <c r="KQ258"/>
      <c r="KR258"/>
      <c r="KS258"/>
      <c r="KT258"/>
      <c r="KU258"/>
      <c r="KV258"/>
      <c r="KW258"/>
      <c r="KX258"/>
      <c r="KY258"/>
      <c r="KZ258"/>
      <c r="LA258"/>
      <c r="LB258"/>
      <c r="LC258"/>
      <c r="LD258"/>
      <c r="LE258"/>
      <c r="LF258"/>
      <c r="LG258"/>
      <c r="LH258"/>
      <c r="LI258"/>
      <c r="LJ258"/>
      <c r="LK258"/>
      <c r="LL258"/>
      <c r="LM258"/>
      <c r="LN258"/>
      <c r="LO258"/>
      <c r="LP258"/>
      <c r="LQ258"/>
      <c r="LR258"/>
      <c r="LS258"/>
      <c r="LT258"/>
      <c r="LU258"/>
      <c r="LV258"/>
      <c r="LW258"/>
      <c r="LX258"/>
      <c r="LY258"/>
      <c r="LZ258"/>
      <c r="MA258"/>
      <c r="MB258"/>
      <c r="MC258"/>
      <c r="MD258"/>
      <c r="ME258"/>
      <c r="MF258"/>
      <c r="MG258"/>
      <c r="MH258"/>
      <c r="MI258"/>
      <c r="MJ258"/>
      <c r="MK258"/>
      <c r="ML258"/>
      <c r="MM258"/>
      <c r="MN258"/>
      <c r="MO258"/>
      <c r="MP258"/>
      <c r="MQ258"/>
      <c r="MR258"/>
      <c r="MS258"/>
      <c r="MT258"/>
      <c r="MU258"/>
      <c r="MV258"/>
      <c r="MW258"/>
      <c r="MX258"/>
      <c r="MY258"/>
      <c r="MZ258"/>
      <c r="NA258"/>
      <c r="NB258"/>
      <c r="NC258"/>
      <c r="ND258"/>
      <c r="NE258"/>
      <c r="NF258"/>
      <c r="NG258"/>
      <c r="NH258"/>
      <c r="NI258"/>
      <c r="NJ258"/>
      <c r="NK258"/>
      <c r="NL258"/>
      <c r="NM258"/>
      <c r="NN258"/>
      <c r="NO258"/>
      <c r="NP258"/>
      <c r="NQ258"/>
      <c r="NR258"/>
      <c r="NS258"/>
      <c r="NT258"/>
      <c r="NU258"/>
      <c r="NV258"/>
      <c r="NW258"/>
      <c r="NX258"/>
      <c r="NY258"/>
      <c r="NZ258"/>
      <c r="OA258"/>
      <c r="OB258"/>
      <c r="OC258"/>
      <c r="OD258"/>
      <c r="OE258"/>
      <c r="OF258"/>
      <c r="OG258"/>
      <c r="OH258"/>
      <c r="OI258"/>
      <c r="OJ258"/>
      <c r="OK258"/>
      <c r="OL258"/>
      <c r="OM258"/>
      <c r="ON258"/>
      <c r="OO258"/>
      <c r="OP258"/>
      <c r="OQ258"/>
      <c r="OR258"/>
      <c r="OS258"/>
      <c r="OT258"/>
      <c r="OU258"/>
      <c r="OV258"/>
      <c r="OW258"/>
      <c r="OX258"/>
      <c r="OY258"/>
      <c r="OZ258"/>
      <c r="PA258"/>
      <c r="PB258"/>
      <c r="PC258"/>
      <c r="PD258"/>
      <c r="PE258"/>
      <c r="PF258"/>
      <c r="PG258"/>
      <c r="PH258"/>
      <c r="PI258"/>
      <c r="PJ258"/>
      <c r="PK258"/>
      <c r="PL258"/>
      <c r="PM258"/>
      <c r="PN258"/>
      <c r="PO258"/>
      <c r="PP258"/>
      <c r="PQ258"/>
      <c r="PR258"/>
      <c r="PS258"/>
      <c r="PT258"/>
      <c r="PU258"/>
      <c r="PV258"/>
      <c r="PW258"/>
      <c r="PX258"/>
      <c r="PY258"/>
      <c r="PZ258"/>
      <c r="QA258"/>
      <c r="QB258"/>
      <c r="QC258"/>
      <c r="QD258"/>
      <c r="QE258"/>
      <c r="QF258"/>
      <c r="QG258"/>
      <c r="QH258"/>
      <c r="QI258"/>
      <c r="QJ258"/>
      <c r="QK258"/>
      <c r="QL258"/>
      <c r="QM258"/>
      <c r="QN258"/>
      <c r="QO258"/>
      <c r="QP258"/>
      <c r="QQ258"/>
      <c r="QR258"/>
      <c r="QS258"/>
      <c r="QT258"/>
      <c r="QU258"/>
      <c r="QV258"/>
      <c r="QW258"/>
      <c r="QX258"/>
      <c r="QY258"/>
      <c r="QZ258"/>
      <c r="RA258"/>
      <c r="RB258"/>
      <c r="RC258"/>
      <c r="RD258"/>
      <c r="RE258"/>
      <c r="RF258"/>
      <c r="RG258"/>
      <c r="RH258"/>
      <c r="RI258"/>
      <c r="RJ258"/>
      <c r="RK258"/>
      <c r="RL258"/>
      <c r="RM258"/>
      <c r="RN258"/>
      <c r="RO258"/>
      <c r="RP258"/>
      <c r="RQ258"/>
      <c r="RR258"/>
      <c r="RS258"/>
    </row>
    <row r="259" spans="3:487" x14ac:dyDescent="0.25">
      <c r="C259" s="2" t="s">
        <v>3766</v>
      </c>
      <c r="D259" s="34">
        <v>0</v>
      </c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D259"/>
      <c r="BE259"/>
      <c r="BF259"/>
      <c r="BG259"/>
      <c r="BH259"/>
      <c r="BI259"/>
      <c r="BJ259"/>
      <c r="BK259"/>
      <c r="BL259"/>
      <c r="BM259"/>
      <c r="BN259"/>
      <c r="BO259"/>
      <c r="BP259"/>
      <c r="BQ259"/>
      <c r="BR259"/>
      <c r="BS259"/>
      <c r="BT259"/>
      <c r="BU259"/>
      <c r="BV259"/>
      <c r="BW259"/>
      <c r="BX259"/>
      <c r="BY259"/>
      <c r="BZ259"/>
      <c r="CA259"/>
      <c r="CB259"/>
      <c r="CC259"/>
      <c r="CD259"/>
      <c r="CE259"/>
      <c r="CF259"/>
      <c r="CG259"/>
      <c r="CH259"/>
      <c r="CI259"/>
      <c r="CJ259"/>
      <c r="CK259"/>
      <c r="CL259"/>
      <c r="CM259"/>
      <c r="CN259"/>
      <c r="CO259"/>
      <c r="CP259"/>
      <c r="CQ259"/>
      <c r="CR259"/>
      <c r="CS259"/>
      <c r="CT259"/>
      <c r="CU259"/>
      <c r="CV259"/>
      <c r="CW259"/>
      <c r="CX259"/>
      <c r="CY259"/>
      <c r="CZ259"/>
      <c r="DA259"/>
      <c r="DB259"/>
      <c r="DC259"/>
      <c r="DD259"/>
      <c r="DE259"/>
      <c r="DF259"/>
      <c r="DG259"/>
      <c r="DH259"/>
      <c r="DI259"/>
      <c r="DJ259"/>
      <c r="DK259"/>
      <c r="DL259"/>
      <c r="DM259"/>
      <c r="DN259"/>
      <c r="DO259"/>
      <c r="DP259"/>
      <c r="DQ259"/>
      <c r="DR259"/>
      <c r="DS259"/>
      <c r="DT259"/>
      <c r="DU259"/>
      <c r="DV259"/>
      <c r="DW259"/>
      <c r="DX259"/>
      <c r="DY259"/>
      <c r="DZ259"/>
      <c r="EA259"/>
      <c r="EB259"/>
      <c r="EC259"/>
      <c r="ED259"/>
      <c r="EE259"/>
      <c r="EF259"/>
      <c r="EG259"/>
      <c r="EH259"/>
      <c r="EI259"/>
      <c r="EJ259"/>
      <c r="EK259"/>
      <c r="EL259"/>
      <c r="EM259"/>
      <c r="EN259"/>
      <c r="EO259"/>
      <c r="EP259"/>
      <c r="EQ259"/>
      <c r="ER259"/>
      <c r="ES259"/>
      <c r="ET259"/>
      <c r="EU259"/>
      <c r="EV259"/>
      <c r="EW259"/>
      <c r="EX259"/>
      <c r="EY259"/>
      <c r="EZ259"/>
      <c r="FA259"/>
      <c r="FB259"/>
      <c r="FC259"/>
      <c r="FD259"/>
      <c r="FE259"/>
      <c r="FF259"/>
      <c r="FG259"/>
      <c r="FH259"/>
      <c r="FI259"/>
      <c r="FJ259"/>
      <c r="FK259"/>
      <c r="FL259"/>
      <c r="FM259"/>
      <c r="FN259"/>
      <c r="FO259"/>
      <c r="FP259"/>
      <c r="FQ259"/>
      <c r="FR259"/>
      <c r="FS259"/>
      <c r="FT259"/>
      <c r="FU259"/>
      <c r="FV259"/>
      <c r="FW259"/>
      <c r="FX259"/>
      <c r="FY259"/>
      <c r="FZ259"/>
      <c r="GA259"/>
      <c r="GB259"/>
      <c r="GC259"/>
      <c r="GD259"/>
      <c r="GE259"/>
      <c r="GF259"/>
      <c r="GG259"/>
      <c r="GH259"/>
      <c r="GI259"/>
      <c r="GJ259"/>
      <c r="GK259"/>
      <c r="GL259"/>
      <c r="GM259"/>
      <c r="GN259"/>
      <c r="GO259"/>
      <c r="GP259"/>
      <c r="GQ259"/>
      <c r="GR259"/>
      <c r="GS259"/>
      <c r="GT259"/>
      <c r="GU259"/>
      <c r="GV259"/>
      <c r="GW259"/>
      <c r="GX259"/>
      <c r="GY259"/>
      <c r="GZ259"/>
      <c r="HA259"/>
      <c r="HB259"/>
      <c r="HC259"/>
      <c r="HD259"/>
      <c r="HE259"/>
      <c r="HF259"/>
      <c r="HG259"/>
      <c r="HH259"/>
      <c r="HI259"/>
      <c r="HJ259"/>
      <c r="HK259"/>
      <c r="HL259"/>
      <c r="HM259"/>
      <c r="HN259"/>
      <c r="HO259"/>
      <c r="HP259"/>
      <c r="HQ259"/>
      <c r="HR259"/>
      <c r="HS259"/>
      <c r="HT259"/>
      <c r="HU259"/>
      <c r="HV259"/>
      <c r="HW259"/>
      <c r="HX259"/>
      <c r="HY259"/>
      <c r="HZ259"/>
      <c r="IA259"/>
      <c r="IB259"/>
      <c r="IC259"/>
      <c r="ID259"/>
      <c r="IE259"/>
      <c r="IF259"/>
      <c r="IG259"/>
      <c r="IH259"/>
      <c r="II259"/>
      <c r="IJ259"/>
      <c r="IK259"/>
      <c r="IL259"/>
      <c r="IM259"/>
      <c r="IN259"/>
      <c r="IO259"/>
      <c r="IP259"/>
      <c r="IQ259"/>
      <c r="IR259"/>
      <c r="IS259"/>
      <c r="IT259"/>
      <c r="IU259"/>
      <c r="IV259"/>
      <c r="IW259"/>
      <c r="IX259"/>
      <c r="IY259"/>
      <c r="IZ259"/>
      <c r="JA259"/>
      <c r="JB259"/>
      <c r="JC259"/>
      <c r="JD259"/>
      <c r="JE259"/>
      <c r="JF259"/>
      <c r="JG259"/>
      <c r="JH259"/>
      <c r="JI259"/>
      <c r="JJ259"/>
      <c r="JK259"/>
      <c r="JL259"/>
      <c r="JM259"/>
      <c r="JN259"/>
      <c r="JO259"/>
      <c r="JP259"/>
      <c r="JQ259"/>
      <c r="JR259"/>
      <c r="JS259"/>
      <c r="JT259"/>
      <c r="JU259"/>
      <c r="JV259"/>
      <c r="JW259"/>
      <c r="JX259"/>
      <c r="JY259"/>
      <c r="JZ259"/>
      <c r="KA259"/>
      <c r="KB259"/>
      <c r="KC259"/>
      <c r="KD259"/>
      <c r="KE259"/>
      <c r="KF259"/>
      <c r="KG259"/>
      <c r="KH259"/>
      <c r="KI259"/>
      <c r="KJ259"/>
      <c r="KK259"/>
      <c r="KL259"/>
      <c r="KM259"/>
      <c r="KN259"/>
      <c r="KO259"/>
      <c r="KP259"/>
      <c r="KQ259"/>
      <c r="KR259"/>
      <c r="KS259"/>
      <c r="KT259"/>
      <c r="KU259"/>
      <c r="KV259"/>
      <c r="KW259"/>
      <c r="KX259"/>
      <c r="KY259"/>
      <c r="KZ259"/>
      <c r="LA259"/>
      <c r="LB259"/>
      <c r="LC259"/>
      <c r="LD259"/>
      <c r="LE259"/>
      <c r="LF259"/>
      <c r="LG259"/>
      <c r="LH259"/>
      <c r="LI259"/>
      <c r="LJ259"/>
      <c r="LK259"/>
      <c r="LL259"/>
      <c r="LM259"/>
      <c r="LN259"/>
      <c r="LO259"/>
      <c r="LP259"/>
      <c r="LQ259"/>
      <c r="LR259"/>
      <c r="LS259"/>
      <c r="LT259"/>
      <c r="LU259"/>
      <c r="LV259"/>
      <c r="LW259"/>
      <c r="LX259"/>
      <c r="LY259"/>
      <c r="LZ259"/>
      <c r="MA259"/>
      <c r="MB259"/>
      <c r="MC259"/>
      <c r="MD259"/>
      <c r="ME259"/>
      <c r="MF259"/>
      <c r="MG259"/>
      <c r="MH259"/>
      <c r="MI259"/>
      <c r="MJ259"/>
      <c r="MK259"/>
      <c r="ML259"/>
      <c r="MM259"/>
      <c r="MN259"/>
      <c r="MO259"/>
      <c r="MP259"/>
      <c r="MQ259"/>
      <c r="MR259"/>
      <c r="MS259"/>
      <c r="MT259"/>
      <c r="MU259"/>
      <c r="MV259"/>
      <c r="MW259"/>
      <c r="MX259"/>
      <c r="MY259"/>
      <c r="MZ259"/>
      <c r="NA259"/>
      <c r="NB259"/>
      <c r="NC259"/>
      <c r="ND259"/>
      <c r="NE259"/>
      <c r="NF259"/>
      <c r="NG259"/>
      <c r="NH259"/>
      <c r="NI259"/>
      <c r="NJ259"/>
      <c r="NK259"/>
      <c r="NL259"/>
      <c r="NM259"/>
      <c r="NN259"/>
      <c r="NO259"/>
      <c r="NP259"/>
      <c r="NQ259"/>
      <c r="NR259"/>
      <c r="NS259"/>
      <c r="NT259"/>
      <c r="NU259"/>
      <c r="NV259"/>
      <c r="NW259"/>
      <c r="NX259"/>
      <c r="NY259"/>
      <c r="NZ259"/>
      <c r="OA259"/>
      <c r="OB259"/>
      <c r="OC259"/>
      <c r="OD259"/>
      <c r="OE259"/>
      <c r="OF259"/>
      <c r="OG259"/>
      <c r="OH259"/>
      <c r="OI259"/>
      <c r="OJ259"/>
      <c r="OK259"/>
      <c r="OL259"/>
      <c r="OM259"/>
      <c r="ON259"/>
      <c r="OO259"/>
      <c r="OP259"/>
      <c r="OQ259"/>
      <c r="OR259"/>
      <c r="OS259"/>
      <c r="OT259"/>
      <c r="OU259"/>
      <c r="OV259"/>
      <c r="OW259"/>
      <c r="OX259"/>
      <c r="OY259"/>
      <c r="OZ259"/>
      <c r="PA259"/>
      <c r="PB259"/>
      <c r="PC259"/>
      <c r="PD259"/>
      <c r="PE259"/>
      <c r="PF259"/>
      <c r="PG259"/>
      <c r="PH259"/>
      <c r="PI259"/>
      <c r="PJ259"/>
      <c r="PK259"/>
      <c r="PL259"/>
      <c r="PM259"/>
      <c r="PN259"/>
      <c r="PO259"/>
      <c r="PP259"/>
      <c r="PQ259"/>
      <c r="PR259"/>
      <c r="PS259"/>
      <c r="PT259"/>
      <c r="PU259"/>
      <c r="PV259"/>
      <c r="PW259"/>
      <c r="PX259"/>
      <c r="PY259"/>
      <c r="PZ259"/>
      <c r="QA259"/>
      <c r="QB259"/>
      <c r="QC259"/>
      <c r="QD259"/>
      <c r="QE259"/>
      <c r="QF259"/>
      <c r="QG259"/>
      <c r="QH259"/>
      <c r="QI259"/>
      <c r="QJ259"/>
      <c r="QK259"/>
      <c r="QL259"/>
      <c r="QM259"/>
      <c r="QN259"/>
      <c r="QO259"/>
      <c r="QP259"/>
      <c r="QQ259"/>
      <c r="QR259"/>
      <c r="QS259"/>
      <c r="QT259"/>
      <c r="QU259"/>
      <c r="QV259"/>
      <c r="QW259"/>
      <c r="QX259"/>
      <c r="QY259"/>
      <c r="QZ259"/>
      <c r="RA259"/>
      <c r="RB259"/>
      <c r="RC259"/>
      <c r="RD259"/>
      <c r="RE259"/>
      <c r="RF259"/>
      <c r="RG259"/>
      <c r="RH259"/>
      <c r="RI259"/>
      <c r="RJ259"/>
      <c r="RK259"/>
      <c r="RL259"/>
      <c r="RM259"/>
      <c r="RN259"/>
      <c r="RO259"/>
      <c r="RP259"/>
      <c r="RQ259"/>
      <c r="RR259"/>
      <c r="RS259"/>
    </row>
    <row r="260" spans="3:487" x14ac:dyDescent="0.25">
      <c r="C260" s="2" t="s">
        <v>3655</v>
      </c>
      <c r="D260" s="34">
        <v>0</v>
      </c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D260"/>
      <c r="BE260"/>
      <c r="BF260"/>
      <c r="BG260"/>
      <c r="BH260"/>
      <c r="BI260"/>
      <c r="BJ260"/>
      <c r="BK260"/>
      <c r="BL260"/>
      <c r="BM260"/>
      <c r="BN260"/>
      <c r="BO260"/>
      <c r="BP260"/>
      <c r="BQ260"/>
      <c r="BR260"/>
      <c r="BS260"/>
      <c r="BT260"/>
      <c r="BU260"/>
      <c r="BV260"/>
      <c r="BW260"/>
      <c r="BX260"/>
      <c r="BY260"/>
      <c r="BZ260"/>
      <c r="CA260"/>
      <c r="CB260"/>
      <c r="CC260"/>
      <c r="CD260"/>
      <c r="CE260"/>
      <c r="CF260"/>
      <c r="CG260"/>
      <c r="CH260"/>
      <c r="CI260"/>
      <c r="CJ260"/>
      <c r="CK260"/>
      <c r="CL260"/>
      <c r="CM260"/>
      <c r="CN260"/>
      <c r="CO260"/>
      <c r="CP260"/>
      <c r="CQ260"/>
      <c r="CR260"/>
      <c r="CS260"/>
      <c r="CT260"/>
      <c r="CU260"/>
      <c r="CV260"/>
      <c r="CW260"/>
      <c r="CX260"/>
      <c r="CY260"/>
      <c r="CZ260"/>
      <c r="DA260"/>
      <c r="DB260"/>
      <c r="DC260"/>
      <c r="DD260"/>
      <c r="DE260"/>
      <c r="DF260"/>
      <c r="DG260"/>
      <c r="DH260"/>
      <c r="DI260"/>
      <c r="DJ260"/>
      <c r="DK260"/>
      <c r="DL260"/>
      <c r="DM260"/>
      <c r="DN260"/>
      <c r="DO260"/>
      <c r="DP260"/>
      <c r="DQ260"/>
      <c r="DR260"/>
      <c r="DS260"/>
      <c r="DT260"/>
      <c r="DU260"/>
      <c r="DV260"/>
      <c r="DW260"/>
      <c r="DX260"/>
      <c r="DY260"/>
      <c r="DZ260"/>
      <c r="EA260"/>
      <c r="EB260"/>
      <c r="EC260"/>
      <c r="ED260"/>
      <c r="EE260"/>
      <c r="EF260"/>
      <c r="EG260"/>
      <c r="EH260"/>
      <c r="EI260"/>
      <c r="EJ260"/>
      <c r="EK260"/>
      <c r="EL260"/>
      <c r="EM260"/>
      <c r="EN260"/>
      <c r="EO260"/>
      <c r="EP260"/>
      <c r="EQ260"/>
      <c r="ER260"/>
      <c r="ES260"/>
      <c r="ET260"/>
      <c r="EU260"/>
      <c r="EV260"/>
      <c r="EW260"/>
      <c r="EX260"/>
      <c r="EY260"/>
      <c r="EZ260"/>
      <c r="FA260"/>
      <c r="FB260"/>
      <c r="FC260"/>
      <c r="FD260"/>
      <c r="FE260"/>
      <c r="FF260"/>
      <c r="FG260"/>
      <c r="FH260"/>
      <c r="FI260"/>
      <c r="FJ260"/>
      <c r="FK260"/>
      <c r="FL260"/>
      <c r="FM260"/>
      <c r="FN260"/>
      <c r="FO260"/>
      <c r="FP260"/>
      <c r="FQ260"/>
      <c r="FR260"/>
      <c r="FS260"/>
      <c r="FT260"/>
      <c r="FU260"/>
      <c r="FV260"/>
      <c r="FW260"/>
      <c r="FX260"/>
      <c r="FY260"/>
      <c r="FZ260"/>
      <c r="GA260"/>
      <c r="GB260"/>
      <c r="GC260"/>
      <c r="GD260"/>
      <c r="GE260"/>
      <c r="GF260"/>
      <c r="GG260"/>
      <c r="GH260"/>
      <c r="GI260"/>
      <c r="GJ260"/>
      <c r="GK260"/>
      <c r="GL260"/>
      <c r="GM260"/>
      <c r="GN260"/>
      <c r="GO260"/>
      <c r="GP260"/>
      <c r="GQ260"/>
      <c r="GR260"/>
      <c r="GS260"/>
      <c r="GT260"/>
      <c r="GU260"/>
      <c r="GV260"/>
      <c r="GW260"/>
      <c r="GX260"/>
      <c r="GY260"/>
      <c r="GZ260"/>
      <c r="HA260"/>
      <c r="HB260"/>
      <c r="HC260"/>
      <c r="HD260"/>
      <c r="HE260"/>
      <c r="HF260"/>
      <c r="HG260"/>
      <c r="HH260"/>
      <c r="HI260"/>
      <c r="HJ260"/>
      <c r="HK260"/>
      <c r="HL260"/>
      <c r="HM260"/>
      <c r="HN260"/>
      <c r="HO260"/>
      <c r="HP260"/>
      <c r="HQ260"/>
      <c r="HR260"/>
      <c r="HS260"/>
      <c r="HT260"/>
      <c r="HU260"/>
      <c r="HV260"/>
      <c r="HW260"/>
      <c r="HX260"/>
      <c r="HY260"/>
      <c r="HZ260"/>
      <c r="IA260"/>
      <c r="IB260"/>
      <c r="IC260"/>
      <c r="ID260"/>
      <c r="IE260"/>
      <c r="IF260"/>
      <c r="IG260"/>
      <c r="IH260"/>
      <c r="II260"/>
      <c r="IJ260"/>
      <c r="IK260"/>
      <c r="IL260"/>
      <c r="IM260"/>
      <c r="IN260"/>
      <c r="IO260"/>
      <c r="IP260"/>
      <c r="IQ260"/>
      <c r="IR260"/>
      <c r="IS260"/>
      <c r="IT260"/>
      <c r="IU260"/>
      <c r="IV260"/>
      <c r="IW260"/>
      <c r="IX260"/>
      <c r="IY260"/>
      <c r="IZ260"/>
      <c r="JA260"/>
      <c r="JB260"/>
      <c r="JC260"/>
      <c r="JD260"/>
      <c r="JE260"/>
      <c r="JF260"/>
      <c r="JG260"/>
      <c r="JH260"/>
      <c r="JI260"/>
      <c r="JJ260"/>
      <c r="JK260"/>
      <c r="JL260"/>
      <c r="JM260"/>
      <c r="JN260"/>
      <c r="JO260"/>
      <c r="JP260"/>
      <c r="JQ260"/>
      <c r="JR260"/>
      <c r="JS260"/>
      <c r="JT260"/>
      <c r="JU260"/>
      <c r="JV260"/>
      <c r="JW260"/>
      <c r="JX260"/>
      <c r="JY260"/>
      <c r="JZ260"/>
      <c r="KA260"/>
      <c r="KB260"/>
      <c r="KC260"/>
      <c r="KD260"/>
      <c r="KE260"/>
      <c r="KF260"/>
      <c r="KG260"/>
      <c r="KH260"/>
      <c r="KI260"/>
      <c r="KJ260"/>
      <c r="KK260"/>
      <c r="KL260"/>
      <c r="KM260"/>
      <c r="KN260"/>
      <c r="KO260"/>
      <c r="KP260"/>
      <c r="KQ260"/>
      <c r="KR260"/>
      <c r="KS260"/>
      <c r="KT260"/>
      <c r="KU260"/>
      <c r="KV260"/>
      <c r="KW260"/>
      <c r="KX260"/>
      <c r="KY260"/>
      <c r="KZ260"/>
      <c r="LA260"/>
      <c r="LB260"/>
      <c r="LC260"/>
      <c r="LD260"/>
      <c r="LE260"/>
      <c r="LF260"/>
      <c r="LG260"/>
      <c r="LH260"/>
      <c r="LI260"/>
      <c r="LJ260"/>
      <c r="LK260"/>
      <c r="LL260"/>
      <c r="LM260"/>
      <c r="LN260"/>
      <c r="LO260"/>
      <c r="LP260"/>
      <c r="LQ260"/>
      <c r="LR260"/>
      <c r="LS260"/>
      <c r="LT260"/>
      <c r="LU260"/>
      <c r="LV260"/>
      <c r="LW260"/>
      <c r="LX260"/>
      <c r="LY260"/>
      <c r="LZ260"/>
      <c r="MA260"/>
      <c r="MB260"/>
      <c r="MC260"/>
      <c r="MD260"/>
      <c r="ME260"/>
      <c r="MF260"/>
      <c r="MG260"/>
      <c r="MH260"/>
      <c r="MI260"/>
      <c r="MJ260"/>
      <c r="MK260"/>
      <c r="ML260"/>
      <c r="MM260"/>
      <c r="MN260"/>
      <c r="MO260"/>
      <c r="MP260"/>
      <c r="MQ260"/>
      <c r="MR260"/>
      <c r="MS260"/>
      <c r="MT260"/>
      <c r="MU260"/>
      <c r="MV260"/>
      <c r="MW260"/>
      <c r="MX260"/>
      <c r="MY260"/>
      <c r="MZ260"/>
      <c r="NA260"/>
      <c r="NB260"/>
      <c r="NC260"/>
      <c r="ND260"/>
      <c r="NE260"/>
      <c r="NF260"/>
      <c r="NG260"/>
      <c r="NH260"/>
      <c r="NI260"/>
      <c r="NJ260"/>
      <c r="NK260"/>
      <c r="NL260"/>
      <c r="NM260"/>
      <c r="NN260"/>
      <c r="NO260"/>
      <c r="NP260"/>
      <c r="NQ260"/>
      <c r="NR260"/>
      <c r="NS260"/>
      <c r="NT260"/>
      <c r="NU260"/>
      <c r="NV260"/>
      <c r="NW260"/>
      <c r="NX260"/>
      <c r="NY260"/>
      <c r="NZ260"/>
      <c r="OA260"/>
      <c r="OB260"/>
      <c r="OC260"/>
      <c r="OD260"/>
      <c r="OE260"/>
      <c r="OF260"/>
      <c r="OG260"/>
      <c r="OH260"/>
      <c r="OI260"/>
      <c r="OJ260"/>
      <c r="OK260"/>
      <c r="OL260"/>
      <c r="OM260"/>
      <c r="ON260"/>
      <c r="OO260"/>
      <c r="OP260"/>
      <c r="OQ260"/>
      <c r="OR260"/>
      <c r="OS260"/>
      <c r="OT260"/>
      <c r="OU260"/>
      <c r="OV260"/>
      <c r="OW260"/>
      <c r="OX260"/>
      <c r="OY260"/>
      <c r="OZ260"/>
      <c r="PA260"/>
      <c r="PB260"/>
      <c r="PC260"/>
      <c r="PD260"/>
      <c r="PE260"/>
      <c r="PF260"/>
      <c r="PG260"/>
      <c r="PH260"/>
      <c r="PI260"/>
      <c r="PJ260"/>
      <c r="PK260"/>
      <c r="PL260"/>
      <c r="PM260"/>
      <c r="PN260"/>
      <c r="PO260"/>
      <c r="PP260"/>
      <c r="PQ260"/>
      <c r="PR260"/>
      <c r="PS260"/>
      <c r="PT260"/>
      <c r="PU260"/>
      <c r="PV260"/>
      <c r="PW260"/>
      <c r="PX260"/>
      <c r="PY260"/>
      <c r="PZ260"/>
      <c r="QA260"/>
      <c r="QB260"/>
      <c r="QC260"/>
      <c r="QD260"/>
      <c r="QE260"/>
      <c r="QF260"/>
      <c r="QG260"/>
      <c r="QH260"/>
      <c r="QI260"/>
      <c r="QJ260"/>
      <c r="QK260"/>
      <c r="QL260"/>
      <c r="QM260"/>
      <c r="QN260"/>
      <c r="QO260"/>
      <c r="QP260"/>
      <c r="QQ260"/>
      <c r="QR260"/>
      <c r="QS260"/>
      <c r="QT260"/>
      <c r="QU260"/>
      <c r="QV260"/>
      <c r="QW260"/>
      <c r="QX260"/>
      <c r="QY260"/>
      <c r="QZ260"/>
      <c r="RA260"/>
      <c r="RB260"/>
      <c r="RC260"/>
      <c r="RD260"/>
      <c r="RE260"/>
      <c r="RF260"/>
      <c r="RG260"/>
      <c r="RH260"/>
      <c r="RI260"/>
      <c r="RJ260"/>
      <c r="RK260"/>
      <c r="RL260"/>
      <c r="RM260"/>
      <c r="RN260"/>
      <c r="RO260"/>
      <c r="RP260"/>
      <c r="RQ260"/>
      <c r="RR260"/>
      <c r="RS260"/>
    </row>
    <row r="261" spans="3:487" x14ac:dyDescent="0.25">
      <c r="C261" s="2" t="s">
        <v>3676</v>
      </c>
      <c r="D261" s="34">
        <v>0</v>
      </c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  <c r="BA261"/>
      <c r="BB261"/>
      <c r="BC261"/>
      <c r="BD261"/>
      <c r="BE261"/>
      <c r="BF261"/>
      <c r="BG261"/>
      <c r="BH261"/>
      <c r="BI261"/>
      <c r="BJ261"/>
      <c r="BK261"/>
      <c r="BL261"/>
      <c r="BM261"/>
      <c r="BN261"/>
      <c r="BO261"/>
      <c r="BP261"/>
      <c r="BQ261"/>
      <c r="BR261"/>
      <c r="BS261"/>
      <c r="BT261"/>
      <c r="BU261"/>
      <c r="BV261"/>
      <c r="BW261"/>
      <c r="BX261"/>
      <c r="BY261"/>
      <c r="BZ261"/>
      <c r="CA261"/>
      <c r="CB261"/>
      <c r="CC261"/>
      <c r="CD261"/>
      <c r="CE261"/>
      <c r="CF261"/>
      <c r="CG261"/>
      <c r="CH261"/>
      <c r="CI261"/>
      <c r="CJ261"/>
      <c r="CK261"/>
      <c r="CL261"/>
      <c r="CM261"/>
      <c r="CN261"/>
      <c r="CO261"/>
      <c r="CP261"/>
      <c r="CQ261"/>
      <c r="CR261"/>
      <c r="CS261"/>
      <c r="CT261"/>
      <c r="CU261"/>
      <c r="CV261"/>
      <c r="CW261"/>
      <c r="CX261"/>
      <c r="CY261"/>
      <c r="CZ261"/>
      <c r="DA261"/>
      <c r="DB261"/>
      <c r="DC261"/>
      <c r="DD261"/>
      <c r="DE261"/>
      <c r="DF261"/>
      <c r="DG261"/>
      <c r="DH261"/>
      <c r="DI261"/>
      <c r="DJ261"/>
      <c r="DK261"/>
      <c r="DL261"/>
      <c r="DM261"/>
      <c r="DN261"/>
      <c r="DO261"/>
      <c r="DP261"/>
      <c r="DQ261"/>
      <c r="DR261"/>
      <c r="DS261"/>
      <c r="DT261"/>
      <c r="DU261"/>
      <c r="DV261"/>
      <c r="DW261"/>
      <c r="DX261"/>
      <c r="DY261"/>
      <c r="DZ261"/>
      <c r="EA261"/>
      <c r="EB261"/>
      <c r="EC261"/>
      <c r="ED261"/>
      <c r="EE261"/>
      <c r="EF261"/>
      <c r="EG261"/>
      <c r="EH261"/>
      <c r="EI261"/>
      <c r="EJ261"/>
      <c r="EK261"/>
      <c r="EL261"/>
      <c r="EM261"/>
      <c r="EN261"/>
      <c r="EO261"/>
      <c r="EP261"/>
      <c r="EQ261"/>
      <c r="ER261"/>
      <c r="ES261"/>
      <c r="ET261"/>
      <c r="EU261"/>
      <c r="EV261"/>
      <c r="EW261"/>
      <c r="EX261"/>
      <c r="EY261"/>
      <c r="EZ261"/>
      <c r="FA261"/>
      <c r="FB261"/>
      <c r="FC261"/>
      <c r="FD261"/>
      <c r="FE261"/>
      <c r="FF261"/>
      <c r="FG261"/>
      <c r="FH261"/>
      <c r="FI261"/>
      <c r="FJ261"/>
      <c r="FK261"/>
      <c r="FL261"/>
      <c r="FM261"/>
      <c r="FN261"/>
      <c r="FO261"/>
      <c r="FP261"/>
      <c r="FQ261"/>
      <c r="FR261"/>
      <c r="FS261"/>
      <c r="FT261"/>
      <c r="FU261"/>
      <c r="FV261"/>
      <c r="FW261"/>
      <c r="FX261"/>
      <c r="FY261"/>
      <c r="FZ261"/>
      <c r="GA261"/>
      <c r="GB261"/>
      <c r="GC261"/>
      <c r="GD261"/>
      <c r="GE261"/>
      <c r="GF261"/>
      <c r="GG261"/>
      <c r="GH261"/>
      <c r="GI261"/>
      <c r="GJ261"/>
      <c r="GK261"/>
      <c r="GL261"/>
      <c r="GM261"/>
      <c r="GN261"/>
      <c r="GO261"/>
      <c r="GP261"/>
      <c r="GQ261"/>
      <c r="GR261"/>
      <c r="GS261"/>
      <c r="GT261"/>
      <c r="GU261"/>
      <c r="GV261"/>
      <c r="GW261"/>
      <c r="GX261"/>
      <c r="GY261"/>
      <c r="GZ261"/>
      <c r="HA261"/>
      <c r="HB261"/>
      <c r="HC261"/>
      <c r="HD261"/>
      <c r="HE261"/>
      <c r="HF261"/>
      <c r="HG261"/>
      <c r="HH261"/>
      <c r="HI261"/>
      <c r="HJ261"/>
      <c r="HK261"/>
      <c r="HL261"/>
      <c r="HM261"/>
      <c r="HN261"/>
      <c r="HO261"/>
      <c r="HP261"/>
      <c r="HQ261"/>
      <c r="HR261"/>
      <c r="HS261"/>
      <c r="HT261"/>
      <c r="HU261"/>
      <c r="HV261"/>
      <c r="HW261"/>
      <c r="HX261"/>
      <c r="HY261"/>
      <c r="HZ261"/>
      <c r="IA261"/>
      <c r="IB261"/>
      <c r="IC261"/>
      <c r="ID261"/>
      <c r="IE261"/>
      <c r="IF261"/>
      <c r="IG261"/>
      <c r="IH261"/>
      <c r="II261"/>
      <c r="IJ261"/>
      <c r="IK261"/>
      <c r="IL261"/>
      <c r="IM261"/>
      <c r="IN261"/>
      <c r="IO261"/>
      <c r="IP261"/>
      <c r="IQ261"/>
      <c r="IR261"/>
      <c r="IS261"/>
      <c r="IT261"/>
      <c r="IU261"/>
      <c r="IV261"/>
      <c r="IW261"/>
      <c r="IX261"/>
      <c r="IY261"/>
      <c r="IZ261"/>
      <c r="JA261"/>
      <c r="JB261"/>
      <c r="JC261"/>
      <c r="JD261"/>
      <c r="JE261"/>
      <c r="JF261"/>
      <c r="JG261"/>
      <c r="JH261"/>
      <c r="JI261"/>
      <c r="JJ261"/>
      <c r="JK261"/>
      <c r="JL261"/>
      <c r="JM261"/>
      <c r="JN261"/>
      <c r="JO261"/>
      <c r="JP261"/>
      <c r="JQ261"/>
      <c r="JR261"/>
      <c r="JS261"/>
      <c r="JT261"/>
      <c r="JU261"/>
      <c r="JV261"/>
      <c r="JW261"/>
      <c r="JX261"/>
      <c r="JY261"/>
      <c r="JZ261"/>
      <c r="KA261"/>
      <c r="KB261"/>
      <c r="KC261"/>
      <c r="KD261"/>
      <c r="KE261"/>
      <c r="KF261"/>
      <c r="KG261"/>
      <c r="KH261"/>
      <c r="KI261"/>
      <c r="KJ261"/>
      <c r="KK261"/>
      <c r="KL261"/>
      <c r="KM261"/>
      <c r="KN261"/>
      <c r="KO261"/>
      <c r="KP261"/>
      <c r="KQ261"/>
      <c r="KR261"/>
      <c r="KS261"/>
      <c r="KT261"/>
      <c r="KU261"/>
      <c r="KV261"/>
      <c r="KW261"/>
      <c r="KX261"/>
      <c r="KY261"/>
      <c r="KZ261"/>
      <c r="LA261"/>
      <c r="LB261"/>
      <c r="LC261"/>
      <c r="LD261"/>
      <c r="LE261"/>
      <c r="LF261"/>
      <c r="LG261"/>
      <c r="LH261"/>
      <c r="LI261"/>
      <c r="LJ261"/>
      <c r="LK261"/>
      <c r="LL261"/>
      <c r="LM261"/>
      <c r="LN261"/>
      <c r="LO261"/>
      <c r="LP261"/>
      <c r="LQ261"/>
      <c r="LR261"/>
      <c r="LS261"/>
      <c r="LT261"/>
      <c r="LU261"/>
      <c r="LV261"/>
      <c r="LW261"/>
      <c r="LX261"/>
      <c r="LY261"/>
      <c r="LZ261"/>
      <c r="MA261"/>
      <c r="MB261"/>
      <c r="MC261"/>
      <c r="MD261"/>
      <c r="ME261"/>
      <c r="MF261"/>
      <c r="MG261"/>
      <c r="MH261"/>
      <c r="MI261"/>
      <c r="MJ261"/>
      <c r="MK261"/>
      <c r="ML261"/>
      <c r="MM261"/>
      <c r="MN261"/>
      <c r="MO261"/>
      <c r="MP261"/>
      <c r="MQ261"/>
      <c r="MR261"/>
      <c r="MS261"/>
      <c r="MT261"/>
      <c r="MU261"/>
      <c r="MV261"/>
      <c r="MW261"/>
      <c r="MX261"/>
      <c r="MY261"/>
      <c r="MZ261"/>
      <c r="NA261"/>
      <c r="NB261"/>
      <c r="NC261"/>
      <c r="ND261"/>
      <c r="NE261"/>
      <c r="NF261"/>
      <c r="NG261"/>
      <c r="NH261"/>
      <c r="NI261"/>
      <c r="NJ261"/>
      <c r="NK261"/>
      <c r="NL261"/>
      <c r="NM261"/>
      <c r="NN261"/>
      <c r="NO261"/>
      <c r="NP261"/>
      <c r="NQ261"/>
      <c r="NR261"/>
      <c r="NS261"/>
      <c r="NT261"/>
      <c r="NU261"/>
      <c r="NV261"/>
      <c r="NW261"/>
      <c r="NX261"/>
      <c r="NY261"/>
      <c r="NZ261"/>
      <c r="OA261"/>
      <c r="OB261"/>
      <c r="OC261"/>
      <c r="OD261"/>
      <c r="OE261"/>
      <c r="OF261"/>
      <c r="OG261"/>
      <c r="OH261"/>
      <c r="OI261"/>
      <c r="OJ261"/>
      <c r="OK261"/>
      <c r="OL261"/>
      <c r="OM261"/>
      <c r="ON261"/>
      <c r="OO261"/>
      <c r="OP261"/>
      <c r="OQ261"/>
      <c r="OR261"/>
      <c r="OS261"/>
      <c r="OT261"/>
      <c r="OU261"/>
      <c r="OV261"/>
      <c r="OW261"/>
      <c r="OX261"/>
      <c r="OY261"/>
      <c r="OZ261"/>
      <c r="PA261"/>
      <c r="PB261"/>
      <c r="PC261"/>
      <c r="PD261"/>
      <c r="PE261"/>
      <c r="PF261"/>
      <c r="PG261"/>
      <c r="PH261"/>
      <c r="PI261"/>
      <c r="PJ261"/>
      <c r="PK261"/>
      <c r="PL261"/>
      <c r="PM261"/>
      <c r="PN261"/>
      <c r="PO261"/>
      <c r="PP261"/>
      <c r="PQ261"/>
      <c r="PR261"/>
      <c r="PS261"/>
      <c r="PT261"/>
      <c r="PU261"/>
      <c r="PV261"/>
      <c r="PW261"/>
      <c r="PX261"/>
      <c r="PY261"/>
      <c r="PZ261"/>
      <c r="QA261"/>
      <c r="QB261"/>
      <c r="QC261"/>
      <c r="QD261"/>
      <c r="QE261"/>
      <c r="QF261"/>
      <c r="QG261"/>
      <c r="QH261"/>
      <c r="QI261"/>
      <c r="QJ261"/>
      <c r="QK261"/>
      <c r="QL261"/>
      <c r="QM261"/>
      <c r="QN261"/>
      <c r="QO261"/>
      <c r="QP261"/>
      <c r="QQ261"/>
      <c r="QR261"/>
      <c r="QS261"/>
      <c r="QT261"/>
      <c r="QU261"/>
      <c r="QV261"/>
      <c r="QW261"/>
      <c r="QX261"/>
      <c r="QY261"/>
      <c r="QZ261"/>
      <c r="RA261"/>
      <c r="RB261"/>
      <c r="RC261"/>
      <c r="RD261"/>
      <c r="RE261"/>
      <c r="RF261"/>
      <c r="RG261"/>
      <c r="RH261"/>
      <c r="RI261"/>
      <c r="RJ261"/>
      <c r="RK261"/>
      <c r="RL261"/>
      <c r="RM261"/>
      <c r="RN261"/>
      <c r="RO261"/>
      <c r="RP261"/>
      <c r="RQ261"/>
      <c r="RR261"/>
      <c r="RS261"/>
    </row>
    <row r="262" spans="3:487" x14ac:dyDescent="0.25">
      <c r="C262" s="2" t="s">
        <v>3658</v>
      </c>
      <c r="D262" s="34">
        <v>0</v>
      </c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D262"/>
      <c r="BE262"/>
      <c r="BF262"/>
      <c r="BG262"/>
      <c r="BH262"/>
      <c r="BI262"/>
      <c r="BJ262"/>
      <c r="BK262"/>
      <c r="BL262"/>
      <c r="BM262"/>
      <c r="BN262"/>
      <c r="BO262"/>
      <c r="BP262"/>
      <c r="BQ262"/>
      <c r="BR262"/>
      <c r="BS262"/>
      <c r="BT262"/>
      <c r="BU262"/>
      <c r="BV262"/>
      <c r="BW262"/>
      <c r="BX262"/>
      <c r="BY262"/>
      <c r="BZ262"/>
      <c r="CA262"/>
      <c r="CB262"/>
      <c r="CC262"/>
      <c r="CD262"/>
      <c r="CE262"/>
      <c r="CF262"/>
      <c r="CG262"/>
      <c r="CH262"/>
      <c r="CI262"/>
      <c r="CJ262"/>
      <c r="CK262"/>
      <c r="CL262"/>
      <c r="CM262"/>
      <c r="CN262"/>
      <c r="CO262"/>
      <c r="CP262"/>
      <c r="CQ262"/>
      <c r="CR262"/>
      <c r="CS262"/>
      <c r="CT262"/>
      <c r="CU262"/>
      <c r="CV262"/>
      <c r="CW262"/>
      <c r="CX262"/>
      <c r="CY262"/>
      <c r="CZ262"/>
      <c r="DA262"/>
      <c r="DB262"/>
      <c r="DC262"/>
      <c r="DD262"/>
      <c r="DE262"/>
      <c r="DF262"/>
      <c r="DG262"/>
      <c r="DH262"/>
      <c r="DI262"/>
      <c r="DJ262"/>
      <c r="DK262"/>
      <c r="DL262"/>
      <c r="DM262"/>
      <c r="DN262"/>
      <c r="DO262"/>
      <c r="DP262"/>
      <c r="DQ262"/>
      <c r="DR262"/>
      <c r="DS262"/>
      <c r="DT262"/>
      <c r="DU262"/>
      <c r="DV262"/>
      <c r="DW262"/>
      <c r="DX262"/>
      <c r="DY262"/>
      <c r="DZ262"/>
      <c r="EA262"/>
      <c r="EB262"/>
      <c r="EC262"/>
      <c r="ED262"/>
      <c r="EE262"/>
      <c r="EF262"/>
      <c r="EG262"/>
      <c r="EH262"/>
      <c r="EI262"/>
      <c r="EJ262"/>
      <c r="EK262"/>
      <c r="EL262"/>
      <c r="EM262"/>
      <c r="EN262"/>
      <c r="EO262"/>
      <c r="EP262"/>
      <c r="EQ262"/>
      <c r="ER262"/>
      <c r="ES262"/>
      <c r="ET262"/>
      <c r="EU262"/>
      <c r="EV262"/>
      <c r="EW262"/>
      <c r="EX262"/>
      <c r="EY262"/>
      <c r="EZ262"/>
      <c r="FA262"/>
      <c r="FB262"/>
      <c r="FC262"/>
      <c r="FD262"/>
      <c r="FE262"/>
      <c r="FF262"/>
      <c r="FG262"/>
      <c r="FH262"/>
      <c r="FI262"/>
      <c r="FJ262"/>
      <c r="FK262"/>
      <c r="FL262"/>
      <c r="FM262"/>
      <c r="FN262"/>
      <c r="FO262"/>
      <c r="FP262"/>
      <c r="FQ262"/>
      <c r="FR262"/>
      <c r="FS262"/>
      <c r="FT262"/>
      <c r="FU262"/>
      <c r="FV262"/>
      <c r="FW262"/>
      <c r="FX262"/>
      <c r="FY262"/>
      <c r="FZ262"/>
      <c r="GA262"/>
      <c r="GB262"/>
      <c r="GC262"/>
      <c r="GD262"/>
      <c r="GE262"/>
      <c r="GF262"/>
      <c r="GG262"/>
      <c r="GH262"/>
      <c r="GI262"/>
      <c r="GJ262"/>
      <c r="GK262"/>
      <c r="GL262"/>
      <c r="GM262"/>
      <c r="GN262"/>
      <c r="GO262"/>
      <c r="GP262"/>
      <c r="GQ262"/>
      <c r="GR262"/>
      <c r="GS262"/>
      <c r="GT262"/>
      <c r="GU262"/>
      <c r="GV262"/>
      <c r="GW262"/>
      <c r="GX262"/>
      <c r="GY262"/>
      <c r="GZ262"/>
      <c r="HA262"/>
      <c r="HB262"/>
      <c r="HC262"/>
      <c r="HD262"/>
      <c r="HE262"/>
      <c r="HF262"/>
      <c r="HG262"/>
      <c r="HH262"/>
      <c r="HI262"/>
      <c r="HJ262"/>
      <c r="HK262"/>
      <c r="HL262"/>
      <c r="HM262"/>
      <c r="HN262"/>
      <c r="HO262"/>
      <c r="HP262"/>
      <c r="HQ262"/>
      <c r="HR262"/>
      <c r="HS262"/>
      <c r="HT262"/>
      <c r="HU262"/>
      <c r="HV262"/>
      <c r="HW262"/>
      <c r="HX262"/>
      <c r="HY262"/>
      <c r="HZ262"/>
      <c r="IA262"/>
      <c r="IB262"/>
      <c r="IC262"/>
      <c r="ID262"/>
      <c r="IE262"/>
      <c r="IF262"/>
      <c r="IG262"/>
      <c r="IH262"/>
      <c r="II262"/>
      <c r="IJ262"/>
      <c r="IK262"/>
      <c r="IL262"/>
      <c r="IM262"/>
      <c r="IN262"/>
      <c r="IO262"/>
      <c r="IP262"/>
      <c r="IQ262"/>
      <c r="IR262"/>
      <c r="IS262"/>
      <c r="IT262"/>
      <c r="IU262"/>
      <c r="IV262"/>
      <c r="IW262"/>
      <c r="IX262"/>
      <c r="IY262"/>
      <c r="IZ262"/>
      <c r="JA262"/>
      <c r="JB262"/>
      <c r="JC262"/>
      <c r="JD262"/>
      <c r="JE262"/>
      <c r="JF262"/>
      <c r="JG262"/>
      <c r="JH262"/>
      <c r="JI262"/>
      <c r="JJ262"/>
      <c r="JK262"/>
      <c r="JL262"/>
      <c r="JM262"/>
      <c r="JN262"/>
      <c r="JO262"/>
      <c r="JP262"/>
      <c r="JQ262"/>
      <c r="JR262"/>
      <c r="JS262"/>
      <c r="JT262"/>
      <c r="JU262"/>
      <c r="JV262"/>
      <c r="JW262"/>
      <c r="JX262"/>
      <c r="JY262"/>
      <c r="JZ262"/>
      <c r="KA262"/>
      <c r="KB262"/>
      <c r="KC262"/>
      <c r="KD262"/>
      <c r="KE262"/>
      <c r="KF262"/>
      <c r="KG262"/>
      <c r="KH262"/>
      <c r="KI262"/>
      <c r="KJ262"/>
      <c r="KK262"/>
      <c r="KL262"/>
      <c r="KM262"/>
      <c r="KN262"/>
      <c r="KO262"/>
      <c r="KP262"/>
      <c r="KQ262"/>
      <c r="KR262"/>
      <c r="KS262"/>
      <c r="KT262"/>
      <c r="KU262"/>
      <c r="KV262"/>
      <c r="KW262"/>
      <c r="KX262"/>
      <c r="KY262"/>
      <c r="KZ262"/>
      <c r="LA262"/>
      <c r="LB262"/>
      <c r="LC262"/>
      <c r="LD262"/>
      <c r="LE262"/>
      <c r="LF262"/>
      <c r="LG262"/>
      <c r="LH262"/>
      <c r="LI262"/>
      <c r="LJ262"/>
      <c r="LK262"/>
      <c r="LL262"/>
      <c r="LM262"/>
      <c r="LN262"/>
      <c r="LO262"/>
      <c r="LP262"/>
      <c r="LQ262"/>
      <c r="LR262"/>
      <c r="LS262"/>
      <c r="LT262"/>
      <c r="LU262"/>
      <c r="LV262"/>
      <c r="LW262"/>
      <c r="LX262"/>
      <c r="LY262"/>
      <c r="LZ262"/>
      <c r="MA262"/>
      <c r="MB262"/>
      <c r="MC262"/>
      <c r="MD262"/>
      <c r="ME262"/>
      <c r="MF262"/>
      <c r="MG262"/>
      <c r="MH262"/>
      <c r="MI262"/>
      <c r="MJ262"/>
      <c r="MK262"/>
      <c r="ML262"/>
      <c r="MM262"/>
      <c r="MN262"/>
      <c r="MO262"/>
      <c r="MP262"/>
      <c r="MQ262"/>
      <c r="MR262"/>
      <c r="MS262"/>
      <c r="MT262"/>
      <c r="MU262"/>
      <c r="MV262"/>
      <c r="MW262"/>
      <c r="MX262"/>
      <c r="MY262"/>
      <c r="MZ262"/>
      <c r="NA262"/>
      <c r="NB262"/>
      <c r="NC262"/>
      <c r="ND262"/>
      <c r="NE262"/>
      <c r="NF262"/>
      <c r="NG262"/>
      <c r="NH262"/>
      <c r="NI262"/>
      <c r="NJ262"/>
      <c r="NK262"/>
      <c r="NL262"/>
      <c r="NM262"/>
      <c r="NN262"/>
      <c r="NO262"/>
      <c r="NP262"/>
      <c r="NQ262"/>
      <c r="NR262"/>
      <c r="NS262"/>
      <c r="NT262"/>
      <c r="NU262"/>
      <c r="NV262"/>
      <c r="NW262"/>
      <c r="NX262"/>
      <c r="NY262"/>
      <c r="NZ262"/>
      <c r="OA262"/>
      <c r="OB262"/>
      <c r="OC262"/>
      <c r="OD262"/>
      <c r="OE262"/>
      <c r="OF262"/>
      <c r="OG262"/>
      <c r="OH262"/>
      <c r="OI262"/>
      <c r="OJ262"/>
      <c r="OK262"/>
      <c r="OL262"/>
      <c r="OM262"/>
      <c r="ON262"/>
      <c r="OO262"/>
      <c r="OP262"/>
      <c r="OQ262"/>
      <c r="OR262"/>
      <c r="OS262"/>
      <c r="OT262"/>
      <c r="OU262"/>
      <c r="OV262"/>
      <c r="OW262"/>
      <c r="OX262"/>
      <c r="OY262"/>
      <c r="OZ262"/>
      <c r="PA262"/>
      <c r="PB262"/>
      <c r="PC262"/>
      <c r="PD262"/>
      <c r="PE262"/>
      <c r="PF262"/>
      <c r="PG262"/>
      <c r="PH262"/>
      <c r="PI262"/>
      <c r="PJ262"/>
      <c r="PK262"/>
      <c r="PL262"/>
      <c r="PM262"/>
      <c r="PN262"/>
      <c r="PO262"/>
      <c r="PP262"/>
      <c r="PQ262"/>
      <c r="PR262"/>
      <c r="PS262"/>
      <c r="PT262"/>
      <c r="PU262"/>
      <c r="PV262"/>
      <c r="PW262"/>
      <c r="PX262"/>
      <c r="PY262"/>
      <c r="PZ262"/>
      <c r="QA262"/>
      <c r="QB262"/>
      <c r="QC262"/>
      <c r="QD262"/>
      <c r="QE262"/>
      <c r="QF262"/>
      <c r="QG262"/>
      <c r="QH262"/>
      <c r="QI262"/>
      <c r="QJ262"/>
      <c r="QK262"/>
      <c r="QL262"/>
      <c r="QM262"/>
      <c r="QN262"/>
      <c r="QO262"/>
      <c r="QP262"/>
      <c r="QQ262"/>
      <c r="QR262"/>
      <c r="QS262"/>
      <c r="QT262"/>
      <c r="QU262"/>
      <c r="QV262"/>
      <c r="QW262"/>
      <c r="QX262"/>
      <c r="QY262"/>
      <c r="QZ262"/>
      <c r="RA262"/>
      <c r="RB262"/>
      <c r="RC262"/>
      <c r="RD262"/>
      <c r="RE262"/>
      <c r="RF262"/>
      <c r="RG262"/>
      <c r="RH262"/>
      <c r="RI262"/>
      <c r="RJ262"/>
      <c r="RK262"/>
      <c r="RL262"/>
      <c r="RM262"/>
      <c r="RN262"/>
      <c r="RO262"/>
      <c r="RP262"/>
      <c r="RQ262"/>
      <c r="RR262"/>
      <c r="RS262"/>
    </row>
    <row r="263" spans="3:487" x14ac:dyDescent="0.25">
      <c r="C263" s="2" t="s">
        <v>3836</v>
      </c>
      <c r="D263" s="34">
        <v>0</v>
      </c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D263"/>
      <c r="BE263"/>
      <c r="BF263"/>
      <c r="BG263"/>
      <c r="BH263"/>
      <c r="BI263"/>
      <c r="BJ263"/>
      <c r="BK263"/>
      <c r="BL263"/>
      <c r="BM263"/>
      <c r="BN263"/>
      <c r="BO263"/>
      <c r="BP263"/>
      <c r="BQ263"/>
      <c r="BR263"/>
      <c r="BS263"/>
      <c r="BT263"/>
      <c r="BU263"/>
      <c r="BV263"/>
      <c r="BW263"/>
      <c r="BX263"/>
      <c r="BY263"/>
      <c r="BZ263"/>
      <c r="CA263"/>
      <c r="CB263"/>
      <c r="CC263"/>
      <c r="CD263"/>
      <c r="CE263"/>
      <c r="CF263"/>
      <c r="CG263"/>
      <c r="CH263"/>
      <c r="CI263"/>
      <c r="CJ263"/>
      <c r="CK263"/>
      <c r="CL263"/>
      <c r="CM263"/>
      <c r="CN263"/>
      <c r="CO263"/>
      <c r="CP263"/>
      <c r="CQ263"/>
      <c r="CR263"/>
      <c r="CS263"/>
      <c r="CT263"/>
      <c r="CU263"/>
      <c r="CV263"/>
      <c r="CW263"/>
      <c r="CX263"/>
      <c r="CY263"/>
      <c r="CZ263"/>
      <c r="DA263"/>
      <c r="DB263"/>
      <c r="DC263"/>
      <c r="DD263"/>
      <c r="DE263"/>
      <c r="DF263"/>
      <c r="DG263"/>
      <c r="DH263"/>
      <c r="DI263"/>
      <c r="DJ263"/>
      <c r="DK263"/>
      <c r="DL263"/>
      <c r="DM263"/>
      <c r="DN263"/>
      <c r="DO263"/>
      <c r="DP263"/>
      <c r="DQ263"/>
      <c r="DR263"/>
      <c r="DS263"/>
      <c r="DT263"/>
      <c r="DU263"/>
      <c r="DV263"/>
      <c r="DW263"/>
      <c r="DX263"/>
      <c r="DY263"/>
      <c r="DZ263"/>
      <c r="EA263"/>
      <c r="EB263"/>
      <c r="EC263"/>
      <c r="ED263"/>
      <c r="EE263"/>
      <c r="EF263"/>
      <c r="EG263"/>
      <c r="EH263"/>
      <c r="EI263"/>
      <c r="EJ263"/>
      <c r="EK263"/>
      <c r="EL263"/>
      <c r="EM263"/>
      <c r="EN263"/>
      <c r="EO263"/>
      <c r="EP263"/>
      <c r="EQ263"/>
      <c r="ER263"/>
      <c r="ES263"/>
      <c r="ET263"/>
      <c r="EU263"/>
      <c r="EV263"/>
      <c r="EW263"/>
      <c r="EX263"/>
      <c r="EY263"/>
      <c r="EZ263"/>
      <c r="FA263"/>
      <c r="FB263"/>
      <c r="FC263"/>
      <c r="FD263"/>
      <c r="FE263"/>
      <c r="FF263"/>
      <c r="FG263"/>
      <c r="FH263"/>
      <c r="FI263"/>
      <c r="FJ263"/>
      <c r="FK263"/>
      <c r="FL263"/>
      <c r="FM263"/>
      <c r="FN263"/>
      <c r="FO263"/>
      <c r="FP263"/>
      <c r="FQ263"/>
      <c r="FR263"/>
      <c r="FS263"/>
      <c r="FT263"/>
      <c r="FU263"/>
      <c r="FV263"/>
      <c r="FW263"/>
      <c r="FX263"/>
      <c r="FY263"/>
      <c r="FZ263"/>
      <c r="GA263"/>
      <c r="GB263"/>
      <c r="GC263"/>
      <c r="GD263"/>
      <c r="GE263"/>
      <c r="GF263"/>
      <c r="GG263"/>
      <c r="GH263"/>
      <c r="GI263"/>
      <c r="GJ263"/>
      <c r="GK263"/>
      <c r="GL263"/>
      <c r="GM263"/>
      <c r="GN263"/>
      <c r="GO263"/>
      <c r="GP263"/>
      <c r="GQ263"/>
      <c r="GR263"/>
      <c r="GS263"/>
      <c r="GT263"/>
      <c r="GU263"/>
      <c r="GV263"/>
      <c r="GW263"/>
      <c r="GX263"/>
      <c r="GY263"/>
      <c r="GZ263"/>
      <c r="HA263"/>
      <c r="HB263"/>
      <c r="HC263"/>
      <c r="HD263"/>
      <c r="HE263"/>
      <c r="HF263"/>
      <c r="HG263"/>
      <c r="HH263"/>
      <c r="HI263"/>
      <c r="HJ263"/>
      <c r="HK263"/>
      <c r="HL263"/>
      <c r="HM263"/>
      <c r="HN263"/>
      <c r="HO263"/>
      <c r="HP263"/>
      <c r="HQ263"/>
      <c r="HR263"/>
      <c r="HS263"/>
      <c r="HT263"/>
      <c r="HU263"/>
      <c r="HV263"/>
      <c r="HW263"/>
      <c r="HX263"/>
      <c r="HY263"/>
      <c r="HZ263"/>
      <c r="IA263"/>
      <c r="IB263"/>
      <c r="IC263"/>
      <c r="ID263"/>
      <c r="IE263"/>
      <c r="IF263"/>
      <c r="IG263"/>
      <c r="IH263"/>
      <c r="II263"/>
      <c r="IJ263"/>
      <c r="IK263"/>
      <c r="IL263"/>
      <c r="IM263"/>
      <c r="IN263"/>
      <c r="IO263"/>
      <c r="IP263"/>
      <c r="IQ263"/>
      <c r="IR263"/>
      <c r="IS263"/>
      <c r="IT263"/>
      <c r="IU263"/>
      <c r="IV263"/>
      <c r="IW263"/>
      <c r="IX263"/>
      <c r="IY263"/>
      <c r="IZ263"/>
      <c r="JA263"/>
      <c r="JB263"/>
      <c r="JC263"/>
      <c r="JD263"/>
      <c r="JE263"/>
      <c r="JF263"/>
      <c r="JG263"/>
      <c r="JH263"/>
      <c r="JI263"/>
      <c r="JJ263"/>
      <c r="JK263"/>
      <c r="JL263"/>
      <c r="JM263"/>
      <c r="JN263"/>
      <c r="JO263"/>
      <c r="JP263"/>
      <c r="JQ263"/>
      <c r="JR263"/>
      <c r="JS263"/>
      <c r="JT263"/>
      <c r="JU263"/>
      <c r="JV263"/>
      <c r="JW263"/>
      <c r="JX263"/>
      <c r="JY263"/>
      <c r="JZ263"/>
      <c r="KA263"/>
      <c r="KB263"/>
      <c r="KC263"/>
      <c r="KD263"/>
      <c r="KE263"/>
      <c r="KF263"/>
      <c r="KG263"/>
      <c r="KH263"/>
      <c r="KI263"/>
      <c r="KJ263"/>
      <c r="KK263"/>
      <c r="KL263"/>
      <c r="KM263"/>
      <c r="KN263"/>
      <c r="KO263"/>
      <c r="KP263"/>
      <c r="KQ263"/>
      <c r="KR263"/>
      <c r="KS263"/>
      <c r="KT263"/>
      <c r="KU263"/>
      <c r="KV263"/>
      <c r="KW263"/>
      <c r="KX263"/>
      <c r="KY263"/>
      <c r="KZ263"/>
      <c r="LA263"/>
      <c r="LB263"/>
      <c r="LC263"/>
      <c r="LD263"/>
      <c r="LE263"/>
      <c r="LF263"/>
      <c r="LG263"/>
      <c r="LH263"/>
      <c r="LI263"/>
      <c r="LJ263"/>
      <c r="LK263"/>
      <c r="LL263"/>
      <c r="LM263"/>
      <c r="LN263"/>
      <c r="LO263"/>
      <c r="LP263"/>
      <c r="LQ263"/>
      <c r="LR263"/>
      <c r="LS263"/>
      <c r="LT263"/>
      <c r="LU263"/>
      <c r="LV263"/>
      <c r="LW263"/>
      <c r="LX263"/>
      <c r="LY263"/>
      <c r="LZ263"/>
      <c r="MA263"/>
      <c r="MB263"/>
      <c r="MC263"/>
      <c r="MD263"/>
      <c r="ME263"/>
      <c r="MF263"/>
      <c r="MG263"/>
      <c r="MH263"/>
      <c r="MI263"/>
      <c r="MJ263"/>
      <c r="MK263"/>
      <c r="ML263"/>
      <c r="MM263"/>
      <c r="MN263"/>
      <c r="MO263"/>
      <c r="MP263"/>
      <c r="MQ263"/>
      <c r="MR263"/>
      <c r="MS263"/>
      <c r="MT263"/>
      <c r="MU263"/>
      <c r="MV263"/>
      <c r="MW263"/>
      <c r="MX263"/>
      <c r="MY263"/>
      <c r="MZ263"/>
      <c r="NA263"/>
      <c r="NB263"/>
      <c r="NC263"/>
      <c r="ND263"/>
      <c r="NE263"/>
      <c r="NF263"/>
      <c r="NG263"/>
      <c r="NH263"/>
      <c r="NI263"/>
      <c r="NJ263"/>
      <c r="NK263"/>
      <c r="NL263"/>
      <c r="NM263"/>
      <c r="NN263"/>
      <c r="NO263"/>
      <c r="NP263"/>
      <c r="NQ263"/>
      <c r="NR263"/>
      <c r="NS263"/>
      <c r="NT263"/>
      <c r="NU263"/>
      <c r="NV263"/>
      <c r="NW263"/>
      <c r="NX263"/>
      <c r="NY263"/>
      <c r="NZ263"/>
      <c r="OA263"/>
      <c r="OB263"/>
      <c r="OC263"/>
      <c r="OD263"/>
      <c r="OE263"/>
      <c r="OF263"/>
      <c r="OG263"/>
      <c r="OH263"/>
      <c r="OI263"/>
      <c r="OJ263"/>
      <c r="OK263"/>
      <c r="OL263"/>
      <c r="OM263"/>
      <c r="ON263"/>
      <c r="OO263"/>
      <c r="OP263"/>
      <c r="OQ263"/>
      <c r="OR263"/>
      <c r="OS263"/>
      <c r="OT263"/>
      <c r="OU263"/>
      <c r="OV263"/>
      <c r="OW263"/>
      <c r="OX263"/>
      <c r="OY263"/>
      <c r="OZ263"/>
      <c r="PA263"/>
      <c r="PB263"/>
      <c r="PC263"/>
      <c r="PD263"/>
      <c r="PE263"/>
      <c r="PF263"/>
      <c r="PG263"/>
      <c r="PH263"/>
      <c r="PI263"/>
      <c r="PJ263"/>
      <c r="PK263"/>
      <c r="PL263"/>
      <c r="PM263"/>
      <c r="PN263"/>
      <c r="PO263"/>
      <c r="PP263"/>
      <c r="PQ263"/>
      <c r="PR263"/>
      <c r="PS263"/>
      <c r="PT263"/>
      <c r="PU263"/>
      <c r="PV263"/>
      <c r="PW263"/>
      <c r="PX263"/>
      <c r="PY263"/>
      <c r="PZ263"/>
      <c r="QA263"/>
      <c r="QB263"/>
      <c r="QC263"/>
      <c r="QD263"/>
      <c r="QE263"/>
      <c r="QF263"/>
      <c r="QG263"/>
      <c r="QH263"/>
      <c r="QI263"/>
      <c r="QJ263"/>
      <c r="QK263"/>
      <c r="QL263"/>
      <c r="QM263"/>
      <c r="QN263"/>
      <c r="QO263"/>
      <c r="QP263"/>
      <c r="QQ263"/>
      <c r="QR263"/>
      <c r="QS263"/>
      <c r="QT263"/>
      <c r="QU263"/>
      <c r="QV263"/>
      <c r="QW263"/>
      <c r="QX263"/>
      <c r="QY263"/>
      <c r="QZ263"/>
      <c r="RA263"/>
      <c r="RB263"/>
      <c r="RC263"/>
      <c r="RD263"/>
      <c r="RE263"/>
      <c r="RF263"/>
      <c r="RG263"/>
      <c r="RH263"/>
      <c r="RI263"/>
      <c r="RJ263"/>
      <c r="RK263"/>
      <c r="RL263"/>
      <c r="RM263"/>
      <c r="RN263"/>
      <c r="RO263"/>
      <c r="RP263"/>
      <c r="RQ263"/>
      <c r="RR263"/>
      <c r="RS263"/>
    </row>
    <row r="264" spans="3:487" x14ac:dyDescent="0.25">
      <c r="C264" s="2" t="s">
        <v>3644</v>
      </c>
      <c r="D264" s="34">
        <v>0</v>
      </c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  <c r="BA264"/>
      <c r="BB264"/>
      <c r="BC264"/>
      <c r="BD264"/>
      <c r="BE264"/>
      <c r="BF264"/>
      <c r="BG264"/>
      <c r="BH264"/>
      <c r="BI264"/>
      <c r="BJ264"/>
      <c r="BK264"/>
      <c r="BL264"/>
      <c r="BM264"/>
      <c r="BN264"/>
      <c r="BO264"/>
      <c r="BP264"/>
      <c r="BQ264"/>
      <c r="BR264"/>
      <c r="BS264"/>
      <c r="BT264"/>
      <c r="BU264"/>
      <c r="BV264"/>
      <c r="BW264"/>
      <c r="BX264"/>
      <c r="BY264"/>
      <c r="BZ264"/>
      <c r="CA264"/>
      <c r="CB264"/>
      <c r="CC264"/>
      <c r="CD264"/>
      <c r="CE264"/>
      <c r="CF264"/>
      <c r="CG264"/>
      <c r="CH264"/>
      <c r="CI264"/>
      <c r="CJ264"/>
      <c r="CK264"/>
      <c r="CL264"/>
      <c r="CM264"/>
      <c r="CN264"/>
      <c r="CO264"/>
      <c r="CP264"/>
      <c r="CQ264"/>
      <c r="CR264"/>
      <c r="CS264"/>
      <c r="CT264"/>
      <c r="CU264"/>
      <c r="CV264"/>
      <c r="CW264"/>
      <c r="CX264"/>
      <c r="CY264"/>
      <c r="CZ264"/>
      <c r="DA264"/>
      <c r="DB264"/>
      <c r="DC264"/>
      <c r="DD264"/>
      <c r="DE264"/>
      <c r="DF264"/>
      <c r="DG264"/>
      <c r="DH264"/>
      <c r="DI264"/>
      <c r="DJ264"/>
      <c r="DK264"/>
      <c r="DL264"/>
      <c r="DM264"/>
      <c r="DN264"/>
      <c r="DO264"/>
      <c r="DP264"/>
      <c r="DQ264"/>
      <c r="DR264"/>
      <c r="DS264"/>
      <c r="DT264"/>
      <c r="DU264"/>
      <c r="DV264"/>
      <c r="DW264"/>
      <c r="DX264"/>
      <c r="DY264"/>
      <c r="DZ264"/>
      <c r="EA264"/>
      <c r="EB264"/>
      <c r="EC264"/>
      <c r="ED264"/>
      <c r="EE264"/>
      <c r="EF264"/>
      <c r="EG264"/>
      <c r="EH264"/>
      <c r="EI264"/>
      <c r="EJ264"/>
      <c r="EK264"/>
      <c r="EL264"/>
      <c r="EM264"/>
      <c r="EN264"/>
      <c r="EO264"/>
      <c r="EP264"/>
      <c r="EQ264"/>
      <c r="ER264"/>
      <c r="ES264"/>
      <c r="ET264"/>
      <c r="EU264"/>
      <c r="EV264"/>
      <c r="EW264"/>
      <c r="EX264"/>
      <c r="EY264"/>
      <c r="EZ264"/>
      <c r="FA264"/>
      <c r="FB264"/>
      <c r="FC264"/>
      <c r="FD264"/>
      <c r="FE264"/>
      <c r="FF264"/>
      <c r="FG264"/>
      <c r="FH264"/>
      <c r="FI264"/>
      <c r="FJ264"/>
      <c r="FK264"/>
      <c r="FL264"/>
      <c r="FM264"/>
      <c r="FN264"/>
      <c r="FO264"/>
      <c r="FP264"/>
      <c r="FQ264"/>
      <c r="FR264"/>
      <c r="FS264"/>
      <c r="FT264"/>
      <c r="FU264"/>
      <c r="FV264"/>
      <c r="FW264"/>
      <c r="FX264"/>
      <c r="FY264"/>
      <c r="FZ264"/>
      <c r="GA264"/>
      <c r="GB264"/>
      <c r="GC264"/>
      <c r="GD264"/>
      <c r="GE264"/>
      <c r="GF264"/>
      <c r="GG264"/>
      <c r="GH264"/>
      <c r="GI264"/>
      <c r="GJ264"/>
      <c r="GK264"/>
      <c r="GL264"/>
      <c r="GM264"/>
      <c r="GN264"/>
      <c r="GO264"/>
      <c r="GP264"/>
      <c r="GQ264"/>
      <c r="GR264"/>
      <c r="GS264"/>
      <c r="GT264"/>
      <c r="GU264"/>
      <c r="GV264"/>
      <c r="GW264"/>
      <c r="GX264"/>
      <c r="GY264"/>
      <c r="GZ264"/>
      <c r="HA264"/>
      <c r="HB264"/>
      <c r="HC264"/>
      <c r="HD264"/>
      <c r="HE264"/>
      <c r="HF264"/>
      <c r="HG264"/>
      <c r="HH264"/>
      <c r="HI264"/>
      <c r="HJ264"/>
      <c r="HK264"/>
      <c r="HL264"/>
      <c r="HM264"/>
      <c r="HN264"/>
      <c r="HO264"/>
      <c r="HP264"/>
      <c r="HQ264"/>
      <c r="HR264"/>
      <c r="HS264"/>
      <c r="HT264"/>
      <c r="HU264"/>
      <c r="HV264"/>
      <c r="HW264"/>
      <c r="HX264"/>
      <c r="HY264"/>
      <c r="HZ264"/>
      <c r="IA264"/>
      <c r="IB264"/>
      <c r="IC264"/>
      <c r="ID264"/>
      <c r="IE264"/>
      <c r="IF264"/>
      <c r="IG264"/>
      <c r="IH264"/>
      <c r="II264"/>
      <c r="IJ264"/>
      <c r="IK264"/>
      <c r="IL264"/>
      <c r="IM264"/>
      <c r="IN264"/>
      <c r="IO264"/>
      <c r="IP264"/>
      <c r="IQ264"/>
      <c r="IR264"/>
      <c r="IS264"/>
      <c r="IT264"/>
      <c r="IU264"/>
      <c r="IV264"/>
      <c r="IW264"/>
      <c r="IX264"/>
      <c r="IY264"/>
      <c r="IZ264"/>
      <c r="JA264"/>
      <c r="JB264"/>
      <c r="JC264"/>
      <c r="JD264"/>
      <c r="JE264"/>
      <c r="JF264"/>
      <c r="JG264"/>
      <c r="JH264"/>
      <c r="JI264"/>
      <c r="JJ264"/>
      <c r="JK264"/>
      <c r="JL264"/>
      <c r="JM264"/>
      <c r="JN264"/>
      <c r="JO264"/>
      <c r="JP264"/>
      <c r="JQ264"/>
      <c r="JR264"/>
      <c r="JS264"/>
      <c r="JT264"/>
      <c r="JU264"/>
      <c r="JV264"/>
      <c r="JW264"/>
      <c r="JX264"/>
      <c r="JY264"/>
      <c r="JZ264"/>
      <c r="KA264"/>
      <c r="KB264"/>
      <c r="KC264"/>
      <c r="KD264"/>
      <c r="KE264"/>
      <c r="KF264"/>
      <c r="KG264"/>
      <c r="KH264"/>
      <c r="KI264"/>
      <c r="KJ264"/>
      <c r="KK264"/>
      <c r="KL264"/>
      <c r="KM264"/>
      <c r="KN264"/>
      <c r="KO264"/>
      <c r="KP264"/>
      <c r="KQ264"/>
      <c r="KR264"/>
      <c r="KS264"/>
      <c r="KT264"/>
      <c r="KU264"/>
      <c r="KV264"/>
      <c r="KW264"/>
      <c r="KX264"/>
      <c r="KY264"/>
      <c r="KZ264"/>
      <c r="LA264"/>
      <c r="LB264"/>
      <c r="LC264"/>
      <c r="LD264"/>
      <c r="LE264"/>
      <c r="LF264"/>
      <c r="LG264"/>
      <c r="LH264"/>
      <c r="LI264"/>
      <c r="LJ264"/>
      <c r="LK264"/>
      <c r="LL264"/>
      <c r="LM264"/>
      <c r="LN264"/>
      <c r="LO264"/>
      <c r="LP264"/>
      <c r="LQ264"/>
      <c r="LR264"/>
      <c r="LS264"/>
      <c r="LT264"/>
      <c r="LU264"/>
      <c r="LV264"/>
      <c r="LW264"/>
      <c r="LX264"/>
      <c r="LY264"/>
      <c r="LZ264"/>
      <c r="MA264"/>
      <c r="MB264"/>
      <c r="MC264"/>
      <c r="MD264"/>
      <c r="ME264"/>
      <c r="MF264"/>
      <c r="MG264"/>
      <c r="MH264"/>
      <c r="MI264"/>
      <c r="MJ264"/>
      <c r="MK264"/>
      <c r="ML264"/>
      <c r="MM264"/>
      <c r="MN264"/>
      <c r="MO264"/>
      <c r="MP264"/>
      <c r="MQ264"/>
      <c r="MR264"/>
      <c r="MS264"/>
      <c r="MT264"/>
      <c r="MU264"/>
      <c r="MV264"/>
      <c r="MW264"/>
      <c r="MX264"/>
      <c r="MY264"/>
      <c r="MZ264"/>
      <c r="NA264"/>
      <c r="NB264"/>
      <c r="NC264"/>
      <c r="ND264"/>
      <c r="NE264"/>
      <c r="NF264"/>
      <c r="NG264"/>
      <c r="NH264"/>
      <c r="NI264"/>
      <c r="NJ264"/>
      <c r="NK264"/>
      <c r="NL264"/>
      <c r="NM264"/>
      <c r="NN264"/>
      <c r="NO264"/>
      <c r="NP264"/>
      <c r="NQ264"/>
      <c r="NR264"/>
      <c r="NS264"/>
      <c r="NT264"/>
      <c r="NU264"/>
      <c r="NV264"/>
      <c r="NW264"/>
      <c r="NX264"/>
      <c r="NY264"/>
      <c r="NZ264"/>
      <c r="OA264"/>
      <c r="OB264"/>
      <c r="OC264"/>
      <c r="OD264"/>
      <c r="OE264"/>
      <c r="OF264"/>
      <c r="OG264"/>
      <c r="OH264"/>
      <c r="OI264"/>
      <c r="OJ264"/>
      <c r="OK264"/>
      <c r="OL264"/>
      <c r="OM264"/>
      <c r="ON264"/>
      <c r="OO264"/>
      <c r="OP264"/>
      <c r="OQ264"/>
      <c r="OR264"/>
      <c r="OS264"/>
      <c r="OT264"/>
      <c r="OU264"/>
      <c r="OV264"/>
      <c r="OW264"/>
      <c r="OX264"/>
      <c r="OY264"/>
      <c r="OZ264"/>
      <c r="PA264"/>
      <c r="PB264"/>
      <c r="PC264"/>
      <c r="PD264"/>
      <c r="PE264"/>
      <c r="PF264"/>
      <c r="PG264"/>
      <c r="PH264"/>
      <c r="PI264"/>
      <c r="PJ264"/>
      <c r="PK264"/>
      <c r="PL264"/>
      <c r="PM264"/>
      <c r="PN264"/>
      <c r="PO264"/>
      <c r="PP264"/>
      <c r="PQ264"/>
      <c r="PR264"/>
      <c r="PS264"/>
      <c r="PT264"/>
      <c r="PU264"/>
      <c r="PV264"/>
      <c r="PW264"/>
      <c r="PX264"/>
      <c r="PY264"/>
      <c r="PZ264"/>
      <c r="QA264"/>
      <c r="QB264"/>
      <c r="QC264"/>
      <c r="QD264"/>
      <c r="QE264"/>
      <c r="QF264"/>
      <c r="QG264"/>
      <c r="QH264"/>
      <c r="QI264"/>
      <c r="QJ264"/>
      <c r="QK264"/>
      <c r="QL264"/>
      <c r="QM264"/>
      <c r="QN264"/>
      <c r="QO264"/>
      <c r="QP264"/>
      <c r="QQ264"/>
      <c r="QR264"/>
      <c r="QS264"/>
      <c r="QT264"/>
      <c r="QU264"/>
      <c r="QV264"/>
      <c r="QW264"/>
      <c r="QX264"/>
      <c r="QY264"/>
      <c r="QZ264"/>
      <c r="RA264"/>
      <c r="RB264"/>
      <c r="RC264"/>
      <c r="RD264"/>
      <c r="RE264"/>
      <c r="RF264"/>
      <c r="RG264"/>
      <c r="RH264"/>
      <c r="RI264"/>
      <c r="RJ264"/>
      <c r="RK264"/>
      <c r="RL264"/>
      <c r="RM264"/>
      <c r="RN264"/>
      <c r="RO264"/>
      <c r="RP264"/>
      <c r="RQ264"/>
      <c r="RR264"/>
      <c r="RS264"/>
    </row>
    <row r="265" spans="3:487" x14ac:dyDescent="0.25">
      <c r="C265" s="2" t="s">
        <v>3754</v>
      </c>
      <c r="D265" s="34">
        <v>0</v>
      </c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  <c r="BA265"/>
      <c r="BB265"/>
      <c r="BC265"/>
      <c r="BD265"/>
      <c r="BE265"/>
      <c r="BF265"/>
      <c r="BG265"/>
      <c r="BH265"/>
      <c r="BI265"/>
      <c r="BJ265"/>
      <c r="BK265"/>
      <c r="BL265"/>
      <c r="BM265"/>
      <c r="BN265"/>
      <c r="BO265"/>
      <c r="BP265"/>
      <c r="BQ265"/>
      <c r="BR265"/>
      <c r="BS265"/>
      <c r="BT265"/>
      <c r="BU265"/>
      <c r="BV265"/>
      <c r="BW265"/>
      <c r="BX265"/>
      <c r="BY265"/>
      <c r="BZ265"/>
      <c r="CA265"/>
      <c r="CB265"/>
      <c r="CC265"/>
      <c r="CD265"/>
      <c r="CE265"/>
      <c r="CF265"/>
      <c r="CG265"/>
      <c r="CH265"/>
      <c r="CI265"/>
      <c r="CJ265"/>
      <c r="CK265"/>
      <c r="CL265"/>
      <c r="CM265"/>
      <c r="CN265"/>
      <c r="CO265"/>
      <c r="CP265"/>
      <c r="CQ265"/>
      <c r="CR265"/>
      <c r="CS265"/>
      <c r="CT265"/>
      <c r="CU265"/>
      <c r="CV265"/>
      <c r="CW265"/>
      <c r="CX265"/>
      <c r="CY265"/>
      <c r="CZ265"/>
      <c r="DA265"/>
      <c r="DB265"/>
      <c r="DC265"/>
      <c r="DD265"/>
      <c r="DE265"/>
      <c r="DF265"/>
      <c r="DG265"/>
      <c r="DH265"/>
      <c r="DI265"/>
      <c r="DJ265"/>
      <c r="DK265"/>
      <c r="DL265"/>
      <c r="DM265"/>
      <c r="DN265"/>
      <c r="DO265"/>
      <c r="DP265"/>
      <c r="DQ265"/>
      <c r="DR265"/>
      <c r="DS265"/>
      <c r="DT265"/>
      <c r="DU265"/>
      <c r="DV265"/>
      <c r="DW265"/>
      <c r="DX265"/>
      <c r="DY265"/>
      <c r="DZ265"/>
      <c r="EA265"/>
      <c r="EB265"/>
      <c r="EC265"/>
      <c r="ED265"/>
      <c r="EE265"/>
      <c r="EF265"/>
      <c r="EG265"/>
      <c r="EH265"/>
      <c r="EI265"/>
      <c r="EJ265"/>
      <c r="EK265"/>
      <c r="EL265"/>
      <c r="EM265"/>
      <c r="EN265"/>
      <c r="EO265"/>
      <c r="EP265"/>
      <c r="EQ265"/>
      <c r="ER265"/>
      <c r="ES265"/>
      <c r="ET265"/>
      <c r="EU265"/>
      <c r="EV265"/>
      <c r="EW265"/>
      <c r="EX265"/>
      <c r="EY265"/>
      <c r="EZ265"/>
      <c r="FA265"/>
      <c r="FB265"/>
      <c r="FC265"/>
      <c r="FD265"/>
      <c r="FE265"/>
      <c r="FF265"/>
      <c r="FG265"/>
      <c r="FH265"/>
      <c r="FI265"/>
      <c r="FJ265"/>
      <c r="FK265"/>
      <c r="FL265"/>
      <c r="FM265"/>
      <c r="FN265"/>
      <c r="FO265"/>
      <c r="FP265"/>
      <c r="FQ265"/>
      <c r="FR265"/>
      <c r="FS265"/>
      <c r="FT265"/>
      <c r="FU265"/>
      <c r="FV265"/>
      <c r="FW265"/>
      <c r="FX265"/>
      <c r="FY265"/>
      <c r="FZ265"/>
      <c r="GA265"/>
      <c r="GB265"/>
      <c r="GC265"/>
      <c r="GD265"/>
      <c r="GE265"/>
      <c r="GF265"/>
      <c r="GG265"/>
      <c r="GH265"/>
      <c r="GI265"/>
      <c r="GJ265"/>
      <c r="GK265"/>
      <c r="GL265"/>
      <c r="GM265"/>
      <c r="GN265"/>
      <c r="GO265"/>
      <c r="GP265"/>
      <c r="GQ265"/>
      <c r="GR265"/>
      <c r="GS265"/>
      <c r="GT265"/>
      <c r="GU265"/>
      <c r="GV265"/>
      <c r="GW265"/>
      <c r="GX265"/>
      <c r="GY265"/>
      <c r="GZ265"/>
      <c r="HA265"/>
      <c r="HB265"/>
      <c r="HC265"/>
      <c r="HD265"/>
      <c r="HE265"/>
      <c r="HF265"/>
      <c r="HG265"/>
      <c r="HH265"/>
      <c r="HI265"/>
      <c r="HJ265"/>
      <c r="HK265"/>
      <c r="HL265"/>
      <c r="HM265"/>
      <c r="HN265"/>
      <c r="HO265"/>
      <c r="HP265"/>
      <c r="HQ265"/>
      <c r="HR265"/>
      <c r="HS265"/>
      <c r="HT265"/>
      <c r="HU265"/>
      <c r="HV265"/>
      <c r="HW265"/>
      <c r="HX265"/>
      <c r="HY265"/>
      <c r="HZ265"/>
      <c r="IA265"/>
      <c r="IB265"/>
      <c r="IC265"/>
      <c r="ID265"/>
      <c r="IE265"/>
      <c r="IF265"/>
      <c r="IG265"/>
      <c r="IH265"/>
      <c r="II265"/>
      <c r="IJ265"/>
      <c r="IK265"/>
      <c r="IL265"/>
      <c r="IM265"/>
      <c r="IN265"/>
      <c r="IO265"/>
      <c r="IP265"/>
      <c r="IQ265"/>
      <c r="IR265"/>
      <c r="IS265"/>
      <c r="IT265"/>
      <c r="IU265"/>
      <c r="IV265"/>
      <c r="IW265"/>
      <c r="IX265"/>
      <c r="IY265"/>
      <c r="IZ265"/>
      <c r="JA265"/>
      <c r="JB265"/>
      <c r="JC265"/>
      <c r="JD265"/>
      <c r="JE265"/>
      <c r="JF265"/>
      <c r="JG265"/>
      <c r="JH265"/>
      <c r="JI265"/>
      <c r="JJ265"/>
      <c r="JK265"/>
      <c r="JL265"/>
      <c r="JM265"/>
      <c r="JN265"/>
      <c r="JO265"/>
      <c r="JP265"/>
      <c r="JQ265"/>
      <c r="JR265"/>
      <c r="JS265"/>
      <c r="JT265"/>
      <c r="JU265"/>
      <c r="JV265"/>
      <c r="JW265"/>
      <c r="JX265"/>
      <c r="JY265"/>
      <c r="JZ265"/>
      <c r="KA265"/>
      <c r="KB265"/>
      <c r="KC265"/>
      <c r="KD265"/>
      <c r="KE265"/>
      <c r="KF265"/>
      <c r="KG265"/>
      <c r="KH265"/>
      <c r="KI265"/>
      <c r="KJ265"/>
      <c r="KK265"/>
      <c r="KL265"/>
      <c r="KM265"/>
      <c r="KN265"/>
      <c r="KO265"/>
      <c r="KP265"/>
      <c r="KQ265"/>
      <c r="KR265"/>
      <c r="KS265"/>
      <c r="KT265"/>
      <c r="KU265"/>
      <c r="KV265"/>
      <c r="KW265"/>
      <c r="KX265"/>
      <c r="KY265"/>
      <c r="KZ265"/>
      <c r="LA265"/>
      <c r="LB265"/>
      <c r="LC265"/>
      <c r="LD265"/>
      <c r="LE265"/>
      <c r="LF265"/>
      <c r="LG265"/>
      <c r="LH265"/>
      <c r="LI265"/>
      <c r="LJ265"/>
      <c r="LK265"/>
      <c r="LL265"/>
      <c r="LM265"/>
      <c r="LN265"/>
      <c r="LO265"/>
      <c r="LP265"/>
      <c r="LQ265"/>
      <c r="LR265"/>
      <c r="LS265"/>
      <c r="LT265"/>
      <c r="LU265"/>
      <c r="LV265"/>
      <c r="LW265"/>
      <c r="LX265"/>
      <c r="LY265"/>
      <c r="LZ265"/>
      <c r="MA265"/>
      <c r="MB265"/>
      <c r="MC265"/>
      <c r="MD265"/>
      <c r="ME265"/>
      <c r="MF265"/>
      <c r="MG265"/>
      <c r="MH265"/>
      <c r="MI265"/>
      <c r="MJ265"/>
      <c r="MK265"/>
      <c r="ML265"/>
      <c r="MM265"/>
      <c r="MN265"/>
      <c r="MO265"/>
      <c r="MP265"/>
      <c r="MQ265"/>
      <c r="MR265"/>
      <c r="MS265"/>
      <c r="MT265"/>
      <c r="MU265"/>
      <c r="MV265"/>
      <c r="MW265"/>
      <c r="MX265"/>
      <c r="MY265"/>
      <c r="MZ265"/>
      <c r="NA265"/>
      <c r="NB265"/>
      <c r="NC265"/>
      <c r="ND265"/>
      <c r="NE265"/>
      <c r="NF265"/>
      <c r="NG265"/>
      <c r="NH265"/>
      <c r="NI265"/>
      <c r="NJ265"/>
      <c r="NK265"/>
      <c r="NL265"/>
      <c r="NM265"/>
      <c r="NN265"/>
      <c r="NO265"/>
      <c r="NP265"/>
      <c r="NQ265"/>
      <c r="NR265"/>
      <c r="NS265"/>
      <c r="NT265"/>
      <c r="NU265"/>
      <c r="NV265"/>
      <c r="NW265"/>
      <c r="NX265"/>
      <c r="NY265"/>
      <c r="NZ265"/>
      <c r="OA265"/>
      <c r="OB265"/>
      <c r="OC265"/>
      <c r="OD265"/>
      <c r="OE265"/>
      <c r="OF265"/>
      <c r="OG265"/>
      <c r="OH265"/>
      <c r="OI265"/>
      <c r="OJ265"/>
      <c r="OK265"/>
      <c r="OL265"/>
      <c r="OM265"/>
      <c r="ON265"/>
      <c r="OO265"/>
      <c r="OP265"/>
      <c r="OQ265"/>
      <c r="OR265"/>
      <c r="OS265"/>
      <c r="OT265"/>
      <c r="OU265"/>
      <c r="OV265"/>
      <c r="OW265"/>
      <c r="OX265"/>
      <c r="OY265"/>
      <c r="OZ265"/>
      <c r="PA265"/>
      <c r="PB265"/>
      <c r="PC265"/>
      <c r="PD265"/>
      <c r="PE265"/>
      <c r="PF265"/>
      <c r="PG265"/>
      <c r="PH265"/>
      <c r="PI265"/>
      <c r="PJ265"/>
      <c r="PK265"/>
      <c r="PL265"/>
      <c r="PM265"/>
      <c r="PN265"/>
      <c r="PO265"/>
      <c r="PP265"/>
      <c r="PQ265"/>
      <c r="PR265"/>
      <c r="PS265"/>
      <c r="PT265"/>
      <c r="PU265"/>
      <c r="PV265"/>
      <c r="PW265"/>
      <c r="PX265"/>
      <c r="PY265"/>
      <c r="PZ265"/>
      <c r="QA265"/>
      <c r="QB265"/>
      <c r="QC265"/>
      <c r="QD265"/>
      <c r="QE265"/>
      <c r="QF265"/>
      <c r="QG265"/>
      <c r="QH265"/>
      <c r="QI265"/>
      <c r="QJ265"/>
      <c r="QK265"/>
      <c r="QL265"/>
      <c r="QM265"/>
      <c r="QN265"/>
      <c r="QO265"/>
      <c r="QP265"/>
      <c r="QQ265"/>
      <c r="QR265"/>
      <c r="QS265"/>
      <c r="QT265"/>
      <c r="QU265"/>
      <c r="QV265"/>
      <c r="QW265"/>
      <c r="QX265"/>
      <c r="QY265"/>
      <c r="QZ265"/>
      <c r="RA265"/>
      <c r="RB265"/>
      <c r="RC265"/>
      <c r="RD265"/>
      <c r="RE265"/>
      <c r="RF265"/>
      <c r="RG265"/>
      <c r="RH265"/>
      <c r="RI265"/>
      <c r="RJ265"/>
      <c r="RK265"/>
      <c r="RL265"/>
      <c r="RM265"/>
      <c r="RN265"/>
      <c r="RO265"/>
      <c r="RP265"/>
      <c r="RQ265"/>
      <c r="RR265"/>
      <c r="RS265"/>
    </row>
    <row r="266" spans="3:487" x14ac:dyDescent="0.25">
      <c r="C266" s="2" t="s">
        <v>3764</v>
      </c>
      <c r="D266" s="34">
        <v>0</v>
      </c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  <c r="BA266"/>
      <c r="BB266"/>
      <c r="BC266"/>
      <c r="BD266"/>
      <c r="BE266"/>
      <c r="BF266"/>
      <c r="BG266"/>
      <c r="BH266"/>
      <c r="BI266"/>
      <c r="BJ266"/>
      <c r="BK266"/>
      <c r="BL266"/>
      <c r="BM266"/>
      <c r="BN266"/>
      <c r="BO266"/>
      <c r="BP266"/>
      <c r="BQ266"/>
      <c r="BR266"/>
      <c r="BS266"/>
      <c r="BT266"/>
      <c r="BU266"/>
      <c r="BV266"/>
      <c r="BW266"/>
      <c r="BX266"/>
      <c r="BY266"/>
      <c r="BZ266"/>
      <c r="CA266"/>
      <c r="CB266"/>
      <c r="CC266"/>
      <c r="CD266"/>
      <c r="CE266"/>
      <c r="CF266"/>
      <c r="CG266"/>
      <c r="CH266"/>
      <c r="CI266"/>
      <c r="CJ266"/>
      <c r="CK266"/>
      <c r="CL266"/>
      <c r="CM266"/>
      <c r="CN266"/>
      <c r="CO266"/>
      <c r="CP266"/>
      <c r="CQ266"/>
      <c r="CR266"/>
      <c r="CS266"/>
      <c r="CT266"/>
      <c r="CU266"/>
      <c r="CV266"/>
      <c r="CW266"/>
      <c r="CX266"/>
      <c r="CY266"/>
      <c r="CZ266"/>
      <c r="DA266"/>
      <c r="DB266"/>
      <c r="DC266"/>
      <c r="DD266"/>
      <c r="DE266"/>
      <c r="DF266"/>
      <c r="DG266"/>
      <c r="DH266"/>
      <c r="DI266"/>
      <c r="DJ266"/>
      <c r="DK266"/>
      <c r="DL266"/>
      <c r="DM266"/>
      <c r="DN266"/>
      <c r="DO266"/>
      <c r="DP266"/>
      <c r="DQ266"/>
      <c r="DR266"/>
      <c r="DS266"/>
      <c r="DT266"/>
      <c r="DU266"/>
      <c r="DV266"/>
      <c r="DW266"/>
      <c r="DX266"/>
      <c r="DY266"/>
      <c r="DZ266"/>
      <c r="EA266"/>
      <c r="EB266"/>
      <c r="EC266"/>
      <c r="ED266"/>
      <c r="EE266"/>
      <c r="EF266"/>
      <c r="EG266"/>
      <c r="EH266"/>
      <c r="EI266"/>
      <c r="EJ266"/>
      <c r="EK266"/>
      <c r="EL266"/>
      <c r="EM266"/>
      <c r="EN266"/>
      <c r="EO266"/>
      <c r="EP266"/>
      <c r="EQ266"/>
      <c r="ER266"/>
      <c r="ES266"/>
      <c r="ET266"/>
      <c r="EU266"/>
      <c r="EV266"/>
      <c r="EW266"/>
      <c r="EX266"/>
      <c r="EY266"/>
      <c r="EZ266"/>
      <c r="FA266"/>
      <c r="FB266"/>
      <c r="FC266"/>
      <c r="FD266"/>
      <c r="FE266"/>
      <c r="FF266"/>
      <c r="FG266"/>
      <c r="FH266"/>
      <c r="FI266"/>
      <c r="FJ266"/>
      <c r="FK266"/>
      <c r="FL266"/>
      <c r="FM266"/>
      <c r="FN266"/>
      <c r="FO266"/>
      <c r="FP266"/>
      <c r="FQ266"/>
      <c r="FR266"/>
      <c r="FS266"/>
      <c r="FT266"/>
      <c r="FU266"/>
      <c r="FV266"/>
      <c r="FW266"/>
      <c r="FX266"/>
      <c r="FY266"/>
      <c r="FZ266"/>
      <c r="GA266"/>
      <c r="GB266"/>
      <c r="GC266"/>
      <c r="GD266"/>
      <c r="GE266"/>
      <c r="GF266"/>
      <c r="GG266"/>
      <c r="GH266"/>
      <c r="GI266"/>
      <c r="GJ266"/>
      <c r="GK266"/>
      <c r="GL266"/>
      <c r="GM266"/>
      <c r="GN266"/>
      <c r="GO266"/>
      <c r="GP266"/>
      <c r="GQ266"/>
      <c r="GR266"/>
      <c r="GS266"/>
      <c r="GT266"/>
      <c r="GU266"/>
      <c r="GV266"/>
      <c r="GW266"/>
      <c r="GX266"/>
      <c r="GY266"/>
      <c r="GZ266"/>
      <c r="HA266"/>
      <c r="HB266"/>
      <c r="HC266"/>
      <c r="HD266"/>
      <c r="HE266"/>
      <c r="HF266"/>
      <c r="HG266"/>
      <c r="HH266"/>
      <c r="HI266"/>
      <c r="HJ266"/>
      <c r="HK266"/>
      <c r="HL266"/>
      <c r="HM266"/>
      <c r="HN266"/>
      <c r="HO266"/>
      <c r="HP266"/>
      <c r="HQ266"/>
      <c r="HR266"/>
      <c r="HS266"/>
      <c r="HT266"/>
      <c r="HU266"/>
      <c r="HV266"/>
      <c r="HW266"/>
      <c r="HX266"/>
      <c r="HY266"/>
      <c r="HZ266"/>
      <c r="IA266"/>
      <c r="IB266"/>
      <c r="IC266"/>
      <c r="ID266"/>
      <c r="IE266"/>
      <c r="IF266"/>
      <c r="IG266"/>
      <c r="IH266"/>
      <c r="II266"/>
      <c r="IJ266"/>
      <c r="IK266"/>
      <c r="IL266"/>
      <c r="IM266"/>
      <c r="IN266"/>
      <c r="IO266"/>
      <c r="IP266"/>
      <c r="IQ266"/>
      <c r="IR266"/>
      <c r="IS266"/>
      <c r="IT266"/>
      <c r="IU266"/>
      <c r="IV266"/>
      <c r="IW266"/>
      <c r="IX266"/>
      <c r="IY266"/>
      <c r="IZ266"/>
      <c r="JA266"/>
      <c r="JB266"/>
      <c r="JC266"/>
      <c r="JD266"/>
      <c r="JE266"/>
      <c r="JF266"/>
      <c r="JG266"/>
      <c r="JH266"/>
      <c r="JI266"/>
      <c r="JJ266"/>
      <c r="JK266"/>
      <c r="JL266"/>
      <c r="JM266"/>
      <c r="JN266"/>
      <c r="JO266"/>
      <c r="JP266"/>
      <c r="JQ266"/>
      <c r="JR266"/>
      <c r="JS266"/>
      <c r="JT266"/>
      <c r="JU266"/>
      <c r="JV266"/>
      <c r="JW266"/>
      <c r="JX266"/>
      <c r="JY266"/>
      <c r="JZ266"/>
      <c r="KA266"/>
      <c r="KB266"/>
      <c r="KC266"/>
      <c r="KD266"/>
      <c r="KE266"/>
      <c r="KF266"/>
      <c r="KG266"/>
      <c r="KH266"/>
      <c r="KI266"/>
      <c r="KJ266"/>
      <c r="KK266"/>
      <c r="KL266"/>
      <c r="KM266"/>
      <c r="KN266"/>
      <c r="KO266"/>
      <c r="KP266"/>
      <c r="KQ266"/>
      <c r="KR266"/>
      <c r="KS266"/>
      <c r="KT266"/>
      <c r="KU266"/>
      <c r="KV266"/>
      <c r="KW266"/>
      <c r="KX266"/>
      <c r="KY266"/>
      <c r="KZ266"/>
      <c r="LA266"/>
      <c r="LB266"/>
      <c r="LC266"/>
      <c r="LD266"/>
      <c r="LE266"/>
      <c r="LF266"/>
      <c r="LG266"/>
      <c r="LH266"/>
      <c r="LI266"/>
      <c r="LJ266"/>
      <c r="LK266"/>
      <c r="LL266"/>
      <c r="LM266"/>
      <c r="LN266"/>
      <c r="LO266"/>
      <c r="LP266"/>
      <c r="LQ266"/>
      <c r="LR266"/>
      <c r="LS266"/>
      <c r="LT266"/>
      <c r="LU266"/>
      <c r="LV266"/>
      <c r="LW266"/>
      <c r="LX266"/>
      <c r="LY266"/>
      <c r="LZ266"/>
      <c r="MA266"/>
      <c r="MB266"/>
      <c r="MC266"/>
      <c r="MD266"/>
      <c r="ME266"/>
      <c r="MF266"/>
      <c r="MG266"/>
      <c r="MH266"/>
      <c r="MI266"/>
      <c r="MJ266"/>
      <c r="MK266"/>
      <c r="ML266"/>
      <c r="MM266"/>
      <c r="MN266"/>
      <c r="MO266"/>
      <c r="MP266"/>
      <c r="MQ266"/>
      <c r="MR266"/>
      <c r="MS266"/>
      <c r="MT266"/>
      <c r="MU266"/>
      <c r="MV266"/>
      <c r="MW266"/>
      <c r="MX266"/>
      <c r="MY266"/>
      <c r="MZ266"/>
      <c r="NA266"/>
      <c r="NB266"/>
      <c r="NC266"/>
      <c r="ND266"/>
      <c r="NE266"/>
      <c r="NF266"/>
      <c r="NG266"/>
      <c r="NH266"/>
      <c r="NI266"/>
      <c r="NJ266"/>
      <c r="NK266"/>
      <c r="NL266"/>
      <c r="NM266"/>
      <c r="NN266"/>
      <c r="NO266"/>
      <c r="NP266"/>
      <c r="NQ266"/>
      <c r="NR266"/>
      <c r="NS266"/>
      <c r="NT266"/>
      <c r="NU266"/>
      <c r="NV266"/>
      <c r="NW266"/>
      <c r="NX266"/>
      <c r="NY266"/>
      <c r="NZ266"/>
      <c r="OA266"/>
      <c r="OB266"/>
      <c r="OC266"/>
      <c r="OD266"/>
      <c r="OE266"/>
      <c r="OF266"/>
      <c r="OG266"/>
      <c r="OH266"/>
      <c r="OI266"/>
      <c r="OJ266"/>
      <c r="OK266"/>
      <c r="OL266"/>
      <c r="OM266"/>
      <c r="ON266"/>
      <c r="OO266"/>
      <c r="OP266"/>
      <c r="OQ266"/>
      <c r="OR266"/>
      <c r="OS266"/>
      <c r="OT266"/>
      <c r="OU266"/>
      <c r="OV266"/>
      <c r="OW266"/>
      <c r="OX266"/>
      <c r="OY266"/>
      <c r="OZ266"/>
      <c r="PA266"/>
      <c r="PB266"/>
      <c r="PC266"/>
      <c r="PD266"/>
      <c r="PE266"/>
      <c r="PF266"/>
      <c r="PG266"/>
      <c r="PH266"/>
      <c r="PI266"/>
      <c r="PJ266"/>
      <c r="PK266"/>
      <c r="PL266"/>
      <c r="PM266"/>
      <c r="PN266"/>
      <c r="PO266"/>
      <c r="PP266"/>
      <c r="PQ266"/>
      <c r="PR266"/>
      <c r="PS266"/>
      <c r="PT266"/>
      <c r="PU266"/>
      <c r="PV266"/>
      <c r="PW266"/>
      <c r="PX266"/>
      <c r="PY266"/>
      <c r="PZ266"/>
      <c r="QA266"/>
      <c r="QB266"/>
      <c r="QC266"/>
      <c r="QD266"/>
      <c r="QE266"/>
      <c r="QF266"/>
      <c r="QG266"/>
      <c r="QH266"/>
      <c r="QI266"/>
      <c r="QJ266"/>
      <c r="QK266"/>
      <c r="QL266"/>
      <c r="QM266"/>
      <c r="QN266"/>
      <c r="QO266"/>
      <c r="QP266"/>
      <c r="QQ266"/>
      <c r="QR266"/>
      <c r="QS266"/>
      <c r="QT266"/>
      <c r="QU266"/>
      <c r="QV266"/>
      <c r="QW266"/>
      <c r="QX266"/>
      <c r="QY266"/>
      <c r="QZ266"/>
      <c r="RA266"/>
      <c r="RB266"/>
      <c r="RC266"/>
      <c r="RD266"/>
      <c r="RE266"/>
      <c r="RF266"/>
      <c r="RG266"/>
      <c r="RH266"/>
      <c r="RI266"/>
      <c r="RJ266"/>
      <c r="RK266"/>
      <c r="RL266"/>
      <c r="RM266"/>
      <c r="RN266"/>
      <c r="RO266"/>
      <c r="RP266"/>
      <c r="RQ266"/>
      <c r="RR266"/>
      <c r="RS266"/>
    </row>
    <row r="267" spans="3:487" x14ac:dyDescent="0.25">
      <c r="C267" s="2" t="s">
        <v>3763</v>
      </c>
      <c r="D267" s="34">
        <v>0</v>
      </c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  <c r="BA267"/>
      <c r="BB267"/>
      <c r="BC267"/>
      <c r="BD267"/>
      <c r="BE267"/>
      <c r="BF267"/>
      <c r="BG267"/>
      <c r="BH267"/>
      <c r="BI267"/>
      <c r="BJ267"/>
      <c r="BK267"/>
      <c r="BL267"/>
      <c r="BM267"/>
      <c r="BN267"/>
      <c r="BO267"/>
      <c r="BP267"/>
      <c r="BQ267"/>
      <c r="BR267"/>
      <c r="BS267"/>
      <c r="BT267"/>
      <c r="BU267"/>
      <c r="BV267"/>
      <c r="BW267"/>
      <c r="BX267"/>
      <c r="BY267"/>
      <c r="BZ267"/>
      <c r="CA267"/>
      <c r="CB267"/>
      <c r="CC267"/>
      <c r="CD267"/>
      <c r="CE267"/>
      <c r="CF267"/>
      <c r="CG267"/>
      <c r="CH267"/>
      <c r="CI267"/>
      <c r="CJ267"/>
      <c r="CK267"/>
      <c r="CL267"/>
      <c r="CM267"/>
      <c r="CN267"/>
      <c r="CO267"/>
      <c r="CP267"/>
      <c r="CQ267"/>
      <c r="CR267"/>
      <c r="CS267"/>
      <c r="CT267"/>
      <c r="CU267"/>
      <c r="CV267"/>
      <c r="CW267"/>
      <c r="CX267"/>
      <c r="CY267"/>
      <c r="CZ267"/>
      <c r="DA267"/>
      <c r="DB267"/>
      <c r="DC267"/>
      <c r="DD267"/>
      <c r="DE267"/>
      <c r="DF267"/>
      <c r="DG267"/>
      <c r="DH267"/>
      <c r="DI267"/>
      <c r="DJ267"/>
      <c r="DK267"/>
      <c r="DL267"/>
      <c r="DM267"/>
      <c r="DN267"/>
      <c r="DO267"/>
      <c r="DP267"/>
      <c r="DQ267"/>
      <c r="DR267"/>
      <c r="DS267"/>
      <c r="DT267"/>
      <c r="DU267"/>
      <c r="DV267"/>
      <c r="DW267"/>
      <c r="DX267"/>
      <c r="DY267"/>
      <c r="DZ267"/>
      <c r="EA267"/>
      <c r="EB267"/>
      <c r="EC267"/>
      <c r="ED267"/>
      <c r="EE267"/>
      <c r="EF267"/>
      <c r="EG267"/>
      <c r="EH267"/>
      <c r="EI267"/>
      <c r="EJ267"/>
      <c r="EK267"/>
      <c r="EL267"/>
      <c r="EM267"/>
      <c r="EN267"/>
      <c r="EO267"/>
      <c r="EP267"/>
      <c r="EQ267"/>
      <c r="ER267"/>
      <c r="ES267"/>
      <c r="ET267"/>
      <c r="EU267"/>
      <c r="EV267"/>
      <c r="EW267"/>
      <c r="EX267"/>
      <c r="EY267"/>
      <c r="EZ267"/>
      <c r="FA267"/>
      <c r="FB267"/>
      <c r="FC267"/>
      <c r="FD267"/>
      <c r="FE267"/>
      <c r="FF267"/>
      <c r="FG267"/>
      <c r="FH267"/>
      <c r="FI267"/>
      <c r="FJ267"/>
      <c r="FK267"/>
      <c r="FL267"/>
      <c r="FM267"/>
      <c r="FN267"/>
      <c r="FO267"/>
      <c r="FP267"/>
      <c r="FQ267"/>
      <c r="FR267"/>
      <c r="FS267"/>
      <c r="FT267"/>
      <c r="FU267"/>
      <c r="FV267"/>
      <c r="FW267"/>
      <c r="FX267"/>
      <c r="FY267"/>
      <c r="FZ267"/>
      <c r="GA267"/>
      <c r="GB267"/>
      <c r="GC267"/>
      <c r="GD267"/>
      <c r="GE267"/>
      <c r="GF267"/>
      <c r="GG267"/>
      <c r="GH267"/>
      <c r="GI267"/>
      <c r="GJ267"/>
      <c r="GK267"/>
      <c r="GL267"/>
      <c r="GM267"/>
      <c r="GN267"/>
      <c r="GO267"/>
      <c r="GP267"/>
      <c r="GQ267"/>
      <c r="GR267"/>
      <c r="GS267"/>
      <c r="GT267"/>
      <c r="GU267"/>
      <c r="GV267"/>
      <c r="GW267"/>
      <c r="GX267"/>
      <c r="GY267"/>
      <c r="GZ267"/>
      <c r="HA267"/>
      <c r="HB267"/>
      <c r="HC267"/>
      <c r="HD267"/>
      <c r="HE267"/>
      <c r="HF267"/>
      <c r="HG267"/>
      <c r="HH267"/>
      <c r="HI267"/>
      <c r="HJ267"/>
      <c r="HK267"/>
      <c r="HL267"/>
      <c r="HM267"/>
      <c r="HN267"/>
      <c r="HO267"/>
      <c r="HP267"/>
      <c r="HQ267"/>
      <c r="HR267"/>
      <c r="HS267"/>
      <c r="HT267"/>
      <c r="HU267"/>
      <c r="HV267"/>
      <c r="HW267"/>
      <c r="HX267"/>
      <c r="HY267"/>
      <c r="HZ267"/>
      <c r="IA267"/>
      <c r="IB267"/>
      <c r="IC267"/>
      <c r="ID267"/>
      <c r="IE267"/>
      <c r="IF267"/>
      <c r="IG267"/>
      <c r="IH267"/>
      <c r="II267"/>
      <c r="IJ267"/>
      <c r="IK267"/>
      <c r="IL267"/>
      <c r="IM267"/>
      <c r="IN267"/>
      <c r="IO267"/>
      <c r="IP267"/>
      <c r="IQ267"/>
      <c r="IR267"/>
      <c r="IS267"/>
      <c r="IT267"/>
      <c r="IU267"/>
      <c r="IV267"/>
      <c r="IW267"/>
      <c r="IX267"/>
      <c r="IY267"/>
      <c r="IZ267"/>
      <c r="JA267"/>
      <c r="JB267"/>
      <c r="JC267"/>
      <c r="JD267"/>
      <c r="JE267"/>
      <c r="JF267"/>
      <c r="JG267"/>
      <c r="JH267"/>
      <c r="JI267"/>
      <c r="JJ267"/>
      <c r="JK267"/>
      <c r="JL267"/>
      <c r="JM267"/>
      <c r="JN267"/>
      <c r="JO267"/>
      <c r="JP267"/>
      <c r="JQ267"/>
      <c r="JR267"/>
      <c r="JS267"/>
      <c r="JT267"/>
      <c r="JU267"/>
      <c r="JV267"/>
      <c r="JW267"/>
      <c r="JX267"/>
      <c r="JY267"/>
      <c r="JZ267"/>
      <c r="KA267"/>
      <c r="KB267"/>
      <c r="KC267"/>
      <c r="KD267"/>
      <c r="KE267"/>
      <c r="KF267"/>
      <c r="KG267"/>
      <c r="KH267"/>
      <c r="KI267"/>
      <c r="KJ267"/>
      <c r="KK267"/>
      <c r="KL267"/>
      <c r="KM267"/>
      <c r="KN267"/>
      <c r="KO267"/>
      <c r="KP267"/>
      <c r="KQ267"/>
      <c r="KR267"/>
      <c r="KS267"/>
      <c r="KT267"/>
      <c r="KU267"/>
      <c r="KV267"/>
      <c r="KW267"/>
      <c r="KX267"/>
      <c r="KY267"/>
      <c r="KZ267"/>
      <c r="LA267"/>
      <c r="LB267"/>
      <c r="LC267"/>
      <c r="LD267"/>
      <c r="LE267"/>
      <c r="LF267"/>
      <c r="LG267"/>
      <c r="LH267"/>
      <c r="LI267"/>
      <c r="LJ267"/>
      <c r="LK267"/>
      <c r="LL267"/>
      <c r="LM267"/>
      <c r="LN267"/>
      <c r="LO267"/>
      <c r="LP267"/>
      <c r="LQ267"/>
      <c r="LR267"/>
      <c r="LS267"/>
      <c r="LT267"/>
      <c r="LU267"/>
      <c r="LV267"/>
      <c r="LW267"/>
      <c r="LX267"/>
      <c r="LY267"/>
      <c r="LZ267"/>
      <c r="MA267"/>
      <c r="MB267"/>
      <c r="MC267"/>
      <c r="MD267"/>
      <c r="ME267"/>
      <c r="MF267"/>
      <c r="MG267"/>
      <c r="MH267"/>
      <c r="MI267"/>
      <c r="MJ267"/>
      <c r="MK267"/>
      <c r="ML267"/>
      <c r="MM267"/>
      <c r="MN267"/>
      <c r="MO267"/>
      <c r="MP267"/>
      <c r="MQ267"/>
      <c r="MR267"/>
      <c r="MS267"/>
      <c r="MT267"/>
      <c r="MU267"/>
      <c r="MV267"/>
      <c r="MW267"/>
      <c r="MX267"/>
      <c r="MY267"/>
      <c r="MZ267"/>
      <c r="NA267"/>
      <c r="NB267"/>
      <c r="NC267"/>
      <c r="ND267"/>
      <c r="NE267"/>
      <c r="NF267"/>
      <c r="NG267"/>
      <c r="NH267"/>
      <c r="NI267"/>
      <c r="NJ267"/>
      <c r="NK267"/>
      <c r="NL267"/>
      <c r="NM267"/>
      <c r="NN267"/>
      <c r="NO267"/>
      <c r="NP267"/>
      <c r="NQ267"/>
      <c r="NR267"/>
      <c r="NS267"/>
      <c r="NT267"/>
      <c r="NU267"/>
      <c r="NV267"/>
      <c r="NW267"/>
      <c r="NX267"/>
      <c r="NY267"/>
      <c r="NZ267"/>
      <c r="OA267"/>
      <c r="OB267"/>
      <c r="OC267"/>
      <c r="OD267"/>
      <c r="OE267"/>
      <c r="OF267"/>
      <c r="OG267"/>
      <c r="OH267"/>
      <c r="OI267"/>
      <c r="OJ267"/>
      <c r="OK267"/>
      <c r="OL267"/>
      <c r="OM267"/>
      <c r="ON267"/>
      <c r="OO267"/>
      <c r="OP267"/>
      <c r="OQ267"/>
      <c r="OR267"/>
      <c r="OS267"/>
      <c r="OT267"/>
      <c r="OU267"/>
      <c r="OV267"/>
      <c r="OW267"/>
      <c r="OX267"/>
      <c r="OY267"/>
      <c r="OZ267"/>
      <c r="PA267"/>
      <c r="PB267"/>
      <c r="PC267"/>
      <c r="PD267"/>
      <c r="PE267"/>
      <c r="PF267"/>
      <c r="PG267"/>
      <c r="PH267"/>
      <c r="PI267"/>
      <c r="PJ267"/>
      <c r="PK267"/>
      <c r="PL267"/>
      <c r="PM267"/>
      <c r="PN267"/>
      <c r="PO267"/>
      <c r="PP267"/>
      <c r="PQ267"/>
      <c r="PR267"/>
      <c r="PS267"/>
      <c r="PT267"/>
      <c r="PU267"/>
      <c r="PV267"/>
      <c r="PW267"/>
      <c r="PX267"/>
      <c r="PY267"/>
      <c r="PZ267"/>
      <c r="QA267"/>
      <c r="QB267"/>
      <c r="QC267"/>
      <c r="QD267"/>
      <c r="QE267"/>
      <c r="QF267"/>
      <c r="QG267"/>
      <c r="QH267"/>
      <c r="QI267"/>
      <c r="QJ267"/>
      <c r="QK267"/>
      <c r="QL267"/>
      <c r="QM267"/>
      <c r="QN267"/>
      <c r="QO267"/>
      <c r="QP267"/>
      <c r="QQ267"/>
      <c r="QR267"/>
      <c r="QS267"/>
      <c r="QT267"/>
      <c r="QU267"/>
      <c r="QV267"/>
      <c r="QW267"/>
      <c r="QX267"/>
      <c r="QY267"/>
      <c r="QZ267"/>
      <c r="RA267"/>
      <c r="RB267"/>
      <c r="RC267"/>
      <c r="RD267"/>
      <c r="RE267"/>
      <c r="RF267"/>
      <c r="RG267"/>
      <c r="RH267"/>
      <c r="RI267"/>
      <c r="RJ267"/>
      <c r="RK267"/>
      <c r="RL267"/>
      <c r="RM267"/>
      <c r="RN267"/>
      <c r="RO267"/>
      <c r="RP267"/>
      <c r="RQ267"/>
      <c r="RR267"/>
      <c r="RS267"/>
    </row>
    <row r="268" spans="3:487" x14ac:dyDescent="0.25">
      <c r="C268" s="2" t="s">
        <v>3665</v>
      </c>
      <c r="D268" s="34">
        <v>0</v>
      </c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  <c r="BA268"/>
      <c r="BB268"/>
      <c r="BC268"/>
      <c r="BD268"/>
      <c r="BE268"/>
      <c r="BF268"/>
      <c r="BG268"/>
      <c r="BH268"/>
      <c r="BI268"/>
      <c r="BJ268"/>
      <c r="BK268"/>
      <c r="BL268"/>
      <c r="BM268"/>
      <c r="BN268"/>
      <c r="BO268"/>
      <c r="BP268"/>
      <c r="BQ268"/>
      <c r="BR268"/>
      <c r="BS268"/>
      <c r="BT268"/>
      <c r="BU268"/>
      <c r="BV268"/>
      <c r="BW268"/>
      <c r="BX268"/>
      <c r="BY268"/>
      <c r="BZ268"/>
      <c r="CA268"/>
      <c r="CB268"/>
      <c r="CC268"/>
      <c r="CD268"/>
      <c r="CE268"/>
      <c r="CF268"/>
      <c r="CG268"/>
      <c r="CH268"/>
      <c r="CI268"/>
      <c r="CJ268"/>
      <c r="CK268"/>
      <c r="CL268"/>
      <c r="CM268"/>
      <c r="CN268"/>
      <c r="CO268"/>
      <c r="CP268"/>
      <c r="CQ268"/>
      <c r="CR268"/>
      <c r="CS268"/>
      <c r="CT268"/>
      <c r="CU268"/>
      <c r="CV268"/>
      <c r="CW268"/>
      <c r="CX268"/>
      <c r="CY268"/>
      <c r="CZ268"/>
      <c r="DA268"/>
      <c r="DB268"/>
      <c r="DC268"/>
      <c r="DD268"/>
      <c r="DE268"/>
      <c r="DF268"/>
      <c r="DG268"/>
      <c r="DH268"/>
      <c r="DI268"/>
      <c r="DJ268"/>
      <c r="DK268"/>
      <c r="DL268"/>
      <c r="DM268"/>
      <c r="DN268"/>
      <c r="DO268"/>
      <c r="DP268"/>
      <c r="DQ268"/>
      <c r="DR268"/>
      <c r="DS268"/>
      <c r="DT268"/>
      <c r="DU268"/>
      <c r="DV268"/>
      <c r="DW268"/>
      <c r="DX268"/>
      <c r="DY268"/>
      <c r="DZ268"/>
      <c r="EA268"/>
      <c r="EB268"/>
      <c r="EC268"/>
      <c r="ED268"/>
      <c r="EE268"/>
      <c r="EF268"/>
      <c r="EG268"/>
      <c r="EH268"/>
      <c r="EI268"/>
      <c r="EJ268"/>
      <c r="EK268"/>
      <c r="EL268"/>
      <c r="EM268"/>
      <c r="EN268"/>
      <c r="EO268"/>
      <c r="EP268"/>
      <c r="EQ268"/>
      <c r="ER268"/>
      <c r="ES268"/>
      <c r="ET268"/>
      <c r="EU268"/>
      <c r="EV268"/>
      <c r="EW268"/>
      <c r="EX268"/>
      <c r="EY268"/>
      <c r="EZ268"/>
      <c r="FA268"/>
      <c r="FB268"/>
      <c r="FC268"/>
      <c r="FD268"/>
      <c r="FE268"/>
      <c r="FF268"/>
      <c r="FG268"/>
      <c r="FH268"/>
      <c r="FI268"/>
      <c r="FJ268"/>
      <c r="FK268"/>
      <c r="FL268"/>
      <c r="FM268"/>
      <c r="FN268"/>
      <c r="FO268"/>
      <c r="FP268"/>
      <c r="FQ268"/>
      <c r="FR268"/>
      <c r="FS268"/>
      <c r="FT268"/>
      <c r="FU268"/>
      <c r="FV268"/>
      <c r="FW268"/>
      <c r="FX268"/>
      <c r="FY268"/>
      <c r="FZ268"/>
      <c r="GA268"/>
      <c r="GB268"/>
      <c r="GC268"/>
      <c r="GD268"/>
      <c r="GE268"/>
      <c r="GF268"/>
      <c r="GG268"/>
      <c r="GH268"/>
      <c r="GI268"/>
      <c r="GJ268"/>
      <c r="GK268"/>
      <c r="GL268"/>
      <c r="GM268"/>
      <c r="GN268"/>
      <c r="GO268"/>
      <c r="GP268"/>
      <c r="GQ268"/>
      <c r="GR268"/>
      <c r="GS268"/>
      <c r="GT268"/>
      <c r="GU268"/>
      <c r="GV268"/>
      <c r="GW268"/>
      <c r="GX268"/>
      <c r="GY268"/>
      <c r="GZ268"/>
      <c r="HA268"/>
      <c r="HB268"/>
      <c r="HC268"/>
      <c r="HD268"/>
      <c r="HE268"/>
      <c r="HF268"/>
      <c r="HG268"/>
      <c r="HH268"/>
      <c r="HI268"/>
      <c r="HJ268"/>
      <c r="HK268"/>
      <c r="HL268"/>
      <c r="HM268"/>
      <c r="HN268"/>
      <c r="HO268"/>
      <c r="HP268"/>
      <c r="HQ268"/>
      <c r="HR268"/>
      <c r="HS268"/>
      <c r="HT268"/>
      <c r="HU268"/>
      <c r="HV268"/>
      <c r="HW268"/>
      <c r="HX268"/>
      <c r="HY268"/>
      <c r="HZ268"/>
      <c r="IA268"/>
      <c r="IB268"/>
      <c r="IC268"/>
      <c r="ID268"/>
      <c r="IE268"/>
      <c r="IF268"/>
      <c r="IG268"/>
      <c r="IH268"/>
      <c r="II268"/>
      <c r="IJ268"/>
      <c r="IK268"/>
      <c r="IL268"/>
      <c r="IM268"/>
      <c r="IN268"/>
      <c r="IO268"/>
      <c r="IP268"/>
      <c r="IQ268"/>
      <c r="IR268"/>
      <c r="IS268"/>
      <c r="IT268"/>
      <c r="IU268"/>
      <c r="IV268"/>
      <c r="IW268"/>
      <c r="IX268"/>
      <c r="IY268"/>
      <c r="IZ268"/>
      <c r="JA268"/>
      <c r="JB268"/>
      <c r="JC268"/>
      <c r="JD268"/>
      <c r="JE268"/>
      <c r="JF268"/>
      <c r="JG268"/>
      <c r="JH268"/>
      <c r="JI268"/>
      <c r="JJ268"/>
      <c r="JK268"/>
      <c r="JL268"/>
      <c r="JM268"/>
      <c r="JN268"/>
      <c r="JO268"/>
      <c r="JP268"/>
      <c r="JQ268"/>
      <c r="JR268"/>
      <c r="JS268"/>
      <c r="JT268"/>
      <c r="JU268"/>
      <c r="JV268"/>
      <c r="JW268"/>
      <c r="JX268"/>
      <c r="JY268"/>
      <c r="JZ268"/>
      <c r="KA268"/>
      <c r="KB268"/>
      <c r="KC268"/>
      <c r="KD268"/>
      <c r="KE268"/>
      <c r="KF268"/>
      <c r="KG268"/>
      <c r="KH268"/>
      <c r="KI268"/>
      <c r="KJ268"/>
      <c r="KK268"/>
      <c r="KL268"/>
      <c r="KM268"/>
      <c r="KN268"/>
      <c r="KO268"/>
      <c r="KP268"/>
      <c r="KQ268"/>
      <c r="KR268"/>
      <c r="KS268"/>
      <c r="KT268"/>
      <c r="KU268"/>
      <c r="KV268"/>
      <c r="KW268"/>
      <c r="KX268"/>
      <c r="KY268"/>
      <c r="KZ268"/>
      <c r="LA268"/>
      <c r="LB268"/>
      <c r="LC268"/>
      <c r="LD268"/>
      <c r="LE268"/>
      <c r="LF268"/>
      <c r="LG268"/>
      <c r="LH268"/>
      <c r="LI268"/>
      <c r="LJ268"/>
      <c r="LK268"/>
      <c r="LL268"/>
      <c r="LM268"/>
      <c r="LN268"/>
      <c r="LO268"/>
      <c r="LP268"/>
      <c r="LQ268"/>
      <c r="LR268"/>
      <c r="LS268"/>
      <c r="LT268"/>
      <c r="LU268"/>
      <c r="LV268"/>
      <c r="LW268"/>
      <c r="LX268"/>
      <c r="LY268"/>
      <c r="LZ268"/>
      <c r="MA268"/>
      <c r="MB268"/>
      <c r="MC268"/>
      <c r="MD268"/>
      <c r="ME268"/>
      <c r="MF268"/>
      <c r="MG268"/>
      <c r="MH268"/>
      <c r="MI268"/>
      <c r="MJ268"/>
      <c r="MK268"/>
      <c r="ML268"/>
      <c r="MM268"/>
      <c r="MN268"/>
      <c r="MO268"/>
      <c r="MP268"/>
      <c r="MQ268"/>
      <c r="MR268"/>
      <c r="MS268"/>
      <c r="MT268"/>
      <c r="MU268"/>
      <c r="MV268"/>
      <c r="MW268"/>
      <c r="MX268"/>
      <c r="MY268"/>
      <c r="MZ268"/>
      <c r="NA268"/>
      <c r="NB268"/>
      <c r="NC268"/>
      <c r="ND268"/>
      <c r="NE268"/>
      <c r="NF268"/>
      <c r="NG268"/>
      <c r="NH268"/>
      <c r="NI268"/>
      <c r="NJ268"/>
      <c r="NK268"/>
      <c r="NL268"/>
      <c r="NM268"/>
      <c r="NN268"/>
      <c r="NO268"/>
      <c r="NP268"/>
      <c r="NQ268"/>
      <c r="NR268"/>
      <c r="NS268"/>
      <c r="NT268"/>
      <c r="NU268"/>
      <c r="NV268"/>
      <c r="NW268"/>
      <c r="NX268"/>
      <c r="NY268"/>
      <c r="NZ268"/>
      <c r="OA268"/>
      <c r="OB268"/>
      <c r="OC268"/>
      <c r="OD268"/>
      <c r="OE268"/>
      <c r="OF268"/>
      <c r="OG268"/>
      <c r="OH268"/>
      <c r="OI268"/>
      <c r="OJ268"/>
      <c r="OK268"/>
      <c r="OL268"/>
      <c r="OM268"/>
      <c r="ON268"/>
      <c r="OO268"/>
      <c r="OP268"/>
      <c r="OQ268"/>
      <c r="OR268"/>
      <c r="OS268"/>
      <c r="OT268"/>
      <c r="OU268"/>
      <c r="OV268"/>
      <c r="OW268"/>
      <c r="OX268"/>
      <c r="OY268"/>
      <c r="OZ268"/>
      <c r="PA268"/>
      <c r="PB268"/>
      <c r="PC268"/>
      <c r="PD268"/>
      <c r="PE268"/>
      <c r="PF268"/>
      <c r="PG268"/>
      <c r="PH268"/>
      <c r="PI268"/>
      <c r="PJ268"/>
      <c r="PK268"/>
      <c r="PL268"/>
      <c r="PM268"/>
      <c r="PN268"/>
      <c r="PO268"/>
      <c r="PP268"/>
      <c r="PQ268"/>
      <c r="PR268"/>
      <c r="PS268"/>
      <c r="PT268"/>
      <c r="PU268"/>
      <c r="PV268"/>
      <c r="PW268"/>
      <c r="PX268"/>
      <c r="PY268"/>
      <c r="PZ268"/>
      <c r="QA268"/>
      <c r="QB268"/>
      <c r="QC268"/>
      <c r="QD268"/>
      <c r="QE268"/>
      <c r="QF268"/>
      <c r="QG268"/>
      <c r="QH268"/>
      <c r="QI268"/>
      <c r="QJ268"/>
      <c r="QK268"/>
      <c r="QL268"/>
      <c r="QM268"/>
      <c r="QN268"/>
      <c r="QO268"/>
      <c r="QP268"/>
      <c r="QQ268"/>
      <c r="QR268"/>
      <c r="QS268"/>
      <c r="QT268"/>
      <c r="QU268"/>
      <c r="QV268"/>
      <c r="QW268"/>
      <c r="QX268"/>
      <c r="QY268"/>
      <c r="QZ268"/>
      <c r="RA268"/>
      <c r="RB268"/>
      <c r="RC268"/>
      <c r="RD268"/>
      <c r="RE268"/>
      <c r="RF268"/>
      <c r="RG268"/>
      <c r="RH268"/>
      <c r="RI268"/>
      <c r="RJ268"/>
      <c r="RK268"/>
      <c r="RL268"/>
      <c r="RM268"/>
      <c r="RN268"/>
      <c r="RO268"/>
      <c r="RP268"/>
      <c r="RQ268"/>
      <c r="RR268"/>
      <c r="RS268"/>
    </row>
    <row r="269" spans="3:487" x14ac:dyDescent="0.25">
      <c r="C269" s="2" t="s">
        <v>3820</v>
      </c>
      <c r="D269" s="34">
        <v>0</v>
      </c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  <c r="BA269"/>
      <c r="BB269"/>
      <c r="BC269"/>
      <c r="BD269"/>
      <c r="BE269"/>
      <c r="BF269"/>
      <c r="BG269"/>
      <c r="BH269"/>
      <c r="BI269"/>
      <c r="BJ269"/>
      <c r="BK269"/>
      <c r="BL269"/>
      <c r="BM269"/>
      <c r="BN269"/>
      <c r="BO269"/>
      <c r="BP269"/>
      <c r="BQ269"/>
      <c r="BR269"/>
      <c r="BS269"/>
      <c r="BT269"/>
      <c r="BU269"/>
      <c r="BV269"/>
      <c r="BW269"/>
      <c r="BX269"/>
      <c r="BY269"/>
      <c r="BZ269"/>
      <c r="CA269"/>
      <c r="CB269"/>
      <c r="CC269"/>
      <c r="CD269"/>
      <c r="CE269"/>
      <c r="CF269"/>
      <c r="CG269"/>
      <c r="CH269"/>
      <c r="CI269"/>
      <c r="CJ269"/>
      <c r="CK269"/>
      <c r="CL269"/>
      <c r="CM269"/>
      <c r="CN269"/>
      <c r="CO269"/>
      <c r="CP269"/>
      <c r="CQ269"/>
      <c r="CR269"/>
      <c r="CS269"/>
      <c r="CT269"/>
      <c r="CU269"/>
      <c r="CV269"/>
      <c r="CW269"/>
      <c r="CX269"/>
      <c r="CY269"/>
      <c r="CZ269"/>
      <c r="DA269"/>
      <c r="DB269"/>
      <c r="DC269"/>
      <c r="DD269"/>
      <c r="DE269"/>
      <c r="DF269"/>
      <c r="DG269"/>
      <c r="DH269"/>
      <c r="DI269"/>
      <c r="DJ269"/>
      <c r="DK269"/>
      <c r="DL269"/>
      <c r="DM269"/>
      <c r="DN269"/>
      <c r="DO269"/>
      <c r="DP269"/>
      <c r="DQ269"/>
      <c r="DR269"/>
      <c r="DS269"/>
      <c r="DT269"/>
      <c r="DU269"/>
      <c r="DV269"/>
      <c r="DW269"/>
      <c r="DX269"/>
      <c r="DY269"/>
      <c r="DZ269"/>
      <c r="EA269"/>
      <c r="EB269"/>
      <c r="EC269"/>
      <c r="ED269"/>
      <c r="EE269"/>
      <c r="EF269"/>
      <c r="EG269"/>
      <c r="EH269"/>
      <c r="EI269"/>
      <c r="EJ269"/>
      <c r="EK269"/>
      <c r="EL269"/>
      <c r="EM269"/>
      <c r="EN269"/>
      <c r="EO269"/>
      <c r="EP269"/>
      <c r="EQ269"/>
      <c r="ER269"/>
      <c r="ES269"/>
      <c r="ET269"/>
      <c r="EU269"/>
      <c r="EV269"/>
      <c r="EW269"/>
      <c r="EX269"/>
      <c r="EY269"/>
      <c r="EZ269"/>
      <c r="FA269"/>
      <c r="FB269"/>
      <c r="FC269"/>
      <c r="FD269"/>
      <c r="FE269"/>
      <c r="FF269"/>
      <c r="FG269"/>
      <c r="FH269"/>
      <c r="FI269"/>
      <c r="FJ269"/>
      <c r="FK269"/>
      <c r="FL269"/>
      <c r="FM269"/>
      <c r="FN269"/>
      <c r="FO269"/>
      <c r="FP269"/>
      <c r="FQ269"/>
      <c r="FR269"/>
      <c r="FS269"/>
      <c r="FT269"/>
      <c r="FU269"/>
      <c r="FV269"/>
      <c r="FW269"/>
      <c r="FX269"/>
      <c r="FY269"/>
      <c r="FZ269"/>
      <c r="GA269"/>
      <c r="GB269"/>
      <c r="GC269"/>
      <c r="GD269"/>
      <c r="GE269"/>
      <c r="GF269"/>
      <c r="GG269"/>
      <c r="GH269"/>
      <c r="GI269"/>
      <c r="GJ269"/>
      <c r="GK269"/>
      <c r="GL269"/>
      <c r="GM269"/>
      <c r="GN269"/>
      <c r="GO269"/>
      <c r="GP269"/>
      <c r="GQ269"/>
      <c r="GR269"/>
      <c r="GS269"/>
      <c r="GT269"/>
      <c r="GU269"/>
      <c r="GV269"/>
      <c r="GW269"/>
      <c r="GX269"/>
      <c r="GY269"/>
      <c r="GZ269"/>
      <c r="HA269"/>
      <c r="HB269"/>
      <c r="HC269"/>
      <c r="HD269"/>
      <c r="HE269"/>
      <c r="HF269"/>
      <c r="HG269"/>
      <c r="HH269"/>
      <c r="HI269"/>
      <c r="HJ269"/>
      <c r="HK269"/>
      <c r="HL269"/>
      <c r="HM269"/>
      <c r="HN269"/>
      <c r="HO269"/>
      <c r="HP269"/>
      <c r="HQ269"/>
      <c r="HR269"/>
      <c r="HS269"/>
      <c r="HT269"/>
      <c r="HU269"/>
      <c r="HV269"/>
      <c r="HW269"/>
      <c r="HX269"/>
      <c r="HY269"/>
      <c r="HZ269"/>
      <c r="IA269"/>
      <c r="IB269"/>
      <c r="IC269"/>
      <c r="ID269"/>
      <c r="IE269"/>
      <c r="IF269"/>
      <c r="IG269"/>
      <c r="IH269"/>
      <c r="II269"/>
      <c r="IJ269"/>
      <c r="IK269"/>
      <c r="IL269"/>
      <c r="IM269"/>
      <c r="IN269"/>
      <c r="IO269"/>
      <c r="IP269"/>
      <c r="IQ269"/>
      <c r="IR269"/>
      <c r="IS269"/>
      <c r="IT269"/>
      <c r="IU269"/>
      <c r="IV269"/>
      <c r="IW269"/>
      <c r="IX269"/>
      <c r="IY269"/>
      <c r="IZ269"/>
      <c r="JA269"/>
      <c r="JB269"/>
      <c r="JC269"/>
      <c r="JD269"/>
      <c r="JE269"/>
      <c r="JF269"/>
      <c r="JG269"/>
      <c r="JH269"/>
      <c r="JI269"/>
      <c r="JJ269"/>
      <c r="JK269"/>
      <c r="JL269"/>
      <c r="JM269"/>
      <c r="JN269"/>
      <c r="JO269"/>
      <c r="JP269"/>
      <c r="JQ269"/>
      <c r="JR269"/>
      <c r="JS269"/>
      <c r="JT269"/>
      <c r="JU269"/>
      <c r="JV269"/>
      <c r="JW269"/>
      <c r="JX269"/>
      <c r="JY269"/>
      <c r="JZ269"/>
      <c r="KA269"/>
      <c r="KB269"/>
      <c r="KC269"/>
      <c r="KD269"/>
      <c r="KE269"/>
      <c r="KF269"/>
      <c r="KG269"/>
      <c r="KH269"/>
      <c r="KI269"/>
      <c r="KJ269"/>
      <c r="KK269"/>
      <c r="KL269"/>
      <c r="KM269"/>
      <c r="KN269"/>
      <c r="KO269"/>
      <c r="KP269"/>
      <c r="KQ269"/>
      <c r="KR269"/>
      <c r="KS269"/>
      <c r="KT269"/>
      <c r="KU269"/>
      <c r="KV269"/>
      <c r="KW269"/>
      <c r="KX269"/>
      <c r="KY269"/>
      <c r="KZ269"/>
      <c r="LA269"/>
      <c r="LB269"/>
      <c r="LC269"/>
      <c r="LD269"/>
      <c r="LE269"/>
      <c r="LF269"/>
      <c r="LG269"/>
      <c r="LH269"/>
      <c r="LI269"/>
      <c r="LJ269"/>
      <c r="LK269"/>
      <c r="LL269"/>
      <c r="LM269"/>
      <c r="LN269"/>
      <c r="LO269"/>
      <c r="LP269"/>
      <c r="LQ269"/>
      <c r="LR269"/>
      <c r="LS269"/>
      <c r="LT269"/>
      <c r="LU269"/>
      <c r="LV269"/>
      <c r="LW269"/>
      <c r="LX269"/>
      <c r="LY269"/>
      <c r="LZ269"/>
      <c r="MA269"/>
      <c r="MB269"/>
      <c r="MC269"/>
      <c r="MD269"/>
      <c r="ME269"/>
      <c r="MF269"/>
      <c r="MG269"/>
      <c r="MH269"/>
      <c r="MI269"/>
      <c r="MJ269"/>
      <c r="MK269"/>
      <c r="ML269"/>
      <c r="MM269"/>
      <c r="MN269"/>
      <c r="MO269"/>
      <c r="MP269"/>
      <c r="MQ269"/>
      <c r="MR269"/>
      <c r="MS269"/>
      <c r="MT269"/>
      <c r="MU269"/>
      <c r="MV269"/>
      <c r="MW269"/>
      <c r="MX269"/>
      <c r="MY269"/>
      <c r="MZ269"/>
      <c r="NA269"/>
      <c r="NB269"/>
      <c r="NC269"/>
      <c r="ND269"/>
      <c r="NE269"/>
      <c r="NF269"/>
      <c r="NG269"/>
      <c r="NH269"/>
      <c r="NI269"/>
      <c r="NJ269"/>
      <c r="NK269"/>
      <c r="NL269"/>
      <c r="NM269"/>
      <c r="NN269"/>
      <c r="NO269"/>
      <c r="NP269"/>
      <c r="NQ269"/>
      <c r="NR269"/>
      <c r="NS269"/>
      <c r="NT269"/>
      <c r="NU269"/>
      <c r="NV269"/>
      <c r="NW269"/>
      <c r="NX269"/>
      <c r="NY269"/>
      <c r="NZ269"/>
      <c r="OA269"/>
      <c r="OB269"/>
      <c r="OC269"/>
      <c r="OD269"/>
      <c r="OE269"/>
      <c r="OF269"/>
      <c r="OG269"/>
      <c r="OH269"/>
      <c r="OI269"/>
      <c r="OJ269"/>
      <c r="OK269"/>
      <c r="OL269"/>
      <c r="OM269"/>
      <c r="ON269"/>
      <c r="OO269"/>
      <c r="OP269"/>
      <c r="OQ269"/>
      <c r="OR269"/>
      <c r="OS269"/>
      <c r="OT269"/>
      <c r="OU269"/>
      <c r="OV269"/>
      <c r="OW269"/>
      <c r="OX269"/>
      <c r="OY269"/>
      <c r="OZ269"/>
      <c r="PA269"/>
      <c r="PB269"/>
      <c r="PC269"/>
      <c r="PD269"/>
      <c r="PE269"/>
      <c r="PF269"/>
      <c r="PG269"/>
      <c r="PH269"/>
      <c r="PI269"/>
      <c r="PJ269"/>
      <c r="PK269"/>
      <c r="PL269"/>
      <c r="PM269"/>
      <c r="PN269"/>
      <c r="PO269"/>
      <c r="PP269"/>
      <c r="PQ269"/>
      <c r="PR269"/>
      <c r="PS269"/>
      <c r="PT269"/>
      <c r="PU269"/>
      <c r="PV269"/>
      <c r="PW269"/>
      <c r="PX269"/>
      <c r="PY269"/>
      <c r="PZ269"/>
      <c r="QA269"/>
      <c r="QB269"/>
      <c r="QC269"/>
      <c r="QD269"/>
      <c r="QE269"/>
      <c r="QF269"/>
      <c r="QG269"/>
      <c r="QH269"/>
      <c r="QI269"/>
      <c r="QJ269"/>
      <c r="QK269"/>
      <c r="QL269"/>
      <c r="QM269"/>
      <c r="QN269"/>
      <c r="QO269"/>
      <c r="QP269"/>
      <c r="QQ269"/>
      <c r="QR269"/>
      <c r="QS269"/>
      <c r="QT269"/>
      <c r="QU269"/>
      <c r="QV269"/>
      <c r="QW269"/>
      <c r="QX269"/>
      <c r="QY269"/>
      <c r="QZ269"/>
      <c r="RA269"/>
      <c r="RB269"/>
      <c r="RC269"/>
      <c r="RD269"/>
      <c r="RE269"/>
      <c r="RF269"/>
      <c r="RG269"/>
      <c r="RH269"/>
      <c r="RI269"/>
      <c r="RJ269"/>
      <c r="RK269"/>
      <c r="RL269"/>
      <c r="RM269"/>
      <c r="RN269"/>
      <c r="RO269"/>
      <c r="RP269"/>
      <c r="RQ269"/>
      <c r="RR269"/>
      <c r="RS269"/>
    </row>
    <row r="270" spans="3:487" x14ac:dyDescent="0.25">
      <c r="C270" s="2" t="s">
        <v>3656</v>
      </c>
      <c r="D270" s="34">
        <v>0</v>
      </c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  <c r="BA270"/>
      <c r="BB270"/>
      <c r="BC270"/>
      <c r="BD270"/>
      <c r="BE270"/>
      <c r="BF270"/>
      <c r="BG270"/>
      <c r="BH270"/>
      <c r="BI270"/>
      <c r="BJ270"/>
      <c r="BK270"/>
      <c r="BL270"/>
      <c r="BM270"/>
      <c r="BN270"/>
      <c r="BO270"/>
      <c r="BP270"/>
      <c r="BQ270"/>
      <c r="BR270"/>
      <c r="BS270"/>
      <c r="BT270"/>
      <c r="BU270"/>
      <c r="BV270"/>
      <c r="BW270"/>
      <c r="BX270"/>
      <c r="BY270"/>
      <c r="BZ270"/>
      <c r="CA270"/>
      <c r="CB270"/>
      <c r="CC270"/>
      <c r="CD270"/>
      <c r="CE270"/>
      <c r="CF270"/>
      <c r="CG270"/>
      <c r="CH270"/>
      <c r="CI270"/>
      <c r="CJ270"/>
      <c r="CK270"/>
      <c r="CL270"/>
      <c r="CM270"/>
      <c r="CN270"/>
      <c r="CO270"/>
      <c r="CP270"/>
      <c r="CQ270"/>
      <c r="CR270"/>
      <c r="CS270"/>
      <c r="CT270"/>
      <c r="CU270"/>
      <c r="CV270"/>
      <c r="CW270"/>
      <c r="CX270"/>
      <c r="CY270"/>
      <c r="CZ270"/>
      <c r="DA270"/>
      <c r="DB270"/>
      <c r="DC270"/>
      <c r="DD270"/>
      <c r="DE270"/>
      <c r="DF270"/>
      <c r="DG270"/>
      <c r="DH270"/>
      <c r="DI270"/>
      <c r="DJ270"/>
      <c r="DK270"/>
      <c r="DL270"/>
      <c r="DM270"/>
      <c r="DN270"/>
      <c r="DO270"/>
      <c r="DP270"/>
      <c r="DQ270"/>
      <c r="DR270"/>
      <c r="DS270"/>
      <c r="DT270"/>
      <c r="DU270"/>
      <c r="DV270"/>
      <c r="DW270"/>
      <c r="DX270"/>
      <c r="DY270"/>
      <c r="DZ270"/>
      <c r="EA270"/>
      <c r="EB270"/>
      <c r="EC270"/>
      <c r="ED270"/>
      <c r="EE270"/>
      <c r="EF270"/>
      <c r="EG270"/>
      <c r="EH270"/>
      <c r="EI270"/>
      <c r="EJ270"/>
      <c r="EK270"/>
      <c r="EL270"/>
      <c r="EM270"/>
      <c r="EN270"/>
      <c r="EO270"/>
      <c r="EP270"/>
      <c r="EQ270"/>
      <c r="ER270"/>
      <c r="ES270"/>
      <c r="ET270"/>
      <c r="EU270"/>
      <c r="EV270"/>
      <c r="EW270"/>
      <c r="EX270"/>
      <c r="EY270"/>
      <c r="EZ270"/>
      <c r="FA270"/>
      <c r="FB270"/>
      <c r="FC270"/>
      <c r="FD270"/>
      <c r="FE270"/>
      <c r="FF270"/>
      <c r="FG270"/>
      <c r="FH270"/>
      <c r="FI270"/>
      <c r="FJ270"/>
      <c r="FK270"/>
      <c r="FL270"/>
      <c r="FM270"/>
      <c r="FN270"/>
      <c r="FO270"/>
      <c r="FP270"/>
      <c r="FQ270"/>
      <c r="FR270"/>
      <c r="FS270"/>
      <c r="FT270"/>
      <c r="FU270"/>
      <c r="FV270"/>
      <c r="FW270"/>
      <c r="FX270"/>
      <c r="FY270"/>
      <c r="FZ270"/>
      <c r="GA270"/>
      <c r="GB270"/>
      <c r="GC270"/>
      <c r="GD270"/>
      <c r="GE270"/>
      <c r="GF270"/>
      <c r="GG270"/>
      <c r="GH270"/>
      <c r="GI270"/>
      <c r="GJ270"/>
      <c r="GK270"/>
      <c r="GL270"/>
      <c r="GM270"/>
      <c r="GN270"/>
      <c r="GO270"/>
      <c r="GP270"/>
      <c r="GQ270"/>
      <c r="GR270"/>
      <c r="GS270"/>
      <c r="GT270"/>
      <c r="GU270"/>
      <c r="GV270"/>
      <c r="GW270"/>
      <c r="GX270"/>
      <c r="GY270"/>
      <c r="GZ270"/>
      <c r="HA270"/>
      <c r="HB270"/>
      <c r="HC270"/>
      <c r="HD270"/>
      <c r="HE270"/>
      <c r="HF270"/>
      <c r="HG270"/>
      <c r="HH270"/>
      <c r="HI270"/>
      <c r="HJ270"/>
      <c r="HK270"/>
      <c r="HL270"/>
      <c r="HM270"/>
      <c r="HN270"/>
      <c r="HO270"/>
      <c r="HP270"/>
      <c r="HQ270"/>
      <c r="HR270"/>
      <c r="HS270"/>
      <c r="HT270"/>
      <c r="HU270"/>
      <c r="HV270"/>
      <c r="HW270"/>
      <c r="HX270"/>
      <c r="HY270"/>
      <c r="HZ270"/>
      <c r="IA270"/>
      <c r="IB270"/>
      <c r="IC270"/>
      <c r="ID270"/>
      <c r="IE270"/>
      <c r="IF270"/>
      <c r="IG270"/>
      <c r="IH270"/>
      <c r="II270"/>
      <c r="IJ270"/>
      <c r="IK270"/>
      <c r="IL270"/>
      <c r="IM270"/>
      <c r="IN270"/>
      <c r="IO270"/>
      <c r="IP270"/>
      <c r="IQ270"/>
      <c r="IR270"/>
      <c r="IS270"/>
      <c r="IT270"/>
      <c r="IU270"/>
      <c r="IV270"/>
      <c r="IW270"/>
      <c r="IX270"/>
      <c r="IY270"/>
      <c r="IZ270"/>
      <c r="JA270"/>
      <c r="JB270"/>
      <c r="JC270"/>
      <c r="JD270"/>
      <c r="JE270"/>
      <c r="JF270"/>
      <c r="JG270"/>
      <c r="JH270"/>
      <c r="JI270"/>
      <c r="JJ270"/>
      <c r="JK270"/>
      <c r="JL270"/>
      <c r="JM270"/>
      <c r="JN270"/>
      <c r="JO270"/>
      <c r="JP270"/>
      <c r="JQ270"/>
      <c r="JR270"/>
      <c r="JS270"/>
      <c r="JT270"/>
      <c r="JU270"/>
      <c r="JV270"/>
      <c r="JW270"/>
      <c r="JX270"/>
      <c r="JY270"/>
      <c r="JZ270"/>
      <c r="KA270"/>
      <c r="KB270"/>
      <c r="KC270"/>
      <c r="KD270"/>
      <c r="KE270"/>
      <c r="KF270"/>
      <c r="KG270"/>
      <c r="KH270"/>
      <c r="KI270"/>
      <c r="KJ270"/>
      <c r="KK270"/>
      <c r="KL270"/>
      <c r="KM270"/>
      <c r="KN270"/>
      <c r="KO270"/>
      <c r="KP270"/>
      <c r="KQ270"/>
      <c r="KR270"/>
      <c r="KS270"/>
      <c r="KT270"/>
      <c r="KU270"/>
      <c r="KV270"/>
      <c r="KW270"/>
      <c r="KX270"/>
      <c r="KY270"/>
      <c r="KZ270"/>
      <c r="LA270"/>
      <c r="LB270"/>
      <c r="LC270"/>
      <c r="LD270"/>
      <c r="LE270"/>
      <c r="LF270"/>
      <c r="LG270"/>
      <c r="LH270"/>
      <c r="LI270"/>
      <c r="LJ270"/>
      <c r="LK270"/>
      <c r="LL270"/>
      <c r="LM270"/>
      <c r="LN270"/>
      <c r="LO270"/>
      <c r="LP270"/>
      <c r="LQ270"/>
      <c r="LR270"/>
      <c r="LS270"/>
      <c r="LT270"/>
      <c r="LU270"/>
      <c r="LV270"/>
      <c r="LW270"/>
      <c r="LX270"/>
      <c r="LY270"/>
      <c r="LZ270"/>
      <c r="MA270"/>
      <c r="MB270"/>
      <c r="MC270"/>
      <c r="MD270"/>
      <c r="ME270"/>
      <c r="MF270"/>
      <c r="MG270"/>
      <c r="MH270"/>
      <c r="MI270"/>
      <c r="MJ270"/>
      <c r="MK270"/>
      <c r="ML270"/>
      <c r="MM270"/>
      <c r="MN270"/>
      <c r="MO270"/>
      <c r="MP270"/>
      <c r="MQ270"/>
      <c r="MR270"/>
      <c r="MS270"/>
      <c r="MT270"/>
      <c r="MU270"/>
      <c r="MV270"/>
      <c r="MW270"/>
      <c r="MX270"/>
      <c r="MY270"/>
      <c r="MZ270"/>
      <c r="NA270"/>
      <c r="NB270"/>
      <c r="NC270"/>
      <c r="ND270"/>
      <c r="NE270"/>
      <c r="NF270"/>
      <c r="NG270"/>
      <c r="NH270"/>
      <c r="NI270"/>
      <c r="NJ270"/>
      <c r="NK270"/>
      <c r="NL270"/>
      <c r="NM270"/>
      <c r="NN270"/>
      <c r="NO270"/>
      <c r="NP270"/>
      <c r="NQ270"/>
      <c r="NR270"/>
      <c r="NS270"/>
      <c r="NT270"/>
      <c r="NU270"/>
      <c r="NV270"/>
      <c r="NW270"/>
      <c r="NX270"/>
      <c r="NY270"/>
      <c r="NZ270"/>
      <c r="OA270"/>
      <c r="OB270"/>
      <c r="OC270"/>
      <c r="OD270"/>
      <c r="OE270"/>
      <c r="OF270"/>
      <c r="OG270"/>
      <c r="OH270"/>
      <c r="OI270"/>
      <c r="OJ270"/>
      <c r="OK270"/>
      <c r="OL270"/>
      <c r="OM270"/>
      <c r="ON270"/>
      <c r="OO270"/>
      <c r="OP270"/>
      <c r="OQ270"/>
      <c r="OR270"/>
      <c r="OS270"/>
      <c r="OT270"/>
      <c r="OU270"/>
      <c r="OV270"/>
      <c r="OW270"/>
      <c r="OX270"/>
      <c r="OY270"/>
      <c r="OZ270"/>
      <c r="PA270"/>
      <c r="PB270"/>
      <c r="PC270"/>
      <c r="PD270"/>
      <c r="PE270"/>
      <c r="PF270"/>
      <c r="PG270"/>
      <c r="PH270"/>
      <c r="PI270"/>
      <c r="PJ270"/>
      <c r="PK270"/>
      <c r="PL270"/>
      <c r="PM270"/>
      <c r="PN270"/>
      <c r="PO270"/>
      <c r="PP270"/>
      <c r="PQ270"/>
      <c r="PR270"/>
      <c r="PS270"/>
      <c r="PT270"/>
      <c r="PU270"/>
      <c r="PV270"/>
      <c r="PW270"/>
      <c r="PX270"/>
      <c r="PY270"/>
      <c r="PZ270"/>
      <c r="QA270"/>
      <c r="QB270"/>
      <c r="QC270"/>
      <c r="QD270"/>
      <c r="QE270"/>
      <c r="QF270"/>
      <c r="QG270"/>
      <c r="QH270"/>
      <c r="QI270"/>
      <c r="QJ270"/>
      <c r="QK270"/>
      <c r="QL270"/>
      <c r="QM270"/>
      <c r="QN270"/>
      <c r="QO270"/>
      <c r="QP270"/>
      <c r="QQ270"/>
      <c r="QR270"/>
      <c r="QS270"/>
      <c r="QT270"/>
      <c r="QU270"/>
      <c r="QV270"/>
      <c r="QW270"/>
      <c r="QX270"/>
      <c r="QY270"/>
      <c r="QZ270"/>
      <c r="RA270"/>
      <c r="RB270"/>
      <c r="RC270"/>
      <c r="RD270"/>
      <c r="RE270"/>
      <c r="RF270"/>
      <c r="RG270"/>
      <c r="RH270"/>
      <c r="RI270"/>
      <c r="RJ270"/>
      <c r="RK270"/>
      <c r="RL270"/>
      <c r="RM270"/>
      <c r="RN270"/>
      <c r="RO270"/>
      <c r="RP270"/>
      <c r="RQ270"/>
      <c r="RR270"/>
      <c r="RS270"/>
    </row>
    <row r="271" spans="3:487" x14ac:dyDescent="0.25">
      <c r="C271" s="2" t="s">
        <v>3822</v>
      </c>
      <c r="D271" s="34">
        <v>0</v>
      </c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D271"/>
      <c r="BE271"/>
      <c r="BF271"/>
      <c r="BG271"/>
      <c r="BH271"/>
      <c r="BI271"/>
      <c r="BJ271"/>
      <c r="BK271"/>
      <c r="BL271"/>
      <c r="BM271"/>
      <c r="BN271"/>
      <c r="BO271"/>
      <c r="BP271"/>
      <c r="BQ271"/>
      <c r="BR271"/>
      <c r="BS271"/>
      <c r="BT271"/>
      <c r="BU271"/>
      <c r="BV271"/>
      <c r="BW271"/>
      <c r="BX271"/>
      <c r="BY271"/>
      <c r="BZ271"/>
      <c r="CA271"/>
      <c r="CB271"/>
      <c r="CC271"/>
      <c r="CD271"/>
      <c r="CE271"/>
      <c r="CF271"/>
      <c r="CG271"/>
      <c r="CH271"/>
      <c r="CI271"/>
      <c r="CJ271"/>
      <c r="CK271"/>
      <c r="CL271"/>
      <c r="CM271"/>
      <c r="CN271"/>
      <c r="CO271"/>
      <c r="CP271"/>
      <c r="CQ271"/>
      <c r="CR271"/>
      <c r="CS271"/>
      <c r="CT271"/>
      <c r="CU271"/>
      <c r="CV271"/>
      <c r="CW271"/>
      <c r="CX271"/>
      <c r="CY271"/>
      <c r="CZ271"/>
      <c r="DA271"/>
      <c r="DB271"/>
      <c r="DC271"/>
      <c r="DD271"/>
      <c r="DE271"/>
      <c r="DF271"/>
      <c r="DG271"/>
      <c r="DH271"/>
      <c r="DI271"/>
      <c r="DJ271"/>
      <c r="DK271"/>
      <c r="DL271"/>
      <c r="DM271"/>
      <c r="DN271"/>
      <c r="DO271"/>
      <c r="DP271"/>
      <c r="DQ271"/>
      <c r="DR271"/>
      <c r="DS271"/>
      <c r="DT271"/>
      <c r="DU271"/>
      <c r="DV271"/>
      <c r="DW271"/>
      <c r="DX271"/>
      <c r="DY271"/>
      <c r="DZ271"/>
      <c r="EA271"/>
      <c r="EB271"/>
      <c r="EC271"/>
      <c r="ED271"/>
      <c r="EE271"/>
      <c r="EF271"/>
      <c r="EG271"/>
      <c r="EH271"/>
      <c r="EI271"/>
      <c r="EJ271"/>
      <c r="EK271"/>
      <c r="EL271"/>
      <c r="EM271"/>
      <c r="EN271"/>
      <c r="EO271"/>
      <c r="EP271"/>
      <c r="EQ271"/>
      <c r="ER271"/>
      <c r="ES271"/>
      <c r="ET271"/>
      <c r="EU271"/>
      <c r="EV271"/>
      <c r="EW271"/>
      <c r="EX271"/>
      <c r="EY271"/>
      <c r="EZ271"/>
      <c r="FA271"/>
      <c r="FB271"/>
      <c r="FC271"/>
      <c r="FD271"/>
      <c r="FE271"/>
      <c r="FF271"/>
      <c r="FG271"/>
      <c r="FH271"/>
      <c r="FI271"/>
      <c r="FJ271"/>
      <c r="FK271"/>
      <c r="FL271"/>
      <c r="FM271"/>
      <c r="FN271"/>
      <c r="FO271"/>
      <c r="FP271"/>
      <c r="FQ271"/>
      <c r="FR271"/>
      <c r="FS271"/>
      <c r="FT271"/>
      <c r="FU271"/>
      <c r="FV271"/>
      <c r="FW271"/>
      <c r="FX271"/>
      <c r="FY271"/>
      <c r="FZ271"/>
      <c r="GA271"/>
      <c r="GB271"/>
      <c r="GC271"/>
      <c r="GD271"/>
      <c r="GE271"/>
      <c r="GF271"/>
      <c r="GG271"/>
      <c r="GH271"/>
      <c r="GI271"/>
      <c r="GJ271"/>
      <c r="GK271"/>
      <c r="GL271"/>
      <c r="GM271"/>
      <c r="GN271"/>
      <c r="GO271"/>
      <c r="GP271"/>
      <c r="GQ271"/>
      <c r="GR271"/>
      <c r="GS271"/>
      <c r="GT271"/>
      <c r="GU271"/>
      <c r="GV271"/>
      <c r="GW271"/>
      <c r="GX271"/>
      <c r="GY271"/>
      <c r="GZ271"/>
      <c r="HA271"/>
      <c r="HB271"/>
      <c r="HC271"/>
      <c r="HD271"/>
      <c r="HE271"/>
      <c r="HF271"/>
      <c r="HG271"/>
      <c r="HH271"/>
      <c r="HI271"/>
      <c r="HJ271"/>
      <c r="HK271"/>
      <c r="HL271"/>
      <c r="HM271"/>
      <c r="HN271"/>
      <c r="HO271"/>
      <c r="HP271"/>
      <c r="HQ271"/>
      <c r="HR271"/>
      <c r="HS271"/>
      <c r="HT271"/>
      <c r="HU271"/>
      <c r="HV271"/>
      <c r="HW271"/>
      <c r="HX271"/>
      <c r="HY271"/>
      <c r="HZ271"/>
      <c r="IA271"/>
      <c r="IB271"/>
      <c r="IC271"/>
      <c r="ID271"/>
      <c r="IE271"/>
      <c r="IF271"/>
      <c r="IG271"/>
      <c r="IH271"/>
      <c r="II271"/>
      <c r="IJ271"/>
      <c r="IK271"/>
      <c r="IL271"/>
      <c r="IM271"/>
      <c r="IN271"/>
      <c r="IO271"/>
      <c r="IP271"/>
      <c r="IQ271"/>
      <c r="IR271"/>
      <c r="IS271"/>
      <c r="IT271"/>
      <c r="IU271"/>
      <c r="IV271"/>
      <c r="IW271"/>
      <c r="IX271"/>
      <c r="IY271"/>
      <c r="IZ271"/>
      <c r="JA271"/>
      <c r="JB271"/>
      <c r="JC271"/>
      <c r="JD271"/>
      <c r="JE271"/>
      <c r="JF271"/>
      <c r="JG271"/>
      <c r="JH271"/>
      <c r="JI271"/>
      <c r="JJ271"/>
      <c r="JK271"/>
      <c r="JL271"/>
      <c r="JM271"/>
      <c r="JN271"/>
      <c r="JO271"/>
      <c r="JP271"/>
      <c r="JQ271"/>
      <c r="JR271"/>
      <c r="JS271"/>
      <c r="JT271"/>
      <c r="JU271"/>
      <c r="JV271"/>
      <c r="JW271"/>
      <c r="JX271"/>
      <c r="JY271"/>
      <c r="JZ271"/>
      <c r="KA271"/>
      <c r="KB271"/>
      <c r="KC271"/>
      <c r="KD271"/>
      <c r="KE271"/>
      <c r="KF271"/>
      <c r="KG271"/>
      <c r="KH271"/>
      <c r="KI271"/>
      <c r="KJ271"/>
      <c r="KK271"/>
      <c r="KL271"/>
      <c r="KM271"/>
      <c r="KN271"/>
      <c r="KO271"/>
      <c r="KP271"/>
      <c r="KQ271"/>
      <c r="KR271"/>
      <c r="KS271"/>
      <c r="KT271"/>
      <c r="KU271"/>
      <c r="KV271"/>
      <c r="KW271"/>
      <c r="KX271"/>
      <c r="KY271"/>
      <c r="KZ271"/>
      <c r="LA271"/>
      <c r="LB271"/>
      <c r="LC271"/>
      <c r="LD271"/>
      <c r="LE271"/>
      <c r="LF271"/>
      <c r="LG271"/>
      <c r="LH271"/>
      <c r="LI271"/>
      <c r="LJ271"/>
      <c r="LK271"/>
      <c r="LL271"/>
      <c r="LM271"/>
      <c r="LN271"/>
      <c r="LO271"/>
      <c r="LP271"/>
      <c r="LQ271"/>
      <c r="LR271"/>
      <c r="LS271"/>
      <c r="LT271"/>
      <c r="LU271"/>
      <c r="LV271"/>
      <c r="LW271"/>
      <c r="LX271"/>
      <c r="LY271"/>
      <c r="LZ271"/>
      <c r="MA271"/>
      <c r="MB271"/>
      <c r="MC271"/>
      <c r="MD271"/>
      <c r="ME271"/>
      <c r="MF271"/>
      <c r="MG271"/>
      <c r="MH271"/>
      <c r="MI271"/>
      <c r="MJ271"/>
      <c r="MK271"/>
      <c r="ML271"/>
      <c r="MM271"/>
      <c r="MN271"/>
      <c r="MO271"/>
      <c r="MP271"/>
      <c r="MQ271"/>
      <c r="MR271"/>
      <c r="MS271"/>
      <c r="MT271"/>
      <c r="MU271"/>
      <c r="MV271"/>
      <c r="MW271"/>
      <c r="MX271"/>
      <c r="MY271"/>
      <c r="MZ271"/>
      <c r="NA271"/>
      <c r="NB271"/>
      <c r="NC271"/>
      <c r="ND271"/>
      <c r="NE271"/>
      <c r="NF271"/>
      <c r="NG271"/>
      <c r="NH271"/>
      <c r="NI271"/>
      <c r="NJ271"/>
      <c r="NK271"/>
      <c r="NL271"/>
      <c r="NM271"/>
      <c r="NN271"/>
      <c r="NO271"/>
      <c r="NP271"/>
      <c r="NQ271"/>
      <c r="NR271"/>
      <c r="NS271"/>
      <c r="NT271"/>
      <c r="NU271"/>
      <c r="NV271"/>
      <c r="NW271"/>
      <c r="NX271"/>
      <c r="NY271"/>
      <c r="NZ271"/>
      <c r="OA271"/>
      <c r="OB271"/>
      <c r="OC271"/>
      <c r="OD271"/>
      <c r="OE271"/>
      <c r="OF271"/>
      <c r="OG271"/>
      <c r="OH271"/>
      <c r="OI271"/>
      <c r="OJ271"/>
      <c r="OK271"/>
      <c r="OL271"/>
      <c r="OM271"/>
      <c r="ON271"/>
      <c r="OO271"/>
      <c r="OP271"/>
      <c r="OQ271"/>
      <c r="OR271"/>
      <c r="OS271"/>
      <c r="OT271"/>
      <c r="OU271"/>
      <c r="OV271"/>
      <c r="OW271"/>
      <c r="OX271"/>
      <c r="OY271"/>
      <c r="OZ271"/>
      <c r="PA271"/>
      <c r="PB271"/>
      <c r="PC271"/>
      <c r="PD271"/>
      <c r="PE271"/>
      <c r="PF271"/>
      <c r="PG271"/>
      <c r="PH271"/>
      <c r="PI271"/>
      <c r="PJ271"/>
      <c r="PK271"/>
      <c r="PL271"/>
      <c r="PM271"/>
      <c r="PN271"/>
      <c r="PO271"/>
      <c r="PP271"/>
      <c r="PQ271"/>
      <c r="PR271"/>
      <c r="PS271"/>
      <c r="PT271"/>
      <c r="PU271"/>
      <c r="PV271"/>
      <c r="PW271"/>
      <c r="PX271"/>
      <c r="PY271"/>
      <c r="PZ271"/>
      <c r="QA271"/>
      <c r="QB271"/>
      <c r="QC271"/>
      <c r="QD271"/>
      <c r="QE271"/>
      <c r="QF271"/>
      <c r="QG271"/>
      <c r="QH271"/>
      <c r="QI271"/>
      <c r="QJ271"/>
      <c r="QK271"/>
      <c r="QL271"/>
      <c r="QM271"/>
      <c r="QN271"/>
      <c r="QO271"/>
      <c r="QP271"/>
      <c r="QQ271"/>
      <c r="QR271"/>
      <c r="QS271"/>
      <c r="QT271"/>
      <c r="QU271"/>
      <c r="QV271"/>
      <c r="QW271"/>
      <c r="QX271"/>
      <c r="QY271"/>
      <c r="QZ271"/>
      <c r="RA271"/>
      <c r="RB271"/>
      <c r="RC271"/>
      <c r="RD271"/>
      <c r="RE271"/>
      <c r="RF271"/>
      <c r="RG271"/>
      <c r="RH271"/>
      <c r="RI271"/>
      <c r="RJ271"/>
      <c r="RK271"/>
      <c r="RL271"/>
      <c r="RM271"/>
      <c r="RN271"/>
      <c r="RO271"/>
      <c r="RP271"/>
      <c r="RQ271"/>
      <c r="RR271"/>
      <c r="RS271"/>
    </row>
    <row r="272" spans="3:487" x14ac:dyDescent="0.25">
      <c r="C272" s="2" t="s">
        <v>3833</v>
      </c>
      <c r="D272" s="34">
        <v>0</v>
      </c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  <c r="BA272"/>
      <c r="BB272"/>
      <c r="BC272"/>
      <c r="BD272"/>
      <c r="BE272"/>
      <c r="BF272"/>
      <c r="BG272"/>
      <c r="BH272"/>
      <c r="BI272"/>
      <c r="BJ272"/>
      <c r="BK272"/>
      <c r="BL272"/>
      <c r="BM272"/>
      <c r="BN272"/>
      <c r="BO272"/>
      <c r="BP272"/>
      <c r="BQ272"/>
      <c r="BR272"/>
      <c r="BS272"/>
      <c r="BT272"/>
      <c r="BU272"/>
      <c r="BV272"/>
      <c r="BW272"/>
      <c r="BX272"/>
      <c r="BY272"/>
      <c r="BZ272"/>
      <c r="CA272"/>
      <c r="CB272"/>
      <c r="CC272"/>
      <c r="CD272"/>
      <c r="CE272"/>
      <c r="CF272"/>
      <c r="CG272"/>
      <c r="CH272"/>
      <c r="CI272"/>
      <c r="CJ272"/>
      <c r="CK272"/>
      <c r="CL272"/>
      <c r="CM272"/>
      <c r="CN272"/>
      <c r="CO272"/>
      <c r="CP272"/>
      <c r="CQ272"/>
      <c r="CR272"/>
      <c r="CS272"/>
      <c r="CT272"/>
      <c r="CU272"/>
      <c r="CV272"/>
      <c r="CW272"/>
      <c r="CX272"/>
      <c r="CY272"/>
      <c r="CZ272"/>
      <c r="DA272"/>
      <c r="DB272"/>
      <c r="DC272"/>
      <c r="DD272"/>
      <c r="DE272"/>
      <c r="DF272"/>
      <c r="DG272"/>
      <c r="DH272"/>
      <c r="DI272"/>
      <c r="DJ272"/>
      <c r="DK272"/>
      <c r="DL272"/>
      <c r="DM272"/>
      <c r="DN272"/>
      <c r="DO272"/>
      <c r="DP272"/>
      <c r="DQ272"/>
      <c r="DR272"/>
      <c r="DS272"/>
      <c r="DT272"/>
      <c r="DU272"/>
      <c r="DV272"/>
      <c r="DW272"/>
      <c r="DX272"/>
      <c r="DY272"/>
      <c r="DZ272"/>
      <c r="EA272"/>
      <c r="EB272"/>
      <c r="EC272"/>
      <c r="ED272"/>
      <c r="EE272"/>
      <c r="EF272"/>
      <c r="EG272"/>
      <c r="EH272"/>
      <c r="EI272"/>
      <c r="EJ272"/>
      <c r="EK272"/>
      <c r="EL272"/>
      <c r="EM272"/>
      <c r="EN272"/>
      <c r="EO272"/>
      <c r="EP272"/>
      <c r="EQ272"/>
      <c r="ER272"/>
      <c r="ES272"/>
      <c r="ET272"/>
      <c r="EU272"/>
      <c r="EV272"/>
      <c r="EW272"/>
      <c r="EX272"/>
      <c r="EY272"/>
      <c r="EZ272"/>
      <c r="FA272"/>
      <c r="FB272"/>
      <c r="FC272"/>
      <c r="FD272"/>
      <c r="FE272"/>
      <c r="FF272"/>
      <c r="FG272"/>
      <c r="FH272"/>
      <c r="FI272"/>
      <c r="FJ272"/>
      <c r="FK272"/>
      <c r="FL272"/>
      <c r="FM272"/>
      <c r="FN272"/>
      <c r="FO272"/>
      <c r="FP272"/>
      <c r="FQ272"/>
      <c r="FR272"/>
      <c r="FS272"/>
      <c r="FT272"/>
      <c r="FU272"/>
      <c r="FV272"/>
      <c r="FW272"/>
      <c r="FX272"/>
      <c r="FY272"/>
      <c r="FZ272"/>
      <c r="GA272"/>
      <c r="GB272"/>
      <c r="GC272"/>
      <c r="GD272"/>
      <c r="GE272"/>
      <c r="GF272"/>
      <c r="GG272"/>
      <c r="GH272"/>
      <c r="GI272"/>
      <c r="GJ272"/>
      <c r="GK272"/>
      <c r="GL272"/>
      <c r="GM272"/>
      <c r="GN272"/>
      <c r="GO272"/>
      <c r="GP272"/>
      <c r="GQ272"/>
      <c r="GR272"/>
      <c r="GS272"/>
      <c r="GT272"/>
      <c r="GU272"/>
      <c r="GV272"/>
      <c r="GW272"/>
      <c r="GX272"/>
      <c r="GY272"/>
      <c r="GZ272"/>
      <c r="HA272"/>
      <c r="HB272"/>
      <c r="HC272"/>
      <c r="HD272"/>
      <c r="HE272"/>
      <c r="HF272"/>
      <c r="HG272"/>
      <c r="HH272"/>
      <c r="HI272"/>
      <c r="HJ272"/>
      <c r="HK272"/>
      <c r="HL272"/>
      <c r="HM272"/>
      <c r="HN272"/>
      <c r="HO272"/>
      <c r="HP272"/>
      <c r="HQ272"/>
      <c r="HR272"/>
      <c r="HS272"/>
      <c r="HT272"/>
      <c r="HU272"/>
      <c r="HV272"/>
      <c r="HW272"/>
      <c r="HX272"/>
      <c r="HY272"/>
      <c r="HZ272"/>
      <c r="IA272"/>
      <c r="IB272"/>
      <c r="IC272"/>
      <c r="ID272"/>
      <c r="IE272"/>
      <c r="IF272"/>
      <c r="IG272"/>
      <c r="IH272"/>
      <c r="II272"/>
      <c r="IJ272"/>
      <c r="IK272"/>
      <c r="IL272"/>
      <c r="IM272"/>
      <c r="IN272"/>
      <c r="IO272"/>
      <c r="IP272"/>
      <c r="IQ272"/>
      <c r="IR272"/>
      <c r="IS272"/>
      <c r="IT272"/>
      <c r="IU272"/>
      <c r="IV272"/>
      <c r="IW272"/>
      <c r="IX272"/>
      <c r="IY272"/>
      <c r="IZ272"/>
      <c r="JA272"/>
      <c r="JB272"/>
      <c r="JC272"/>
      <c r="JD272"/>
      <c r="JE272"/>
      <c r="JF272"/>
      <c r="JG272"/>
      <c r="JH272"/>
      <c r="JI272"/>
      <c r="JJ272"/>
      <c r="JK272"/>
      <c r="JL272"/>
      <c r="JM272"/>
      <c r="JN272"/>
      <c r="JO272"/>
      <c r="JP272"/>
      <c r="JQ272"/>
      <c r="JR272"/>
      <c r="JS272"/>
      <c r="JT272"/>
      <c r="JU272"/>
      <c r="JV272"/>
      <c r="JW272"/>
      <c r="JX272"/>
      <c r="JY272"/>
      <c r="JZ272"/>
      <c r="KA272"/>
      <c r="KB272"/>
      <c r="KC272"/>
      <c r="KD272"/>
      <c r="KE272"/>
      <c r="KF272"/>
      <c r="KG272"/>
      <c r="KH272"/>
      <c r="KI272"/>
      <c r="KJ272"/>
      <c r="KK272"/>
      <c r="KL272"/>
      <c r="KM272"/>
      <c r="KN272"/>
      <c r="KO272"/>
      <c r="KP272"/>
      <c r="KQ272"/>
      <c r="KR272"/>
      <c r="KS272"/>
      <c r="KT272"/>
      <c r="KU272"/>
      <c r="KV272"/>
      <c r="KW272"/>
      <c r="KX272"/>
      <c r="KY272"/>
      <c r="KZ272"/>
      <c r="LA272"/>
      <c r="LB272"/>
      <c r="LC272"/>
      <c r="LD272"/>
      <c r="LE272"/>
      <c r="LF272"/>
      <c r="LG272"/>
      <c r="LH272"/>
      <c r="LI272"/>
      <c r="LJ272"/>
      <c r="LK272"/>
      <c r="LL272"/>
      <c r="LM272"/>
      <c r="LN272"/>
      <c r="LO272"/>
      <c r="LP272"/>
      <c r="LQ272"/>
      <c r="LR272"/>
      <c r="LS272"/>
      <c r="LT272"/>
      <c r="LU272"/>
      <c r="LV272"/>
      <c r="LW272"/>
      <c r="LX272"/>
      <c r="LY272"/>
      <c r="LZ272"/>
      <c r="MA272"/>
      <c r="MB272"/>
      <c r="MC272"/>
      <c r="MD272"/>
      <c r="ME272"/>
      <c r="MF272"/>
      <c r="MG272"/>
      <c r="MH272"/>
      <c r="MI272"/>
      <c r="MJ272"/>
      <c r="MK272"/>
      <c r="ML272"/>
      <c r="MM272"/>
      <c r="MN272"/>
      <c r="MO272"/>
      <c r="MP272"/>
      <c r="MQ272"/>
      <c r="MR272"/>
      <c r="MS272"/>
      <c r="MT272"/>
      <c r="MU272"/>
      <c r="MV272"/>
      <c r="MW272"/>
      <c r="MX272"/>
      <c r="MY272"/>
      <c r="MZ272"/>
      <c r="NA272"/>
      <c r="NB272"/>
      <c r="NC272"/>
      <c r="ND272"/>
      <c r="NE272"/>
      <c r="NF272"/>
      <c r="NG272"/>
      <c r="NH272"/>
      <c r="NI272"/>
      <c r="NJ272"/>
      <c r="NK272"/>
      <c r="NL272"/>
      <c r="NM272"/>
      <c r="NN272"/>
      <c r="NO272"/>
      <c r="NP272"/>
      <c r="NQ272"/>
      <c r="NR272"/>
      <c r="NS272"/>
      <c r="NT272"/>
      <c r="NU272"/>
      <c r="NV272"/>
      <c r="NW272"/>
      <c r="NX272"/>
      <c r="NY272"/>
      <c r="NZ272"/>
      <c r="OA272"/>
      <c r="OB272"/>
      <c r="OC272"/>
      <c r="OD272"/>
      <c r="OE272"/>
      <c r="OF272"/>
      <c r="OG272"/>
      <c r="OH272"/>
      <c r="OI272"/>
      <c r="OJ272"/>
      <c r="OK272"/>
      <c r="OL272"/>
      <c r="OM272"/>
      <c r="ON272"/>
      <c r="OO272"/>
      <c r="OP272"/>
      <c r="OQ272"/>
      <c r="OR272"/>
      <c r="OS272"/>
      <c r="OT272"/>
      <c r="OU272"/>
      <c r="OV272"/>
      <c r="OW272"/>
      <c r="OX272"/>
      <c r="OY272"/>
      <c r="OZ272"/>
      <c r="PA272"/>
      <c r="PB272"/>
      <c r="PC272"/>
      <c r="PD272"/>
      <c r="PE272"/>
      <c r="PF272"/>
      <c r="PG272"/>
      <c r="PH272"/>
      <c r="PI272"/>
      <c r="PJ272"/>
      <c r="PK272"/>
      <c r="PL272"/>
      <c r="PM272"/>
      <c r="PN272"/>
      <c r="PO272"/>
      <c r="PP272"/>
      <c r="PQ272"/>
      <c r="PR272"/>
      <c r="PS272"/>
      <c r="PT272"/>
      <c r="PU272"/>
      <c r="PV272"/>
      <c r="PW272"/>
      <c r="PX272"/>
      <c r="PY272"/>
      <c r="PZ272"/>
      <c r="QA272"/>
      <c r="QB272"/>
      <c r="QC272"/>
      <c r="QD272"/>
      <c r="QE272"/>
      <c r="QF272"/>
      <c r="QG272"/>
      <c r="QH272"/>
      <c r="QI272"/>
      <c r="QJ272"/>
      <c r="QK272"/>
      <c r="QL272"/>
      <c r="QM272"/>
      <c r="QN272"/>
      <c r="QO272"/>
      <c r="QP272"/>
      <c r="QQ272"/>
      <c r="QR272"/>
      <c r="QS272"/>
      <c r="QT272"/>
      <c r="QU272"/>
      <c r="QV272"/>
      <c r="QW272"/>
      <c r="QX272"/>
      <c r="QY272"/>
      <c r="QZ272"/>
      <c r="RA272"/>
      <c r="RB272"/>
      <c r="RC272"/>
      <c r="RD272"/>
      <c r="RE272"/>
      <c r="RF272"/>
      <c r="RG272"/>
      <c r="RH272"/>
      <c r="RI272"/>
      <c r="RJ272"/>
      <c r="RK272"/>
      <c r="RL272"/>
      <c r="RM272"/>
      <c r="RN272"/>
      <c r="RO272"/>
      <c r="RP272"/>
      <c r="RQ272"/>
      <c r="RR272"/>
      <c r="RS272"/>
    </row>
    <row r="273" spans="3:487" x14ac:dyDescent="0.25">
      <c r="C273" s="2" t="s">
        <v>3824</v>
      </c>
      <c r="D273" s="34">
        <v>0</v>
      </c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  <c r="BA273"/>
      <c r="BB273"/>
      <c r="BC273"/>
      <c r="BD273"/>
      <c r="BE273"/>
      <c r="BF273"/>
      <c r="BG273"/>
      <c r="BH273"/>
      <c r="BI273"/>
      <c r="BJ273"/>
      <c r="BK273"/>
      <c r="BL273"/>
      <c r="BM273"/>
      <c r="BN273"/>
      <c r="BO273"/>
      <c r="BP273"/>
      <c r="BQ273"/>
      <c r="BR273"/>
      <c r="BS273"/>
      <c r="BT273"/>
      <c r="BU273"/>
      <c r="BV273"/>
      <c r="BW273"/>
      <c r="BX273"/>
      <c r="BY273"/>
      <c r="BZ273"/>
      <c r="CA273"/>
      <c r="CB273"/>
      <c r="CC273"/>
      <c r="CD273"/>
      <c r="CE273"/>
      <c r="CF273"/>
      <c r="CG273"/>
      <c r="CH273"/>
      <c r="CI273"/>
      <c r="CJ273"/>
      <c r="CK273"/>
      <c r="CL273"/>
      <c r="CM273"/>
      <c r="CN273"/>
      <c r="CO273"/>
      <c r="CP273"/>
      <c r="CQ273"/>
      <c r="CR273"/>
      <c r="CS273"/>
      <c r="CT273"/>
      <c r="CU273"/>
      <c r="CV273"/>
      <c r="CW273"/>
      <c r="CX273"/>
      <c r="CY273"/>
      <c r="CZ273"/>
      <c r="DA273"/>
      <c r="DB273"/>
      <c r="DC273"/>
      <c r="DD273"/>
      <c r="DE273"/>
      <c r="DF273"/>
      <c r="DG273"/>
      <c r="DH273"/>
      <c r="DI273"/>
      <c r="DJ273"/>
      <c r="DK273"/>
      <c r="DL273"/>
      <c r="DM273"/>
      <c r="DN273"/>
      <c r="DO273"/>
      <c r="DP273"/>
      <c r="DQ273"/>
      <c r="DR273"/>
      <c r="DS273"/>
      <c r="DT273"/>
      <c r="DU273"/>
      <c r="DV273"/>
      <c r="DW273"/>
      <c r="DX273"/>
      <c r="DY273"/>
      <c r="DZ273"/>
      <c r="EA273"/>
      <c r="EB273"/>
      <c r="EC273"/>
      <c r="ED273"/>
      <c r="EE273"/>
      <c r="EF273"/>
      <c r="EG273"/>
      <c r="EH273"/>
      <c r="EI273"/>
      <c r="EJ273"/>
      <c r="EK273"/>
      <c r="EL273"/>
      <c r="EM273"/>
      <c r="EN273"/>
      <c r="EO273"/>
      <c r="EP273"/>
      <c r="EQ273"/>
      <c r="ER273"/>
      <c r="ES273"/>
      <c r="ET273"/>
      <c r="EU273"/>
      <c r="EV273"/>
      <c r="EW273"/>
      <c r="EX273"/>
      <c r="EY273"/>
      <c r="EZ273"/>
      <c r="FA273"/>
      <c r="FB273"/>
      <c r="FC273"/>
      <c r="FD273"/>
      <c r="FE273"/>
      <c r="FF273"/>
      <c r="FG273"/>
      <c r="FH273"/>
      <c r="FI273"/>
      <c r="FJ273"/>
      <c r="FK273"/>
      <c r="FL273"/>
      <c r="FM273"/>
      <c r="FN273"/>
      <c r="FO273"/>
      <c r="FP273"/>
      <c r="FQ273"/>
      <c r="FR273"/>
      <c r="FS273"/>
      <c r="FT273"/>
      <c r="FU273"/>
      <c r="FV273"/>
      <c r="FW273"/>
      <c r="FX273"/>
      <c r="FY273"/>
      <c r="FZ273"/>
      <c r="GA273"/>
      <c r="GB273"/>
      <c r="GC273"/>
      <c r="GD273"/>
      <c r="GE273"/>
      <c r="GF273"/>
      <c r="GG273"/>
      <c r="GH273"/>
      <c r="GI273"/>
      <c r="GJ273"/>
      <c r="GK273"/>
      <c r="GL273"/>
      <c r="GM273"/>
      <c r="GN273"/>
      <c r="GO273"/>
      <c r="GP273"/>
      <c r="GQ273"/>
      <c r="GR273"/>
      <c r="GS273"/>
      <c r="GT273"/>
      <c r="GU273"/>
      <c r="GV273"/>
      <c r="GW273"/>
      <c r="GX273"/>
      <c r="GY273"/>
      <c r="GZ273"/>
      <c r="HA273"/>
      <c r="HB273"/>
      <c r="HC273"/>
      <c r="HD273"/>
      <c r="HE273"/>
      <c r="HF273"/>
      <c r="HG273"/>
      <c r="HH273"/>
      <c r="HI273"/>
      <c r="HJ273"/>
      <c r="HK273"/>
      <c r="HL273"/>
      <c r="HM273"/>
      <c r="HN273"/>
      <c r="HO273"/>
      <c r="HP273"/>
      <c r="HQ273"/>
      <c r="HR273"/>
      <c r="HS273"/>
      <c r="HT273"/>
      <c r="HU273"/>
      <c r="HV273"/>
      <c r="HW273"/>
      <c r="HX273"/>
      <c r="HY273"/>
      <c r="HZ273"/>
      <c r="IA273"/>
      <c r="IB273"/>
      <c r="IC273"/>
      <c r="ID273"/>
      <c r="IE273"/>
      <c r="IF273"/>
      <c r="IG273"/>
      <c r="IH273"/>
      <c r="II273"/>
      <c r="IJ273"/>
      <c r="IK273"/>
      <c r="IL273"/>
      <c r="IM273"/>
      <c r="IN273"/>
      <c r="IO273"/>
      <c r="IP273"/>
      <c r="IQ273"/>
      <c r="IR273"/>
      <c r="IS273"/>
      <c r="IT273"/>
      <c r="IU273"/>
      <c r="IV273"/>
      <c r="IW273"/>
      <c r="IX273"/>
      <c r="IY273"/>
      <c r="IZ273"/>
      <c r="JA273"/>
      <c r="JB273"/>
      <c r="JC273"/>
      <c r="JD273"/>
      <c r="JE273"/>
      <c r="JF273"/>
      <c r="JG273"/>
      <c r="JH273"/>
      <c r="JI273"/>
      <c r="JJ273"/>
      <c r="JK273"/>
      <c r="JL273"/>
      <c r="JM273"/>
      <c r="JN273"/>
      <c r="JO273"/>
      <c r="JP273"/>
      <c r="JQ273"/>
      <c r="JR273"/>
      <c r="JS273"/>
      <c r="JT273"/>
      <c r="JU273"/>
      <c r="JV273"/>
      <c r="JW273"/>
      <c r="JX273"/>
      <c r="JY273"/>
      <c r="JZ273"/>
      <c r="KA273"/>
      <c r="KB273"/>
      <c r="KC273"/>
      <c r="KD273"/>
      <c r="KE273"/>
      <c r="KF273"/>
      <c r="KG273"/>
      <c r="KH273"/>
      <c r="KI273"/>
      <c r="KJ273"/>
      <c r="KK273"/>
      <c r="KL273"/>
      <c r="KM273"/>
      <c r="KN273"/>
      <c r="KO273"/>
      <c r="KP273"/>
      <c r="KQ273"/>
      <c r="KR273"/>
      <c r="KS273"/>
      <c r="KT273"/>
      <c r="KU273"/>
      <c r="KV273"/>
      <c r="KW273"/>
      <c r="KX273"/>
      <c r="KY273"/>
      <c r="KZ273"/>
      <c r="LA273"/>
      <c r="LB273"/>
      <c r="LC273"/>
      <c r="LD273"/>
      <c r="LE273"/>
      <c r="LF273"/>
      <c r="LG273"/>
      <c r="LH273"/>
      <c r="LI273"/>
      <c r="LJ273"/>
      <c r="LK273"/>
      <c r="LL273"/>
      <c r="LM273"/>
      <c r="LN273"/>
      <c r="LO273"/>
      <c r="LP273"/>
      <c r="LQ273"/>
      <c r="LR273"/>
      <c r="LS273"/>
      <c r="LT273"/>
      <c r="LU273"/>
      <c r="LV273"/>
      <c r="LW273"/>
      <c r="LX273"/>
      <c r="LY273"/>
      <c r="LZ273"/>
      <c r="MA273"/>
      <c r="MB273"/>
      <c r="MC273"/>
      <c r="MD273"/>
      <c r="ME273"/>
      <c r="MF273"/>
      <c r="MG273"/>
      <c r="MH273"/>
      <c r="MI273"/>
      <c r="MJ273"/>
      <c r="MK273"/>
      <c r="ML273"/>
      <c r="MM273"/>
      <c r="MN273"/>
      <c r="MO273"/>
      <c r="MP273"/>
      <c r="MQ273"/>
      <c r="MR273"/>
      <c r="MS273"/>
      <c r="MT273"/>
      <c r="MU273"/>
      <c r="MV273"/>
      <c r="MW273"/>
      <c r="MX273"/>
      <c r="MY273"/>
      <c r="MZ273"/>
      <c r="NA273"/>
      <c r="NB273"/>
      <c r="NC273"/>
      <c r="ND273"/>
      <c r="NE273"/>
      <c r="NF273"/>
      <c r="NG273"/>
      <c r="NH273"/>
      <c r="NI273"/>
      <c r="NJ273"/>
      <c r="NK273"/>
      <c r="NL273"/>
      <c r="NM273"/>
      <c r="NN273"/>
      <c r="NO273"/>
      <c r="NP273"/>
      <c r="NQ273"/>
      <c r="NR273"/>
      <c r="NS273"/>
      <c r="NT273"/>
      <c r="NU273"/>
      <c r="NV273"/>
      <c r="NW273"/>
      <c r="NX273"/>
      <c r="NY273"/>
      <c r="NZ273"/>
      <c r="OA273"/>
      <c r="OB273"/>
      <c r="OC273"/>
      <c r="OD273"/>
      <c r="OE273"/>
      <c r="OF273"/>
      <c r="OG273"/>
      <c r="OH273"/>
      <c r="OI273"/>
      <c r="OJ273"/>
      <c r="OK273"/>
      <c r="OL273"/>
      <c r="OM273"/>
      <c r="ON273"/>
      <c r="OO273"/>
      <c r="OP273"/>
      <c r="OQ273"/>
      <c r="OR273"/>
      <c r="OS273"/>
      <c r="OT273"/>
      <c r="OU273"/>
      <c r="OV273"/>
      <c r="OW273"/>
      <c r="OX273"/>
      <c r="OY273"/>
      <c r="OZ273"/>
      <c r="PA273"/>
      <c r="PB273"/>
      <c r="PC273"/>
      <c r="PD273"/>
      <c r="PE273"/>
      <c r="PF273"/>
      <c r="PG273"/>
      <c r="PH273"/>
      <c r="PI273"/>
      <c r="PJ273"/>
      <c r="PK273"/>
      <c r="PL273"/>
      <c r="PM273"/>
      <c r="PN273"/>
      <c r="PO273"/>
      <c r="PP273"/>
      <c r="PQ273"/>
      <c r="PR273"/>
      <c r="PS273"/>
      <c r="PT273"/>
      <c r="PU273"/>
      <c r="PV273"/>
      <c r="PW273"/>
      <c r="PX273"/>
      <c r="PY273"/>
      <c r="PZ273"/>
      <c r="QA273"/>
      <c r="QB273"/>
      <c r="QC273"/>
      <c r="QD273"/>
      <c r="QE273"/>
      <c r="QF273"/>
      <c r="QG273"/>
      <c r="QH273"/>
      <c r="QI273"/>
      <c r="QJ273"/>
      <c r="QK273"/>
      <c r="QL273"/>
      <c r="QM273"/>
      <c r="QN273"/>
      <c r="QO273"/>
      <c r="QP273"/>
      <c r="QQ273"/>
      <c r="QR273"/>
      <c r="QS273"/>
      <c r="QT273"/>
      <c r="QU273"/>
      <c r="QV273"/>
      <c r="QW273"/>
      <c r="QX273"/>
      <c r="QY273"/>
      <c r="QZ273"/>
      <c r="RA273"/>
      <c r="RB273"/>
      <c r="RC273"/>
      <c r="RD273"/>
      <c r="RE273"/>
      <c r="RF273"/>
      <c r="RG273"/>
      <c r="RH273"/>
      <c r="RI273"/>
      <c r="RJ273"/>
      <c r="RK273"/>
      <c r="RL273"/>
      <c r="RM273"/>
      <c r="RN273"/>
      <c r="RO273"/>
      <c r="RP273"/>
      <c r="RQ273"/>
      <c r="RR273"/>
      <c r="RS273"/>
    </row>
    <row r="274" spans="3:487" x14ac:dyDescent="0.25">
      <c r="C274" s="2" t="s">
        <v>3765</v>
      </c>
      <c r="D274" s="34">
        <v>0</v>
      </c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A274"/>
      <c r="BB274"/>
      <c r="BC274"/>
      <c r="BD274"/>
      <c r="BE274"/>
      <c r="BF274"/>
      <c r="BG274"/>
      <c r="BH274"/>
      <c r="BI274"/>
      <c r="BJ274"/>
      <c r="BK274"/>
      <c r="BL274"/>
      <c r="BM274"/>
      <c r="BN274"/>
      <c r="BO274"/>
      <c r="BP274"/>
      <c r="BQ274"/>
      <c r="BR274"/>
      <c r="BS274"/>
      <c r="BT274"/>
      <c r="BU274"/>
      <c r="BV274"/>
      <c r="BW274"/>
      <c r="BX274"/>
      <c r="BY274"/>
      <c r="BZ274"/>
      <c r="CA274"/>
      <c r="CB274"/>
      <c r="CC274"/>
      <c r="CD274"/>
      <c r="CE274"/>
      <c r="CF274"/>
      <c r="CG274"/>
      <c r="CH274"/>
      <c r="CI274"/>
      <c r="CJ274"/>
      <c r="CK274"/>
      <c r="CL274"/>
      <c r="CM274"/>
      <c r="CN274"/>
      <c r="CO274"/>
      <c r="CP274"/>
      <c r="CQ274"/>
      <c r="CR274"/>
      <c r="CS274"/>
      <c r="CT274"/>
      <c r="CU274"/>
      <c r="CV274"/>
      <c r="CW274"/>
      <c r="CX274"/>
      <c r="CY274"/>
      <c r="CZ274"/>
      <c r="DA274"/>
      <c r="DB274"/>
      <c r="DC274"/>
      <c r="DD274"/>
      <c r="DE274"/>
      <c r="DF274"/>
      <c r="DG274"/>
      <c r="DH274"/>
      <c r="DI274"/>
      <c r="DJ274"/>
      <c r="DK274"/>
      <c r="DL274"/>
      <c r="DM274"/>
      <c r="DN274"/>
      <c r="DO274"/>
      <c r="DP274"/>
      <c r="DQ274"/>
      <c r="DR274"/>
      <c r="DS274"/>
      <c r="DT274"/>
      <c r="DU274"/>
      <c r="DV274"/>
      <c r="DW274"/>
      <c r="DX274"/>
      <c r="DY274"/>
      <c r="DZ274"/>
      <c r="EA274"/>
      <c r="EB274"/>
      <c r="EC274"/>
      <c r="ED274"/>
      <c r="EE274"/>
      <c r="EF274"/>
      <c r="EG274"/>
      <c r="EH274"/>
      <c r="EI274"/>
      <c r="EJ274"/>
      <c r="EK274"/>
      <c r="EL274"/>
      <c r="EM274"/>
      <c r="EN274"/>
      <c r="EO274"/>
      <c r="EP274"/>
      <c r="EQ274"/>
      <c r="ER274"/>
      <c r="ES274"/>
      <c r="ET274"/>
      <c r="EU274"/>
      <c r="EV274"/>
      <c r="EW274"/>
      <c r="EX274"/>
      <c r="EY274"/>
      <c r="EZ274"/>
      <c r="FA274"/>
      <c r="FB274"/>
      <c r="FC274"/>
      <c r="FD274"/>
      <c r="FE274"/>
      <c r="FF274"/>
      <c r="FG274"/>
      <c r="FH274"/>
      <c r="FI274"/>
      <c r="FJ274"/>
      <c r="FK274"/>
      <c r="FL274"/>
      <c r="FM274"/>
      <c r="FN274"/>
      <c r="FO274"/>
      <c r="FP274"/>
      <c r="FQ274"/>
      <c r="FR274"/>
      <c r="FS274"/>
      <c r="FT274"/>
      <c r="FU274"/>
      <c r="FV274"/>
      <c r="FW274"/>
      <c r="FX274"/>
      <c r="FY274"/>
      <c r="FZ274"/>
      <c r="GA274"/>
      <c r="GB274"/>
      <c r="GC274"/>
      <c r="GD274"/>
      <c r="GE274"/>
      <c r="GF274"/>
      <c r="GG274"/>
      <c r="GH274"/>
      <c r="GI274"/>
      <c r="GJ274"/>
      <c r="GK274"/>
      <c r="GL274"/>
      <c r="GM274"/>
      <c r="GN274"/>
      <c r="GO274"/>
      <c r="GP274"/>
      <c r="GQ274"/>
      <c r="GR274"/>
      <c r="GS274"/>
      <c r="GT274"/>
      <c r="GU274"/>
      <c r="GV274"/>
      <c r="GW274"/>
      <c r="GX274"/>
      <c r="GY274"/>
      <c r="GZ274"/>
      <c r="HA274"/>
      <c r="HB274"/>
      <c r="HC274"/>
      <c r="HD274"/>
      <c r="HE274"/>
      <c r="HF274"/>
      <c r="HG274"/>
      <c r="HH274"/>
      <c r="HI274"/>
      <c r="HJ274"/>
      <c r="HK274"/>
      <c r="HL274"/>
      <c r="HM274"/>
      <c r="HN274"/>
      <c r="HO274"/>
      <c r="HP274"/>
      <c r="HQ274"/>
      <c r="HR274"/>
      <c r="HS274"/>
      <c r="HT274"/>
      <c r="HU274"/>
      <c r="HV274"/>
      <c r="HW274"/>
      <c r="HX274"/>
      <c r="HY274"/>
      <c r="HZ274"/>
      <c r="IA274"/>
      <c r="IB274"/>
      <c r="IC274"/>
      <c r="ID274"/>
      <c r="IE274"/>
      <c r="IF274"/>
      <c r="IG274"/>
      <c r="IH274"/>
      <c r="II274"/>
      <c r="IJ274"/>
      <c r="IK274"/>
      <c r="IL274"/>
      <c r="IM274"/>
      <c r="IN274"/>
      <c r="IO274"/>
      <c r="IP274"/>
      <c r="IQ274"/>
      <c r="IR274"/>
      <c r="IS274"/>
      <c r="IT274"/>
      <c r="IU274"/>
      <c r="IV274"/>
      <c r="IW274"/>
      <c r="IX274"/>
      <c r="IY274"/>
      <c r="IZ274"/>
      <c r="JA274"/>
      <c r="JB274"/>
      <c r="JC274"/>
      <c r="JD274"/>
      <c r="JE274"/>
      <c r="JF274"/>
      <c r="JG274"/>
      <c r="JH274"/>
      <c r="JI274"/>
      <c r="JJ274"/>
      <c r="JK274"/>
      <c r="JL274"/>
      <c r="JM274"/>
      <c r="JN274"/>
      <c r="JO274"/>
      <c r="JP274"/>
      <c r="JQ274"/>
      <c r="JR274"/>
      <c r="JS274"/>
      <c r="JT274"/>
      <c r="JU274"/>
      <c r="JV274"/>
      <c r="JW274"/>
      <c r="JX274"/>
      <c r="JY274"/>
      <c r="JZ274"/>
      <c r="KA274"/>
      <c r="KB274"/>
      <c r="KC274"/>
      <c r="KD274"/>
      <c r="KE274"/>
      <c r="KF274"/>
      <c r="KG274"/>
      <c r="KH274"/>
      <c r="KI274"/>
      <c r="KJ274"/>
      <c r="KK274"/>
      <c r="KL274"/>
      <c r="KM274"/>
      <c r="KN274"/>
      <c r="KO274"/>
      <c r="KP274"/>
      <c r="KQ274"/>
      <c r="KR274"/>
      <c r="KS274"/>
      <c r="KT274"/>
      <c r="KU274"/>
      <c r="KV274"/>
      <c r="KW274"/>
      <c r="KX274"/>
      <c r="KY274"/>
      <c r="KZ274"/>
      <c r="LA274"/>
      <c r="LB274"/>
      <c r="LC274"/>
      <c r="LD274"/>
      <c r="LE274"/>
      <c r="LF274"/>
      <c r="LG274"/>
      <c r="LH274"/>
      <c r="LI274"/>
      <c r="LJ274"/>
      <c r="LK274"/>
      <c r="LL274"/>
      <c r="LM274"/>
      <c r="LN274"/>
      <c r="LO274"/>
      <c r="LP274"/>
      <c r="LQ274"/>
      <c r="LR274"/>
      <c r="LS274"/>
      <c r="LT274"/>
      <c r="LU274"/>
      <c r="LV274"/>
      <c r="LW274"/>
      <c r="LX274"/>
      <c r="LY274"/>
      <c r="LZ274"/>
      <c r="MA274"/>
      <c r="MB274"/>
      <c r="MC274"/>
      <c r="MD274"/>
      <c r="ME274"/>
      <c r="MF274"/>
      <c r="MG274"/>
      <c r="MH274"/>
      <c r="MI274"/>
      <c r="MJ274"/>
      <c r="MK274"/>
      <c r="ML274"/>
      <c r="MM274"/>
      <c r="MN274"/>
      <c r="MO274"/>
      <c r="MP274"/>
      <c r="MQ274"/>
      <c r="MR274"/>
      <c r="MS274"/>
      <c r="MT274"/>
      <c r="MU274"/>
      <c r="MV274"/>
      <c r="MW274"/>
      <c r="MX274"/>
      <c r="MY274"/>
      <c r="MZ274"/>
      <c r="NA274"/>
      <c r="NB274"/>
      <c r="NC274"/>
      <c r="ND274"/>
      <c r="NE274"/>
      <c r="NF274"/>
      <c r="NG274"/>
      <c r="NH274"/>
      <c r="NI274"/>
      <c r="NJ274"/>
      <c r="NK274"/>
      <c r="NL274"/>
      <c r="NM274"/>
      <c r="NN274"/>
      <c r="NO274"/>
      <c r="NP274"/>
      <c r="NQ274"/>
      <c r="NR274"/>
      <c r="NS274"/>
      <c r="NT274"/>
      <c r="NU274"/>
      <c r="NV274"/>
      <c r="NW274"/>
      <c r="NX274"/>
      <c r="NY274"/>
      <c r="NZ274"/>
      <c r="OA274"/>
      <c r="OB274"/>
      <c r="OC274"/>
      <c r="OD274"/>
      <c r="OE274"/>
      <c r="OF274"/>
      <c r="OG274"/>
      <c r="OH274"/>
      <c r="OI274"/>
      <c r="OJ274"/>
      <c r="OK274"/>
      <c r="OL274"/>
      <c r="OM274"/>
      <c r="ON274"/>
      <c r="OO274"/>
      <c r="OP274"/>
      <c r="OQ274"/>
      <c r="OR274"/>
      <c r="OS274"/>
      <c r="OT274"/>
      <c r="OU274"/>
      <c r="OV274"/>
      <c r="OW274"/>
      <c r="OX274"/>
      <c r="OY274"/>
      <c r="OZ274"/>
      <c r="PA274"/>
      <c r="PB274"/>
      <c r="PC274"/>
      <c r="PD274"/>
      <c r="PE274"/>
      <c r="PF274"/>
      <c r="PG274"/>
      <c r="PH274"/>
      <c r="PI274"/>
      <c r="PJ274"/>
      <c r="PK274"/>
      <c r="PL274"/>
      <c r="PM274"/>
      <c r="PN274"/>
      <c r="PO274"/>
      <c r="PP274"/>
      <c r="PQ274"/>
      <c r="PR274"/>
      <c r="PS274"/>
      <c r="PT274"/>
      <c r="PU274"/>
      <c r="PV274"/>
      <c r="PW274"/>
      <c r="PX274"/>
      <c r="PY274"/>
      <c r="PZ274"/>
      <c r="QA274"/>
      <c r="QB274"/>
      <c r="QC274"/>
      <c r="QD274"/>
      <c r="QE274"/>
      <c r="QF274"/>
      <c r="QG274"/>
      <c r="QH274"/>
      <c r="QI274"/>
      <c r="QJ274"/>
      <c r="QK274"/>
      <c r="QL274"/>
      <c r="QM274"/>
      <c r="QN274"/>
      <c r="QO274"/>
      <c r="QP274"/>
      <c r="QQ274"/>
      <c r="QR274"/>
      <c r="QS274"/>
      <c r="QT274"/>
      <c r="QU274"/>
      <c r="QV274"/>
      <c r="QW274"/>
      <c r="QX274"/>
      <c r="QY274"/>
      <c r="QZ274"/>
      <c r="RA274"/>
      <c r="RB274"/>
      <c r="RC274"/>
      <c r="RD274"/>
      <c r="RE274"/>
      <c r="RF274"/>
      <c r="RG274"/>
      <c r="RH274"/>
      <c r="RI274"/>
      <c r="RJ274"/>
      <c r="RK274"/>
      <c r="RL274"/>
      <c r="RM274"/>
      <c r="RN274"/>
      <c r="RO274"/>
      <c r="RP274"/>
      <c r="RQ274"/>
      <c r="RR274"/>
      <c r="RS274"/>
    </row>
    <row r="275" spans="3:487" x14ac:dyDescent="0.25">
      <c r="C275" s="2" t="s">
        <v>3835</v>
      </c>
      <c r="D275" s="34">
        <v>0</v>
      </c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A275"/>
      <c r="BB275"/>
      <c r="BC275"/>
      <c r="BD275"/>
      <c r="BE275"/>
      <c r="BF275"/>
      <c r="BG275"/>
      <c r="BH275"/>
      <c r="BI275"/>
      <c r="BJ275"/>
      <c r="BK275"/>
      <c r="BL275"/>
      <c r="BM275"/>
      <c r="BN275"/>
      <c r="BO275"/>
      <c r="BP275"/>
      <c r="BQ275"/>
      <c r="BR275"/>
      <c r="BS275"/>
      <c r="BT275"/>
      <c r="BU275"/>
      <c r="BV275"/>
      <c r="BW275"/>
      <c r="BX275"/>
      <c r="BY275"/>
      <c r="BZ275"/>
      <c r="CA275"/>
      <c r="CB275"/>
      <c r="CC275"/>
      <c r="CD275"/>
      <c r="CE275"/>
      <c r="CF275"/>
      <c r="CG275"/>
      <c r="CH275"/>
      <c r="CI275"/>
      <c r="CJ275"/>
      <c r="CK275"/>
      <c r="CL275"/>
      <c r="CM275"/>
      <c r="CN275"/>
      <c r="CO275"/>
      <c r="CP275"/>
      <c r="CQ275"/>
      <c r="CR275"/>
      <c r="CS275"/>
      <c r="CT275"/>
      <c r="CU275"/>
      <c r="CV275"/>
      <c r="CW275"/>
      <c r="CX275"/>
      <c r="CY275"/>
      <c r="CZ275"/>
      <c r="DA275"/>
      <c r="DB275"/>
      <c r="DC275"/>
      <c r="DD275"/>
      <c r="DE275"/>
      <c r="DF275"/>
      <c r="DG275"/>
      <c r="DH275"/>
      <c r="DI275"/>
      <c r="DJ275"/>
      <c r="DK275"/>
      <c r="DL275"/>
      <c r="DM275"/>
      <c r="DN275"/>
      <c r="DO275"/>
      <c r="DP275"/>
      <c r="DQ275"/>
      <c r="DR275"/>
      <c r="DS275"/>
      <c r="DT275"/>
      <c r="DU275"/>
      <c r="DV275"/>
      <c r="DW275"/>
      <c r="DX275"/>
      <c r="DY275"/>
      <c r="DZ275"/>
      <c r="EA275"/>
      <c r="EB275"/>
      <c r="EC275"/>
      <c r="ED275"/>
      <c r="EE275"/>
      <c r="EF275"/>
      <c r="EG275"/>
      <c r="EH275"/>
      <c r="EI275"/>
      <c r="EJ275"/>
      <c r="EK275"/>
      <c r="EL275"/>
      <c r="EM275"/>
      <c r="EN275"/>
      <c r="EO275"/>
      <c r="EP275"/>
      <c r="EQ275"/>
      <c r="ER275"/>
      <c r="ES275"/>
      <c r="ET275"/>
      <c r="EU275"/>
      <c r="EV275"/>
      <c r="EW275"/>
      <c r="EX275"/>
      <c r="EY275"/>
      <c r="EZ275"/>
      <c r="FA275"/>
      <c r="FB275"/>
      <c r="FC275"/>
      <c r="FD275"/>
      <c r="FE275"/>
      <c r="FF275"/>
      <c r="FG275"/>
      <c r="FH275"/>
      <c r="FI275"/>
      <c r="FJ275"/>
      <c r="FK275"/>
      <c r="FL275"/>
      <c r="FM275"/>
      <c r="FN275"/>
      <c r="FO275"/>
      <c r="FP275"/>
      <c r="FQ275"/>
      <c r="FR275"/>
      <c r="FS275"/>
      <c r="FT275"/>
      <c r="FU275"/>
      <c r="FV275"/>
      <c r="FW275"/>
      <c r="FX275"/>
      <c r="FY275"/>
      <c r="FZ275"/>
      <c r="GA275"/>
      <c r="GB275"/>
      <c r="GC275"/>
      <c r="GD275"/>
      <c r="GE275"/>
      <c r="GF275"/>
      <c r="GG275"/>
      <c r="GH275"/>
      <c r="GI275"/>
      <c r="GJ275"/>
      <c r="GK275"/>
      <c r="GL275"/>
      <c r="GM275"/>
      <c r="GN275"/>
      <c r="GO275"/>
      <c r="GP275"/>
      <c r="GQ275"/>
      <c r="GR275"/>
      <c r="GS275"/>
      <c r="GT275"/>
      <c r="GU275"/>
      <c r="GV275"/>
      <c r="GW275"/>
      <c r="GX275"/>
      <c r="GY275"/>
      <c r="GZ275"/>
      <c r="HA275"/>
      <c r="HB275"/>
      <c r="HC275"/>
      <c r="HD275"/>
      <c r="HE275"/>
      <c r="HF275"/>
      <c r="HG275"/>
      <c r="HH275"/>
      <c r="HI275"/>
      <c r="HJ275"/>
      <c r="HK275"/>
      <c r="HL275"/>
      <c r="HM275"/>
      <c r="HN275"/>
      <c r="HO275"/>
      <c r="HP275"/>
      <c r="HQ275"/>
      <c r="HR275"/>
      <c r="HS275"/>
      <c r="HT275"/>
      <c r="HU275"/>
      <c r="HV275"/>
      <c r="HW275"/>
      <c r="HX275"/>
      <c r="HY275"/>
      <c r="HZ275"/>
      <c r="IA275"/>
      <c r="IB275"/>
      <c r="IC275"/>
      <c r="ID275"/>
      <c r="IE275"/>
      <c r="IF275"/>
      <c r="IG275"/>
      <c r="IH275"/>
      <c r="II275"/>
      <c r="IJ275"/>
      <c r="IK275"/>
      <c r="IL275"/>
      <c r="IM275"/>
      <c r="IN275"/>
      <c r="IO275"/>
      <c r="IP275"/>
      <c r="IQ275"/>
      <c r="IR275"/>
      <c r="IS275"/>
      <c r="IT275"/>
      <c r="IU275"/>
      <c r="IV275"/>
      <c r="IW275"/>
      <c r="IX275"/>
      <c r="IY275"/>
      <c r="IZ275"/>
      <c r="JA275"/>
      <c r="JB275"/>
      <c r="JC275"/>
      <c r="JD275"/>
      <c r="JE275"/>
      <c r="JF275"/>
      <c r="JG275"/>
      <c r="JH275"/>
      <c r="JI275"/>
      <c r="JJ275"/>
      <c r="JK275"/>
      <c r="JL275"/>
      <c r="JM275"/>
      <c r="JN275"/>
      <c r="JO275"/>
      <c r="JP275"/>
      <c r="JQ275"/>
      <c r="JR275"/>
      <c r="JS275"/>
      <c r="JT275"/>
      <c r="JU275"/>
      <c r="JV275"/>
      <c r="JW275"/>
      <c r="JX275"/>
      <c r="JY275"/>
      <c r="JZ275"/>
      <c r="KA275"/>
      <c r="KB275"/>
      <c r="KC275"/>
      <c r="KD275"/>
      <c r="KE275"/>
      <c r="KF275"/>
      <c r="KG275"/>
      <c r="KH275"/>
      <c r="KI275"/>
      <c r="KJ275"/>
      <c r="KK275"/>
      <c r="KL275"/>
      <c r="KM275"/>
      <c r="KN275"/>
      <c r="KO275"/>
      <c r="KP275"/>
      <c r="KQ275"/>
      <c r="KR275"/>
      <c r="KS275"/>
      <c r="KT275"/>
      <c r="KU275"/>
      <c r="KV275"/>
      <c r="KW275"/>
      <c r="KX275"/>
      <c r="KY275"/>
      <c r="KZ275"/>
      <c r="LA275"/>
      <c r="LB275"/>
      <c r="LC275"/>
      <c r="LD275"/>
      <c r="LE275"/>
      <c r="LF275"/>
      <c r="LG275"/>
      <c r="LH275"/>
      <c r="LI275"/>
      <c r="LJ275"/>
      <c r="LK275"/>
      <c r="LL275"/>
      <c r="LM275"/>
      <c r="LN275"/>
      <c r="LO275"/>
      <c r="LP275"/>
      <c r="LQ275"/>
      <c r="LR275"/>
      <c r="LS275"/>
      <c r="LT275"/>
      <c r="LU275"/>
      <c r="LV275"/>
      <c r="LW275"/>
      <c r="LX275"/>
      <c r="LY275"/>
      <c r="LZ275"/>
      <c r="MA275"/>
      <c r="MB275"/>
      <c r="MC275"/>
      <c r="MD275"/>
      <c r="ME275"/>
      <c r="MF275"/>
      <c r="MG275"/>
      <c r="MH275"/>
      <c r="MI275"/>
      <c r="MJ275"/>
      <c r="MK275"/>
      <c r="ML275"/>
      <c r="MM275"/>
      <c r="MN275"/>
      <c r="MO275"/>
      <c r="MP275"/>
      <c r="MQ275"/>
      <c r="MR275"/>
      <c r="MS275"/>
      <c r="MT275"/>
      <c r="MU275"/>
      <c r="MV275"/>
      <c r="MW275"/>
      <c r="MX275"/>
      <c r="MY275"/>
      <c r="MZ275"/>
      <c r="NA275"/>
      <c r="NB275"/>
      <c r="NC275"/>
      <c r="ND275"/>
      <c r="NE275"/>
      <c r="NF275"/>
      <c r="NG275"/>
      <c r="NH275"/>
      <c r="NI275"/>
      <c r="NJ275"/>
      <c r="NK275"/>
      <c r="NL275"/>
      <c r="NM275"/>
      <c r="NN275"/>
      <c r="NO275"/>
      <c r="NP275"/>
      <c r="NQ275"/>
      <c r="NR275"/>
      <c r="NS275"/>
      <c r="NT275"/>
      <c r="NU275"/>
      <c r="NV275"/>
      <c r="NW275"/>
      <c r="NX275"/>
      <c r="NY275"/>
      <c r="NZ275"/>
      <c r="OA275"/>
      <c r="OB275"/>
      <c r="OC275"/>
      <c r="OD275"/>
      <c r="OE275"/>
      <c r="OF275"/>
      <c r="OG275"/>
      <c r="OH275"/>
      <c r="OI275"/>
      <c r="OJ275"/>
      <c r="OK275"/>
      <c r="OL275"/>
      <c r="OM275"/>
      <c r="ON275"/>
      <c r="OO275"/>
      <c r="OP275"/>
      <c r="OQ275"/>
      <c r="OR275"/>
      <c r="OS275"/>
      <c r="OT275"/>
      <c r="OU275"/>
      <c r="OV275"/>
      <c r="OW275"/>
      <c r="OX275"/>
      <c r="OY275"/>
      <c r="OZ275"/>
      <c r="PA275"/>
      <c r="PB275"/>
      <c r="PC275"/>
      <c r="PD275"/>
      <c r="PE275"/>
      <c r="PF275"/>
      <c r="PG275"/>
      <c r="PH275"/>
      <c r="PI275"/>
      <c r="PJ275"/>
      <c r="PK275"/>
      <c r="PL275"/>
      <c r="PM275"/>
      <c r="PN275"/>
      <c r="PO275"/>
      <c r="PP275"/>
      <c r="PQ275"/>
      <c r="PR275"/>
      <c r="PS275"/>
      <c r="PT275"/>
      <c r="PU275"/>
      <c r="PV275"/>
      <c r="PW275"/>
      <c r="PX275"/>
      <c r="PY275"/>
      <c r="PZ275"/>
      <c r="QA275"/>
      <c r="QB275"/>
      <c r="QC275"/>
      <c r="QD275"/>
      <c r="QE275"/>
      <c r="QF275"/>
      <c r="QG275"/>
      <c r="QH275"/>
      <c r="QI275"/>
      <c r="QJ275"/>
      <c r="QK275"/>
      <c r="QL275"/>
      <c r="QM275"/>
      <c r="QN275"/>
      <c r="QO275"/>
      <c r="QP275"/>
      <c r="QQ275"/>
      <c r="QR275"/>
      <c r="QS275"/>
      <c r="QT275"/>
      <c r="QU275"/>
      <c r="QV275"/>
      <c r="QW275"/>
      <c r="QX275"/>
      <c r="QY275"/>
      <c r="QZ275"/>
      <c r="RA275"/>
      <c r="RB275"/>
      <c r="RC275"/>
      <c r="RD275"/>
      <c r="RE275"/>
      <c r="RF275"/>
      <c r="RG275"/>
      <c r="RH275"/>
      <c r="RI275"/>
      <c r="RJ275"/>
      <c r="RK275"/>
      <c r="RL275"/>
      <c r="RM275"/>
      <c r="RN275"/>
      <c r="RO275"/>
      <c r="RP275"/>
      <c r="RQ275"/>
      <c r="RR275"/>
      <c r="RS275"/>
    </row>
    <row r="276" spans="3:487" x14ac:dyDescent="0.25">
      <c r="C276" s="2" t="s">
        <v>3755</v>
      </c>
      <c r="D276" s="34">
        <v>0</v>
      </c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  <c r="BA276"/>
      <c r="BB276"/>
      <c r="BC276"/>
      <c r="BD276"/>
      <c r="BE276"/>
      <c r="BF276"/>
      <c r="BG276"/>
      <c r="BH276"/>
      <c r="BI276"/>
      <c r="BJ276"/>
      <c r="BK276"/>
      <c r="BL276"/>
      <c r="BM276"/>
      <c r="BN276"/>
      <c r="BO276"/>
      <c r="BP276"/>
      <c r="BQ276"/>
      <c r="BR276"/>
      <c r="BS276"/>
      <c r="BT276"/>
      <c r="BU276"/>
      <c r="BV276"/>
      <c r="BW276"/>
      <c r="BX276"/>
      <c r="BY276"/>
      <c r="BZ276"/>
      <c r="CA276"/>
      <c r="CB276"/>
      <c r="CC276"/>
      <c r="CD276"/>
      <c r="CE276"/>
      <c r="CF276"/>
      <c r="CG276"/>
      <c r="CH276"/>
      <c r="CI276"/>
      <c r="CJ276"/>
      <c r="CK276"/>
      <c r="CL276"/>
      <c r="CM276"/>
      <c r="CN276"/>
      <c r="CO276"/>
      <c r="CP276"/>
      <c r="CQ276"/>
      <c r="CR276"/>
      <c r="CS276"/>
      <c r="CT276"/>
      <c r="CU276"/>
      <c r="CV276"/>
      <c r="CW276"/>
      <c r="CX276"/>
      <c r="CY276"/>
      <c r="CZ276"/>
      <c r="DA276"/>
      <c r="DB276"/>
      <c r="DC276"/>
      <c r="DD276"/>
      <c r="DE276"/>
      <c r="DF276"/>
      <c r="DG276"/>
      <c r="DH276"/>
      <c r="DI276"/>
      <c r="DJ276"/>
      <c r="DK276"/>
      <c r="DL276"/>
      <c r="DM276"/>
      <c r="DN276"/>
      <c r="DO276"/>
      <c r="DP276"/>
      <c r="DQ276"/>
      <c r="DR276"/>
      <c r="DS276"/>
      <c r="DT276"/>
      <c r="DU276"/>
      <c r="DV276"/>
      <c r="DW276"/>
      <c r="DX276"/>
      <c r="DY276"/>
      <c r="DZ276"/>
      <c r="EA276"/>
      <c r="EB276"/>
      <c r="EC276"/>
      <c r="ED276"/>
      <c r="EE276"/>
      <c r="EF276"/>
      <c r="EG276"/>
      <c r="EH276"/>
      <c r="EI276"/>
      <c r="EJ276"/>
      <c r="EK276"/>
      <c r="EL276"/>
      <c r="EM276"/>
      <c r="EN276"/>
      <c r="EO276"/>
      <c r="EP276"/>
      <c r="EQ276"/>
      <c r="ER276"/>
      <c r="ES276"/>
      <c r="ET276"/>
      <c r="EU276"/>
      <c r="EV276"/>
      <c r="EW276"/>
      <c r="EX276"/>
      <c r="EY276"/>
      <c r="EZ276"/>
      <c r="FA276"/>
      <c r="FB276"/>
      <c r="FC276"/>
      <c r="FD276"/>
      <c r="FE276"/>
      <c r="FF276"/>
      <c r="FG276"/>
      <c r="FH276"/>
      <c r="FI276"/>
      <c r="FJ276"/>
      <c r="FK276"/>
      <c r="FL276"/>
      <c r="FM276"/>
      <c r="FN276"/>
      <c r="FO276"/>
      <c r="FP276"/>
      <c r="FQ276"/>
      <c r="FR276"/>
      <c r="FS276"/>
      <c r="FT276"/>
      <c r="FU276"/>
      <c r="FV276"/>
      <c r="FW276"/>
      <c r="FX276"/>
      <c r="FY276"/>
      <c r="FZ276"/>
      <c r="GA276"/>
      <c r="GB276"/>
      <c r="GC276"/>
      <c r="GD276"/>
      <c r="GE276"/>
      <c r="GF276"/>
      <c r="GG276"/>
      <c r="GH276"/>
      <c r="GI276"/>
      <c r="GJ276"/>
      <c r="GK276"/>
      <c r="GL276"/>
      <c r="GM276"/>
      <c r="GN276"/>
      <c r="GO276"/>
      <c r="GP276"/>
      <c r="GQ276"/>
      <c r="GR276"/>
      <c r="GS276"/>
      <c r="GT276"/>
      <c r="GU276"/>
      <c r="GV276"/>
      <c r="GW276"/>
      <c r="GX276"/>
      <c r="GY276"/>
      <c r="GZ276"/>
      <c r="HA276"/>
      <c r="HB276"/>
      <c r="HC276"/>
      <c r="HD276"/>
      <c r="HE276"/>
      <c r="HF276"/>
      <c r="HG276"/>
      <c r="HH276"/>
      <c r="HI276"/>
      <c r="HJ276"/>
      <c r="HK276"/>
      <c r="HL276"/>
      <c r="HM276"/>
      <c r="HN276"/>
      <c r="HO276"/>
      <c r="HP276"/>
      <c r="HQ276"/>
      <c r="HR276"/>
      <c r="HS276"/>
      <c r="HT276"/>
      <c r="HU276"/>
      <c r="HV276"/>
      <c r="HW276"/>
      <c r="HX276"/>
      <c r="HY276"/>
      <c r="HZ276"/>
      <c r="IA276"/>
      <c r="IB276"/>
      <c r="IC276"/>
      <c r="ID276"/>
      <c r="IE276"/>
      <c r="IF276"/>
      <c r="IG276"/>
      <c r="IH276"/>
      <c r="II276"/>
      <c r="IJ276"/>
      <c r="IK276"/>
      <c r="IL276"/>
      <c r="IM276"/>
      <c r="IN276"/>
      <c r="IO276"/>
      <c r="IP276"/>
      <c r="IQ276"/>
      <c r="IR276"/>
      <c r="IS276"/>
      <c r="IT276"/>
      <c r="IU276"/>
      <c r="IV276"/>
      <c r="IW276"/>
      <c r="IX276"/>
      <c r="IY276"/>
      <c r="IZ276"/>
      <c r="JA276"/>
      <c r="JB276"/>
      <c r="JC276"/>
      <c r="JD276"/>
      <c r="JE276"/>
      <c r="JF276"/>
      <c r="JG276"/>
      <c r="JH276"/>
      <c r="JI276"/>
      <c r="JJ276"/>
      <c r="JK276"/>
      <c r="JL276"/>
      <c r="JM276"/>
      <c r="JN276"/>
      <c r="JO276"/>
      <c r="JP276"/>
      <c r="JQ276"/>
      <c r="JR276"/>
      <c r="JS276"/>
      <c r="JT276"/>
      <c r="JU276"/>
      <c r="JV276"/>
      <c r="JW276"/>
      <c r="JX276"/>
      <c r="JY276"/>
      <c r="JZ276"/>
      <c r="KA276"/>
      <c r="KB276"/>
      <c r="KC276"/>
      <c r="KD276"/>
      <c r="KE276"/>
      <c r="KF276"/>
      <c r="KG276"/>
      <c r="KH276"/>
      <c r="KI276"/>
      <c r="KJ276"/>
      <c r="KK276"/>
      <c r="KL276"/>
      <c r="KM276"/>
      <c r="KN276"/>
      <c r="KO276"/>
      <c r="KP276"/>
      <c r="KQ276"/>
      <c r="KR276"/>
      <c r="KS276"/>
      <c r="KT276"/>
      <c r="KU276"/>
      <c r="KV276"/>
      <c r="KW276"/>
      <c r="KX276"/>
      <c r="KY276"/>
      <c r="KZ276"/>
      <c r="LA276"/>
      <c r="LB276"/>
      <c r="LC276"/>
      <c r="LD276"/>
      <c r="LE276"/>
      <c r="LF276"/>
      <c r="LG276"/>
      <c r="LH276"/>
      <c r="LI276"/>
      <c r="LJ276"/>
      <c r="LK276"/>
      <c r="LL276"/>
      <c r="LM276"/>
      <c r="LN276"/>
      <c r="LO276"/>
      <c r="LP276"/>
      <c r="LQ276"/>
      <c r="LR276"/>
      <c r="LS276"/>
      <c r="LT276"/>
      <c r="LU276"/>
      <c r="LV276"/>
      <c r="LW276"/>
      <c r="LX276"/>
      <c r="LY276"/>
      <c r="LZ276"/>
      <c r="MA276"/>
      <c r="MB276"/>
      <c r="MC276"/>
      <c r="MD276"/>
      <c r="ME276"/>
      <c r="MF276"/>
      <c r="MG276"/>
      <c r="MH276"/>
      <c r="MI276"/>
      <c r="MJ276"/>
      <c r="MK276"/>
      <c r="ML276"/>
      <c r="MM276"/>
      <c r="MN276"/>
      <c r="MO276"/>
      <c r="MP276"/>
      <c r="MQ276"/>
      <c r="MR276"/>
      <c r="MS276"/>
      <c r="MT276"/>
      <c r="MU276"/>
      <c r="MV276"/>
      <c r="MW276"/>
      <c r="MX276"/>
      <c r="MY276"/>
      <c r="MZ276"/>
      <c r="NA276"/>
      <c r="NB276"/>
      <c r="NC276"/>
      <c r="ND276"/>
      <c r="NE276"/>
      <c r="NF276"/>
      <c r="NG276"/>
      <c r="NH276"/>
      <c r="NI276"/>
      <c r="NJ276"/>
      <c r="NK276"/>
      <c r="NL276"/>
      <c r="NM276"/>
      <c r="NN276"/>
      <c r="NO276"/>
      <c r="NP276"/>
      <c r="NQ276"/>
      <c r="NR276"/>
      <c r="NS276"/>
      <c r="NT276"/>
      <c r="NU276"/>
      <c r="NV276"/>
      <c r="NW276"/>
      <c r="NX276"/>
      <c r="NY276"/>
      <c r="NZ276"/>
      <c r="OA276"/>
      <c r="OB276"/>
      <c r="OC276"/>
      <c r="OD276"/>
      <c r="OE276"/>
      <c r="OF276"/>
      <c r="OG276"/>
      <c r="OH276"/>
      <c r="OI276"/>
      <c r="OJ276"/>
      <c r="OK276"/>
      <c r="OL276"/>
      <c r="OM276"/>
      <c r="ON276"/>
      <c r="OO276"/>
      <c r="OP276"/>
      <c r="OQ276"/>
      <c r="OR276"/>
      <c r="OS276"/>
      <c r="OT276"/>
      <c r="OU276"/>
      <c r="OV276"/>
      <c r="OW276"/>
      <c r="OX276"/>
      <c r="OY276"/>
      <c r="OZ276"/>
      <c r="PA276"/>
      <c r="PB276"/>
      <c r="PC276"/>
      <c r="PD276"/>
      <c r="PE276"/>
      <c r="PF276"/>
      <c r="PG276"/>
      <c r="PH276"/>
      <c r="PI276"/>
      <c r="PJ276"/>
      <c r="PK276"/>
      <c r="PL276"/>
      <c r="PM276"/>
      <c r="PN276"/>
      <c r="PO276"/>
      <c r="PP276"/>
      <c r="PQ276"/>
      <c r="PR276"/>
      <c r="PS276"/>
      <c r="PT276"/>
      <c r="PU276"/>
      <c r="PV276"/>
      <c r="PW276"/>
      <c r="PX276"/>
      <c r="PY276"/>
      <c r="PZ276"/>
      <c r="QA276"/>
      <c r="QB276"/>
      <c r="QC276"/>
      <c r="QD276"/>
      <c r="QE276"/>
      <c r="QF276"/>
      <c r="QG276"/>
      <c r="QH276"/>
      <c r="QI276"/>
      <c r="QJ276"/>
      <c r="QK276"/>
      <c r="QL276"/>
      <c r="QM276"/>
      <c r="QN276"/>
      <c r="QO276"/>
      <c r="QP276"/>
      <c r="QQ276"/>
      <c r="QR276"/>
      <c r="QS276"/>
      <c r="QT276"/>
      <c r="QU276"/>
      <c r="QV276"/>
      <c r="QW276"/>
      <c r="QX276"/>
      <c r="QY276"/>
      <c r="QZ276"/>
      <c r="RA276"/>
      <c r="RB276"/>
      <c r="RC276"/>
      <c r="RD276"/>
      <c r="RE276"/>
      <c r="RF276"/>
      <c r="RG276"/>
      <c r="RH276"/>
      <c r="RI276"/>
      <c r="RJ276"/>
      <c r="RK276"/>
      <c r="RL276"/>
      <c r="RM276"/>
      <c r="RN276"/>
      <c r="RO276"/>
      <c r="RP276"/>
      <c r="RQ276"/>
      <c r="RR276"/>
      <c r="RS276"/>
    </row>
    <row r="277" spans="3:487" x14ac:dyDescent="0.25">
      <c r="C277" s="2" t="s">
        <v>3827</v>
      </c>
      <c r="D277" s="34">
        <v>0</v>
      </c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  <c r="BA277"/>
      <c r="BB277"/>
      <c r="BC277"/>
      <c r="BD277"/>
      <c r="BE277"/>
      <c r="BF277"/>
      <c r="BG277"/>
      <c r="BH277"/>
      <c r="BI277"/>
      <c r="BJ277"/>
      <c r="BK277"/>
      <c r="BL277"/>
      <c r="BM277"/>
      <c r="BN277"/>
      <c r="BO277"/>
      <c r="BP277"/>
      <c r="BQ277"/>
      <c r="BR277"/>
      <c r="BS277"/>
      <c r="BT277"/>
      <c r="BU277"/>
      <c r="BV277"/>
      <c r="BW277"/>
      <c r="BX277"/>
      <c r="BY277"/>
      <c r="BZ277"/>
      <c r="CA277"/>
      <c r="CB277"/>
      <c r="CC277"/>
      <c r="CD277"/>
      <c r="CE277"/>
      <c r="CF277"/>
      <c r="CG277"/>
      <c r="CH277"/>
      <c r="CI277"/>
      <c r="CJ277"/>
      <c r="CK277"/>
      <c r="CL277"/>
      <c r="CM277"/>
      <c r="CN277"/>
      <c r="CO277"/>
      <c r="CP277"/>
      <c r="CQ277"/>
      <c r="CR277"/>
      <c r="CS277"/>
      <c r="CT277"/>
      <c r="CU277"/>
      <c r="CV277"/>
      <c r="CW277"/>
      <c r="CX277"/>
      <c r="CY277"/>
      <c r="CZ277"/>
      <c r="DA277"/>
      <c r="DB277"/>
      <c r="DC277"/>
      <c r="DD277"/>
      <c r="DE277"/>
      <c r="DF277"/>
      <c r="DG277"/>
      <c r="DH277"/>
      <c r="DI277"/>
      <c r="DJ277"/>
      <c r="DK277"/>
      <c r="DL277"/>
      <c r="DM277"/>
      <c r="DN277"/>
      <c r="DO277"/>
      <c r="DP277"/>
      <c r="DQ277"/>
      <c r="DR277"/>
      <c r="DS277"/>
      <c r="DT277"/>
      <c r="DU277"/>
      <c r="DV277"/>
      <c r="DW277"/>
      <c r="DX277"/>
      <c r="DY277"/>
      <c r="DZ277"/>
      <c r="EA277"/>
      <c r="EB277"/>
      <c r="EC277"/>
      <c r="ED277"/>
      <c r="EE277"/>
      <c r="EF277"/>
      <c r="EG277"/>
      <c r="EH277"/>
      <c r="EI277"/>
      <c r="EJ277"/>
      <c r="EK277"/>
      <c r="EL277"/>
      <c r="EM277"/>
      <c r="EN277"/>
      <c r="EO277"/>
      <c r="EP277"/>
      <c r="EQ277"/>
      <c r="ER277"/>
      <c r="ES277"/>
      <c r="ET277"/>
      <c r="EU277"/>
      <c r="EV277"/>
      <c r="EW277"/>
      <c r="EX277"/>
      <c r="EY277"/>
      <c r="EZ277"/>
      <c r="FA277"/>
      <c r="FB277"/>
      <c r="FC277"/>
      <c r="FD277"/>
      <c r="FE277"/>
      <c r="FF277"/>
      <c r="FG277"/>
      <c r="FH277"/>
      <c r="FI277"/>
      <c r="FJ277"/>
      <c r="FK277"/>
      <c r="FL277"/>
      <c r="FM277"/>
      <c r="FN277"/>
      <c r="FO277"/>
      <c r="FP277"/>
      <c r="FQ277"/>
      <c r="FR277"/>
      <c r="FS277"/>
      <c r="FT277"/>
      <c r="FU277"/>
      <c r="FV277"/>
      <c r="FW277"/>
      <c r="FX277"/>
      <c r="FY277"/>
      <c r="FZ277"/>
      <c r="GA277"/>
      <c r="GB277"/>
      <c r="GC277"/>
      <c r="GD277"/>
      <c r="GE277"/>
      <c r="GF277"/>
      <c r="GG277"/>
      <c r="GH277"/>
      <c r="GI277"/>
      <c r="GJ277"/>
      <c r="GK277"/>
      <c r="GL277"/>
      <c r="GM277"/>
      <c r="GN277"/>
      <c r="GO277"/>
      <c r="GP277"/>
      <c r="GQ277"/>
      <c r="GR277"/>
      <c r="GS277"/>
      <c r="GT277"/>
      <c r="GU277"/>
      <c r="GV277"/>
      <c r="GW277"/>
      <c r="GX277"/>
      <c r="GY277"/>
      <c r="GZ277"/>
      <c r="HA277"/>
      <c r="HB277"/>
      <c r="HC277"/>
      <c r="HD277"/>
      <c r="HE277"/>
      <c r="HF277"/>
      <c r="HG277"/>
      <c r="HH277"/>
      <c r="HI277"/>
      <c r="HJ277"/>
      <c r="HK277"/>
      <c r="HL277"/>
      <c r="HM277"/>
      <c r="HN277"/>
      <c r="HO277"/>
      <c r="HP277"/>
      <c r="HQ277"/>
      <c r="HR277"/>
      <c r="HS277"/>
      <c r="HT277"/>
      <c r="HU277"/>
      <c r="HV277"/>
      <c r="HW277"/>
      <c r="HX277"/>
      <c r="HY277"/>
      <c r="HZ277"/>
      <c r="IA277"/>
      <c r="IB277"/>
      <c r="IC277"/>
      <c r="ID277"/>
      <c r="IE277"/>
      <c r="IF277"/>
      <c r="IG277"/>
      <c r="IH277"/>
      <c r="II277"/>
      <c r="IJ277"/>
      <c r="IK277"/>
      <c r="IL277"/>
      <c r="IM277"/>
      <c r="IN277"/>
      <c r="IO277"/>
      <c r="IP277"/>
      <c r="IQ277"/>
      <c r="IR277"/>
      <c r="IS277"/>
      <c r="IT277"/>
      <c r="IU277"/>
      <c r="IV277"/>
      <c r="IW277"/>
      <c r="IX277"/>
      <c r="IY277"/>
      <c r="IZ277"/>
      <c r="JA277"/>
      <c r="JB277"/>
      <c r="JC277"/>
      <c r="JD277"/>
      <c r="JE277"/>
      <c r="JF277"/>
      <c r="JG277"/>
      <c r="JH277"/>
      <c r="JI277"/>
      <c r="JJ277"/>
      <c r="JK277"/>
      <c r="JL277"/>
      <c r="JM277"/>
      <c r="JN277"/>
      <c r="JO277"/>
      <c r="JP277"/>
      <c r="JQ277"/>
      <c r="JR277"/>
      <c r="JS277"/>
      <c r="JT277"/>
      <c r="JU277"/>
      <c r="JV277"/>
      <c r="JW277"/>
      <c r="JX277"/>
      <c r="JY277"/>
      <c r="JZ277"/>
      <c r="KA277"/>
      <c r="KB277"/>
      <c r="KC277"/>
      <c r="KD277"/>
      <c r="KE277"/>
      <c r="KF277"/>
      <c r="KG277"/>
      <c r="KH277"/>
      <c r="KI277"/>
      <c r="KJ277"/>
      <c r="KK277"/>
      <c r="KL277"/>
      <c r="KM277"/>
      <c r="KN277"/>
      <c r="KO277"/>
      <c r="KP277"/>
      <c r="KQ277"/>
      <c r="KR277"/>
      <c r="KS277"/>
      <c r="KT277"/>
      <c r="KU277"/>
      <c r="KV277"/>
      <c r="KW277"/>
      <c r="KX277"/>
      <c r="KY277"/>
      <c r="KZ277"/>
      <c r="LA277"/>
      <c r="LB277"/>
      <c r="LC277"/>
      <c r="LD277"/>
      <c r="LE277"/>
      <c r="LF277"/>
      <c r="LG277"/>
      <c r="LH277"/>
      <c r="LI277"/>
      <c r="LJ277"/>
      <c r="LK277"/>
      <c r="LL277"/>
      <c r="LM277"/>
      <c r="LN277"/>
      <c r="LO277"/>
      <c r="LP277"/>
      <c r="LQ277"/>
      <c r="LR277"/>
      <c r="LS277"/>
      <c r="LT277"/>
      <c r="LU277"/>
      <c r="LV277"/>
      <c r="LW277"/>
      <c r="LX277"/>
      <c r="LY277"/>
      <c r="LZ277"/>
      <c r="MA277"/>
      <c r="MB277"/>
      <c r="MC277"/>
      <c r="MD277"/>
      <c r="ME277"/>
      <c r="MF277"/>
      <c r="MG277"/>
      <c r="MH277"/>
      <c r="MI277"/>
      <c r="MJ277"/>
      <c r="MK277"/>
      <c r="ML277"/>
      <c r="MM277"/>
      <c r="MN277"/>
      <c r="MO277"/>
      <c r="MP277"/>
      <c r="MQ277"/>
      <c r="MR277"/>
      <c r="MS277"/>
      <c r="MT277"/>
      <c r="MU277"/>
      <c r="MV277"/>
      <c r="MW277"/>
      <c r="MX277"/>
      <c r="MY277"/>
      <c r="MZ277"/>
      <c r="NA277"/>
      <c r="NB277"/>
      <c r="NC277"/>
      <c r="ND277"/>
      <c r="NE277"/>
      <c r="NF277"/>
      <c r="NG277"/>
      <c r="NH277"/>
      <c r="NI277"/>
      <c r="NJ277"/>
      <c r="NK277"/>
      <c r="NL277"/>
      <c r="NM277"/>
      <c r="NN277"/>
      <c r="NO277"/>
      <c r="NP277"/>
      <c r="NQ277"/>
      <c r="NR277"/>
      <c r="NS277"/>
      <c r="NT277"/>
      <c r="NU277"/>
      <c r="NV277"/>
      <c r="NW277"/>
      <c r="NX277"/>
      <c r="NY277"/>
      <c r="NZ277"/>
      <c r="OA277"/>
      <c r="OB277"/>
      <c r="OC277"/>
      <c r="OD277"/>
      <c r="OE277"/>
      <c r="OF277"/>
      <c r="OG277"/>
      <c r="OH277"/>
      <c r="OI277"/>
      <c r="OJ277"/>
      <c r="OK277"/>
      <c r="OL277"/>
      <c r="OM277"/>
      <c r="ON277"/>
      <c r="OO277"/>
      <c r="OP277"/>
      <c r="OQ277"/>
      <c r="OR277"/>
      <c r="OS277"/>
      <c r="OT277"/>
      <c r="OU277"/>
      <c r="OV277"/>
      <c r="OW277"/>
      <c r="OX277"/>
      <c r="OY277"/>
      <c r="OZ277"/>
      <c r="PA277"/>
      <c r="PB277"/>
      <c r="PC277"/>
      <c r="PD277"/>
      <c r="PE277"/>
      <c r="PF277"/>
      <c r="PG277"/>
      <c r="PH277"/>
      <c r="PI277"/>
      <c r="PJ277"/>
      <c r="PK277"/>
      <c r="PL277"/>
      <c r="PM277"/>
      <c r="PN277"/>
      <c r="PO277"/>
      <c r="PP277"/>
      <c r="PQ277"/>
      <c r="PR277"/>
      <c r="PS277"/>
      <c r="PT277"/>
      <c r="PU277"/>
      <c r="PV277"/>
      <c r="PW277"/>
      <c r="PX277"/>
      <c r="PY277"/>
      <c r="PZ277"/>
      <c r="QA277"/>
      <c r="QB277"/>
      <c r="QC277"/>
      <c r="QD277"/>
      <c r="QE277"/>
      <c r="QF277"/>
      <c r="QG277"/>
      <c r="QH277"/>
      <c r="QI277"/>
      <c r="QJ277"/>
      <c r="QK277"/>
      <c r="QL277"/>
      <c r="QM277"/>
      <c r="QN277"/>
      <c r="QO277"/>
      <c r="QP277"/>
      <c r="QQ277"/>
      <c r="QR277"/>
      <c r="QS277"/>
      <c r="QT277"/>
      <c r="QU277"/>
      <c r="QV277"/>
      <c r="QW277"/>
      <c r="QX277"/>
      <c r="QY277"/>
      <c r="QZ277"/>
      <c r="RA277"/>
      <c r="RB277"/>
      <c r="RC277"/>
      <c r="RD277"/>
      <c r="RE277"/>
      <c r="RF277"/>
      <c r="RG277"/>
      <c r="RH277"/>
      <c r="RI277"/>
      <c r="RJ277"/>
      <c r="RK277"/>
      <c r="RL277"/>
      <c r="RM277"/>
      <c r="RN277"/>
      <c r="RO277"/>
      <c r="RP277"/>
      <c r="RQ277"/>
      <c r="RR277"/>
      <c r="RS277"/>
    </row>
    <row r="278" spans="3:487" x14ac:dyDescent="0.25">
      <c r="C278" s="2" t="s">
        <v>3757</v>
      </c>
      <c r="D278" s="34">
        <v>0</v>
      </c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  <c r="BA278"/>
      <c r="BB278"/>
      <c r="BC278"/>
      <c r="BD278"/>
      <c r="BE278"/>
      <c r="BF278"/>
      <c r="BG278"/>
      <c r="BH278"/>
      <c r="BI278"/>
      <c r="BJ278"/>
      <c r="BK278"/>
      <c r="BL278"/>
      <c r="BM278"/>
      <c r="BN278"/>
      <c r="BO278"/>
      <c r="BP278"/>
      <c r="BQ278"/>
      <c r="BR278"/>
      <c r="BS278"/>
      <c r="BT278"/>
      <c r="BU278"/>
      <c r="BV278"/>
      <c r="BW278"/>
      <c r="BX278"/>
      <c r="BY278"/>
      <c r="BZ278"/>
      <c r="CA278"/>
      <c r="CB278"/>
      <c r="CC278"/>
      <c r="CD278"/>
      <c r="CE278"/>
      <c r="CF278"/>
      <c r="CG278"/>
      <c r="CH278"/>
      <c r="CI278"/>
      <c r="CJ278"/>
      <c r="CK278"/>
      <c r="CL278"/>
      <c r="CM278"/>
      <c r="CN278"/>
      <c r="CO278"/>
      <c r="CP278"/>
      <c r="CQ278"/>
      <c r="CR278"/>
      <c r="CS278"/>
      <c r="CT278"/>
      <c r="CU278"/>
      <c r="CV278"/>
      <c r="CW278"/>
      <c r="CX278"/>
      <c r="CY278"/>
      <c r="CZ278"/>
      <c r="DA278"/>
      <c r="DB278"/>
      <c r="DC278"/>
      <c r="DD278"/>
      <c r="DE278"/>
      <c r="DF278"/>
      <c r="DG278"/>
      <c r="DH278"/>
      <c r="DI278"/>
      <c r="DJ278"/>
      <c r="DK278"/>
      <c r="DL278"/>
      <c r="DM278"/>
      <c r="DN278"/>
      <c r="DO278"/>
      <c r="DP278"/>
      <c r="DQ278"/>
      <c r="DR278"/>
      <c r="DS278"/>
      <c r="DT278"/>
      <c r="DU278"/>
      <c r="DV278"/>
      <c r="DW278"/>
      <c r="DX278"/>
      <c r="DY278"/>
      <c r="DZ278"/>
      <c r="EA278"/>
      <c r="EB278"/>
      <c r="EC278"/>
      <c r="ED278"/>
      <c r="EE278"/>
      <c r="EF278"/>
      <c r="EG278"/>
      <c r="EH278"/>
      <c r="EI278"/>
      <c r="EJ278"/>
      <c r="EK278"/>
      <c r="EL278"/>
      <c r="EM278"/>
      <c r="EN278"/>
      <c r="EO278"/>
      <c r="EP278"/>
      <c r="EQ278"/>
      <c r="ER278"/>
      <c r="ES278"/>
      <c r="ET278"/>
      <c r="EU278"/>
      <c r="EV278"/>
      <c r="EW278"/>
      <c r="EX278"/>
      <c r="EY278"/>
      <c r="EZ278"/>
      <c r="FA278"/>
      <c r="FB278"/>
      <c r="FC278"/>
      <c r="FD278"/>
      <c r="FE278"/>
      <c r="FF278"/>
      <c r="FG278"/>
      <c r="FH278"/>
      <c r="FI278"/>
      <c r="FJ278"/>
      <c r="FK278"/>
      <c r="FL278"/>
      <c r="FM278"/>
      <c r="FN278"/>
      <c r="FO278"/>
      <c r="FP278"/>
      <c r="FQ278"/>
      <c r="FR278"/>
      <c r="FS278"/>
      <c r="FT278"/>
      <c r="FU278"/>
      <c r="FV278"/>
      <c r="FW278"/>
      <c r="FX278"/>
      <c r="FY278"/>
      <c r="FZ278"/>
      <c r="GA278"/>
      <c r="GB278"/>
      <c r="GC278"/>
      <c r="GD278"/>
      <c r="GE278"/>
      <c r="GF278"/>
      <c r="GG278"/>
      <c r="GH278"/>
      <c r="GI278"/>
      <c r="GJ278"/>
      <c r="GK278"/>
      <c r="GL278"/>
      <c r="GM278"/>
      <c r="GN278"/>
      <c r="GO278"/>
      <c r="GP278"/>
      <c r="GQ278"/>
      <c r="GR278"/>
      <c r="GS278"/>
      <c r="GT278"/>
      <c r="GU278"/>
      <c r="GV278"/>
      <c r="GW278"/>
      <c r="GX278"/>
      <c r="GY278"/>
      <c r="GZ278"/>
      <c r="HA278"/>
      <c r="HB278"/>
      <c r="HC278"/>
      <c r="HD278"/>
      <c r="HE278"/>
      <c r="HF278"/>
      <c r="HG278"/>
      <c r="HH278"/>
      <c r="HI278"/>
      <c r="HJ278"/>
      <c r="HK278"/>
      <c r="HL278"/>
      <c r="HM278"/>
      <c r="HN278"/>
      <c r="HO278"/>
      <c r="HP278"/>
      <c r="HQ278"/>
      <c r="HR278"/>
      <c r="HS278"/>
      <c r="HT278"/>
      <c r="HU278"/>
      <c r="HV278"/>
      <c r="HW278"/>
      <c r="HX278"/>
      <c r="HY278"/>
      <c r="HZ278"/>
      <c r="IA278"/>
      <c r="IB278"/>
      <c r="IC278"/>
      <c r="ID278"/>
      <c r="IE278"/>
      <c r="IF278"/>
      <c r="IG278"/>
      <c r="IH278"/>
      <c r="II278"/>
      <c r="IJ278"/>
      <c r="IK278"/>
      <c r="IL278"/>
      <c r="IM278"/>
      <c r="IN278"/>
      <c r="IO278"/>
      <c r="IP278"/>
      <c r="IQ278"/>
      <c r="IR278"/>
      <c r="IS278"/>
      <c r="IT278"/>
      <c r="IU278"/>
      <c r="IV278"/>
      <c r="IW278"/>
      <c r="IX278"/>
      <c r="IY278"/>
      <c r="IZ278"/>
      <c r="JA278"/>
      <c r="JB278"/>
      <c r="JC278"/>
      <c r="JD278"/>
      <c r="JE278"/>
      <c r="JF278"/>
      <c r="JG278"/>
      <c r="JH278"/>
      <c r="JI278"/>
      <c r="JJ278"/>
      <c r="JK278"/>
      <c r="JL278"/>
      <c r="JM278"/>
      <c r="JN278"/>
      <c r="JO278"/>
      <c r="JP278"/>
      <c r="JQ278"/>
      <c r="JR278"/>
      <c r="JS278"/>
      <c r="JT278"/>
      <c r="JU278"/>
      <c r="JV278"/>
      <c r="JW278"/>
      <c r="JX278"/>
      <c r="JY278"/>
      <c r="JZ278"/>
      <c r="KA278"/>
      <c r="KB278"/>
      <c r="KC278"/>
      <c r="KD278"/>
      <c r="KE278"/>
      <c r="KF278"/>
      <c r="KG278"/>
      <c r="KH278"/>
      <c r="KI278"/>
      <c r="KJ278"/>
      <c r="KK278"/>
      <c r="KL278"/>
      <c r="KM278"/>
      <c r="KN278"/>
      <c r="KO278"/>
      <c r="KP278"/>
      <c r="KQ278"/>
      <c r="KR278"/>
      <c r="KS278"/>
      <c r="KT278"/>
      <c r="KU278"/>
      <c r="KV278"/>
      <c r="KW278"/>
      <c r="KX278"/>
      <c r="KY278"/>
      <c r="KZ278"/>
      <c r="LA278"/>
      <c r="LB278"/>
      <c r="LC278"/>
      <c r="LD278"/>
      <c r="LE278"/>
      <c r="LF278"/>
      <c r="LG278"/>
      <c r="LH278"/>
      <c r="LI278"/>
      <c r="LJ278"/>
      <c r="LK278"/>
      <c r="LL278"/>
      <c r="LM278"/>
      <c r="LN278"/>
      <c r="LO278"/>
      <c r="LP278"/>
      <c r="LQ278"/>
      <c r="LR278"/>
      <c r="LS278"/>
      <c r="LT278"/>
      <c r="LU278"/>
      <c r="LV278"/>
      <c r="LW278"/>
      <c r="LX278"/>
      <c r="LY278"/>
      <c r="LZ278"/>
      <c r="MA278"/>
      <c r="MB278"/>
      <c r="MC278"/>
      <c r="MD278"/>
      <c r="ME278"/>
      <c r="MF278"/>
      <c r="MG278"/>
      <c r="MH278"/>
      <c r="MI278"/>
      <c r="MJ278"/>
      <c r="MK278"/>
      <c r="ML278"/>
      <c r="MM278"/>
      <c r="MN278"/>
      <c r="MO278"/>
      <c r="MP278"/>
      <c r="MQ278"/>
      <c r="MR278"/>
      <c r="MS278"/>
      <c r="MT278"/>
      <c r="MU278"/>
      <c r="MV278"/>
      <c r="MW278"/>
      <c r="MX278"/>
      <c r="MY278"/>
      <c r="MZ278"/>
      <c r="NA278"/>
      <c r="NB278"/>
      <c r="NC278"/>
      <c r="ND278"/>
      <c r="NE278"/>
      <c r="NF278"/>
      <c r="NG278"/>
      <c r="NH278"/>
      <c r="NI278"/>
      <c r="NJ278"/>
      <c r="NK278"/>
      <c r="NL278"/>
      <c r="NM278"/>
      <c r="NN278"/>
      <c r="NO278"/>
      <c r="NP278"/>
      <c r="NQ278"/>
      <c r="NR278"/>
      <c r="NS278"/>
      <c r="NT278"/>
      <c r="NU278"/>
      <c r="NV278"/>
      <c r="NW278"/>
      <c r="NX278"/>
      <c r="NY278"/>
      <c r="NZ278"/>
      <c r="OA278"/>
      <c r="OB278"/>
      <c r="OC278"/>
      <c r="OD278"/>
      <c r="OE278"/>
      <c r="OF278"/>
      <c r="OG278"/>
      <c r="OH278"/>
      <c r="OI278"/>
      <c r="OJ278"/>
      <c r="OK278"/>
      <c r="OL278"/>
      <c r="OM278"/>
      <c r="ON278"/>
      <c r="OO278"/>
      <c r="OP278"/>
      <c r="OQ278"/>
      <c r="OR278"/>
      <c r="OS278"/>
      <c r="OT278"/>
      <c r="OU278"/>
      <c r="OV278"/>
      <c r="OW278"/>
      <c r="OX278"/>
      <c r="OY278"/>
      <c r="OZ278"/>
      <c r="PA278"/>
      <c r="PB278"/>
      <c r="PC278"/>
      <c r="PD278"/>
      <c r="PE278"/>
      <c r="PF278"/>
      <c r="PG278"/>
      <c r="PH278"/>
      <c r="PI278"/>
      <c r="PJ278"/>
      <c r="PK278"/>
      <c r="PL278"/>
      <c r="PM278"/>
      <c r="PN278"/>
      <c r="PO278"/>
      <c r="PP278"/>
      <c r="PQ278"/>
      <c r="PR278"/>
      <c r="PS278"/>
      <c r="PT278"/>
      <c r="PU278"/>
      <c r="PV278"/>
      <c r="PW278"/>
      <c r="PX278"/>
      <c r="PY278"/>
      <c r="PZ278"/>
      <c r="QA278"/>
      <c r="QB278"/>
      <c r="QC278"/>
      <c r="QD278"/>
      <c r="QE278"/>
      <c r="QF278"/>
      <c r="QG278"/>
      <c r="QH278"/>
      <c r="QI278"/>
      <c r="QJ278"/>
      <c r="QK278"/>
      <c r="QL278"/>
      <c r="QM278"/>
      <c r="QN278"/>
      <c r="QO278"/>
      <c r="QP278"/>
      <c r="QQ278"/>
      <c r="QR278"/>
      <c r="QS278"/>
      <c r="QT278"/>
      <c r="QU278"/>
      <c r="QV278"/>
      <c r="QW278"/>
      <c r="QX278"/>
      <c r="QY278"/>
      <c r="QZ278"/>
      <c r="RA278"/>
      <c r="RB278"/>
      <c r="RC278"/>
      <c r="RD278"/>
      <c r="RE278"/>
      <c r="RF278"/>
      <c r="RG278"/>
      <c r="RH278"/>
      <c r="RI278"/>
      <c r="RJ278"/>
      <c r="RK278"/>
      <c r="RL278"/>
      <c r="RM278"/>
      <c r="RN278"/>
      <c r="RO278"/>
      <c r="RP278"/>
      <c r="RQ278"/>
      <c r="RR278"/>
      <c r="RS278"/>
    </row>
    <row r="279" spans="3:487" x14ac:dyDescent="0.25">
      <c r="C279" s="2" t="s">
        <v>3809</v>
      </c>
      <c r="D279" s="34">
        <v>0</v>
      </c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  <c r="BA279"/>
      <c r="BB279"/>
      <c r="BC279"/>
      <c r="BD279"/>
      <c r="BE279"/>
      <c r="BF279"/>
      <c r="BG279"/>
      <c r="BH279"/>
      <c r="BI279"/>
      <c r="BJ279"/>
      <c r="BK279"/>
      <c r="BL279"/>
      <c r="BM279"/>
      <c r="BN279"/>
      <c r="BO279"/>
      <c r="BP279"/>
      <c r="BQ279"/>
      <c r="BR279"/>
      <c r="BS279"/>
      <c r="BT279"/>
      <c r="BU279"/>
      <c r="BV279"/>
      <c r="BW279"/>
      <c r="BX279"/>
      <c r="BY279"/>
      <c r="BZ279"/>
      <c r="CA279"/>
      <c r="CB279"/>
      <c r="CC279"/>
      <c r="CD279"/>
      <c r="CE279"/>
      <c r="CF279"/>
      <c r="CG279"/>
      <c r="CH279"/>
      <c r="CI279"/>
      <c r="CJ279"/>
      <c r="CK279"/>
      <c r="CL279"/>
      <c r="CM279"/>
      <c r="CN279"/>
      <c r="CO279"/>
      <c r="CP279"/>
      <c r="CQ279"/>
      <c r="CR279"/>
      <c r="CS279"/>
      <c r="CT279"/>
      <c r="CU279"/>
      <c r="CV279"/>
      <c r="CW279"/>
      <c r="CX279"/>
      <c r="CY279"/>
      <c r="CZ279"/>
      <c r="DA279"/>
      <c r="DB279"/>
      <c r="DC279"/>
      <c r="DD279"/>
      <c r="DE279"/>
      <c r="DF279"/>
      <c r="DG279"/>
      <c r="DH279"/>
      <c r="DI279"/>
      <c r="DJ279"/>
      <c r="DK279"/>
      <c r="DL279"/>
      <c r="DM279"/>
      <c r="DN279"/>
      <c r="DO279"/>
      <c r="DP279"/>
      <c r="DQ279"/>
      <c r="DR279"/>
      <c r="DS279"/>
      <c r="DT279"/>
      <c r="DU279"/>
      <c r="DV279"/>
      <c r="DW279"/>
      <c r="DX279"/>
      <c r="DY279"/>
      <c r="DZ279"/>
      <c r="EA279"/>
      <c r="EB279"/>
      <c r="EC279"/>
      <c r="ED279"/>
      <c r="EE279"/>
      <c r="EF279"/>
      <c r="EG279"/>
      <c r="EH279"/>
      <c r="EI279"/>
      <c r="EJ279"/>
      <c r="EK279"/>
      <c r="EL279"/>
      <c r="EM279"/>
      <c r="EN279"/>
      <c r="EO279"/>
      <c r="EP279"/>
      <c r="EQ279"/>
      <c r="ER279"/>
      <c r="ES279"/>
      <c r="ET279"/>
      <c r="EU279"/>
      <c r="EV279"/>
      <c r="EW279"/>
      <c r="EX279"/>
      <c r="EY279"/>
      <c r="EZ279"/>
      <c r="FA279"/>
      <c r="FB279"/>
      <c r="FC279"/>
      <c r="FD279"/>
      <c r="FE279"/>
      <c r="FF279"/>
      <c r="FG279"/>
      <c r="FH279"/>
      <c r="FI279"/>
      <c r="FJ279"/>
      <c r="FK279"/>
      <c r="FL279"/>
      <c r="FM279"/>
      <c r="FN279"/>
      <c r="FO279"/>
      <c r="FP279"/>
      <c r="FQ279"/>
      <c r="FR279"/>
      <c r="FS279"/>
      <c r="FT279"/>
      <c r="FU279"/>
      <c r="FV279"/>
      <c r="FW279"/>
      <c r="FX279"/>
      <c r="FY279"/>
      <c r="FZ279"/>
      <c r="GA279"/>
      <c r="GB279"/>
      <c r="GC279"/>
      <c r="GD279"/>
      <c r="GE279"/>
      <c r="GF279"/>
      <c r="GG279"/>
      <c r="GH279"/>
      <c r="GI279"/>
      <c r="GJ279"/>
      <c r="GK279"/>
      <c r="GL279"/>
      <c r="GM279"/>
      <c r="GN279"/>
      <c r="GO279"/>
      <c r="GP279"/>
      <c r="GQ279"/>
      <c r="GR279"/>
      <c r="GS279"/>
      <c r="GT279"/>
      <c r="GU279"/>
      <c r="GV279"/>
      <c r="GW279"/>
      <c r="GX279"/>
      <c r="GY279"/>
      <c r="GZ279"/>
      <c r="HA279"/>
      <c r="HB279"/>
      <c r="HC279"/>
      <c r="HD279"/>
      <c r="HE279"/>
      <c r="HF279"/>
      <c r="HG279"/>
      <c r="HH279"/>
      <c r="HI279"/>
      <c r="HJ279"/>
      <c r="HK279"/>
      <c r="HL279"/>
      <c r="HM279"/>
      <c r="HN279"/>
      <c r="HO279"/>
      <c r="HP279"/>
      <c r="HQ279"/>
      <c r="HR279"/>
      <c r="HS279"/>
      <c r="HT279"/>
      <c r="HU279"/>
      <c r="HV279"/>
      <c r="HW279"/>
      <c r="HX279"/>
      <c r="HY279"/>
      <c r="HZ279"/>
      <c r="IA279"/>
      <c r="IB279"/>
      <c r="IC279"/>
      <c r="ID279"/>
      <c r="IE279"/>
      <c r="IF279"/>
      <c r="IG279"/>
      <c r="IH279"/>
      <c r="II279"/>
      <c r="IJ279"/>
      <c r="IK279"/>
      <c r="IL279"/>
      <c r="IM279"/>
      <c r="IN279"/>
      <c r="IO279"/>
      <c r="IP279"/>
      <c r="IQ279"/>
      <c r="IR279"/>
      <c r="IS279"/>
      <c r="IT279"/>
      <c r="IU279"/>
      <c r="IV279"/>
      <c r="IW279"/>
      <c r="IX279"/>
      <c r="IY279"/>
      <c r="IZ279"/>
      <c r="JA279"/>
      <c r="JB279"/>
      <c r="JC279"/>
      <c r="JD279"/>
      <c r="JE279"/>
      <c r="JF279"/>
      <c r="JG279"/>
      <c r="JH279"/>
      <c r="JI279"/>
      <c r="JJ279"/>
      <c r="JK279"/>
      <c r="JL279"/>
      <c r="JM279"/>
      <c r="JN279"/>
      <c r="JO279"/>
      <c r="JP279"/>
      <c r="JQ279"/>
      <c r="JR279"/>
      <c r="JS279"/>
      <c r="JT279"/>
      <c r="JU279"/>
      <c r="JV279"/>
      <c r="JW279"/>
      <c r="JX279"/>
      <c r="JY279"/>
      <c r="JZ279"/>
      <c r="KA279"/>
      <c r="KB279"/>
      <c r="KC279"/>
      <c r="KD279"/>
      <c r="KE279"/>
      <c r="KF279"/>
      <c r="KG279"/>
      <c r="KH279"/>
      <c r="KI279"/>
      <c r="KJ279"/>
      <c r="KK279"/>
      <c r="KL279"/>
      <c r="KM279"/>
      <c r="KN279"/>
      <c r="KO279"/>
      <c r="KP279"/>
      <c r="KQ279"/>
      <c r="KR279"/>
      <c r="KS279"/>
      <c r="KT279"/>
      <c r="KU279"/>
      <c r="KV279"/>
      <c r="KW279"/>
      <c r="KX279"/>
      <c r="KY279"/>
      <c r="KZ279"/>
      <c r="LA279"/>
      <c r="LB279"/>
      <c r="LC279"/>
      <c r="LD279"/>
      <c r="LE279"/>
      <c r="LF279"/>
      <c r="LG279"/>
      <c r="LH279"/>
      <c r="LI279"/>
      <c r="LJ279"/>
      <c r="LK279"/>
      <c r="LL279"/>
      <c r="LM279"/>
      <c r="LN279"/>
      <c r="LO279"/>
      <c r="LP279"/>
      <c r="LQ279"/>
      <c r="LR279"/>
      <c r="LS279"/>
      <c r="LT279"/>
      <c r="LU279"/>
      <c r="LV279"/>
      <c r="LW279"/>
      <c r="LX279"/>
      <c r="LY279"/>
      <c r="LZ279"/>
      <c r="MA279"/>
      <c r="MB279"/>
      <c r="MC279"/>
      <c r="MD279"/>
      <c r="ME279"/>
      <c r="MF279"/>
      <c r="MG279"/>
      <c r="MH279"/>
      <c r="MI279"/>
      <c r="MJ279"/>
      <c r="MK279"/>
      <c r="ML279"/>
      <c r="MM279"/>
      <c r="MN279"/>
      <c r="MO279"/>
      <c r="MP279"/>
      <c r="MQ279"/>
      <c r="MR279"/>
      <c r="MS279"/>
      <c r="MT279"/>
      <c r="MU279"/>
      <c r="MV279"/>
      <c r="MW279"/>
      <c r="MX279"/>
      <c r="MY279"/>
      <c r="MZ279"/>
      <c r="NA279"/>
      <c r="NB279"/>
      <c r="NC279"/>
      <c r="ND279"/>
      <c r="NE279"/>
      <c r="NF279"/>
      <c r="NG279"/>
      <c r="NH279"/>
      <c r="NI279"/>
      <c r="NJ279"/>
      <c r="NK279"/>
      <c r="NL279"/>
      <c r="NM279"/>
      <c r="NN279"/>
      <c r="NO279"/>
      <c r="NP279"/>
      <c r="NQ279"/>
      <c r="NR279"/>
      <c r="NS279"/>
      <c r="NT279"/>
      <c r="NU279"/>
      <c r="NV279"/>
      <c r="NW279"/>
      <c r="NX279"/>
      <c r="NY279"/>
      <c r="NZ279"/>
      <c r="OA279"/>
      <c r="OB279"/>
      <c r="OC279"/>
      <c r="OD279"/>
      <c r="OE279"/>
      <c r="OF279"/>
      <c r="OG279"/>
      <c r="OH279"/>
      <c r="OI279"/>
      <c r="OJ279"/>
      <c r="OK279"/>
      <c r="OL279"/>
      <c r="OM279"/>
      <c r="ON279"/>
      <c r="OO279"/>
      <c r="OP279"/>
      <c r="OQ279"/>
      <c r="OR279"/>
      <c r="OS279"/>
      <c r="OT279"/>
      <c r="OU279"/>
      <c r="OV279"/>
      <c r="OW279"/>
      <c r="OX279"/>
      <c r="OY279"/>
      <c r="OZ279"/>
      <c r="PA279"/>
      <c r="PB279"/>
      <c r="PC279"/>
      <c r="PD279"/>
      <c r="PE279"/>
      <c r="PF279"/>
      <c r="PG279"/>
      <c r="PH279"/>
      <c r="PI279"/>
      <c r="PJ279"/>
      <c r="PK279"/>
      <c r="PL279"/>
      <c r="PM279"/>
      <c r="PN279"/>
      <c r="PO279"/>
      <c r="PP279"/>
      <c r="PQ279"/>
      <c r="PR279"/>
      <c r="PS279"/>
      <c r="PT279"/>
      <c r="PU279"/>
      <c r="PV279"/>
      <c r="PW279"/>
      <c r="PX279"/>
      <c r="PY279"/>
      <c r="PZ279"/>
      <c r="QA279"/>
      <c r="QB279"/>
      <c r="QC279"/>
      <c r="QD279"/>
      <c r="QE279"/>
      <c r="QF279"/>
      <c r="QG279"/>
      <c r="QH279"/>
      <c r="QI279"/>
      <c r="QJ279"/>
      <c r="QK279"/>
      <c r="QL279"/>
      <c r="QM279"/>
      <c r="QN279"/>
      <c r="QO279"/>
      <c r="QP279"/>
      <c r="QQ279"/>
      <c r="QR279"/>
      <c r="QS279"/>
      <c r="QT279"/>
      <c r="QU279"/>
      <c r="QV279"/>
      <c r="QW279"/>
      <c r="QX279"/>
      <c r="QY279"/>
      <c r="QZ279"/>
      <c r="RA279"/>
      <c r="RB279"/>
      <c r="RC279"/>
      <c r="RD279"/>
      <c r="RE279"/>
      <c r="RF279"/>
      <c r="RG279"/>
      <c r="RH279"/>
      <c r="RI279"/>
      <c r="RJ279"/>
      <c r="RK279"/>
      <c r="RL279"/>
      <c r="RM279"/>
      <c r="RN279"/>
      <c r="RO279"/>
      <c r="RP279"/>
      <c r="RQ279"/>
      <c r="RR279"/>
      <c r="RS279"/>
    </row>
    <row r="280" spans="3:487" x14ac:dyDescent="0.25">
      <c r="C280" s="2" t="s">
        <v>3667</v>
      </c>
      <c r="D280" s="34">
        <v>0</v>
      </c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  <c r="BA280"/>
      <c r="BB280"/>
      <c r="BC280"/>
      <c r="BD280"/>
      <c r="BE280"/>
      <c r="BF280"/>
      <c r="BG280"/>
      <c r="BH280"/>
      <c r="BI280"/>
      <c r="BJ280"/>
      <c r="BK280"/>
      <c r="BL280"/>
      <c r="BM280"/>
      <c r="BN280"/>
      <c r="BO280"/>
      <c r="BP280"/>
      <c r="BQ280"/>
      <c r="BR280"/>
      <c r="BS280"/>
      <c r="BT280"/>
      <c r="BU280"/>
      <c r="BV280"/>
      <c r="BW280"/>
      <c r="BX280"/>
      <c r="BY280"/>
      <c r="BZ280"/>
      <c r="CA280"/>
      <c r="CB280"/>
      <c r="CC280"/>
      <c r="CD280"/>
      <c r="CE280"/>
      <c r="CF280"/>
      <c r="CG280"/>
      <c r="CH280"/>
      <c r="CI280"/>
      <c r="CJ280"/>
      <c r="CK280"/>
      <c r="CL280"/>
      <c r="CM280"/>
      <c r="CN280"/>
      <c r="CO280"/>
      <c r="CP280"/>
      <c r="CQ280"/>
      <c r="CR280"/>
      <c r="CS280"/>
      <c r="CT280"/>
      <c r="CU280"/>
      <c r="CV280"/>
      <c r="CW280"/>
      <c r="CX280"/>
      <c r="CY280"/>
      <c r="CZ280"/>
      <c r="DA280"/>
      <c r="DB280"/>
      <c r="DC280"/>
      <c r="DD280"/>
      <c r="DE280"/>
      <c r="DF280"/>
      <c r="DG280"/>
      <c r="DH280"/>
      <c r="DI280"/>
      <c r="DJ280"/>
      <c r="DK280"/>
      <c r="DL280"/>
      <c r="DM280"/>
      <c r="DN280"/>
      <c r="DO280"/>
      <c r="DP280"/>
      <c r="DQ280"/>
      <c r="DR280"/>
      <c r="DS280"/>
      <c r="DT280"/>
      <c r="DU280"/>
      <c r="DV280"/>
      <c r="DW280"/>
      <c r="DX280"/>
      <c r="DY280"/>
      <c r="DZ280"/>
      <c r="EA280"/>
      <c r="EB280"/>
      <c r="EC280"/>
      <c r="ED280"/>
      <c r="EE280"/>
      <c r="EF280"/>
      <c r="EG280"/>
      <c r="EH280"/>
      <c r="EI280"/>
      <c r="EJ280"/>
      <c r="EK280"/>
      <c r="EL280"/>
      <c r="EM280"/>
      <c r="EN280"/>
      <c r="EO280"/>
      <c r="EP280"/>
      <c r="EQ280"/>
      <c r="ER280"/>
      <c r="ES280"/>
      <c r="ET280"/>
      <c r="EU280"/>
      <c r="EV280"/>
      <c r="EW280"/>
      <c r="EX280"/>
      <c r="EY280"/>
      <c r="EZ280"/>
      <c r="FA280"/>
      <c r="FB280"/>
      <c r="FC280"/>
      <c r="FD280"/>
      <c r="FE280"/>
      <c r="FF280"/>
      <c r="FG280"/>
      <c r="FH280"/>
      <c r="FI280"/>
      <c r="FJ280"/>
      <c r="FK280"/>
      <c r="FL280"/>
      <c r="FM280"/>
      <c r="FN280"/>
      <c r="FO280"/>
      <c r="FP280"/>
      <c r="FQ280"/>
      <c r="FR280"/>
      <c r="FS280"/>
      <c r="FT280"/>
      <c r="FU280"/>
      <c r="FV280"/>
      <c r="FW280"/>
      <c r="FX280"/>
      <c r="FY280"/>
      <c r="FZ280"/>
      <c r="GA280"/>
      <c r="GB280"/>
      <c r="GC280"/>
      <c r="GD280"/>
      <c r="GE280"/>
      <c r="GF280"/>
      <c r="GG280"/>
      <c r="GH280"/>
      <c r="GI280"/>
      <c r="GJ280"/>
      <c r="GK280"/>
      <c r="GL280"/>
      <c r="GM280"/>
      <c r="GN280"/>
      <c r="GO280"/>
      <c r="GP280"/>
      <c r="GQ280"/>
      <c r="GR280"/>
      <c r="GS280"/>
      <c r="GT280"/>
      <c r="GU280"/>
      <c r="GV280"/>
      <c r="GW280"/>
      <c r="GX280"/>
      <c r="GY280"/>
      <c r="GZ280"/>
      <c r="HA280"/>
      <c r="HB280"/>
      <c r="HC280"/>
      <c r="HD280"/>
      <c r="HE280"/>
      <c r="HF280"/>
      <c r="HG280"/>
      <c r="HH280"/>
      <c r="HI280"/>
      <c r="HJ280"/>
      <c r="HK280"/>
      <c r="HL280"/>
      <c r="HM280"/>
      <c r="HN280"/>
      <c r="HO280"/>
      <c r="HP280"/>
      <c r="HQ280"/>
      <c r="HR280"/>
      <c r="HS280"/>
      <c r="HT280"/>
      <c r="HU280"/>
      <c r="HV280"/>
      <c r="HW280"/>
      <c r="HX280"/>
      <c r="HY280"/>
      <c r="HZ280"/>
      <c r="IA280"/>
      <c r="IB280"/>
      <c r="IC280"/>
      <c r="ID280"/>
      <c r="IE280"/>
      <c r="IF280"/>
      <c r="IG280"/>
      <c r="IH280"/>
      <c r="II280"/>
      <c r="IJ280"/>
      <c r="IK280"/>
      <c r="IL280"/>
      <c r="IM280"/>
      <c r="IN280"/>
      <c r="IO280"/>
      <c r="IP280"/>
      <c r="IQ280"/>
      <c r="IR280"/>
      <c r="IS280"/>
      <c r="IT280"/>
      <c r="IU280"/>
      <c r="IV280"/>
      <c r="IW280"/>
      <c r="IX280"/>
      <c r="IY280"/>
      <c r="IZ280"/>
      <c r="JA280"/>
      <c r="JB280"/>
      <c r="JC280"/>
      <c r="JD280"/>
      <c r="JE280"/>
      <c r="JF280"/>
      <c r="JG280"/>
      <c r="JH280"/>
      <c r="JI280"/>
      <c r="JJ280"/>
      <c r="JK280"/>
      <c r="JL280"/>
      <c r="JM280"/>
      <c r="JN280"/>
      <c r="JO280"/>
      <c r="JP280"/>
      <c r="JQ280"/>
      <c r="JR280"/>
      <c r="JS280"/>
      <c r="JT280"/>
      <c r="JU280"/>
      <c r="JV280"/>
      <c r="JW280"/>
      <c r="JX280"/>
      <c r="JY280"/>
      <c r="JZ280"/>
      <c r="KA280"/>
      <c r="KB280"/>
      <c r="KC280"/>
      <c r="KD280"/>
      <c r="KE280"/>
      <c r="KF280"/>
      <c r="KG280"/>
      <c r="KH280"/>
      <c r="KI280"/>
      <c r="KJ280"/>
      <c r="KK280"/>
      <c r="KL280"/>
      <c r="KM280"/>
      <c r="KN280"/>
      <c r="KO280"/>
      <c r="KP280"/>
      <c r="KQ280"/>
      <c r="KR280"/>
      <c r="KS280"/>
      <c r="KT280"/>
      <c r="KU280"/>
      <c r="KV280"/>
      <c r="KW280"/>
      <c r="KX280"/>
      <c r="KY280"/>
      <c r="KZ280"/>
      <c r="LA280"/>
      <c r="LB280"/>
      <c r="LC280"/>
      <c r="LD280"/>
      <c r="LE280"/>
      <c r="LF280"/>
      <c r="LG280"/>
      <c r="LH280"/>
      <c r="LI280"/>
      <c r="LJ280"/>
      <c r="LK280"/>
      <c r="LL280"/>
      <c r="LM280"/>
      <c r="LN280"/>
      <c r="LO280"/>
      <c r="LP280"/>
      <c r="LQ280"/>
      <c r="LR280"/>
      <c r="LS280"/>
      <c r="LT280"/>
      <c r="LU280"/>
      <c r="LV280"/>
      <c r="LW280"/>
      <c r="LX280"/>
      <c r="LY280"/>
      <c r="LZ280"/>
      <c r="MA280"/>
      <c r="MB280"/>
      <c r="MC280"/>
      <c r="MD280"/>
      <c r="ME280"/>
      <c r="MF280"/>
      <c r="MG280"/>
      <c r="MH280"/>
      <c r="MI280"/>
      <c r="MJ280"/>
      <c r="MK280"/>
      <c r="ML280"/>
      <c r="MM280"/>
      <c r="MN280"/>
      <c r="MO280"/>
      <c r="MP280"/>
      <c r="MQ280"/>
      <c r="MR280"/>
      <c r="MS280"/>
      <c r="MT280"/>
      <c r="MU280"/>
      <c r="MV280"/>
      <c r="MW280"/>
      <c r="MX280"/>
      <c r="MY280"/>
      <c r="MZ280"/>
      <c r="NA280"/>
      <c r="NB280"/>
      <c r="NC280"/>
      <c r="ND280"/>
      <c r="NE280"/>
      <c r="NF280"/>
      <c r="NG280"/>
      <c r="NH280"/>
      <c r="NI280"/>
      <c r="NJ280"/>
      <c r="NK280"/>
      <c r="NL280"/>
      <c r="NM280"/>
      <c r="NN280"/>
      <c r="NO280"/>
      <c r="NP280"/>
      <c r="NQ280"/>
      <c r="NR280"/>
      <c r="NS280"/>
      <c r="NT280"/>
      <c r="NU280"/>
      <c r="NV280"/>
      <c r="NW280"/>
      <c r="NX280"/>
      <c r="NY280"/>
      <c r="NZ280"/>
      <c r="OA280"/>
      <c r="OB280"/>
      <c r="OC280"/>
      <c r="OD280"/>
      <c r="OE280"/>
      <c r="OF280"/>
      <c r="OG280"/>
      <c r="OH280"/>
      <c r="OI280"/>
      <c r="OJ280"/>
      <c r="OK280"/>
      <c r="OL280"/>
      <c r="OM280"/>
      <c r="ON280"/>
      <c r="OO280"/>
      <c r="OP280"/>
      <c r="OQ280"/>
      <c r="OR280"/>
      <c r="OS280"/>
      <c r="OT280"/>
      <c r="OU280"/>
      <c r="OV280"/>
      <c r="OW280"/>
      <c r="OX280"/>
      <c r="OY280"/>
      <c r="OZ280"/>
      <c r="PA280"/>
      <c r="PB280"/>
      <c r="PC280"/>
      <c r="PD280"/>
      <c r="PE280"/>
      <c r="PF280"/>
      <c r="PG280"/>
      <c r="PH280"/>
      <c r="PI280"/>
      <c r="PJ280"/>
      <c r="PK280"/>
      <c r="PL280"/>
      <c r="PM280"/>
      <c r="PN280"/>
      <c r="PO280"/>
      <c r="PP280"/>
      <c r="PQ280"/>
      <c r="PR280"/>
      <c r="PS280"/>
      <c r="PT280"/>
      <c r="PU280"/>
      <c r="PV280"/>
      <c r="PW280"/>
      <c r="PX280"/>
      <c r="PY280"/>
      <c r="PZ280"/>
      <c r="QA280"/>
      <c r="QB280"/>
      <c r="QC280"/>
      <c r="QD280"/>
      <c r="QE280"/>
      <c r="QF280"/>
      <c r="QG280"/>
      <c r="QH280"/>
      <c r="QI280"/>
      <c r="QJ280"/>
      <c r="QK280"/>
      <c r="QL280"/>
      <c r="QM280"/>
      <c r="QN280"/>
      <c r="QO280"/>
      <c r="QP280"/>
      <c r="QQ280"/>
      <c r="QR280"/>
      <c r="QS280"/>
      <c r="QT280"/>
      <c r="QU280"/>
      <c r="QV280"/>
      <c r="QW280"/>
      <c r="QX280"/>
      <c r="QY280"/>
      <c r="QZ280"/>
      <c r="RA280"/>
      <c r="RB280"/>
      <c r="RC280"/>
      <c r="RD280"/>
      <c r="RE280"/>
      <c r="RF280"/>
      <c r="RG280"/>
      <c r="RH280"/>
      <c r="RI280"/>
      <c r="RJ280"/>
      <c r="RK280"/>
      <c r="RL280"/>
      <c r="RM280"/>
      <c r="RN280"/>
      <c r="RO280"/>
      <c r="RP280"/>
      <c r="RQ280"/>
      <c r="RR280"/>
      <c r="RS280"/>
    </row>
    <row r="281" spans="3:487" x14ac:dyDescent="0.25">
      <c r="C281" s="2" t="s">
        <v>3758</v>
      </c>
      <c r="D281" s="34">
        <v>0</v>
      </c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  <c r="BA281"/>
      <c r="BB281"/>
      <c r="BC281"/>
      <c r="BD281"/>
      <c r="BE281"/>
      <c r="BF281"/>
      <c r="BG281"/>
      <c r="BH281"/>
      <c r="BI281"/>
      <c r="BJ281"/>
      <c r="BK281"/>
      <c r="BL281"/>
      <c r="BM281"/>
      <c r="BN281"/>
      <c r="BO281"/>
      <c r="BP281"/>
      <c r="BQ281"/>
      <c r="BR281"/>
      <c r="BS281"/>
      <c r="BT281"/>
      <c r="BU281"/>
      <c r="BV281"/>
      <c r="BW281"/>
      <c r="BX281"/>
      <c r="BY281"/>
      <c r="BZ281"/>
      <c r="CA281"/>
      <c r="CB281"/>
      <c r="CC281"/>
      <c r="CD281"/>
      <c r="CE281"/>
      <c r="CF281"/>
      <c r="CG281"/>
      <c r="CH281"/>
      <c r="CI281"/>
      <c r="CJ281"/>
      <c r="CK281"/>
      <c r="CL281"/>
      <c r="CM281"/>
      <c r="CN281"/>
      <c r="CO281"/>
      <c r="CP281"/>
      <c r="CQ281"/>
      <c r="CR281"/>
      <c r="CS281"/>
      <c r="CT281"/>
      <c r="CU281"/>
      <c r="CV281"/>
      <c r="CW281"/>
      <c r="CX281"/>
      <c r="CY281"/>
      <c r="CZ281"/>
      <c r="DA281"/>
      <c r="DB281"/>
      <c r="DC281"/>
      <c r="DD281"/>
      <c r="DE281"/>
      <c r="DF281"/>
      <c r="DG281"/>
      <c r="DH281"/>
      <c r="DI281"/>
      <c r="DJ281"/>
      <c r="DK281"/>
      <c r="DL281"/>
      <c r="DM281"/>
      <c r="DN281"/>
      <c r="DO281"/>
      <c r="DP281"/>
      <c r="DQ281"/>
      <c r="DR281"/>
      <c r="DS281"/>
      <c r="DT281"/>
      <c r="DU281"/>
      <c r="DV281"/>
      <c r="DW281"/>
      <c r="DX281"/>
      <c r="DY281"/>
      <c r="DZ281"/>
      <c r="EA281"/>
      <c r="EB281"/>
      <c r="EC281"/>
      <c r="ED281"/>
      <c r="EE281"/>
      <c r="EF281"/>
      <c r="EG281"/>
      <c r="EH281"/>
      <c r="EI281"/>
      <c r="EJ281"/>
      <c r="EK281"/>
      <c r="EL281"/>
      <c r="EM281"/>
      <c r="EN281"/>
      <c r="EO281"/>
      <c r="EP281"/>
      <c r="EQ281"/>
      <c r="ER281"/>
      <c r="ES281"/>
      <c r="ET281"/>
      <c r="EU281"/>
      <c r="EV281"/>
      <c r="EW281"/>
      <c r="EX281"/>
      <c r="EY281"/>
      <c r="EZ281"/>
      <c r="FA281"/>
      <c r="FB281"/>
      <c r="FC281"/>
      <c r="FD281"/>
      <c r="FE281"/>
      <c r="FF281"/>
      <c r="FG281"/>
      <c r="FH281"/>
      <c r="FI281"/>
      <c r="FJ281"/>
      <c r="FK281"/>
      <c r="FL281"/>
      <c r="FM281"/>
      <c r="FN281"/>
      <c r="FO281"/>
      <c r="FP281"/>
      <c r="FQ281"/>
      <c r="FR281"/>
      <c r="FS281"/>
      <c r="FT281"/>
      <c r="FU281"/>
      <c r="FV281"/>
      <c r="FW281"/>
      <c r="FX281"/>
      <c r="FY281"/>
      <c r="FZ281"/>
      <c r="GA281"/>
      <c r="GB281"/>
      <c r="GC281"/>
      <c r="GD281"/>
      <c r="GE281"/>
      <c r="GF281"/>
      <c r="GG281"/>
      <c r="GH281"/>
      <c r="GI281"/>
      <c r="GJ281"/>
      <c r="GK281"/>
      <c r="GL281"/>
      <c r="GM281"/>
      <c r="GN281"/>
      <c r="GO281"/>
      <c r="GP281"/>
      <c r="GQ281"/>
      <c r="GR281"/>
      <c r="GS281"/>
      <c r="GT281"/>
      <c r="GU281"/>
      <c r="GV281"/>
      <c r="GW281"/>
      <c r="GX281"/>
      <c r="GY281"/>
      <c r="GZ281"/>
      <c r="HA281"/>
      <c r="HB281"/>
      <c r="HC281"/>
      <c r="HD281"/>
      <c r="HE281"/>
      <c r="HF281"/>
      <c r="HG281"/>
      <c r="HH281"/>
      <c r="HI281"/>
      <c r="HJ281"/>
      <c r="HK281"/>
      <c r="HL281"/>
      <c r="HM281"/>
      <c r="HN281"/>
      <c r="HO281"/>
      <c r="HP281"/>
      <c r="HQ281"/>
      <c r="HR281"/>
      <c r="HS281"/>
      <c r="HT281"/>
      <c r="HU281"/>
      <c r="HV281"/>
      <c r="HW281"/>
      <c r="HX281"/>
      <c r="HY281"/>
      <c r="HZ281"/>
      <c r="IA281"/>
      <c r="IB281"/>
      <c r="IC281"/>
      <c r="ID281"/>
      <c r="IE281"/>
      <c r="IF281"/>
      <c r="IG281"/>
      <c r="IH281"/>
      <c r="II281"/>
      <c r="IJ281"/>
      <c r="IK281"/>
      <c r="IL281"/>
      <c r="IM281"/>
      <c r="IN281"/>
      <c r="IO281"/>
      <c r="IP281"/>
      <c r="IQ281"/>
      <c r="IR281"/>
      <c r="IS281"/>
      <c r="IT281"/>
      <c r="IU281"/>
      <c r="IV281"/>
      <c r="IW281"/>
      <c r="IX281"/>
      <c r="IY281"/>
      <c r="IZ281"/>
      <c r="JA281"/>
      <c r="JB281"/>
      <c r="JC281"/>
      <c r="JD281"/>
      <c r="JE281"/>
      <c r="JF281"/>
      <c r="JG281"/>
      <c r="JH281"/>
      <c r="JI281"/>
      <c r="JJ281"/>
      <c r="JK281"/>
      <c r="JL281"/>
      <c r="JM281"/>
      <c r="JN281"/>
      <c r="JO281"/>
      <c r="JP281"/>
      <c r="JQ281"/>
      <c r="JR281"/>
      <c r="JS281"/>
      <c r="JT281"/>
      <c r="JU281"/>
      <c r="JV281"/>
      <c r="JW281"/>
      <c r="JX281"/>
      <c r="JY281"/>
      <c r="JZ281"/>
      <c r="KA281"/>
      <c r="KB281"/>
      <c r="KC281"/>
      <c r="KD281"/>
      <c r="KE281"/>
      <c r="KF281"/>
      <c r="KG281"/>
      <c r="KH281"/>
      <c r="KI281"/>
      <c r="KJ281"/>
      <c r="KK281"/>
      <c r="KL281"/>
      <c r="KM281"/>
      <c r="KN281"/>
      <c r="KO281"/>
      <c r="KP281"/>
      <c r="KQ281"/>
      <c r="KR281"/>
      <c r="KS281"/>
      <c r="KT281"/>
      <c r="KU281"/>
      <c r="KV281"/>
      <c r="KW281"/>
      <c r="KX281"/>
      <c r="KY281"/>
      <c r="KZ281"/>
      <c r="LA281"/>
      <c r="LB281"/>
      <c r="LC281"/>
      <c r="LD281"/>
      <c r="LE281"/>
      <c r="LF281"/>
      <c r="LG281"/>
      <c r="LH281"/>
      <c r="LI281"/>
      <c r="LJ281"/>
      <c r="LK281"/>
      <c r="LL281"/>
      <c r="LM281"/>
      <c r="LN281"/>
      <c r="LO281"/>
      <c r="LP281"/>
      <c r="LQ281"/>
      <c r="LR281"/>
      <c r="LS281"/>
      <c r="LT281"/>
      <c r="LU281"/>
      <c r="LV281"/>
      <c r="LW281"/>
      <c r="LX281"/>
      <c r="LY281"/>
      <c r="LZ281"/>
      <c r="MA281"/>
      <c r="MB281"/>
      <c r="MC281"/>
      <c r="MD281"/>
      <c r="ME281"/>
      <c r="MF281"/>
      <c r="MG281"/>
      <c r="MH281"/>
      <c r="MI281"/>
      <c r="MJ281"/>
      <c r="MK281"/>
      <c r="ML281"/>
      <c r="MM281"/>
      <c r="MN281"/>
      <c r="MO281"/>
      <c r="MP281"/>
      <c r="MQ281"/>
      <c r="MR281"/>
      <c r="MS281"/>
      <c r="MT281"/>
      <c r="MU281"/>
      <c r="MV281"/>
      <c r="MW281"/>
      <c r="MX281"/>
      <c r="MY281"/>
      <c r="MZ281"/>
      <c r="NA281"/>
      <c r="NB281"/>
      <c r="NC281"/>
      <c r="ND281"/>
      <c r="NE281"/>
      <c r="NF281"/>
      <c r="NG281"/>
      <c r="NH281"/>
      <c r="NI281"/>
      <c r="NJ281"/>
      <c r="NK281"/>
      <c r="NL281"/>
      <c r="NM281"/>
      <c r="NN281"/>
      <c r="NO281"/>
      <c r="NP281"/>
      <c r="NQ281"/>
      <c r="NR281"/>
      <c r="NS281"/>
      <c r="NT281"/>
      <c r="NU281"/>
      <c r="NV281"/>
      <c r="NW281"/>
      <c r="NX281"/>
      <c r="NY281"/>
      <c r="NZ281"/>
      <c r="OA281"/>
      <c r="OB281"/>
      <c r="OC281"/>
      <c r="OD281"/>
      <c r="OE281"/>
      <c r="OF281"/>
      <c r="OG281"/>
      <c r="OH281"/>
      <c r="OI281"/>
      <c r="OJ281"/>
      <c r="OK281"/>
      <c r="OL281"/>
      <c r="OM281"/>
      <c r="ON281"/>
      <c r="OO281"/>
      <c r="OP281"/>
      <c r="OQ281"/>
      <c r="OR281"/>
      <c r="OS281"/>
      <c r="OT281"/>
      <c r="OU281"/>
      <c r="OV281"/>
      <c r="OW281"/>
      <c r="OX281"/>
      <c r="OY281"/>
      <c r="OZ281"/>
      <c r="PA281"/>
      <c r="PB281"/>
      <c r="PC281"/>
      <c r="PD281"/>
      <c r="PE281"/>
      <c r="PF281"/>
      <c r="PG281"/>
      <c r="PH281"/>
      <c r="PI281"/>
      <c r="PJ281"/>
      <c r="PK281"/>
      <c r="PL281"/>
      <c r="PM281"/>
      <c r="PN281"/>
      <c r="PO281"/>
      <c r="PP281"/>
      <c r="PQ281"/>
      <c r="PR281"/>
      <c r="PS281"/>
      <c r="PT281"/>
      <c r="PU281"/>
      <c r="PV281"/>
      <c r="PW281"/>
      <c r="PX281"/>
      <c r="PY281"/>
      <c r="PZ281"/>
      <c r="QA281"/>
      <c r="QB281"/>
      <c r="QC281"/>
      <c r="QD281"/>
      <c r="QE281"/>
      <c r="QF281"/>
      <c r="QG281"/>
      <c r="QH281"/>
      <c r="QI281"/>
      <c r="QJ281"/>
      <c r="QK281"/>
      <c r="QL281"/>
      <c r="QM281"/>
      <c r="QN281"/>
      <c r="QO281"/>
      <c r="QP281"/>
      <c r="QQ281"/>
      <c r="QR281"/>
      <c r="QS281"/>
      <c r="QT281"/>
      <c r="QU281"/>
      <c r="QV281"/>
      <c r="QW281"/>
      <c r="QX281"/>
      <c r="QY281"/>
      <c r="QZ281"/>
      <c r="RA281"/>
      <c r="RB281"/>
      <c r="RC281"/>
      <c r="RD281"/>
      <c r="RE281"/>
      <c r="RF281"/>
      <c r="RG281"/>
      <c r="RH281"/>
      <c r="RI281"/>
      <c r="RJ281"/>
      <c r="RK281"/>
      <c r="RL281"/>
      <c r="RM281"/>
      <c r="RN281"/>
      <c r="RO281"/>
      <c r="RP281"/>
      <c r="RQ281"/>
      <c r="RR281"/>
      <c r="RS281"/>
    </row>
    <row r="282" spans="3:487" x14ac:dyDescent="0.25">
      <c r="C282" s="2" t="s">
        <v>3759</v>
      </c>
      <c r="D282" s="34">
        <v>0</v>
      </c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  <c r="BA282"/>
      <c r="BB282"/>
      <c r="BC282"/>
      <c r="BD282"/>
      <c r="BE282"/>
      <c r="BF282"/>
      <c r="BG282"/>
      <c r="BH282"/>
      <c r="BI282"/>
      <c r="BJ282"/>
      <c r="BK282"/>
      <c r="BL282"/>
      <c r="BM282"/>
      <c r="BN282"/>
      <c r="BO282"/>
      <c r="BP282"/>
      <c r="BQ282"/>
      <c r="BR282"/>
      <c r="BS282"/>
      <c r="BT282"/>
      <c r="BU282"/>
      <c r="BV282"/>
      <c r="BW282"/>
      <c r="BX282"/>
      <c r="BY282"/>
      <c r="BZ282"/>
      <c r="CA282"/>
      <c r="CB282"/>
      <c r="CC282"/>
      <c r="CD282"/>
      <c r="CE282"/>
      <c r="CF282"/>
      <c r="CG282"/>
      <c r="CH282"/>
      <c r="CI282"/>
      <c r="CJ282"/>
      <c r="CK282"/>
      <c r="CL282"/>
      <c r="CM282"/>
      <c r="CN282"/>
      <c r="CO282"/>
      <c r="CP282"/>
      <c r="CQ282"/>
      <c r="CR282"/>
      <c r="CS282"/>
      <c r="CT282"/>
      <c r="CU282"/>
      <c r="CV282"/>
      <c r="CW282"/>
      <c r="CX282"/>
      <c r="CY282"/>
      <c r="CZ282"/>
      <c r="DA282"/>
      <c r="DB282"/>
      <c r="DC282"/>
      <c r="DD282"/>
      <c r="DE282"/>
      <c r="DF282"/>
      <c r="DG282"/>
      <c r="DH282"/>
      <c r="DI282"/>
      <c r="DJ282"/>
      <c r="DK282"/>
      <c r="DL282"/>
      <c r="DM282"/>
      <c r="DN282"/>
      <c r="DO282"/>
      <c r="DP282"/>
      <c r="DQ282"/>
      <c r="DR282"/>
      <c r="DS282"/>
      <c r="DT282"/>
      <c r="DU282"/>
      <c r="DV282"/>
      <c r="DW282"/>
      <c r="DX282"/>
      <c r="DY282"/>
      <c r="DZ282"/>
      <c r="EA282"/>
      <c r="EB282"/>
      <c r="EC282"/>
      <c r="ED282"/>
      <c r="EE282"/>
      <c r="EF282"/>
      <c r="EG282"/>
      <c r="EH282"/>
      <c r="EI282"/>
      <c r="EJ282"/>
      <c r="EK282"/>
      <c r="EL282"/>
      <c r="EM282"/>
      <c r="EN282"/>
      <c r="EO282"/>
      <c r="EP282"/>
      <c r="EQ282"/>
      <c r="ER282"/>
      <c r="ES282"/>
      <c r="ET282"/>
      <c r="EU282"/>
      <c r="EV282"/>
      <c r="EW282"/>
      <c r="EX282"/>
      <c r="EY282"/>
      <c r="EZ282"/>
      <c r="FA282"/>
      <c r="FB282"/>
      <c r="FC282"/>
      <c r="FD282"/>
      <c r="FE282"/>
      <c r="FF282"/>
      <c r="FG282"/>
      <c r="FH282"/>
      <c r="FI282"/>
      <c r="FJ282"/>
      <c r="FK282"/>
      <c r="FL282"/>
      <c r="FM282"/>
      <c r="FN282"/>
      <c r="FO282"/>
      <c r="FP282"/>
      <c r="FQ282"/>
      <c r="FR282"/>
      <c r="FS282"/>
      <c r="FT282"/>
      <c r="FU282"/>
      <c r="FV282"/>
      <c r="FW282"/>
      <c r="FX282"/>
      <c r="FY282"/>
      <c r="FZ282"/>
      <c r="GA282"/>
      <c r="GB282"/>
      <c r="GC282"/>
      <c r="GD282"/>
      <c r="GE282"/>
      <c r="GF282"/>
      <c r="GG282"/>
      <c r="GH282"/>
      <c r="GI282"/>
      <c r="GJ282"/>
      <c r="GK282"/>
      <c r="GL282"/>
      <c r="GM282"/>
      <c r="GN282"/>
      <c r="GO282"/>
      <c r="GP282"/>
      <c r="GQ282"/>
      <c r="GR282"/>
      <c r="GS282"/>
      <c r="GT282"/>
      <c r="GU282"/>
      <c r="GV282"/>
      <c r="GW282"/>
      <c r="GX282"/>
      <c r="GY282"/>
      <c r="GZ282"/>
      <c r="HA282"/>
      <c r="HB282"/>
      <c r="HC282"/>
      <c r="HD282"/>
      <c r="HE282"/>
      <c r="HF282"/>
      <c r="HG282"/>
      <c r="HH282"/>
      <c r="HI282"/>
      <c r="HJ282"/>
      <c r="HK282"/>
      <c r="HL282"/>
      <c r="HM282"/>
      <c r="HN282"/>
      <c r="HO282"/>
      <c r="HP282"/>
      <c r="HQ282"/>
      <c r="HR282"/>
      <c r="HS282"/>
      <c r="HT282"/>
      <c r="HU282"/>
      <c r="HV282"/>
      <c r="HW282"/>
      <c r="HX282"/>
      <c r="HY282"/>
      <c r="HZ282"/>
      <c r="IA282"/>
      <c r="IB282"/>
      <c r="IC282"/>
      <c r="ID282"/>
      <c r="IE282"/>
      <c r="IF282"/>
      <c r="IG282"/>
      <c r="IH282"/>
      <c r="II282"/>
      <c r="IJ282"/>
      <c r="IK282"/>
      <c r="IL282"/>
      <c r="IM282"/>
      <c r="IN282"/>
      <c r="IO282"/>
      <c r="IP282"/>
      <c r="IQ282"/>
      <c r="IR282"/>
      <c r="IS282"/>
      <c r="IT282"/>
      <c r="IU282"/>
      <c r="IV282"/>
      <c r="IW282"/>
      <c r="IX282"/>
      <c r="IY282"/>
      <c r="IZ282"/>
      <c r="JA282"/>
      <c r="JB282"/>
      <c r="JC282"/>
      <c r="JD282"/>
      <c r="JE282"/>
      <c r="JF282"/>
      <c r="JG282"/>
      <c r="JH282"/>
      <c r="JI282"/>
      <c r="JJ282"/>
      <c r="JK282"/>
      <c r="JL282"/>
      <c r="JM282"/>
      <c r="JN282"/>
      <c r="JO282"/>
      <c r="JP282"/>
      <c r="JQ282"/>
      <c r="JR282"/>
      <c r="JS282"/>
      <c r="JT282"/>
      <c r="JU282"/>
      <c r="JV282"/>
      <c r="JW282"/>
      <c r="JX282"/>
      <c r="JY282"/>
      <c r="JZ282"/>
      <c r="KA282"/>
      <c r="KB282"/>
      <c r="KC282"/>
      <c r="KD282"/>
      <c r="KE282"/>
      <c r="KF282"/>
      <c r="KG282"/>
      <c r="KH282"/>
      <c r="KI282"/>
      <c r="KJ282"/>
      <c r="KK282"/>
      <c r="KL282"/>
      <c r="KM282"/>
      <c r="KN282"/>
      <c r="KO282"/>
      <c r="KP282"/>
      <c r="KQ282"/>
      <c r="KR282"/>
      <c r="KS282"/>
      <c r="KT282"/>
      <c r="KU282"/>
      <c r="KV282"/>
      <c r="KW282"/>
      <c r="KX282"/>
      <c r="KY282"/>
      <c r="KZ282"/>
      <c r="LA282"/>
      <c r="LB282"/>
      <c r="LC282"/>
      <c r="LD282"/>
      <c r="LE282"/>
      <c r="LF282"/>
      <c r="LG282"/>
      <c r="LH282"/>
      <c r="LI282"/>
      <c r="LJ282"/>
      <c r="LK282"/>
      <c r="LL282"/>
      <c r="LM282"/>
      <c r="LN282"/>
      <c r="LO282"/>
      <c r="LP282"/>
      <c r="LQ282"/>
      <c r="LR282"/>
      <c r="LS282"/>
      <c r="LT282"/>
      <c r="LU282"/>
      <c r="LV282"/>
      <c r="LW282"/>
      <c r="LX282"/>
      <c r="LY282"/>
      <c r="LZ282"/>
      <c r="MA282"/>
      <c r="MB282"/>
      <c r="MC282"/>
      <c r="MD282"/>
      <c r="ME282"/>
      <c r="MF282"/>
      <c r="MG282"/>
      <c r="MH282"/>
      <c r="MI282"/>
      <c r="MJ282"/>
      <c r="MK282"/>
      <c r="ML282"/>
      <c r="MM282"/>
      <c r="MN282"/>
      <c r="MO282"/>
      <c r="MP282"/>
      <c r="MQ282"/>
      <c r="MR282"/>
      <c r="MS282"/>
      <c r="MT282"/>
      <c r="MU282"/>
      <c r="MV282"/>
      <c r="MW282"/>
      <c r="MX282"/>
      <c r="MY282"/>
      <c r="MZ282"/>
      <c r="NA282"/>
      <c r="NB282"/>
      <c r="NC282"/>
      <c r="ND282"/>
      <c r="NE282"/>
      <c r="NF282"/>
      <c r="NG282"/>
      <c r="NH282"/>
      <c r="NI282"/>
      <c r="NJ282"/>
      <c r="NK282"/>
      <c r="NL282"/>
      <c r="NM282"/>
      <c r="NN282"/>
      <c r="NO282"/>
      <c r="NP282"/>
      <c r="NQ282"/>
      <c r="NR282"/>
      <c r="NS282"/>
      <c r="NT282"/>
      <c r="NU282"/>
      <c r="NV282"/>
      <c r="NW282"/>
      <c r="NX282"/>
      <c r="NY282"/>
      <c r="NZ282"/>
      <c r="OA282"/>
      <c r="OB282"/>
      <c r="OC282"/>
      <c r="OD282"/>
      <c r="OE282"/>
      <c r="OF282"/>
      <c r="OG282"/>
      <c r="OH282"/>
      <c r="OI282"/>
      <c r="OJ282"/>
      <c r="OK282"/>
      <c r="OL282"/>
      <c r="OM282"/>
      <c r="ON282"/>
      <c r="OO282"/>
      <c r="OP282"/>
      <c r="OQ282"/>
      <c r="OR282"/>
      <c r="OS282"/>
      <c r="OT282"/>
      <c r="OU282"/>
      <c r="OV282"/>
      <c r="OW282"/>
      <c r="OX282"/>
      <c r="OY282"/>
      <c r="OZ282"/>
      <c r="PA282"/>
      <c r="PB282"/>
      <c r="PC282"/>
      <c r="PD282"/>
      <c r="PE282"/>
      <c r="PF282"/>
      <c r="PG282"/>
      <c r="PH282"/>
      <c r="PI282"/>
      <c r="PJ282"/>
      <c r="PK282"/>
      <c r="PL282"/>
      <c r="PM282"/>
      <c r="PN282"/>
      <c r="PO282"/>
      <c r="PP282"/>
      <c r="PQ282"/>
      <c r="PR282"/>
      <c r="PS282"/>
      <c r="PT282"/>
      <c r="PU282"/>
      <c r="PV282"/>
      <c r="PW282"/>
      <c r="PX282"/>
      <c r="PY282"/>
      <c r="PZ282"/>
      <c r="QA282"/>
      <c r="QB282"/>
      <c r="QC282"/>
      <c r="QD282"/>
      <c r="QE282"/>
      <c r="QF282"/>
      <c r="QG282"/>
      <c r="QH282"/>
      <c r="QI282"/>
      <c r="QJ282"/>
      <c r="QK282"/>
      <c r="QL282"/>
      <c r="QM282"/>
      <c r="QN282"/>
      <c r="QO282"/>
      <c r="QP282"/>
      <c r="QQ282"/>
      <c r="QR282"/>
      <c r="QS282"/>
      <c r="QT282"/>
      <c r="QU282"/>
      <c r="QV282"/>
      <c r="QW282"/>
      <c r="QX282"/>
      <c r="QY282"/>
      <c r="QZ282"/>
      <c r="RA282"/>
      <c r="RB282"/>
      <c r="RC282"/>
      <c r="RD282"/>
      <c r="RE282"/>
      <c r="RF282"/>
      <c r="RG282"/>
      <c r="RH282"/>
      <c r="RI282"/>
      <c r="RJ282"/>
      <c r="RK282"/>
      <c r="RL282"/>
      <c r="RM282"/>
      <c r="RN282"/>
      <c r="RO282"/>
      <c r="RP282"/>
      <c r="RQ282"/>
      <c r="RR282"/>
      <c r="RS282"/>
    </row>
    <row r="283" spans="3:487" x14ac:dyDescent="0.25">
      <c r="C283" s="2" t="s">
        <v>3760</v>
      </c>
      <c r="D283" s="34">
        <v>0</v>
      </c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  <c r="BL283"/>
      <c r="BM283"/>
      <c r="BN283"/>
      <c r="BO283"/>
      <c r="BP283"/>
      <c r="BQ283"/>
      <c r="BR283"/>
      <c r="BS283"/>
      <c r="BT283"/>
      <c r="BU283"/>
      <c r="BV283"/>
      <c r="BW283"/>
      <c r="BX283"/>
      <c r="BY283"/>
      <c r="BZ283"/>
      <c r="CA283"/>
      <c r="CB283"/>
      <c r="CC283"/>
      <c r="CD283"/>
      <c r="CE283"/>
      <c r="CF283"/>
      <c r="CG283"/>
      <c r="CH283"/>
      <c r="CI283"/>
      <c r="CJ283"/>
      <c r="CK283"/>
      <c r="CL283"/>
      <c r="CM283"/>
      <c r="CN283"/>
      <c r="CO283"/>
      <c r="CP283"/>
      <c r="CQ283"/>
      <c r="CR283"/>
      <c r="CS283"/>
      <c r="CT283"/>
      <c r="CU283"/>
      <c r="CV283"/>
      <c r="CW283"/>
      <c r="CX283"/>
      <c r="CY283"/>
      <c r="CZ283"/>
      <c r="DA283"/>
      <c r="DB283"/>
      <c r="DC283"/>
      <c r="DD283"/>
      <c r="DE283"/>
      <c r="DF283"/>
      <c r="DG283"/>
      <c r="DH283"/>
      <c r="DI283"/>
      <c r="DJ283"/>
      <c r="DK283"/>
      <c r="DL283"/>
      <c r="DM283"/>
      <c r="DN283"/>
      <c r="DO283"/>
      <c r="DP283"/>
      <c r="DQ283"/>
      <c r="DR283"/>
      <c r="DS283"/>
      <c r="DT283"/>
      <c r="DU283"/>
      <c r="DV283"/>
      <c r="DW283"/>
      <c r="DX283"/>
      <c r="DY283"/>
      <c r="DZ283"/>
      <c r="EA283"/>
      <c r="EB283"/>
      <c r="EC283"/>
      <c r="ED283"/>
      <c r="EE283"/>
      <c r="EF283"/>
      <c r="EG283"/>
      <c r="EH283"/>
      <c r="EI283"/>
      <c r="EJ283"/>
      <c r="EK283"/>
      <c r="EL283"/>
      <c r="EM283"/>
      <c r="EN283"/>
      <c r="EO283"/>
      <c r="EP283"/>
      <c r="EQ283"/>
      <c r="ER283"/>
      <c r="ES283"/>
      <c r="ET283"/>
      <c r="EU283"/>
      <c r="EV283"/>
      <c r="EW283"/>
      <c r="EX283"/>
      <c r="EY283"/>
      <c r="EZ283"/>
      <c r="FA283"/>
      <c r="FB283"/>
      <c r="FC283"/>
      <c r="FD283"/>
      <c r="FE283"/>
      <c r="FF283"/>
      <c r="FG283"/>
      <c r="FH283"/>
      <c r="FI283"/>
      <c r="FJ283"/>
      <c r="FK283"/>
      <c r="FL283"/>
      <c r="FM283"/>
      <c r="FN283"/>
      <c r="FO283"/>
      <c r="FP283"/>
      <c r="FQ283"/>
      <c r="FR283"/>
      <c r="FS283"/>
      <c r="FT283"/>
      <c r="FU283"/>
      <c r="FV283"/>
      <c r="FW283"/>
      <c r="FX283"/>
      <c r="FY283"/>
      <c r="FZ283"/>
      <c r="GA283"/>
      <c r="GB283"/>
      <c r="GC283"/>
      <c r="GD283"/>
      <c r="GE283"/>
      <c r="GF283"/>
      <c r="GG283"/>
      <c r="GH283"/>
      <c r="GI283"/>
      <c r="GJ283"/>
      <c r="GK283"/>
      <c r="GL283"/>
      <c r="GM283"/>
      <c r="GN283"/>
      <c r="GO283"/>
      <c r="GP283"/>
      <c r="GQ283"/>
      <c r="GR283"/>
      <c r="GS283"/>
      <c r="GT283"/>
      <c r="GU283"/>
      <c r="GV283"/>
      <c r="GW283"/>
      <c r="GX283"/>
      <c r="GY283"/>
      <c r="GZ283"/>
      <c r="HA283"/>
      <c r="HB283"/>
      <c r="HC283"/>
      <c r="HD283"/>
      <c r="HE283"/>
      <c r="HF283"/>
      <c r="HG283"/>
      <c r="HH283"/>
      <c r="HI283"/>
      <c r="HJ283"/>
      <c r="HK283"/>
      <c r="HL283"/>
      <c r="HM283"/>
      <c r="HN283"/>
      <c r="HO283"/>
      <c r="HP283"/>
      <c r="HQ283"/>
      <c r="HR283"/>
      <c r="HS283"/>
      <c r="HT283"/>
      <c r="HU283"/>
      <c r="HV283"/>
      <c r="HW283"/>
      <c r="HX283"/>
      <c r="HY283"/>
      <c r="HZ283"/>
      <c r="IA283"/>
      <c r="IB283"/>
      <c r="IC283"/>
      <c r="ID283"/>
      <c r="IE283"/>
      <c r="IF283"/>
      <c r="IG283"/>
      <c r="IH283"/>
      <c r="II283"/>
      <c r="IJ283"/>
      <c r="IK283"/>
      <c r="IL283"/>
      <c r="IM283"/>
      <c r="IN283"/>
      <c r="IO283"/>
      <c r="IP283"/>
      <c r="IQ283"/>
      <c r="IR283"/>
      <c r="IS283"/>
      <c r="IT283"/>
      <c r="IU283"/>
      <c r="IV283"/>
      <c r="IW283"/>
      <c r="IX283"/>
      <c r="IY283"/>
      <c r="IZ283"/>
      <c r="JA283"/>
      <c r="JB283"/>
      <c r="JC283"/>
      <c r="JD283"/>
      <c r="JE283"/>
      <c r="JF283"/>
      <c r="JG283"/>
      <c r="JH283"/>
      <c r="JI283"/>
      <c r="JJ283"/>
      <c r="JK283"/>
      <c r="JL283"/>
      <c r="JM283"/>
      <c r="JN283"/>
      <c r="JO283"/>
      <c r="JP283"/>
      <c r="JQ283"/>
      <c r="JR283"/>
      <c r="JS283"/>
      <c r="JT283"/>
      <c r="JU283"/>
      <c r="JV283"/>
      <c r="JW283"/>
      <c r="JX283"/>
      <c r="JY283"/>
      <c r="JZ283"/>
      <c r="KA283"/>
      <c r="KB283"/>
      <c r="KC283"/>
      <c r="KD283"/>
      <c r="KE283"/>
      <c r="KF283"/>
      <c r="KG283"/>
      <c r="KH283"/>
      <c r="KI283"/>
      <c r="KJ283"/>
      <c r="KK283"/>
      <c r="KL283"/>
      <c r="KM283"/>
      <c r="KN283"/>
      <c r="KO283"/>
      <c r="KP283"/>
      <c r="KQ283"/>
      <c r="KR283"/>
      <c r="KS283"/>
      <c r="KT283"/>
      <c r="KU283"/>
      <c r="KV283"/>
      <c r="KW283"/>
      <c r="KX283"/>
      <c r="KY283"/>
      <c r="KZ283"/>
      <c r="LA283"/>
      <c r="LB283"/>
      <c r="LC283"/>
      <c r="LD283"/>
      <c r="LE283"/>
      <c r="LF283"/>
      <c r="LG283"/>
      <c r="LH283"/>
      <c r="LI283"/>
      <c r="LJ283"/>
      <c r="LK283"/>
      <c r="LL283"/>
      <c r="LM283"/>
      <c r="LN283"/>
      <c r="LO283"/>
      <c r="LP283"/>
      <c r="LQ283"/>
      <c r="LR283"/>
      <c r="LS283"/>
      <c r="LT283"/>
      <c r="LU283"/>
      <c r="LV283"/>
      <c r="LW283"/>
      <c r="LX283"/>
      <c r="LY283"/>
      <c r="LZ283"/>
      <c r="MA283"/>
      <c r="MB283"/>
      <c r="MC283"/>
      <c r="MD283"/>
      <c r="ME283"/>
      <c r="MF283"/>
      <c r="MG283"/>
      <c r="MH283"/>
      <c r="MI283"/>
      <c r="MJ283"/>
      <c r="MK283"/>
      <c r="ML283"/>
      <c r="MM283"/>
      <c r="MN283"/>
      <c r="MO283"/>
      <c r="MP283"/>
      <c r="MQ283"/>
      <c r="MR283"/>
      <c r="MS283"/>
      <c r="MT283"/>
      <c r="MU283"/>
      <c r="MV283"/>
      <c r="MW283"/>
      <c r="MX283"/>
      <c r="MY283"/>
      <c r="MZ283"/>
      <c r="NA283"/>
      <c r="NB283"/>
      <c r="NC283"/>
      <c r="ND283"/>
      <c r="NE283"/>
      <c r="NF283"/>
      <c r="NG283"/>
      <c r="NH283"/>
      <c r="NI283"/>
      <c r="NJ283"/>
      <c r="NK283"/>
      <c r="NL283"/>
      <c r="NM283"/>
      <c r="NN283"/>
      <c r="NO283"/>
      <c r="NP283"/>
      <c r="NQ283"/>
      <c r="NR283"/>
      <c r="NS283"/>
      <c r="NT283"/>
      <c r="NU283"/>
      <c r="NV283"/>
      <c r="NW283"/>
      <c r="NX283"/>
      <c r="NY283"/>
      <c r="NZ283"/>
      <c r="OA283"/>
      <c r="OB283"/>
      <c r="OC283"/>
      <c r="OD283"/>
      <c r="OE283"/>
      <c r="OF283"/>
      <c r="OG283"/>
      <c r="OH283"/>
      <c r="OI283"/>
      <c r="OJ283"/>
      <c r="OK283"/>
      <c r="OL283"/>
      <c r="OM283"/>
      <c r="ON283"/>
      <c r="OO283"/>
      <c r="OP283"/>
      <c r="OQ283"/>
      <c r="OR283"/>
      <c r="OS283"/>
      <c r="OT283"/>
      <c r="OU283"/>
      <c r="OV283"/>
      <c r="OW283"/>
      <c r="OX283"/>
      <c r="OY283"/>
      <c r="OZ283"/>
      <c r="PA283"/>
      <c r="PB283"/>
      <c r="PC283"/>
      <c r="PD283"/>
      <c r="PE283"/>
      <c r="PF283"/>
      <c r="PG283"/>
      <c r="PH283"/>
      <c r="PI283"/>
      <c r="PJ283"/>
      <c r="PK283"/>
      <c r="PL283"/>
      <c r="PM283"/>
      <c r="PN283"/>
      <c r="PO283"/>
      <c r="PP283"/>
      <c r="PQ283"/>
      <c r="PR283"/>
      <c r="PS283"/>
      <c r="PT283"/>
      <c r="PU283"/>
      <c r="PV283"/>
      <c r="PW283"/>
      <c r="PX283"/>
      <c r="PY283"/>
      <c r="PZ283"/>
      <c r="QA283"/>
      <c r="QB283"/>
      <c r="QC283"/>
      <c r="QD283"/>
      <c r="QE283"/>
      <c r="QF283"/>
      <c r="QG283"/>
      <c r="QH283"/>
      <c r="QI283"/>
      <c r="QJ283"/>
      <c r="QK283"/>
      <c r="QL283"/>
      <c r="QM283"/>
      <c r="QN283"/>
      <c r="QO283"/>
      <c r="QP283"/>
      <c r="QQ283"/>
      <c r="QR283"/>
      <c r="QS283"/>
      <c r="QT283"/>
      <c r="QU283"/>
      <c r="QV283"/>
      <c r="QW283"/>
      <c r="QX283"/>
      <c r="QY283"/>
      <c r="QZ283"/>
      <c r="RA283"/>
      <c r="RB283"/>
      <c r="RC283"/>
      <c r="RD283"/>
      <c r="RE283"/>
      <c r="RF283"/>
      <c r="RG283"/>
      <c r="RH283"/>
      <c r="RI283"/>
      <c r="RJ283"/>
      <c r="RK283"/>
      <c r="RL283"/>
      <c r="RM283"/>
      <c r="RN283"/>
      <c r="RO283"/>
      <c r="RP283"/>
      <c r="RQ283"/>
      <c r="RR283"/>
      <c r="RS283"/>
    </row>
    <row r="284" spans="3:487" x14ac:dyDescent="0.25">
      <c r="C284" s="2" t="s">
        <v>3769</v>
      </c>
      <c r="D284" s="34">
        <v>0</v>
      </c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  <c r="BA284"/>
      <c r="BB284"/>
      <c r="BC284"/>
      <c r="BD284"/>
      <c r="BE284"/>
      <c r="BF284"/>
      <c r="BG284"/>
      <c r="BH284"/>
      <c r="BI284"/>
      <c r="BJ284"/>
      <c r="BK284"/>
      <c r="BL284"/>
      <c r="BM284"/>
      <c r="BN284"/>
      <c r="BO284"/>
      <c r="BP284"/>
      <c r="BQ284"/>
      <c r="BR284"/>
      <c r="BS284"/>
      <c r="BT284"/>
      <c r="BU284"/>
      <c r="BV284"/>
      <c r="BW284"/>
      <c r="BX284"/>
      <c r="BY284"/>
      <c r="BZ284"/>
      <c r="CA284"/>
      <c r="CB284"/>
      <c r="CC284"/>
      <c r="CD284"/>
      <c r="CE284"/>
      <c r="CF284"/>
      <c r="CG284"/>
      <c r="CH284"/>
      <c r="CI284"/>
      <c r="CJ284"/>
      <c r="CK284"/>
      <c r="CL284"/>
      <c r="CM284"/>
      <c r="CN284"/>
      <c r="CO284"/>
      <c r="CP284"/>
      <c r="CQ284"/>
      <c r="CR284"/>
      <c r="CS284"/>
      <c r="CT284"/>
      <c r="CU284"/>
      <c r="CV284"/>
      <c r="CW284"/>
      <c r="CX284"/>
      <c r="CY284"/>
      <c r="CZ284"/>
      <c r="DA284"/>
      <c r="DB284"/>
      <c r="DC284"/>
      <c r="DD284"/>
      <c r="DE284"/>
      <c r="DF284"/>
      <c r="DG284"/>
      <c r="DH284"/>
      <c r="DI284"/>
      <c r="DJ284"/>
      <c r="DK284"/>
      <c r="DL284"/>
      <c r="DM284"/>
      <c r="DN284"/>
      <c r="DO284"/>
      <c r="DP284"/>
      <c r="DQ284"/>
      <c r="DR284"/>
      <c r="DS284"/>
      <c r="DT284"/>
      <c r="DU284"/>
      <c r="DV284"/>
      <c r="DW284"/>
      <c r="DX284"/>
      <c r="DY284"/>
      <c r="DZ284"/>
      <c r="EA284"/>
      <c r="EB284"/>
      <c r="EC284"/>
      <c r="ED284"/>
      <c r="EE284"/>
      <c r="EF284"/>
      <c r="EG284"/>
      <c r="EH284"/>
      <c r="EI284"/>
      <c r="EJ284"/>
      <c r="EK284"/>
      <c r="EL284"/>
      <c r="EM284"/>
      <c r="EN284"/>
      <c r="EO284"/>
      <c r="EP284"/>
      <c r="EQ284"/>
      <c r="ER284"/>
      <c r="ES284"/>
      <c r="ET284"/>
      <c r="EU284"/>
      <c r="EV284"/>
      <c r="EW284"/>
      <c r="EX284"/>
      <c r="EY284"/>
      <c r="EZ284"/>
      <c r="FA284"/>
      <c r="FB284"/>
      <c r="FC284"/>
      <c r="FD284"/>
      <c r="FE284"/>
      <c r="FF284"/>
      <c r="FG284"/>
      <c r="FH284"/>
      <c r="FI284"/>
      <c r="FJ284"/>
      <c r="FK284"/>
      <c r="FL284"/>
      <c r="FM284"/>
      <c r="FN284"/>
      <c r="FO284"/>
      <c r="FP284"/>
      <c r="FQ284"/>
      <c r="FR284"/>
      <c r="FS284"/>
      <c r="FT284"/>
      <c r="FU284"/>
      <c r="FV284"/>
      <c r="FW284"/>
      <c r="FX284"/>
      <c r="FY284"/>
      <c r="FZ284"/>
      <c r="GA284"/>
      <c r="GB284"/>
      <c r="GC284"/>
      <c r="GD284"/>
      <c r="GE284"/>
      <c r="GF284"/>
      <c r="GG284"/>
      <c r="GH284"/>
      <c r="GI284"/>
      <c r="GJ284"/>
      <c r="GK284"/>
      <c r="GL284"/>
      <c r="GM284"/>
      <c r="GN284"/>
      <c r="GO284"/>
      <c r="GP284"/>
      <c r="GQ284"/>
      <c r="GR284"/>
      <c r="GS284"/>
      <c r="GT284"/>
      <c r="GU284"/>
      <c r="GV284"/>
      <c r="GW284"/>
      <c r="GX284"/>
      <c r="GY284"/>
      <c r="GZ284"/>
      <c r="HA284"/>
      <c r="HB284"/>
      <c r="HC284"/>
      <c r="HD284"/>
      <c r="HE284"/>
      <c r="HF284"/>
      <c r="HG284"/>
      <c r="HH284"/>
      <c r="HI284"/>
      <c r="HJ284"/>
      <c r="HK284"/>
      <c r="HL284"/>
      <c r="HM284"/>
      <c r="HN284"/>
      <c r="HO284"/>
      <c r="HP284"/>
      <c r="HQ284"/>
      <c r="HR284"/>
      <c r="HS284"/>
      <c r="HT284"/>
      <c r="HU284"/>
      <c r="HV284"/>
      <c r="HW284"/>
      <c r="HX284"/>
      <c r="HY284"/>
      <c r="HZ284"/>
      <c r="IA284"/>
      <c r="IB284"/>
      <c r="IC284"/>
      <c r="ID284"/>
      <c r="IE284"/>
      <c r="IF284"/>
      <c r="IG284"/>
      <c r="IH284"/>
      <c r="II284"/>
      <c r="IJ284"/>
      <c r="IK284"/>
      <c r="IL284"/>
      <c r="IM284"/>
      <c r="IN284"/>
      <c r="IO284"/>
      <c r="IP284"/>
      <c r="IQ284"/>
      <c r="IR284"/>
      <c r="IS284"/>
      <c r="IT284"/>
      <c r="IU284"/>
      <c r="IV284"/>
      <c r="IW284"/>
      <c r="IX284"/>
      <c r="IY284"/>
      <c r="IZ284"/>
      <c r="JA284"/>
      <c r="JB284"/>
      <c r="JC284"/>
      <c r="JD284"/>
      <c r="JE284"/>
      <c r="JF284"/>
      <c r="JG284"/>
      <c r="JH284"/>
      <c r="JI284"/>
      <c r="JJ284"/>
      <c r="JK284"/>
      <c r="JL284"/>
      <c r="JM284"/>
      <c r="JN284"/>
      <c r="JO284"/>
      <c r="JP284"/>
      <c r="JQ284"/>
      <c r="JR284"/>
      <c r="JS284"/>
      <c r="JT284"/>
      <c r="JU284"/>
      <c r="JV284"/>
      <c r="JW284"/>
      <c r="JX284"/>
      <c r="JY284"/>
      <c r="JZ284"/>
      <c r="KA284"/>
      <c r="KB284"/>
      <c r="KC284"/>
      <c r="KD284"/>
      <c r="KE284"/>
      <c r="KF284"/>
      <c r="KG284"/>
      <c r="KH284"/>
      <c r="KI284"/>
      <c r="KJ284"/>
      <c r="KK284"/>
      <c r="KL284"/>
      <c r="KM284"/>
      <c r="KN284"/>
      <c r="KO284"/>
      <c r="KP284"/>
      <c r="KQ284"/>
      <c r="KR284"/>
      <c r="KS284"/>
      <c r="KT284"/>
      <c r="KU284"/>
      <c r="KV284"/>
      <c r="KW284"/>
      <c r="KX284"/>
      <c r="KY284"/>
      <c r="KZ284"/>
      <c r="LA284"/>
      <c r="LB284"/>
      <c r="LC284"/>
      <c r="LD284"/>
      <c r="LE284"/>
      <c r="LF284"/>
      <c r="LG284"/>
      <c r="LH284"/>
      <c r="LI284"/>
      <c r="LJ284"/>
      <c r="LK284"/>
      <c r="LL284"/>
      <c r="LM284"/>
      <c r="LN284"/>
      <c r="LO284"/>
      <c r="LP284"/>
      <c r="LQ284"/>
      <c r="LR284"/>
      <c r="LS284"/>
      <c r="LT284"/>
      <c r="LU284"/>
      <c r="LV284"/>
      <c r="LW284"/>
      <c r="LX284"/>
      <c r="LY284"/>
      <c r="LZ284"/>
      <c r="MA284"/>
      <c r="MB284"/>
      <c r="MC284"/>
      <c r="MD284"/>
      <c r="ME284"/>
      <c r="MF284"/>
      <c r="MG284"/>
      <c r="MH284"/>
      <c r="MI284"/>
      <c r="MJ284"/>
      <c r="MK284"/>
      <c r="ML284"/>
      <c r="MM284"/>
      <c r="MN284"/>
      <c r="MO284"/>
      <c r="MP284"/>
      <c r="MQ284"/>
      <c r="MR284"/>
      <c r="MS284"/>
      <c r="MT284"/>
      <c r="MU284"/>
      <c r="MV284"/>
      <c r="MW284"/>
      <c r="MX284"/>
      <c r="MY284"/>
      <c r="MZ284"/>
      <c r="NA284"/>
      <c r="NB284"/>
      <c r="NC284"/>
      <c r="ND284"/>
      <c r="NE284"/>
      <c r="NF284"/>
      <c r="NG284"/>
      <c r="NH284"/>
      <c r="NI284"/>
      <c r="NJ284"/>
      <c r="NK284"/>
      <c r="NL284"/>
      <c r="NM284"/>
      <c r="NN284"/>
      <c r="NO284"/>
      <c r="NP284"/>
      <c r="NQ284"/>
      <c r="NR284"/>
      <c r="NS284"/>
      <c r="NT284"/>
      <c r="NU284"/>
      <c r="NV284"/>
      <c r="NW284"/>
      <c r="NX284"/>
      <c r="NY284"/>
      <c r="NZ284"/>
      <c r="OA284"/>
      <c r="OB284"/>
      <c r="OC284"/>
      <c r="OD284"/>
      <c r="OE284"/>
      <c r="OF284"/>
      <c r="OG284"/>
      <c r="OH284"/>
      <c r="OI284"/>
      <c r="OJ284"/>
      <c r="OK284"/>
      <c r="OL284"/>
      <c r="OM284"/>
      <c r="ON284"/>
      <c r="OO284"/>
      <c r="OP284"/>
      <c r="OQ284"/>
      <c r="OR284"/>
      <c r="OS284"/>
      <c r="OT284"/>
      <c r="OU284"/>
      <c r="OV284"/>
      <c r="OW284"/>
      <c r="OX284"/>
      <c r="OY284"/>
      <c r="OZ284"/>
      <c r="PA284"/>
      <c r="PB284"/>
      <c r="PC284"/>
      <c r="PD284"/>
      <c r="PE284"/>
      <c r="PF284"/>
      <c r="PG284"/>
      <c r="PH284"/>
      <c r="PI284"/>
      <c r="PJ284"/>
      <c r="PK284"/>
      <c r="PL284"/>
      <c r="PM284"/>
      <c r="PN284"/>
      <c r="PO284"/>
      <c r="PP284"/>
      <c r="PQ284"/>
      <c r="PR284"/>
      <c r="PS284"/>
      <c r="PT284"/>
      <c r="PU284"/>
      <c r="PV284"/>
      <c r="PW284"/>
      <c r="PX284"/>
      <c r="PY284"/>
      <c r="PZ284"/>
      <c r="QA284"/>
      <c r="QB284"/>
      <c r="QC284"/>
      <c r="QD284"/>
      <c r="QE284"/>
      <c r="QF284"/>
      <c r="QG284"/>
      <c r="QH284"/>
      <c r="QI284"/>
      <c r="QJ284"/>
      <c r="QK284"/>
      <c r="QL284"/>
      <c r="QM284"/>
      <c r="QN284"/>
      <c r="QO284"/>
      <c r="QP284"/>
      <c r="QQ284"/>
      <c r="QR284"/>
      <c r="QS284"/>
      <c r="QT284"/>
      <c r="QU284"/>
      <c r="QV284"/>
      <c r="QW284"/>
      <c r="QX284"/>
      <c r="QY284"/>
      <c r="QZ284"/>
      <c r="RA284"/>
      <c r="RB284"/>
      <c r="RC284"/>
      <c r="RD284"/>
      <c r="RE284"/>
      <c r="RF284"/>
      <c r="RG284"/>
      <c r="RH284"/>
      <c r="RI284"/>
      <c r="RJ284"/>
      <c r="RK284"/>
      <c r="RL284"/>
      <c r="RM284"/>
      <c r="RN284"/>
      <c r="RO284"/>
      <c r="RP284"/>
      <c r="RQ284"/>
      <c r="RR284"/>
      <c r="RS284"/>
    </row>
    <row r="285" spans="3:487" x14ac:dyDescent="0.25">
      <c r="C285" s="2" t="s">
        <v>3834</v>
      </c>
      <c r="D285" s="34">
        <v>0</v>
      </c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  <c r="BA285"/>
      <c r="BB285"/>
      <c r="BC285"/>
      <c r="BD285"/>
      <c r="BE285"/>
      <c r="BF285"/>
      <c r="BG285"/>
      <c r="BH285"/>
      <c r="BI285"/>
      <c r="BJ285"/>
      <c r="BK285"/>
      <c r="BL285"/>
      <c r="BM285"/>
      <c r="BN285"/>
      <c r="BO285"/>
      <c r="BP285"/>
      <c r="BQ285"/>
      <c r="BR285"/>
      <c r="BS285"/>
      <c r="BT285"/>
      <c r="BU285"/>
      <c r="BV285"/>
      <c r="BW285"/>
      <c r="BX285"/>
      <c r="BY285"/>
      <c r="BZ285"/>
      <c r="CA285"/>
      <c r="CB285"/>
      <c r="CC285"/>
      <c r="CD285"/>
      <c r="CE285"/>
      <c r="CF285"/>
      <c r="CG285"/>
      <c r="CH285"/>
      <c r="CI285"/>
      <c r="CJ285"/>
      <c r="CK285"/>
      <c r="CL285"/>
      <c r="CM285"/>
      <c r="CN285"/>
      <c r="CO285"/>
      <c r="CP285"/>
      <c r="CQ285"/>
      <c r="CR285"/>
      <c r="CS285"/>
      <c r="CT285"/>
      <c r="CU285"/>
      <c r="CV285"/>
      <c r="CW285"/>
      <c r="CX285"/>
      <c r="CY285"/>
      <c r="CZ285"/>
      <c r="DA285"/>
      <c r="DB285"/>
      <c r="DC285"/>
      <c r="DD285"/>
      <c r="DE285"/>
      <c r="DF285"/>
      <c r="DG285"/>
      <c r="DH285"/>
      <c r="DI285"/>
      <c r="DJ285"/>
      <c r="DK285"/>
      <c r="DL285"/>
      <c r="DM285"/>
      <c r="DN285"/>
      <c r="DO285"/>
      <c r="DP285"/>
      <c r="DQ285"/>
      <c r="DR285"/>
      <c r="DS285"/>
      <c r="DT285"/>
      <c r="DU285"/>
      <c r="DV285"/>
      <c r="DW285"/>
      <c r="DX285"/>
      <c r="DY285"/>
      <c r="DZ285"/>
      <c r="EA285"/>
      <c r="EB285"/>
      <c r="EC285"/>
      <c r="ED285"/>
      <c r="EE285"/>
      <c r="EF285"/>
      <c r="EG285"/>
      <c r="EH285"/>
      <c r="EI285"/>
      <c r="EJ285"/>
      <c r="EK285"/>
      <c r="EL285"/>
      <c r="EM285"/>
      <c r="EN285"/>
      <c r="EO285"/>
      <c r="EP285"/>
      <c r="EQ285"/>
      <c r="ER285"/>
      <c r="ES285"/>
      <c r="ET285"/>
      <c r="EU285"/>
      <c r="EV285"/>
      <c r="EW285"/>
      <c r="EX285"/>
      <c r="EY285"/>
      <c r="EZ285"/>
      <c r="FA285"/>
      <c r="FB285"/>
      <c r="FC285"/>
      <c r="FD285"/>
      <c r="FE285"/>
      <c r="FF285"/>
      <c r="FG285"/>
      <c r="FH285"/>
      <c r="FI285"/>
      <c r="FJ285"/>
      <c r="FK285"/>
      <c r="FL285"/>
      <c r="FM285"/>
      <c r="FN285"/>
      <c r="FO285"/>
      <c r="FP285"/>
      <c r="FQ285"/>
      <c r="FR285"/>
      <c r="FS285"/>
      <c r="FT285"/>
      <c r="FU285"/>
      <c r="FV285"/>
      <c r="FW285"/>
      <c r="FX285"/>
      <c r="FY285"/>
      <c r="FZ285"/>
      <c r="GA285"/>
      <c r="GB285"/>
      <c r="GC285"/>
      <c r="GD285"/>
      <c r="GE285"/>
      <c r="GF285"/>
      <c r="GG285"/>
      <c r="GH285"/>
      <c r="GI285"/>
      <c r="GJ285"/>
      <c r="GK285"/>
      <c r="GL285"/>
      <c r="GM285"/>
      <c r="GN285"/>
      <c r="GO285"/>
      <c r="GP285"/>
      <c r="GQ285"/>
      <c r="GR285"/>
      <c r="GS285"/>
      <c r="GT285"/>
      <c r="GU285"/>
      <c r="GV285"/>
      <c r="GW285"/>
      <c r="GX285"/>
      <c r="GY285"/>
      <c r="GZ285"/>
      <c r="HA285"/>
      <c r="HB285"/>
      <c r="HC285"/>
      <c r="HD285"/>
      <c r="HE285"/>
      <c r="HF285"/>
      <c r="HG285"/>
      <c r="HH285"/>
      <c r="HI285"/>
      <c r="HJ285"/>
      <c r="HK285"/>
      <c r="HL285"/>
      <c r="HM285"/>
      <c r="HN285"/>
      <c r="HO285"/>
      <c r="HP285"/>
      <c r="HQ285"/>
      <c r="HR285"/>
      <c r="HS285"/>
      <c r="HT285"/>
      <c r="HU285"/>
      <c r="HV285"/>
      <c r="HW285"/>
      <c r="HX285"/>
      <c r="HY285"/>
      <c r="HZ285"/>
      <c r="IA285"/>
      <c r="IB285"/>
      <c r="IC285"/>
      <c r="ID285"/>
      <c r="IE285"/>
      <c r="IF285"/>
      <c r="IG285"/>
      <c r="IH285"/>
      <c r="II285"/>
      <c r="IJ285"/>
      <c r="IK285"/>
      <c r="IL285"/>
      <c r="IM285"/>
      <c r="IN285"/>
      <c r="IO285"/>
      <c r="IP285"/>
      <c r="IQ285"/>
      <c r="IR285"/>
      <c r="IS285"/>
      <c r="IT285"/>
      <c r="IU285"/>
      <c r="IV285"/>
      <c r="IW285"/>
      <c r="IX285"/>
      <c r="IY285"/>
      <c r="IZ285"/>
      <c r="JA285"/>
      <c r="JB285"/>
      <c r="JC285"/>
      <c r="JD285"/>
      <c r="JE285"/>
      <c r="JF285"/>
      <c r="JG285"/>
      <c r="JH285"/>
      <c r="JI285"/>
      <c r="JJ285"/>
      <c r="JK285"/>
      <c r="JL285"/>
      <c r="JM285"/>
      <c r="JN285"/>
      <c r="JO285"/>
      <c r="JP285"/>
      <c r="JQ285"/>
      <c r="JR285"/>
      <c r="JS285"/>
      <c r="JT285"/>
      <c r="JU285"/>
      <c r="JV285"/>
      <c r="JW285"/>
      <c r="JX285"/>
      <c r="JY285"/>
      <c r="JZ285"/>
      <c r="KA285"/>
      <c r="KB285"/>
      <c r="KC285"/>
      <c r="KD285"/>
      <c r="KE285"/>
      <c r="KF285"/>
      <c r="KG285"/>
      <c r="KH285"/>
      <c r="KI285"/>
      <c r="KJ285"/>
      <c r="KK285"/>
      <c r="KL285"/>
      <c r="KM285"/>
      <c r="KN285"/>
      <c r="KO285"/>
      <c r="KP285"/>
      <c r="KQ285"/>
      <c r="KR285"/>
      <c r="KS285"/>
      <c r="KT285"/>
      <c r="KU285"/>
      <c r="KV285"/>
      <c r="KW285"/>
      <c r="KX285"/>
      <c r="KY285"/>
      <c r="KZ285"/>
      <c r="LA285"/>
      <c r="LB285"/>
      <c r="LC285"/>
      <c r="LD285"/>
      <c r="LE285"/>
      <c r="LF285"/>
      <c r="LG285"/>
      <c r="LH285"/>
      <c r="LI285"/>
      <c r="LJ285"/>
      <c r="LK285"/>
      <c r="LL285"/>
      <c r="LM285"/>
      <c r="LN285"/>
      <c r="LO285"/>
      <c r="LP285"/>
      <c r="LQ285"/>
      <c r="LR285"/>
      <c r="LS285"/>
      <c r="LT285"/>
      <c r="LU285"/>
      <c r="LV285"/>
      <c r="LW285"/>
      <c r="LX285"/>
      <c r="LY285"/>
      <c r="LZ285"/>
      <c r="MA285"/>
      <c r="MB285"/>
      <c r="MC285"/>
      <c r="MD285"/>
      <c r="ME285"/>
      <c r="MF285"/>
      <c r="MG285"/>
      <c r="MH285"/>
      <c r="MI285"/>
      <c r="MJ285"/>
      <c r="MK285"/>
      <c r="ML285"/>
      <c r="MM285"/>
      <c r="MN285"/>
      <c r="MO285"/>
      <c r="MP285"/>
      <c r="MQ285"/>
      <c r="MR285"/>
      <c r="MS285"/>
      <c r="MT285"/>
      <c r="MU285"/>
      <c r="MV285"/>
      <c r="MW285"/>
      <c r="MX285"/>
      <c r="MY285"/>
      <c r="MZ285"/>
      <c r="NA285"/>
      <c r="NB285"/>
      <c r="NC285"/>
      <c r="ND285"/>
      <c r="NE285"/>
      <c r="NF285"/>
      <c r="NG285"/>
      <c r="NH285"/>
      <c r="NI285"/>
      <c r="NJ285"/>
      <c r="NK285"/>
      <c r="NL285"/>
      <c r="NM285"/>
      <c r="NN285"/>
      <c r="NO285"/>
      <c r="NP285"/>
      <c r="NQ285"/>
      <c r="NR285"/>
      <c r="NS285"/>
      <c r="NT285"/>
      <c r="NU285"/>
      <c r="NV285"/>
      <c r="NW285"/>
      <c r="NX285"/>
      <c r="NY285"/>
      <c r="NZ285"/>
      <c r="OA285"/>
      <c r="OB285"/>
      <c r="OC285"/>
      <c r="OD285"/>
      <c r="OE285"/>
      <c r="OF285"/>
      <c r="OG285"/>
      <c r="OH285"/>
      <c r="OI285"/>
      <c r="OJ285"/>
      <c r="OK285"/>
      <c r="OL285"/>
      <c r="OM285"/>
      <c r="ON285"/>
      <c r="OO285"/>
      <c r="OP285"/>
      <c r="OQ285"/>
      <c r="OR285"/>
      <c r="OS285"/>
      <c r="OT285"/>
      <c r="OU285"/>
      <c r="OV285"/>
      <c r="OW285"/>
      <c r="OX285"/>
      <c r="OY285"/>
      <c r="OZ285"/>
      <c r="PA285"/>
      <c r="PB285"/>
      <c r="PC285"/>
      <c r="PD285"/>
      <c r="PE285"/>
      <c r="PF285"/>
      <c r="PG285"/>
      <c r="PH285"/>
      <c r="PI285"/>
      <c r="PJ285"/>
      <c r="PK285"/>
      <c r="PL285"/>
      <c r="PM285"/>
      <c r="PN285"/>
      <c r="PO285"/>
      <c r="PP285"/>
      <c r="PQ285"/>
      <c r="PR285"/>
      <c r="PS285"/>
      <c r="PT285"/>
      <c r="PU285"/>
      <c r="PV285"/>
      <c r="PW285"/>
      <c r="PX285"/>
      <c r="PY285"/>
      <c r="PZ285"/>
      <c r="QA285"/>
      <c r="QB285"/>
      <c r="QC285"/>
      <c r="QD285"/>
      <c r="QE285"/>
      <c r="QF285"/>
      <c r="QG285"/>
      <c r="QH285"/>
      <c r="QI285"/>
      <c r="QJ285"/>
      <c r="QK285"/>
      <c r="QL285"/>
      <c r="QM285"/>
      <c r="QN285"/>
      <c r="QO285"/>
      <c r="QP285"/>
      <c r="QQ285"/>
      <c r="QR285"/>
      <c r="QS285"/>
      <c r="QT285"/>
      <c r="QU285"/>
      <c r="QV285"/>
      <c r="QW285"/>
      <c r="QX285"/>
      <c r="QY285"/>
      <c r="QZ285"/>
      <c r="RA285"/>
      <c r="RB285"/>
      <c r="RC285"/>
      <c r="RD285"/>
      <c r="RE285"/>
      <c r="RF285"/>
      <c r="RG285"/>
      <c r="RH285"/>
      <c r="RI285"/>
      <c r="RJ285"/>
      <c r="RK285"/>
      <c r="RL285"/>
      <c r="RM285"/>
      <c r="RN285"/>
      <c r="RO285"/>
      <c r="RP285"/>
      <c r="RQ285"/>
      <c r="RR285"/>
      <c r="RS285"/>
    </row>
    <row r="286" spans="3:487" x14ac:dyDescent="0.25">
      <c r="C286" s="2" t="s">
        <v>3770</v>
      </c>
      <c r="D286" s="34">
        <v>0</v>
      </c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  <c r="BA286"/>
      <c r="BB286"/>
      <c r="BC286"/>
      <c r="BD286"/>
      <c r="BE286"/>
      <c r="BF286"/>
      <c r="BG286"/>
      <c r="BH286"/>
      <c r="BI286"/>
      <c r="BJ286"/>
      <c r="BK286"/>
      <c r="BL286"/>
      <c r="BM286"/>
      <c r="BN286"/>
      <c r="BO286"/>
      <c r="BP286"/>
      <c r="BQ286"/>
      <c r="BR286"/>
      <c r="BS286"/>
      <c r="BT286"/>
      <c r="BU286"/>
      <c r="BV286"/>
      <c r="BW286"/>
      <c r="BX286"/>
      <c r="BY286"/>
      <c r="BZ286"/>
      <c r="CA286"/>
      <c r="CB286"/>
      <c r="CC286"/>
      <c r="CD286"/>
      <c r="CE286"/>
      <c r="CF286"/>
      <c r="CG286"/>
      <c r="CH286"/>
      <c r="CI286"/>
      <c r="CJ286"/>
      <c r="CK286"/>
      <c r="CL286"/>
      <c r="CM286"/>
      <c r="CN286"/>
      <c r="CO286"/>
      <c r="CP286"/>
      <c r="CQ286"/>
      <c r="CR286"/>
      <c r="CS286"/>
      <c r="CT286"/>
      <c r="CU286"/>
      <c r="CV286"/>
      <c r="CW286"/>
      <c r="CX286"/>
      <c r="CY286"/>
      <c r="CZ286"/>
      <c r="DA286"/>
      <c r="DB286"/>
      <c r="DC286"/>
      <c r="DD286"/>
      <c r="DE286"/>
      <c r="DF286"/>
      <c r="DG286"/>
      <c r="DH286"/>
      <c r="DI286"/>
      <c r="DJ286"/>
      <c r="DK286"/>
      <c r="DL286"/>
      <c r="DM286"/>
      <c r="DN286"/>
      <c r="DO286"/>
      <c r="DP286"/>
      <c r="DQ286"/>
      <c r="DR286"/>
      <c r="DS286"/>
      <c r="DT286"/>
      <c r="DU286"/>
      <c r="DV286"/>
      <c r="DW286"/>
      <c r="DX286"/>
      <c r="DY286"/>
      <c r="DZ286"/>
      <c r="EA286"/>
      <c r="EB286"/>
      <c r="EC286"/>
      <c r="ED286"/>
      <c r="EE286"/>
      <c r="EF286"/>
      <c r="EG286"/>
      <c r="EH286"/>
      <c r="EI286"/>
      <c r="EJ286"/>
      <c r="EK286"/>
      <c r="EL286"/>
      <c r="EM286"/>
      <c r="EN286"/>
      <c r="EO286"/>
      <c r="EP286"/>
      <c r="EQ286"/>
      <c r="ER286"/>
      <c r="ES286"/>
      <c r="ET286"/>
      <c r="EU286"/>
      <c r="EV286"/>
      <c r="EW286"/>
      <c r="EX286"/>
      <c r="EY286"/>
      <c r="EZ286"/>
      <c r="FA286"/>
      <c r="FB286"/>
      <c r="FC286"/>
      <c r="FD286"/>
      <c r="FE286"/>
      <c r="FF286"/>
      <c r="FG286"/>
      <c r="FH286"/>
      <c r="FI286"/>
      <c r="FJ286"/>
      <c r="FK286"/>
      <c r="FL286"/>
      <c r="FM286"/>
      <c r="FN286"/>
      <c r="FO286"/>
      <c r="FP286"/>
      <c r="FQ286"/>
      <c r="FR286"/>
      <c r="FS286"/>
      <c r="FT286"/>
      <c r="FU286"/>
      <c r="FV286"/>
      <c r="FW286"/>
      <c r="FX286"/>
      <c r="FY286"/>
      <c r="FZ286"/>
      <c r="GA286"/>
      <c r="GB286"/>
      <c r="GC286"/>
      <c r="GD286"/>
      <c r="GE286"/>
      <c r="GF286"/>
      <c r="GG286"/>
      <c r="GH286"/>
      <c r="GI286"/>
      <c r="GJ286"/>
      <c r="GK286"/>
      <c r="GL286"/>
      <c r="GM286"/>
      <c r="GN286"/>
      <c r="GO286"/>
      <c r="GP286"/>
      <c r="GQ286"/>
      <c r="GR286"/>
      <c r="GS286"/>
      <c r="GT286"/>
      <c r="GU286"/>
      <c r="GV286"/>
      <c r="GW286"/>
      <c r="GX286"/>
      <c r="GY286"/>
      <c r="GZ286"/>
      <c r="HA286"/>
      <c r="HB286"/>
      <c r="HC286"/>
      <c r="HD286"/>
      <c r="HE286"/>
      <c r="HF286"/>
      <c r="HG286"/>
      <c r="HH286"/>
      <c r="HI286"/>
      <c r="HJ286"/>
      <c r="HK286"/>
      <c r="HL286"/>
      <c r="HM286"/>
      <c r="HN286"/>
      <c r="HO286"/>
      <c r="HP286"/>
      <c r="HQ286"/>
      <c r="HR286"/>
      <c r="HS286"/>
      <c r="HT286"/>
      <c r="HU286"/>
      <c r="HV286"/>
      <c r="HW286"/>
      <c r="HX286"/>
      <c r="HY286"/>
      <c r="HZ286"/>
      <c r="IA286"/>
      <c r="IB286"/>
      <c r="IC286"/>
      <c r="ID286"/>
      <c r="IE286"/>
      <c r="IF286"/>
      <c r="IG286"/>
      <c r="IH286"/>
      <c r="II286"/>
      <c r="IJ286"/>
      <c r="IK286"/>
      <c r="IL286"/>
      <c r="IM286"/>
      <c r="IN286"/>
      <c r="IO286"/>
      <c r="IP286"/>
      <c r="IQ286"/>
      <c r="IR286"/>
      <c r="IS286"/>
      <c r="IT286"/>
      <c r="IU286"/>
      <c r="IV286"/>
      <c r="IW286"/>
      <c r="IX286"/>
      <c r="IY286"/>
      <c r="IZ286"/>
      <c r="JA286"/>
      <c r="JB286"/>
      <c r="JC286"/>
      <c r="JD286"/>
      <c r="JE286"/>
      <c r="JF286"/>
      <c r="JG286"/>
      <c r="JH286"/>
      <c r="JI286"/>
      <c r="JJ286"/>
      <c r="JK286"/>
      <c r="JL286"/>
      <c r="JM286"/>
      <c r="JN286"/>
      <c r="JO286"/>
      <c r="JP286"/>
      <c r="JQ286"/>
      <c r="JR286"/>
      <c r="JS286"/>
      <c r="JT286"/>
      <c r="JU286"/>
      <c r="JV286"/>
      <c r="JW286"/>
      <c r="JX286"/>
      <c r="JY286"/>
      <c r="JZ286"/>
      <c r="KA286"/>
      <c r="KB286"/>
      <c r="KC286"/>
      <c r="KD286"/>
      <c r="KE286"/>
      <c r="KF286"/>
      <c r="KG286"/>
      <c r="KH286"/>
      <c r="KI286"/>
      <c r="KJ286"/>
      <c r="KK286"/>
      <c r="KL286"/>
      <c r="KM286"/>
      <c r="KN286"/>
      <c r="KO286"/>
      <c r="KP286"/>
      <c r="KQ286"/>
      <c r="KR286"/>
      <c r="KS286"/>
      <c r="KT286"/>
      <c r="KU286"/>
      <c r="KV286"/>
      <c r="KW286"/>
      <c r="KX286"/>
      <c r="KY286"/>
      <c r="KZ286"/>
      <c r="LA286"/>
      <c r="LB286"/>
      <c r="LC286"/>
      <c r="LD286"/>
      <c r="LE286"/>
      <c r="LF286"/>
      <c r="LG286"/>
      <c r="LH286"/>
      <c r="LI286"/>
      <c r="LJ286"/>
      <c r="LK286"/>
      <c r="LL286"/>
      <c r="LM286"/>
      <c r="LN286"/>
      <c r="LO286"/>
      <c r="LP286"/>
      <c r="LQ286"/>
      <c r="LR286"/>
      <c r="LS286"/>
      <c r="LT286"/>
      <c r="LU286"/>
      <c r="LV286"/>
      <c r="LW286"/>
      <c r="LX286"/>
      <c r="LY286"/>
      <c r="LZ286"/>
      <c r="MA286"/>
      <c r="MB286"/>
      <c r="MC286"/>
      <c r="MD286"/>
      <c r="ME286"/>
      <c r="MF286"/>
      <c r="MG286"/>
      <c r="MH286"/>
      <c r="MI286"/>
      <c r="MJ286"/>
      <c r="MK286"/>
      <c r="ML286"/>
      <c r="MM286"/>
      <c r="MN286"/>
      <c r="MO286"/>
      <c r="MP286"/>
      <c r="MQ286"/>
      <c r="MR286"/>
      <c r="MS286"/>
      <c r="MT286"/>
      <c r="MU286"/>
      <c r="MV286"/>
      <c r="MW286"/>
      <c r="MX286"/>
      <c r="MY286"/>
      <c r="MZ286"/>
      <c r="NA286"/>
      <c r="NB286"/>
      <c r="NC286"/>
      <c r="ND286"/>
      <c r="NE286"/>
      <c r="NF286"/>
      <c r="NG286"/>
      <c r="NH286"/>
      <c r="NI286"/>
      <c r="NJ286"/>
      <c r="NK286"/>
      <c r="NL286"/>
      <c r="NM286"/>
      <c r="NN286"/>
      <c r="NO286"/>
      <c r="NP286"/>
      <c r="NQ286"/>
      <c r="NR286"/>
      <c r="NS286"/>
      <c r="NT286"/>
      <c r="NU286"/>
      <c r="NV286"/>
      <c r="NW286"/>
      <c r="NX286"/>
      <c r="NY286"/>
      <c r="NZ286"/>
      <c r="OA286"/>
      <c r="OB286"/>
      <c r="OC286"/>
      <c r="OD286"/>
      <c r="OE286"/>
      <c r="OF286"/>
      <c r="OG286"/>
      <c r="OH286"/>
      <c r="OI286"/>
      <c r="OJ286"/>
      <c r="OK286"/>
      <c r="OL286"/>
      <c r="OM286"/>
      <c r="ON286"/>
      <c r="OO286"/>
      <c r="OP286"/>
      <c r="OQ286"/>
      <c r="OR286"/>
      <c r="OS286"/>
      <c r="OT286"/>
      <c r="OU286"/>
      <c r="OV286"/>
      <c r="OW286"/>
      <c r="OX286"/>
      <c r="OY286"/>
      <c r="OZ286"/>
      <c r="PA286"/>
      <c r="PB286"/>
      <c r="PC286"/>
      <c r="PD286"/>
      <c r="PE286"/>
      <c r="PF286"/>
      <c r="PG286"/>
      <c r="PH286"/>
      <c r="PI286"/>
      <c r="PJ286"/>
      <c r="PK286"/>
      <c r="PL286"/>
      <c r="PM286"/>
      <c r="PN286"/>
      <c r="PO286"/>
      <c r="PP286"/>
      <c r="PQ286"/>
      <c r="PR286"/>
      <c r="PS286"/>
      <c r="PT286"/>
      <c r="PU286"/>
      <c r="PV286"/>
      <c r="PW286"/>
      <c r="PX286"/>
      <c r="PY286"/>
      <c r="PZ286"/>
      <c r="QA286"/>
      <c r="QB286"/>
      <c r="QC286"/>
      <c r="QD286"/>
      <c r="QE286"/>
      <c r="QF286"/>
      <c r="QG286"/>
      <c r="QH286"/>
      <c r="QI286"/>
      <c r="QJ286"/>
      <c r="QK286"/>
      <c r="QL286"/>
      <c r="QM286"/>
      <c r="QN286"/>
      <c r="QO286"/>
      <c r="QP286"/>
      <c r="QQ286"/>
      <c r="QR286"/>
      <c r="QS286"/>
      <c r="QT286"/>
      <c r="QU286"/>
      <c r="QV286"/>
      <c r="QW286"/>
      <c r="QX286"/>
      <c r="QY286"/>
      <c r="QZ286"/>
      <c r="RA286"/>
      <c r="RB286"/>
      <c r="RC286"/>
      <c r="RD286"/>
      <c r="RE286"/>
      <c r="RF286"/>
      <c r="RG286"/>
      <c r="RH286"/>
      <c r="RI286"/>
      <c r="RJ286"/>
      <c r="RK286"/>
      <c r="RL286"/>
      <c r="RM286"/>
      <c r="RN286"/>
      <c r="RO286"/>
      <c r="RP286"/>
      <c r="RQ286"/>
      <c r="RR286"/>
      <c r="RS286"/>
    </row>
    <row r="287" spans="3:487" x14ac:dyDescent="0.25">
      <c r="C287" s="2" t="s">
        <v>3661</v>
      </c>
      <c r="D287" s="34">
        <v>0</v>
      </c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  <c r="BA287"/>
      <c r="BB287"/>
      <c r="BC287"/>
      <c r="BD287"/>
      <c r="BE287"/>
      <c r="BF287"/>
      <c r="BG287"/>
      <c r="BH287"/>
      <c r="BI287"/>
      <c r="BJ287"/>
      <c r="BK287"/>
      <c r="BL287"/>
      <c r="BM287"/>
      <c r="BN287"/>
      <c r="BO287"/>
      <c r="BP287"/>
      <c r="BQ287"/>
      <c r="BR287"/>
      <c r="BS287"/>
      <c r="BT287"/>
      <c r="BU287"/>
      <c r="BV287"/>
      <c r="BW287"/>
      <c r="BX287"/>
      <c r="BY287"/>
      <c r="BZ287"/>
      <c r="CA287"/>
      <c r="CB287"/>
      <c r="CC287"/>
      <c r="CD287"/>
      <c r="CE287"/>
      <c r="CF287"/>
      <c r="CG287"/>
      <c r="CH287"/>
      <c r="CI287"/>
      <c r="CJ287"/>
      <c r="CK287"/>
      <c r="CL287"/>
      <c r="CM287"/>
      <c r="CN287"/>
      <c r="CO287"/>
      <c r="CP287"/>
      <c r="CQ287"/>
      <c r="CR287"/>
      <c r="CS287"/>
      <c r="CT287"/>
      <c r="CU287"/>
      <c r="CV287"/>
      <c r="CW287"/>
      <c r="CX287"/>
      <c r="CY287"/>
      <c r="CZ287"/>
      <c r="DA287"/>
      <c r="DB287"/>
      <c r="DC287"/>
      <c r="DD287"/>
      <c r="DE287"/>
      <c r="DF287"/>
      <c r="DG287"/>
      <c r="DH287"/>
      <c r="DI287"/>
      <c r="DJ287"/>
      <c r="DK287"/>
      <c r="DL287"/>
      <c r="DM287"/>
      <c r="DN287"/>
      <c r="DO287"/>
      <c r="DP287"/>
      <c r="DQ287"/>
      <c r="DR287"/>
      <c r="DS287"/>
      <c r="DT287"/>
      <c r="DU287"/>
      <c r="DV287"/>
      <c r="DW287"/>
      <c r="DX287"/>
      <c r="DY287"/>
      <c r="DZ287"/>
      <c r="EA287"/>
      <c r="EB287"/>
      <c r="EC287"/>
      <c r="ED287"/>
      <c r="EE287"/>
      <c r="EF287"/>
      <c r="EG287"/>
      <c r="EH287"/>
      <c r="EI287"/>
      <c r="EJ287"/>
      <c r="EK287"/>
      <c r="EL287"/>
      <c r="EM287"/>
      <c r="EN287"/>
      <c r="EO287"/>
      <c r="EP287"/>
      <c r="EQ287"/>
      <c r="ER287"/>
      <c r="ES287"/>
      <c r="ET287"/>
      <c r="EU287"/>
      <c r="EV287"/>
      <c r="EW287"/>
      <c r="EX287"/>
      <c r="EY287"/>
      <c r="EZ287"/>
      <c r="FA287"/>
      <c r="FB287"/>
      <c r="FC287"/>
      <c r="FD287"/>
      <c r="FE287"/>
      <c r="FF287"/>
      <c r="FG287"/>
      <c r="FH287"/>
      <c r="FI287"/>
      <c r="FJ287"/>
      <c r="FK287"/>
      <c r="FL287"/>
      <c r="FM287"/>
      <c r="FN287"/>
      <c r="FO287"/>
      <c r="FP287"/>
      <c r="FQ287"/>
      <c r="FR287"/>
      <c r="FS287"/>
      <c r="FT287"/>
      <c r="FU287"/>
      <c r="FV287"/>
      <c r="FW287"/>
      <c r="FX287"/>
      <c r="FY287"/>
      <c r="FZ287"/>
      <c r="GA287"/>
      <c r="GB287"/>
      <c r="GC287"/>
      <c r="GD287"/>
      <c r="GE287"/>
      <c r="GF287"/>
      <c r="GG287"/>
      <c r="GH287"/>
      <c r="GI287"/>
      <c r="GJ287"/>
      <c r="GK287"/>
      <c r="GL287"/>
      <c r="GM287"/>
      <c r="GN287"/>
      <c r="GO287"/>
      <c r="GP287"/>
      <c r="GQ287"/>
      <c r="GR287"/>
      <c r="GS287"/>
      <c r="GT287"/>
      <c r="GU287"/>
      <c r="GV287"/>
      <c r="GW287"/>
      <c r="GX287"/>
      <c r="GY287"/>
      <c r="GZ287"/>
      <c r="HA287"/>
      <c r="HB287"/>
      <c r="HC287"/>
      <c r="HD287"/>
      <c r="HE287"/>
      <c r="HF287"/>
      <c r="HG287"/>
      <c r="HH287"/>
      <c r="HI287"/>
      <c r="HJ287"/>
      <c r="HK287"/>
      <c r="HL287"/>
      <c r="HM287"/>
      <c r="HN287"/>
      <c r="HO287"/>
      <c r="HP287"/>
      <c r="HQ287"/>
      <c r="HR287"/>
      <c r="HS287"/>
      <c r="HT287"/>
      <c r="HU287"/>
      <c r="HV287"/>
      <c r="HW287"/>
      <c r="HX287"/>
      <c r="HY287"/>
      <c r="HZ287"/>
      <c r="IA287"/>
      <c r="IB287"/>
      <c r="IC287"/>
      <c r="ID287"/>
      <c r="IE287"/>
      <c r="IF287"/>
      <c r="IG287"/>
      <c r="IH287"/>
      <c r="II287"/>
      <c r="IJ287"/>
      <c r="IK287"/>
      <c r="IL287"/>
      <c r="IM287"/>
      <c r="IN287"/>
      <c r="IO287"/>
      <c r="IP287"/>
      <c r="IQ287"/>
      <c r="IR287"/>
      <c r="IS287"/>
      <c r="IT287"/>
      <c r="IU287"/>
      <c r="IV287"/>
      <c r="IW287"/>
      <c r="IX287"/>
      <c r="IY287"/>
      <c r="IZ287"/>
      <c r="JA287"/>
      <c r="JB287"/>
      <c r="JC287"/>
      <c r="JD287"/>
      <c r="JE287"/>
      <c r="JF287"/>
      <c r="JG287"/>
      <c r="JH287"/>
      <c r="JI287"/>
      <c r="JJ287"/>
      <c r="JK287"/>
      <c r="JL287"/>
      <c r="JM287"/>
      <c r="JN287"/>
      <c r="JO287"/>
      <c r="JP287"/>
      <c r="JQ287"/>
      <c r="JR287"/>
      <c r="JS287"/>
      <c r="JT287"/>
      <c r="JU287"/>
      <c r="JV287"/>
      <c r="JW287"/>
      <c r="JX287"/>
      <c r="JY287"/>
      <c r="JZ287"/>
      <c r="KA287"/>
      <c r="KB287"/>
      <c r="KC287"/>
      <c r="KD287"/>
      <c r="KE287"/>
      <c r="KF287"/>
      <c r="KG287"/>
      <c r="KH287"/>
      <c r="KI287"/>
      <c r="KJ287"/>
      <c r="KK287"/>
      <c r="KL287"/>
      <c r="KM287"/>
      <c r="KN287"/>
      <c r="KO287"/>
      <c r="KP287"/>
      <c r="KQ287"/>
      <c r="KR287"/>
      <c r="KS287"/>
      <c r="KT287"/>
      <c r="KU287"/>
      <c r="KV287"/>
      <c r="KW287"/>
      <c r="KX287"/>
      <c r="KY287"/>
      <c r="KZ287"/>
      <c r="LA287"/>
      <c r="LB287"/>
      <c r="LC287"/>
      <c r="LD287"/>
      <c r="LE287"/>
      <c r="LF287"/>
      <c r="LG287"/>
      <c r="LH287"/>
      <c r="LI287"/>
      <c r="LJ287"/>
      <c r="LK287"/>
      <c r="LL287"/>
      <c r="LM287"/>
      <c r="LN287"/>
      <c r="LO287"/>
      <c r="LP287"/>
      <c r="LQ287"/>
      <c r="LR287"/>
      <c r="LS287"/>
      <c r="LT287"/>
      <c r="LU287"/>
      <c r="LV287"/>
      <c r="LW287"/>
      <c r="LX287"/>
      <c r="LY287"/>
      <c r="LZ287"/>
      <c r="MA287"/>
      <c r="MB287"/>
      <c r="MC287"/>
      <c r="MD287"/>
      <c r="ME287"/>
      <c r="MF287"/>
      <c r="MG287"/>
      <c r="MH287"/>
      <c r="MI287"/>
      <c r="MJ287"/>
      <c r="MK287"/>
      <c r="ML287"/>
      <c r="MM287"/>
      <c r="MN287"/>
      <c r="MO287"/>
      <c r="MP287"/>
      <c r="MQ287"/>
      <c r="MR287"/>
      <c r="MS287"/>
      <c r="MT287"/>
      <c r="MU287"/>
      <c r="MV287"/>
      <c r="MW287"/>
      <c r="MX287"/>
      <c r="MY287"/>
      <c r="MZ287"/>
      <c r="NA287"/>
      <c r="NB287"/>
      <c r="NC287"/>
      <c r="ND287"/>
      <c r="NE287"/>
      <c r="NF287"/>
      <c r="NG287"/>
      <c r="NH287"/>
      <c r="NI287"/>
      <c r="NJ287"/>
      <c r="NK287"/>
      <c r="NL287"/>
      <c r="NM287"/>
      <c r="NN287"/>
      <c r="NO287"/>
      <c r="NP287"/>
      <c r="NQ287"/>
      <c r="NR287"/>
      <c r="NS287"/>
      <c r="NT287"/>
      <c r="NU287"/>
      <c r="NV287"/>
      <c r="NW287"/>
      <c r="NX287"/>
      <c r="NY287"/>
      <c r="NZ287"/>
      <c r="OA287"/>
      <c r="OB287"/>
      <c r="OC287"/>
      <c r="OD287"/>
      <c r="OE287"/>
      <c r="OF287"/>
      <c r="OG287"/>
      <c r="OH287"/>
      <c r="OI287"/>
      <c r="OJ287"/>
      <c r="OK287"/>
      <c r="OL287"/>
      <c r="OM287"/>
      <c r="ON287"/>
      <c r="OO287"/>
      <c r="OP287"/>
      <c r="OQ287"/>
      <c r="OR287"/>
      <c r="OS287"/>
      <c r="OT287"/>
      <c r="OU287"/>
      <c r="OV287"/>
      <c r="OW287"/>
      <c r="OX287"/>
      <c r="OY287"/>
      <c r="OZ287"/>
      <c r="PA287"/>
      <c r="PB287"/>
      <c r="PC287"/>
      <c r="PD287"/>
      <c r="PE287"/>
      <c r="PF287"/>
      <c r="PG287"/>
      <c r="PH287"/>
      <c r="PI287"/>
      <c r="PJ287"/>
      <c r="PK287"/>
      <c r="PL287"/>
      <c r="PM287"/>
      <c r="PN287"/>
      <c r="PO287"/>
      <c r="PP287"/>
      <c r="PQ287"/>
      <c r="PR287"/>
      <c r="PS287"/>
      <c r="PT287"/>
      <c r="PU287"/>
      <c r="PV287"/>
      <c r="PW287"/>
      <c r="PX287"/>
      <c r="PY287"/>
      <c r="PZ287"/>
      <c r="QA287"/>
      <c r="QB287"/>
      <c r="QC287"/>
      <c r="QD287"/>
      <c r="QE287"/>
      <c r="QF287"/>
      <c r="QG287"/>
      <c r="QH287"/>
      <c r="QI287"/>
      <c r="QJ287"/>
      <c r="QK287"/>
      <c r="QL287"/>
      <c r="QM287"/>
      <c r="QN287"/>
      <c r="QO287"/>
      <c r="QP287"/>
      <c r="QQ287"/>
      <c r="QR287"/>
      <c r="QS287"/>
      <c r="QT287"/>
      <c r="QU287"/>
      <c r="QV287"/>
      <c r="QW287"/>
      <c r="QX287"/>
      <c r="QY287"/>
      <c r="QZ287"/>
      <c r="RA287"/>
      <c r="RB287"/>
      <c r="RC287"/>
      <c r="RD287"/>
      <c r="RE287"/>
      <c r="RF287"/>
      <c r="RG287"/>
      <c r="RH287"/>
      <c r="RI287"/>
      <c r="RJ287"/>
      <c r="RK287"/>
      <c r="RL287"/>
      <c r="RM287"/>
      <c r="RN287"/>
      <c r="RO287"/>
      <c r="RP287"/>
      <c r="RQ287"/>
      <c r="RR287"/>
      <c r="RS287"/>
    </row>
    <row r="288" spans="3:487" x14ac:dyDescent="0.25">
      <c r="C288" s="2" t="s">
        <v>3815</v>
      </c>
      <c r="D288" s="34">
        <v>0</v>
      </c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  <c r="AZ288"/>
      <c r="BA288"/>
      <c r="BB288"/>
      <c r="BC288"/>
      <c r="BD288"/>
      <c r="BE288"/>
      <c r="BF288"/>
      <c r="BG288"/>
      <c r="BH288"/>
      <c r="BI288"/>
      <c r="BJ288"/>
      <c r="BK288"/>
      <c r="BL288"/>
      <c r="BM288"/>
      <c r="BN288"/>
      <c r="BO288"/>
      <c r="BP288"/>
      <c r="BQ288"/>
      <c r="BR288"/>
      <c r="BS288"/>
      <c r="BT288"/>
      <c r="BU288"/>
      <c r="BV288"/>
      <c r="BW288"/>
      <c r="BX288"/>
      <c r="BY288"/>
      <c r="BZ288"/>
      <c r="CA288"/>
      <c r="CB288"/>
      <c r="CC288"/>
      <c r="CD288"/>
      <c r="CE288"/>
      <c r="CF288"/>
      <c r="CG288"/>
      <c r="CH288"/>
      <c r="CI288"/>
      <c r="CJ288"/>
      <c r="CK288"/>
      <c r="CL288"/>
      <c r="CM288"/>
      <c r="CN288"/>
      <c r="CO288"/>
      <c r="CP288"/>
      <c r="CQ288"/>
      <c r="CR288"/>
      <c r="CS288"/>
      <c r="CT288"/>
      <c r="CU288"/>
      <c r="CV288"/>
      <c r="CW288"/>
      <c r="CX288"/>
      <c r="CY288"/>
      <c r="CZ288"/>
      <c r="DA288"/>
      <c r="DB288"/>
      <c r="DC288"/>
      <c r="DD288"/>
      <c r="DE288"/>
      <c r="DF288"/>
      <c r="DG288"/>
      <c r="DH288"/>
      <c r="DI288"/>
      <c r="DJ288"/>
      <c r="DK288"/>
      <c r="DL288"/>
      <c r="DM288"/>
      <c r="DN288"/>
      <c r="DO288"/>
      <c r="DP288"/>
      <c r="DQ288"/>
      <c r="DR288"/>
      <c r="DS288"/>
      <c r="DT288"/>
      <c r="DU288"/>
      <c r="DV288"/>
      <c r="DW288"/>
      <c r="DX288"/>
      <c r="DY288"/>
      <c r="DZ288"/>
      <c r="EA288"/>
      <c r="EB288"/>
      <c r="EC288"/>
      <c r="ED288"/>
      <c r="EE288"/>
      <c r="EF288"/>
      <c r="EG288"/>
      <c r="EH288"/>
      <c r="EI288"/>
      <c r="EJ288"/>
      <c r="EK288"/>
      <c r="EL288"/>
      <c r="EM288"/>
      <c r="EN288"/>
      <c r="EO288"/>
      <c r="EP288"/>
      <c r="EQ288"/>
      <c r="ER288"/>
      <c r="ES288"/>
      <c r="ET288"/>
      <c r="EU288"/>
      <c r="EV288"/>
      <c r="EW288"/>
      <c r="EX288"/>
      <c r="EY288"/>
      <c r="EZ288"/>
      <c r="FA288"/>
      <c r="FB288"/>
      <c r="FC288"/>
      <c r="FD288"/>
      <c r="FE288"/>
      <c r="FF288"/>
      <c r="FG288"/>
      <c r="FH288"/>
      <c r="FI288"/>
      <c r="FJ288"/>
      <c r="FK288"/>
      <c r="FL288"/>
      <c r="FM288"/>
      <c r="FN288"/>
      <c r="FO288"/>
      <c r="FP288"/>
      <c r="FQ288"/>
      <c r="FR288"/>
      <c r="FS288"/>
      <c r="FT288"/>
      <c r="FU288"/>
      <c r="FV288"/>
      <c r="FW288"/>
      <c r="FX288"/>
      <c r="FY288"/>
      <c r="FZ288"/>
      <c r="GA288"/>
      <c r="GB288"/>
      <c r="GC288"/>
      <c r="GD288"/>
      <c r="GE288"/>
      <c r="GF288"/>
      <c r="GG288"/>
      <c r="GH288"/>
      <c r="GI288"/>
      <c r="GJ288"/>
      <c r="GK288"/>
      <c r="GL288"/>
      <c r="GM288"/>
      <c r="GN288"/>
      <c r="GO288"/>
      <c r="GP288"/>
      <c r="GQ288"/>
      <c r="GR288"/>
      <c r="GS288"/>
      <c r="GT288"/>
      <c r="GU288"/>
      <c r="GV288"/>
      <c r="GW288"/>
      <c r="GX288"/>
      <c r="GY288"/>
      <c r="GZ288"/>
      <c r="HA288"/>
      <c r="HB288"/>
      <c r="HC288"/>
      <c r="HD288"/>
      <c r="HE288"/>
      <c r="HF288"/>
      <c r="HG288"/>
      <c r="HH288"/>
      <c r="HI288"/>
      <c r="HJ288"/>
      <c r="HK288"/>
      <c r="HL288"/>
      <c r="HM288"/>
      <c r="HN288"/>
      <c r="HO288"/>
      <c r="HP288"/>
      <c r="HQ288"/>
      <c r="HR288"/>
      <c r="HS288"/>
      <c r="HT288"/>
      <c r="HU288"/>
      <c r="HV288"/>
      <c r="HW288"/>
      <c r="HX288"/>
      <c r="HY288"/>
      <c r="HZ288"/>
      <c r="IA288"/>
      <c r="IB288"/>
      <c r="IC288"/>
      <c r="ID288"/>
      <c r="IE288"/>
      <c r="IF288"/>
      <c r="IG288"/>
      <c r="IH288"/>
      <c r="II288"/>
      <c r="IJ288"/>
      <c r="IK288"/>
      <c r="IL288"/>
      <c r="IM288"/>
      <c r="IN288"/>
      <c r="IO288"/>
      <c r="IP288"/>
      <c r="IQ288"/>
      <c r="IR288"/>
      <c r="IS288"/>
      <c r="IT288"/>
      <c r="IU288"/>
      <c r="IV288"/>
      <c r="IW288"/>
      <c r="IX288"/>
      <c r="IY288"/>
      <c r="IZ288"/>
      <c r="JA288"/>
      <c r="JB288"/>
      <c r="JC288"/>
      <c r="JD288"/>
      <c r="JE288"/>
      <c r="JF288"/>
      <c r="JG288"/>
      <c r="JH288"/>
      <c r="JI288"/>
      <c r="JJ288"/>
      <c r="JK288"/>
      <c r="JL288"/>
      <c r="JM288"/>
      <c r="JN288"/>
      <c r="JO288"/>
      <c r="JP288"/>
      <c r="JQ288"/>
      <c r="JR288"/>
      <c r="JS288"/>
      <c r="JT288"/>
      <c r="JU288"/>
      <c r="JV288"/>
      <c r="JW288"/>
      <c r="JX288"/>
      <c r="JY288"/>
      <c r="JZ288"/>
      <c r="KA288"/>
      <c r="KB288"/>
      <c r="KC288"/>
      <c r="KD288"/>
      <c r="KE288"/>
      <c r="KF288"/>
      <c r="KG288"/>
      <c r="KH288"/>
      <c r="KI288"/>
      <c r="KJ288"/>
      <c r="KK288"/>
      <c r="KL288"/>
      <c r="KM288"/>
      <c r="KN288"/>
      <c r="KO288"/>
      <c r="KP288"/>
      <c r="KQ288"/>
      <c r="KR288"/>
      <c r="KS288"/>
      <c r="KT288"/>
      <c r="KU288"/>
      <c r="KV288"/>
      <c r="KW288"/>
      <c r="KX288"/>
      <c r="KY288"/>
      <c r="KZ288"/>
      <c r="LA288"/>
      <c r="LB288"/>
      <c r="LC288"/>
      <c r="LD288"/>
      <c r="LE288"/>
      <c r="LF288"/>
      <c r="LG288"/>
      <c r="LH288"/>
      <c r="LI288"/>
      <c r="LJ288"/>
      <c r="LK288"/>
      <c r="LL288"/>
      <c r="LM288"/>
      <c r="LN288"/>
      <c r="LO288"/>
      <c r="LP288"/>
      <c r="LQ288"/>
      <c r="LR288"/>
      <c r="LS288"/>
      <c r="LT288"/>
      <c r="LU288"/>
      <c r="LV288"/>
      <c r="LW288"/>
      <c r="LX288"/>
      <c r="LY288"/>
      <c r="LZ288"/>
      <c r="MA288"/>
      <c r="MB288"/>
      <c r="MC288"/>
      <c r="MD288"/>
      <c r="ME288"/>
      <c r="MF288"/>
      <c r="MG288"/>
      <c r="MH288"/>
      <c r="MI288"/>
      <c r="MJ288"/>
      <c r="MK288"/>
      <c r="ML288"/>
      <c r="MM288"/>
      <c r="MN288"/>
      <c r="MO288"/>
      <c r="MP288"/>
      <c r="MQ288"/>
      <c r="MR288"/>
      <c r="MS288"/>
      <c r="MT288"/>
      <c r="MU288"/>
      <c r="MV288"/>
      <c r="MW288"/>
      <c r="MX288"/>
      <c r="MY288"/>
      <c r="MZ288"/>
      <c r="NA288"/>
      <c r="NB288"/>
      <c r="NC288"/>
      <c r="ND288"/>
      <c r="NE288"/>
      <c r="NF288"/>
      <c r="NG288"/>
      <c r="NH288"/>
      <c r="NI288"/>
      <c r="NJ288"/>
      <c r="NK288"/>
      <c r="NL288"/>
      <c r="NM288"/>
      <c r="NN288"/>
      <c r="NO288"/>
      <c r="NP288"/>
      <c r="NQ288"/>
      <c r="NR288"/>
      <c r="NS288"/>
      <c r="NT288"/>
      <c r="NU288"/>
      <c r="NV288"/>
      <c r="NW288"/>
      <c r="NX288"/>
      <c r="NY288"/>
      <c r="NZ288"/>
      <c r="OA288"/>
      <c r="OB288"/>
      <c r="OC288"/>
      <c r="OD288"/>
      <c r="OE288"/>
      <c r="OF288"/>
      <c r="OG288"/>
      <c r="OH288"/>
      <c r="OI288"/>
      <c r="OJ288"/>
      <c r="OK288"/>
      <c r="OL288"/>
      <c r="OM288"/>
      <c r="ON288"/>
      <c r="OO288"/>
      <c r="OP288"/>
      <c r="OQ288"/>
      <c r="OR288"/>
      <c r="OS288"/>
      <c r="OT288"/>
      <c r="OU288"/>
      <c r="OV288"/>
      <c r="OW288"/>
      <c r="OX288"/>
      <c r="OY288"/>
      <c r="OZ288"/>
      <c r="PA288"/>
      <c r="PB288"/>
      <c r="PC288"/>
      <c r="PD288"/>
      <c r="PE288"/>
      <c r="PF288"/>
      <c r="PG288"/>
      <c r="PH288"/>
      <c r="PI288"/>
      <c r="PJ288"/>
      <c r="PK288"/>
      <c r="PL288"/>
      <c r="PM288"/>
      <c r="PN288"/>
      <c r="PO288"/>
      <c r="PP288"/>
      <c r="PQ288"/>
      <c r="PR288"/>
      <c r="PS288"/>
      <c r="PT288"/>
      <c r="PU288"/>
      <c r="PV288"/>
      <c r="PW288"/>
      <c r="PX288"/>
      <c r="PY288"/>
      <c r="PZ288"/>
      <c r="QA288"/>
      <c r="QB288"/>
      <c r="QC288"/>
      <c r="QD288"/>
      <c r="QE288"/>
      <c r="QF288"/>
      <c r="QG288"/>
      <c r="QH288"/>
      <c r="QI288"/>
      <c r="QJ288"/>
      <c r="QK288"/>
      <c r="QL288"/>
      <c r="QM288"/>
      <c r="QN288"/>
      <c r="QO288"/>
      <c r="QP288"/>
      <c r="QQ288"/>
      <c r="QR288"/>
      <c r="QS288"/>
      <c r="QT288"/>
      <c r="QU288"/>
      <c r="QV288"/>
      <c r="QW288"/>
      <c r="QX288"/>
      <c r="QY288"/>
      <c r="QZ288"/>
      <c r="RA288"/>
      <c r="RB288"/>
      <c r="RC288"/>
      <c r="RD288"/>
      <c r="RE288"/>
      <c r="RF288"/>
      <c r="RG288"/>
      <c r="RH288"/>
      <c r="RI288"/>
      <c r="RJ288"/>
      <c r="RK288"/>
      <c r="RL288"/>
      <c r="RM288"/>
      <c r="RN288"/>
      <c r="RO288"/>
      <c r="RP288"/>
      <c r="RQ288"/>
      <c r="RR288"/>
      <c r="RS288"/>
    </row>
    <row r="289" spans="3:487" x14ac:dyDescent="0.25">
      <c r="C289" s="2" t="s">
        <v>3831</v>
      </c>
      <c r="D289" s="34">
        <v>0</v>
      </c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  <c r="AZ289"/>
      <c r="BA289"/>
      <c r="BB289"/>
      <c r="BC289"/>
      <c r="BD289"/>
      <c r="BE289"/>
      <c r="BF289"/>
      <c r="BG289"/>
      <c r="BH289"/>
      <c r="BI289"/>
      <c r="BJ289"/>
      <c r="BK289"/>
      <c r="BL289"/>
      <c r="BM289"/>
      <c r="BN289"/>
      <c r="BO289"/>
      <c r="BP289"/>
      <c r="BQ289"/>
      <c r="BR289"/>
      <c r="BS289"/>
      <c r="BT289"/>
      <c r="BU289"/>
      <c r="BV289"/>
      <c r="BW289"/>
      <c r="BX289"/>
      <c r="BY289"/>
      <c r="BZ289"/>
      <c r="CA289"/>
      <c r="CB289"/>
      <c r="CC289"/>
      <c r="CD289"/>
      <c r="CE289"/>
      <c r="CF289"/>
      <c r="CG289"/>
      <c r="CH289"/>
      <c r="CI289"/>
      <c r="CJ289"/>
      <c r="CK289"/>
      <c r="CL289"/>
      <c r="CM289"/>
      <c r="CN289"/>
      <c r="CO289"/>
      <c r="CP289"/>
      <c r="CQ289"/>
      <c r="CR289"/>
      <c r="CS289"/>
      <c r="CT289"/>
      <c r="CU289"/>
      <c r="CV289"/>
      <c r="CW289"/>
      <c r="CX289"/>
      <c r="CY289"/>
      <c r="CZ289"/>
      <c r="DA289"/>
      <c r="DB289"/>
      <c r="DC289"/>
      <c r="DD289"/>
      <c r="DE289"/>
      <c r="DF289"/>
      <c r="DG289"/>
      <c r="DH289"/>
      <c r="DI289"/>
      <c r="DJ289"/>
      <c r="DK289"/>
      <c r="DL289"/>
      <c r="DM289"/>
      <c r="DN289"/>
      <c r="DO289"/>
      <c r="DP289"/>
      <c r="DQ289"/>
      <c r="DR289"/>
      <c r="DS289"/>
      <c r="DT289"/>
      <c r="DU289"/>
      <c r="DV289"/>
      <c r="DW289"/>
      <c r="DX289"/>
      <c r="DY289"/>
      <c r="DZ289"/>
      <c r="EA289"/>
      <c r="EB289"/>
      <c r="EC289"/>
      <c r="ED289"/>
      <c r="EE289"/>
      <c r="EF289"/>
      <c r="EG289"/>
      <c r="EH289"/>
      <c r="EI289"/>
      <c r="EJ289"/>
      <c r="EK289"/>
      <c r="EL289"/>
      <c r="EM289"/>
      <c r="EN289"/>
      <c r="EO289"/>
      <c r="EP289"/>
      <c r="EQ289"/>
      <c r="ER289"/>
      <c r="ES289"/>
      <c r="ET289"/>
      <c r="EU289"/>
      <c r="EV289"/>
      <c r="EW289"/>
      <c r="EX289"/>
      <c r="EY289"/>
      <c r="EZ289"/>
      <c r="FA289"/>
      <c r="FB289"/>
      <c r="FC289"/>
      <c r="FD289"/>
      <c r="FE289"/>
      <c r="FF289"/>
      <c r="FG289"/>
      <c r="FH289"/>
      <c r="FI289"/>
      <c r="FJ289"/>
      <c r="FK289"/>
      <c r="FL289"/>
      <c r="FM289"/>
      <c r="FN289"/>
      <c r="FO289"/>
      <c r="FP289"/>
      <c r="FQ289"/>
      <c r="FR289"/>
      <c r="FS289"/>
      <c r="FT289"/>
      <c r="FU289"/>
      <c r="FV289"/>
      <c r="FW289"/>
      <c r="FX289"/>
      <c r="FY289"/>
      <c r="FZ289"/>
      <c r="GA289"/>
      <c r="GB289"/>
      <c r="GC289"/>
      <c r="GD289"/>
      <c r="GE289"/>
      <c r="GF289"/>
      <c r="GG289"/>
      <c r="GH289"/>
      <c r="GI289"/>
      <c r="GJ289"/>
      <c r="GK289"/>
      <c r="GL289"/>
      <c r="GM289"/>
      <c r="GN289"/>
      <c r="GO289"/>
      <c r="GP289"/>
      <c r="GQ289"/>
      <c r="GR289"/>
      <c r="GS289"/>
      <c r="GT289"/>
      <c r="GU289"/>
      <c r="GV289"/>
      <c r="GW289"/>
      <c r="GX289"/>
      <c r="GY289"/>
      <c r="GZ289"/>
      <c r="HA289"/>
      <c r="HB289"/>
      <c r="HC289"/>
      <c r="HD289"/>
      <c r="HE289"/>
      <c r="HF289"/>
      <c r="HG289"/>
      <c r="HH289"/>
      <c r="HI289"/>
      <c r="HJ289"/>
      <c r="HK289"/>
      <c r="HL289"/>
      <c r="HM289"/>
      <c r="HN289"/>
      <c r="HO289"/>
      <c r="HP289"/>
      <c r="HQ289"/>
      <c r="HR289"/>
      <c r="HS289"/>
      <c r="HT289"/>
      <c r="HU289"/>
      <c r="HV289"/>
      <c r="HW289"/>
      <c r="HX289"/>
      <c r="HY289"/>
      <c r="HZ289"/>
      <c r="IA289"/>
      <c r="IB289"/>
      <c r="IC289"/>
      <c r="ID289"/>
      <c r="IE289"/>
      <c r="IF289"/>
      <c r="IG289"/>
      <c r="IH289"/>
      <c r="II289"/>
      <c r="IJ289"/>
      <c r="IK289"/>
      <c r="IL289"/>
      <c r="IM289"/>
      <c r="IN289"/>
      <c r="IO289"/>
      <c r="IP289"/>
      <c r="IQ289"/>
      <c r="IR289"/>
      <c r="IS289"/>
      <c r="IT289"/>
      <c r="IU289"/>
      <c r="IV289"/>
      <c r="IW289"/>
      <c r="IX289"/>
      <c r="IY289"/>
      <c r="IZ289"/>
      <c r="JA289"/>
      <c r="JB289"/>
      <c r="JC289"/>
      <c r="JD289"/>
      <c r="JE289"/>
      <c r="JF289"/>
      <c r="JG289"/>
      <c r="JH289"/>
      <c r="JI289"/>
      <c r="JJ289"/>
      <c r="JK289"/>
      <c r="JL289"/>
      <c r="JM289"/>
      <c r="JN289"/>
      <c r="JO289"/>
      <c r="JP289"/>
      <c r="JQ289"/>
      <c r="JR289"/>
      <c r="JS289"/>
      <c r="JT289"/>
      <c r="JU289"/>
      <c r="JV289"/>
      <c r="JW289"/>
      <c r="JX289"/>
      <c r="JY289"/>
      <c r="JZ289"/>
      <c r="KA289"/>
      <c r="KB289"/>
      <c r="KC289"/>
      <c r="KD289"/>
      <c r="KE289"/>
      <c r="KF289"/>
      <c r="KG289"/>
      <c r="KH289"/>
      <c r="KI289"/>
      <c r="KJ289"/>
      <c r="KK289"/>
      <c r="KL289"/>
      <c r="KM289"/>
      <c r="KN289"/>
      <c r="KO289"/>
      <c r="KP289"/>
      <c r="KQ289"/>
      <c r="KR289"/>
      <c r="KS289"/>
      <c r="KT289"/>
      <c r="KU289"/>
      <c r="KV289"/>
      <c r="KW289"/>
      <c r="KX289"/>
      <c r="KY289"/>
      <c r="KZ289"/>
      <c r="LA289"/>
      <c r="LB289"/>
      <c r="LC289"/>
      <c r="LD289"/>
      <c r="LE289"/>
      <c r="LF289"/>
      <c r="LG289"/>
      <c r="LH289"/>
      <c r="LI289"/>
      <c r="LJ289"/>
      <c r="LK289"/>
      <c r="LL289"/>
      <c r="LM289"/>
      <c r="LN289"/>
      <c r="LO289"/>
      <c r="LP289"/>
      <c r="LQ289"/>
      <c r="LR289"/>
      <c r="LS289"/>
      <c r="LT289"/>
      <c r="LU289"/>
      <c r="LV289"/>
      <c r="LW289"/>
      <c r="LX289"/>
      <c r="LY289"/>
      <c r="LZ289"/>
      <c r="MA289"/>
      <c r="MB289"/>
      <c r="MC289"/>
      <c r="MD289"/>
      <c r="ME289"/>
      <c r="MF289"/>
      <c r="MG289"/>
      <c r="MH289"/>
      <c r="MI289"/>
      <c r="MJ289"/>
      <c r="MK289"/>
      <c r="ML289"/>
      <c r="MM289"/>
      <c r="MN289"/>
      <c r="MO289"/>
      <c r="MP289"/>
      <c r="MQ289"/>
      <c r="MR289"/>
      <c r="MS289"/>
      <c r="MT289"/>
      <c r="MU289"/>
      <c r="MV289"/>
      <c r="MW289"/>
      <c r="MX289"/>
      <c r="MY289"/>
      <c r="MZ289"/>
      <c r="NA289"/>
      <c r="NB289"/>
      <c r="NC289"/>
      <c r="ND289"/>
      <c r="NE289"/>
      <c r="NF289"/>
      <c r="NG289"/>
      <c r="NH289"/>
      <c r="NI289"/>
      <c r="NJ289"/>
      <c r="NK289"/>
      <c r="NL289"/>
      <c r="NM289"/>
      <c r="NN289"/>
      <c r="NO289"/>
      <c r="NP289"/>
      <c r="NQ289"/>
      <c r="NR289"/>
      <c r="NS289"/>
      <c r="NT289"/>
      <c r="NU289"/>
      <c r="NV289"/>
      <c r="NW289"/>
      <c r="NX289"/>
      <c r="NY289"/>
      <c r="NZ289"/>
      <c r="OA289"/>
      <c r="OB289"/>
      <c r="OC289"/>
      <c r="OD289"/>
      <c r="OE289"/>
      <c r="OF289"/>
      <c r="OG289"/>
      <c r="OH289"/>
      <c r="OI289"/>
      <c r="OJ289"/>
      <c r="OK289"/>
      <c r="OL289"/>
      <c r="OM289"/>
      <c r="ON289"/>
      <c r="OO289"/>
      <c r="OP289"/>
      <c r="OQ289"/>
      <c r="OR289"/>
      <c r="OS289"/>
      <c r="OT289"/>
      <c r="OU289"/>
      <c r="OV289"/>
      <c r="OW289"/>
      <c r="OX289"/>
      <c r="OY289"/>
      <c r="OZ289"/>
      <c r="PA289"/>
      <c r="PB289"/>
      <c r="PC289"/>
      <c r="PD289"/>
      <c r="PE289"/>
      <c r="PF289"/>
      <c r="PG289"/>
      <c r="PH289"/>
      <c r="PI289"/>
      <c r="PJ289"/>
      <c r="PK289"/>
      <c r="PL289"/>
      <c r="PM289"/>
      <c r="PN289"/>
      <c r="PO289"/>
      <c r="PP289"/>
      <c r="PQ289"/>
      <c r="PR289"/>
      <c r="PS289"/>
      <c r="PT289"/>
      <c r="PU289"/>
      <c r="PV289"/>
      <c r="PW289"/>
      <c r="PX289"/>
      <c r="PY289"/>
      <c r="PZ289"/>
      <c r="QA289"/>
      <c r="QB289"/>
      <c r="QC289"/>
      <c r="QD289"/>
      <c r="QE289"/>
      <c r="QF289"/>
      <c r="QG289"/>
      <c r="QH289"/>
      <c r="QI289"/>
      <c r="QJ289"/>
      <c r="QK289"/>
      <c r="QL289"/>
      <c r="QM289"/>
      <c r="QN289"/>
      <c r="QO289"/>
      <c r="QP289"/>
      <c r="QQ289"/>
      <c r="QR289"/>
      <c r="QS289"/>
      <c r="QT289"/>
      <c r="QU289"/>
      <c r="QV289"/>
      <c r="QW289"/>
      <c r="QX289"/>
      <c r="QY289"/>
      <c r="QZ289"/>
      <c r="RA289"/>
      <c r="RB289"/>
      <c r="RC289"/>
      <c r="RD289"/>
      <c r="RE289"/>
      <c r="RF289"/>
      <c r="RG289"/>
      <c r="RH289"/>
      <c r="RI289"/>
      <c r="RJ289"/>
      <c r="RK289"/>
      <c r="RL289"/>
      <c r="RM289"/>
      <c r="RN289"/>
      <c r="RO289"/>
      <c r="RP289"/>
      <c r="RQ289"/>
      <c r="RR289"/>
      <c r="RS289"/>
    </row>
    <row r="290" spans="3:487" x14ac:dyDescent="0.25">
      <c r="C290" s="2" t="s">
        <v>3771</v>
      </c>
      <c r="D290" s="34">
        <v>0</v>
      </c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  <c r="AZ290"/>
      <c r="BA290"/>
      <c r="BB290"/>
      <c r="BC290"/>
      <c r="BD290"/>
      <c r="BE290"/>
      <c r="BF290"/>
      <c r="BG290"/>
      <c r="BH290"/>
      <c r="BI290"/>
      <c r="BJ290"/>
      <c r="BK290"/>
      <c r="BL290"/>
      <c r="BM290"/>
      <c r="BN290"/>
      <c r="BO290"/>
      <c r="BP290"/>
      <c r="BQ290"/>
      <c r="BR290"/>
      <c r="BS290"/>
      <c r="BT290"/>
      <c r="BU290"/>
      <c r="BV290"/>
      <c r="BW290"/>
      <c r="BX290"/>
      <c r="BY290"/>
      <c r="BZ290"/>
      <c r="CA290"/>
      <c r="CB290"/>
      <c r="CC290"/>
      <c r="CD290"/>
      <c r="CE290"/>
      <c r="CF290"/>
      <c r="CG290"/>
      <c r="CH290"/>
      <c r="CI290"/>
      <c r="CJ290"/>
      <c r="CK290"/>
      <c r="CL290"/>
      <c r="CM290"/>
      <c r="CN290"/>
      <c r="CO290"/>
      <c r="CP290"/>
      <c r="CQ290"/>
      <c r="CR290"/>
      <c r="CS290"/>
      <c r="CT290"/>
      <c r="CU290"/>
      <c r="CV290"/>
      <c r="CW290"/>
      <c r="CX290"/>
      <c r="CY290"/>
      <c r="CZ290"/>
      <c r="DA290"/>
      <c r="DB290"/>
      <c r="DC290"/>
      <c r="DD290"/>
      <c r="DE290"/>
      <c r="DF290"/>
      <c r="DG290"/>
      <c r="DH290"/>
      <c r="DI290"/>
      <c r="DJ290"/>
      <c r="DK290"/>
      <c r="DL290"/>
      <c r="DM290"/>
      <c r="DN290"/>
      <c r="DO290"/>
      <c r="DP290"/>
      <c r="DQ290"/>
      <c r="DR290"/>
      <c r="DS290"/>
      <c r="DT290"/>
      <c r="DU290"/>
      <c r="DV290"/>
      <c r="DW290"/>
      <c r="DX290"/>
      <c r="DY290"/>
      <c r="DZ290"/>
      <c r="EA290"/>
      <c r="EB290"/>
      <c r="EC290"/>
      <c r="ED290"/>
      <c r="EE290"/>
      <c r="EF290"/>
      <c r="EG290"/>
      <c r="EH290"/>
      <c r="EI290"/>
      <c r="EJ290"/>
      <c r="EK290"/>
      <c r="EL290"/>
      <c r="EM290"/>
      <c r="EN290"/>
      <c r="EO290"/>
      <c r="EP290"/>
      <c r="EQ290"/>
      <c r="ER290"/>
      <c r="ES290"/>
      <c r="ET290"/>
      <c r="EU290"/>
      <c r="EV290"/>
      <c r="EW290"/>
      <c r="EX290"/>
      <c r="EY290"/>
      <c r="EZ290"/>
      <c r="FA290"/>
      <c r="FB290"/>
      <c r="FC290"/>
      <c r="FD290"/>
      <c r="FE290"/>
      <c r="FF290"/>
      <c r="FG290"/>
      <c r="FH290"/>
      <c r="FI290"/>
      <c r="FJ290"/>
      <c r="FK290"/>
      <c r="FL290"/>
      <c r="FM290"/>
      <c r="FN290"/>
      <c r="FO290"/>
      <c r="FP290"/>
      <c r="FQ290"/>
      <c r="FR290"/>
      <c r="FS290"/>
      <c r="FT290"/>
      <c r="FU290"/>
      <c r="FV290"/>
      <c r="FW290"/>
      <c r="FX290"/>
      <c r="FY290"/>
      <c r="FZ290"/>
      <c r="GA290"/>
      <c r="GB290"/>
      <c r="GC290"/>
      <c r="GD290"/>
      <c r="GE290"/>
      <c r="GF290"/>
      <c r="GG290"/>
      <c r="GH290"/>
      <c r="GI290"/>
      <c r="GJ290"/>
      <c r="GK290"/>
      <c r="GL290"/>
      <c r="GM290"/>
      <c r="GN290"/>
      <c r="GO290"/>
      <c r="GP290"/>
      <c r="GQ290"/>
      <c r="GR290"/>
      <c r="GS290"/>
      <c r="GT290"/>
      <c r="GU290"/>
      <c r="GV290"/>
      <c r="GW290"/>
      <c r="GX290"/>
      <c r="GY290"/>
      <c r="GZ290"/>
      <c r="HA290"/>
      <c r="HB290"/>
      <c r="HC290"/>
      <c r="HD290"/>
      <c r="HE290"/>
      <c r="HF290"/>
      <c r="HG290"/>
      <c r="HH290"/>
      <c r="HI290"/>
      <c r="HJ290"/>
      <c r="HK290"/>
      <c r="HL290"/>
      <c r="HM290"/>
      <c r="HN290"/>
      <c r="HO290"/>
      <c r="HP290"/>
      <c r="HQ290"/>
      <c r="HR290"/>
      <c r="HS290"/>
      <c r="HT290"/>
      <c r="HU290"/>
      <c r="HV290"/>
      <c r="HW290"/>
      <c r="HX290"/>
      <c r="HY290"/>
      <c r="HZ290"/>
      <c r="IA290"/>
      <c r="IB290"/>
      <c r="IC290"/>
      <c r="ID290"/>
      <c r="IE290"/>
      <c r="IF290"/>
      <c r="IG290"/>
      <c r="IH290"/>
      <c r="II290"/>
      <c r="IJ290"/>
      <c r="IK290"/>
      <c r="IL290"/>
      <c r="IM290"/>
      <c r="IN290"/>
      <c r="IO290"/>
      <c r="IP290"/>
      <c r="IQ290"/>
      <c r="IR290"/>
      <c r="IS290"/>
      <c r="IT290"/>
      <c r="IU290"/>
      <c r="IV290"/>
      <c r="IW290"/>
      <c r="IX290"/>
      <c r="IY290"/>
      <c r="IZ290"/>
      <c r="JA290"/>
      <c r="JB290"/>
      <c r="JC290"/>
      <c r="JD290"/>
      <c r="JE290"/>
      <c r="JF290"/>
      <c r="JG290"/>
      <c r="JH290"/>
      <c r="JI290"/>
      <c r="JJ290"/>
      <c r="JK290"/>
      <c r="JL290"/>
      <c r="JM290"/>
      <c r="JN290"/>
      <c r="JO290"/>
      <c r="JP290"/>
      <c r="JQ290"/>
      <c r="JR290"/>
      <c r="JS290"/>
      <c r="JT290"/>
      <c r="JU290"/>
      <c r="JV290"/>
      <c r="JW290"/>
      <c r="JX290"/>
      <c r="JY290"/>
      <c r="JZ290"/>
      <c r="KA290"/>
      <c r="KB290"/>
      <c r="KC290"/>
      <c r="KD290"/>
      <c r="KE290"/>
      <c r="KF290"/>
      <c r="KG290"/>
      <c r="KH290"/>
      <c r="KI290"/>
      <c r="KJ290"/>
      <c r="KK290"/>
      <c r="KL290"/>
      <c r="KM290"/>
      <c r="KN290"/>
      <c r="KO290"/>
      <c r="KP290"/>
      <c r="KQ290"/>
      <c r="KR290"/>
      <c r="KS290"/>
      <c r="KT290"/>
      <c r="KU290"/>
      <c r="KV290"/>
      <c r="KW290"/>
      <c r="KX290"/>
      <c r="KY290"/>
      <c r="KZ290"/>
      <c r="LA290"/>
      <c r="LB290"/>
      <c r="LC290"/>
      <c r="LD290"/>
      <c r="LE290"/>
      <c r="LF290"/>
      <c r="LG290"/>
      <c r="LH290"/>
      <c r="LI290"/>
      <c r="LJ290"/>
      <c r="LK290"/>
      <c r="LL290"/>
      <c r="LM290"/>
      <c r="LN290"/>
      <c r="LO290"/>
      <c r="LP290"/>
      <c r="LQ290"/>
      <c r="LR290"/>
      <c r="LS290"/>
      <c r="LT290"/>
      <c r="LU290"/>
      <c r="LV290"/>
      <c r="LW290"/>
      <c r="LX290"/>
      <c r="LY290"/>
      <c r="LZ290"/>
      <c r="MA290"/>
      <c r="MB290"/>
      <c r="MC290"/>
      <c r="MD290"/>
      <c r="ME290"/>
      <c r="MF290"/>
      <c r="MG290"/>
      <c r="MH290"/>
      <c r="MI290"/>
      <c r="MJ290"/>
      <c r="MK290"/>
      <c r="ML290"/>
      <c r="MM290"/>
      <c r="MN290"/>
      <c r="MO290"/>
      <c r="MP290"/>
      <c r="MQ290"/>
      <c r="MR290"/>
      <c r="MS290"/>
      <c r="MT290"/>
      <c r="MU290"/>
      <c r="MV290"/>
      <c r="MW290"/>
      <c r="MX290"/>
      <c r="MY290"/>
      <c r="MZ290"/>
      <c r="NA290"/>
      <c r="NB290"/>
      <c r="NC290"/>
      <c r="ND290"/>
      <c r="NE290"/>
      <c r="NF290"/>
      <c r="NG290"/>
      <c r="NH290"/>
      <c r="NI290"/>
      <c r="NJ290"/>
      <c r="NK290"/>
      <c r="NL290"/>
      <c r="NM290"/>
      <c r="NN290"/>
      <c r="NO290"/>
      <c r="NP290"/>
      <c r="NQ290"/>
      <c r="NR290"/>
      <c r="NS290"/>
      <c r="NT290"/>
      <c r="NU290"/>
      <c r="NV290"/>
      <c r="NW290"/>
      <c r="NX290"/>
      <c r="NY290"/>
      <c r="NZ290"/>
      <c r="OA290"/>
      <c r="OB290"/>
      <c r="OC290"/>
      <c r="OD290"/>
      <c r="OE290"/>
      <c r="OF290"/>
      <c r="OG290"/>
      <c r="OH290"/>
      <c r="OI290"/>
      <c r="OJ290"/>
      <c r="OK290"/>
      <c r="OL290"/>
      <c r="OM290"/>
      <c r="ON290"/>
      <c r="OO290"/>
      <c r="OP290"/>
      <c r="OQ290"/>
      <c r="OR290"/>
      <c r="OS290"/>
      <c r="OT290"/>
      <c r="OU290"/>
      <c r="OV290"/>
      <c r="OW290"/>
      <c r="OX290"/>
      <c r="OY290"/>
      <c r="OZ290"/>
      <c r="PA290"/>
      <c r="PB290"/>
      <c r="PC290"/>
      <c r="PD290"/>
      <c r="PE290"/>
      <c r="PF290"/>
      <c r="PG290"/>
      <c r="PH290"/>
      <c r="PI290"/>
      <c r="PJ290"/>
      <c r="PK290"/>
      <c r="PL290"/>
      <c r="PM290"/>
      <c r="PN290"/>
      <c r="PO290"/>
      <c r="PP290"/>
      <c r="PQ290"/>
      <c r="PR290"/>
      <c r="PS290"/>
      <c r="PT290"/>
      <c r="PU290"/>
      <c r="PV290"/>
      <c r="PW290"/>
      <c r="PX290"/>
      <c r="PY290"/>
      <c r="PZ290"/>
      <c r="QA290"/>
      <c r="QB290"/>
      <c r="QC290"/>
      <c r="QD290"/>
      <c r="QE290"/>
      <c r="QF290"/>
      <c r="QG290"/>
      <c r="QH290"/>
      <c r="QI290"/>
      <c r="QJ290"/>
      <c r="QK290"/>
      <c r="QL290"/>
      <c r="QM290"/>
      <c r="QN290"/>
      <c r="QO290"/>
      <c r="QP290"/>
      <c r="QQ290"/>
      <c r="QR290"/>
      <c r="QS290"/>
      <c r="QT290"/>
      <c r="QU290"/>
      <c r="QV290"/>
      <c r="QW290"/>
      <c r="QX290"/>
      <c r="QY290"/>
      <c r="QZ290"/>
      <c r="RA290"/>
      <c r="RB290"/>
      <c r="RC290"/>
      <c r="RD290"/>
      <c r="RE290"/>
      <c r="RF290"/>
      <c r="RG290"/>
      <c r="RH290"/>
      <c r="RI290"/>
      <c r="RJ290"/>
      <c r="RK290"/>
      <c r="RL290"/>
      <c r="RM290"/>
      <c r="RN290"/>
      <c r="RO290"/>
      <c r="RP290"/>
      <c r="RQ290"/>
      <c r="RR290"/>
      <c r="RS290"/>
    </row>
    <row r="291" spans="3:487" x14ac:dyDescent="0.25">
      <c r="C291" s="2" t="s">
        <v>3837</v>
      </c>
      <c r="D291" s="34">
        <v>0</v>
      </c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  <c r="AZ291"/>
      <c r="BA291"/>
      <c r="BB291"/>
      <c r="BC291"/>
      <c r="BD291"/>
      <c r="BE291"/>
      <c r="BF291"/>
      <c r="BG291"/>
      <c r="BH291"/>
      <c r="BI291"/>
      <c r="BJ291"/>
      <c r="BK291"/>
      <c r="BL291"/>
      <c r="BM291"/>
      <c r="BN291"/>
      <c r="BO291"/>
      <c r="BP291"/>
      <c r="BQ291"/>
      <c r="BR291"/>
      <c r="BS291"/>
      <c r="BT291"/>
      <c r="BU291"/>
      <c r="BV291"/>
      <c r="BW291"/>
      <c r="BX291"/>
      <c r="BY291"/>
      <c r="BZ291"/>
      <c r="CA291"/>
      <c r="CB291"/>
      <c r="CC291"/>
      <c r="CD291"/>
      <c r="CE291"/>
      <c r="CF291"/>
      <c r="CG291"/>
      <c r="CH291"/>
      <c r="CI291"/>
      <c r="CJ291"/>
      <c r="CK291"/>
      <c r="CL291"/>
      <c r="CM291"/>
      <c r="CN291"/>
      <c r="CO291"/>
      <c r="CP291"/>
      <c r="CQ291"/>
      <c r="CR291"/>
      <c r="CS291"/>
      <c r="CT291"/>
      <c r="CU291"/>
      <c r="CV291"/>
      <c r="CW291"/>
      <c r="CX291"/>
      <c r="CY291"/>
      <c r="CZ291"/>
      <c r="DA291"/>
      <c r="DB291"/>
      <c r="DC291"/>
      <c r="DD291"/>
      <c r="DE291"/>
      <c r="DF291"/>
      <c r="DG291"/>
      <c r="DH291"/>
      <c r="DI291"/>
      <c r="DJ291"/>
      <c r="DK291"/>
      <c r="DL291"/>
      <c r="DM291"/>
      <c r="DN291"/>
      <c r="DO291"/>
      <c r="DP291"/>
      <c r="DQ291"/>
      <c r="DR291"/>
      <c r="DS291"/>
      <c r="DT291"/>
      <c r="DU291"/>
      <c r="DV291"/>
      <c r="DW291"/>
      <c r="DX291"/>
      <c r="DY291"/>
      <c r="DZ291"/>
      <c r="EA291"/>
      <c r="EB291"/>
      <c r="EC291"/>
      <c r="ED291"/>
      <c r="EE291"/>
      <c r="EF291"/>
      <c r="EG291"/>
      <c r="EH291"/>
      <c r="EI291"/>
      <c r="EJ291"/>
      <c r="EK291"/>
      <c r="EL291"/>
      <c r="EM291"/>
      <c r="EN291"/>
      <c r="EO291"/>
      <c r="EP291"/>
      <c r="EQ291"/>
      <c r="ER291"/>
      <c r="ES291"/>
      <c r="ET291"/>
      <c r="EU291"/>
      <c r="EV291"/>
      <c r="EW291"/>
      <c r="EX291"/>
      <c r="EY291"/>
      <c r="EZ291"/>
      <c r="FA291"/>
      <c r="FB291"/>
      <c r="FC291"/>
      <c r="FD291"/>
      <c r="FE291"/>
      <c r="FF291"/>
      <c r="FG291"/>
      <c r="FH291"/>
      <c r="FI291"/>
      <c r="FJ291"/>
      <c r="FK291"/>
      <c r="FL291"/>
      <c r="FM291"/>
      <c r="FN291"/>
      <c r="FO291"/>
      <c r="FP291"/>
      <c r="FQ291"/>
      <c r="FR291"/>
      <c r="FS291"/>
      <c r="FT291"/>
      <c r="FU291"/>
      <c r="FV291"/>
      <c r="FW291"/>
      <c r="FX291"/>
      <c r="FY291"/>
      <c r="FZ291"/>
      <c r="GA291"/>
      <c r="GB291"/>
      <c r="GC291"/>
      <c r="GD291"/>
      <c r="GE291"/>
      <c r="GF291"/>
      <c r="GG291"/>
      <c r="GH291"/>
      <c r="GI291"/>
      <c r="GJ291"/>
      <c r="GK291"/>
      <c r="GL291"/>
      <c r="GM291"/>
      <c r="GN291"/>
      <c r="GO291"/>
      <c r="GP291"/>
      <c r="GQ291"/>
      <c r="GR291"/>
      <c r="GS291"/>
      <c r="GT291"/>
      <c r="GU291"/>
      <c r="GV291"/>
      <c r="GW291"/>
      <c r="GX291"/>
      <c r="GY291"/>
      <c r="GZ291"/>
      <c r="HA291"/>
      <c r="HB291"/>
      <c r="HC291"/>
      <c r="HD291"/>
      <c r="HE291"/>
      <c r="HF291"/>
      <c r="HG291"/>
      <c r="HH291"/>
      <c r="HI291"/>
      <c r="HJ291"/>
      <c r="HK291"/>
      <c r="HL291"/>
      <c r="HM291"/>
      <c r="HN291"/>
      <c r="HO291"/>
      <c r="HP291"/>
      <c r="HQ291"/>
      <c r="HR291"/>
      <c r="HS291"/>
      <c r="HT291"/>
      <c r="HU291"/>
      <c r="HV291"/>
      <c r="HW291"/>
      <c r="HX291"/>
      <c r="HY291"/>
      <c r="HZ291"/>
      <c r="IA291"/>
      <c r="IB291"/>
      <c r="IC291"/>
      <c r="ID291"/>
      <c r="IE291"/>
      <c r="IF291"/>
      <c r="IG291"/>
      <c r="IH291"/>
      <c r="II291"/>
      <c r="IJ291"/>
      <c r="IK291"/>
      <c r="IL291"/>
      <c r="IM291"/>
      <c r="IN291"/>
      <c r="IO291"/>
      <c r="IP291"/>
      <c r="IQ291"/>
      <c r="IR291"/>
      <c r="IS291"/>
      <c r="IT291"/>
      <c r="IU291"/>
      <c r="IV291"/>
      <c r="IW291"/>
      <c r="IX291"/>
      <c r="IY291"/>
      <c r="IZ291"/>
      <c r="JA291"/>
      <c r="JB291"/>
      <c r="JC291"/>
      <c r="JD291"/>
      <c r="JE291"/>
      <c r="JF291"/>
      <c r="JG291"/>
      <c r="JH291"/>
      <c r="JI291"/>
      <c r="JJ291"/>
      <c r="JK291"/>
      <c r="JL291"/>
      <c r="JM291"/>
      <c r="JN291"/>
      <c r="JO291"/>
      <c r="JP291"/>
      <c r="JQ291"/>
      <c r="JR291"/>
      <c r="JS291"/>
      <c r="JT291"/>
      <c r="JU291"/>
      <c r="JV291"/>
      <c r="JW291"/>
      <c r="JX291"/>
      <c r="JY291"/>
      <c r="JZ291"/>
      <c r="KA291"/>
      <c r="KB291"/>
      <c r="KC291"/>
      <c r="KD291"/>
      <c r="KE291"/>
      <c r="KF291"/>
      <c r="KG291"/>
      <c r="KH291"/>
      <c r="KI291"/>
      <c r="KJ291"/>
      <c r="KK291"/>
      <c r="KL291"/>
      <c r="KM291"/>
      <c r="KN291"/>
      <c r="KO291"/>
      <c r="KP291"/>
      <c r="KQ291"/>
      <c r="KR291"/>
      <c r="KS291"/>
      <c r="KT291"/>
      <c r="KU291"/>
      <c r="KV291"/>
      <c r="KW291"/>
      <c r="KX291"/>
      <c r="KY291"/>
      <c r="KZ291"/>
      <c r="LA291"/>
      <c r="LB291"/>
      <c r="LC291"/>
      <c r="LD291"/>
      <c r="LE291"/>
      <c r="LF291"/>
      <c r="LG291"/>
      <c r="LH291"/>
      <c r="LI291"/>
      <c r="LJ291"/>
      <c r="LK291"/>
      <c r="LL291"/>
      <c r="LM291"/>
      <c r="LN291"/>
      <c r="LO291"/>
      <c r="LP291"/>
      <c r="LQ291"/>
      <c r="LR291"/>
      <c r="LS291"/>
      <c r="LT291"/>
      <c r="LU291"/>
      <c r="LV291"/>
      <c r="LW291"/>
      <c r="LX291"/>
      <c r="LY291"/>
      <c r="LZ291"/>
      <c r="MA291"/>
      <c r="MB291"/>
      <c r="MC291"/>
      <c r="MD291"/>
      <c r="ME291"/>
      <c r="MF291"/>
      <c r="MG291"/>
      <c r="MH291"/>
      <c r="MI291"/>
      <c r="MJ291"/>
      <c r="MK291"/>
      <c r="ML291"/>
      <c r="MM291"/>
      <c r="MN291"/>
      <c r="MO291"/>
      <c r="MP291"/>
      <c r="MQ291"/>
      <c r="MR291"/>
      <c r="MS291"/>
      <c r="MT291"/>
      <c r="MU291"/>
      <c r="MV291"/>
      <c r="MW291"/>
      <c r="MX291"/>
      <c r="MY291"/>
      <c r="MZ291"/>
      <c r="NA291"/>
      <c r="NB291"/>
      <c r="NC291"/>
      <c r="ND291"/>
      <c r="NE291"/>
      <c r="NF291"/>
      <c r="NG291"/>
      <c r="NH291"/>
      <c r="NI291"/>
      <c r="NJ291"/>
      <c r="NK291"/>
      <c r="NL291"/>
      <c r="NM291"/>
      <c r="NN291"/>
      <c r="NO291"/>
      <c r="NP291"/>
      <c r="NQ291"/>
      <c r="NR291"/>
      <c r="NS291"/>
      <c r="NT291"/>
      <c r="NU291"/>
      <c r="NV291"/>
      <c r="NW291"/>
      <c r="NX291"/>
      <c r="NY291"/>
      <c r="NZ291"/>
      <c r="OA291"/>
      <c r="OB291"/>
      <c r="OC291"/>
      <c r="OD291"/>
      <c r="OE291"/>
      <c r="OF291"/>
      <c r="OG291"/>
      <c r="OH291"/>
      <c r="OI291"/>
      <c r="OJ291"/>
      <c r="OK291"/>
      <c r="OL291"/>
      <c r="OM291"/>
      <c r="ON291"/>
      <c r="OO291"/>
      <c r="OP291"/>
      <c r="OQ291"/>
      <c r="OR291"/>
      <c r="OS291"/>
      <c r="OT291"/>
      <c r="OU291"/>
      <c r="OV291"/>
      <c r="OW291"/>
      <c r="OX291"/>
      <c r="OY291"/>
      <c r="OZ291"/>
      <c r="PA291"/>
      <c r="PB291"/>
      <c r="PC291"/>
      <c r="PD291"/>
      <c r="PE291"/>
      <c r="PF291"/>
      <c r="PG291"/>
      <c r="PH291"/>
      <c r="PI291"/>
      <c r="PJ291"/>
      <c r="PK291"/>
      <c r="PL291"/>
      <c r="PM291"/>
      <c r="PN291"/>
      <c r="PO291"/>
      <c r="PP291"/>
      <c r="PQ291"/>
      <c r="PR291"/>
      <c r="PS291"/>
      <c r="PT291"/>
      <c r="PU291"/>
      <c r="PV291"/>
      <c r="PW291"/>
      <c r="PX291"/>
      <c r="PY291"/>
      <c r="PZ291"/>
      <c r="QA291"/>
      <c r="QB291"/>
      <c r="QC291"/>
      <c r="QD291"/>
      <c r="QE291"/>
      <c r="QF291"/>
      <c r="QG291"/>
      <c r="QH291"/>
      <c r="QI291"/>
      <c r="QJ291"/>
      <c r="QK291"/>
      <c r="QL291"/>
      <c r="QM291"/>
      <c r="QN291"/>
      <c r="QO291"/>
      <c r="QP291"/>
      <c r="QQ291"/>
      <c r="QR291"/>
      <c r="QS291"/>
      <c r="QT291"/>
      <c r="QU291"/>
      <c r="QV291"/>
      <c r="QW291"/>
      <c r="QX291"/>
      <c r="QY291"/>
      <c r="QZ291"/>
      <c r="RA291"/>
      <c r="RB291"/>
      <c r="RC291"/>
      <c r="RD291"/>
      <c r="RE291"/>
      <c r="RF291"/>
      <c r="RG291"/>
      <c r="RH291"/>
      <c r="RI291"/>
      <c r="RJ291"/>
      <c r="RK291"/>
      <c r="RL291"/>
      <c r="RM291"/>
      <c r="RN291"/>
      <c r="RO291"/>
      <c r="RP291"/>
      <c r="RQ291"/>
      <c r="RR291"/>
      <c r="RS291"/>
    </row>
    <row r="292" spans="3:487" x14ac:dyDescent="0.25">
      <c r="C292" s="2" t="s">
        <v>3761</v>
      </c>
      <c r="D292" s="34">
        <v>0</v>
      </c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  <c r="AZ292"/>
      <c r="BA292"/>
      <c r="BB292"/>
      <c r="BC292"/>
      <c r="BD292"/>
      <c r="BE292"/>
      <c r="BF292"/>
      <c r="BG292"/>
      <c r="BH292"/>
      <c r="BI292"/>
      <c r="BJ292"/>
      <c r="BK292"/>
      <c r="BL292"/>
      <c r="BM292"/>
      <c r="BN292"/>
      <c r="BO292"/>
      <c r="BP292"/>
      <c r="BQ292"/>
      <c r="BR292"/>
      <c r="BS292"/>
      <c r="BT292"/>
      <c r="BU292"/>
      <c r="BV292"/>
      <c r="BW292"/>
      <c r="BX292"/>
      <c r="BY292"/>
      <c r="BZ292"/>
      <c r="CA292"/>
      <c r="CB292"/>
      <c r="CC292"/>
      <c r="CD292"/>
      <c r="CE292"/>
      <c r="CF292"/>
      <c r="CG292"/>
      <c r="CH292"/>
      <c r="CI292"/>
      <c r="CJ292"/>
      <c r="CK292"/>
      <c r="CL292"/>
      <c r="CM292"/>
      <c r="CN292"/>
      <c r="CO292"/>
      <c r="CP292"/>
      <c r="CQ292"/>
      <c r="CR292"/>
      <c r="CS292"/>
      <c r="CT292"/>
      <c r="CU292"/>
      <c r="CV292"/>
      <c r="CW292"/>
      <c r="CX292"/>
      <c r="CY292"/>
      <c r="CZ292"/>
      <c r="DA292"/>
      <c r="DB292"/>
      <c r="DC292"/>
      <c r="DD292"/>
      <c r="DE292"/>
      <c r="DF292"/>
      <c r="DG292"/>
      <c r="DH292"/>
      <c r="DI292"/>
      <c r="DJ292"/>
      <c r="DK292"/>
      <c r="DL292"/>
      <c r="DM292"/>
      <c r="DN292"/>
      <c r="DO292"/>
      <c r="DP292"/>
      <c r="DQ292"/>
      <c r="DR292"/>
      <c r="DS292"/>
      <c r="DT292"/>
      <c r="DU292"/>
      <c r="DV292"/>
      <c r="DW292"/>
      <c r="DX292"/>
      <c r="DY292"/>
      <c r="DZ292"/>
      <c r="EA292"/>
      <c r="EB292"/>
      <c r="EC292"/>
      <c r="ED292"/>
      <c r="EE292"/>
      <c r="EF292"/>
      <c r="EG292"/>
      <c r="EH292"/>
      <c r="EI292"/>
      <c r="EJ292"/>
      <c r="EK292"/>
      <c r="EL292"/>
      <c r="EM292"/>
      <c r="EN292"/>
      <c r="EO292"/>
      <c r="EP292"/>
      <c r="EQ292"/>
      <c r="ER292"/>
      <c r="ES292"/>
      <c r="ET292"/>
      <c r="EU292"/>
      <c r="EV292"/>
      <c r="EW292"/>
      <c r="EX292"/>
      <c r="EY292"/>
      <c r="EZ292"/>
      <c r="FA292"/>
      <c r="FB292"/>
      <c r="FC292"/>
      <c r="FD292"/>
      <c r="FE292"/>
      <c r="FF292"/>
      <c r="FG292"/>
      <c r="FH292"/>
      <c r="FI292"/>
      <c r="FJ292"/>
      <c r="FK292"/>
      <c r="FL292"/>
      <c r="FM292"/>
      <c r="FN292"/>
      <c r="FO292"/>
      <c r="FP292"/>
      <c r="FQ292"/>
      <c r="FR292"/>
      <c r="FS292"/>
      <c r="FT292"/>
      <c r="FU292"/>
      <c r="FV292"/>
      <c r="FW292"/>
      <c r="FX292"/>
      <c r="FY292"/>
      <c r="FZ292"/>
      <c r="GA292"/>
      <c r="GB292"/>
      <c r="GC292"/>
      <c r="GD292"/>
      <c r="GE292"/>
      <c r="GF292"/>
      <c r="GG292"/>
      <c r="GH292"/>
      <c r="GI292"/>
      <c r="GJ292"/>
      <c r="GK292"/>
      <c r="GL292"/>
      <c r="GM292"/>
      <c r="GN292"/>
      <c r="GO292"/>
      <c r="GP292"/>
      <c r="GQ292"/>
      <c r="GR292"/>
      <c r="GS292"/>
      <c r="GT292"/>
      <c r="GU292"/>
      <c r="GV292"/>
      <c r="GW292"/>
      <c r="GX292"/>
      <c r="GY292"/>
      <c r="GZ292"/>
      <c r="HA292"/>
      <c r="HB292"/>
      <c r="HC292"/>
      <c r="HD292"/>
      <c r="HE292"/>
      <c r="HF292"/>
      <c r="HG292"/>
      <c r="HH292"/>
      <c r="HI292"/>
      <c r="HJ292"/>
      <c r="HK292"/>
      <c r="HL292"/>
      <c r="HM292"/>
      <c r="HN292"/>
      <c r="HO292"/>
      <c r="HP292"/>
      <c r="HQ292"/>
      <c r="HR292"/>
      <c r="HS292"/>
      <c r="HT292"/>
      <c r="HU292"/>
      <c r="HV292"/>
      <c r="HW292"/>
      <c r="HX292"/>
      <c r="HY292"/>
      <c r="HZ292"/>
      <c r="IA292"/>
      <c r="IB292"/>
      <c r="IC292"/>
      <c r="ID292"/>
      <c r="IE292"/>
      <c r="IF292"/>
      <c r="IG292"/>
      <c r="IH292"/>
      <c r="II292"/>
      <c r="IJ292"/>
      <c r="IK292"/>
      <c r="IL292"/>
      <c r="IM292"/>
      <c r="IN292"/>
      <c r="IO292"/>
      <c r="IP292"/>
      <c r="IQ292"/>
      <c r="IR292"/>
      <c r="IS292"/>
      <c r="IT292"/>
      <c r="IU292"/>
      <c r="IV292"/>
      <c r="IW292"/>
      <c r="IX292"/>
      <c r="IY292"/>
      <c r="IZ292"/>
      <c r="JA292"/>
      <c r="JB292"/>
      <c r="JC292"/>
      <c r="JD292"/>
      <c r="JE292"/>
      <c r="JF292"/>
      <c r="JG292"/>
      <c r="JH292"/>
      <c r="JI292"/>
      <c r="JJ292"/>
      <c r="JK292"/>
      <c r="JL292"/>
      <c r="JM292"/>
      <c r="JN292"/>
      <c r="JO292"/>
      <c r="JP292"/>
      <c r="JQ292"/>
      <c r="JR292"/>
      <c r="JS292"/>
      <c r="JT292"/>
      <c r="JU292"/>
      <c r="JV292"/>
      <c r="JW292"/>
      <c r="JX292"/>
      <c r="JY292"/>
      <c r="JZ292"/>
      <c r="KA292"/>
      <c r="KB292"/>
      <c r="KC292"/>
      <c r="KD292"/>
      <c r="KE292"/>
      <c r="KF292"/>
      <c r="KG292"/>
      <c r="KH292"/>
      <c r="KI292"/>
      <c r="KJ292"/>
      <c r="KK292"/>
      <c r="KL292"/>
      <c r="KM292"/>
      <c r="KN292"/>
      <c r="KO292"/>
      <c r="KP292"/>
      <c r="KQ292"/>
      <c r="KR292"/>
      <c r="KS292"/>
      <c r="KT292"/>
      <c r="KU292"/>
      <c r="KV292"/>
      <c r="KW292"/>
      <c r="KX292"/>
      <c r="KY292"/>
      <c r="KZ292"/>
      <c r="LA292"/>
      <c r="LB292"/>
      <c r="LC292"/>
      <c r="LD292"/>
      <c r="LE292"/>
      <c r="LF292"/>
      <c r="LG292"/>
      <c r="LH292"/>
      <c r="LI292"/>
      <c r="LJ292"/>
      <c r="LK292"/>
      <c r="LL292"/>
      <c r="LM292"/>
      <c r="LN292"/>
      <c r="LO292"/>
      <c r="LP292"/>
      <c r="LQ292"/>
      <c r="LR292"/>
      <c r="LS292"/>
      <c r="LT292"/>
      <c r="LU292"/>
      <c r="LV292"/>
      <c r="LW292"/>
      <c r="LX292"/>
      <c r="LY292"/>
      <c r="LZ292"/>
      <c r="MA292"/>
      <c r="MB292"/>
      <c r="MC292"/>
      <c r="MD292"/>
      <c r="ME292"/>
      <c r="MF292"/>
      <c r="MG292"/>
      <c r="MH292"/>
      <c r="MI292"/>
      <c r="MJ292"/>
      <c r="MK292"/>
      <c r="ML292"/>
      <c r="MM292"/>
      <c r="MN292"/>
      <c r="MO292"/>
      <c r="MP292"/>
      <c r="MQ292"/>
      <c r="MR292"/>
      <c r="MS292"/>
      <c r="MT292"/>
      <c r="MU292"/>
      <c r="MV292"/>
      <c r="MW292"/>
      <c r="MX292"/>
      <c r="MY292"/>
      <c r="MZ292"/>
      <c r="NA292"/>
      <c r="NB292"/>
      <c r="NC292"/>
      <c r="ND292"/>
      <c r="NE292"/>
      <c r="NF292"/>
      <c r="NG292"/>
      <c r="NH292"/>
      <c r="NI292"/>
      <c r="NJ292"/>
      <c r="NK292"/>
      <c r="NL292"/>
      <c r="NM292"/>
      <c r="NN292"/>
      <c r="NO292"/>
      <c r="NP292"/>
      <c r="NQ292"/>
      <c r="NR292"/>
      <c r="NS292"/>
      <c r="NT292"/>
      <c r="NU292"/>
      <c r="NV292"/>
      <c r="NW292"/>
      <c r="NX292"/>
      <c r="NY292"/>
      <c r="NZ292"/>
      <c r="OA292"/>
      <c r="OB292"/>
      <c r="OC292"/>
      <c r="OD292"/>
      <c r="OE292"/>
      <c r="OF292"/>
      <c r="OG292"/>
      <c r="OH292"/>
      <c r="OI292"/>
      <c r="OJ292"/>
      <c r="OK292"/>
      <c r="OL292"/>
      <c r="OM292"/>
      <c r="ON292"/>
      <c r="OO292"/>
      <c r="OP292"/>
      <c r="OQ292"/>
      <c r="OR292"/>
      <c r="OS292"/>
      <c r="OT292"/>
      <c r="OU292"/>
      <c r="OV292"/>
      <c r="OW292"/>
      <c r="OX292"/>
      <c r="OY292"/>
      <c r="OZ292"/>
      <c r="PA292"/>
      <c r="PB292"/>
      <c r="PC292"/>
      <c r="PD292"/>
      <c r="PE292"/>
      <c r="PF292"/>
      <c r="PG292"/>
      <c r="PH292"/>
      <c r="PI292"/>
      <c r="PJ292"/>
      <c r="PK292"/>
      <c r="PL292"/>
      <c r="PM292"/>
      <c r="PN292"/>
      <c r="PO292"/>
      <c r="PP292"/>
      <c r="PQ292"/>
      <c r="PR292"/>
      <c r="PS292"/>
      <c r="PT292"/>
      <c r="PU292"/>
      <c r="PV292"/>
      <c r="PW292"/>
      <c r="PX292"/>
      <c r="PY292"/>
      <c r="PZ292"/>
      <c r="QA292"/>
      <c r="QB292"/>
      <c r="QC292"/>
      <c r="QD292"/>
      <c r="QE292"/>
      <c r="QF292"/>
      <c r="QG292"/>
      <c r="QH292"/>
      <c r="QI292"/>
      <c r="QJ292"/>
      <c r="QK292"/>
      <c r="QL292"/>
      <c r="QM292"/>
      <c r="QN292"/>
      <c r="QO292"/>
      <c r="QP292"/>
      <c r="QQ292"/>
      <c r="QR292"/>
      <c r="QS292"/>
      <c r="QT292"/>
      <c r="QU292"/>
      <c r="QV292"/>
      <c r="QW292"/>
      <c r="QX292"/>
      <c r="QY292"/>
      <c r="QZ292"/>
      <c r="RA292"/>
      <c r="RB292"/>
      <c r="RC292"/>
      <c r="RD292"/>
      <c r="RE292"/>
      <c r="RF292"/>
      <c r="RG292"/>
      <c r="RH292"/>
      <c r="RI292"/>
      <c r="RJ292"/>
      <c r="RK292"/>
      <c r="RL292"/>
      <c r="RM292"/>
      <c r="RN292"/>
      <c r="RO292"/>
      <c r="RP292"/>
      <c r="RQ292"/>
      <c r="RR292"/>
      <c r="RS292"/>
    </row>
    <row r="293" spans="3:487" x14ac:dyDescent="0.25">
      <c r="C293" s="2" t="s">
        <v>3839</v>
      </c>
      <c r="D293" s="34">
        <v>0</v>
      </c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  <c r="BC293"/>
      <c r="BD293"/>
      <c r="BE293"/>
      <c r="BF293"/>
      <c r="BG293"/>
      <c r="BH293"/>
      <c r="BI293"/>
      <c r="BJ293"/>
      <c r="BK293"/>
      <c r="BL293"/>
      <c r="BM293"/>
      <c r="BN293"/>
      <c r="BO293"/>
      <c r="BP293"/>
      <c r="BQ293"/>
      <c r="BR293"/>
      <c r="BS293"/>
      <c r="BT293"/>
      <c r="BU293"/>
      <c r="BV293"/>
      <c r="BW293"/>
      <c r="BX293"/>
      <c r="BY293"/>
      <c r="BZ293"/>
      <c r="CA293"/>
      <c r="CB293"/>
      <c r="CC293"/>
      <c r="CD293"/>
      <c r="CE293"/>
      <c r="CF293"/>
      <c r="CG293"/>
      <c r="CH293"/>
      <c r="CI293"/>
      <c r="CJ293"/>
      <c r="CK293"/>
      <c r="CL293"/>
      <c r="CM293"/>
      <c r="CN293"/>
      <c r="CO293"/>
      <c r="CP293"/>
      <c r="CQ293"/>
      <c r="CR293"/>
      <c r="CS293"/>
      <c r="CT293"/>
      <c r="CU293"/>
      <c r="CV293"/>
      <c r="CW293"/>
      <c r="CX293"/>
      <c r="CY293"/>
      <c r="CZ293"/>
      <c r="DA293"/>
      <c r="DB293"/>
      <c r="DC293"/>
      <c r="DD293"/>
      <c r="DE293"/>
      <c r="DF293"/>
      <c r="DG293"/>
      <c r="DH293"/>
      <c r="DI293"/>
      <c r="DJ293"/>
      <c r="DK293"/>
      <c r="DL293"/>
      <c r="DM293"/>
      <c r="DN293"/>
      <c r="DO293"/>
      <c r="DP293"/>
      <c r="DQ293"/>
      <c r="DR293"/>
      <c r="DS293"/>
      <c r="DT293"/>
      <c r="DU293"/>
      <c r="DV293"/>
      <c r="DW293"/>
      <c r="DX293"/>
      <c r="DY293"/>
      <c r="DZ293"/>
      <c r="EA293"/>
      <c r="EB293"/>
      <c r="EC293"/>
      <c r="ED293"/>
      <c r="EE293"/>
      <c r="EF293"/>
      <c r="EG293"/>
      <c r="EH293"/>
      <c r="EI293"/>
      <c r="EJ293"/>
      <c r="EK293"/>
      <c r="EL293"/>
      <c r="EM293"/>
      <c r="EN293"/>
      <c r="EO293"/>
      <c r="EP293"/>
      <c r="EQ293"/>
      <c r="ER293"/>
      <c r="ES293"/>
      <c r="ET293"/>
      <c r="EU293"/>
      <c r="EV293"/>
      <c r="EW293"/>
      <c r="EX293"/>
      <c r="EY293"/>
      <c r="EZ293"/>
      <c r="FA293"/>
      <c r="FB293"/>
      <c r="FC293"/>
      <c r="FD293"/>
      <c r="FE293"/>
      <c r="FF293"/>
      <c r="FG293"/>
      <c r="FH293"/>
      <c r="FI293"/>
      <c r="FJ293"/>
      <c r="FK293"/>
      <c r="FL293"/>
      <c r="FM293"/>
      <c r="FN293"/>
      <c r="FO293"/>
      <c r="FP293"/>
      <c r="FQ293"/>
      <c r="FR293"/>
      <c r="FS293"/>
      <c r="FT293"/>
      <c r="FU293"/>
      <c r="FV293"/>
      <c r="FW293"/>
      <c r="FX293"/>
      <c r="FY293"/>
      <c r="FZ293"/>
      <c r="GA293"/>
      <c r="GB293"/>
      <c r="GC293"/>
      <c r="GD293"/>
      <c r="GE293"/>
      <c r="GF293"/>
      <c r="GG293"/>
      <c r="GH293"/>
      <c r="GI293"/>
      <c r="GJ293"/>
      <c r="GK293"/>
      <c r="GL293"/>
      <c r="GM293"/>
      <c r="GN293"/>
      <c r="GO293"/>
      <c r="GP293"/>
      <c r="GQ293"/>
      <c r="GR293"/>
      <c r="GS293"/>
      <c r="GT293"/>
      <c r="GU293"/>
      <c r="GV293"/>
      <c r="GW293"/>
      <c r="GX293"/>
      <c r="GY293"/>
      <c r="GZ293"/>
      <c r="HA293"/>
      <c r="HB293"/>
      <c r="HC293"/>
      <c r="HD293"/>
      <c r="HE293"/>
      <c r="HF293"/>
      <c r="HG293"/>
      <c r="HH293"/>
      <c r="HI293"/>
      <c r="HJ293"/>
      <c r="HK293"/>
      <c r="HL293"/>
      <c r="HM293"/>
      <c r="HN293"/>
      <c r="HO293"/>
      <c r="HP293"/>
      <c r="HQ293"/>
      <c r="HR293"/>
      <c r="HS293"/>
      <c r="HT293"/>
      <c r="HU293"/>
      <c r="HV293"/>
      <c r="HW293"/>
      <c r="HX293"/>
      <c r="HY293"/>
      <c r="HZ293"/>
      <c r="IA293"/>
      <c r="IB293"/>
      <c r="IC293"/>
      <c r="ID293"/>
      <c r="IE293"/>
      <c r="IF293"/>
      <c r="IG293"/>
      <c r="IH293"/>
      <c r="II293"/>
      <c r="IJ293"/>
      <c r="IK293"/>
      <c r="IL293"/>
      <c r="IM293"/>
      <c r="IN293"/>
      <c r="IO293"/>
      <c r="IP293"/>
      <c r="IQ293"/>
      <c r="IR293"/>
      <c r="IS293"/>
      <c r="IT293"/>
      <c r="IU293"/>
      <c r="IV293"/>
      <c r="IW293"/>
      <c r="IX293"/>
      <c r="IY293"/>
      <c r="IZ293"/>
      <c r="JA293"/>
      <c r="JB293"/>
      <c r="JC293"/>
      <c r="JD293"/>
      <c r="JE293"/>
      <c r="JF293"/>
      <c r="JG293"/>
      <c r="JH293"/>
      <c r="JI293"/>
      <c r="JJ293"/>
      <c r="JK293"/>
      <c r="JL293"/>
      <c r="JM293"/>
      <c r="JN293"/>
      <c r="JO293"/>
      <c r="JP293"/>
      <c r="JQ293"/>
      <c r="JR293"/>
      <c r="JS293"/>
      <c r="JT293"/>
      <c r="JU293"/>
      <c r="JV293"/>
      <c r="JW293"/>
      <c r="JX293"/>
      <c r="JY293"/>
      <c r="JZ293"/>
      <c r="KA293"/>
      <c r="KB293"/>
      <c r="KC293"/>
      <c r="KD293"/>
      <c r="KE293"/>
      <c r="KF293"/>
      <c r="KG293"/>
      <c r="KH293"/>
      <c r="KI293"/>
      <c r="KJ293"/>
      <c r="KK293"/>
      <c r="KL293"/>
      <c r="KM293"/>
      <c r="KN293"/>
      <c r="KO293"/>
      <c r="KP293"/>
      <c r="KQ293"/>
      <c r="KR293"/>
      <c r="KS293"/>
      <c r="KT293"/>
      <c r="KU293"/>
      <c r="KV293"/>
      <c r="KW293"/>
      <c r="KX293"/>
      <c r="KY293"/>
      <c r="KZ293"/>
      <c r="LA293"/>
      <c r="LB293"/>
      <c r="LC293"/>
      <c r="LD293"/>
      <c r="LE293"/>
      <c r="LF293"/>
      <c r="LG293"/>
      <c r="LH293"/>
      <c r="LI293"/>
      <c r="LJ293"/>
      <c r="LK293"/>
      <c r="LL293"/>
      <c r="LM293"/>
      <c r="LN293"/>
      <c r="LO293"/>
      <c r="LP293"/>
      <c r="LQ293"/>
      <c r="LR293"/>
      <c r="LS293"/>
      <c r="LT293"/>
      <c r="LU293"/>
      <c r="LV293"/>
      <c r="LW293"/>
      <c r="LX293"/>
      <c r="LY293"/>
      <c r="LZ293"/>
      <c r="MA293"/>
      <c r="MB293"/>
      <c r="MC293"/>
      <c r="MD293"/>
      <c r="ME293"/>
      <c r="MF293"/>
      <c r="MG293"/>
      <c r="MH293"/>
      <c r="MI293"/>
      <c r="MJ293"/>
      <c r="MK293"/>
      <c r="ML293"/>
      <c r="MM293"/>
      <c r="MN293"/>
      <c r="MO293"/>
      <c r="MP293"/>
      <c r="MQ293"/>
      <c r="MR293"/>
      <c r="MS293"/>
      <c r="MT293"/>
      <c r="MU293"/>
      <c r="MV293"/>
      <c r="MW293"/>
      <c r="MX293"/>
      <c r="MY293"/>
      <c r="MZ293"/>
      <c r="NA293"/>
      <c r="NB293"/>
      <c r="NC293"/>
      <c r="ND293"/>
      <c r="NE293"/>
      <c r="NF293"/>
      <c r="NG293"/>
      <c r="NH293"/>
      <c r="NI293"/>
      <c r="NJ293"/>
      <c r="NK293"/>
      <c r="NL293"/>
      <c r="NM293"/>
      <c r="NN293"/>
      <c r="NO293"/>
      <c r="NP293"/>
      <c r="NQ293"/>
      <c r="NR293"/>
      <c r="NS293"/>
      <c r="NT293"/>
      <c r="NU293"/>
      <c r="NV293"/>
      <c r="NW293"/>
      <c r="NX293"/>
      <c r="NY293"/>
      <c r="NZ293"/>
      <c r="OA293"/>
      <c r="OB293"/>
      <c r="OC293"/>
      <c r="OD293"/>
      <c r="OE293"/>
      <c r="OF293"/>
      <c r="OG293"/>
      <c r="OH293"/>
      <c r="OI293"/>
      <c r="OJ293"/>
      <c r="OK293"/>
      <c r="OL293"/>
      <c r="OM293"/>
      <c r="ON293"/>
      <c r="OO293"/>
      <c r="OP293"/>
      <c r="OQ293"/>
      <c r="OR293"/>
      <c r="OS293"/>
      <c r="OT293"/>
      <c r="OU293"/>
      <c r="OV293"/>
      <c r="OW293"/>
      <c r="OX293"/>
      <c r="OY293"/>
      <c r="OZ293"/>
      <c r="PA293"/>
      <c r="PB293"/>
      <c r="PC293"/>
      <c r="PD293"/>
      <c r="PE293"/>
      <c r="PF293"/>
      <c r="PG293"/>
      <c r="PH293"/>
      <c r="PI293"/>
      <c r="PJ293"/>
      <c r="PK293"/>
      <c r="PL293"/>
      <c r="PM293"/>
      <c r="PN293"/>
      <c r="PO293"/>
      <c r="PP293"/>
      <c r="PQ293"/>
      <c r="PR293"/>
      <c r="PS293"/>
      <c r="PT293"/>
      <c r="PU293"/>
      <c r="PV293"/>
      <c r="PW293"/>
      <c r="PX293"/>
      <c r="PY293"/>
      <c r="PZ293"/>
      <c r="QA293"/>
      <c r="QB293"/>
      <c r="QC293"/>
      <c r="QD293"/>
      <c r="QE293"/>
      <c r="QF293"/>
      <c r="QG293"/>
      <c r="QH293"/>
      <c r="QI293"/>
      <c r="QJ293"/>
      <c r="QK293"/>
      <c r="QL293"/>
      <c r="QM293"/>
      <c r="QN293"/>
      <c r="QO293"/>
      <c r="QP293"/>
      <c r="QQ293"/>
      <c r="QR293"/>
      <c r="QS293"/>
      <c r="QT293"/>
      <c r="QU293"/>
      <c r="QV293"/>
      <c r="QW293"/>
      <c r="QX293"/>
      <c r="QY293"/>
      <c r="QZ293"/>
      <c r="RA293"/>
      <c r="RB293"/>
      <c r="RC293"/>
      <c r="RD293"/>
      <c r="RE293"/>
      <c r="RF293"/>
      <c r="RG293"/>
      <c r="RH293"/>
      <c r="RI293"/>
      <c r="RJ293"/>
      <c r="RK293"/>
      <c r="RL293"/>
      <c r="RM293"/>
      <c r="RN293"/>
      <c r="RO293"/>
      <c r="RP293"/>
      <c r="RQ293"/>
      <c r="RR293"/>
      <c r="RS293"/>
    </row>
    <row r="294" spans="3:487" x14ac:dyDescent="0.25">
      <c r="C294" s="2" t="s">
        <v>3816</v>
      </c>
      <c r="D294" s="34">
        <v>0</v>
      </c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  <c r="AZ294"/>
      <c r="BA294"/>
      <c r="BB294"/>
      <c r="BC294"/>
      <c r="BD294"/>
      <c r="BE294"/>
      <c r="BF294"/>
      <c r="BG294"/>
      <c r="BH294"/>
      <c r="BI294"/>
      <c r="BJ294"/>
      <c r="BK294"/>
      <c r="BL294"/>
      <c r="BM294"/>
      <c r="BN294"/>
      <c r="BO294"/>
      <c r="BP294"/>
      <c r="BQ294"/>
      <c r="BR294"/>
      <c r="BS294"/>
      <c r="BT294"/>
      <c r="BU294"/>
      <c r="BV294"/>
      <c r="BW294"/>
      <c r="BX294"/>
      <c r="BY294"/>
      <c r="BZ294"/>
      <c r="CA294"/>
      <c r="CB294"/>
      <c r="CC294"/>
      <c r="CD294"/>
      <c r="CE294"/>
      <c r="CF294"/>
      <c r="CG294"/>
      <c r="CH294"/>
      <c r="CI294"/>
      <c r="CJ294"/>
      <c r="CK294"/>
      <c r="CL294"/>
      <c r="CM294"/>
      <c r="CN294"/>
      <c r="CO294"/>
      <c r="CP294"/>
      <c r="CQ294"/>
      <c r="CR294"/>
      <c r="CS294"/>
      <c r="CT294"/>
      <c r="CU294"/>
      <c r="CV294"/>
      <c r="CW294"/>
      <c r="CX294"/>
      <c r="CY294"/>
      <c r="CZ294"/>
      <c r="DA294"/>
      <c r="DB294"/>
      <c r="DC294"/>
      <c r="DD294"/>
      <c r="DE294"/>
      <c r="DF294"/>
      <c r="DG294"/>
      <c r="DH294"/>
      <c r="DI294"/>
      <c r="DJ294"/>
      <c r="DK294"/>
      <c r="DL294"/>
      <c r="DM294"/>
      <c r="DN294"/>
      <c r="DO294"/>
      <c r="DP294"/>
      <c r="DQ294"/>
      <c r="DR294"/>
      <c r="DS294"/>
      <c r="DT294"/>
      <c r="DU294"/>
      <c r="DV294"/>
      <c r="DW294"/>
      <c r="DX294"/>
      <c r="DY294"/>
      <c r="DZ294"/>
      <c r="EA294"/>
      <c r="EB294"/>
      <c r="EC294"/>
      <c r="ED294"/>
      <c r="EE294"/>
      <c r="EF294"/>
      <c r="EG294"/>
      <c r="EH294"/>
      <c r="EI294"/>
      <c r="EJ294"/>
      <c r="EK294"/>
      <c r="EL294"/>
      <c r="EM294"/>
      <c r="EN294"/>
      <c r="EO294"/>
      <c r="EP294"/>
      <c r="EQ294"/>
      <c r="ER294"/>
      <c r="ES294"/>
      <c r="ET294"/>
      <c r="EU294"/>
      <c r="EV294"/>
      <c r="EW294"/>
      <c r="EX294"/>
      <c r="EY294"/>
      <c r="EZ294"/>
      <c r="FA294"/>
      <c r="FB294"/>
      <c r="FC294"/>
      <c r="FD294"/>
      <c r="FE294"/>
      <c r="FF294"/>
      <c r="FG294"/>
      <c r="FH294"/>
      <c r="FI294"/>
      <c r="FJ294"/>
      <c r="FK294"/>
      <c r="FL294"/>
      <c r="FM294"/>
      <c r="FN294"/>
      <c r="FO294"/>
      <c r="FP294"/>
      <c r="FQ294"/>
      <c r="FR294"/>
      <c r="FS294"/>
      <c r="FT294"/>
      <c r="FU294"/>
      <c r="FV294"/>
      <c r="FW294"/>
      <c r="FX294"/>
      <c r="FY294"/>
      <c r="FZ294"/>
      <c r="GA294"/>
      <c r="GB294"/>
      <c r="GC294"/>
      <c r="GD294"/>
      <c r="GE294"/>
      <c r="GF294"/>
      <c r="GG294"/>
      <c r="GH294"/>
      <c r="GI294"/>
      <c r="GJ294"/>
      <c r="GK294"/>
      <c r="GL294"/>
      <c r="GM294"/>
      <c r="GN294"/>
      <c r="GO294"/>
      <c r="GP294"/>
      <c r="GQ294"/>
      <c r="GR294"/>
      <c r="GS294"/>
      <c r="GT294"/>
      <c r="GU294"/>
      <c r="GV294"/>
      <c r="GW294"/>
      <c r="GX294"/>
      <c r="GY294"/>
      <c r="GZ294"/>
      <c r="HA294"/>
      <c r="HB294"/>
      <c r="HC294"/>
      <c r="HD294"/>
      <c r="HE294"/>
      <c r="HF294"/>
      <c r="HG294"/>
      <c r="HH294"/>
      <c r="HI294"/>
      <c r="HJ294"/>
      <c r="HK294"/>
      <c r="HL294"/>
      <c r="HM294"/>
      <c r="HN294"/>
      <c r="HO294"/>
      <c r="HP294"/>
      <c r="HQ294"/>
      <c r="HR294"/>
      <c r="HS294"/>
      <c r="HT294"/>
      <c r="HU294"/>
      <c r="HV294"/>
      <c r="HW294"/>
      <c r="HX294"/>
      <c r="HY294"/>
      <c r="HZ294"/>
      <c r="IA294"/>
      <c r="IB294"/>
      <c r="IC294"/>
      <c r="ID294"/>
      <c r="IE294"/>
      <c r="IF294"/>
      <c r="IG294"/>
      <c r="IH294"/>
      <c r="II294"/>
      <c r="IJ294"/>
      <c r="IK294"/>
      <c r="IL294"/>
      <c r="IM294"/>
      <c r="IN294"/>
      <c r="IO294"/>
      <c r="IP294"/>
      <c r="IQ294"/>
      <c r="IR294"/>
      <c r="IS294"/>
      <c r="IT294"/>
      <c r="IU294"/>
      <c r="IV294"/>
      <c r="IW294"/>
      <c r="IX294"/>
      <c r="IY294"/>
      <c r="IZ294"/>
      <c r="JA294"/>
      <c r="JB294"/>
      <c r="JC294"/>
      <c r="JD294"/>
      <c r="JE294"/>
      <c r="JF294"/>
      <c r="JG294"/>
      <c r="JH294"/>
      <c r="JI294"/>
      <c r="JJ294"/>
      <c r="JK294"/>
      <c r="JL294"/>
      <c r="JM294"/>
      <c r="JN294"/>
      <c r="JO294"/>
      <c r="JP294"/>
      <c r="JQ294"/>
      <c r="JR294"/>
      <c r="JS294"/>
      <c r="JT294"/>
      <c r="JU294"/>
      <c r="JV294"/>
      <c r="JW294"/>
      <c r="JX294"/>
      <c r="JY294"/>
      <c r="JZ294"/>
      <c r="KA294"/>
      <c r="KB294"/>
      <c r="KC294"/>
      <c r="KD294"/>
      <c r="KE294"/>
      <c r="KF294"/>
      <c r="KG294"/>
      <c r="KH294"/>
      <c r="KI294"/>
      <c r="KJ294"/>
      <c r="KK294"/>
      <c r="KL294"/>
      <c r="KM294"/>
      <c r="KN294"/>
      <c r="KO294"/>
      <c r="KP294"/>
      <c r="KQ294"/>
      <c r="KR294"/>
      <c r="KS294"/>
      <c r="KT294"/>
      <c r="KU294"/>
      <c r="KV294"/>
      <c r="KW294"/>
      <c r="KX294"/>
      <c r="KY294"/>
      <c r="KZ294"/>
      <c r="LA294"/>
      <c r="LB294"/>
      <c r="LC294"/>
      <c r="LD294"/>
      <c r="LE294"/>
      <c r="LF294"/>
      <c r="LG294"/>
      <c r="LH294"/>
      <c r="LI294"/>
      <c r="LJ294"/>
      <c r="LK294"/>
      <c r="LL294"/>
      <c r="LM294"/>
      <c r="LN294"/>
      <c r="LO294"/>
      <c r="LP294"/>
      <c r="LQ294"/>
      <c r="LR294"/>
      <c r="LS294"/>
      <c r="LT294"/>
      <c r="LU294"/>
      <c r="LV294"/>
      <c r="LW294"/>
      <c r="LX294"/>
      <c r="LY294"/>
      <c r="LZ294"/>
      <c r="MA294"/>
      <c r="MB294"/>
      <c r="MC294"/>
      <c r="MD294"/>
      <c r="ME294"/>
      <c r="MF294"/>
      <c r="MG294"/>
      <c r="MH294"/>
      <c r="MI294"/>
      <c r="MJ294"/>
      <c r="MK294"/>
      <c r="ML294"/>
      <c r="MM294"/>
      <c r="MN294"/>
      <c r="MO294"/>
      <c r="MP294"/>
      <c r="MQ294"/>
      <c r="MR294"/>
      <c r="MS294"/>
      <c r="MT294"/>
      <c r="MU294"/>
      <c r="MV294"/>
      <c r="MW294"/>
      <c r="MX294"/>
      <c r="MY294"/>
      <c r="MZ294"/>
      <c r="NA294"/>
      <c r="NB294"/>
      <c r="NC294"/>
      <c r="ND294"/>
      <c r="NE294"/>
      <c r="NF294"/>
      <c r="NG294"/>
      <c r="NH294"/>
      <c r="NI294"/>
      <c r="NJ294"/>
      <c r="NK294"/>
      <c r="NL294"/>
      <c r="NM294"/>
      <c r="NN294"/>
      <c r="NO294"/>
      <c r="NP294"/>
      <c r="NQ294"/>
      <c r="NR294"/>
      <c r="NS294"/>
      <c r="NT294"/>
      <c r="NU294"/>
      <c r="NV294"/>
      <c r="NW294"/>
      <c r="NX294"/>
      <c r="NY294"/>
      <c r="NZ294"/>
      <c r="OA294"/>
      <c r="OB294"/>
      <c r="OC294"/>
      <c r="OD294"/>
      <c r="OE294"/>
      <c r="OF294"/>
      <c r="OG294"/>
      <c r="OH294"/>
      <c r="OI294"/>
      <c r="OJ294"/>
      <c r="OK294"/>
      <c r="OL294"/>
      <c r="OM294"/>
      <c r="ON294"/>
      <c r="OO294"/>
      <c r="OP294"/>
      <c r="OQ294"/>
      <c r="OR294"/>
      <c r="OS294"/>
      <c r="OT294"/>
      <c r="OU294"/>
      <c r="OV294"/>
      <c r="OW294"/>
      <c r="OX294"/>
      <c r="OY294"/>
      <c r="OZ294"/>
      <c r="PA294"/>
      <c r="PB294"/>
      <c r="PC294"/>
      <c r="PD294"/>
      <c r="PE294"/>
      <c r="PF294"/>
      <c r="PG294"/>
      <c r="PH294"/>
      <c r="PI294"/>
      <c r="PJ294"/>
      <c r="PK294"/>
      <c r="PL294"/>
      <c r="PM294"/>
      <c r="PN294"/>
      <c r="PO294"/>
      <c r="PP294"/>
      <c r="PQ294"/>
      <c r="PR294"/>
      <c r="PS294"/>
      <c r="PT294"/>
      <c r="PU294"/>
      <c r="PV294"/>
      <c r="PW294"/>
      <c r="PX294"/>
      <c r="PY294"/>
      <c r="PZ294"/>
      <c r="QA294"/>
      <c r="QB294"/>
      <c r="QC294"/>
      <c r="QD294"/>
      <c r="QE294"/>
      <c r="QF294"/>
      <c r="QG294"/>
      <c r="QH294"/>
      <c r="QI294"/>
      <c r="QJ294"/>
      <c r="QK294"/>
      <c r="QL294"/>
      <c r="QM294"/>
      <c r="QN294"/>
      <c r="QO294"/>
      <c r="QP294"/>
      <c r="QQ294"/>
      <c r="QR294"/>
      <c r="QS294"/>
      <c r="QT294"/>
      <c r="QU294"/>
      <c r="QV294"/>
      <c r="QW294"/>
      <c r="QX294"/>
      <c r="QY294"/>
      <c r="QZ294"/>
      <c r="RA294"/>
      <c r="RB294"/>
      <c r="RC294"/>
      <c r="RD294"/>
      <c r="RE294"/>
      <c r="RF294"/>
      <c r="RG294"/>
      <c r="RH294"/>
      <c r="RI294"/>
      <c r="RJ294"/>
      <c r="RK294"/>
      <c r="RL294"/>
      <c r="RM294"/>
      <c r="RN294"/>
      <c r="RO294"/>
      <c r="RP294"/>
      <c r="RQ294"/>
      <c r="RR294"/>
      <c r="RS294"/>
    </row>
    <row r="295" spans="3:487" x14ac:dyDescent="0.25">
      <c r="C295" s="2" t="s">
        <v>3817</v>
      </c>
      <c r="D295" s="34">
        <v>0</v>
      </c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  <c r="AZ295"/>
      <c r="BA295"/>
      <c r="BB295"/>
      <c r="BC295"/>
      <c r="BD295"/>
      <c r="BE295"/>
      <c r="BF295"/>
      <c r="BG295"/>
      <c r="BH295"/>
      <c r="BI295"/>
      <c r="BJ295"/>
      <c r="BK295"/>
      <c r="BL295"/>
      <c r="BM295"/>
      <c r="BN295"/>
      <c r="BO295"/>
      <c r="BP295"/>
      <c r="BQ295"/>
      <c r="BR295"/>
      <c r="BS295"/>
      <c r="BT295"/>
      <c r="BU295"/>
      <c r="BV295"/>
      <c r="BW295"/>
      <c r="BX295"/>
      <c r="BY295"/>
      <c r="BZ295"/>
      <c r="CA295"/>
      <c r="CB295"/>
      <c r="CC295"/>
      <c r="CD295"/>
      <c r="CE295"/>
      <c r="CF295"/>
      <c r="CG295"/>
      <c r="CH295"/>
      <c r="CI295"/>
      <c r="CJ295"/>
      <c r="CK295"/>
      <c r="CL295"/>
      <c r="CM295"/>
      <c r="CN295"/>
      <c r="CO295"/>
      <c r="CP295"/>
      <c r="CQ295"/>
      <c r="CR295"/>
      <c r="CS295"/>
      <c r="CT295"/>
      <c r="CU295"/>
      <c r="CV295"/>
      <c r="CW295"/>
      <c r="CX295"/>
      <c r="CY295"/>
      <c r="CZ295"/>
      <c r="DA295"/>
      <c r="DB295"/>
      <c r="DC295"/>
      <c r="DD295"/>
      <c r="DE295"/>
      <c r="DF295"/>
      <c r="DG295"/>
      <c r="DH295"/>
      <c r="DI295"/>
      <c r="DJ295"/>
      <c r="DK295"/>
      <c r="DL295"/>
      <c r="DM295"/>
      <c r="DN295"/>
      <c r="DO295"/>
      <c r="DP295"/>
      <c r="DQ295"/>
      <c r="DR295"/>
      <c r="DS295"/>
      <c r="DT295"/>
      <c r="DU295"/>
      <c r="DV295"/>
      <c r="DW295"/>
      <c r="DX295"/>
      <c r="DY295"/>
      <c r="DZ295"/>
      <c r="EA295"/>
      <c r="EB295"/>
      <c r="EC295"/>
      <c r="ED295"/>
      <c r="EE295"/>
      <c r="EF295"/>
      <c r="EG295"/>
      <c r="EH295"/>
      <c r="EI295"/>
      <c r="EJ295"/>
      <c r="EK295"/>
      <c r="EL295"/>
      <c r="EM295"/>
      <c r="EN295"/>
      <c r="EO295"/>
      <c r="EP295"/>
      <c r="EQ295"/>
      <c r="ER295"/>
      <c r="ES295"/>
      <c r="ET295"/>
      <c r="EU295"/>
      <c r="EV295"/>
      <c r="EW295"/>
      <c r="EX295"/>
      <c r="EY295"/>
      <c r="EZ295"/>
      <c r="FA295"/>
      <c r="FB295"/>
      <c r="FC295"/>
      <c r="FD295"/>
      <c r="FE295"/>
      <c r="FF295"/>
      <c r="FG295"/>
      <c r="FH295"/>
      <c r="FI295"/>
      <c r="FJ295"/>
      <c r="FK295"/>
      <c r="FL295"/>
      <c r="FM295"/>
      <c r="FN295"/>
      <c r="FO295"/>
      <c r="FP295"/>
      <c r="FQ295"/>
      <c r="FR295"/>
      <c r="FS295"/>
      <c r="FT295"/>
      <c r="FU295"/>
      <c r="FV295"/>
      <c r="FW295"/>
      <c r="FX295"/>
      <c r="FY295"/>
      <c r="FZ295"/>
      <c r="GA295"/>
      <c r="GB295"/>
      <c r="GC295"/>
      <c r="GD295"/>
      <c r="GE295"/>
      <c r="GF295"/>
      <c r="GG295"/>
      <c r="GH295"/>
      <c r="GI295"/>
      <c r="GJ295"/>
      <c r="GK295"/>
      <c r="GL295"/>
      <c r="GM295"/>
      <c r="GN295"/>
      <c r="GO295"/>
      <c r="GP295"/>
      <c r="GQ295"/>
      <c r="GR295"/>
      <c r="GS295"/>
      <c r="GT295"/>
      <c r="GU295"/>
      <c r="GV295"/>
      <c r="GW295"/>
      <c r="GX295"/>
      <c r="GY295"/>
      <c r="GZ295"/>
      <c r="HA295"/>
      <c r="HB295"/>
      <c r="HC295"/>
      <c r="HD295"/>
      <c r="HE295"/>
      <c r="HF295"/>
      <c r="HG295"/>
      <c r="HH295"/>
      <c r="HI295"/>
      <c r="HJ295"/>
      <c r="HK295"/>
      <c r="HL295"/>
      <c r="HM295"/>
      <c r="HN295"/>
      <c r="HO295"/>
      <c r="HP295"/>
      <c r="HQ295"/>
      <c r="HR295"/>
      <c r="HS295"/>
      <c r="HT295"/>
      <c r="HU295"/>
      <c r="HV295"/>
      <c r="HW295"/>
      <c r="HX295"/>
      <c r="HY295"/>
      <c r="HZ295"/>
      <c r="IA295"/>
      <c r="IB295"/>
      <c r="IC295"/>
      <c r="ID295"/>
      <c r="IE295"/>
      <c r="IF295"/>
      <c r="IG295"/>
      <c r="IH295"/>
      <c r="II295"/>
      <c r="IJ295"/>
      <c r="IK295"/>
      <c r="IL295"/>
      <c r="IM295"/>
      <c r="IN295"/>
      <c r="IO295"/>
      <c r="IP295"/>
      <c r="IQ295"/>
      <c r="IR295"/>
      <c r="IS295"/>
      <c r="IT295"/>
      <c r="IU295"/>
      <c r="IV295"/>
      <c r="IW295"/>
      <c r="IX295"/>
      <c r="IY295"/>
      <c r="IZ295"/>
      <c r="JA295"/>
      <c r="JB295"/>
      <c r="JC295"/>
      <c r="JD295"/>
      <c r="JE295"/>
      <c r="JF295"/>
      <c r="JG295"/>
      <c r="JH295"/>
      <c r="JI295"/>
      <c r="JJ295"/>
      <c r="JK295"/>
      <c r="JL295"/>
      <c r="JM295"/>
      <c r="JN295"/>
      <c r="JO295"/>
      <c r="JP295"/>
      <c r="JQ295"/>
      <c r="JR295"/>
      <c r="JS295"/>
      <c r="JT295"/>
      <c r="JU295"/>
      <c r="JV295"/>
      <c r="JW295"/>
      <c r="JX295"/>
      <c r="JY295"/>
      <c r="JZ295"/>
      <c r="KA295"/>
      <c r="KB295"/>
      <c r="KC295"/>
      <c r="KD295"/>
      <c r="KE295"/>
      <c r="KF295"/>
      <c r="KG295"/>
      <c r="KH295"/>
      <c r="KI295"/>
      <c r="KJ295"/>
      <c r="KK295"/>
      <c r="KL295"/>
      <c r="KM295"/>
      <c r="KN295"/>
      <c r="KO295"/>
      <c r="KP295"/>
      <c r="KQ295"/>
      <c r="KR295"/>
      <c r="KS295"/>
      <c r="KT295"/>
      <c r="KU295"/>
      <c r="KV295"/>
      <c r="KW295"/>
      <c r="KX295"/>
      <c r="KY295"/>
      <c r="KZ295"/>
      <c r="LA295"/>
      <c r="LB295"/>
      <c r="LC295"/>
      <c r="LD295"/>
      <c r="LE295"/>
      <c r="LF295"/>
      <c r="LG295"/>
      <c r="LH295"/>
      <c r="LI295"/>
      <c r="LJ295"/>
      <c r="LK295"/>
      <c r="LL295"/>
      <c r="LM295"/>
      <c r="LN295"/>
      <c r="LO295"/>
      <c r="LP295"/>
      <c r="LQ295"/>
      <c r="LR295"/>
      <c r="LS295"/>
      <c r="LT295"/>
      <c r="LU295"/>
      <c r="LV295"/>
      <c r="LW295"/>
      <c r="LX295"/>
      <c r="LY295"/>
      <c r="LZ295"/>
      <c r="MA295"/>
      <c r="MB295"/>
      <c r="MC295"/>
      <c r="MD295"/>
      <c r="ME295"/>
      <c r="MF295"/>
      <c r="MG295"/>
      <c r="MH295"/>
      <c r="MI295"/>
      <c r="MJ295"/>
      <c r="MK295"/>
      <c r="ML295"/>
      <c r="MM295"/>
      <c r="MN295"/>
      <c r="MO295"/>
      <c r="MP295"/>
      <c r="MQ295"/>
      <c r="MR295"/>
      <c r="MS295"/>
      <c r="MT295"/>
      <c r="MU295"/>
      <c r="MV295"/>
      <c r="MW295"/>
      <c r="MX295"/>
      <c r="MY295"/>
      <c r="MZ295"/>
      <c r="NA295"/>
      <c r="NB295"/>
      <c r="NC295"/>
      <c r="ND295"/>
      <c r="NE295"/>
      <c r="NF295"/>
      <c r="NG295"/>
      <c r="NH295"/>
      <c r="NI295"/>
      <c r="NJ295"/>
      <c r="NK295"/>
      <c r="NL295"/>
      <c r="NM295"/>
      <c r="NN295"/>
      <c r="NO295"/>
      <c r="NP295"/>
      <c r="NQ295"/>
      <c r="NR295"/>
      <c r="NS295"/>
      <c r="NT295"/>
      <c r="NU295"/>
      <c r="NV295"/>
      <c r="NW295"/>
      <c r="NX295"/>
      <c r="NY295"/>
      <c r="NZ295"/>
      <c r="OA295"/>
      <c r="OB295"/>
      <c r="OC295"/>
      <c r="OD295"/>
      <c r="OE295"/>
      <c r="OF295"/>
      <c r="OG295"/>
      <c r="OH295"/>
      <c r="OI295"/>
      <c r="OJ295"/>
      <c r="OK295"/>
      <c r="OL295"/>
      <c r="OM295"/>
      <c r="ON295"/>
      <c r="OO295"/>
      <c r="OP295"/>
      <c r="OQ295"/>
      <c r="OR295"/>
      <c r="OS295"/>
      <c r="OT295"/>
      <c r="OU295"/>
      <c r="OV295"/>
      <c r="OW295"/>
      <c r="OX295"/>
      <c r="OY295"/>
      <c r="OZ295"/>
      <c r="PA295"/>
      <c r="PB295"/>
      <c r="PC295"/>
      <c r="PD295"/>
      <c r="PE295"/>
      <c r="PF295"/>
      <c r="PG295"/>
      <c r="PH295"/>
      <c r="PI295"/>
      <c r="PJ295"/>
      <c r="PK295"/>
      <c r="PL295"/>
      <c r="PM295"/>
      <c r="PN295"/>
      <c r="PO295"/>
      <c r="PP295"/>
      <c r="PQ295"/>
      <c r="PR295"/>
      <c r="PS295"/>
      <c r="PT295"/>
      <c r="PU295"/>
      <c r="PV295"/>
      <c r="PW295"/>
      <c r="PX295"/>
      <c r="PY295"/>
      <c r="PZ295"/>
      <c r="QA295"/>
      <c r="QB295"/>
      <c r="QC295"/>
      <c r="QD295"/>
      <c r="QE295"/>
      <c r="QF295"/>
      <c r="QG295"/>
      <c r="QH295"/>
      <c r="QI295"/>
      <c r="QJ295"/>
      <c r="QK295"/>
      <c r="QL295"/>
      <c r="QM295"/>
      <c r="QN295"/>
      <c r="QO295"/>
      <c r="QP295"/>
      <c r="QQ295"/>
      <c r="QR295"/>
      <c r="QS295"/>
      <c r="QT295"/>
      <c r="QU295"/>
      <c r="QV295"/>
      <c r="QW295"/>
      <c r="QX295"/>
      <c r="QY295"/>
      <c r="QZ295"/>
      <c r="RA295"/>
      <c r="RB295"/>
      <c r="RC295"/>
      <c r="RD295"/>
      <c r="RE295"/>
      <c r="RF295"/>
      <c r="RG295"/>
      <c r="RH295"/>
      <c r="RI295"/>
      <c r="RJ295"/>
      <c r="RK295"/>
      <c r="RL295"/>
      <c r="RM295"/>
      <c r="RN295"/>
      <c r="RO295"/>
      <c r="RP295"/>
      <c r="RQ295"/>
      <c r="RR295"/>
      <c r="RS295"/>
    </row>
    <row r="296" spans="3:487" x14ac:dyDescent="0.25">
      <c r="C296" s="2" t="s">
        <v>65</v>
      </c>
      <c r="D296" s="34">
        <v>337</v>
      </c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  <c r="AZ296"/>
      <c r="BA296"/>
      <c r="BB296"/>
      <c r="BC296"/>
      <c r="BD296"/>
      <c r="BE296"/>
      <c r="BF296"/>
      <c r="BG296"/>
      <c r="BH296"/>
      <c r="BI296"/>
      <c r="BJ296"/>
      <c r="BK296"/>
      <c r="BL296"/>
      <c r="BM296"/>
      <c r="BN296"/>
      <c r="BO296"/>
      <c r="BP296"/>
      <c r="BQ296"/>
      <c r="BR296"/>
      <c r="BS296"/>
      <c r="BT296"/>
      <c r="BU296"/>
      <c r="BV296"/>
      <c r="BW296"/>
      <c r="BX296"/>
      <c r="BY296"/>
      <c r="BZ296"/>
      <c r="CA296"/>
      <c r="CB296"/>
      <c r="CC296"/>
      <c r="CD296"/>
      <c r="CE296"/>
      <c r="CF296"/>
      <c r="CG296"/>
      <c r="CH296"/>
      <c r="CI296"/>
      <c r="CJ296"/>
      <c r="CK296"/>
      <c r="CL296"/>
      <c r="CM296"/>
      <c r="CN296"/>
      <c r="CO296"/>
      <c r="CP296"/>
      <c r="CQ296"/>
      <c r="CR296"/>
      <c r="CS296"/>
      <c r="CT296"/>
      <c r="CU296"/>
      <c r="CV296"/>
      <c r="CW296"/>
      <c r="CX296"/>
      <c r="CY296"/>
      <c r="CZ296"/>
      <c r="DA296"/>
      <c r="DB296"/>
      <c r="DC296"/>
      <c r="DD296"/>
      <c r="DE296"/>
      <c r="DF296"/>
      <c r="DG296"/>
      <c r="DH296"/>
      <c r="DI296"/>
      <c r="DJ296"/>
      <c r="DK296"/>
      <c r="DL296"/>
      <c r="DM296"/>
      <c r="DN296"/>
      <c r="DO296"/>
      <c r="DP296"/>
      <c r="DQ296"/>
      <c r="DR296"/>
      <c r="DS296"/>
      <c r="DT296"/>
      <c r="DU296"/>
      <c r="DV296"/>
      <c r="DW296"/>
      <c r="DX296"/>
      <c r="DY296"/>
      <c r="DZ296"/>
      <c r="EA296"/>
      <c r="EB296"/>
      <c r="EC296"/>
      <c r="ED296"/>
      <c r="EE296"/>
      <c r="EF296"/>
      <c r="EG296"/>
      <c r="EH296"/>
      <c r="EI296"/>
      <c r="EJ296"/>
      <c r="EK296"/>
      <c r="EL296"/>
      <c r="EM296"/>
      <c r="EN296"/>
      <c r="EO296"/>
      <c r="EP296"/>
      <c r="EQ296"/>
      <c r="ER296"/>
      <c r="ES296"/>
      <c r="ET296"/>
      <c r="EU296"/>
      <c r="EV296"/>
      <c r="EW296"/>
      <c r="EX296"/>
      <c r="EY296"/>
      <c r="EZ296"/>
      <c r="FA296"/>
      <c r="FB296"/>
      <c r="FC296"/>
      <c r="FD296"/>
      <c r="FE296"/>
      <c r="FF296"/>
      <c r="FG296"/>
      <c r="FH296"/>
      <c r="FI296"/>
      <c r="FJ296"/>
      <c r="FK296"/>
      <c r="FL296"/>
      <c r="FM296"/>
      <c r="FN296"/>
      <c r="FO296"/>
      <c r="FP296"/>
      <c r="FQ296"/>
      <c r="FR296"/>
      <c r="FS296"/>
      <c r="FT296"/>
      <c r="FU296"/>
      <c r="FV296"/>
      <c r="FW296"/>
      <c r="FX296"/>
      <c r="FY296"/>
      <c r="FZ296"/>
      <c r="GA296"/>
      <c r="GB296"/>
      <c r="GC296"/>
      <c r="GD296"/>
      <c r="GE296"/>
      <c r="GF296"/>
      <c r="GG296"/>
      <c r="GH296"/>
      <c r="GI296"/>
      <c r="GJ296"/>
      <c r="GK296"/>
      <c r="GL296"/>
      <c r="GM296"/>
      <c r="GN296"/>
      <c r="GO296"/>
      <c r="GP296"/>
      <c r="GQ296"/>
      <c r="GR296"/>
      <c r="GS296"/>
      <c r="GT296"/>
      <c r="GU296"/>
      <c r="GV296"/>
      <c r="GW296"/>
      <c r="GX296"/>
      <c r="GY296"/>
      <c r="GZ296"/>
      <c r="HA296"/>
      <c r="HB296"/>
      <c r="HC296"/>
      <c r="HD296"/>
      <c r="HE296"/>
      <c r="HF296"/>
      <c r="HG296"/>
      <c r="HH296"/>
      <c r="HI296"/>
      <c r="HJ296"/>
      <c r="HK296"/>
      <c r="HL296"/>
      <c r="HM296"/>
      <c r="HN296"/>
      <c r="HO296"/>
      <c r="HP296"/>
      <c r="HQ296"/>
      <c r="HR296"/>
      <c r="HS296"/>
      <c r="HT296"/>
      <c r="HU296"/>
      <c r="HV296"/>
      <c r="HW296"/>
      <c r="HX296"/>
      <c r="HY296"/>
      <c r="HZ296"/>
      <c r="IA296"/>
      <c r="IB296"/>
      <c r="IC296"/>
      <c r="ID296"/>
      <c r="IE296"/>
      <c r="IF296"/>
      <c r="IG296"/>
      <c r="IH296"/>
      <c r="II296"/>
      <c r="IJ296"/>
      <c r="IK296"/>
      <c r="IL296"/>
      <c r="IM296"/>
      <c r="IN296"/>
      <c r="IO296"/>
      <c r="IP296"/>
      <c r="IQ296"/>
      <c r="IR296"/>
      <c r="IS296"/>
      <c r="IT296"/>
      <c r="IU296"/>
      <c r="IV296"/>
      <c r="IW296"/>
      <c r="IX296"/>
      <c r="IY296"/>
      <c r="IZ296"/>
      <c r="JA296"/>
      <c r="JB296"/>
      <c r="JC296"/>
      <c r="JD296"/>
      <c r="JE296"/>
      <c r="JF296"/>
      <c r="JG296"/>
      <c r="JH296"/>
      <c r="JI296"/>
      <c r="JJ296"/>
      <c r="JK296"/>
      <c r="JL296"/>
      <c r="JM296"/>
      <c r="JN296"/>
      <c r="JO296"/>
      <c r="JP296"/>
      <c r="JQ296"/>
      <c r="JR296"/>
      <c r="JS296"/>
      <c r="JT296"/>
      <c r="JU296"/>
      <c r="JV296"/>
      <c r="JW296"/>
      <c r="JX296"/>
      <c r="JY296"/>
      <c r="JZ296"/>
      <c r="KA296"/>
      <c r="KB296"/>
      <c r="KC296"/>
      <c r="KD296"/>
      <c r="KE296"/>
      <c r="KF296"/>
      <c r="KG296"/>
      <c r="KH296"/>
      <c r="KI296"/>
      <c r="KJ296"/>
      <c r="KK296"/>
      <c r="KL296"/>
      <c r="KM296"/>
      <c r="KN296"/>
      <c r="KO296"/>
      <c r="KP296"/>
      <c r="KQ296"/>
      <c r="KR296"/>
      <c r="KS296"/>
      <c r="KT296"/>
      <c r="KU296"/>
      <c r="KV296"/>
      <c r="KW296"/>
      <c r="KX296"/>
      <c r="KY296"/>
      <c r="KZ296"/>
      <c r="LA296"/>
      <c r="LB296"/>
      <c r="LC296"/>
      <c r="LD296"/>
      <c r="LE296"/>
      <c r="LF296"/>
      <c r="LG296"/>
      <c r="LH296"/>
      <c r="LI296"/>
      <c r="LJ296"/>
      <c r="LK296"/>
      <c r="LL296"/>
      <c r="LM296"/>
      <c r="LN296"/>
      <c r="LO296"/>
      <c r="LP296"/>
      <c r="LQ296"/>
      <c r="LR296"/>
      <c r="LS296"/>
      <c r="LT296"/>
      <c r="LU296"/>
      <c r="LV296"/>
      <c r="LW296"/>
      <c r="LX296"/>
      <c r="LY296"/>
      <c r="LZ296"/>
      <c r="MA296"/>
      <c r="MB296"/>
      <c r="MC296"/>
      <c r="MD296"/>
      <c r="ME296"/>
      <c r="MF296"/>
      <c r="MG296"/>
      <c r="MH296"/>
      <c r="MI296"/>
      <c r="MJ296"/>
      <c r="MK296"/>
      <c r="ML296"/>
      <c r="MM296"/>
      <c r="MN296"/>
      <c r="MO296"/>
      <c r="MP296"/>
      <c r="MQ296"/>
      <c r="MR296"/>
      <c r="MS296"/>
      <c r="MT296"/>
      <c r="MU296"/>
      <c r="MV296"/>
      <c r="MW296"/>
      <c r="MX296"/>
      <c r="MY296"/>
      <c r="MZ296"/>
      <c r="NA296"/>
      <c r="NB296"/>
      <c r="NC296"/>
      <c r="ND296"/>
      <c r="NE296"/>
      <c r="NF296"/>
      <c r="NG296"/>
      <c r="NH296"/>
      <c r="NI296"/>
      <c r="NJ296"/>
      <c r="NK296"/>
      <c r="NL296"/>
      <c r="NM296"/>
      <c r="NN296"/>
      <c r="NO296"/>
      <c r="NP296"/>
      <c r="NQ296"/>
      <c r="NR296"/>
      <c r="NS296"/>
      <c r="NT296"/>
      <c r="NU296"/>
      <c r="NV296"/>
      <c r="NW296"/>
      <c r="NX296"/>
      <c r="NY296"/>
      <c r="NZ296"/>
      <c r="OA296"/>
      <c r="OB296"/>
      <c r="OC296"/>
      <c r="OD296"/>
      <c r="OE296"/>
      <c r="OF296"/>
      <c r="OG296"/>
      <c r="OH296"/>
      <c r="OI296"/>
      <c r="OJ296"/>
      <c r="OK296"/>
      <c r="OL296"/>
      <c r="OM296"/>
      <c r="ON296"/>
      <c r="OO296"/>
      <c r="OP296"/>
      <c r="OQ296"/>
      <c r="OR296"/>
      <c r="OS296"/>
      <c r="OT296"/>
      <c r="OU296"/>
      <c r="OV296"/>
      <c r="OW296"/>
      <c r="OX296"/>
      <c r="OY296"/>
      <c r="OZ296"/>
      <c r="PA296"/>
      <c r="PB296"/>
      <c r="PC296"/>
      <c r="PD296"/>
      <c r="PE296"/>
      <c r="PF296"/>
      <c r="PG296"/>
      <c r="PH296"/>
      <c r="PI296"/>
      <c r="PJ296"/>
      <c r="PK296"/>
      <c r="PL296"/>
      <c r="PM296"/>
      <c r="PN296"/>
      <c r="PO296"/>
      <c r="PP296"/>
      <c r="PQ296"/>
      <c r="PR296"/>
      <c r="PS296"/>
      <c r="PT296"/>
      <c r="PU296"/>
      <c r="PV296"/>
      <c r="PW296"/>
      <c r="PX296"/>
      <c r="PY296"/>
      <c r="PZ296"/>
      <c r="QA296"/>
      <c r="QB296"/>
      <c r="QC296"/>
      <c r="QD296"/>
      <c r="QE296"/>
      <c r="QF296"/>
      <c r="QG296"/>
      <c r="QH296"/>
      <c r="QI296"/>
      <c r="QJ296"/>
      <c r="QK296"/>
      <c r="QL296"/>
      <c r="QM296"/>
      <c r="QN296"/>
      <c r="QO296"/>
      <c r="QP296"/>
      <c r="QQ296"/>
      <c r="QR296"/>
      <c r="QS296"/>
      <c r="QT296"/>
      <c r="QU296"/>
      <c r="QV296"/>
      <c r="QW296"/>
      <c r="QX296"/>
      <c r="QY296"/>
      <c r="QZ296"/>
      <c r="RA296"/>
      <c r="RB296"/>
      <c r="RC296"/>
      <c r="RD296"/>
      <c r="RE296"/>
      <c r="RF296"/>
      <c r="RG296"/>
      <c r="RH296"/>
      <c r="RI296"/>
      <c r="RJ296"/>
      <c r="RK296"/>
      <c r="RL296"/>
      <c r="RM296"/>
      <c r="RN296"/>
      <c r="RO296"/>
      <c r="RP296"/>
      <c r="RQ296"/>
      <c r="RR296"/>
      <c r="RS296"/>
    </row>
    <row r="297" spans="3:487" x14ac:dyDescent="0.25"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  <c r="AZ297"/>
      <c r="BA297"/>
      <c r="BB297"/>
      <c r="BC297"/>
      <c r="BD297"/>
      <c r="BE297"/>
      <c r="BF297"/>
      <c r="BG297"/>
      <c r="BH297"/>
      <c r="BI297"/>
      <c r="BJ297"/>
      <c r="BK297"/>
      <c r="BL297"/>
      <c r="BM297"/>
      <c r="BN297"/>
      <c r="BO297"/>
      <c r="BP297"/>
      <c r="BQ297"/>
      <c r="BR297"/>
      <c r="BS297"/>
      <c r="BT297"/>
      <c r="BU297"/>
      <c r="BV297"/>
      <c r="BW297"/>
      <c r="BX297"/>
      <c r="BY297"/>
      <c r="BZ297"/>
      <c r="CA297"/>
      <c r="CB297"/>
      <c r="CC297"/>
      <c r="CD297"/>
      <c r="CE297"/>
      <c r="CF297"/>
      <c r="CG297"/>
      <c r="CH297"/>
      <c r="CI297"/>
      <c r="CJ297"/>
      <c r="CK297"/>
      <c r="CL297"/>
      <c r="CM297"/>
      <c r="CN297"/>
      <c r="CO297"/>
      <c r="CP297"/>
      <c r="CQ297"/>
      <c r="CR297"/>
      <c r="CS297"/>
      <c r="CT297"/>
      <c r="CU297"/>
      <c r="CV297"/>
      <c r="CW297"/>
      <c r="CX297"/>
      <c r="CY297"/>
      <c r="CZ297"/>
      <c r="DA297"/>
      <c r="DB297"/>
      <c r="DC297"/>
      <c r="DD297"/>
      <c r="DE297"/>
      <c r="DF297"/>
      <c r="DG297"/>
      <c r="DH297"/>
      <c r="DI297"/>
      <c r="DJ297"/>
      <c r="DK297"/>
      <c r="DL297"/>
      <c r="DM297"/>
      <c r="DN297"/>
      <c r="DO297"/>
      <c r="DP297"/>
      <c r="DQ297"/>
      <c r="DR297"/>
      <c r="DS297"/>
      <c r="DT297"/>
      <c r="DU297"/>
      <c r="DV297"/>
      <c r="DW297"/>
      <c r="DX297"/>
      <c r="DY297"/>
      <c r="DZ297"/>
      <c r="EA297"/>
      <c r="EB297"/>
      <c r="EC297"/>
      <c r="ED297"/>
      <c r="EE297"/>
      <c r="EF297"/>
      <c r="EG297"/>
      <c r="EH297"/>
      <c r="EI297"/>
      <c r="EJ297"/>
      <c r="EK297"/>
      <c r="EL297"/>
      <c r="EM297"/>
      <c r="EN297"/>
      <c r="EO297"/>
      <c r="EP297"/>
      <c r="EQ297"/>
      <c r="ER297"/>
      <c r="ES297"/>
      <c r="ET297"/>
      <c r="EU297"/>
      <c r="EV297"/>
      <c r="EW297"/>
      <c r="EX297"/>
      <c r="EY297"/>
      <c r="EZ297"/>
      <c r="FA297"/>
      <c r="FB297"/>
      <c r="FC297"/>
      <c r="FD297"/>
      <c r="FE297"/>
      <c r="FF297"/>
      <c r="FG297"/>
      <c r="FH297"/>
      <c r="FI297"/>
      <c r="FJ297"/>
      <c r="FK297"/>
      <c r="FL297"/>
      <c r="FM297"/>
      <c r="FN297"/>
      <c r="FO297"/>
      <c r="FP297"/>
      <c r="FQ297"/>
      <c r="FR297"/>
      <c r="FS297"/>
      <c r="FT297"/>
      <c r="FU297"/>
      <c r="FV297"/>
      <c r="FW297"/>
      <c r="FX297"/>
      <c r="FY297"/>
      <c r="FZ297"/>
      <c r="GA297"/>
      <c r="GB297"/>
      <c r="GC297"/>
      <c r="GD297"/>
      <c r="GE297"/>
      <c r="GF297"/>
      <c r="GG297"/>
      <c r="GH297"/>
      <c r="GI297"/>
      <c r="GJ297"/>
      <c r="GK297"/>
      <c r="GL297"/>
      <c r="GM297"/>
      <c r="GN297"/>
      <c r="GO297"/>
      <c r="GP297"/>
      <c r="GQ297"/>
      <c r="GR297"/>
      <c r="GS297"/>
      <c r="GT297"/>
      <c r="GU297"/>
      <c r="GV297"/>
      <c r="GW297"/>
      <c r="GX297"/>
      <c r="GY297"/>
      <c r="GZ297"/>
      <c r="HA297"/>
      <c r="HB297"/>
      <c r="HC297"/>
      <c r="HD297"/>
      <c r="HE297"/>
      <c r="HF297"/>
      <c r="HG297"/>
      <c r="HH297"/>
      <c r="HI297"/>
      <c r="HJ297"/>
      <c r="HK297"/>
      <c r="HL297"/>
      <c r="HM297"/>
      <c r="HN297"/>
      <c r="HO297"/>
      <c r="HP297"/>
      <c r="HQ297"/>
      <c r="HR297"/>
      <c r="HS297"/>
      <c r="HT297"/>
      <c r="HU297"/>
      <c r="HV297"/>
      <c r="HW297"/>
      <c r="HX297"/>
      <c r="HY297"/>
      <c r="HZ297"/>
      <c r="IA297"/>
      <c r="IB297"/>
      <c r="IC297"/>
      <c r="ID297"/>
      <c r="IE297"/>
      <c r="IF297"/>
      <c r="IG297"/>
      <c r="IH297"/>
      <c r="II297"/>
      <c r="IJ297"/>
      <c r="IK297"/>
      <c r="IL297"/>
      <c r="IM297"/>
      <c r="IN297"/>
      <c r="IO297"/>
      <c r="IP297"/>
      <c r="IQ297"/>
      <c r="IR297"/>
      <c r="IS297"/>
      <c r="IT297"/>
      <c r="IU297"/>
      <c r="IV297"/>
      <c r="IW297"/>
      <c r="IX297"/>
      <c r="IY297"/>
      <c r="IZ297"/>
      <c r="JA297"/>
      <c r="JB297"/>
      <c r="JC297"/>
      <c r="JD297"/>
      <c r="JE297"/>
      <c r="JF297"/>
      <c r="JG297"/>
      <c r="JH297"/>
      <c r="JI297"/>
      <c r="JJ297"/>
      <c r="JK297"/>
      <c r="JL297"/>
      <c r="JM297"/>
      <c r="JN297"/>
      <c r="JO297"/>
      <c r="JP297"/>
      <c r="JQ297"/>
      <c r="JR297"/>
      <c r="JS297"/>
      <c r="JT297"/>
      <c r="JU297"/>
      <c r="JV297"/>
      <c r="JW297"/>
      <c r="JX297"/>
      <c r="JY297"/>
      <c r="JZ297"/>
      <c r="KA297"/>
      <c r="KB297"/>
      <c r="KC297"/>
      <c r="KD297"/>
      <c r="KE297"/>
      <c r="KF297"/>
      <c r="KG297"/>
      <c r="KH297"/>
      <c r="KI297"/>
      <c r="KJ297"/>
      <c r="KK297"/>
      <c r="KL297"/>
      <c r="KM297"/>
      <c r="KN297"/>
      <c r="KO297"/>
      <c r="KP297"/>
      <c r="KQ297"/>
      <c r="KR297"/>
      <c r="KS297"/>
      <c r="KT297"/>
      <c r="KU297"/>
      <c r="KV297"/>
      <c r="KW297"/>
      <c r="KX297"/>
      <c r="KY297"/>
      <c r="KZ297"/>
      <c r="LA297"/>
      <c r="LB297"/>
      <c r="LC297"/>
      <c r="LD297"/>
      <c r="LE297"/>
      <c r="LF297"/>
      <c r="LG297"/>
      <c r="LH297"/>
      <c r="LI297"/>
      <c r="LJ297"/>
      <c r="LK297"/>
      <c r="LL297"/>
      <c r="LM297"/>
      <c r="LN297"/>
      <c r="LO297"/>
      <c r="LP297"/>
      <c r="LQ297"/>
      <c r="LR297"/>
      <c r="LS297"/>
      <c r="LT297"/>
      <c r="LU297"/>
      <c r="LV297"/>
      <c r="LW297"/>
      <c r="LX297"/>
      <c r="LY297"/>
      <c r="LZ297"/>
      <c r="MA297"/>
      <c r="MB297"/>
      <c r="MC297"/>
      <c r="MD297"/>
      <c r="ME297"/>
      <c r="MF297"/>
      <c r="MG297"/>
      <c r="MH297"/>
      <c r="MI297"/>
      <c r="MJ297"/>
      <c r="MK297"/>
      <c r="ML297"/>
      <c r="MM297"/>
      <c r="MN297"/>
      <c r="MO297"/>
      <c r="MP297"/>
      <c r="MQ297"/>
      <c r="MR297"/>
      <c r="MS297"/>
      <c r="MT297"/>
      <c r="MU297"/>
      <c r="MV297"/>
      <c r="MW297"/>
      <c r="MX297"/>
      <c r="MY297"/>
      <c r="MZ297"/>
      <c r="NA297"/>
      <c r="NB297"/>
      <c r="NC297"/>
      <c r="ND297"/>
      <c r="NE297"/>
      <c r="NF297"/>
      <c r="NG297"/>
      <c r="NH297"/>
      <c r="NI297"/>
      <c r="NJ297"/>
      <c r="NK297"/>
      <c r="NL297"/>
      <c r="NM297"/>
      <c r="NN297"/>
      <c r="NO297"/>
      <c r="NP297"/>
      <c r="NQ297"/>
      <c r="NR297"/>
      <c r="NS297"/>
      <c r="NT297"/>
      <c r="NU297"/>
      <c r="NV297"/>
      <c r="NW297"/>
      <c r="NX297"/>
      <c r="NY297"/>
      <c r="NZ297"/>
      <c r="OA297"/>
      <c r="OB297"/>
      <c r="OC297"/>
      <c r="OD297"/>
      <c r="OE297"/>
      <c r="OF297"/>
      <c r="OG297"/>
      <c r="OH297"/>
      <c r="OI297"/>
      <c r="OJ297"/>
      <c r="OK297"/>
      <c r="OL297"/>
      <c r="OM297"/>
      <c r="ON297"/>
      <c r="OO297"/>
      <c r="OP297"/>
      <c r="OQ297"/>
      <c r="OR297"/>
      <c r="OS297"/>
      <c r="OT297"/>
      <c r="OU297"/>
      <c r="OV297"/>
      <c r="OW297"/>
      <c r="OX297"/>
      <c r="OY297"/>
      <c r="OZ297"/>
      <c r="PA297"/>
      <c r="PB297"/>
      <c r="PC297"/>
      <c r="PD297"/>
      <c r="PE297"/>
      <c r="PF297"/>
      <c r="PG297"/>
      <c r="PH297"/>
      <c r="PI297"/>
      <c r="PJ297"/>
      <c r="PK297"/>
      <c r="PL297"/>
      <c r="PM297"/>
      <c r="PN297"/>
      <c r="PO297"/>
      <c r="PP297"/>
      <c r="PQ297"/>
      <c r="PR297"/>
      <c r="PS297"/>
      <c r="PT297"/>
      <c r="PU297"/>
      <c r="PV297"/>
      <c r="PW297"/>
      <c r="PX297"/>
      <c r="PY297"/>
      <c r="PZ297"/>
      <c r="QA297"/>
      <c r="QB297"/>
      <c r="QC297"/>
      <c r="QD297"/>
      <c r="QE297"/>
      <c r="QF297"/>
      <c r="QG297"/>
      <c r="QH297"/>
      <c r="QI297"/>
      <c r="QJ297"/>
      <c r="QK297"/>
      <c r="QL297"/>
      <c r="QM297"/>
      <c r="QN297"/>
      <c r="QO297"/>
      <c r="QP297"/>
      <c r="QQ297"/>
      <c r="QR297"/>
      <c r="QS297"/>
      <c r="QT297"/>
      <c r="QU297"/>
      <c r="QV297"/>
      <c r="QW297"/>
      <c r="QX297"/>
      <c r="QY297"/>
      <c r="QZ297"/>
      <c r="RA297"/>
      <c r="RB297"/>
      <c r="RC297"/>
      <c r="RD297"/>
      <c r="RE297"/>
      <c r="RF297"/>
      <c r="RG297"/>
      <c r="RH297"/>
      <c r="RI297"/>
      <c r="RJ297"/>
      <c r="RK297"/>
      <c r="RL297"/>
      <c r="RM297"/>
      <c r="RN297"/>
      <c r="RO297"/>
      <c r="RP297"/>
      <c r="RQ297"/>
      <c r="RR297"/>
      <c r="RS297"/>
    </row>
    <row r="298" spans="3:487" x14ac:dyDescent="0.25"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  <c r="AZ298"/>
      <c r="BA298"/>
      <c r="BB298"/>
      <c r="BC298"/>
      <c r="BD298"/>
      <c r="BE298"/>
      <c r="BF298"/>
      <c r="BG298"/>
      <c r="BH298"/>
      <c r="BI298"/>
      <c r="BJ298"/>
      <c r="BK298"/>
      <c r="BL298"/>
      <c r="BM298"/>
      <c r="BN298"/>
      <c r="BO298"/>
      <c r="BP298"/>
      <c r="BQ298"/>
      <c r="BR298"/>
      <c r="BS298"/>
      <c r="BT298"/>
      <c r="BU298"/>
      <c r="BV298"/>
      <c r="BW298"/>
      <c r="BX298"/>
      <c r="BY298"/>
      <c r="BZ298"/>
      <c r="CA298"/>
      <c r="CB298"/>
      <c r="CC298"/>
      <c r="CD298"/>
      <c r="CE298"/>
      <c r="CF298"/>
      <c r="CG298"/>
      <c r="CH298"/>
      <c r="CI298"/>
      <c r="CJ298"/>
      <c r="CK298"/>
      <c r="CL298"/>
      <c r="CM298"/>
      <c r="CN298"/>
      <c r="CO298"/>
      <c r="CP298"/>
      <c r="CQ298"/>
      <c r="CR298"/>
      <c r="CS298"/>
      <c r="CT298"/>
      <c r="CU298"/>
      <c r="CV298"/>
      <c r="CW298"/>
      <c r="CX298"/>
      <c r="CY298"/>
      <c r="CZ298"/>
      <c r="DA298"/>
      <c r="DB298"/>
      <c r="DC298"/>
      <c r="DD298"/>
      <c r="DE298"/>
      <c r="DF298"/>
      <c r="DG298"/>
      <c r="DH298"/>
      <c r="DI298"/>
      <c r="DJ298"/>
      <c r="DK298"/>
      <c r="DL298"/>
      <c r="DM298"/>
      <c r="DN298"/>
      <c r="DO298"/>
      <c r="DP298"/>
      <c r="DQ298"/>
      <c r="DR298"/>
      <c r="DS298"/>
      <c r="DT298"/>
      <c r="DU298"/>
      <c r="DV298"/>
      <c r="DW298"/>
      <c r="DX298"/>
      <c r="DY298"/>
      <c r="DZ298"/>
      <c r="EA298"/>
      <c r="EB298"/>
      <c r="EC298"/>
      <c r="ED298"/>
      <c r="EE298"/>
      <c r="EF298"/>
      <c r="EG298"/>
      <c r="EH298"/>
      <c r="EI298"/>
      <c r="EJ298"/>
      <c r="EK298"/>
      <c r="EL298"/>
      <c r="EM298"/>
      <c r="EN298"/>
      <c r="EO298"/>
      <c r="EP298"/>
      <c r="EQ298"/>
      <c r="ER298"/>
      <c r="ES298"/>
      <c r="ET298"/>
      <c r="EU298"/>
      <c r="EV298"/>
      <c r="EW298"/>
      <c r="EX298"/>
      <c r="EY298"/>
      <c r="EZ298"/>
      <c r="FA298"/>
      <c r="FB298"/>
      <c r="FC298"/>
      <c r="FD298"/>
      <c r="FE298"/>
      <c r="FF298"/>
      <c r="FG298"/>
      <c r="FH298"/>
      <c r="FI298"/>
      <c r="FJ298"/>
      <c r="FK298"/>
      <c r="FL298"/>
      <c r="FM298"/>
      <c r="FN298"/>
      <c r="FO298"/>
      <c r="FP298"/>
      <c r="FQ298"/>
      <c r="FR298"/>
      <c r="FS298"/>
      <c r="FT298"/>
      <c r="FU298"/>
      <c r="FV298"/>
      <c r="FW298"/>
      <c r="FX298"/>
      <c r="FY298"/>
      <c r="FZ298"/>
      <c r="GA298"/>
      <c r="GB298"/>
      <c r="GC298"/>
      <c r="GD298"/>
      <c r="GE298"/>
      <c r="GF298"/>
      <c r="GG298"/>
      <c r="GH298"/>
      <c r="GI298"/>
      <c r="GJ298"/>
      <c r="GK298"/>
      <c r="GL298"/>
      <c r="GM298"/>
      <c r="GN298"/>
      <c r="GO298"/>
      <c r="GP298"/>
      <c r="GQ298"/>
      <c r="GR298"/>
      <c r="GS298"/>
      <c r="GT298"/>
      <c r="GU298"/>
      <c r="GV298"/>
      <c r="GW298"/>
      <c r="GX298"/>
      <c r="GY298"/>
      <c r="GZ298"/>
      <c r="HA298"/>
      <c r="HB298"/>
      <c r="HC298"/>
      <c r="HD298"/>
      <c r="HE298"/>
      <c r="HF298"/>
      <c r="HG298"/>
      <c r="HH298"/>
      <c r="HI298"/>
      <c r="HJ298"/>
      <c r="HK298"/>
      <c r="HL298"/>
      <c r="HM298"/>
      <c r="HN298"/>
      <c r="HO298"/>
      <c r="HP298"/>
      <c r="HQ298"/>
      <c r="HR298"/>
      <c r="HS298"/>
      <c r="HT298"/>
      <c r="HU298"/>
      <c r="HV298"/>
      <c r="HW298"/>
      <c r="HX298"/>
      <c r="HY298"/>
      <c r="HZ298"/>
      <c r="IA298"/>
      <c r="IB298"/>
      <c r="IC298"/>
      <c r="ID298"/>
      <c r="IE298"/>
      <c r="IF298"/>
      <c r="IG298"/>
      <c r="IH298"/>
      <c r="II298"/>
      <c r="IJ298"/>
      <c r="IK298"/>
      <c r="IL298"/>
      <c r="IM298"/>
      <c r="IN298"/>
      <c r="IO298"/>
      <c r="IP298"/>
      <c r="IQ298"/>
      <c r="IR298"/>
      <c r="IS298"/>
      <c r="IT298"/>
      <c r="IU298"/>
      <c r="IV298"/>
      <c r="IW298"/>
      <c r="IX298"/>
      <c r="IY298"/>
      <c r="IZ298"/>
      <c r="JA298"/>
      <c r="JB298"/>
      <c r="JC298"/>
      <c r="JD298"/>
      <c r="JE298"/>
      <c r="JF298"/>
      <c r="JG298"/>
      <c r="JH298"/>
      <c r="JI298"/>
      <c r="JJ298"/>
      <c r="JK298"/>
      <c r="JL298"/>
      <c r="JM298"/>
      <c r="JN298"/>
      <c r="JO298"/>
      <c r="JP298"/>
      <c r="JQ298"/>
      <c r="JR298"/>
      <c r="JS298"/>
      <c r="JT298"/>
      <c r="JU298"/>
      <c r="JV298"/>
      <c r="JW298"/>
      <c r="JX298"/>
      <c r="JY298"/>
      <c r="JZ298"/>
      <c r="KA298"/>
      <c r="KB298"/>
      <c r="KC298"/>
      <c r="KD298"/>
      <c r="KE298"/>
      <c r="KF298"/>
      <c r="KG298"/>
      <c r="KH298"/>
      <c r="KI298"/>
      <c r="KJ298"/>
      <c r="KK298"/>
      <c r="KL298"/>
      <c r="KM298"/>
      <c r="KN298"/>
      <c r="KO298"/>
      <c r="KP298"/>
      <c r="KQ298"/>
      <c r="KR298"/>
      <c r="KS298"/>
      <c r="KT298"/>
      <c r="KU298"/>
      <c r="KV298"/>
      <c r="KW298"/>
      <c r="KX298"/>
      <c r="KY298"/>
      <c r="KZ298"/>
      <c r="LA298"/>
      <c r="LB298"/>
      <c r="LC298"/>
      <c r="LD298"/>
      <c r="LE298"/>
      <c r="LF298"/>
      <c r="LG298"/>
      <c r="LH298"/>
      <c r="LI298"/>
      <c r="LJ298"/>
      <c r="LK298"/>
      <c r="LL298"/>
      <c r="LM298"/>
      <c r="LN298"/>
      <c r="LO298"/>
      <c r="LP298"/>
      <c r="LQ298"/>
      <c r="LR298"/>
      <c r="LS298"/>
      <c r="LT298"/>
      <c r="LU298"/>
      <c r="LV298"/>
      <c r="LW298"/>
      <c r="LX298"/>
      <c r="LY298"/>
      <c r="LZ298"/>
      <c r="MA298"/>
      <c r="MB298"/>
      <c r="MC298"/>
      <c r="MD298"/>
      <c r="ME298"/>
      <c r="MF298"/>
      <c r="MG298"/>
      <c r="MH298"/>
      <c r="MI298"/>
      <c r="MJ298"/>
      <c r="MK298"/>
      <c r="ML298"/>
      <c r="MM298"/>
      <c r="MN298"/>
      <c r="MO298"/>
      <c r="MP298"/>
      <c r="MQ298"/>
      <c r="MR298"/>
      <c r="MS298"/>
      <c r="MT298"/>
      <c r="MU298"/>
      <c r="MV298"/>
      <c r="MW298"/>
      <c r="MX298"/>
      <c r="MY298"/>
      <c r="MZ298"/>
      <c r="NA298"/>
      <c r="NB298"/>
      <c r="NC298"/>
      <c r="ND298"/>
      <c r="NE298"/>
      <c r="NF298"/>
      <c r="NG298"/>
      <c r="NH298"/>
      <c r="NI298"/>
      <c r="NJ298"/>
      <c r="NK298"/>
      <c r="NL298"/>
      <c r="NM298"/>
      <c r="NN298"/>
      <c r="NO298"/>
      <c r="NP298"/>
      <c r="NQ298"/>
      <c r="NR298"/>
      <c r="NS298"/>
      <c r="NT298"/>
      <c r="NU298"/>
      <c r="NV298"/>
      <c r="NW298"/>
      <c r="NX298"/>
      <c r="NY298"/>
      <c r="NZ298"/>
      <c r="OA298"/>
      <c r="OB298"/>
      <c r="OC298"/>
      <c r="OD298"/>
      <c r="OE298"/>
      <c r="OF298"/>
      <c r="OG298"/>
      <c r="OH298"/>
      <c r="OI298"/>
      <c r="OJ298"/>
      <c r="OK298"/>
      <c r="OL298"/>
      <c r="OM298"/>
      <c r="ON298"/>
      <c r="OO298"/>
      <c r="OP298"/>
      <c r="OQ298"/>
      <c r="OR298"/>
      <c r="OS298"/>
      <c r="OT298"/>
      <c r="OU298"/>
      <c r="OV298"/>
      <c r="OW298"/>
      <c r="OX298"/>
      <c r="OY298"/>
      <c r="OZ298"/>
      <c r="PA298"/>
      <c r="PB298"/>
      <c r="PC298"/>
      <c r="PD298"/>
      <c r="PE298"/>
      <c r="PF298"/>
      <c r="PG298"/>
      <c r="PH298"/>
      <c r="PI298"/>
      <c r="PJ298"/>
      <c r="PK298"/>
      <c r="PL298"/>
      <c r="PM298"/>
      <c r="PN298"/>
      <c r="PO298"/>
      <c r="PP298"/>
      <c r="PQ298"/>
      <c r="PR298"/>
      <c r="PS298"/>
      <c r="PT298"/>
      <c r="PU298"/>
      <c r="PV298"/>
      <c r="PW298"/>
      <c r="PX298"/>
      <c r="PY298"/>
      <c r="PZ298"/>
      <c r="QA298"/>
      <c r="QB298"/>
      <c r="QC298"/>
      <c r="QD298"/>
      <c r="QE298"/>
      <c r="QF298"/>
      <c r="QG298"/>
      <c r="QH298"/>
      <c r="QI298"/>
      <c r="QJ298"/>
      <c r="QK298"/>
      <c r="QL298"/>
      <c r="QM298"/>
      <c r="QN298"/>
      <c r="QO298"/>
      <c r="QP298"/>
      <c r="QQ298"/>
      <c r="QR298"/>
      <c r="QS298"/>
      <c r="QT298"/>
      <c r="QU298"/>
      <c r="QV298"/>
      <c r="QW298"/>
      <c r="QX298"/>
      <c r="QY298"/>
      <c r="QZ298"/>
      <c r="RA298"/>
      <c r="RB298"/>
      <c r="RC298"/>
      <c r="RD298"/>
      <c r="RE298"/>
      <c r="RF298"/>
      <c r="RG298"/>
      <c r="RH298"/>
      <c r="RI298"/>
      <c r="RJ298"/>
      <c r="RK298"/>
      <c r="RL298"/>
      <c r="RM298"/>
      <c r="RN298"/>
      <c r="RO298"/>
      <c r="RP298"/>
      <c r="RQ298"/>
      <c r="RR298"/>
      <c r="RS298"/>
    </row>
    <row r="299" spans="3:487" x14ac:dyDescent="0.25"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  <c r="AZ299"/>
      <c r="BA299"/>
      <c r="BB299"/>
      <c r="BC299"/>
      <c r="BD299"/>
      <c r="BE299"/>
      <c r="BF299"/>
      <c r="BG299"/>
      <c r="BH299"/>
      <c r="BI299"/>
      <c r="BJ299"/>
      <c r="BK299"/>
      <c r="BL299"/>
      <c r="BM299"/>
      <c r="BN299"/>
      <c r="BO299"/>
      <c r="BP299"/>
      <c r="BQ299"/>
      <c r="BR299"/>
      <c r="BS299"/>
      <c r="BT299"/>
      <c r="BU299"/>
      <c r="BV299"/>
      <c r="BW299"/>
      <c r="BX299"/>
      <c r="BY299"/>
      <c r="BZ299"/>
      <c r="CA299"/>
      <c r="CB299"/>
      <c r="CC299"/>
      <c r="CD299"/>
      <c r="CE299"/>
      <c r="CF299"/>
      <c r="CG299"/>
      <c r="CH299"/>
      <c r="CI299"/>
      <c r="CJ299"/>
      <c r="CK299"/>
      <c r="CL299"/>
      <c r="CM299"/>
      <c r="CN299"/>
      <c r="CO299"/>
      <c r="CP299"/>
      <c r="CQ299"/>
      <c r="CR299"/>
      <c r="CS299"/>
      <c r="CT299"/>
      <c r="CU299"/>
      <c r="CV299"/>
      <c r="CW299"/>
      <c r="CX299"/>
      <c r="CY299"/>
      <c r="CZ299"/>
      <c r="DA299"/>
      <c r="DB299"/>
      <c r="DC299"/>
      <c r="DD299"/>
      <c r="DE299"/>
      <c r="DF299"/>
      <c r="DG299"/>
      <c r="DH299"/>
      <c r="DI299"/>
      <c r="DJ299"/>
      <c r="DK299"/>
      <c r="DL299"/>
      <c r="DM299"/>
      <c r="DN299"/>
      <c r="DO299"/>
      <c r="DP299"/>
      <c r="DQ299"/>
      <c r="DR299"/>
      <c r="DS299"/>
      <c r="DT299"/>
      <c r="DU299"/>
      <c r="DV299"/>
      <c r="DW299"/>
      <c r="DX299"/>
      <c r="DY299"/>
      <c r="DZ299"/>
      <c r="EA299"/>
      <c r="EB299"/>
      <c r="EC299"/>
      <c r="ED299"/>
      <c r="EE299"/>
      <c r="EF299"/>
      <c r="EG299"/>
      <c r="EH299"/>
      <c r="EI299"/>
      <c r="EJ299"/>
      <c r="EK299"/>
      <c r="EL299"/>
      <c r="EM299"/>
      <c r="EN299"/>
      <c r="EO299"/>
      <c r="EP299"/>
      <c r="EQ299"/>
      <c r="ER299"/>
      <c r="ES299"/>
      <c r="ET299"/>
      <c r="EU299"/>
      <c r="EV299"/>
      <c r="EW299"/>
      <c r="EX299"/>
      <c r="EY299"/>
      <c r="EZ299"/>
      <c r="FA299"/>
      <c r="FB299"/>
      <c r="FC299"/>
      <c r="FD299"/>
      <c r="FE299"/>
      <c r="FF299"/>
      <c r="FG299"/>
      <c r="FH299"/>
      <c r="FI299"/>
      <c r="FJ299"/>
      <c r="FK299"/>
      <c r="FL299"/>
      <c r="FM299"/>
      <c r="FN299"/>
      <c r="FO299"/>
      <c r="FP299"/>
      <c r="FQ299"/>
      <c r="FR299"/>
      <c r="FS299"/>
      <c r="FT299"/>
      <c r="FU299"/>
      <c r="FV299"/>
      <c r="FW299"/>
      <c r="FX299"/>
      <c r="FY299"/>
      <c r="FZ299"/>
      <c r="GA299"/>
      <c r="GB299"/>
      <c r="GC299"/>
      <c r="GD299"/>
      <c r="GE299"/>
      <c r="GF299"/>
      <c r="GG299"/>
      <c r="GH299"/>
      <c r="GI299"/>
      <c r="GJ299"/>
      <c r="GK299"/>
      <c r="GL299"/>
      <c r="GM299"/>
      <c r="GN299"/>
      <c r="GO299"/>
      <c r="GP299"/>
      <c r="GQ299"/>
      <c r="GR299"/>
      <c r="GS299"/>
      <c r="GT299"/>
      <c r="GU299"/>
      <c r="GV299"/>
      <c r="GW299"/>
      <c r="GX299"/>
      <c r="GY299"/>
      <c r="GZ299"/>
      <c r="HA299"/>
      <c r="HB299"/>
      <c r="HC299"/>
      <c r="HD299"/>
      <c r="HE299"/>
      <c r="HF299"/>
      <c r="HG299"/>
      <c r="HH299"/>
      <c r="HI299"/>
      <c r="HJ299"/>
      <c r="HK299"/>
      <c r="HL299"/>
      <c r="HM299"/>
      <c r="HN299"/>
      <c r="HO299"/>
      <c r="HP299"/>
      <c r="HQ299"/>
      <c r="HR299"/>
      <c r="HS299"/>
      <c r="HT299"/>
      <c r="HU299"/>
      <c r="HV299"/>
      <c r="HW299"/>
      <c r="HX299"/>
      <c r="HY299"/>
      <c r="HZ299"/>
      <c r="IA299"/>
      <c r="IB299"/>
      <c r="IC299"/>
      <c r="ID299"/>
      <c r="IE299"/>
      <c r="IF299"/>
      <c r="IG299"/>
      <c r="IH299"/>
      <c r="II299"/>
      <c r="IJ299"/>
      <c r="IK299"/>
      <c r="IL299"/>
      <c r="IM299"/>
      <c r="IN299"/>
      <c r="IO299"/>
      <c r="IP299"/>
      <c r="IQ299"/>
      <c r="IR299"/>
      <c r="IS299"/>
      <c r="IT299"/>
      <c r="IU299"/>
      <c r="IV299"/>
      <c r="IW299"/>
      <c r="IX299"/>
      <c r="IY299"/>
      <c r="IZ299"/>
      <c r="JA299"/>
      <c r="JB299"/>
      <c r="JC299"/>
      <c r="JD299"/>
      <c r="JE299"/>
      <c r="JF299"/>
      <c r="JG299"/>
      <c r="JH299"/>
      <c r="JI299"/>
      <c r="JJ299"/>
      <c r="JK299"/>
      <c r="JL299"/>
      <c r="JM299"/>
      <c r="JN299"/>
      <c r="JO299"/>
      <c r="JP299"/>
      <c r="JQ299"/>
      <c r="JR299"/>
      <c r="JS299"/>
      <c r="JT299"/>
      <c r="JU299"/>
      <c r="JV299"/>
      <c r="JW299"/>
      <c r="JX299"/>
      <c r="JY299"/>
      <c r="JZ299"/>
      <c r="KA299"/>
      <c r="KB299"/>
      <c r="KC299"/>
      <c r="KD299"/>
      <c r="KE299"/>
      <c r="KF299"/>
      <c r="KG299"/>
      <c r="KH299"/>
      <c r="KI299"/>
      <c r="KJ299"/>
      <c r="KK299"/>
      <c r="KL299"/>
      <c r="KM299"/>
      <c r="KN299"/>
      <c r="KO299"/>
      <c r="KP299"/>
      <c r="KQ299"/>
      <c r="KR299"/>
      <c r="KS299"/>
      <c r="KT299"/>
      <c r="KU299"/>
      <c r="KV299"/>
      <c r="KW299"/>
      <c r="KX299"/>
      <c r="KY299"/>
      <c r="KZ299"/>
      <c r="LA299"/>
      <c r="LB299"/>
      <c r="LC299"/>
      <c r="LD299"/>
      <c r="LE299"/>
      <c r="LF299"/>
      <c r="LG299"/>
      <c r="LH299"/>
      <c r="LI299"/>
      <c r="LJ299"/>
      <c r="LK299"/>
      <c r="LL299"/>
      <c r="LM299"/>
      <c r="LN299"/>
      <c r="LO299"/>
      <c r="LP299"/>
      <c r="LQ299"/>
      <c r="LR299"/>
      <c r="LS299"/>
      <c r="LT299"/>
      <c r="LU299"/>
      <c r="LV299"/>
      <c r="LW299"/>
      <c r="LX299"/>
      <c r="LY299"/>
      <c r="LZ299"/>
      <c r="MA299"/>
      <c r="MB299"/>
      <c r="MC299"/>
      <c r="MD299"/>
      <c r="ME299"/>
      <c r="MF299"/>
      <c r="MG299"/>
      <c r="MH299"/>
      <c r="MI299"/>
      <c r="MJ299"/>
      <c r="MK299"/>
      <c r="ML299"/>
      <c r="MM299"/>
      <c r="MN299"/>
      <c r="MO299"/>
      <c r="MP299"/>
      <c r="MQ299"/>
      <c r="MR299"/>
      <c r="MS299"/>
      <c r="MT299"/>
      <c r="MU299"/>
      <c r="MV299"/>
      <c r="MW299"/>
      <c r="MX299"/>
      <c r="MY299"/>
      <c r="MZ299"/>
      <c r="NA299"/>
      <c r="NB299"/>
      <c r="NC299"/>
      <c r="ND299"/>
      <c r="NE299"/>
      <c r="NF299"/>
      <c r="NG299"/>
      <c r="NH299"/>
      <c r="NI299"/>
      <c r="NJ299"/>
      <c r="NK299"/>
      <c r="NL299"/>
      <c r="NM299"/>
      <c r="NN299"/>
      <c r="NO299"/>
      <c r="NP299"/>
      <c r="NQ299"/>
      <c r="NR299"/>
      <c r="NS299"/>
      <c r="NT299"/>
      <c r="NU299"/>
      <c r="NV299"/>
      <c r="NW299"/>
      <c r="NX299"/>
      <c r="NY299"/>
      <c r="NZ299"/>
      <c r="OA299"/>
      <c r="OB299"/>
      <c r="OC299"/>
      <c r="OD299"/>
      <c r="OE299"/>
      <c r="OF299"/>
      <c r="OG299"/>
      <c r="OH299"/>
      <c r="OI299"/>
      <c r="OJ299"/>
      <c r="OK299"/>
      <c r="OL299"/>
      <c r="OM299"/>
      <c r="ON299"/>
      <c r="OO299"/>
      <c r="OP299"/>
      <c r="OQ299"/>
      <c r="OR299"/>
      <c r="OS299"/>
      <c r="OT299"/>
      <c r="OU299"/>
      <c r="OV299"/>
      <c r="OW299"/>
      <c r="OX299"/>
      <c r="OY299"/>
      <c r="OZ299"/>
      <c r="PA299"/>
      <c r="PB299"/>
      <c r="PC299"/>
      <c r="PD299"/>
      <c r="PE299"/>
      <c r="PF299"/>
      <c r="PG299"/>
      <c r="PH299"/>
      <c r="PI299"/>
      <c r="PJ299"/>
      <c r="PK299"/>
      <c r="PL299"/>
      <c r="PM299"/>
      <c r="PN299"/>
      <c r="PO299"/>
      <c r="PP299"/>
      <c r="PQ299"/>
      <c r="PR299"/>
      <c r="PS299"/>
      <c r="PT299"/>
      <c r="PU299"/>
      <c r="PV299"/>
      <c r="PW299"/>
      <c r="PX299"/>
      <c r="PY299"/>
      <c r="PZ299"/>
      <c r="QA299"/>
      <c r="QB299"/>
      <c r="QC299"/>
      <c r="QD299"/>
      <c r="QE299"/>
      <c r="QF299"/>
      <c r="QG299"/>
      <c r="QH299"/>
      <c r="QI299"/>
      <c r="QJ299"/>
      <c r="QK299"/>
      <c r="QL299"/>
      <c r="QM299"/>
      <c r="QN299"/>
      <c r="QO299"/>
      <c r="QP299"/>
      <c r="QQ299"/>
      <c r="QR299"/>
      <c r="QS299"/>
      <c r="QT299"/>
      <c r="QU299"/>
      <c r="QV299"/>
      <c r="QW299"/>
      <c r="QX299"/>
      <c r="QY299"/>
      <c r="QZ299"/>
      <c r="RA299"/>
      <c r="RB299"/>
      <c r="RC299"/>
      <c r="RD299"/>
      <c r="RE299"/>
      <c r="RF299"/>
      <c r="RG299"/>
      <c r="RH299"/>
      <c r="RI299"/>
      <c r="RJ299"/>
      <c r="RK299"/>
      <c r="RL299"/>
      <c r="RM299"/>
      <c r="RN299"/>
      <c r="RO299"/>
      <c r="RP299"/>
      <c r="RQ299"/>
      <c r="RR299"/>
      <c r="RS299"/>
    </row>
    <row r="300" spans="3:487" x14ac:dyDescent="0.25"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  <c r="AY300"/>
      <c r="AZ300"/>
      <c r="BA300"/>
      <c r="BB300"/>
      <c r="BC300"/>
      <c r="BD300"/>
      <c r="BE300"/>
      <c r="BF300"/>
      <c r="BG300"/>
      <c r="BH300"/>
      <c r="BI300"/>
      <c r="BJ300"/>
      <c r="BK300"/>
      <c r="BL300"/>
      <c r="BM300"/>
      <c r="BN300"/>
      <c r="BO300"/>
      <c r="BP300"/>
      <c r="BQ300"/>
      <c r="BR300"/>
      <c r="BS300"/>
      <c r="BT300"/>
      <c r="BU300"/>
      <c r="BV300"/>
      <c r="BW300"/>
      <c r="BX300"/>
      <c r="BY300"/>
      <c r="BZ300"/>
      <c r="CA300"/>
      <c r="CB300"/>
      <c r="CC300"/>
      <c r="CD300"/>
      <c r="CE300"/>
      <c r="CF300"/>
      <c r="CG300"/>
      <c r="CH300"/>
      <c r="CI300"/>
      <c r="CJ300"/>
      <c r="CK300"/>
      <c r="CL300"/>
      <c r="CM300"/>
      <c r="CN300"/>
      <c r="CO300"/>
      <c r="CP300"/>
      <c r="CQ300"/>
      <c r="CR300"/>
      <c r="CS300"/>
      <c r="CT300"/>
      <c r="CU300"/>
      <c r="CV300"/>
      <c r="CW300"/>
      <c r="CX300"/>
      <c r="CY300"/>
      <c r="CZ300"/>
      <c r="DA300"/>
      <c r="DB300"/>
      <c r="DC300"/>
      <c r="DD300"/>
      <c r="DE300"/>
      <c r="DF300"/>
      <c r="DG300"/>
      <c r="DH300"/>
      <c r="DI300"/>
      <c r="DJ300"/>
      <c r="DK300"/>
      <c r="DL300"/>
      <c r="DM300"/>
      <c r="DN300"/>
      <c r="DO300"/>
      <c r="DP300"/>
      <c r="DQ300"/>
      <c r="DR300"/>
      <c r="DS300"/>
      <c r="DT300"/>
      <c r="DU300"/>
      <c r="DV300"/>
      <c r="DW300"/>
      <c r="DX300"/>
      <c r="DY300"/>
      <c r="DZ300"/>
      <c r="EA300"/>
      <c r="EB300"/>
      <c r="EC300"/>
      <c r="ED300"/>
      <c r="EE300"/>
      <c r="EF300"/>
      <c r="EG300"/>
      <c r="EH300"/>
      <c r="EI300"/>
      <c r="EJ300"/>
      <c r="EK300"/>
      <c r="EL300"/>
      <c r="EM300"/>
      <c r="EN300"/>
      <c r="EO300"/>
      <c r="EP300"/>
      <c r="EQ300"/>
      <c r="ER300"/>
      <c r="ES300"/>
      <c r="ET300"/>
      <c r="EU300"/>
      <c r="EV300"/>
      <c r="EW300"/>
      <c r="EX300"/>
      <c r="EY300"/>
      <c r="EZ300"/>
      <c r="FA300"/>
      <c r="FB300"/>
      <c r="FC300"/>
      <c r="FD300"/>
      <c r="FE300"/>
      <c r="FF300"/>
      <c r="FG300"/>
      <c r="FH300"/>
      <c r="FI300"/>
      <c r="FJ300"/>
      <c r="FK300"/>
      <c r="FL300"/>
      <c r="FM300"/>
      <c r="FN300"/>
      <c r="FO300"/>
      <c r="FP300"/>
      <c r="FQ300"/>
      <c r="FR300"/>
      <c r="FS300"/>
      <c r="FT300"/>
      <c r="FU300"/>
      <c r="FV300"/>
      <c r="FW300"/>
      <c r="FX300"/>
      <c r="FY300"/>
      <c r="FZ300"/>
      <c r="GA300"/>
      <c r="GB300"/>
      <c r="GC300"/>
      <c r="GD300"/>
      <c r="GE300"/>
      <c r="GF300"/>
      <c r="GG300"/>
      <c r="GH300"/>
      <c r="GI300"/>
      <c r="GJ300"/>
      <c r="GK300"/>
      <c r="GL300"/>
      <c r="GM300"/>
      <c r="GN300"/>
      <c r="GO300"/>
      <c r="GP300"/>
      <c r="GQ300"/>
      <c r="GR300"/>
      <c r="GS300"/>
      <c r="GT300"/>
      <c r="GU300"/>
      <c r="GV300"/>
      <c r="GW300"/>
      <c r="GX300"/>
      <c r="GY300"/>
      <c r="GZ300"/>
      <c r="HA300"/>
      <c r="HB300"/>
      <c r="HC300"/>
      <c r="HD300"/>
      <c r="HE300"/>
      <c r="HF300"/>
      <c r="HG300"/>
      <c r="HH300"/>
      <c r="HI300"/>
      <c r="HJ300"/>
      <c r="HK300"/>
      <c r="HL300"/>
      <c r="HM300"/>
      <c r="HN300"/>
      <c r="HO300"/>
      <c r="HP300"/>
      <c r="HQ300"/>
      <c r="HR300"/>
      <c r="HS300"/>
      <c r="HT300"/>
      <c r="HU300"/>
      <c r="HV300"/>
      <c r="HW300"/>
      <c r="HX300"/>
      <c r="HY300"/>
      <c r="HZ300"/>
      <c r="IA300"/>
      <c r="IB300"/>
      <c r="IC300"/>
      <c r="ID300"/>
      <c r="IE300"/>
      <c r="IF300"/>
      <c r="IG300"/>
      <c r="IH300"/>
      <c r="II300"/>
      <c r="IJ300"/>
      <c r="IK300"/>
      <c r="IL300"/>
      <c r="IM300"/>
      <c r="IN300"/>
      <c r="IO300"/>
      <c r="IP300"/>
      <c r="IQ300"/>
      <c r="IR300"/>
      <c r="IS300"/>
      <c r="IT300"/>
      <c r="IU300"/>
      <c r="IV300"/>
      <c r="IW300"/>
      <c r="IX300"/>
      <c r="IY300"/>
      <c r="IZ300"/>
      <c r="JA300"/>
      <c r="JB300"/>
      <c r="JC300"/>
      <c r="JD300"/>
      <c r="JE300"/>
      <c r="JF300"/>
      <c r="JG300"/>
      <c r="JH300"/>
      <c r="JI300"/>
      <c r="JJ300"/>
      <c r="JK300"/>
      <c r="JL300"/>
      <c r="JM300"/>
      <c r="JN300"/>
      <c r="JO300"/>
      <c r="JP300"/>
      <c r="JQ300"/>
      <c r="JR300"/>
      <c r="JS300"/>
      <c r="JT300"/>
      <c r="JU300"/>
      <c r="JV300"/>
      <c r="JW300"/>
      <c r="JX300"/>
      <c r="JY300"/>
      <c r="JZ300"/>
      <c r="KA300"/>
      <c r="KB300"/>
      <c r="KC300"/>
      <c r="KD300"/>
      <c r="KE300"/>
      <c r="KF300"/>
      <c r="KG300"/>
      <c r="KH300"/>
      <c r="KI300"/>
      <c r="KJ300"/>
      <c r="KK300"/>
      <c r="KL300"/>
      <c r="KM300"/>
      <c r="KN300"/>
      <c r="KO300"/>
      <c r="KP300"/>
      <c r="KQ300"/>
      <c r="KR300"/>
      <c r="KS300"/>
      <c r="KT300"/>
      <c r="KU300"/>
      <c r="KV300"/>
      <c r="KW300"/>
      <c r="KX300"/>
      <c r="KY300"/>
      <c r="KZ300"/>
      <c r="LA300"/>
      <c r="LB300"/>
      <c r="LC300"/>
      <c r="LD300"/>
      <c r="LE300"/>
      <c r="LF300"/>
      <c r="LG300"/>
      <c r="LH300"/>
      <c r="LI300"/>
      <c r="LJ300"/>
      <c r="LK300"/>
      <c r="LL300"/>
      <c r="LM300"/>
      <c r="LN300"/>
      <c r="LO300"/>
      <c r="LP300"/>
      <c r="LQ300"/>
      <c r="LR300"/>
      <c r="LS300"/>
      <c r="LT300"/>
      <c r="LU300"/>
      <c r="LV300"/>
      <c r="LW300"/>
      <c r="LX300"/>
      <c r="LY300"/>
      <c r="LZ300"/>
      <c r="MA300"/>
      <c r="MB300"/>
      <c r="MC300"/>
      <c r="MD300"/>
      <c r="ME300"/>
      <c r="MF300"/>
      <c r="MG300"/>
      <c r="MH300"/>
      <c r="MI300"/>
      <c r="MJ300"/>
      <c r="MK300"/>
      <c r="ML300"/>
      <c r="MM300"/>
      <c r="MN300"/>
      <c r="MO300"/>
      <c r="MP300"/>
      <c r="MQ300"/>
      <c r="MR300"/>
      <c r="MS300"/>
      <c r="MT300"/>
      <c r="MU300"/>
      <c r="MV300"/>
      <c r="MW300"/>
      <c r="MX300"/>
      <c r="MY300"/>
      <c r="MZ300"/>
      <c r="NA300"/>
      <c r="NB300"/>
      <c r="NC300"/>
      <c r="ND300"/>
      <c r="NE300"/>
      <c r="NF300"/>
      <c r="NG300"/>
      <c r="NH300"/>
      <c r="NI300"/>
      <c r="NJ300"/>
      <c r="NK300"/>
      <c r="NL300"/>
      <c r="NM300"/>
      <c r="NN300"/>
      <c r="NO300"/>
      <c r="NP300"/>
      <c r="NQ300"/>
      <c r="NR300"/>
      <c r="NS300"/>
      <c r="NT300"/>
      <c r="NU300"/>
      <c r="NV300"/>
      <c r="NW300"/>
      <c r="NX300"/>
      <c r="NY300"/>
      <c r="NZ300"/>
      <c r="OA300"/>
      <c r="OB300"/>
      <c r="OC300"/>
      <c r="OD300"/>
      <c r="OE300"/>
      <c r="OF300"/>
      <c r="OG300"/>
      <c r="OH300"/>
      <c r="OI300"/>
      <c r="OJ300"/>
      <c r="OK300"/>
      <c r="OL300"/>
      <c r="OM300"/>
      <c r="ON300"/>
      <c r="OO300"/>
      <c r="OP300"/>
      <c r="OQ300"/>
      <c r="OR300"/>
      <c r="OS300"/>
      <c r="OT300"/>
      <c r="OU300"/>
      <c r="OV300"/>
      <c r="OW300"/>
      <c r="OX300"/>
      <c r="OY300"/>
      <c r="OZ300"/>
      <c r="PA300"/>
      <c r="PB300"/>
      <c r="PC300"/>
      <c r="PD300"/>
      <c r="PE300"/>
      <c r="PF300"/>
      <c r="PG300"/>
      <c r="PH300"/>
      <c r="PI300"/>
      <c r="PJ300"/>
      <c r="PK300"/>
      <c r="PL300"/>
      <c r="PM300"/>
      <c r="PN300"/>
      <c r="PO300"/>
      <c r="PP300"/>
      <c r="PQ300"/>
      <c r="PR300"/>
      <c r="PS300"/>
      <c r="PT300"/>
      <c r="PU300"/>
      <c r="PV300"/>
      <c r="PW300"/>
      <c r="PX300"/>
      <c r="PY300"/>
      <c r="PZ300"/>
      <c r="QA300"/>
      <c r="QB300"/>
      <c r="QC300"/>
      <c r="QD300"/>
      <c r="QE300"/>
      <c r="QF300"/>
      <c r="QG300"/>
      <c r="QH300"/>
      <c r="QI300"/>
      <c r="QJ300"/>
      <c r="QK300"/>
      <c r="QL300"/>
      <c r="QM300"/>
      <c r="QN300"/>
      <c r="QO300"/>
      <c r="QP300"/>
      <c r="QQ300"/>
      <c r="QR300"/>
      <c r="QS300"/>
      <c r="QT300"/>
      <c r="QU300"/>
      <c r="QV300"/>
      <c r="QW300"/>
      <c r="QX300"/>
      <c r="QY300"/>
      <c r="QZ300"/>
      <c r="RA300"/>
      <c r="RB300"/>
      <c r="RC300"/>
      <c r="RD300"/>
      <c r="RE300"/>
      <c r="RF300"/>
      <c r="RG300"/>
      <c r="RH300"/>
      <c r="RI300"/>
      <c r="RJ300"/>
      <c r="RK300"/>
      <c r="RL300"/>
      <c r="RM300"/>
      <c r="RN300"/>
      <c r="RO300"/>
      <c r="RP300"/>
      <c r="RQ300"/>
      <c r="RR300"/>
      <c r="RS300"/>
    </row>
    <row r="301" spans="3:487" x14ac:dyDescent="0.25"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/>
      <c r="AU301"/>
      <c r="AV301"/>
      <c r="AW301"/>
      <c r="AX301"/>
      <c r="AY301"/>
      <c r="AZ301"/>
      <c r="BA301"/>
      <c r="BB301"/>
      <c r="BC301"/>
      <c r="BD301"/>
      <c r="BE301"/>
      <c r="BF301"/>
      <c r="BG301"/>
      <c r="BH301"/>
      <c r="BI301"/>
      <c r="BJ301"/>
      <c r="BK301"/>
      <c r="BL301"/>
      <c r="BM301"/>
      <c r="BN301"/>
      <c r="BO301"/>
      <c r="BP301"/>
      <c r="BQ301"/>
      <c r="BR301"/>
      <c r="BS301"/>
      <c r="BT301"/>
      <c r="BU301"/>
      <c r="BV301"/>
      <c r="BW301"/>
      <c r="BX301"/>
      <c r="BY301"/>
      <c r="BZ301"/>
      <c r="CA301"/>
      <c r="CB301"/>
      <c r="CC301"/>
      <c r="CD301"/>
      <c r="CE301"/>
      <c r="CF301"/>
      <c r="CG301"/>
      <c r="CH301"/>
      <c r="CI301"/>
      <c r="CJ301"/>
      <c r="CK301"/>
      <c r="CL301"/>
      <c r="CM301"/>
      <c r="CN301"/>
      <c r="CO301"/>
      <c r="CP301"/>
      <c r="CQ301"/>
      <c r="CR301"/>
      <c r="CS301"/>
      <c r="CT301"/>
      <c r="CU301"/>
      <c r="CV301"/>
      <c r="CW301"/>
      <c r="CX301"/>
      <c r="CY301"/>
      <c r="CZ301"/>
      <c r="DA301"/>
      <c r="DB301"/>
      <c r="DC301"/>
      <c r="DD301"/>
      <c r="DE301"/>
      <c r="DF301"/>
      <c r="DG301"/>
      <c r="DH301"/>
      <c r="DI301"/>
      <c r="DJ301"/>
      <c r="DK301"/>
      <c r="DL301"/>
      <c r="DM301"/>
      <c r="DN301"/>
      <c r="DO301"/>
      <c r="DP301"/>
      <c r="DQ301"/>
      <c r="DR301"/>
      <c r="DS301"/>
      <c r="DT301"/>
      <c r="DU301"/>
      <c r="DV301"/>
      <c r="DW301"/>
      <c r="DX301"/>
      <c r="DY301"/>
      <c r="DZ301"/>
      <c r="EA301"/>
      <c r="EB301"/>
      <c r="EC301"/>
      <c r="ED301"/>
      <c r="EE301"/>
      <c r="EF301"/>
      <c r="EG301"/>
      <c r="EH301"/>
      <c r="EI301"/>
      <c r="EJ301"/>
      <c r="EK301"/>
      <c r="EL301"/>
      <c r="EM301"/>
      <c r="EN301"/>
      <c r="EO301"/>
      <c r="EP301"/>
      <c r="EQ301"/>
      <c r="ER301"/>
      <c r="ES301"/>
      <c r="ET301"/>
      <c r="EU301"/>
      <c r="EV301"/>
      <c r="EW301"/>
      <c r="EX301"/>
      <c r="EY301"/>
      <c r="EZ301"/>
      <c r="FA301"/>
      <c r="FB301"/>
      <c r="FC301"/>
      <c r="FD301"/>
      <c r="FE301"/>
      <c r="FF301"/>
      <c r="FG301"/>
      <c r="FH301"/>
      <c r="FI301"/>
      <c r="FJ301"/>
      <c r="FK301"/>
      <c r="FL301"/>
      <c r="FM301"/>
      <c r="FN301"/>
      <c r="FO301"/>
      <c r="FP301"/>
      <c r="FQ301"/>
      <c r="FR301"/>
      <c r="FS301"/>
      <c r="FT301"/>
      <c r="FU301"/>
      <c r="FV301"/>
      <c r="FW301"/>
      <c r="FX301"/>
      <c r="FY301"/>
      <c r="FZ301"/>
      <c r="GA301"/>
      <c r="GB301"/>
      <c r="GC301"/>
      <c r="GD301"/>
      <c r="GE301"/>
      <c r="GF301"/>
      <c r="GG301"/>
      <c r="GH301"/>
      <c r="GI301"/>
      <c r="GJ301"/>
      <c r="GK301"/>
      <c r="GL301"/>
      <c r="GM301"/>
      <c r="GN301"/>
      <c r="GO301"/>
      <c r="GP301"/>
      <c r="GQ301"/>
      <c r="GR301"/>
      <c r="GS301"/>
      <c r="GT301"/>
      <c r="GU301"/>
      <c r="GV301"/>
      <c r="GW301"/>
      <c r="GX301"/>
      <c r="GY301"/>
      <c r="GZ301"/>
      <c r="HA301"/>
      <c r="HB301"/>
      <c r="HC301"/>
      <c r="HD301"/>
      <c r="HE301"/>
      <c r="HF301"/>
      <c r="HG301"/>
      <c r="HH301"/>
      <c r="HI301"/>
      <c r="HJ301"/>
      <c r="HK301"/>
      <c r="HL301"/>
      <c r="HM301"/>
      <c r="HN301"/>
      <c r="HO301"/>
      <c r="HP301"/>
      <c r="HQ301"/>
      <c r="HR301"/>
      <c r="HS301"/>
      <c r="HT301"/>
      <c r="HU301"/>
      <c r="HV301"/>
      <c r="HW301"/>
      <c r="HX301"/>
      <c r="HY301"/>
      <c r="HZ301"/>
      <c r="IA301"/>
      <c r="IB301"/>
      <c r="IC301"/>
      <c r="ID301"/>
      <c r="IE301"/>
      <c r="IF301"/>
      <c r="IG301"/>
      <c r="IH301"/>
      <c r="II301"/>
      <c r="IJ301"/>
      <c r="IK301"/>
      <c r="IL301"/>
      <c r="IM301"/>
      <c r="IN301"/>
      <c r="IO301"/>
      <c r="IP301"/>
      <c r="IQ301"/>
      <c r="IR301"/>
      <c r="IS301"/>
      <c r="IT301"/>
      <c r="IU301"/>
      <c r="IV301"/>
      <c r="IW301"/>
      <c r="IX301"/>
      <c r="IY301"/>
      <c r="IZ301"/>
      <c r="JA301"/>
      <c r="JB301"/>
      <c r="JC301"/>
      <c r="JD301"/>
      <c r="JE301"/>
      <c r="JF301"/>
      <c r="JG301"/>
      <c r="JH301"/>
      <c r="JI301"/>
      <c r="JJ301"/>
      <c r="JK301"/>
      <c r="JL301"/>
      <c r="JM301"/>
      <c r="JN301"/>
      <c r="JO301"/>
      <c r="JP301"/>
      <c r="JQ301"/>
      <c r="JR301"/>
      <c r="JS301"/>
      <c r="JT301"/>
      <c r="JU301"/>
      <c r="JV301"/>
      <c r="JW301"/>
      <c r="JX301"/>
      <c r="JY301"/>
      <c r="JZ301"/>
      <c r="KA301"/>
      <c r="KB301"/>
      <c r="KC301"/>
      <c r="KD301"/>
      <c r="KE301"/>
      <c r="KF301"/>
      <c r="KG301"/>
      <c r="KH301"/>
      <c r="KI301"/>
      <c r="KJ301"/>
      <c r="KK301"/>
      <c r="KL301"/>
      <c r="KM301"/>
      <c r="KN301"/>
      <c r="KO301"/>
      <c r="KP301"/>
      <c r="KQ301"/>
      <c r="KR301"/>
      <c r="KS301"/>
      <c r="KT301"/>
      <c r="KU301"/>
      <c r="KV301"/>
      <c r="KW301"/>
      <c r="KX301"/>
      <c r="KY301"/>
      <c r="KZ301"/>
      <c r="LA301"/>
      <c r="LB301"/>
      <c r="LC301"/>
      <c r="LD301"/>
      <c r="LE301"/>
      <c r="LF301"/>
      <c r="LG301"/>
      <c r="LH301"/>
      <c r="LI301"/>
      <c r="LJ301"/>
      <c r="LK301"/>
      <c r="LL301"/>
      <c r="LM301"/>
      <c r="LN301"/>
      <c r="LO301"/>
      <c r="LP301"/>
      <c r="LQ301"/>
      <c r="LR301"/>
      <c r="LS301"/>
      <c r="LT301"/>
      <c r="LU301"/>
      <c r="LV301"/>
      <c r="LW301"/>
      <c r="LX301"/>
      <c r="LY301"/>
      <c r="LZ301"/>
      <c r="MA301"/>
      <c r="MB301"/>
      <c r="MC301"/>
      <c r="MD301"/>
      <c r="ME301"/>
      <c r="MF301"/>
      <c r="MG301"/>
      <c r="MH301"/>
      <c r="MI301"/>
      <c r="MJ301"/>
      <c r="MK301"/>
      <c r="ML301"/>
      <c r="MM301"/>
      <c r="MN301"/>
      <c r="MO301"/>
      <c r="MP301"/>
      <c r="MQ301"/>
      <c r="MR301"/>
      <c r="MS301"/>
      <c r="MT301"/>
      <c r="MU301"/>
      <c r="MV301"/>
      <c r="MW301"/>
      <c r="MX301"/>
      <c r="MY301"/>
      <c r="MZ301"/>
      <c r="NA301"/>
      <c r="NB301"/>
      <c r="NC301"/>
      <c r="ND301"/>
      <c r="NE301"/>
      <c r="NF301"/>
      <c r="NG301"/>
      <c r="NH301"/>
      <c r="NI301"/>
      <c r="NJ301"/>
      <c r="NK301"/>
      <c r="NL301"/>
      <c r="NM301"/>
      <c r="NN301"/>
      <c r="NO301"/>
      <c r="NP301"/>
      <c r="NQ301"/>
      <c r="NR301"/>
      <c r="NS301"/>
      <c r="NT301"/>
      <c r="NU301"/>
      <c r="NV301"/>
      <c r="NW301"/>
      <c r="NX301"/>
      <c r="NY301"/>
      <c r="NZ301"/>
      <c r="OA301"/>
      <c r="OB301"/>
      <c r="OC301"/>
      <c r="OD301"/>
      <c r="OE301"/>
      <c r="OF301"/>
      <c r="OG301"/>
      <c r="OH301"/>
      <c r="OI301"/>
      <c r="OJ301"/>
      <c r="OK301"/>
      <c r="OL301"/>
      <c r="OM301"/>
      <c r="ON301"/>
      <c r="OO301"/>
      <c r="OP301"/>
      <c r="OQ301"/>
      <c r="OR301"/>
      <c r="OS301"/>
      <c r="OT301"/>
      <c r="OU301"/>
      <c r="OV301"/>
      <c r="OW301"/>
      <c r="OX301"/>
      <c r="OY301"/>
      <c r="OZ301"/>
      <c r="PA301"/>
      <c r="PB301"/>
      <c r="PC301"/>
      <c r="PD301"/>
      <c r="PE301"/>
      <c r="PF301"/>
      <c r="PG301"/>
      <c r="PH301"/>
      <c r="PI301"/>
      <c r="PJ301"/>
      <c r="PK301"/>
      <c r="PL301"/>
      <c r="PM301"/>
      <c r="PN301"/>
      <c r="PO301"/>
      <c r="PP301"/>
      <c r="PQ301"/>
      <c r="PR301"/>
      <c r="PS301"/>
      <c r="PT301"/>
      <c r="PU301"/>
      <c r="PV301"/>
      <c r="PW301"/>
      <c r="PX301"/>
      <c r="PY301"/>
      <c r="PZ301"/>
      <c r="QA301"/>
      <c r="QB301"/>
      <c r="QC301"/>
      <c r="QD301"/>
      <c r="QE301"/>
      <c r="QF301"/>
      <c r="QG301"/>
      <c r="QH301"/>
      <c r="QI301"/>
      <c r="QJ301"/>
      <c r="QK301"/>
      <c r="QL301"/>
      <c r="QM301"/>
      <c r="QN301"/>
      <c r="QO301"/>
      <c r="QP301"/>
      <c r="QQ301"/>
      <c r="QR301"/>
      <c r="QS301"/>
      <c r="QT301"/>
      <c r="QU301"/>
      <c r="QV301"/>
      <c r="QW301"/>
      <c r="QX301"/>
      <c r="QY301"/>
      <c r="QZ301"/>
      <c r="RA301"/>
      <c r="RB301"/>
      <c r="RC301"/>
      <c r="RD301"/>
      <c r="RE301"/>
      <c r="RF301"/>
      <c r="RG301"/>
      <c r="RH301"/>
      <c r="RI301"/>
      <c r="RJ301"/>
      <c r="RK301"/>
      <c r="RL301"/>
      <c r="RM301"/>
      <c r="RN301"/>
      <c r="RO301"/>
      <c r="RP301"/>
      <c r="RQ301"/>
      <c r="RR301"/>
      <c r="RS301"/>
    </row>
    <row r="302" spans="3:487" x14ac:dyDescent="0.25"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  <c r="AT302"/>
      <c r="AU302"/>
      <c r="AV302"/>
      <c r="AW302"/>
      <c r="AX302"/>
      <c r="AY302"/>
      <c r="AZ302"/>
      <c r="BA302"/>
      <c r="BB302"/>
      <c r="BC302"/>
      <c r="BD302"/>
      <c r="BE302"/>
      <c r="BF302"/>
      <c r="BG302"/>
      <c r="BH302"/>
      <c r="BI302"/>
      <c r="BJ302"/>
      <c r="BK302"/>
      <c r="BL302"/>
      <c r="BM302"/>
      <c r="BN302"/>
      <c r="BO302"/>
      <c r="BP302"/>
      <c r="BQ302"/>
      <c r="BR302"/>
      <c r="BS302"/>
      <c r="BT302"/>
      <c r="BU302"/>
      <c r="BV302"/>
      <c r="BW302"/>
      <c r="BX302"/>
      <c r="BY302"/>
      <c r="BZ302"/>
      <c r="CA302"/>
      <c r="CB302"/>
      <c r="CC302"/>
      <c r="CD302"/>
      <c r="CE302"/>
      <c r="CF302"/>
      <c r="CG302"/>
      <c r="CH302"/>
      <c r="CI302"/>
      <c r="CJ302"/>
      <c r="CK302"/>
      <c r="CL302"/>
      <c r="CM302"/>
      <c r="CN302"/>
      <c r="CO302"/>
      <c r="CP302"/>
      <c r="CQ302"/>
      <c r="CR302"/>
      <c r="CS302"/>
      <c r="CT302"/>
      <c r="CU302"/>
      <c r="CV302"/>
      <c r="CW302"/>
      <c r="CX302"/>
      <c r="CY302"/>
      <c r="CZ302"/>
      <c r="DA302"/>
      <c r="DB302"/>
      <c r="DC302"/>
      <c r="DD302"/>
      <c r="DE302"/>
      <c r="DF302"/>
      <c r="DG302"/>
      <c r="DH302"/>
      <c r="DI302"/>
      <c r="DJ302"/>
      <c r="DK302"/>
      <c r="DL302"/>
      <c r="DM302"/>
      <c r="DN302"/>
      <c r="DO302"/>
      <c r="DP302"/>
      <c r="DQ302"/>
      <c r="DR302"/>
      <c r="DS302"/>
      <c r="DT302"/>
      <c r="DU302"/>
      <c r="DV302"/>
      <c r="DW302"/>
      <c r="DX302"/>
      <c r="DY302"/>
      <c r="DZ302"/>
      <c r="EA302"/>
      <c r="EB302"/>
      <c r="EC302"/>
      <c r="ED302"/>
      <c r="EE302"/>
      <c r="EF302"/>
      <c r="EG302"/>
      <c r="EH302"/>
      <c r="EI302"/>
      <c r="EJ302"/>
      <c r="EK302"/>
      <c r="EL302"/>
      <c r="EM302"/>
      <c r="EN302"/>
      <c r="EO302"/>
      <c r="EP302"/>
      <c r="EQ302"/>
      <c r="ER302"/>
      <c r="ES302"/>
      <c r="ET302"/>
      <c r="EU302"/>
      <c r="EV302"/>
      <c r="EW302"/>
      <c r="EX302"/>
      <c r="EY302"/>
      <c r="EZ302"/>
      <c r="FA302"/>
      <c r="FB302"/>
      <c r="FC302"/>
      <c r="FD302"/>
      <c r="FE302"/>
      <c r="FF302"/>
      <c r="FG302"/>
      <c r="FH302"/>
      <c r="FI302"/>
      <c r="FJ302"/>
      <c r="FK302"/>
      <c r="FL302"/>
      <c r="FM302"/>
      <c r="FN302"/>
      <c r="FO302"/>
      <c r="FP302"/>
      <c r="FQ302"/>
      <c r="FR302"/>
      <c r="FS302"/>
      <c r="FT302"/>
      <c r="FU302"/>
      <c r="FV302"/>
      <c r="FW302"/>
      <c r="FX302"/>
      <c r="FY302"/>
      <c r="FZ302"/>
      <c r="GA302"/>
      <c r="GB302"/>
      <c r="GC302"/>
      <c r="GD302"/>
      <c r="GE302"/>
      <c r="GF302"/>
      <c r="GG302"/>
      <c r="GH302"/>
      <c r="GI302"/>
      <c r="GJ302"/>
      <c r="GK302"/>
      <c r="GL302"/>
      <c r="GM302"/>
      <c r="GN302"/>
      <c r="GO302"/>
      <c r="GP302"/>
      <c r="GQ302"/>
      <c r="GR302"/>
      <c r="GS302"/>
      <c r="GT302"/>
      <c r="GU302"/>
      <c r="GV302"/>
      <c r="GW302"/>
      <c r="GX302"/>
      <c r="GY302"/>
      <c r="GZ302"/>
      <c r="HA302"/>
      <c r="HB302"/>
      <c r="HC302"/>
      <c r="HD302"/>
      <c r="HE302"/>
      <c r="HF302"/>
      <c r="HG302"/>
      <c r="HH302"/>
      <c r="HI302"/>
      <c r="HJ302"/>
      <c r="HK302"/>
      <c r="HL302"/>
      <c r="HM302"/>
      <c r="HN302"/>
      <c r="HO302"/>
      <c r="HP302"/>
      <c r="HQ302"/>
      <c r="HR302"/>
      <c r="HS302"/>
      <c r="HT302"/>
      <c r="HU302"/>
      <c r="HV302"/>
      <c r="HW302"/>
      <c r="HX302"/>
      <c r="HY302"/>
      <c r="HZ302"/>
      <c r="IA302"/>
      <c r="IB302"/>
      <c r="IC302"/>
      <c r="ID302"/>
      <c r="IE302"/>
      <c r="IF302"/>
      <c r="IG302"/>
      <c r="IH302"/>
      <c r="II302"/>
      <c r="IJ302"/>
      <c r="IK302"/>
      <c r="IL302"/>
      <c r="IM302"/>
      <c r="IN302"/>
      <c r="IO302"/>
      <c r="IP302"/>
      <c r="IQ302"/>
      <c r="IR302"/>
      <c r="IS302"/>
      <c r="IT302"/>
      <c r="IU302"/>
      <c r="IV302"/>
      <c r="IW302"/>
      <c r="IX302"/>
      <c r="IY302"/>
      <c r="IZ302"/>
      <c r="JA302"/>
      <c r="JB302"/>
      <c r="JC302"/>
      <c r="JD302"/>
      <c r="JE302"/>
      <c r="JF302"/>
      <c r="JG302"/>
      <c r="JH302"/>
      <c r="JI302"/>
      <c r="JJ302"/>
      <c r="JK302"/>
      <c r="JL302"/>
      <c r="JM302"/>
      <c r="JN302"/>
      <c r="JO302"/>
      <c r="JP302"/>
      <c r="JQ302"/>
      <c r="JR302"/>
      <c r="JS302"/>
      <c r="JT302"/>
      <c r="JU302"/>
      <c r="JV302"/>
      <c r="JW302"/>
      <c r="JX302"/>
      <c r="JY302"/>
      <c r="JZ302"/>
      <c r="KA302"/>
      <c r="KB302"/>
      <c r="KC302"/>
      <c r="KD302"/>
      <c r="KE302"/>
      <c r="KF302"/>
      <c r="KG302"/>
      <c r="KH302"/>
      <c r="KI302"/>
      <c r="KJ302"/>
      <c r="KK302"/>
      <c r="KL302"/>
      <c r="KM302"/>
      <c r="KN302"/>
      <c r="KO302"/>
      <c r="KP302"/>
      <c r="KQ302"/>
      <c r="KR302"/>
      <c r="KS302"/>
      <c r="KT302"/>
      <c r="KU302"/>
      <c r="KV302"/>
      <c r="KW302"/>
      <c r="KX302"/>
      <c r="KY302"/>
      <c r="KZ302"/>
      <c r="LA302"/>
      <c r="LB302"/>
      <c r="LC302"/>
      <c r="LD302"/>
      <c r="LE302"/>
      <c r="LF302"/>
      <c r="LG302"/>
      <c r="LH302"/>
      <c r="LI302"/>
      <c r="LJ302"/>
      <c r="LK302"/>
      <c r="LL302"/>
      <c r="LM302"/>
      <c r="LN302"/>
      <c r="LO302"/>
      <c r="LP302"/>
      <c r="LQ302"/>
      <c r="LR302"/>
      <c r="LS302"/>
      <c r="LT302"/>
      <c r="LU302"/>
      <c r="LV302"/>
      <c r="LW302"/>
      <c r="LX302"/>
      <c r="LY302"/>
      <c r="LZ302"/>
      <c r="MA302"/>
      <c r="MB302"/>
      <c r="MC302"/>
      <c r="MD302"/>
      <c r="ME302"/>
      <c r="MF302"/>
      <c r="MG302"/>
      <c r="MH302"/>
      <c r="MI302"/>
      <c r="MJ302"/>
      <c r="MK302"/>
      <c r="ML302"/>
      <c r="MM302"/>
      <c r="MN302"/>
      <c r="MO302"/>
      <c r="MP302"/>
      <c r="MQ302"/>
      <c r="MR302"/>
      <c r="MS302"/>
      <c r="MT302"/>
      <c r="MU302"/>
      <c r="MV302"/>
      <c r="MW302"/>
      <c r="MX302"/>
      <c r="MY302"/>
      <c r="MZ302"/>
      <c r="NA302"/>
      <c r="NB302"/>
      <c r="NC302"/>
      <c r="ND302"/>
      <c r="NE302"/>
      <c r="NF302"/>
      <c r="NG302"/>
      <c r="NH302"/>
      <c r="NI302"/>
      <c r="NJ302"/>
      <c r="NK302"/>
      <c r="NL302"/>
      <c r="NM302"/>
      <c r="NN302"/>
      <c r="NO302"/>
      <c r="NP302"/>
      <c r="NQ302"/>
      <c r="NR302"/>
      <c r="NS302"/>
      <c r="NT302"/>
      <c r="NU302"/>
      <c r="NV302"/>
      <c r="NW302"/>
      <c r="NX302"/>
      <c r="NY302"/>
      <c r="NZ302"/>
      <c r="OA302"/>
      <c r="OB302"/>
      <c r="OC302"/>
      <c r="OD302"/>
      <c r="OE302"/>
      <c r="OF302"/>
      <c r="OG302"/>
      <c r="OH302"/>
      <c r="OI302"/>
      <c r="OJ302"/>
      <c r="OK302"/>
      <c r="OL302"/>
      <c r="OM302"/>
      <c r="ON302"/>
      <c r="OO302"/>
      <c r="OP302"/>
      <c r="OQ302"/>
      <c r="OR302"/>
      <c r="OS302"/>
      <c r="OT302"/>
      <c r="OU302"/>
      <c r="OV302"/>
      <c r="OW302"/>
      <c r="OX302"/>
      <c r="OY302"/>
      <c r="OZ302"/>
      <c r="PA302"/>
      <c r="PB302"/>
      <c r="PC302"/>
      <c r="PD302"/>
      <c r="PE302"/>
      <c r="PF302"/>
      <c r="PG302"/>
      <c r="PH302"/>
      <c r="PI302"/>
      <c r="PJ302"/>
      <c r="PK302"/>
      <c r="PL302"/>
      <c r="PM302"/>
      <c r="PN302"/>
      <c r="PO302"/>
      <c r="PP302"/>
      <c r="PQ302"/>
      <c r="PR302"/>
      <c r="PS302"/>
      <c r="PT302"/>
      <c r="PU302"/>
      <c r="PV302"/>
      <c r="PW302"/>
      <c r="PX302"/>
      <c r="PY302"/>
      <c r="PZ302"/>
      <c r="QA302"/>
      <c r="QB302"/>
      <c r="QC302"/>
      <c r="QD302"/>
      <c r="QE302"/>
      <c r="QF302"/>
      <c r="QG302"/>
      <c r="QH302"/>
      <c r="QI302"/>
      <c r="QJ302"/>
      <c r="QK302"/>
      <c r="QL302"/>
      <c r="QM302"/>
      <c r="QN302"/>
      <c r="QO302"/>
      <c r="QP302"/>
      <c r="QQ302"/>
      <c r="QR302"/>
      <c r="QS302"/>
      <c r="QT302"/>
      <c r="QU302"/>
      <c r="QV302"/>
      <c r="QW302"/>
      <c r="QX302"/>
      <c r="QY302"/>
      <c r="QZ302"/>
      <c r="RA302"/>
      <c r="RB302"/>
      <c r="RC302"/>
      <c r="RD302"/>
      <c r="RE302"/>
      <c r="RF302"/>
      <c r="RG302"/>
      <c r="RH302"/>
      <c r="RI302"/>
      <c r="RJ302"/>
      <c r="RK302"/>
      <c r="RL302"/>
      <c r="RM302"/>
      <c r="RN302"/>
      <c r="RO302"/>
      <c r="RP302"/>
      <c r="RQ302"/>
      <c r="RR302"/>
      <c r="RS302"/>
    </row>
    <row r="303" spans="3:487" x14ac:dyDescent="0.25"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  <c r="AT303"/>
      <c r="AU303"/>
      <c r="AV303"/>
      <c r="AW303"/>
      <c r="AX303"/>
      <c r="AY303"/>
      <c r="AZ303"/>
      <c r="BA303"/>
      <c r="BB303"/>
      <c r="BC303"/>
      <c r="BD303"/>
      <c r="BE303"/>
      <c r="BF303"/>
      <c r="BG303"/>
      <c r="BH303"/>
      <c r="BI303"/>
      <c r="BJ303"/>
      <c r="BK303"/>
      <c r="BL303"/>
      <c r="BM303"/>
      <c r="BN303"/>
      <c r="BO303"/>
      <c r="BP303"/>
      <c r="BQ303"/>
      <c r="BR303"/>
      <c r="BS303"/>
      <c r="BT303"/>
      <c r="BU303"/>
      <c r="BV303"/>
      <c r="BW303"/>
      <c r="BX303"/>
      <c r="BY303"/>
      <c r="BZ303"/>
      <c r="CA303"/>
      <c r="CB303"/>
      <c r="CC303"/>
      <c r="CD303"/>
      <c r="CE303"/>
      <c r="CF303"/>
      <c r="CG303"/>
      <c r="CH303"/>
      <c r="CI303"/>
      <c r="CJ303"/>
      <c r="CK303"/>
      <c r="CL303"/>
      <c r="CM303"/>
      <c r="CN303"/>
      <c r="CO303"/>
      <c r="CP303"/>
      <c r="CQ303"/>
      <c r="CR303"/>
      <c r="CS303"/>
      <c r="CT303"/>
      <c r="CU303"/>
      <c r="CV303"/>
      <c r="CW303"/>
      <c r="CX303"/>
      <c r="CY303"/>
      <c r="CZ303"/>
      <c r="DA303"/>
      <c r="DB303"/>
      <c r="DC303"/>
      <c r="DD303"/>
      <c r="DE303"/>
      <c r="DF303"/>
      <c r="DG303"/>
      <c r="DH303"/>
      <c r="DI303"/>
      <c r="DJ303"/>
      <c r="DK303"/>
      <c r="DL303"/>
      <c r="DM303"/>
      <c r="DN303"/>
      <c r="DO303"/>
      <c r="DP303"/>
      <c r="DQ303"/>
      <c r="DR303"/>
      <c r="DS303"/>
      <c r="DT303"/>
      <c r="DU303"/>
      <c r="DV303"/>
      <c r="DW303"/>
      <c r="DX303"/>
      <c r="DY303"/>
      <c r="DZ303"/>
      <c r="EA303"/>
      <c r="EB303"/>
      <c r="EC303"/>
      <c r="ED303"/>
      <c r="EE303"/>
      <c r="EF303"/>
      <c r="EG303"/>
      <c r="EH303"/>
      <c r="EI303"/>
      <c r="EJ303"/>
      <c r="EK303"/>
      <c r="EL303"/>
      <c r="EM303"/>
      <c r="EN303"/>
      <c r="EO303"/>
      <c r="EP303"/>
      <c r="EQ303"/>
      <c r="ER303"/>
      <c r="ES303"/>
      <c r="ET303"/>
      <c r="EU303"/>
      <c r="EV303"/>
      <c r="EW303"/>
      <c r="EX303"/>
      <c r="EY303"/>
      <c r="EZ303"/>
      <c r="FA303"/>
      <c r="FB303"/>
      <c r="FC303"/>
      <c r="FD303"/>
      <c r="FE303"/>
      <c r="FF303"/>
      <c r="FG303"/>
      <c r="FH303"/>
      <c r="FI303"/>
      <c r="FJ303"/>
      <c r="FK303"/>
      <c r="FL303"/>
      <c r="FM303"/>
      <c r="FN303"/>
      <c r="FO303"/>
      <c r="FP303"/>
      <c r="FQ303"/>
      <c r="FR303"/>
      <c r="FS303"/>
      <c r="FT303"/>
      <c r="FU303"/>
      <c r="FV303"/>
      <c r="FW303"/>
      <c r="FX303"/>
      <c r="FY303"/>
      <c r="FZ303"/>
      <c r="GA303"/>
      <c r="GB303"/>
      <c r="GC303"/>
      <c r="GD303"/>
      <c r="GE303"/>
      <c r="GF303"/>
      <c r="GG303"/>
      <c r="GH303"/>
      <c r="GI303"/>
      <c r="GJ303"/>
      <c r="GK303"/>
      <c r="GL303"/>
      <c r="GM303"/>
      <c r="GN303"/>
      <c r="GO303"/>
      <c r="GP303"/>
      <c r="GQ303"/>
      <c r="GR303"/>
      <c r="GS303"/>
      <c r="GT303"/>
      <c r="GU303"/>
      <c r="GV303"/>
      <c r="GW303"/>
      <c r="GX303"/>
      <c r="GY303"/>
      <c r="GZ303"/>
      <c r="HA303"/>
      <c r="HB303"/>
      <c r="HC303"/>
      <c r="HD303"/>
      <c r="HE303"/>
      <c r="HF303"/>
      <c r="HG303"/>
      <c r="HH303"/>
      <c r="HI303"/>
      <c r="HJ303"/>
      <c r="HK303"/>
      <c r="HL303"/>
      <c r="HM303"/>
      <c r="HN303"/>
      <c r="HO303"/>
      <c r="HP303"/>
      <c r="HQ303"/>
      <c r="HR303"/>
      <c r="HS303"/>
      <c r="HT303"/>
      <c r="HU303"/>
      <c r="HV303"/>
      <c r="HW303"/>
      <c r="HX303"/>
      <c r="HY303"/>
      <c r="HZ303"/>
      <c r="IA303"/>
      <c r="IB303"/>
      <c r="IC303"/>
      <c r="ID303"/>
      <c r="IE303"/>
      <c r="IF303"/>
      <c r="IG303"/>
      <c r="IH303"/>
      <c r="II303"/>
      <c r="IJ303"/>
      <c r="IK303"/>
      <c r="IL303"/>
      <c r="IM303"/>
      <c r="IN303"/>
      <c r="IO303"/>
      <c r="IP303"/>
      <c r="IQ303"/>
      <c r="IR303"/>
      <c r="IS303"/>
      <c r="IT303"/>
      <c r="IU303"/>
      <c r="IV303"/>
      <c r="IW303"/>
      <c r="IX303"/>
      <c r="IY303"/>
      <c r="IZ303"/>
      <c r="JA303"/>
      <c r="JB303"/>
      <c r="JC303"/>
      <c r="JD303"/>
      <c r="JE303"/>
      <c r="JF303"/>
      <c r="JG303"/>
      <c r="JH303"/>
      <c r="JI303"/>
      <c r="JJ303"/>
      <c r="JK303"/>
      <c r="JL303"/>
      <c r="JM303"/>
      <c r="JN303"/>
      <c r="JO303"/>
      <c r="JP303"/>
      <c r="JQ303"/>
      <c r="JR303"/>
      <c r="JS303"/>
      <c r="JT303"/>
      <c r="JU303"/>
      <c r="JV303"/>
      <c r="JW303"/>
      <c r="JX303"/>
      <c r="JY303"/>
      <c r="JZ303"/>
      <c r="KA303"/>
      <c r="KB303"/>
      <c r="KC303"/>
      <c r="KD303"/>
      <c r="KE303"/>
      <c r="KF303"/>
      <c r="KG303"/>
      <c r="KH303"/>
      <c r="KI303"/>
      <c r="KJ303"/>
      <c r="KK303"/>
      <c r="KL303"/>
      <c r="KM303"/>
      <c r="KN303"/>
      <c r="KO303"/>
      <c r="KP303"/>
      <c r="KQ303"/>
      <c r="KR303"/>
      <c r="KS303"/>
      <c r="KT303"/>
      <c r="KU303"/>
      <c r="KV303"/>
      <c r="KW303"/>
      <c r="KX303"/>
      <c r="KY303"/>
      <c r="KZ303"/>
      <c r="LA303"/>
      <c r="LB303"/>
      <c r="LC303"/>
      <c r="LD303"/>
      <c r="LE303"/>
      <c r="LF303"/>
      <c r="LG303"/>
      <c r="LH303"/>
      <c r="LI303"/>
      <c r="LJ303"/>
      <c r="LK303"/>
      <c r="LL303"/>
      <c r="LM303"/>
      <c r="LN303"/>
      <c r="LO303"/>
      <c r="LP303"/>
      <c r="LQ303"/>
      <c r="LR303"/>
      <c r="LS303"/>
      <c r="LT303"/>
      <c r="LU303"/>
      <c r="LV303"/>
      <c r="LW303"/>
      <c r="LX303"/>
      <c r="LY303"/>
      <c r="LZ303"/>
      <c r="MA303"/>
      <c r="MB303"/>
      <c r="MC303"/>
      <c r="MD303"/>
      <c r="ME303"/>
      <c r="MF303"/>
      <c r="MG303"/>
      <c r="MH303"/>
      <c r="MI303"/>
      <c r="MJ303"/>
      <c r="MK303"/>
      <c r="ML303"/>
      <c r="MM303"/>
      <c r="MN303"/>
      <c r="MO303"/>
      <c r="MP303"/>
      <c r="MQ303"/>
      <c r="MR303"/>
      <c r="MS303"/>
      <c r="MT303"/>
      <c r="MU303"/>
      <c r="MV303"/>
      <c r="MW303"/>
      <c r="MX303"/>
      <c r="MY303"/>
      <c r="MZ303"/>
      <c r="NA303"/>
      <c r="NB303"/>
      <c r="NC303"/>
      <c r="ND303"/>
      <c r="NE303"/>
      <c r="NF303"/>
      <c r="NG303"/>
      <c r="NH303"/>
      <c r="NI303"/>
      <c r="NJ303"/>
      <c r="NK303"/>
      <c r="NL303"/>
      <c r="NM303"/>
      <c r="NN303"/>
      <c r="NO303"/>
      <c r="NP303"/>
      <c r="NQ303"/>
      <c r="NR303"/>
      <c r="NS303"/>
      <c r="NT303"/>
      <c r="NU303"/>
      <c r="NV303"/>
      <c r="NW303"/>
      <c r="NX303"/>
      <c r="NY303"/>
      <c r="NZ303"/>
      <c r="OA303"/>
      <c r="OB303"/>
      <c r="OC303"/>
      <c r="OD303"/>
      <c r="OE303"/>
      <c r="OF303"/>
      <c r="OG303"/>
      <c r="OH303"/>
      <c r="OI303"/>
      <c r="OJ303"/>
      <c r="OK303"/>
      <c r="OL303"/>
      <c r="OM303"/>
      <c r="ON303"/>
      <c r="OO303"/>
      <c r="OP303"/>
      <c r="OQ303"/>
      <c r="OR303"/>
      <c r="OS303"/>
      <c r="OT303"/>
      <c r="OU303"/>
      <c r="OV303"/>
      <c r="OW303"/>
      <c r="OX303"/>
      <c r="OY303"/>
      <c r="OZ303"/>
      <c r="PA303"/>
      <c r="PB303"/>
      <c r="PC303"/>
      <c r="PD303"/>
      <c r="PE303"/>
      <c r="PF303"/>
      <c r="PG303"/>
      <c r="PH303"/>
      <c r="PI303"/>
      <c r="PJ303"/>
      <c r="PK303"/>
      <c r="PL303"/>
      <c r="PM303"/>
      <c r="PN303"/>
      <c r="PO303"/>
      <c r="PP303"/>
      <c r="PQ303"/>
      <c r="PR303"/>
      <c r="PS303"/>
      <c r="PT303"/>
      <c r="PU303"/>
      <c r="PV303"/>
      <c r="PW303"/>
      <c r="PX303"/>
      <c r="PY303"/>
      <c r="PZ303"/>
      <c r="QA303"/>
      <c r="QB303"/>
      <c r="QC303"/>
      <c r="QD303"/>
      <c r="QE303"/>
      <c r="QF303"/>
      <c r="QG303"/>
      <c r="QH303"/>
      <c r="QI303"/>
      <c r="QJ303"/>
      <c r="QK303"/>
      <c r="QL303"/>
      <c r="QM303"/>
      <c r="QN303"/>
      <c r="QO303"/>
      <c r="QP303"/>
      <c r="QQ303"/>
      <c r="QR303"/>
      <c r="QS303"/>
      <c r="QT303"/>
      <c r="QU303"/>
      <c r="QV303"/>
      <c r="QW303"/>
      <c r="QX303"/>
      <c r="QY303"/>
      <c r="QZ303"/>
      <c r="RA303"/>
      <c r="RB303"/>
      <c r="RC303"/>
      <c r="RD303"/>
      <c r="RE303"/>
      <c r="RF303"/>
      <c r="RG303"/>
      <c r="RH303"/>
      <c r="RI303"/>
      <c r="RJ303"/>
      <c r="RK303"/>
      <c r="RL303"/>
      <c r="RM303"/>
      <c r="RN303"/>
      <c r="RO303"/>
      <c r="RP303"/>
      <c r="RQ303"/>
      <c r="RR303"/>
      <c r="RS303"/>
    </row>
    <row r="304" spans="3:487" x14ac:dyDescent="0.25"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  <c r="AT304"/>
      <c r="AU304"/>
      <c r="AV304"/>
      <c r="AW304"/>
      <c r="AX304"/>
      <c r="AY304"/>
      <c r="AZ304"/>
      <c r="BA304"/>
      <c r="BB304"/>
      <c r="BC304"/>
      <c r="BD304"/>
      <c r="BE304"/>
      <c r="BF304"/>
      <c r="BG304"/>
      <c r="BH304"/>
      <c r="BI304"/>
      <c r="BJ304"/>
      <c r="BK304"/>
      <c r="BL304"/>
      <c r="BM304"/>
      <c r="BN304"/>
      <c r="BO304"/>
      <c r="BP304"/>
      <c r="BQ304"/>
      <c r="BR304"/>
      <c r="BS304"/>
      <c r="BT304"/>
      <c r="BU304"/>
      <c r="BV304"/>
      <c r="BW304"/>
      <c r="BX304"/>
      <c r="BY304"/>
      <c r="BZ304"/>
      <c r="CA304"/>
      <c r="CB304"/>
      <c r="CC304"/>
      <c r="CD304"/>
      <c r="CE304"/>
      <c r="CF304"/>
      <c r="CG304"/>
      <c r="CH304"/>
      <c r="CI304"/>
      <c r="CJ304"/>
      <c r="CK304"/>
      <c r="CL304"/>
      <c r="CM304"/>
      <c r="CN304"/>
      <c r="CO304"/>
      <c r="CP304"/>
      <c r="CQ304"/>
      <c r="CR304"/>
      <c r="CS304"/>
      <c r="CT304"/>
      <c r="CU304"/>
      <c r="CV304"/>
      <c r="CW304"/>
      <c r="CX304"/>
      <c r="CY304"/>
      <c r="CZ304"/>
      <c r="DA304"/>
      <c r="DB304"/>
      <c r="DC304"/>
      <c r="DD304"/>
      <c r="DE304"/>
      <c r="DF304"/>
      <c r="DG304"/>
      <c r="DH304"/>
      <c r="DI304"/>
      <c r="DJ304"/>
      <c r="DK304"/>
      <c r="DL304"/>
      <c r="DM304"/>
      <c r="DN304"/>
      <c r="DO304"/>
      <c r="DP304"/>
      <c r="DQ304"/>
      <c r="DR304"/>
      <c r="DS304"/>
      <c r="DT304"/>
      <c r="DU304"/>
      <c r="DV304"/>
      <c r="DW304"/>
      <c r="DX304"/>
      <c r="DY304"/>
      <c r="DZ304"/>
      <c r="EA304"/>
      <c r="EB304"/>
      <c r="EC304"/>
      <c r="ED304"/>
      <c r="EE304"/>
      <c r="EF304"/>
      <c r="EG304"/>
      <c r="EH304"/>
      <c r="EI304"/>
      <c r="EJ304"/>
      <c r="EK304"/>
      <c r="EL304"/>
      <c r="EM304"/>
      <c r="EN304"/>
      <c r="EO304"/>
      <c r="EP304"/>
      <c r="EQ304"/>
      <c r="ER304"/>
      <c r="ES304"/>
      <c r="ET304"/>
      <c r="EU304"/>
      <c r="EV304"/>
      <c r="EW304"/>
      <c r="EX304"/>
      <c r="EY304"/>
      <c r="EZ304"/>
      <c r="FA304"/>
      <c r="FB304"/>
      <c r="FC304"/>
      <c r="FD304"/>
      <c r="FE304"/>
      <c r="FF304"/>
      <c r="FG304"/>
      <c r="FH304"/>
      <c r="FI304"/>
      <c r="FJ304"/>
      <c r="FK304"/>
      <c r="FL304"/>
      <c r="FM304"/>
      <c r="FN304"/>
      <c r="FO304"/>
      <c r="FP304"/>
      <c r="FQ304"/>
      <c r="FR304"/>
      <c r="FS304"/>
      <c r="FT304"/>
      <c r="FU304"/>
      <c r="FV304"/>
      <c r="FW304"/>
      <c r="FX304"/>
      <c r="FY304"/>
      <c r="FZ304"/>
      <c r="GA304"/>
      <c r="GB304"/>
      <c r="GC304"/>
      <c r="GD304"/>
      <c r="GE304"/>
      <c r="GF304"/>
      <c r="GG304"/>
      <c r="GH304"/>
      <c r="GI304"/>
      <c r="GJ304"/>
      <c r="GK304"/>
      <c r="GL304"/>
      <c r="GM304"/>
      <c r="GN304"/>
      <c r="GO304"/>
      <c r="GP304"/>
      <c r="GQ304"/>
      <c r="GR304"/>
      <c r="GS304"/>
      <c r="GT304"/>
      <c r="GU304"/>
      <c r="GV304"/>
      <c r="GW304"/>
      <c r="GX304"/>
      <c r="GY304"/>
      <c r="GZ304"/>
      <c r="HA304"/>
      <c r="HB304"/>
      <c r="HC304"/>
      <c r="HD304"/>
      <c r="HE304"/>
      <c r="HF304"/>
      <c r="HG304"/>
      <c r="HH304"/>
      <c r="HI304"/>
      <c r="HJ304"/>
      <c r="HK304"/>
      <c r="HL304"/>
      <c r="HM304"/>
      <c r="HN304"/>
      <c r="HO304"/>
      <c r="HP304"/>
      <c r="HQ304"/>
      <c r="HR304"/>
      <c r="HS304"/>
      <c r="HT304"/>
      <c r="HU304"/>
      <c r="HV304"/>
      <c r="HW304"/>
      <c r="HX304"/>
      <c r="HY304"/>
      <c r="HZ304"/>
      <c r="IA304"/>
      <c r="IB304"/>
      <c r="IC304"/>
      <c r="ID304"/>
      <c r="IE304"/>
      <c r="IF304"/>
      <c r="IG304"/>
      <c r="IH304"/>
      <c r="II304"/>
      <c r="IJ304"/>
      <c r="IK304"/>
      <c r="IL304"/>
      <c r="IM304"/>
      <c r="IN304"/>
      <c r="IO304"/>
      <c r="IP304"/>
      <c r="IQ304"/>
      <c r="IR304"/>
      <c r="IS304"/>
      <c r="IT304"/>
      <c r="IU304"/>
      <c r="IV304"/>
      <c r="IW304"/>
      <c r="IX304"/>
      <c r="IY304"/>
      <c r="IZ304"/>
      <c r="JA304"/>
      <c r="JB304"/>
      <c r="JC304"/>
      <c r="JD304"/>
      <c r="JE304"/>
      <c r="JF304"/>
      <c r="JG304"/>
      <c r="JH304"/>
      <c r="JI304"/>
      <c r="JJ304"/>
      <c r="JK304"/>
      <c r="JL304"/>
      <c r="JM304"/>
      <c r="JN304"/>
      <c r="JO304"/>
      <c r="JP304"/>
      <c r="JQ304"/>
      <c r="JR304"/>
      <c r="JS304"/>
      <c r="JT304"/>
      <c r="JU304"/>
      <c r="JV304"/>
      <c r="JW304"/>
      <c r="JX304"/>
      <c r="JY304"/>
      <c r="JZ304"/>
      <c r="KA304"/>
      <c r="KB304"/>
      <c r="KC304"/>
      <c r="KD304"/>
      <c r="KE304"/>
      <c r="KF304"/>
      <c r="KG304"/>
      <c r="KH304"/>
      <c r="KI304"/>
      <c r="KJ304"/>
      <c r="KK304"/>
      <c r="KL304"/>
      <c r="KM304"/>
      <c r="KN304"/>
      <c r="KO304"/>
      <c r="KP304"/>
      <c r="KQ304"/>
      <c r="KR304"/>
      <c r="KS304"/>
      <c r="KT304"/>
      <c r="KU304"/>
      <c r="KV304"/>
      <c r="KW304"/>
      <c r="KX304"/>
      <c r="KY304"/>
      <c r="KZ304"/>
      <c r="LA304"/>
      <c r="LB304"/>
      <c r="LC304"/>
      <c r="LD304"/>
      <c r="LE304"/>
      <c r="LF304"/>
      <c r="LG304"/>
      <c r="LH304"/>
      <c r="LI304"/>
      <c r="LJ304"/>
      <c r="LK304"/>
      <c r="LL304"/>
      <c r="LM304"/>
      <c r="LN304"/>
      <c r="LO304"/>
      <c r="LP304"/>
      <c r="LQ304"/>
      <c r="LR304"/>
      <c r="LS304"/>
      <c r="LT304"/>
      <c r="LU304"/>
      <c r="LV304"/>
      <c r="LW304"/>
      <c r="LX304"/>
      <c r="LY304"/>
      <c r="LZ304"/>
      <c r="MA304"/>
      <c r="MB304"/>
      <c r="MC304"/>
      <c r="MD304"/>
      <c r="ME304"/>
      <c r="MF304"/>
      <c r="MG304"/>
      <c r="MH304"/>
      <c r="MI304"/>
      <c r="MJ304"/>
      <c r="MK304"/>
      <c r="ML304"/>
      <c r="MM304"/>
      <c r="MN304"/>
      <c r="MO304"/>
      <c r="MP304"/>
      <c r="MQ304"/>
      <c r="MR304"/>
      <c r="MS304"/>
      <c r="MT304"/>
      <c r="MU304"/>
      <c r="MV304"/>
      <c r="MW304"/>
      <c r="MX304"/>
      <c r="MY304"/>
      <c r="MZ304"/>
      <c r="NA304"/>
      <c r="NB304"/>
      <c r="NC304"/>
      <c r="ND304"/>
      <c r="NE304"/>
      <c r="NF304"/>
      <c r="NG304"/>
      <c r="NH304"/>
      <c r="NI304"/>
      <c r="NJ304"/>
      <c r="NK304"/>
      <c r="NL304"/>
      <c r="NM304"/>
      <c r="NN304"/>
      <c r="NO304"/>
      <c r="NP304"/>
      <c r="NQ304"/>
      <c r="NR304"/>
      <c r="NS304"/>
      <c r="NT304"/>
      <c r="NU304"/>
      <c r="NV304"/>
      <c r="NW304"/>
      <c r="NX304"/>
      <c r="NY304"/>
      <c r="NZ304"/>
      <c r="OA304"/>
      <c r="OB304"/>
      <c r="OC304"/>
      <c r="OD304"/>
      <c r="OE304"/>
      <c r="OF304"/>
      <c r="OG304"/>
      <c r="OH304"/>
      <c r="OI304"/>
      <c r="OJ304"/>
      <c r="OK304"/>
      <c r="OL304"/>
      <c r="OM304"/>
      <c r="ON304"/>
      <c r="OO304"/>
      <c r="OP304"/>
      <c r="OQ304"/>
      <c r="OR304"/>
      <c r="OS304"/>
      <c r="OT304"/>
      <c r="OU304"/>
      <c r="OV304"/>
      <c r="OW304"/>
      <c r="OX304"/>
      <c r="OY304"/>
      <c r="OZ304"/>
      <c r="PA304"/>
      <c r="PB304"/>
      <c r="PC304"/>
      <c r="PD304"/>
      <c r="PE304"/>
      <c r="PF304"/>
      <c r="PG304"/>
      <c r="PH304"/>
      <c r="PI304"/>
      <c r="PJ304"/>
      <c r="PK304"/>
      <c r="PL304"/>
      <c r="PM304"/>
      <c r="PN304"/>
      <c r="PO304"/>
      <c r="PP304"/>
      <c r="PQ304"/>
      <c r="PR304"/>
      <c r="PS304"/>
      <c r="PT304"/>
      <c r="PU304"/>
      <c r="PV304"/>
      <c r="PW304"/>
      <c r="PX304"/>
      <c r="PY304"/>
      <c r="PZ304"/>
      <c r="QA304"/>
      <c r="QB304"/>
      <c r="QC304"/>
      <c r="QD304"/>
      <c r="QE304"/>
      <c r="QF304"/>
      <c r="QG304"/>
      <c r="QH304"/>
      <c r="QI304"/>
      <c r="QJ304"/>
      <c r="QK304"/>
      <c r="QL304"/>
      <c r="QM304"/>
      <c r="QN304"/>
      <c r="QO304"/>
      <c r="QP304"/>
      <c r="QQ304"/>
      <c r="QR304"/>
      <c r="QS304"/>
      <c r="QT304"/>
      <c r="QU304"/>
      <c r="QV304"/>
      <c r="QW304"/>
      <c r="QX304"/>
      <c r="QY304"/>
      <c r="QZ304"/>
      <c r="RA304"/>
      <c r="RB304"/>
      <c r="RC304"/>
      <c r="RD304"/>
      <c r="RE304"/>
      <c r="RF304"/>
      <c r="RG304"/>
      <c r="RH304"/>
      <c r="RI304"/>
      <c r="RJ304"/>
      <c r="RK304"/>
      <c r="RL304"/>
      <c r="RM304"/>
      <c r="RN304"/>
      <c r="RO304"/>
      <c r="RP304"/>
      <c r="RQ304"/>
      <c r="RR304"/>
      <c r="RS304"/>
    </row>
    <row r="305" spans="19:487" x14ac:dyDescent="0.25"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  <c r="AT305"/>
      <c r="AU305"/>
      <c r="AV305"/>
      <c r="AW305"/>
      <c r="AX305"/>
      <c r="AY305"/>
      <c r="AZ305"/>
      <c r="BA305"/>
      <c r="BB305"/>
      <c r="BC305"/>
      <c r="BD305"/>
      <c r="BE305"/>
      <c r="BF305"/>
      <c r="BG305"/>
      <c r="BH305"/>
      <c r="BI305"/>
      <c r="BJ305"/>
      <c r="BK305"/>
      <c r="BL305"/>
      <c r="BM305"/>
      <c r="BN305"/>
      <c r="BO305"/>
      <c r="BP305"/>
      <c r="BQ305"/>
      <c r="BR305"/>
      <c r="BS305"/>
      <c r="BT305"/>
      <c r="BU305"/>
      <c r="BV305"/>
      <c r="BW305"/>
      <c r="BX305"/>
      <c r="BY305"/>
      <c r="BZ305"/>
      <c r="CA305"/>
      <c r="CB305"/>
      <c r="CC305"/>
      <c r="CD305"/>
      <c r="CE305"/>
      <c r="CF305"/>
      <c r="CG305"/>
      <c r="CH305"/>
      <c r="CI305"/>
      <c r="CJ305"/>
      <c r="CK305"/>
      <c r="CL305"/>
      <c r="CM305"/>
      <c r="CN305"/>
      <c r="CO305"/>
      <c r="CP305"/>
      <c r="CQ305"/>
      <c r="CR305"/>
      <c r="CS305"/>
      <c r="CT305"/>
      <c r="CU305"/>
      <c r="CV305"/>
      <c r="CW305"/>
      <c r="CX305"/>
      <c r="CY305"/>
      <c r="CZ305"/>
      <c r="DA305"/>
      <c r="DB305"/>
      <c r="DC305"/>
      <c r="DD305"/>
      <c r="DE305"/>
      <c r="DF305"/>
      <c r="DG305"/>
      <c r="DH305"/>
      <c r="DI305"/>
      <c r="DJ305"/>
      <c r="DK305"/>
      <c r="DL305"/>
      <c r="DM305"/>
      <c r="DN305"/>
      <c r="DO305"/>
      <c r="DP305"/>
      <c r="DQ305"/>
      <c r="DR305"/>
      <c r="DS305"/>
      <c r="DT305"/>
      <c r="DU305"/>
      <c r="DV305"/>
      <c r="DW305"/>
      <c r="DX305"/>
      <c r="DY305"/>
      <c r="DZ305"/>
      <c r="EA305"/>
      <c r="EB305"/>
      <c r="EC305"/>
      <c r="ED305"/>
      <c r="EE305"/>
      <c r="EF305"/>
      <c r="EG305"/>
      <c r="EH305"/>
      <c r="EI305"/>
      <c r="EJ305"/>
      <c r="EK305"/>
      <c r="EL305"/>
      <c r="EM305"/>
      <c r="EN305"/>
      <c r="EO305"/>
      <c r="EP305"/>
      <c r="EQ305"/>
      <c r="ER305"/>
      <c r="ES305"/>
      <c r="ET305"/>
      <c r="EU305"/>
      <c r="EV305"/>
      <c r="EW305"/>
      <c r="EX305"/>
      <c r="EY305"/>
      <c r="EZ305"/>
      <c r="FA305"/>
      <c r="FB305"/>
      <c r="FC305"/>
      <c r="FD305"/>
      <c r="FE305"/>
      <c r="FF305"/>
      <c r="FG305"/>
      <c r="FH305"/>
      <c r="FI305"/>
      <c r="FJ305"/>
      <c r="FK305"/>
      <c r="FL305"/>
      <c r="FM305"/>
      <c r="FN305"/>
      <c r="FO305"/>
      <c r="FP305"/>
      <c r="FQ305"/>
      <c r="FR305"/>
      <c r="FS305"/>
      <c r="FT305"/>
      <c r="FU305"/>
      <c r="FV305"/>
      <c r="FW305"/>
      <c r="FX305"/>
      <c r="FY305"/>
      <c r="FZ305"/>
      <c r="GA305"/>
      <c r="GB305"/>
      <c r="GC305"/>
      <c r="GD305"/>
      <c r="GE305"/>
      <c r="GF305"/>
      <c r="GG305"/>
      <c r="GH305"/>
      <c r="GI305"/>
      <c r="GJ305"/>
      <c r="GK305"/>
      <c r="GL305"/>
      <c r="GM305"/>
      <c r="GN305"/>
      <c r="GO305"/>
      <c r="GP305"/>
      <c r="GQ305"/>
      <c r="GR305"/>
      <c r="GS305"/>
      <c r="GT305"/>
      <c r="GU305"/>
      <c r="GV305"/>
      <c r="GW305"/>
      <c r="GX305"/>
      <c r="GY305"/>
      <c r="GZ305"/>
      <c r="HA305"/>
      <c r="HB305"/>
      <c r="HC305"/>
      <c r="HD305"/>
      <c r="HE305"/>
      <c r="HF305"/>
      <c r="HG305"/>
      <c r="HH305"/>
      <c r="HI305"/>
      <c r="HJ305"/>
      <c r="HK305"/>
      <c r="HL305"/>
      <c r="HM305"/>
      <c r="HN305"/>
      <c r="HO305"/>
      <c r="HP305"/>
      <c r="HQ305"/>
      <c r="HR305"/>
      <c r="HS305"/>
      <c r="HT305"/>
      <c r="HU305"/>
      <c r="HV305"/>
      <c r="HW305"/>
      <c r="HX305"/>
      <c r="HY305"/>
      <c r="HZ305"/>
      <c r="IA305"/>
      <c r="IB305"/>
      <c r="IC305"/>
      <c r="ID305"/>
      <c r="IE305"/>
      <c r="IF305"/>
      <c r="IG305"/>
      <c r="IH305"/>
      <c r="II305"/>
      <c r="IJ305"/>
      <c r="IK305"/>
      <c r="IL305"/>
      <c r="IM305"/>
      <c r="IN305"/>
      <c r="IO305"/>
      <c r="IP305"/>
      <c r="IQ305"/>
      <c r="IR305"/>
      <c r="IS305"/>
      <c r="IT305"/>
      <c r="IU305"/>
      <c r="IV305"/>
      <c r="IW305"/>
      <c r="IX305"/>
      <c r="IY305"/>
      <c r="IZ305"/>
      <c r="JA305"/>
      <c r="JB305"/>
      <c r="JC305"/>
      <c r="JD305"/>
      <c r="JE305"/>
      <c r="JF305"/>
      <c r="JG305"/>
      <c r="JH305"/>
      <c r="JI305"/>
      <c r="JJ305"/>
      <c r="JK305"/>
      <c r="JL305"/>
      <c r="JM305"/>
      <c r="JN305"/>
      <c r="JO305"/>
      <c r="JP305"/>
      <c r="JQ305"/>
      <c r="JR305"/>
      <c r="JS305"/>
      <c r="JT305"/>
      <c r="JU305"/>
      <c r="JV305"/>
      <c r="JW305"/>
      <c r="JX305"/>
      <c r="JY305"/>
      <c r="JZ305"/>
      <c r="KA305"/>
      <c r="KB305"/>
      <c r="KC305"/>
      <c r="KD305"/>
      <c r="KE305"/>
      <c r="KF305"/>
      <c r="KG305"/>
      <c r="KH305"/>
      <c r="KI305"/>
      <c r="KJ305"/>
      <c r="KK305"/>
      <c r="KL305"/>
      <c r="KM305"/>
      <c r="KN305"/>
      <c r="KO305"/>
      <c r="KP305"/>
      <c r="KQ305"/>
      <c r="KR305"/>
      <c r="KS305"/>
      <c r="KT305"/>
      <c r="KU305"/>
      <c r="KV305"/>
      <c r="KW305"/>
      <c r="KX305"/>
      <c r="KY305"/>
      <c r="KZ305"/>
      <c r="LA305"/>
      <c r="LB305"/>
      <c r="LC305"/>
      <c r="LD305"/>
      <c r="LE305"/>
      <c r="LF305"/>
      <c r="LG305"/>
      <c r="LH305"/>
      <c r="LI305"/>
      <c r="LJ305"/>
      <c r="LK305"/>
      <c r="LL305"/>
      <c r="LM305"/>
      <c r="LN305"/>
      <c r="LO305"/>
      <c r="LP305"/>
      <c r="LQ305"/>
      <c r="LR305"/>
      <c r="LS305"/>
      <c r="LT305"/>
      <c r="LU305"/>
      <c r="LV305"/>
      <c r="LW305"/>
      <c r="LX305"/>
      <c r="LY305"/>
      <c r="LZ305"/>
      <c r="MA305"/>
      <c r="MB305"/>
      <c r="MC305"/>
      <c r="MD305"/>
      <c r="ME305"/>
      <c r="MF305"/>
      <c r="MG305"/>
      <c r="MH305"/>
      <c r="MI305"/>
      <c r="MJ305"/>
      <c r="MK305"/>
      <c r="ML305"/>
      <c r="MM305"/>
      <c r="MN305"/>
      <c r="MO305"/>
      <c r="MP305"/>
      <c r="MQ305"/>
      <c r="MR305"/>
      <c r="MS305"/>
      <c r="MT305"/>
      <c r="MU305"/>
      <c r="MV305"/>
      <c r="MW305"/>
      <c r="MX305"/>
      <c r="MY305"/>
      <c r="MZ305"/>
      <c r="NA305"/>
      <c r="NB305"/>
      <c r="NC305"/>
      <c r="ND305"/>
      <c r="NE305"/>
      <c r="NF305"/>
      <c r="NG305"/>
      <c r="NH305"/>
      <c r="NI305"/>
      <c r="NJ305"/>
      <c r="NK305"/>
      <c r="NL305"/>
      <c r="NM305"/>
      <c r="NN305"/>
      <c r="NO305"/>
      <c r="NP305"/>
      <c r="NQ305"/>
      <c r="NR305"/>
      <c r="NS305"/>
      <c r="NT305"/>
      <c r="NU305"/>
      <c r="NV305"/>
      <c r="NW305"/>
      <c r="NX305"/>
      <c r="NY305"/>
      <c r="NZ305"/>
      <c r="OA305"/>
      <c r="OB305"/>
      <c r="OC305"/>
      <c r="OD305"/>
      <c r="OE305"/>
      <c r="OF305"/>
      <c r="OG305"/>
      <c r="OH305"/>
      <c r="OI305"/>
      <c r="OJ305"/>
      <c r="OK305"/>
      <c r="OL305"/>
      <c r="OM305"/>
      <c r="ON305"/>
      <c r="OO305"/>
      <c r="OP305"/>
      <c r="OQ305"/>
      <c r="OR305"/>
      <c r="OS305"/>
      <c r="OT305"/>
      <c r="OU305"/>
      <c r="OV305"/>
      <c r="OW305"/>
      <c r="OX305"/>
      <c r="OY305"/>
      <c r="OZ305"/>
      <c r="PA305"/>
      <c r="PB305"/>
      <c r="PC305"/>
      <c r="PD305"/>
      <c r="PE305"/>
      <c r="PF305"/>
      <c r="PG305"/>
      <c r="PH305"/>
      <c r="PI305"/>
      <c r="PJ305"/>
      <c r="PK305"/>
      <c r="PL305"/>
      <c r="PM305"/>
      <c r="PN305"/>
      <c r="PO305"/>
      <c r="PP305"/>
      <c r="PQ305"/>
      <c r="PR305"/>
      <c r="PS305"/>
      <c r="PT305"/>
      <c r="PU305"/>
      <c r="PV305"/>
      <c r="PW305"/>
      <c r="PX305"/>
      <c r="PY305"/>
      <c r="PZ305"/>
      <c r="QA305"/>
      <c r="QB305"/>
      <c r="QC305"/>
      <c r="QD305"/>
      <c r="QE305"/>
      <c r="QF305"/>
      <c r="QG305"/>
      <c r="QH305"/>
      <c r="QI305"/>
      <c r="QJ305"/>
      <c r="QK305"/>
      <c r="QL305"/>
      <c r="QM305"/>
      <c r="QN305"/>
      <c r="QO305"/>
      <c r="QP305"/>
      <c r="QQ305"/>
      <c r="QR305"/>
      <c r="QS305"/>
      <c r="QT305"/>
      <c r="QU305"/>
      <c r="QV305"/>
      <c r="QW305"/>
      <c r="QX305"/>
      <c r="QY305"/>
      <c r="QZ305"/>
      <c r="RA305"/>
      <c r="RB305"/>
      <c r="RC305"/>
      <c r="RD305"/>
      <c r="RE305"/>
      <c r="RF305"/>
      <c r="RG305"/>
      <c r="RH305"/>
      <c r="RI305"/>
      <c r="RJ305"/>
      <c r="RK305"/>
      <c r="RL305"/>
      <c r="RM305"/>
      <c r="RN305"/>
      <c r="RO305"/>
      <c r="RP305"/>
      <c r="RQ305"/>
      <c r="RR305"/>
      <c r="RS305"/>
    </row>
    <row r="306" spans="19:487" x14ac:dyDescent="0.25"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  <c r="AT306"/>
      <c r="AU306"/>
      <c r="AV306"/>
      <c r="AW306"/>
      <c r="AX306"/>
      <c r="AY306"/>
      <c r="AZ306"/>
      <c r="BA306"/>
      <c r="BB306"/>
      <c r="BC306"/>
      <c r="BD306"/>
      <c r="BE306"/>
      <c r="BF306"/>
      <c r="BG306"/>
      <c r="BH306"/>
      <c r="BI306"/>
      <c r="BJ306"/>
      <c r="BK306"/>
      <c r="BL306"/>
      <c r="BM306"/>
      <c r="BN306"/>
      <c r="BO306"/>
      <c r="BP306"/>
      <c r="BQ306"/>
      <c r="BR306"/>
      <c r="BS306"/>
      <c r="BT306"/>
      <c r="BU306"/>
      <c r="BV306"/>
      <c r="BW306"/>
      <c r="BX306"/>
      <c r="BY306"/>
      <c r="BZ306"/>
      <c r="CA306"/>
      <c r="CB306"/>
      <c r="CC306"/>
      <c r="CD306"/>
      <c r="CE306"/>
      <c r="CF306"/>
      <c r="CG306"/>
      <c r="CH306"/>
      <c r="CI306"/>
      <c r="CJ306"/>
      <c r="CK306"/>
      <c r="CL306"/>
      <c r="CM306"/>
      <c r="CN306"/>
      <c r="CO306"/>
      <c r="CP306"/>
      <c r="CQ306"/>
      <c r="CR306"/>
      <c r="CS306"/>
      <c r="CT306"/>
      <c r="CU306"/>
      <c r="CV306"/>
      <c r="CW306"/>
      <c r="CX306"/>
      <c r="CY306"/>
      <c r="CZ306"/>
      <c r="DA306"/>
      <c r="DB306"/>
      <c r="DC306"/>
      <c r="DD306"/>
      <c r="DE306"/>
      <c r="DF306"/>
      <c r="DG306"/>
      <c r="DH306"/>
      <c r="DI306"/>
      <c r="DJ306"/>
      <c r="DK306"/>
      <c r="DL306"/>
      <c r="DM306"/>
      <c r="DN306"/>
      <c r="DO306"/>
      <c r="DP306"/>
      <c r="DQ306"/>
      <c r="DR306"/>
      <c r="DS306"/>
      <c r="DT306"/>
      <c r="DU306"/>
      <c r="DV306"/>
      <c r="DW306"/>
      <c r="DX306"/>
      <c r="DY306"/>
      <c r="DZ306"/>
      <c r="EA306"/>
      <c r="EB306"/>
      <c r="EC306"/>
      <c r="ED306"/>
      <c r="EE306"/>
      <c r="EF306"/>
      <c r="EG306"/>
      <c r="EH306"/>
      <c r="EI306"/>
      <c r="EJ306"/>
      <c r="EK306"/>
      <c r="EL306"/>
      <c r="EM306"/>
      <c r="EN306"/>
      <c r="EO306"/>
      <c r="EP306"/>
      <c r="EQ306"/>
      <c r="ER306"/>
      <c r="ES306"/>
      <c r="ET306"/>
      <c r="EU306"/>
      <c r="EV306"/>
      <c r="EW306"/>
      <c r="EX306"/>
      <c r="EY306"/>
      <c r="EZ306"/>
      <c r="FA306"/>
      <c r="FB306"/>
      <c r="FC306"/>
      <c r="FD306"/>
      <c r="FE306"/>
      <c r="FF306"/>
      <c r="FG306"/>
      <c r="FH306"/>
      <c r="FI306"/>
      <c r="FJ306"/>
      <c r="FK306"/>
      <c r="FL306"/>
      <c r="FM306"/>
      <c r="FN306"/>
      <c r="FO306"/>
      <c r="FP306"/>
      <c r="FQ306"/>
      <c r="FR306"/>
      <c r="FS306"/>
      <c r="FT306"/>
      <c r="FU306"/>
      <c r="FV306"/>
      <c r="FW306"/>
      <c r="FX306"/>
      <c r="FY306"/>
      <c r="FZ306"/>
      <c r="GA306"/>
      <c r="GB306"/>
      <c r="GC306"/>
      <c r="GD306"/>
      <c r="GE306"/>
      <c r="GF306"/>
      <c r="GG306"/>
      <c r="GH306"/>
      <c r="GI306"/>
      <c r="GJ306"/>
      <c r="GK306"/>
      <c r="GL306"/>
      <c r="GM306"/>
      <c r="GN306"/>
      <c r="GO306"/>
      <c r="GP306"/>
      <c r="GQ306"/>
      <c r="GR306"/>
      <c r="GS306"/>
      <c r="GT306"/>
      <c r="GU306"/>
      <c r="GV306"/>
      <c r="GW306"/>
      <c r="GX306"/>
      <c r="GY306"/>
      <c r="GZ306"/>
      <c r="HA306"/>
      <c r="HB306"/>
      <c r="HC306"/>
      <c r="HD306"/>
      <c r="HE306"/>
      <c r="HF306"/>
      <c r="HG306"/>
      <c r="HH306"/>
      <c r="HI306"/>
      <c r="HJ306"/>
      <c r="HK306"/>
      <c r="HL306"/>
      <c r="HM306"/>
      <c r="HN306"/>
      <c r="HO306"/>
      <c r="HP306"/>
      <c r="HQ306"/>
      <c r="HR306"/>
      <c r="HS306"/>
      <c r="HT306"/>
      <c r="HU306"/>
      <c r="HV306"/>
      <c r="HW306"/>
      <c r="HX306"/>
      <c r="HY306"/>
      <c r="HZ306"/>
      <c r="IA306"/>
      <c r="IB306"/>
      <c r="IC306"/>
      <c r="ID306"/>
      <c r="IE306"/>
      <c r="IF306"/>
      <c r="IG306"/>
      <c r="IH306"/>
      <c r="II306"/>
      <c r="IJ306"/>
      <c r="IK306"/>
      <c r="IL306"/>
      <c r="IM306"/>
      <c r="IN306"/>
      <c r="IO306"/>
      <c r="IP306"/>
      <c r="IQ306"/>
      <c r="IR306"/>
      <c r="IS306"/>
      <c r="IT306"/>
      <c r="IU306"/>
      <c r="IV306"/>
      <c r="IW306"/>
      <c r="IX306"/>
      <c r="IY306"/>
      <c r="IZ306"/>
      <c r="JA306"/>
      <c r="JB306"/>
      <c r="JC306"/>
      <c r="JD306"/>
      <c r="JE306"/>
      <c r="JF306"/>
      <c r="JG306"/>
      <c r="JH306"/>
      <c r="JI306"/>
      <c r="JJ306"/>
      <c r="JK306"/>
      <c r="JL306"/>
      <c r="JM306"/>
      <c r="JN306"/>
      <c r="JO306"/>
      <c r="JP306"/>
      <c r="JQ306"/>
      <c r="JR306"/>
      <c r="JS306"/>
      <c r="JT306"/>
      <c r="JU306"/>
      <c r="JV306"/>
      <c r="JW306"/>
      <c r="JX306"/>
      <c r="JY306"/>
      <c r="JZ306"/>
      <c r="KA306"/>
      <c r="KB306"/>
      <c r="KC306"/>
      <c r="KD306"/>
      <c r="KE306"/>
      <c r="KF306"/>
      <c r="KG306"/>
      <c r="KH306"/>
      <c r="KI306"/>
      <c r="KJ306"/>
      <c r="KK306"/>
      <c r="KL306"/>
      <c r="KM306"/>
      <c r="KN306"/>
      <c r="KO306"/>
      <c r="KP306"/>
      <c r="KQ306"/>
      <c r="KR306"/>
      <c r="KS306"/>
      <c r="KT306"/>
      <c r="KU306"/>
      <c r="KV306"/>
      <c r="KW306"/>
      <c r="KX306"/>
      <c r="KY306"/>
      <c r="KZ306"/>
      <c r="LA306"/>
      <c r="LB306"/>
      <c r="LC306"/>
      <c r="LD306"/>
      <c r="LE306"/>
      <c r="LF306"/>
      <c r="LG306"/>
      <c r="LH306"/>
      <c r="LI306"/>
      <c r="LJ306"/>
      <c r="LK306"/>
      <c r="LL306"/>
      <c r="LM306"/>
      <c r="LN306"/>
      <c r="LO306"/>
      <c r="LP306"/>
      <c r="LQ306"/>
      <c r="LR306"/>
      <c r="LS306"/>
      <c r="LT306"/>
      <c r="LU306"/>
      <c r="LV306"/>
      <c r="LW306"/>
      <c r="LX306"/>
      <c r="LY306"/>
      <c r="LZ306"/>
      <c r="MA306"/>
      <c r="MB306"/>
      <c r="MC306"/>
      <c r="MD306"/>
      <c r="ME306"/>
      <c r="MF306"/>
      <c r="MG306"/>
      <c r="MH306"/>
      <c r="MI306"/>
      <c r="MJ306"/>
      <c r="MK306"/>
      <c r="ML306"/>
      <c r="MM306"/>
      <c r="MN306"/>
      <c r="MO306"/>
      <c r="MP306"/>
      <c r="MQ306"/>
      <c r="MR306"/>
      <c r="MS306"/>
      <c r="MT306"/>
      <c r="MU306"/>
      <c r="MV306"/>
      <c r="MW306"/>
      <c r="MX306"/>
      <c r="MY306"/>
      <c r="MZ306"/>
      <c r="NA306"/>
      <c r="NB306"/>
      <c r="NC306"/>
      <c r="ND306"/>
      <c r="NE306"/>
      <c r="NF306"/>
      <c r="NG306"/>
      <c r="NH306"/>
      <c r="NI306"/>
      <c r="NJ306"/>
      <c r="NK306"/>
      <c r="NL306"/>
      <c r="NM306"/>
      <c r="NN306"/>
      <c r="NO306"/>
      <c r="NP306"/>
      <c r="NQ306"/>
      <c r="NR306"/>
      <c r="NS306"/>
      <c r="NT306"/>
      <c r="NU306"/>
      <c r="NV306"/>
      <c r="NW306"/>
      <c r="NX306"/>
      <c r="NY306"/>
      <c r="NZ306"/>
      <c r="OA306"/>
      <c r="OB306"/>
      <c r="OC306"/>
      <c r="OD306"/>
      <c r="OE306"/>
      <c r="OF306"/>
      <c r="OG306"/>
      <c r="OH306"/>
      <c r="OI306"/>
      <c r="OJ306"/>
      <c r="OK306"/>
      <c r="OL306"/>
      <c r="OM306"/>
      <c r="ON306"/>
      <c r="OO306"/>
      <c r="OP306"/>
      <c r="OQ306"/>
      <c r="OR306"/>
      <c r="OS306"/>
      <c r="OT306"/>
      <c r="OU306"/>
      <c r="OV306"/>
      <c r="OW306"/>
      <c r="OX306"/>
      <c r="OY306"/>
      <c r="OZ306"/>
      <c r="PA306"/>
      <c r="PB306"/>
      <c r="PC306"/>
      <c r="PD306"/>
      <c r="PE306"/>
      <c r="PF306"/>
      <c r="PG306"/>
      <c r="PH306"/>
      <c r="PI306"/>
      <c r="PJ306"/>
      <c r="PK306"/>
      <c r="PL306"/>
      <c r="PM306"/>
      <c r="PN306"/>
      <c r="PO306"/>
      <c r="PP306"/>
      <c r="PQ306"/>
      <c r="PR306"/>
      <c r="PS306"/>
      <c r="PT306"/>
      <c r="PU306"/>
      <c r="PV306"/>
      <c r="PW306"/>
      <c r="PX306"/>
      <c r="PY306"/>
      <c r="PZ306"/>
      <c r="QA306"/>
      <c r="QB306"/>
      <c r="QC306"/>
      <c r="QD306"/>
      <c r="QE306"/>
      <c r="QF306"/>
      <c r="QG306"/>
      <c r="QH306"/>
      <c r="QI306"/>
      <c r="QJ306"/>
      <c r="QK306"/>
      <c r="QL306"/>
      <c r="QM306"/>
      <c r="QN306"/>
      <c r="QO306"/>
      <c r="QP306"/>
      <c r="QQ306"/>
      <c r="QR306"/>
      <c r="QS306"/>
      <c r="QT306"/>
      <c r="QU306"/>
      <c r="QV306"/>
      <c r="QW306"/>
      <c r="QX306"/>
      <c r="QY306"/>
      <c r="QZ306"/>
      <c r="RA306"/>
      <c r="RB306"/>
      <c r="RC306"/>
      <c r="RD306"/>
      <c r="RE306"/>
      <c r="RF306"/>
      <c r="RG306"/>
      <c r="RH306"/>
      <c r="RI306"/>
      <c r="RJ306"/>
      <c r="RK306"/>
      <c r="RL306"/>
      <c r="RM306"/>
      <c r="RN306"/>
      <c r="RO306"/>
      <c r="RP306"/>
      <c r="RQ306"/>
      <c r="RR306"/>
      <c r="RS306"/>
    </row>
    <row r="307" spans="19:487" x14ac:dyDescent="0.25"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  <c r="AT307"/>
      <c r="AU307"/>
      <c r="AV307"/>
      <c r="AW307"/>
      <c r="AX307"/>
      <c r="AY307"/>
      <c r="AZ307"/>
      <c r="BA307"/>
      <c r="BB307"/>
      <c r="BC307"/>
      <c r="BD307"/>
      <c r="BE307"/>
      <c r="BF307"/>
      <c r="BG307"/>
      <c r="BH307"/>
      <c r="BI307"/>
      <c r="BJ307"/>
      <c r="BK307"/>
      <c r="BL307"/>
      <c r="BM307"/>
      <c r="BN307"/>
      <c r="BO307"/>
      <c r="BP307"/>
      <c r="BQ307"/>
      <c r="BR307"/>
      <c r="BS307"/>
      <c r="BT307"/>
      <c r="BU307"/>
      <c r="BV307"/>
      <c r="BW307"/>
      <c r="BX307"/>
      <c r="BY307"/>
      <c r="BZ307"/>
      <c r="CA307"/>
      <c r="CB307"/>
      <c r="CC307"/>
      <c r="CD307"/>
      <c r="CE307"/>
      <c r="CF307"/>
      <c r="CG307"/>
      <c r="CH307"/>
      <c r="CI307"/>
      <c r="CJ307"/>
      <c r="CK307"/>
      <c r="CL307"/>
      <c r="CM307"/>
      <c r="CN307"/>
      <c r="CO307"/>
      <c r="CP307"/>
      <c r="CQ307"/>
      <c r="CR307"/>
      <c r="CS307"/>
      <c r="CT307"/>
      <c r="CU307"/>
      <c r="CV307"/>
      <c r="CW307"/>
      <c r="CX307"/>
      <c r="CY307"/>
      <c r="CZ307"/>
      <c r="DA307"/>
      <c r="DB307"/>
      <c r="DC307"/>
      <c r="DD307"/>
      <c r="DE307"/>
      <c r="DF307"/>
      <c r="DG307"/>
      <c r="DH307"/>
      <c r="DI307"/>
      <c r="DJ307"/>
      <c r="DK307"/>
      <c r="DL307"/>
      <c r="DM307"/>
      <c r="DN307"/>
      <c r="DO307"/>
      <c r="DP307"/>
      <c r="DQ307"/>
      <c r="DR307"/>
      <c r="DS307"/>
      <c r="DT307"/>
      <c r="DU307"/>
      <c r="DV307"/>
      <c r="DW307"/>
      <c r="DX307"/>
      <c r="DY307"/>
      <c r="DZ307"/>
      <c r="EA307"/>
      <c r="EB307"/>
      <c r="EC307"/>
      <c r="ED307"/>
      <c r="EE307"/>
      <c r="EF307"/>
      <c r="EG307"/>
      <c r="EH307"/>
      <c r="EI307"/>
      <c r="EJ307"/>
      <c r="EK307"/>
      <c r="EL307"/>
      <c r="EM307"/>
      <c r="EN307"/>
      <c r="EO307"/>
      <c r="EP307"/>
      <c r="EQ307"/>
      <c r="ER307"/>
      <c r="ES307"/>
      <c r="ET307"/>
      <c r="EU307"/>
      <c r="EV307"/>
      <c r="EW307"/>
      <c r="EX307"/>
      <c r="EY307"/>
      <c r="EZ307"/>
      <c r="FA307"/>
      <c r="FB307"/>
      <c r="FC307"/>
      <c r="FD307"/>
      <c r="FE307"/>
      <c r="FF307"/>
      <c r="FG307"/>
      <c r="FH307"/>
      <c r="FI307"/>
      <c r="FJ307"/>
      <c r="FK307"/>
      <c r="FL307"/>
      <c r="FM307"/>
      <c r="FN307"/>
      <c r="FO307"/>
      <c r="FP307"/>
      <c r="FQ307"/>
      <c r="FR307"/>
      <c r="FS307"/>
      <c r="FT307"/>
      <c r="FU307"/>
      <c r="FV307"/>
      <c r="FW307"/>
      <c r="FX307"/>
      <c r="FY307"/>
      <c r="FZ307"/>
      <c r="GA307"/>
      <c r="GB307"/>
      <c r="GC307"/>
      <c r="GD307"/>
      <c r="GE307"/>
      <c r="GF307"/>
      <c r="GG307"/>
      <c r="GH307"/>
      <c r="GI307"/>
      <c r="GJ307"/>
      <c r="GK307"/>
      <c r="GL307"/>
      <c r="GM307"/>
      <c r="GN307"/>
      <c r="GO307"/>
      <c r="GP307"/>
      <c r="GQ307"/>
      <c r="GR307"/>
      <c r="GS307"/>
      <c r="GT307"/>
      <c r="GU307"/>
      <c r="GV307"/>
      <c r="GW307"/>
      <c r="GX307"/>
      <c r="GY307"/>
      <c r="GZ307"/>
      <c r="HA307"/>
      <c r="HB307"/>
      <c r="HC307"/>
      <c r="HD307"/>
      <c r="HE307"/>
      <c r="HF307"/>
      <c r="HG307"/>
      <c r="HH307"/>
      <c r="HI307"/>
      <c r="HJ307"/>
      <c r="HK307"/>
      <c r="HL307"/>
      <c r="HM307"/>
      <c r="HN307"/>
      <c r="HO307"/>
      <c r="HP307"/>
      <c r="HQ307"/>
      <c r="HR307"/>
      <c r="HS307"/>
      <c r="HT307"/>
      <c r="HU307"/>
      <c r="HV307"/>
      <c r="HW307"/>
      <c r="HX307"/>
      <c r="HY307"/>
      <c r="HZ307"/>
      <c r="IA307"/>
      <c r="IB307"/>
      <c r="IC307"/>
      <c r="ID307"/>
      <c r="IE307"/>
      <c r="IF307"/>
      <c r="IG307"/>
      <c r="IH307"/>
      <c r="II307"/>
      <c r="IJ307"/>
      <c r="IK307"/>
      <c r="IL307"/>
      <c r="IM307"/>
      <c r="IN307"/>
      <c r="IO307"/>
      <c r="IP307"/>
      <c r="IQ307"/>
      <c r="IR307"/>
      <c r="IS307"/>
      <c r="IT307"/>
      <c r="IU307"/>
      <c r="IV307"/>
      <c r="IW307"/>
      <c r="IX307"/>
      <c r="IY307"/>
      <c r="IZ307"/>
      <c r="JA307"/>
      <c r="JB307"/>
      <c r="JC307"/>
      <c r="JD307"/>
      <c r="JE307"/>
      <c r="JF307"/>
      <c r="JG307"/>
      <c r="JH307"/>
      <c r="JI307"/>
      <c r="JJ307"/>
      <c r="JK307"/>
      <c r="JL307"/>
      <c r="JM307"/>
      <c r="JN307"/>
      <c r="JO307"/>
      <c r="JP307"/>
      <c r="JQ307"/>
      <c r="JR307"/>
      <c r="JS307"/>
      <c r="JT307"/>
      <c r="JU307"/>
      <c r="JV307"/>
      <c r="JW307"/>
      <c r="JX307"/>
      <c r="JY307"/>
      <c r="JZ307"/>
      <c r="KA307"/>
      <c r="KB307"/>
      <c r="KC307"/>
      <c r="KD307"/>
      <c r="KE307"/>
      <c r="KF307"/>
      <c r="KG307"/>
      <c r="KH307"/>
      <c r="KI307"/>
      <c r="KJ307"/>
      <c r="KK307"/>
      <c r="KL307"/>
      <c r="KM307"/>
      <c r="KN307"/>
      <c r="KO307"/>
      <c r="KP307"/>
      <c r="KQ307"/>
      <c r="KR307"/>
      <c r="KS307"/>
      <c r="KT307"/>
      <c r="KU307"/>
      <c r="KV307"/>
      <c r="KW307"/>
      <c r="KX307"/>
      <c r="KY307"/>
      <c r="KZ307"/>
      <c r="LA307"/>
      <c r="LB307"/>
      <c r="LC307"/>
      <c r="LD307"/>
      <c r="LE307"/>
      <c r="LF307"/>
      <c r="LG307"/>
      <c r="LH307"/>
      <c r="LI307"/>
      <c r="LJ307"/>
      <c r="LK307"/>
      <c r="LL307"/>
      <c r="LM307"/>
      <c r="LN307"/>
      <c r="LO307"/>
      <c r="LP307"/>
      <c r="LQ307"/>
      <c r="LR307"/>
      <c r="LS307"/>
      <c r="LT307"/>
      <c r="LU307"/>
      <c r="LV307"/>
      <c r="LW307"/>
      <c r="LX307"/>
      <c r="LY307"/>
      <c r="LZ307"/>
      <c r="MA307"/>
      <c r="MB307"/>
      <c r="MC307"/>
      <c r="MD307"/>
      <c r="ME307"/>
      <c r="MF307"/>
      <c r="MG307"/>
      <c r="MH307"/>
      <c r="MI307"/>
      <c r="MJ307"/>
      <c r="MK307"/>
      <c r="ML307"/>
      <c r="MM307"/>
      <c r="MN307"/>
      <c r="MO307"/>
      <c r="MP307"/>
      <c r="MQ307"/>
      <c r="MR307"/>
      <c r="MS307"/>
      <c r="MT307"/>
      <c r="MU307"/>
      <c r="MV307"/>
      <c r="MW307"/>
      <c r="MX307"/>
      <c r="MY307"/>
      <c r="MZ307"/>
      <c r="NA307"/>
      <c r="NB307"/>
      <c r="NC307"/>
      <c r="ND307"/>
      <c r="NE307"/>
      <c r="NF307"/>
      <c r="NG307"/>
      <c r="NH307"/>
      <c r="NI307"/>
      <c r="NJ307"/>
      <c r="NK307"/>
      <c r="NL307"/>
      <c r="NM307"/>
      <c r="NN307"/>
      <c r="NO307"/>
      <c r="NP307"/>
      <c r="NQ307"/>
      <c r="NR307"/>
      <c r="NS307"/>
      <c r="NT307"/>
      <c r="NU307"/>
      <c r="NV307"/>
      <c r="NW307"/>
      <c r="NX307"/>
      <c r="NY307"/>
      <c r="NZ307"/>
      <c r="OA307"/>
      <c r="OB307"/>
      <c r="OC307"/>
      <c r="OD307"/>
      <c r="OE307"/>
      <c r="OF307"/>
      <c r="OG307"/>
      <c r="OH307"/>
      <c r="OI307"/>
      <c r="OJ307"/>
      <c r="OK307"/>
      <c r="OL307"/>
      <c r="OM307"/>
      <c r="ON307"/>
      <c r="OO307"/>
      <c r="OP307"/>
      <c r="OQ307"/>
      <c r="OR307"/>
      <c r="OS307"/>
      <c r="OT307"/>
      <c r="OU307"/>
      <c r="OV307"/>
      <c r="OW307"/>
      <c r="OX307"/>
      <c r="OY307"/>
      <c r="OZ307"/>
      <c r="PA307"/>
      <c r="PB307"/>
      <c r="PC307"/>
      <c r="PD307"/>
      <c r="PE307"/>
      <c r="PF307"/>
      <c r="PG307"/>
      <c r="PH307"/>
      <c r="PI307"/>
      <c r="PJ307"/>
      <c r="PK307"/>
      <c r="PL307"/>
      <c r="PM307"/>
      <c r="PN307"/>
      <c r="PO307"/>
      <c r="PP307"/>
      <c r="PQ307"/>
      <c r="PR307"/>
      <c r="PS307"/>
      <c r="PT307"/>
      <c r="PU307"/>
      <c r="PV307"/>
      <c r="PW307"/>
      <c r="PX307"/>
      <c r="PY307"/>
      <c r="PZ307"/>
      <c r="QA307"/>
      <c r="QB307"/>
      <c r="QC307"/>
      <c r="QD307"/>
      <c r="QE307"/>
      <c r="QF307"/>
      <c r="QG307"/>
      <c r="QH307"/>
      <c r="QI307"/>
      <c r="QJ307"/>
      <c r="QK307"/>
      <c r="QL307"/>
      <c r="QM307"/>
      <c r="QN307"/>
      <c r="QO307"/>
      <c r="QP307"/>
      <c r="QQ307"/>
      <c r="QR307"/>
      <c r="QS307"/>
      <c r="QT307"/>
      <c r="QU307"/>
      <c r="QV307"/>
      <c r="QW307"/>
      <c r="QX307"/>
      <c r="QY307"/>
      <c r="QZ307"/>
      <c r="RA307"/>
      <c r="RB307"/>
      <c r="RC307"/>
      <c r="RD307"/>
      <c r="RE307"/>
      <c r="RF307"/>
      <c r="RG307"/>
      <c r="RH307"/>
      <c r="RI307"/>
      <c r="RJ307"/>
      <c r="RK307"/>
      <c r="RL307"/>
      <c r="RM307"/>
      <c r="RN307"/>
      <c r="RO307"/>
      <c r="RP307"/>
      <c r="RQ307"/>
      <c r="RR307"/>
      <c r="RS307"/>
    </row>
    <row r="308" spans="19:487" x14ac:dyDescent="0.25"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/>
      <c r="AT308"/>
      <c r="AU308"/>
      <c r="AV308"/>
      <c r="AW308"/>
      <c r="AX308"/>
      <c r="AY308"/>
      <c r="AZ308"/>
      <c r="BA308"/>
      <c r="BB308"/>
      <c r="BC308"/>
      <c r="BD308"/>
      <c r="BE308"/>
      <c r="BF308"/>
      <c r="BG308"/>
      <c r="BH308"/>
      <c r="BI308"/>
      <c r="BJ308"/>
      <c r="BK308"/>
      <c r="BL308"/>
      <c r="BM308"/>
      <c r="BN308"/>
      <c r="BO308"/>
      <c r="BP308"/>
      <c r="BQ308"/>
      <c r="BR308"/>
      <c r="BS308"/>
      <c r="BT308"/>
      <c r="BU308"/>
      <c r="BV308"/>
      <c r="BW308"/>
      <c r="BX308"/>
      <c r="BY308"/>
      <c r="BZ308"/>
      <c r="CA308"/>
      <c r="CB308"/>
      <c r="CC308"/>
      <c r="CD308"/>
      <c r="CE308"/>
      <c r="CF308"/>
      <c r="CG308"/>
      <c r="CH308"/>
      <c r="CI308"/>
      <c r="CJ308"/>
      <c r="CK308"/>
      <c r="CL308"/>
      <c r="CM308"/>
      <c r="CN308"/>
      <c r="CO308"/>
      <c r="CP308"/>
      <c r="CQ308"/>
      <c r="CR308"/>
      <c r="CS308"/>
      <c r="CT308"/>
      <c r="CU308"/>
      <c r="CV308"/>
      <c r="CW308"/>
      <c r="CX308"/>
      <c r="CY308"/>
      <c r="CZ308"/>
      <c r="DA308"/>
      <c r="DB308"/>
      <c r="DC308"/>
      <c r="DD308"/>
      <c r="DE308"/>
      <c r="DF308"/>
      <c r="DG308"/>
      <c r="DH308"/>
      <c r="DI308"/>
      <c r="DJ308"/>
      <c r="DK308"/>
      <c r="DL308"/>
      <c r="DM308"/>
      <c r="DN308"/>
      <c r="DO308"/>
      <c r="DP308"/>
      <c r="DQ308"/>
      <c r="DR308"/>
      <c r="DS308"/>
      <c r="DT308"/>
      <c r="DU308"/>
      <c r="DV308"/>
      <c r="DW308"/>
      <c r="DX308"/>
      <c r="DY308"/>
      <c r="DZ308"/>
      <c r="EA308"/>
      <c r="EB308"/>
      <c r="EC308"/>
      <c r="ED308"/>
      <c r="EE308"/>
      <c r="EF308"/>
      <c r="EG308"/>
      <c r="EH308"/>
      <c r="EI308"/>
      <c r="EJ308"/>
      <c r="EK308"/>
      <c r="EL308"/>
      <c r="EM308"/>
      <c r="EN308"/>
      <c r="EO308"/>
      <c r="EP308"/>
      <c r="EQ308"/>
      <c r="ER308"/>
      <c r="ES308"/>
      <c r="ET308"/>
      <c r="EU308"/>
      <c r="EV308"/>
      <c r="EW308"/>
      <c r="EX308"/>
      <c r="EY308"/>
      <c r="EZ308"/>
      <c r="FA308"/>
      <c r="FB308"/>
      <c r="FC308"/>
      <c r="FD308"/>
      <c r="FE308"/>
      <c r="FF308"/>
      <c r="FG308"/>
      <c r="FH308"/>
      <c r="FI308"/>
      <c r="FJ308"/>
      <c r="FK308"/>
      <c r="FL308"/>
      <c r="FM308"/>
      <c r="FN308"/>
      <c r="FO308"/>
      <c r="FP308"/>
      <c r="FQ308"/>
      <c r="FR308"/>
      <c r="FS308"/>
      <c r="FT308"/>
      <c r="FU308"/>
      <c r="FV308"/>
      <c r="FW308"/>
      <c r="FX308"/>
      <c r="FY308"/>
      <c r="FZ308"/>
      <c r="GA308"/>
      <c r="GB308"/>
      <c r="GC308"/>
      <c r="GD308"/>
      <c r="GE308"/>
      <c r="GF308"/>
      <c r="GG308"/>
      <c r="GH308"/>
      <c r="GI308"/>
      <c r="GJ308"/>
      <c r="GK308"/>
      <c r="GL308"/>
      <c r="GM308"/>
      <c r="GN308"/>
      <c r="GO308"/>
      <c r="GP308"/>
      <c r="GQ308"/>
      <c r="GR308"/>
      <c r="GS308"/>
      <c r="GT308"/>
      <c r="GU308"/>
      <c r="GV308"/>
      <c r="GW308"/>
      <c r="GX308"/>
      <c r="GY308"/>
      <c r="GZ308"/>
      <c r="HA308"/>
      <c r="HB308"/>
      <c r="HC308"/>
      <c r="HD308"/>
      <c r="HE308"/>
      <c r="HF308"/>
      <c r="HG308"/>
      <c r="HH308"/>
      <c r="HI308"/>
      <c r="HJ308"/>
      <c r="HK308"/>
      <c r="HL308"/>
      <c r="HM308"/>
      <c r="HN308"/>
      <c r="HO308"/>
      <c r="HP308"/>
      <c r="HQ308"/>
      <c r="HR308"/>
      <c r="HS308"/>
      <c r="HT308"/>
      <c r="HU308"/>
      <c r="HV308"/>
      <c r="HW308"/>
      <c r="HX308"/>
      <c r="HY308"/>
      <c r="HZ308"/>
      <c r="IA308"/>
      <c r="IB308"/>
      <c r="IC308"/>
      <c r="ID308"/>
      <c r="IE308"/>
      <c r="IF308"/>
      <c r="IG308"/>
      <c r="IH308"/>
      <c r="II308"/>
      <c r="IJ308"/>
      <c r="IK308"/>
      <c r="IL308"/>
      <c r="IM308"/>
      <c r="IN308"/>
      <c r="IO308"/>
      <c r="IP308"/>
      <c r="IQ308"/>
      <c r="IR308"/>
      <c r="IS308"/>
      <c r="IT308"/>
      <c r="IU308"/>
      <c r="IV308"/>
      <c r="IW308"/>
      <c r="IX308"/>
      <c r="IY308"/>
      <c r="IZ308"/>
      <c r="JA308"/>
      <c r="JB308"/>
      <c r="JC308"/>
      <c r="JD308"/>
      <c r="JE308"/>
      <c r="JF308"/>
      <c r="JG308"/>
      <c r="JH308"/>
      <c r="JI308"/>
      <c r="JJ308"/>
      <c r="JK308"/>
      <c r="JL308"/>
      <c r="JM308"/>
      <c r="JN308"/>
      <c r="JO308"/>
      <c r="JP308"/>
      <c r="JQ308"/>
      <c r="JR308"/>
      <c r="JS308"/>
      <c r="JT308"/>
      <c r="JU308"/>
      <c r="JV308"/>
      <c r="JW308"/>
      <c r="JX308"/>
      <c r="JY308"/>
      <c r="JZ308"/>
      <c r="KA308"/>
      <c r="KB308"/>
      <c r="KC308"/>
      <c r="KD308"/>
      <c r="KE308"/>
      <c r="KF308"/>
      <c r="KG308"/>
      <c r="KH308"/>
      <c r="KI308"/>
      <c r="KJ308"/>
      <c r="KK308"/>
      <c r="KL308"/>
      <c r="KM308"/>
      <c r="KN308"/>
      <c r="KO308"/>
      <c r="KP308"/>
      <c r="KQ308"/>
      <c r="KR308"/>
      <c r="KS308"/>
      <c r="KT308"/>
      <c r="KU308"/>
      <c r="KV308"/>
      <c r="KW308"/>
      <c r="KX308"/>
      <c r="KY308"/>
      <c r="KZ308"/>
      <c r="LA308"/>
      <c r="LB308"/>
      <c r="LC308"/>
      <c r="LD308"/>
      <c r="LE308"/>
      <c r="LF308"/>
      <c r="LG308"/>
      <c r="LH308"/>
      <c r="LI308"/>
      <c r="LJ308"/>
      <c r="LK308"/>
      <c r="LL308"/>
      <c r="LM308"/>
      <c r="LN308"/>
      <c r="LO308"/>
      <c r="LP308"/>
      <c r="LQ308"/>
      <c r="LR308"/>
      <c r="LS308"/>
      <c r="LT308"/>
      <c r="LU308"/>
      <c r="LV308"/>
      <c r="LW308"/>
      <c r="LX308"/>
      <c r="LY308"/>
      <c r="LZ308"/>
      <c r="MA308"/>
      <c r="MB308"/>
      <c r="MC308"/>
      <c r="MD308"/>
      <c r="ME308"/>
      <c r="MF308"/>
      <c r="MG308"/>
      <c r="MH308"/>
      <c r="MI308"/>
      <c r="MJ308"/>
      <c r="MK308"/>
      <c r="ML308"/>
      <c r="MM308"/>
      <c r="MN308"/>
      <c r="MO308"/>
      <c r="MP308"/>
      <c r="MQ308"/>
      <c r="MR308"/>
      <c r="MS308"/>
      <c r="MT308"/>
      <c r="MU308"/>
      <c r="MV308"/>
      <c r="MW308"/>
      <c r="MX308"/>
      <c r="MY308"/>
      <c r="MZ308"/>
      <c r="NA308"/>
      <c r="NB308"/>
      <c r="NC308"/>
      <c r="ND308"/>
      <c r="NE308"/>
      <c r="NF308"/>
      <c r="NG308"/>
      <c r="NH308"/>
      <c r="NI308"/>
      <c r="NJ308"/>
      <c r="NK308"/>
      <c r="NL308"/>
      <c r="NM308"/>
      <c r="NN308"/>
      <c r="NO308"/>
      <c r="NP308"/>
      <c r="NQ308"/>
      <c r="NR308"/>
      <c r="NS308"/>
      <c r="NT308"/>
      <c r="NU308"/>
      <c r="NV308"/>
      <c r="NW308"/>
      <c r="NX308"/>
      <c r="NY308"/>
      <c r="NZ308"/>
      <c r="OA308"/>
      <c r="OB308"/>
      <c r="OC308"/>
      <c r="OD308"/>
      <c r="OE308"/>
      <c r="OF308"/>
      <c r="OG308"/>
      <c r="OH308"/>
      <c r="OI308"/>
      <c r="OJ308"/>
      <c r="OK308"/>
      <c r="OL308"/>
      <c r="OM308"/>
      <c r="ON308"/>
      <c r="OO308"/>
      <c r="OP308"/>
      <c r="OQ308"/>
      <c r="OR308"/>
      <c r="OS308"/>
      <c r="OT308"/>
      <c r="OU308"/>
      <c r="OV308"/>
      <c r="OW308"/>
      <c r="OX308"/>
      <c r="OY308"/>
      <c r="OZ308"/>
      <c r="PA308"/>
      <c r="PB308"/>
      <c r="PC308"/>
      <c r="PD308"/>
      <c r="PE308"/>
      <c r="PF308"/>
      <c r="PG308"/>
      <c r="PH308"/>
      <c r="PI308"/>
      <c r="PJ308"/>
      <c r="PK308"/>
      <c r="PL308"/>
      <c r="PM308"/>
      <c r="PN308"/>
      <c r="PO308"/>
      <c r="PP308"/>
      <c r="PQ308"/>
      <c r="PR308"/>
      <c r="PS308"/>
      <c r="PT308"/>
      <c r="PU308"/>
      <c r="PV308"/>
      <c r="PW308"/>
      <c r="PX308"/>
      <c r="PY308"/>
      <c r="PZ308"/>
      <c r="QA308"/>
      <c r="QB308"/>
      <c r="QC308"/>
      <c r="QD308"/>
      <c r="QE308"/>
      <c r="QF308"/>
      <c r="QG308"/>
      <c r="QH308"/>
      <c r="QI308"/>
      <c r="QJ308"/>
      <c r="QK308"/>
      <c r="QL308"/>
      <c r="QM308"/>
      <c r="QN308"/>
      <c r="QO308"/>
      <c r="QP308"/>
      <c r="QQ308"/>
      <c r="QR308"/>
      <c r="QS308"/>
      <c r="QT308"/>
      <c r="QU308"/>
      <c r="QV308"/>
      <c r="QW308"/>
      <c r="QX308"/>
      <c r="QY308"/>
      <c r="QZ308"/>
      <c r="RA308"/>
      <c r="RB308"/>
      <c r="RC308"/>
      <c r="RD308"/>
      <c r="RE308"/>
      <c r="RF308"/>
      <c r="RG308"/>
      <c r="RH308"/>
      <c r="RI308"/>
      <c r="RJ308"/>
      <c r="RK308"/>
      <c r="RL308"/>
      <c r="RM308"/>
      <c r="RN308"/>
      <c r="RO308"/>
      <c r="RP308"/>
      <c r="RQ308"/>
      <c r="RR308"/>
      <c r="RS308"/>
    </row>
    <row r="309" spans="19:487" x14ac:dyDescent="0.25"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  <c r="AT309"/>
      <c r="AU309"/>
      <c r="AV309"/>
      <c r="AW309"/>
      <c r="AX309"/>
      <c r="AY309"/>
      <c r="AZ309"/>
      <c r="BA309"/>
      <c r="BB309"/>
      <c r="BC309"/>
      <c r="BD309"/>
      <c r="BE309"/>
      <c r="BF309"/>
      <c r="BG309"/>
      <c r="BH309"/>
      <c r="BI309"/>
      <c r="BJ309"/>
      <c r="BK309"/>
      <c r="BL309"/>
      <c r="BM309"/>
      <c r="BN309"/>
      <c r="BO309"/>
      <c r="BP309"/>
      <c r="BQ309"/>
      <c r="BR309"/>
      <c r="BS309"/>
      <c r="BT309"/>
      <c r="BU309"/>
      <c r="BV309"/>
      <c r="BW309"/>
      <c r="BX309"/>
      <c r="BY309"/>
      <c r="BZ309"/>
      <c r="CA309"/>
      <c r="CB309"/>
      <c r="CC309"/>
      <c r="CD309"/>
      <c r="CE309"/>
      <c r="CF309"/>
      <c r="CG309"/>
      <c r="CH309"/>
      <c r="CI309"/>
      <c r="CJ309"/>
      <c r="CK309"/>
      <c r="CL309"/>
      <c r="CM309"/>
      <c r="CN309"/>
      <c r="CO309"/>
      <c r="CP309"/>
      <c r="CQ309"/>
      <c r="CR309"/>
      <c r="CS309"/>
      <c r="CT309"/>
      <c r="CU309"/>
      <c r="CV309"/>
      <c r="CW309"/>
      <c r="CX309"/>
      <c r="CY309"/>
      <c r="CZ309"/>
      <c r="DA309"/>
      <c r="DB309"/>
      <c r="DC309"/>
      <c r="DD309"/>
      <c r="DE309"/>
      <c r="DF309"/>
      <c r="DG309"/>
      <c r="DH309"/>
      <c r="DI309"/>
      <c r="DJ309"/>
      <c r="DK309"/>
      <c r="DL309"/>
      <c r="DM309"/>
      <c r="DN309"/>
      <c r="DO309"/>
      <c r="DP309"/>
      <c r="DQ309"/>
      <c r="DR309"/>
      <c r="DS309"/>
      <c r="DT309"/>
      <c r="DU309"/>
      <c r="DV309"/>
      <c r="DW309"/>
      <c r="DX309"/>
      <c r="DY309"/>
      <c r="DZ309"/>
      <c r="EA309"/>
      <c r="EB309"/>
      <c r="EC309"/>
      <c r="ED309"/>
      <c r="EE309"/>
      <c r="EF309"/>
      <c r="EG309"/>
      <c r="EH309"/>
      <c r="EI309"/>
      <c r="EJ309"/>
      <c r="EK309"/>
      <c r="EL309"/>
      <c r="EM309"/>
      <c r="EN309"/>
      <c r="EO309"/>
      <c r="EP309"/>
      <c r="EQ309"/>
      <c r="ER309"/>
      <c r="ES309"/>
      <c r="ET309"/>
      <c r="EU309"/>
      <c r="EV309"/>
      <c r="EW309"/>
      <c r="EX309"/>
      <c r="EY309"/>
      <c r="EZ309"/>
      <c r="FA309"/>
      <c r="FB309"/>
      <c r="FC309"/>
      <c r="FD309"/>
      <c r="FE309"/>
      <c r="FF309"/>
      <c r="FG309"/>
      <c r="FH309"/>
      <c r="FI309"/>
      <c r="FJ309"/>
      <c r="FK309"/>
      <c r="FL309"/>
      <c r="FM309"/>
      <c r="FN309"/>
      <c r="FO309"/>
      <c r="FP309"/>
      <c r="FQ309"/>
      <c r="FR309"/>
      <c r="FS309"/>
      <c r="FT309"/>
      <c r="FU309"/>
      <c r="FV309"/>
      <c r="FW309"/>
      <c r="FX309"/>
      <c r="FY309"/>
      <c r="FZ309"/>
      <c r="GA309"/>
      <c r="GB309"/>
      <c r="GC309"/>
      <c r="GD309"/>
      <c r="GE309"/>
      <c r="GF309"/>
      <c r="GG309"/>
      <c r="GH309"/>
      <c r="GI309"/>
      <c r="GJ309"/>
      <c r="GK309"/>
      <c r="GL309"/>
      <c r="GM309"/>
      <c r="GN309"/>
      <c r="GO309"/>
      <c r="GP309"/>
      <c r="GQ309"/>
      <c r="GR309"/>
      <c r="GS309"/>
      <c r="GT309"/>
      <c r="GU309"/>
      <c r="GV309"/>
      <c r="GW309"/>
      <c r="GX309"/>
      <c r="GY309"/>
      <c r="GZ309"/>
      <c r="HA309"/>
      <c r="HB309"/>
      <c r="HC309"/>
      <c r="HD309"/>
      <c r="HE309"/>
      <c r="HF309"/>
      <c r="HG309"/>
      <c r="HH309"/>
      <c r="HI309"/>
      <c r="HJ309"/>
      <c r="HK309"/>
      <c r="HL309"/>
      <c r="HM309"/>
      <c r="HN309"/>
      <c r="HO309"/>
      <c r="HP309"/>
      <c r="HQ309"/>
      <c r="HR309"/>
      <c r="HS309"/>
      <c r="HT309"/>
      <c r="HU309"/>
      <c r="HV309"/>
      <c r="HW309"/>
      <c r="HX309"/>
      <c r="HY309"/>
      <c r="HZ309"/>
      <c r="IA309"/>
      <c r="IB309"/>
      <c r="IC309"/>
      <c r="ID309"/>
      <c r="IE309"/>
      <c r="IF309"/>
      <c r="IG309"/>
      <c r="IH309"/>
      <c r="II309"/>
      <c r="IJ309"/>
      <c r="IK309"/>
      <c r="IL309"/>
      <c r="IM309"/>
      <c r="IN309"/>
      <c r="IO309"/>
      <c r="IP309"/>
      <c r="IQ309"/>
      <c r="IR309"/>
      <c r="IS309"/>
      <c r="IT309"/>
      <c r="IU309"/>
      <c r="IV309"/>
      <c r="IW309"/>
      <c r="IX309"/>
      <c r="IY309"/>
      <c r="IZ309"/>
      <c r="JA309"/>
      <c r="JB309"/>
      <c r="JC309"/>
      <c r="JD309"/>
      <c r="JE309"/>
      <c r="JF309"/>
      <c r="JG309"/>
      <c r="JH309"/>
      <c r="JI309"/>
      <c r="JJ309"/>
      <c r="JK309"/>
      <c r="JL309"/>
      <c r="JM309"/>
      <c r="JN309"/>
      <c r="JO309"/>
      <c r="JP309"/>
      <c r="JQ309"/>
      <c r="JR309"/>
      <c r="JS309"/>
      <c r="JT309"/>
      <c r="JU309"/>
      <c r="JV309"/>
      <c r="JW309"/>
      <c r="JX309"/>
      <c r="JY309"/>
      <c r="JZ309"/>
      <c r="KA309"/>
      <c r="KB309"/>
      <c r="KC309"/>
      <c r="KD309"/>
      <c r="KE309"/>
      <c r="KF309"/>
      <c r="KG309"/>
      <c r="KH309"/>
      <c r="KI309"/>
      <c r="KJ309"/>
      <c r="KK309"/>
      <c r="KL309"/>
      <c r="KM309"/>
      <c r="KN309"/>
      <c r="KO309"/>
      <c r="KP309"/>
      <c r="KQ309"/>
      <c r="KR309"/>
      <c r="KS309"/>
      <c r="KT309"/>
      <c r="KU309"/>
      <c r="KV309"/>
      <c r="KW309"/>
      <c r="KX309"/>
      <c r="KY309"/>
      <c r="KZ309"/>
      <c r="LA309"/>
      <c r="LB309"/>
      <c r="LC309"/>
      <c r="LD309"/>
      <c r="LE309"/>
      <c r="LF309"/>
      <c r="LG309"/>
      <c r="LH309"/>
      <c r="LI309"/>
      <c r="LJ309"/>
      <c r="LK309"/>
      <c r="LL309"/>
      <c r="LM309"/>
      <c r="LN309"/>
      <c r="LO309"/>
      <c r="LP309"/>
      <c r="LQ309"/>
      <c r="LR309"/>
      <c r="LS309"/>
      <c r="LT309"/>
      <c r="LU309"/>
      <c r="LV309"/>
      <c r="LW309"/>
      <c r="LX309"/>
      <c r="LY309"/>
      <c r="LZ309"/>
      <c r="MA309"/>
      <c r="MB309"/>
      <c r="MC309"/>
      <c r="MD309"/>
      <c r="ME309"/>
      <c r="MF309"/>
      <c r="MG309"/>
      <c r="MH309"/>
      <c r="MI309"/>
      <c r="MJ309"/>
      <c r="MK309"/>
      <c r="ML309"/>
      <c r="MM309"/>
      <c r="MN309"/>
      <c r="MO309"/>
      <c r="MP309"/>
      <c r="MQ309"/>
      <c r="MR309"/>
      <c r="MS309"/>
      <c r="MT309"/>
      <c r="MU309"/>
      <c r="MV309"/>
      <c r="MW309"/>
      <c r="MX309"/>
      <c r="MY309"/>
      <c r="MZ309"/>
      <c r="NA309"/>
      <c r="NB309"/>
      <c r="NC309"/>
      <c r="ND309"/>
      <c r="NE309"/>
      <c r="NF309"/>
      <c r="NG309"/>
      <c r="NH309"/>
      <c r="NI309"/>
      <c r="NJ309"/>
      <c r="NK309"/>
      <c r="NL309"/>
      <c r="NM309"/>
      <c r="NN309"/>
      <c r="NO309"/>
      <c r="NP309"/>
      <c r="NQ309"/>
      <c r="NR309"/>
      <c r="NS309"/>
      <c r="NT309"/>
      <c r="NU309"/>
      <c r="NV309"/>
      <c r="NW309"/>
      <c r="NX309"/>
      <c r="NY309"/>
      <c r="NZ309"/>
      <c r="OA309"/>
      <c r="OB309"/>
      <c r="OC309"/>
      <c r="OD309"/>
      <c r="OE309"/>
      <c r="OF309"/>
      <c r="OG309"/>
      <c r="OH309"/>
      <c r="OI309"/>
      <c r="OJ309"/>
      <c r="OK309"/>
      <c r="OL309"/>
      <c r="OM309"/>
      <c r="ON309"/>
      <c r="OO309"/>
      <c r="OP309"/>
      <c r="OQ309"/>
      <c r="OR309"/>
      <c r="OS309"/>
      <c r="OT309"/>
      <c r="OU309"/>
      <c r="OV309"/>
      <c r="OW309"/>
      <c r="OX309"/>
      <c r="OY309"/>
      <c r="OZ309"/>
      <c r="PA309"/>
      <c r="PB309"/>
      <c r="PC309"/>
      <c r="PD309"/>
      <c r="PE309"/>
      <c r="PF309"/>
      <c r="PG309"/>
      <c r="PH309"/>
      <c r="PI309"/>
      <c r="PJ309"/>
      <c r="PK309"/>
      <c r="PL309"/>
      <c r="PM309"/>
      <c r="PN309"/>
      <c r="PO309"/>
      <c r="PP309"/>
      <c r="PQ309"/>
      <c r="PR309"/>
      <c r="PS309"/>
      <c r="PT309"/>
      <c r="PU309"/>
      <c r="PV309"/>
      <c r="PW309"/>
      <c r="PX309"/>
      <c r="PY309"/>
      <c r="PZ309"/>
      <c r="QA309"/>
      <c r="QB309"/>
      <c r="QC309"/>
      <c r="QD309"/>
      <c r="QE309"/>
      <c r="QF309"/>
      <c r="QG309"/>
      <c r="QH309"/>
      <c r="QI309"/>
      <c r="QJ309"/>
      <c r="QK309"/>
      <c r="QL309"/>
      <c r="QM309"/>
      <c r="QN309"/>
      <c r="QO309"/>
      <c r="QP309"/>
      <c r="QQ309"/>
      <c r="QR309"/>
      <c r="QS309"/>
      <c r="QT309"/>
      <c r="QU309"/>
      <c r="QV309"/>
      <c r="QW309"/>
      <c r="QX309"/>
      <c r="QY309"/>
      <c r="QZ309"/>
      <c r="RA309"/>
      <c r="RB309"/>
      <c r="RC309"/>
      <c r="RD309"/>
      <c r="RE309"/>
      <c r="RF309"/>
      <c r="RG309"/>
      <c r="RH309"/>
      <c r="RI309"/>
      <c r="RJ309"/>
      <c r="RK309"/>
      <c r="RL309"/>
      <c r="RM309"/>
      <c r="RN309"/>
      <c r="RO309"/>
      <c r="RP309"/>
      <c r="RQ309"/>
      <c r="RR309"/>
      <c r="RS309"/>
    </row>
    <row r="310" spans="19:487" x14ac:dyDescent="0.25"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  <c r="AT310"/>
      <c r="AU310"/>
      <c r="AV310"/>
      <c r="AW310"/>
      <c r="AX310"/>
      <c r="AY310"/>
      <c r="AZ310"/>
      <c r="BA310"/>
      <c r="BB310"/>
      <c r="BC310"/>
      <c r="BD310"/>
      <c r="BE310"/>
      <c r="BF310"/>
      <c r="BG310"/>
      <c r="BH310"/>
      <c r="BI310"/>
      <c r="BJ310"/>
      <c r="BK310"/>
      <c r="BL310"/>
      <c r="BM310"/>
      <c r="BN310"/>
      <c r="BO310"/>
      <c r="BP310"/>
      <c r="BQ310"/>
      <c r="BR310"/>
      <c r="BS310"/>
      <c r="BT310"/>
      <c r="BU310"/>
      <c r="BV310"/>
      <c r="BW310"/>
      <c r="BX310"/>
      <c r="BY310"/>
      <c r="BZ310"/>
      <c r="CA310"/>
      <c r="CB310"/>
      <c r="CC310"/>
      <c r="CD310"/>
      <c r="CE310"/>
      <c r="CF310"/>
      <c r="CG310"/>
      <c r="CH310"/>
      <c r="CI310"/>
      <c r="CJ310"/>
      <c r="CK310"/>
      <c r="CL310"/>
      <c r="CM310"/>
      <c r="CN310"/>
      <c r="CO310"/>
      <c r="CP310"/>
      <c r="CQ310"/>
      <c r="CR310"/>
      <c r="CS310"/>
      <c r="CT310"/>
      <c r="CU310"/>
      <c r="CV310"/>
      <c r="CW310"/>
      <c r="CX310"/>
      <c r="CY310"/>
      <c r="CZ310"/>
      <c r="DA310"/>
      <c r="DB310"/>
      <c r="DC310"/>
      <c r="DD310"/>
      <c r="DE310"/>
      <c r="DF310"/>
      <c r="DG310"/>
      <c r="DH310"/>
      <c r="DI310"/>
      <c r="DJ310"/>
      <c r="DK310"/>
      <c r="DL310"/>
      <c r="DM310"/>
      <c r="DN310"/>
      <c r="DO310"/>
      <c r="DP310"/>
      <c r="DQ310"/>
      <c r="DR310"/>
      <c r="DS310"/>
      <c r="DT310"/>
      <c r="DU310"/>
      <c r="DV310"/>
      <c r="DW310"/>
      <c r="DX310"/>
      <c r="DY310"/>
      <c r="DZ310"/>
      <c r="EA310"/>
      <c r="EB310"/>
      <c r="EC310"/>
      <c r="ED310"/>
      <c r="EE310"/>
      <c r="EF310"/>
      <c r="EG310"/>
      <c r="EH310"/>
      <c r="EI310"/>
      <c r="EJ310"/>
      <c r="EK310"/>
      <c r="EL310"/>
      <c r="EM310"/>
      <c r="EN310"/>
      <c r="EO310"/>
      <c r="EP310"/>
      <c r="EQ310"/>
      <c r="ER310"/>
      <c r="ES310"/>
      <c r="ET310"/>
      <c r="EU310"/>
      <c r="EV310"/>
      <c r="EW310"/>
      <c r="EX310"/>
      <c r="EY310"/>
      <c r="EZ310"/>
      <c r="FA310"/>
      <c r="FB310"/>
      <c r="FC310"/>
      <c r="FD310"/>
      <c r="FE310"/>
      <c r="FF310"/>
      <c r="FG310"/>
      <c r="FH310"/>
      <c r="FI310"/>
      <c r="FJ310"/>
      <c r="FK310"/>
      <c r="FL310"/>
      <c r="FM310"/>
      <c r="FN310"/>
      <c r="FO310"/>
      <c r="FP310"/>
      <c r="FQ310"/>
      <c r="FR310"/>
      <c r="FS310"/>
      <c r="FT310"/>
      <c r="FU310"/>
      <c r="FV310"/>
      <c r="FW310"/>
      <c r="FX310"/>
      <c r="FY310"/>
      <c r="FZ310"/>
      <c r="GA310"/>
      <c r="GB310"/>
      <c r="GC310"/>
      <c r="GD310"/>
      <c r="GE310"/>
      <c r="GF310"/>
      <c r="GG310"/>
      <c r="GH310"/>
      <c r="GI310"/>
      <c r="GJ310"/>
      <c r="GK310"/>
      <c r="GL310"/>
      <c r="GM310"/>
      <c r="GN310"/>
      <c r="GO310"/>
      <c r="GP310"/>
      <c r="GQ310"/>
      <c r="GR310"/>
      <c r="GS310"/>
      <c r="GT310"/>
      <c r="GU310"/>
      <c r="GV310"/>
      <c r="GW310"/>
      <c r="GX310"/>
      <c r="GY310"/>
      <c r="GZ310"/>
      <c r="HA310"/>
      <c r="HB310"/>
      <c r="HC310"/>
      <c r="HD310"/>
      <c r="HE310"/>
      <c r="HF310"/>
      <c r="HG310"/>
      <c r="HH310"/>
      <c r="HI310"/>
      <c r="HJ310"/>
      <c r="HK310"/>
      <c r="HL310"/>
      <c r="HM310"/>
      <c r="HN310"/>
      <c r="HO310"/>
      <c r="HP310"/>
      <c r="HQ310"/>
      <c r="HR310"/>
      <c r="HS310"/>
      <c r="HT310"/>
      <c r="HU310"/>
      <c r="HV310"/>
      <c r="HW310"/>
      <c r="HX310"/>
      <c r="HY310"/>
      <c r="HZ310"/>
      <c r="IA310"/>
      <c r="IB310"/>
      <c r="IC310"/>
      <c r="ID310"/>
      <c r="IE310"/>
      <c r="IF310"/>
      <c r="IG310"/>
      <c r="IH310"/>
      <c r="II310"/>
      <c r="IJ310"/>
      <c r="IK310"/>
      <c r="IL310"/>
      <c r="IM310"/>
      <c r="IN310"/>
      <c r="IO310"/>
      <c r="IP310"/>
      <c r="IQ310"/>
      <c r="IR310"/>
      <c r="IS310"/>
      <c r="IT310"/>
      <c r="IU310"/>
      <c r="IV310"/>
      <c r="IW310"/>
      <c r="IX310"/>
      <c r="IY310"/>
      <c r="IZ310"/>
      <c r="JA310"/>
      <c r="JB310"/>
      <c r="JC310"/>
      <c r="JD310"/>
      <c r="JE310"/>
      <c r="JF310"/>
      <c r="JG310"/>
      <c r="JH310"/>
      <c r="JI310"/>
      <c r="JJ310"/>
      <c r="JK310"/>
      <c r="JL310"/>
      <c r="JM310"/>
      <c r="JN310"/>
      <c r="JO310"/>
      <c r="JP310"/>
      <c r="JQ310"/>
      <c r="JR310"/>
      <c r="JS310"/>
      <c r="JT310"/>
      <c r="JU310"/>
      <c r="JV310"/>
      <c r="JW310"/>
      <c r="JX310"/>
      <c r="JY310"/>
      <c r="JZ310"/>
      <c r="KA310"/>
      <c r="KB310"/>
      <c r="KC310"/>
      <c r="KD310"/>
      <c r="KE310"/>
      <c r="KF310"/>
      <c r="KG310"/>
      <c r="KH310"/>
      <c r="KI310"/>
      <c r="KJ310"/>
      <c r="KK310"/>
      <c r="KL310"/>
      <c r="KM310"/>
      <c r="KN310"/>
      <c r="KO310"/>
      <c r="KP310"/>
      <c r="KQ310"/>
      <c r="KR310"/>
      <c r="KS310"/>
      <c r="KT310"/>
      <c r="KU310"/>
      <c r="KV310"/>
      <c r="KW310"/>
      <c r="KX310"/>
      <c r="KY310"/>
      <c r="KZ310"/>
      <c r="LA310"/>
      <c r="LB310"/>
      <c r="LC310"/>
      <c r="LD310"/>
      <c r="LE310"/>
      <c r="LF310"/>
      <c r="LG310"/>
      <c r="LH310"/>
      <c r="LI310"/>
      <c r="LJ310"/>
      <c r="LK310"/>
      <c r="LL310"/>
      <c r="LM310"/>
      <c r="LN310"/>
      <c r="LO310"/>
      <c r="LP310"/>
      <c r="LQ310"/>
      <c r="LR310"/>
      <c r="LS310"/>
      <c r="LT310"/>
      <c r="LU310"/>
      <c r="LV310"/>
      <c r="LW310"/>
      <c r="LX310"/>
      <c r="LY310"/>
      <c r="LZ310"/>
      <c r="MA310"/>
      <c r="MB310"/>
      <c r="MC310"/>
      <c r="MD310"/>
      <c r="ME310"/>
      <c r="MF310"/>
      <c r="MG310"/>
      <c r="MH310"/>
      <c r="MI310"/>
      <c r="MJ310"/>
      <c r="MK310"/>
      <c r="ML310"/>
      <c r="MM310"/>
      <c r="MN310"/>
      <c r="MO310"/>
      <c r="MP310"/>
      <c r="MQ310"/>
      <c r="MR310"/>
      <c r="MS310"/>
      <c r="MT310"/>
      <c r="MU310"/>
      <c r="MV310"/>
      <c r="MW310"/>
      <c r="MX310"/>
      <c r="MY310"/>
      <c r="MZ310"/>
      <c r="NA310"/>
      <c r="NB310"/>
      <c r="NC310"/>
      <c r="ND310"/>
      <c r="NE310"/>
      <c r="NF310"/>
      <c r="NG310"/>
      <c r="NH310"/>
      <c r="NI310"/>
      <c r="NJ310"/>
      <c r="NK310"/>
      <c r="NL310"/>
      <c r="NM310"/>
      <c r="NN310"/>
      <c r="NO310"/>
      <c r="NP310"/>
      <c r="NQ310"/>
      <c r="NR310"/>
      <c r="NS310"/>
      <c r="NT310"/>
      <c r="NU310"/>
      <c r="NV310"/>
      <c r="NW310"/>
      <c r="NX310"/>
      <c r="NY310"/>
      <c r="NZ310"/>
      <c r="OA310"/>
      <c r="OB310"/>
      <c r="OC310"/>
      <c r="OD310"/>
      <c r="OE310"/>
      <c r="OF310"/>
      <c r="OG310"/>
      <c r="OH310"/>
      <c r="OI310"/>
      <c r="OJ310"/>
      <c r="OK310"/>
      <c r="OL310"/>
      <c r="OM310"/>
      <c r="ON310"/>
      <c r="OO310"/>
      <c r="OP310"/>
      <c r="OQ310"/>
      <c r="OR310"/>
      <c r="OS310"/>
      <c r="OT310"/>
      <c r="OU310"/>
      <c r="OV310"/>
      <c r="OW310"/>
      <c r="OX310"/>
      <c r="OY310"/>
      <c r="OZ310"/>
      <c r="PA310"/>
      <c r="PB310"/>
      <c r="PC310"/>
      <c r="PD310"/>
      <c r="PE310"/>
      <c r="PF310"/>
      <c r="PG310"/>
      <c r="PH310"/>
      <c r="PI310"/>
      <c r="PJ310"/>
      <c r="PK310"/>
      <c r="PL310"/>
      <c r="PM310"/>
      <c r="PN310"/>
      <c r="PO310"/>
      <c r="PP310"/>
      <c r="PQ310"/>
      <c r="PR310"/>
      <c r="PS310"/>
      <c r="PT310"/>
      <c r="PU310"/>
      <c r="PV310"/>
      <c r="PW310"/>
      <c r="PX310"/>
      <c r="PY310"/>
      <c r="PZ310"/>
      <c r="QA310"/>
      <c r="QB310"/>
      <c r="QC310"/>
      <c r="QD310"/>
      <c r="QE310"/>
      <c r="QF310"/>
      <c r="QG310"/>
      <c r="QH310"/>
      <c r="QI310"/>
      <c r="QJ310"/>
      <c r="QK310"/>
      <c r="QL310"/>
      <c r="QM310"/>
      <c r="QN310"/>
      <c r="QO310"/>
      <c r="QP310"/>
      <c r="QQ310"/>
      <c r="QR310"/>
      <c r="QS310"/>
      <c r="QT310"/>
      <c r="QU310"/>
      <c r="QV310"/>
      <c r="QW310"/>
      <c r="QX310"/>
      <c r="QY310"/>
      <c r="QZ310"/>
      <c r="RA310"/>
      <c r="RB310"/>
      <c r="RC310"/>
      <c r="RD310"/>
      <c r="RE310"/>
      <c r="RF310"/>
      <c r="RG310"/>
      <c r="RH310"/>
      <c r="RI310"/>
      <c r="RJ310"/>
      <c r="RK310"/>
      <c r="RL310"/>
      <c r="RM310"/>
      <c r="RN310"/>
      <c r="RO310"/>
      <c r="RP310"/>
      <c r="RQ310"/>
      <c r="RR310"/>
      <c r="RS310"/>
    </row>
    <row r="311" spans="19:487" x14ac:dyDescent="0.25"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  <c r="AT311"/>
      <c r="AU311"/>
      <c r="AV311"/>
      <c r="AW311"/>
      <c r="AX311"/>
      <c r="AY311"/>
      <c r="AZ311"/>
      <c r="BA311"/>
      <c r="BB311"/>
      <c r="BC311"/>
      <c r="BD311"/>
      <c r="BE311"/>
      <c r="BF311"/>
      <c r="BG311"/>
      <c r="BH311"/>
      <c r="BI311"/>
      <c r="BJ311"/>
      <c r="BK311"/>
      <c r="BL311"/>
      <c r="BM311"/>
      <c r="BN311"/>
      <c r="BO311"/>
      <c r="BP311"/>
      <c r="BQ311"/>
      <c r="BR311"/>
      <c r="BS311"/>
      <c r="BT311"/>
      <c r="BU311"/>
      <c r="BV311"/>
      <c r="BW311"/>
      <c r="BX311"/>
      <c r="BY311"/>
      <c r="BZ311"/>
      <c r="CA311"/>
      <c r="CB311"/>
      <c r="CC311"/>
      <c r="CD311"/>
      <c r="CE311"/>
      <c r="CF311"/>
      <c r="CG311"/>
      <c r="CH311"/>
      <c r="CI311"/>
      <c r="CJ311"/>
      <c r="CK311"/>
      <c r="CL311"/>
      <c r="CM311"/>
      <c r="CN311"/>
      <c r="CO311"/>
      <c r="CP311"/>
      <c r="CQ311"/>
      <c r="CR311"/>
      <c r="CS311"/>
      <c r="CT311"/>
      <c r="CU311"/>
      <c r="CV311"/>
      <c r="CW311"/>
      <c r="CX311"/>
      <c r="CY311"/>
      <c r="CZ311"/>
      <c r="DA311"/>
      <c r="DB311"/>
      <c r="DC311"/>
      <c r="DD311"/>
      <c r="DE311"/>
      <c r="DF311"/>
      <c r="DG311"/>
      <c r="DH311"/>
      <c r="DI311"/>
      <c r="DJ311"/>
      <c r="DK311"/>
      <c r="DL311"/>
      <c r="DM311"/>
      <c r="DN311"/>
      <c r="DO311"/>
      <c r="DP311"/>
      <c r="DQ311"/>
      <c r="DR311"/>
      <c r="DS311"/>
      <c r="DT311"/>
      <c r="DU311"/>
      <c r="DV311"/>
      <c r="DW311"/>
      <c r="DX311"/>
      <c r="DY311"/>
      <c r="DZ311"/>
      <c r="EA311"/>
      <c r="EB311"/>
      <c r="EC311"/>
      <c r="ED311"/>
      <c r="EE311"/>
      <c r="EF311"/>
      <c r="EG311"/>
      <c r="EH311"/>
      <c r="EI311"/>
      <c r="EJ311"/>
      <c r="EK311"/>
      <c r="EL311"/>
      <c r="EM311"/>
      <c r="EN311"/>
      <c r="EO311"/>
      <c r="EP311"/>
      <c r="EQ311"/>
      <c r="ER311"/>
      <c r="ES311"/>
      <c r="ET311"/>
      <c r="EU311"/>
      <c r="EV311"/>
      <c r="EW311"/>
      <c r="EX311"/>
      <c r="EY311"/>
      <c r="EZ311"/>
      <c r="FA311"/>
      <c r="FB311"/>
      <c r="FC311"/>
      <c r="FD311"/>
      <c r="FE311"/>
      <c r="FF311"/>
      <c r="FG311"/>
      <c r="FH311"/>
      <c r="FI311"/>
      <c r="FJ311"/>
      <c r="FK311"/>
      <c r="FL311"/>
      <c r="FM311"/>
      <c r="FN311"/>
      <c r="FO311"/>
      <c r="FP311"/>
      <c r="FQ311"/>
      <c r="FR311"/>
      <c r="FS311"/>
      <c r="FT311"/>
      <c r="FU311"/>
      <c r="FV311"/>
      <c r="FW311"/>
      <c r="FX311"/>
      <c r="FY311"/>
      <c r="FZ311"/>
      <c r="GA311"/>
      <c r="GB311"/>
      <c r="GC311"/>
      <c r="GD311"/>
      <c r="GE311"/>
      <c r="GF311"/>
      <c r="GG311"/>
      <c r="GH311"/>
      <c r="GI311"/>
      <c r="GJ311"/>
      <c r="GK311"/>
      <c r="GL311"/>
      <c r="GM311"/>
      <c r="GN311"/>
      <c r="GO311"/>
      <c r="GP311"/>
      <c r="GQ311"/>
      <c r="GR311"/>
      <c r="GS311"/>
      <c r="GT311"/>
      <c r="GU311"/>
      <c r="GV311"/>
      <c r="GW311"/>
      <c r="GX311"/>
      <c r="GY311"/>
      <c r="GZ311"/>
      <c r="HA311"/>
      <c r="HB311"/>
      <c r="HC311"/>
      <c r="HD311"/>
      <c r="HE311"/>
      <c r="HF311"/>
      <c r="HG311"/>
      <c r="HH311"/>
      <c r="HI311"/>
      <c r="HJ311"/>
      <c r="HK311"/>
      <c r="HL311"/>
      <c r="HM311"/>
      <c r="HN311"/>
      <c r="HO311"/>
      <c r="HP311"/>
      <c r="HQ311"/>
      <c r="HR311"/>
      <c r="HS311"/>
      <c r="HT311"/>
      <c r="HU311"/>
      <c r="HV311"/>
      <c r="HW311"/>
      <c r="HX311"/>
      <c r="HY311"/>
      <c r="HZ311"/>
      <c r="IA311"/>
      <c r="IB311"/>
      <c r="IC311"/>
      <c r="ID311"/>
      <c r="IE311"/>
      <c r="IF311"/>
      <c r="IG311"/>
      <c r="IH311"/>
      <c r="II311"/>
      <c r="IJ311"/>
      <c r="IK311"/>
      <c r="IL311"/>
      <c r="IM311"/>
      <c r="IN311"/>
      <c r="IO311"/>
      <c r="IP311"/>
      <c r="IQ311"/>
      <c r="IR311"/>
      <c r="IS311"/>
      <c r="IT311"/>
      <c r="IU311"/>
      <c r="IV311"/>
      <c r="IW311"/>
      <c r="IX311"/>
      <c r="IY311"/>
      <c r="IZ311"/>
      <c r="JA311"/>
      <c r="JB311"/>
      <c r="JC311"/>
      <c r="JD311"/>
      <c r="JE311"/>
      <c r="JF311"/>
      <c r="JG311"/>
      <c r="JH311"/>
      <c r="JI311"/>
      <c r="JJ311"/>
      <c r="JK311"/>
      <c r="JL311"/>
      <c r="JM311"/>
      <c r="JN311"/>
      <c r="JO311"/>
      <c r="JP311"/>
      <c r="JQ311"/>
      <c r="JR311"/>
      <c r="JS311"/>
      <c r="JT311"/>
      <c r="JU311"/>
      <c r="JV311"/>
      <c r="JW311"/>
      <c r="JX311"/>
      <c r="JY311"/>
      <c r="JZ311"/>
      <c r="KA311"/>
      <c r="KB311"/>
      <c r="KC311"/>
      <c r="KD311"/>
      <c r="KE311"/>
      <c r="KF311"/>
      <c r="KG311"/>
      <c r="KH311"/>
      <c r="KI311"/>
      <c r="KJ311"/>
      <c r="KK311"/>
      <c r="KL311"/>
      <c r="KM311"/>
      <c r="KN311"/>
      <c r="KO311"/>
      <c r="KP311"/>
      <c r="KQ311"/>
      <c r="KR311"/>
      <c r="KS311"/>
      <c r="KT311"/>
      <c r="KU311"/>
      <c r="KV311"/>
      <c r="KW311"/>
      <c r="KX311"/>
      <c r="KY311"/>
      <c r="KZ311"/>
      <c r="LA311"/>
      <c r="LB311"/>
      <c r="LC311"/>
      <c r="LD311"/>
      <c r="LE311"/>
      <c r="LF311"/>
      <c r="LG311"/>
      <c r="LH311"/>
      <c r="LI311"/>
      <c r="LJ311"/>
      <c r="LK311"/>
      <c r="LL311"/>
      <c r="LM311"/>
      <c r="LN311"/>
      <c r="LO311"/>
      <c r="LP311"/>
      <c r="LQ311"/>
      <c r="LR311"/>
      <c r="LS311"/>
      <c r="LT311"/>
      <c r="LU311"/>
      <c r="LV311"/>
      <c r="LW311"/>
      <c r="LX311"/>
      <c r="LY311"/>
      <c r="LZ311"/>
      <c r="MA311"/>
      <c r="MB311"/>
      <c r="MC311"/>
      <c r="MD311"/>
      <c r="ME311"/>
      <c r="MF311"/>
      <c r="MG311"/>
      <c r="MH311"/>
      <c r="MI311"/>
      <c r="MJ311"/>
      <c r="MK311"/>
      <c r="ML311"/>
      <c r="MM311"/>
      <c r="MN311"/>
      <c r="MO311"/>
      <c r="MP311"/>
      <c r="MQ311"/>
      <c r="MR311"/>
      <c r="MS311"/>
      <c r="MT311"/>
      <c r="MU311"/>
      <c r="MV311"/>
      <c r="MW311"/>
      <c r="MX311"/>
      <c r="MY311"/>
      <c r="MZ311"/>
      <c r="NA311"/>
      <c r="NB311"/>
      <c r="NC311"/>
      <c r="ND311"/>
      <c r="NE311"/>
      <c r="NF311"/>
      <c r="NG311"/>
      <c r="NH311"/>
      <c r="NI311"/>
      <c r="NJ311"/>
      <c r="NK311"/>
      <c r="NL311"/>
      <c r="NM311"/>
      <c r="NN311"/>
      <c r="NO311"/>
      <c r="NP311"/>
      <c r="NQ311"/>
      <c r="NR311"/>
      <c r="NS311"/>
      <c r="NT311"/>
      <c r="NU311"/>
      <c r="NV311"/>
      <c r="NW311"/>
      <c r="NX311"/>
      <c r="NY311"/>
      <c r="NZ311"/>
      <c r="OA311"/>
      <c r="OB311"/>
      <c r="OC311"/>
      <c r="OD311"/>
      <c r="OE311"/>
      <c r="OF311"/>
      <c r="OG311"/>
      <c r="OH311"/>
      <c r="OI311"/>
      <c r="OJ311"/>
      <c r="OK311"/>
      <c r="OL311"/>
      <c r="OM311"/>
      <c r="ON311"/>
      <c r="OO311"/>
      <c r="OP311"/>
      <c r="OQ311"/>
      <c r="OR311"/>
      <c r="OS311"/>
      <c r="OT311"/>
      <c r="OU311"/>
      <c r="OV311"/>
      <c r="OW311"/>
      <c r="OX311"/>
      <c r="OY311"/>
      <c r="OZ311"/>
      <c r="PA311"/>
      <c r="PB311"/>
      <c r="PC311"/>
      <c r="PD311"/>
      <c r="PE311"/>
      <c r="PF311"/>
      <c r="PG311"/>
      <c r="PH311"/>
      <c r="PI311"/>
      <c r="PJ311"/>
      <c r="PK311"/>
      <c r="PL311"/>
      <c r="PM311"/>
      <c r="PN311"/>
      <c r="PO311"/>
      <c r="PP311"/>
      <c r="PQ311"/>
      <c r="PR311"/>
      <c r="PS311"/>
      <c r="PT311"/>
      <c r="PU311"/>
      <c r="PV311"/>
      <c r="PW311"/>
      <c r="PX311"/>
      <c r="PY311"/>
      <c r="PZ311"/>
      <c r="QA311"/>
      <c r="QB311"/>
      <c r="QC311"/>
      <c r="QD311"/>
      <c r="QE311"/>
      <c r="QF311"/>
      <c r="QG311"/>
      <c r="QH311"/>
      <c r="QI311"/>
      <c r="QJ311"/>
      <c r="QK311"/>
      <c r="QL311"/>
      <c r="QM311"/>
      <c r="QN311"/>
      <c r="QO311"/>
      <c r="QP311"/>
      <c r="QQ311"/>
      <c r="QR311"/>
      <c r="QS311"/>
      <c r="QT311"/>
      <c r="QU311"/>
      <c r="QV311"/>
      <c r="QW311"/>
      <c r="QX311"/>
      <c r="QY311"/>
      <c r="QZ311"/>
      <c r="RA311"/>
      <c r="RB311"/>
      <c r="RC311"/>
      <c r="RD311"/>
      <c r="RE311"/>
      <c r="RF311"/>
      <c r="RG311"/>
      <c r="RH311"/>
      <c r="RI311"/>
      <c r="RJ311"/>
      <c r="RK311"/>
      <c r="RL311"/>
      <c r="RM311"/>
      <c r="RN311"/>
      <c r="RO311"/>
      <c r="RP311"/>
      <c r="RQ311"/>
      <c r="RR311"/>
      <c r="RS311"/>
    </row>
    <row r="312" spans="19:487" x14ac:dyDescent="0.25"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/>
      <c r="AT312"/>
      <c r="AU312"/>
      <c r="AV312"/>
      <c r="AW312"/>
      <c r="AX312"/>
      <c r="AY312"/>
      <c r="AZ312"/>
      <c r="BA312"/>
      <c r="BB312"/>
      <c r="BC312"/>
      <c r="BD312"/>
      <c r="BE312"/>
      <c r="BF312"/>
      <c r="BG312"/>
      <c r="BH312"/>
      <c r="BI312"/>
      <c r="BJ312"/>
      <c r="BK312"/>
      <c r="BL312"/>
      <c r="BM312"/>
      <c r="BN312"/>
      <c r="BO312"/>
      <c r="BP312"/>
      <c r="BQ312"/>
      <c r="BR312"/>
      <c r="BS312"/>
      <c r="BT312"/>
      <c r="BU312"/>
      <c r="BV312"/>
      <c r="BW312"/>
      <c r="BX312"/>
      <c r="BY312"/>
      <c r="BZ312"/>
      <c r="CA312"/>
      <c r="CB312"/>
      <c r="CC312"/>
      <c r="CD312"/>
      <c r="CE312"/>
      <c r="CF312"/>
      <c r="CG312"/>
      <c r="CH312"/>
      <c r="CI312"/>
      <c r="CJ312"/>
      <c r="CK312"/>
      <c r="CL312"/>
      <c r="CM312"/>
      <c r="CN312"/>
      <c r="CO312"/>
      <c r="CP312"/>
      <c r="CQ312"/>
      <c r="CR312"/>
      <c r="CS312"/>
      <c r="CT312"/>
      <c r="CU312"/>
      <c r="CV312"/>
      <c r="CW312"/>
      <c r="CX312"/>
      <c r="CY312"/>
      <c r="CZ312"/>
      <c r="DA312"/>
      <c r="DB312"/>
      <c r="DC312"/>
      <c r="DD312"/>
      <c r="DE312"/>
      <c r="DF312"/>
      <c r="DG312"/>
      <c r="DH312"/>
      <c r="DI312"/>
      <c r="DJ312"/>
      <c r="DK312"/>
      <c r="DL312"/>
      <c r="DM312"/>
      <c r="DN312"/>
      <c r="DO312"/>
      <c r="DP312"/>
      <c r="DQ312"/>
      <c r="DR312"/>
      <c r="DS312"/>
      <c r="DT312"/>
      <c r="DU312"/>
      <c r="DV312"/>
      <c r="DW312"/>
      <c r="DX312"/>
      <c r="DY312"/>
      <c r="DZ312"/>
      <c r="EA312"/>
      <c r="EB312"/>
      <c r="EC312"/>
      <c r="ED312"/>
      <c r="EE312"/>
      <c r="EF312"/>
      <c r="EG312"/>
      <c r="EH312"/>
      <c r="EI312"/>
      <c r="EJ312"/>
      <c r="EK312"/>
      <c r="EL312"/>
      <c r="EM312"/>
      <c r="EN312"/>
      <c r="EO312"/>
      <c r="EP312"/>
      <c r="EQ312"/>
      <c r="ER312"/>
      <c r="ES312"/>
      <c r="ET312"/>
      <c r="EU312"/>
      <c r="EV312"/>
      <c r="EW312"/>
      <c r="EX312"/>
      <c r="EY312"/>
      <c r="EZ312"/>
      <c r="FA312"/>
      <c r="FB312"/>
      <c r="FC312"/>
      <c r="FD312"/>
      <c r="FE312"/>
      <c r="FF312"/>
      <c r="FG312"/>
      <c r="FH312"/>
      <c r="FI312"/>
      <c r="FJ312"/>
      <c r="FK312"/>
      <c r="FL312"/>
      <c r="FM312"/>
      <c r="FN312"/>
      <c r="FO312"/>
      <c r="FP312"/>
      <c r="FQ312"/>
      <c r="FR312"/>
      <c r="FS312"/>
      <c r="FT312"/>
      <c r="FU312"/>
      <c r="FV312"/>
      <c r="FW312"/>
      <c r="FX312"/>
      <c r="FY312"/>
      <c r="FZ312"/>
      <c r="GA312"/>
      <c r="GB312"/>
      <c r="GC312"/>
      <c r="GD312"/>
      <c r="GE312"/>
      <c r="GF312"/>
      <c r="GG312"/>
      <c r="GH312"/>
      <c r="GI312"/>
      <c r="GJ312"/>
      <c r="GK312"/>
      <c r="GL312"/>
      <c r="GM312"/>
      <c r="GN312"/>
      <c r="GO312"/>
      <c r="GP312"/>
      <c r="GQ312"/>
      <c r="GR312"/>
      <c r="GS312"/>
      <c r="GT312"/>
      <c r="GU312"/>
      <c r="GV312"/>
      <c r="GW312"/>
      <c r="GX312"/>
      <c r="GY312"/>
      <c r="GZ312"/>
      <c r="HA312"/>
      <c r="HB312"/>
      <c r="HC312"/>
      <c r="HD312"/>
      <c r="HE312"/>
      <c r="HF312"/>
      <c r="HG312"/>
      <c r="HH312"/>
      <c r="HI312"/>
      <c r="HJ312"/>
      <c r="HK312"/>
      <c r="HL312"/>
      <c r="HM312"/>
      <c r="HN312"/>
      <c r="HO312"/>
      <c r="HP312"/>
      <c r="HQ312"/>
      <c r="HR312"/>
      <c r="HS312"/>
      <c r="HT312"/>
      <c r="HU312"/>
      <c r="HV312"/>
      <c r="HW312"/>
      <c r="HX312"/>
      <c r="HY312"/>
      <c r="HZ312"/>
      <c r="IA312"/>
      <c r="IB312"/>
      <c r="IC312"/>
      <c r="ID312"/>
      <c r="IE312"/>
      <c r="IF312"/>
      <c r="IG312"/>
      <c r="IH312"/>
      <c r="II312"/>
      <c r="IJ312"/>
      <c r="IK312"/>
      <c r="IL312"/>
      <c r="IM312"/>
      <c r="IN312"/>
      <c r="IO312"/>
      <c r="IP312"/>
      <c r="IQ312"/>
      <c r="IR312"/>
      <c r="IS312"/>
      <c r="IT312"/>
      <c r="IU312"/>
      <c r="IV312"/>
      <c r="IW312"/>
      <c r="IX312"/>
      <c r="IY312"/>
      <c r="IZ312"/>
      <c r="JA312"/>
      <c r="JB312"/>
      <c r="JC312"/>
      <c r="JD312"/>
      <c r="JE312"/>
      <c r="JF312"/>
      <c r="JG312"/>
      <c r="JH312"/>
      <c r="JI312"/>
      <c r="JJ312"/>
      <c r="JK312"/>
      <c r="JL312"/>
      <c r="JM312"/>
      <c r="JN312"/>
      <c r="JO312"/>
      <c r="JP312"/>
      <c r="JQ312"/>
      <c r="JR312"/>
      <c r="JS312"/>
      <c r="JT312"/>
      <c r="JU312"/>
      <c r="JV312"/>
      <c r="JW312"/>
      <c r="JX312"/>
      <c r="JY312"/>
      <c r="JZ312"/>
      <c r="KA312"/>
      <c r="KB312"/>
      <c r="KC312"/>
      <c r="KD312"/>
      <c r="KE312"/>
      <c r="KF312"/>
      <c r="KG312"/>
      <c r="KH312"/>
      <c r="KI312"/>
      <c r="KJ312"/>
      <c r="KK312"/>
      <c r="KL312"/>
      <c r="KM312"/>
      <c r="KN312"/>
      <c r="KO312"/>
      <c r="KP312"/>
      <c r="KQ312"/>
      <c r="KR312"/>
      <c r="KS312"/>
      <c r="KT312"/>
      <c r="KU312"/>
      <c r="KV312"/>
      <c r="KW312"/>
      <c r="KX312"/>
      <c r="KY312"/>
      <c r="KZ312"/>
      <c r="LA312"/>
      <c r="LB312"/>
      <c r="LC312"/>
      <c r="LD312"/>
      <c r="LE312"/>
      <c r="LF312"/>
      <c r="LG312"/>
      <c r="LH312"/>
      <c r="LI312"/>
      <c r="LJ312"/>
      <c r="LK312"/>
      <c r="LL312"/>
      <c r="LM312"/>
      <c r="LN312"/>
      <c r="LO312"/>
      <c r="LP312"/>
      <c r="LQ312"/>
      <c r="LR312"/>
      <c r="LS312"/>
      <c r="LT312"/>
      <c r="LU312"/>
      <c r="LV312"/>
      <c r="LW312"/>
      <c r="LX312"/>
      <c r="LY312"/>
      <c r="LZ312"/>
      <c r="MA312"/>
      <c r="MB312"/>
      <c r="MC312"/>
      <c r="MD312"/>
      <c r="ME312"/>
      <c r="MF312"/>
      <c r="MG312"/>
      <c r="MH312"/>
      <c r="MI312"/>
      <c r="MJ312"/>
      <c r="MK312"/>
      <c r="ML312"/>
      <c r="MM312"/>
      <c r="MN312"/>
      <c r="MO312"/>
      <c r="MP312"/>
      <c r="MQ312"/>
      <c r="MR312"/>
      <c r="MS312"/>
      <c r="MT312"/>
      <c r="MU312"/>
      <c r="MV312"/>
      <c r="MW312"/>
      <c r="MX312"/>
      <c r="MY312"/>
      <c r="MZ312"/>
      <c r="NA312"/>
      <c r="NB312"/>
      <c r="NC312"/>
      <c r="ND312"/>
      <c r="NE312"/>
      <c r="NF312"/>
      <c r="NG312"/>
      <c r="NH312"/>
      <c r="NI312"/>
      <c r="NJ312"/>
      <c r="NK312"/>
      <c r="NL312"/>
      <c r="NM312"/>
      <c r="NN312"/>
      <c r="NO312"/>
      <c r="NP312"/>
      <c r="NQ312"/>
      <c r="NR312"/>
      <c r="NS312"/>
      <c r="NT312"/>
      <c r="NU312"/>
      <c r="NV312"/>
      <c r="NW312"/>
      <c r="NX312"/>
      <c r="NY312"/>
      <c r="NZ312"/>
      <c r="OA312"/>
      <c r="OB312"/>
      <c r="OC312"/>
      <c r="OD312"/>
      <c r="OE312"/>
      <c r="OF312"/>
      <c r="OG312"/>
      <c r="OH312"/>
      <c r="OI312"/>
      <c r="OJ312"/>
      <c r="OK312"/>
      <c r="OL312"/>
      <c r="OM312"/>
      <c r="ON312"/>
      <c r="OO312"/>
      <c r="OP312"/>
      <c r="OQ312"/>
      <c r="OR312"/>
      <c r="OS312"/>
      <c r="OT312"/>
      <c r="OU312"/>
      <c r="OV312"/>
      <c r="OW312"/>
      <c r="OX312"/>
      <c r="OY312"/>
      <c r="OZ312"/>
      <c r="PA312"/>
      <c r="PB312"/>
      <c r="PC312"/>
      <c r="PD312"/>
      <c r="PE312"/>
      <c r="PF312"/>
      <c r="PG312"/>
      <c r="PH312"/>
      <c r="PI312"/>
      <c r="PJ312"/>
      <c r="PK312"/>
      <c r="PL312"/>
      <c r="PM312"/>
      <c r="PN312"/>
      <c r="PO312"/>
      <c r="PP312"/>
      <c r="PQ312"/>
      <c r="PR312"/>
      <c r="PS312"/>
      <c r="PT312"/>
      <c r="PU312"/>
      <c r="PV312"/>
      <c r="PW312"/>
      <c r="PX312"/>
      <c r="PY312"/>
      <c r="PZ312"/>
      <c r="QA312"/>
      <c r="QB312"/>
      <c r="QC312"/>
      <c r="QD312"/>
      <c r="QE312"/>
      <c r="QF312"/>
      <c r="QG312"/>
      <c r="QH312"/>
      <c r="QI312"/>
      <c r="QJ312"/>
      <c r="QK312"/>
      <c r="QL312"/>
      <c r="QM312"/>
      <c r="QN312"/>
      <c r="QO312"/>
      <c r="QP312"/>
      <c r="QQ312"/>
      <c r="QR312"/>
      <c r="QS312"/>
      <c r="QT312"/>
      <c r="QU312"/>
      <c r="QV312"/>
      <c r="QW312"/>
      <c r="QX312"/>
      <c r="QY312"/>
      <c r="QZ312"/>
      <c r="RA312"/>
      <c r="RB312"/>
      <c r="RC312"/>
      <c r="RD312"/>
      <c r="RE312"/>
      <c r="RF312"/>
      <c r="RG312"/>
      <c r="RH312"/>
      <c r="RI312"/>
      <c r="RJ312"/>
      <c r="RK312"/>
      <c r="RL312"/>
      <c r="RM312"/>
      <c r="RN312"/>
      <c r="RO312"/>
      <c r="RP312"/>
      <c r="RQ312"/>
      <c r="RR312"/>
      <c r="RS312"/>
    </row>
    <row r="313" spans="19:487" x14ac:dyDescent="0.25"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/>
      <c r="AT313"/>
      <c r="AU313"/>
      <c r="AV313"/>
      <c r="AW313"/>
      <c r="AX313"/>
      <c r="AY313"/>
      <c r="AZ313"/>
      <c r="BA313"/>
      <c r="BB313"/>
      <c r="BC313"/>
      <c r="BD313"/>
      <c r="BE313"/>
      <c r="BF313"/>
      <c r="BG313"/>
      <c r="BH313"/>
      <c r="BI313"/>
      <c r="BJ313"/>
      <c r="BK313"/>
      <c r="BL313"/>
      <c r="BM313"/>
      <c r="BN313"/>
      <c r="BO313"/>
      <c r="BP313"/>
      <c r="BQ313"/>
      <c r="BR313"/>
      <c r="BS313"/>
      <c r="BT313"/>
      <c r="BU313"/>
      <c r="BV313"/>
      <c r="BW313"/>
      <c r="BX313"/>
      <c r="BY313"/>
      <c r="BZ313"/>
      <c r="CA313"/>
      <c r="CB313"/>
      <c r="CC313"/>
      <c r="CD313"/>
      <c r="CE313"/>
      <c r="CF313"/>
      <c r="CG313"/>
      <c r="CH313"/>
      <c r="CI313"/>
      <c r="CJ313"/>
      <c r="CK313"/>
      <c r="CL313"/>
      <c r="CM313"/>
      <c r="CN313"/>
      <c r="CO313"/>
      <c r="CP313"/>
      <c r="CQ313"/>
      <c r="CR313"/>
      <c r="CS313"/>
      <c r="CT313"/>
      <c r="CU313"/>
      <c r="CV313"/>
      <c r="CW313"/>
      <c r="CX313"/>
      <c r="CY313"/>
      <c r="CZ313"/>
      <c r="DA313"/>
      <c r="DB313"/>
      <c r="DC313"/>
      <c r="DD313"/>
      <c r="DE313"/>
      <c r="DF313"/>
      <c r="DG313"/>
      <c r="DH313"/>
      <c r="DI313"/>
      <c r="DJ313"/>
      <c r="DK313"/>
      <c r="DL313"/>
      <c r="DM313"/>
      <c r="DN313"/>
      <c r="DO313"/>
      <c r="DP313"/>
      <c r="DQ313"/>
      <c r="DR313"/>
      <c r="DS313"/>
      <c r="DT313"/>
      <c r="DU313"/>
      <c r="DV313"/>
      <c r="DW313"/>
      <c r="DX313"/>
      <c r="DY313"/>
      <c r="DZ313"/>
      <c r="EA313"/>
      <c r="EB313"/>
      <c r="EC313"/>
      <c r="ED313"/>
      <c r="EE313"/>
      <c r="EF313"/>
      <c r="EG313"/>
      <c r="EH313"/>
      <c r="EI313"/>
      <c r="EJ313"/>
      <c r="EK313"/>
      <c r="EL313"/>
      <c r="EM313"/>
      <c r="EN313"/>
      <c r="EO313"/>
      <c r="EP313"/>
      <c r="EQ313"/>
      <c r="ER313"/>
      <c r="ES313"/>
      <c r="ET313"/>
      <c r="EU313"/>
      <c r="EV313"/>
      <c r="EW313"/>
      <c r="EX313"/>
      <c r="EY313"/>
      <c r="EZ313"/>
      <c r="FA313"/>
      <c r="FB313"/>
      <c r="FC313"/>
      <c r="FD313"/>
      <c r="FE313"/>
      <c r="FF313"/>
      <c r="FG313"/>
      <c r="FH313"/>
      <c r="FI313"/>
      <c r="FJ313"/>
      <c r="FK313"/>
      <c r="FL313"/>
      <c r="FM313"/>
      <c r="FN313"/>
      <c r="FO313"/>
      <c r="FP313"/>
      <c r="FQ313"/>
      <c r="FR313"/>
      <c r="FS313"/>
      <c r="FT313"/>
      <c r="FU313"/>
      <c r="FV313"/>
      <c r="FW313"/>
      <c r="FX313"/>
      <c r="FY313"/>
      <c r="FZ313"/>
      <c r="GA313"/>
      <c r="GB313"/>
      <c r="GC313"/>
      <c r="GD313"/>
      <c r="GE313"/>
      <c r="GF313"/>
      <c r="GG313"/>
      <c r="GH313"/>
      <c r="GI313"/>
      <c r="GJ313"/>
      <c r="GK313"/>
      <c r="GL313"/>
      <c r="GM313"/>
      <c r="GN313"/>
      <c r="GO313"/>
      <c r="GP313"/>
      <c r="GQ313"/>
      <c r="GR313"/>
      <c r="GS313"/>
      <c r="GT313"/>
      <c r="GU313"/>
      <c r="GV313"/>
      <c r="GW313"/>
      <c r="GX313"/>
      <c r="GY313"/>
      <c r="GZ313"/>
      <c r="HA313"/>
      <c r="HB313"/>
      <c r="HC313"/>
      <c r="HD313"/>
      <c r="HE313"/>
      <c r="HF313"/>
      <c r="HG313"/>
      <c r="HH313"/>
      <c r="HI313"/>
      <c r="HJ313"/>
      <c r="HK313"/>
      <c r="HL313"/>
      <c r="HM313"/>
      <c r="HN313"/>
      <c r="HO313"/>
      <c r="HP313"/>
      <c r="HQ313"/>
      <c r="HR313"/>
      <c r="HS313"/>
      <c r="HT313"/>
      <c r="HU313"/>
      <c r="HV313"/>
      <c r="HW313"/>
      <c r="HX313"/>
      <c r="HY313"/>
      <c r="HZ313"/>
      <c r="IA313"/>
      <c r="IB313"/>
      <c r="IC313"/>
      <c r="ID313"/>
      <c r="IE313"/>
      <c r="IF313"/>
      <c r="IG313"/>
      <c r="IH313"/>
      <c r="II313"/>
      <c r="IJ313"/>
      <c r="IK313"/>
      <c r="IL313"/>
      <c r="IM313"/>
      <c r="IN313"/>
      <c r="IO313"/>
      <c r="IP313"/>
      <c r="IQ313"/>
      <c r="IR313"/>
      <c r="IS313"/>
      <c r="IT313"/>
      <c r="IU313"/>
      <c r="IV313"/>
      <c r="IW313"/>
      <c r="IX313"/>
      <c r="IY313"/>
      <c r="IZ313"/>
      <c r="JA313"/>
      <c r="JB313"/>
      <c r="JC313"/>
      <c r="JD313"/>
      <c r="JE313"/>
      <c r="JF313"/>
      <c r="JG313"/>
      <c r="JH313"/>
      <c r="JI313"/>
      <c r="JJ313"/>
      <c r="JK313"/>
      <c r="JL313"/>
      <c r="JM313"/>
      <c r="JN313"/>
      <c r="JO313"/>
      <c r="JP313"/>
      <c r="JQ313"/>
      <c r="JR313"/>
      <c r="JS313"/>
      <c r="JT313"/>
      <c r="JU313"/>
      <c r="JV313"/>
      <c r="JW313"/>
      <c r="JX313"/>
      <c r="JY313"/>
      <c r="JZ313"/>
      <c r="KA313"/>
      <c r="KB313"/>
      <c r="KC313"/>
      <c r="KD313"/>
      <c r="KE313"/>
      <c r="KF313"/>
      <c r="KG313"/>
      <c r="KH313"/>
      <c r="KI313"/>
      <c r="KJ313"/>
      <c r="KK313"/>
      <c r="KL313"/>
      <c r="KM313"/>
      <c r="KN313"/>
      <c r="KO313"/>
      <c r="KP313"/>
      <c r="KQ313"/>
      <c r="KR313"/>
      <c r="KS313"/>
      <c r="KT313"/>
      <c r="KU313"/>
      <c r="KV313"/>
      <c r="KW313"/>
      <c r="KX313"/>
      <c r="KY313"/>
      <c r="KZ313"/>
      <c r="LA313"/>
      <c r="LB313"/>
      <c r="LC313"/>
      <c r="LD313"/>
      <c r="LE313"/>
      <c r="LF313"/>
      <c r="LG313"/>
      <c r="LH313"/>
      <c r="LI313"/>
      <c r="LJ313"/>
      <c r="LK313"/>
      <c r="LL313"/>
      <c r="LM313"/>
      <c r="LN313"/>
      <c r="LO313"/>
      <c r="LP313"/>
      <c r="LQ313"/>
      <c r="LR313"/>
      <c r="LS313"/>
      <c r="LT313"/>
      <c r="LU313"/>
      <c r="LV313"/>
      <c r="LW313"/>
      <c r="LX313"/>
      <c r="LY313"/>
      <c r="LZ313"/>
      <c r="MA313"/>
      <c r="MB313"/>
      <c r="MC313"/>
      <c r="MD313"/>
      <c r="ME313"/>
      <c r="MF313"/>
      <c r="MG313"/>
      <c r="MH313"/>
      <c r="MI313"/>
      <c r="MJ313"/>
      <c r="MK313"/>
      <c r="ML313"/>
      <c r="MM313"/>
      <c r="MN313"/>
      <c r="MO313"/>
      <c r="MP313"/>
      <c r="MQ313"/>
      <c r="MR313"/>
      <c r="MS313"/>
      <c r="MT313"/>
      <c r="MU313"/>
      <c r="MV313"/>
      <c r="MW313"/>
      <c r="MX313"/>
      <c r="MY313"/>
      <c r="MZ313"/>
      <c r="NA313"/>
      <c r="NB313"/>
      <c r="NC313"/>
      <c r="ND313"/>
      <c r="NE313"/>
      <c r="NF313"/>
      <c r="NG313"/>
      <c r="NH313"/>
      <c r="NI313"/>
      <c r="NJ313"/>
      <c r="NK313"/>
      <c r="NL313"/>
      <c r="NM313"/>
      <c r="NN313"/>
      <c r="NO313"/>
      <c r="NP313"/>
      <c r="NQ313"/>
      <c r="NR313"/>
      <c r="NS313"/>
      <c r="NT313"/>
      <c r="NU313"/>
      <c r="NV313"/>
      <c r="NW313"/>
      <c r="NX313"/>
      <c r="NY313"/>
      <c r="NZ313"/>
      <c r="OA313"/>
      <c r="OB313"/>
      <c r="OC313"/>
      <c r="OD313"/>
      <c r="OE313"/>
      <c r="OF313"/>
      <c r="OG313"/>
      <c r="OH313"/>
      <c r="OI313"/>
      <c r="OJ313"/>
      <c r="OK313"/>
      <c r="OL313"/>
      <c r="OM313"/>
      <c r="ON313"/>
      <c r="OO313"/>
      <c r="OP313"/>
      <c r="OQ313"/>
      <c r="OR313"/>
      <c r="OS313"/>
      <c r="OT313"/>
      <c r="OU313"/>
      <c r="OV313"/>
      <c r="OW313"/>
      <c r="OX313"/>
      <c r="OY313"/>
      <c r="OZ313"/>
      <c r="PA313"/>
      <c r="PB313"/>
      <c r="PC313"/>
      <c r="PD313"/>
      <c r="PE313"/>
      <c r="PF313"/>
      <c r="PG313"/>
      <c r="PH313"/>
      <c r="PI313"/>
      <c r="PJ313"/>
      <c r="PK313"/>
      <c r="PL313"/>
      <c r="PM313"/>
      <c r="PN313"/>
      <c r="PO313"/>
      <c r="PP313"/>
      <c r="PQ313"/>
      <c r="PR313"/>
      <c r="PS313"/>
      <c r="PT313"/>
      <c r="PU313"/>
      <c r="PV313"/>
      <c r="PW313"/>
      <c r="PX313"/>
      <c r="PY313"/>
      <c r="PZ313"/>
      <c r="QA313"/>
      <c r="QB313"/>
      <c r="QC313"/>
      <c r="QD313"/>
      <c r="QE313"/>
      <c r="QF313"/>
      <c r="QG313"/>
      <c r="QH313"/>
      <c r="QI313"/>
      <c r="QJ313"/>
      <c r="QK313"/>
      <c r="QL313"/>
      <c r="QM313"/>
      <c r="QN313"/>
      <c r="QO313"/>
      <c r="QP313"/>
      <c r="QQ313"/>
      <c r="QR313"/>
      <c r="QS313"/>
      <c r="QT313"/>
      <c r="QU313"/>
      <c r="QV313"/>
      <c r="QW313"/>
      <c r="QX313"/>
      <c r="QY313"/>
      <c r="QZ313"/>
      <c r="RA313"/>
      <c r="RB313"/>
      <c r="RC313"/>
      <c r="RD313"/>
      <c r="RE313"/>
      <c r="RF313"/>
      <c r="RG313"/>
      <c r="RH313"/>
      <c r="RI313"/>
      <c r="RJ313"/>
      <c r="RK313"/>
      <c r="RL313"/>
      <c r="RM313"/>
      <c r="RN313"/>
      <c r="RO313"/>
      <c r="RP313"/>
      <c r="RQ313"/>
      <c r="RR313"/>
      <c r="RS313"/>
    </row>
    <row r="314" spans="19:487" x14ac:dyDescent="0.25"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/>
      <c r="AT314"/>
      <c r="AU314"/>
      <c r="AV314"/>
      <c r="AW314"/>
      <c r="AX314"/>
      <c r="AY314"/>
      <c r="AZ314"/>
      <c r="BA314"/>
      <c r="BB314"/>
      <c r="BC314"/>
      <c r="BD314"/>
      <c r="BE314"/>
      <c r="BF314"/>
      <c r="BG314"/>
      <c r="BH314"/>
      <c r="BI314"/>
      <c r="BJ314"/>
      <c r="BK314"/>
      <c r="BL314"/>
      <c r="BM314"/>
      <c r="BN314"/>
      <c r="BO314"/>
      <c r="BP314"/>
      <c r="BQ314"/>
      <c r="BR314"/>
      <c r="BS314"/>
      <c r="BT314"/>
      <c r="BU314"/>
      <c r="BV314"/>
      <c r="BW314"/>
      <c r="BX314"/>
      <c r="BY314"/>
      <c r="BZ314"/>
      <c r="CA314"/>
      <c r="CB314"/>
      <c r="CC314"/>
      <c r="CD314"/>
      <c r="CE314"/>
      <c r="CF314"/>
      <c r="CG314"/>
      <c r="CH314"/>
      <c r="CI314"/>
      <c r="CJ314"/>
      <c r="CK314"/>
      <c r="CL314"/>
      <c r="CM314"/>
      <c r="CN314"/>
      <c r="CO314"/>
      <c r="CP314"/>
      <c r="CQ314"/>
      <c r="CR314"/>
      <c r="CS314"/>
      <c r="CT314"/>
      <c r="CU314"/>
      <c r="CV314"/>
      <c r="CW314"/>
      <c r="CX314"/>
      <c r="CY314"/>
      <c r="CZ314"/>
      <c r="DA314"/>
      <c r="DB314"/>
      <c r="DC314"/>
      <c r="DD314"/>
      <c r="DE314"/>
      <c r="DF314"/>
      <c r="DG314"/>
      <c r="DH314"/>
      <c r="DI314"/>
      <c r="DJ314"/>
      <c r="DK314"/>
      <c r="DL314"/>
      <c r="DM314"/>
      <c r="DN314"/>
      <c r="DO314"/>
      <c r="DP314"/>
      <c r="DQ314"/>
      <c r="DR314"/>
      <c r="DS314"/>
      <c r="DT314"/>
      <c r="DU314"/>
      <c r="DV314"/>
      <c r="DW314"/>
      <c r="DX314"/>
      <c r="DY314"/>
      <c r="DZ314"/>
      <c r="EA314"/>
      <c r="EB314"/>
      <c r="EC314"/>
      <c r="ED314"/>
      <c r="EE314"/>
      <c r="EF314"/>
      <c r="EG314"/>
      <c r="EH314"/>
      <c r="EI314"/>
      <c r="EJ314"/>
      <c r="EK314"/>
      <c r="EL314"/>
      <c r="EM314"/>
      <c r="EN314"/>
      <c r="EO314"/>
      <c r="EP314"/>
      <c r="EQ314"/>
      <c r="ER314"/>
      <c r="ES314"/>
      <c r="ET314"/>
      <c r="EU314"/>
      <c r="EV314"/>
      <c r="EW314"/>
      <c r="EX314"/>
      <c r="EY314"/>
      <c r="EZ314"/>
      <c r="FA314"/>
      <c r="FB314"/>
      <c r="FC314"/>
      <c r="FD314"/>
      <c r="FE314"/>
      <c r="FF314"/>
      <c r="FG314"/>
      <c r="FH314"/>
      <c r="FI314"/>
      <c r="FJ314"/>
      <c r="FK314"/>
      <c r="FL314"/>
      <c r="FM314"/>
      <c r="FN314"/>
      <c r="FO314"/>
      <c r="FP314"/>
      <c r="FQ314"/>
      <c r="FR314"/>
      <c r="FS314"/>
      <c r="FT314"/>
      <c r="FU314"/>
      <c r="FV314"/>
      <c r="FW314"/>
      <c r="FX314"/>
      <c r="FY314"/>
      <c r="FZ314"/>
      <c r="GA314"/>
      <c r="GB314"/>
      <c r="GC314"/>
      <c r="GD314"/>
      <c r="GE314"/>
      <c r="GF314"/>
      <c r="GG314"/>
      <c r="GH314"/>
      <c r="GI314"/>
      <c r="GJ314"/>
      <c r="GK314"/>
      <c r="GL314"/>
      <c r="GM314"/>
      <c r="GN314"/>
      <c r="GO314"/>
      <c r="GP314"/>
      <c r="GQ314"/>
      <c r="GR314"/>
      <c r="GS314"/>
      <c r="GT314"/>
      <c r="GU314"/>
      <c r="GV314"/>
      <c r="GW314"/>
      <c r="GX314"/>
      <c r="GY314"/>
      <c r="GZ314"/>
      <c r="HA314"/>
      <c r="HB314"/>
      <c r="HC314"/>
      <c r="HD314"/>
      <c r="HE314"/>
      <c r="HF314"/>
      <c r="HG314"/>
      <c r="HH314"/>
      <c r="HI314"/>
      <c r="HJ314"/>
      <c r="HK314"/>
      <c r="HL314"/>
      <c r="HM314"/>
      <c r="HN314"/>
      <c r="HO314"/>
      <c r="HP314"/>
      <c r="HQ314"/>
      <c r="HR314"/>
      <c r="HS314"/>
      <c r="HT314"/>
      <c r="HU314"/>
      <c r="HV314"/>
      <c r="HW314"/>
      <c r="HX314"/>
      <c r="HY314"/>
      <c r="HZ314"/>
      <c r="IA314"/>
      <c r="IB314"/>
      <c r="IC314"/>
      <c r="ID314"/>
      <c r="IE314"/>
      <c r="IF314"/>
      <c r="IG314"/>
      <c r="IH314"/>
      <c r="II314"/>
      <c r="IJ314"/>
      <c r="IK314"/>
      <c r="IL314"/>
      <c r="IM314"/>
      <c r="IN314"/>
      <c r="IO314"/>
      <c r="IP314"/>
      <c r="IQ314"/>
      <c r="IR314"/>
      <c r="IS314"/>
      <c r="IT314"/>
      <c r="IU314"/>
      <c r="IV314"/>
      <c r="IW314"/>
      <c r="IX314"/>
      <c r="IY314"/>
      <c r="IZ314"/>
      <c r="JA314"/>
      <c r="JB314"/>
      <c r="JC314"/>
      <c r="JD314"/>
      <c r="JE314"/>
      <c r="JF314"/>
      <c r="JG314"/>
      <c r="JH314"/>
      <c r="JI314"/>
      <c r="JJ314"/>
      <c r="JK314"/>
      <c r="JL314"/>
      <c r="JM314"/>
      <c r="JN314"/>
      <c r="JO314"/>
      <c r="JP314"/>
      <c r="JQ314"/>
      <c r="JR314"/>
      <c r="JS314"/>
      <c r="JT314"/>
      <c r="JU314"/>
      <c r="JV314"/>
      <c r="JW314"/>
      <c r="JX314"/>
      <c r="JY314"/>
      <c r="JZ314"/>
      <c r="KA314"/>
      <c r="KB314"/>
      <c r="KC314"/>
      <c r="KD314"/>
      <c r="KE314"/>
      <c r="KF314"/>
      <c r="KG314"/>
      <c r="KH314"/>
      <c r="KI314"/>
      <c r="KJ314"/>
      <c r="KK314"/>
      <c r="KL314"/>
      <c r="KM314"/>
      <c r="KN314"/>
      <c r="KO314"/>
      <c r="KP314"/>
      <c r="KQ314"/>
      <c r="KR314"/>
      <c r="KS314"/>
      <c r="KT314"/>
      <c r="KU314"/>
      <c r="KV314"/>
      <c r="KW314"/>
      <c r="KX314"/>
      <c r="KY314"/>
      <c r="KZ314"/>
      <c r="LA314"/>
      <c r="LB314"/>
      <c r="LC314"/>
      <c r="LD314"/>
      <c r="LE314"/>
      <c r="LF314"/>
      <c r="LG314"/>
      <c r="LH314"/>
      <c r="LI314"/>
      <c r="LJ314"/>
      <c r="LK314"/>
      <c r="LL314"/>
      <c r="LM314"/>
      <c r="LN314"/>
      <c r="LO314"/>
      <c r="LP314"/>
      <c r="LQ314"/>
      <c r="LR314"/>
      <c r="LS314"/>
      <c r="LT314"/>
      <c r="LU314"/>
      <c r="LV314"/>
      <c r="LW314"/>
      <c r="LX314"/>
      <c r="LY314"/>
      <c r="LZ314"/>
      <c r="MA314"/>
      <c r="MB314"/>
      <c r="MC314"/>
      <c r="MD314"/>
      <c r="ME314"/>
      <c r="MF314"/>
      <c r="MG314"/>
      <c r="MH314"/>
      <c r="MI314"/>
      <c r="MJ314"/>
      <c r="MK314"/>
      <c r="ML314"/>
      <c r="MM314"/>
      <c r="MN314"/>
      <c r="MO314"/>
      <c r="MP314"/>
      <c r="MQ314"/>
      <c r="MR314"/>
      <c r="MS314"/>
      <c r="MT314"/>
      <c r="MU314"/>
      <c r="MV314"/>
      <c r="MW314"/>
      <c r="MX314"/>
      <c r="MY314"/>
      <c r="MZ314"/>
      <c r="NA314"/>
      <c r="NB314"/>
      <c r="NC314"/>
      <c r="ND314"/>
      <c r="NE314"/>
      <c r="NF314"/>
      <c r="NG314"/>
      <c r="NH314"/>
      <c r="NI314"/>
      <c r="NJ314"/>
      <c r="NK314"/>
      <c r="NL314"/>
      <c r="NM314"/>
      <c r="NN314"/>
      <c r="NO314"/>
      <c r="NP314"/>
      <c r="NQ314"/>
      <c r="NR314"/>
      <c r="NS314"/>
      <c r="NT314"/>
      <c r="NU314"/>
      <c r="NV314"/>
      <c r="NW314"/>
      <c r="NX314"/>
      <c r="NY314"/>
      <c r="NZ314"/>
      <c r="OA314"/>
      <c r="OB314"/>
      <c r="OC314"/>
      <c r="OD314"/>
      <c r="OE314"/>
      <c r="OF314"/>
      <c r="OG314"/>
      <c r="OH314"/>
      <c r="OI314"/>
      <c r="OJ314"/>
      <c r="OK314"/>
      <c r="OL314"/>
      <c r="OM314"/>
      <c r="ON314"/>
      <c r="OO314"/>
      <c r="OP314"/>
      <c r="OQ314"/>
      <c r="OR314"/>
      <c r="OS314"/>
      <c r="OT314"/>
      <c r="OU314"/>
      <c r="OV314"/>
      <c r="OW314"/>
      <c r="OX314"/>
      <c r="OY314"/>
      <c r="OZ314"/>
      <c r="PA314"/>
      <c r="PB314"/>
      <c r="PC314"/>
      <c r="PD314"/>
      <c r="PE314"/>
      <c r="PF314"/>
      <c r="PG314"/>
      <c r="PH314"/>
      <c r="PI314"/>
      <c r="PJ314"/>
      <c r="PK314"/>
      <c r="PL314"/>
      <c r="PM314"/>
      <c r="PN314"/>
      <c r="PO314"/>
      <c r="PP314"/>
      <c r="PQ314"/>
      <c r="PR314"/>
      <c r="PS314"/>
      <c r="PT314"/>
      <c r="PU314"/>
      <c r="PV314"/>
      <c r="PW314"/>
      <c r="PX314"/>
      <c r="PY314"/>
      <c r="PZ314"/>
      <c r="QA314"/>
      <c r="QB314"/>
      <c r="QC314"/>
      <c r="QD314"/>
      <c r="QE314"/>
      <c r="QF314"/>
      <c r="QG314"/>
      <c r="QH314"/>
      <c r="QI314"/>
      <c r="QJ314"/>
      <c r="QK314"/>
      <c r="QL314"/>
      <c r="QM314"/>
      <c r="QN314"/>
      <c r="QO314"/>
      <c r="QP314"/>
      <c r="QQ314"/>
      <c r="QR314"/>
      <c r="QS314"/>
      <c r="QT314"/>
      <c r="QU314"/>
      <c r="QV314"/>
      <c r="QW314"/>
      <c r="QX314"/>
      <c r="QY314"/>
      <c r="QZ314"/>
      <c r="RA314"/>
      <c r="RB314"/>
      <c r="RC314"/>
      <c r="RD314"/>
      <c r="RE314"/>
      <c r="RF314"/>
      <c r="RG314"/>
      <c r="RH314"/>
      <c r="RI314"/>
      <c r="RJ314"/>
      <c r="RK314"/>
      <c r="RL314"/>
      <c r="RM314"/>
      <c r="RN314"/>
      <c r="RO314"/>
      <c r="RP314"/>
      <c r="RQ314"/>
      <c r="RR314"/>
      <c r="RS314"/>
    </row>
    <row r="315" spans="19:487" x14ac:dyDescent="0.25"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  <c r="AS315"/>
      <c r="AT315"/>
      <c r="AU315"/>
      <c r="AV315"/>
      <c r="AW315"/>
      <c r="AX315"/>
      <c r="AY315"/>
      <c r="AZ315"/>
      <c r="BA315"/>
      <c r="BB315"/>
      <c r="BC315"/>
      <c r="BD315"/>
      <c r="BE315"/>
      <c r="BF315"/>
      <c r="BG315"/>
      <c r="BH315"/>
      <c r="BI315"/>
      <c r="BJ315"/>
      <c r="BK315"/>
      <c r="BL315"/>
      <c r="BM315"/>
      <c r="BN315"/>
      <c r="BO315"/>
      <c r="BP315"/>
      <c r="BQ315"/>
      <c r="BR315"/>
      <c r="BS315"/>
      <c r="BT315"/>
      <c r="BU315"/>
      <c r="BV315"/>
      <c r="BW315"/>
      <c r="BX315"/>
      <c r="BY315"/>
      <c r="BZ315"/>
      <c r="CA315"/>
      <c r="CB315"/>
      <c r="CC315"/>
      <c r="CD315"/>
      <c r="CE315"/>
      <c r="CF315"/>
      <c r="CG315"/>
      <c r="CH315"/>
      <c r="CI315"/>
      <c r="CJ315"/>
      <c r="CK315"/>
      <c r="CL315"/>
      <c r="CM315"/>
      <c r="CN315"/>
      <c r="CO315"/>
      <c r="CP315"/>
      <c r="CQ315"/>
      <c r="CR315"/>
      <c r="CS315"/>
      <c r="CT315"/>
      <c r="CU315"/>
      <c r="CV315"/>
      <c r="CW315"/>
      <c r="CX315"/>
      <c r="CY315"/>
      <c r="CZ315"/>
      <c r="DA315"/>
      <c r="DB315"/>
      <c r="DC315"/>
      <c r="DD315"/>
      <c r="DE315"/>
      <c r="DF315"/>
      <c r="DG315"/>
      <c r="DH315"/>
      <c r="DI315"/>
      <c r="DJ315"/>
      <c r="DK315"/>
      <c r="DL315"/>
      <c r="DM315"/>
      <c r="DN315"/>
      <c r="DO315"/>
      <c r="DP315"/>
      <c r="DQ315"/>
      <c r="DR315"/>
      <c r="DS315"/>
      <c r="DT315"/>
      <c r="DU315"/>
      <c r="DV315"/>
      <c r="DW315"/>
      <c r="DX315"/>
      <c r="DY315"/>
      <c r="DZ315"/>
      <c r="EA315"/>
      <c r="EB315"/>
      <c r="EC315"/>
      <c r="ED315"/>
      <c r="EE315"/>
      <c r="EF315"/>
      <c r="EG315"/>
      <c r="EH315"/>
      <c r="EI315"/>
      <c r="EJ315"/>
      <c r="EK315"/>
      <c r="EL315"/>
      <c r="EM315"/>
      <c r="EN315"/>
      <c r="EO315"/>
      <c r="EP315"/>
      <c r="EQ315"/>
      <c r="ER315"/>
      <c r="ES315"/>
      <c r="ET315"/>
      <c r="EU315"/>
      <c r="EV315"/>
      <c r="EW315"/>
      <c r="EX315"/>
      <c r="EY315"/>
      <c r="EZ315"/>
      <c r="FA315"/>
      <c r="FB315"/>
      <c r="FC315"/>
      <c r="FD315"/>
      <c r="FE315"/>
      <c r="FF315"/>
      <c r="FG315"/>
      <c r="FH315"/>
      <c r="FI315"/>
      <c r="FJ315"/>
      <c r="FK315"/>
      <c r="FL315"/>
      <c r="FM315"/>
      <c r="FN315"/>
      <c r="FO315"/>
      <c r="FP315"/>
      <c r="FQ315"/>
      <c r="FR315"/>
      <c r="FS315"/>
      <c r="FT315"/>
      <c r="FU315"/>
      <c r="FV315"/>
      <c r="FW315"/>
      <c r="FX315"/>
      <c r="FY315"/>
      <c r="FZ315"/>
      <c r="GA315"/>
      <c r="GB315"/>
      <c r="GC315"/>
      <c r="GD315"/>
      <c r="GE315"/>
      <c r="GF315"/>
      <c r="GG315"/>
      <c r="GH315"/>
      <c r="GI315"/>
      <c r="GJ315"/>
      <c r="GK315"/>
      <c r="GL315"/>
      <c r="GM315"/>
      <c r="GN315"/>
      <c r="GO315"/>
      <c r="GP315"/>
      <c r="GQ315"/>
      <c r="GR315"/>
      <c r="GS315"/>
      <c r="GT315"/>
      <c r="GU315"/>
      <c r="GV315"/>
      <c r="GW315"/>
      <c r="GX315"/>
      <c r="GY315"/>
      <c r="GZ315"/>
      <c r="HA315"/>
      <c r="HB315"/>
      <c r="HC315"/>
      <c r="HD315"/>
      <c r="HE315"/>
      <c r="HF315"/>
      <c r="HG315"/>
      <c r="HH315"/>
      <c r="HI315"/>
      <c r="HJ315"/>
      <c r="HK315"/>
      <c r="HL315"/>
      <c r="HM315"/>
      <c r="HN315"/>
      <c r="HO315"/>
      <c r="HP315"/>
      <c r="HQ315"/>
      <c r="HR315"/>
      <c r="HS315"/>
      <c r="HT315"/>
      <c r="HU315"/>
      <c r="HV315"/>
      <c r="HW315"/>
      <c r="HX315"/>
      <c r="HY315"/>
      <c r="HZ315"/>
      <c r="IA315"/>
      <c r="IB315"/>
      <c r="IC315"/>
      <c r="ID315"/>
      <c r="IE315"/>
      <c r="IF315"/>
      <c r="IG315"/>
      <c r="IH315"/>
      <c r="II315"/>
      <c r="IJ315"/>
      <c r="IK315"/>
      <c r="IL315"/>
      <c r="IM315"/>
      <c r="IN315"/>
      <c r="IO315"/>
      <c r="IP315"/>
      <c r="IQ315"/>
      <c r="IR315"/>
      <c r="IS315"/>
      <c r="IT315"/>
      <c r="IU315"/>
      <c r="IV315"/>
      <c r="IW315"/>
      <c r="IX315"/>
      <c r="IY315"/>
      <c r="IZ315"/>
      <c r="JA315"/>
      <c r="JB315"/>
      <c r="JC315"/>
      <c r="JD315"/>
      <c r="JE315"/>
      <c r="JF315"/>
      <c r="JG315"/>
      <c r="JH315"/>
      <c r="JI315"/>
      <c r="JJ315"/>
      <c r="JK315"/>
      <c r="JL315"/>
      <c r="JM315"/>
      <c r="JN315"/>
      <c r="JO315"/>
      <c r="JP315"/>
      <c r="JQ315"/>
      <c r="JR315"/>
      <c r="JS315"/>
      <c r="JT315"/>
      <c r="JU315"/>
      <c r="JV315"/>
      <c r="JW315"/>
      <c r="JX315"/>
      <c r="JY315"/>
      <c r="JZ315"/>
      <c r="KA315"/>
      <c r="KB315"/>
      <c r="KC315"/>
      <c r="KD315"/>
      <c r="KE315"/>
      <c r="KF315"/>
      <c r="KG315"/>
      <c r="KH315"/>
      <c r="KI315"/>
      <c r="KJ315"/>
      <c r="KK315"/>
      <c r="KL315"/>
      <c r="KM315"/>
      <c r="KN315"/>
      <c r="KO315"/>
      <c r="KP315"/>
      <c r="KQ315"/>
      <c r="KR315"/>
      <c r="KS315"/>
      <c r="KT315"/>
      <c r="KU315"/>
      <c r="KV315"/>
      <c r="KW315"/>
      <c r="KX315"/>
      <c r="KY315"/>
      <c r="KZ315"/>
      <c r="LA315"/>
      <c r="LB315"/>
      <c r="LC315"/>
      <c r="LD315"/>
      <c r="LE315"/>
      <c r="LF315"/>
      <c r="LG315"/>
      <c r="LH315"/>
      <c r="LI315"/>
      <c r="LJ315"/>
      <c r="LK315"/>
      <c r="LL315"/>
      <c r="LM315"/>
      <c r="LN315"/>
      <c r="LO315"/>
      <c r="LP315"/>
      <c r="LQ315"/>
      <c r="LR315"/>
      <c r="LS315"/>
      <c r="LT315"/>
      <c r="LU315"/>
      <c r="LV315"/>
      <c r="LW315"/>
      <c r="LX315"/>
      <c r="LY315"/>
      <c r="LZ315"/>
      <c r="MA315"/>
      <c r="MB315"/>
      <c r="MC315"/>
      <c r="MD315"/>
      <c r="ME315"/>
      <c r="MF315"/>
      <c r="MG315"/>
      <c r="MH315"/>
      <c r="MI315"/>
      <c r="MJ315"/>
      <c r="MK315"/>
      <c r="ML315"/>
      <c r="MM315"/>
      <c r="MN315"/>
      <c r="MO315"/>
      <c r="MP315"/>
      <c r="MQ315"/>
      <c r="MR315"/>
      <c r="MS315"/>
      <c r="MT315"/>
      <c r="MU315"/>
      <c r="MV315"/>
      <c r="MW315"/>
      <c r="MX315"/>
      <c r="MY315"/>
      <c r="MZ315"/>
      <c r="NA315"/>
      <c r="NB315"/>
      <c r="NC315"/>
      <c r="ND315"/>
      <c r="NE315"/>
      <c r="NF315"/>
      <c r="NG315"/>
      <c r="NH315"/>
      <c r="NI315"/>
      <c r="NJ315"/>
      <c r="NK315"/>
      <c r="NL315"/>
      <c r="NM315"/>
      <c r="NN315"/>
      <c r="NO315"/>
      <c r="NP315"/>
      <c r="NQ315"/>
      <c r="NR315"/>
      <c r="NS315"/>
      <c r="NT315"/>
      <c r="NU315"/>
      <c r="NV315"/>
      <c r="NW315"/>
      <c r="NX315"/>
      <c r="NY315"/>
      <c r="NZ315"/>
      <c r="OA315"/>
      <c r="OB315"/>
      <c r="OC315"/>
      <c r="OD315"/>
      <c r="OE315"/>
      <c r="OF315"/>
      <c r="OG315"/>
      <c r="OH315"/>
      <c r="OI315"/>
      <c r="OJ315"/>
      <c r="OK315"/>
      <c r="OL315"/>
      <c r="OM315"/>
      <c r="ON315"/>
      <c r="OO315"/>
      <c r="OP315"/>
      <c r="OQ315"/>
      <c r="OR315"/>
      <c r="OS315"/>
      <c r="OT315"/>
      <c r="OU315"/>
      <c r="OV315"/>
      <c r="OW315"/>
      <c r="OX315"/>
      <c r="OY315"/>
      <c r="OZ315"/>
      <c r="PA315"/>
      <c r="PB315"/>
      <c r="PC315"/>
      <c r="PD315"/>
      <c r="PE315"/>
      <c r="PF315"/>
      <c r="PG315"/>
      <c r="PH315"/>
      <c r="PI315"/>
      <c r="PJ315"/>
      <c r="PK315"/>
      <c r="PL315"/>
      <c r="PM315"/>
      <c r="PN315"/>
      <c r="PO315"/>
      <c r="PP315"/>
      <c r="PQ315"/>
      <c r="PR315"/>
      <c r="PS315"/>
      <c r="PT315"/>
      <c r="PU315"/>
      <c r="PV315"/>
      <c r="PW315"/>
      <c r="PX315"/>
      <c r="PY315"/>
      <c r="PZ315"/>
      <c r="QA315"/>
      <c r="QB315"/>
      <c r="QC315"/>
      <c r="QD315"/>
      <c r="QE315"/>
      <c r="QF315"/>
      <c r="QG315"/>
      <c r="QH315"/>
      <c r="QI315"/>
      <c r="QJ315"/>
      <c r="QK315"/>
      <c r="QL315"/>
      <c r="QM315"/>
      <c r="QN315"/>
      <c r="QO315"/>
      <c r="QP315"/>
      <c r="QQ315"/>
      <c r="QR315"/>
      <c r="QS315"/>
      <c r="QT315"/>
      <c r="QU315"/>
      <c r="QV315"/>
      <c r="QW315"/>
      <c r="QX315"/>
      <c r="QY315"/>
      <c r="QZ315"/>
      <c r="RA315"/>
      <c r="RB315"/>
      <c r="RC315"/>
      <c r="RD315"/>
      <c r="RE315"/>
      <c r="RF315"/>
      <c r="RG315"/>
      <c r="RH315"/>
      <c r="RI315"/>
      <c r="RJ315"/>
      <c r="RK315"/>
      <c r="RL315"/>
      <c r="RM315"/>
      <c r="RN315"/>
      <c r="RO315"/>
      <c r="RP315"/>
      <c r="RQ315"/>
      <c r="RR315"/>
      <c r="RS315"/>
    </row>
    <row r="316" spans="19:487" x14ac:dyDescent="0.25"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/>
      <c r="AT316"/>
      <c r="AU316"/>
      <c r="AV316"/>
      <c r="AW316"/>
      <c r="AX316"/>
      <c r="AY316"/>
      <c r="AZ316"/>
      <c r="BA316"/>
      <c r="BB316"/>
      <c r="BC316"/>
      <c r="BD316"/>
      <c r="BE316"/>
      <c r="BF316"/>
      <c r="BG316"/>
      <c r="BH316"/>
      <c r="BI316"/>
      <c r="BJ316"/>
      <c r="BK316"/>
      <c r="BL316"/>
      <c r="BM316"/>
      <c r="BN316"/>
      <c r="BO316"/>
      <c r="BP316"/>
      <c r="BQ316"/>
      <c r="BR316"/>
      <c r="BS316"/>
      <c r="BT316"/>
      <c r="BU316"/>
      <c r="BV316"/>
      <c r="BW316"/>
      <c r="BX316"/>
      <c r="BY316"/>
      <c r="BZ316"/>
      <c r="CA316"/>
      <c r="CB316"/>
      <c r="CC316"/>
      <c r="CD316"/>
      <c r="CE316"/>
      <c r="CF316"/>
      <c r="CG316"/>
      <c r="CH316"/>
      <c r="CI316"/>
      <c r="CJ316"/>
      <c r="CK316"/>
      <c r="CL316"/>
      <c r="CM316"/>
      <c r="CN316"/>
      <c r="CO316"/>
      <c r="CP316"/>
      <c r="CQ316"/>
      <c r="CR316"/>
      <c r="CS316"/>
      <c r="CT316"/>
      <c r="CU316"/>
      <c r="CV316"/>
      <c r="CW316"/>
      <c r="CX316"/>
      <c r="CY316"/>
      <c r="CZ316"/>
      <c r="DA316"/>
      <c r="DB316"/>
      <c r="DC316"/>
      <c r="DD316"/>
      <c r="DE316"/>
      <c r="DF316"/>
      <c r="DG316"/>
      <c r="DH316"/>
      <c r="DI316"/>
      <c r="DJ316"/>
      <c r="DK316"/>
      <c r="DL316"/>
      <c r="DM316"/>
      <c r="DN316"/>
      <c r="DO316"/>
      <c r="DP316"/>
      <c r="DQ316"/>
      <c r="DR316"/>
      <c r="DS316"/>
      <c r="DT316"/>
      <c r="DU316"/>
      <c r="DV316"/>
      <c r="DW316"/>
      <c r="DX316"/>
      <c r="DY316"/>
      <c r="DZ316"/>
      <c r="EA316"/>
      <c r="EB316"/>
      <c r="EC316"/>
      <c r="ED316"/>
      <c r="EE316"/>
      <c r="EF316"/>
      <c r="EG316"/>
      <c r="EH316"/>
      <c r="EI316"/>
      <c r="EJ316"/>
      <c r="EK316"/>
      <c r="EL316"/>
      <c r="EM316"/>
      <c r="EN316"/>
      <c r="EO316"/>
      <c r="EP316"/>
      <c r="EQ316"/>
      <c r="ER316"/>
      <c r="ES316"/>
      <c r="ET316"/>
      <c r="EU316"/>
      <c r="EV316"/>
      <c r="EW316"/>
      <c r="EX316"/>
      <c r="EY316"/>
      <c r="EZ316"/>
      <c r="FA316"/>
      <c r="FB316"/>
      <c r="FC316"/>
      <c r="FD316"/>
      <c r="FE316"/>
      <c r="FF316"/>
      <c r="FG316"/>
      <c r="FH316"/>
      <c r="FI316"/>
      <c r="FJ316"/>
      <c r="FK316"/>
      <c r="FL316"/>
      <c r="FM316"/>
      <c r="FN316"/>
      <c r="FO316"/>
      <c r="FP316"/>
      <c r="FQ316"/>
      <c r="FR316"/>
      <c r="FS316"/>
      <c r="FT316"/>
      <c r="FU316"/>
      <c r="FV316"/>
      <c r="FW316"/>
      <c r="FX316"/>
      <c r="FY316"/>
      <c r="FZ316"/>
      <c r="GA316"/>
      <c r="GB316"/>
      <c r="GC316"/>
      <c r="GD316"/>
      <c r="GE316"/>
      <c r="GF316"/>
      <c r="GG316"/>
      <c r="GH316"/>
      <c r="GI316"/>
      <c r="GJ316"/>
      <c r="GK316"/>
      <c r="GL316"/>
      <c r="GM316"/>
      <c r="GN316"/>
      <c r="GO316"/>
      <c r="GP316"/>
      <c r="GQ316"/>
      <c r="GR316"/>
      <c r="GS316"/>
      <c r="GT316"/>
      <c r="GU316"/>
      <c r="GV316"/>
      <c r="GW316"/>
      <c r="GX316"/>
      <c r="GY316"/>
      <c r="GZ316"/>
      <c r="HA316"/>
      <c r="HB316"/>
      <c r="HC316"/>
      <c r="HD316"/>
      <c r="HE316"/>
      <c r="HF316"/>
      <c r="HG316"/>
      <c r="HH316"/>
      <c r="HI316"/>
      <c r="HJ316"/>
      <c r="HK316"/>
      <c r="HL316"/>
      <c r="HM316"/>
      <c r="HN316"/>
      <c r="HO316"/>
      <c r="HP316"/>
      <c r="HQ316"/>
      <c r="HR316"/>
      <c r="HS316"/>
      <c r="HT316"/>
      <c r="HU316"/>
      <c r="HV316"/>
      <c r="HW316"/>
      <c r="HX316"/>
      <c r="HY316"/>
      <c r="HZ316"/>
      <c r="IA316"/>
      <c r="IB316"/>
      <c r="IC316"/>
      <c r="ID316"/>
      <c r="IE316"/>
      <c r="IF316"/>
      <c r="IG316"/>
      <c r="IH316"/>
      <c r="II316"/>
      <c r="IJ316"/>
      <c r="IK316"/>
      <c r="IL316"/>
      <c r="IM316"/>
      <c r="IN316"/>
      <c r="IO316"/>
      <c r="IP316"/>
      <c r="IQ316"/>
      <c r="IR316"/>
      <c r="IS316"/>
      <c r="IT316"/>
      <c r="IU316"/>
      <c r="IV316"/>
      <c r="IW316"/>
      <c r="IX316"/>
      <c r="IY316"/>
      <c r="IZ316"/>
      <c r="JA316"/>
      <c r="JB316"/>
      <c r="JC316"/>
      <c r="JD316"/>
      <c r="JE316"/>
      <c r="JF316"/>
      <c r="JG316"/>
      <c r="JH316"/>
      <c r="JI316"/>
      <c r="JJ316"/>
      <c r="JK316"/>
      <c r="JL316"/>
      <c r="JM316"/>
      <c r="JN316"/>
      <c r="JO316"/>
      <c r="JP316"/>
      <c r="JQ316"/>
      <c r="JR316"/>
      <c r="JS316"/>
      <c r="JT316"/>
      <c r="JU316"/>
      <c r="JV316"/>
      <c r="JW316"/>
      <c r="JX316"/>
      <c r="JY316"/>
      <c r="JZ316"/>
      <c r="KA316"/>
      <c r="KB316"/>
      <c r="KC316"/>
      <c r="KD316"/>
      <c r="KE316"/>
      <c r="KF316"/>
      <c r="KG316"/>
      <c r="KH316"/>
      <c r="KI316"/>
      <c r="KJ316"/>
      <c r="KK316"/>
      <c r="KL316"/>
      <c r="KM316"/>
      <c r="KN316"/>
      <c r="KO316"/>
      <c r="KP316"/>
      <c r="KQ316"/>
      <c r="KR316"/>
      <c r="KS316"/>
      <c r="KT316"/>
      <c r="KU316"/>
      <c r="KV316"/>
      <c r="KW316"/>
      <c r="KX316"/>
      <c r="KY316"/>
      <c r="KZ316"/>
      <c r="LA316"/>
      <c r="LB316"/>
      <c r="LC316"/>
      <c r="LD316"/>
      <c r="LE316"/>
      <c r="LF316"/>
      <c r="LG316"/>
      <c r="LH316"/>
      <c r="LI316"/>
      <c r="LJ316"/>
      <c r="LK316"/>
      <c r="LL316"/>
      <c r="LM316"/>
      <c r="LN316"/>
      <c r="LO316"/>
      <c r="LP316"/>
      <c r="LQ316"/>
      <c r="LR316"/>
      <c r="LS316"/>
      <c r="LT316"/>
      <c r="LU316"/>
      <c r="LV316"/>
      <c r="LW316"/>
      <c r="LX316"/>
      <c r="LY316"/>
      <c r="LZ316"/>
      <c r="MA316"/>
      <c r="MB316"/>
      <c r="MC316"/>
      <c r="MD316"/>
      <c r="ME316"/>
      <c r="MF316"/>
      <c r="MG316"/>
      <c r="MH316"/>
      <c r="MI316"/>
      <c r="MJ316"/>
      <c r="MK316"/>
      <c r="ML316"/>
      <c r="MM316"/>
      <c r="MN316"/>
      <c r="MO316"/>
      <c r="MP316"/>
      <c r="MQ316"/>
      <c r="MR316"/>
      <c r="MS316"/>
      <c r="MT316"/>
      <c r="MU316"/>
      <c r="MV316"/>
      <c r="MW316"/>
      <c r="MX316"/>
      <c r="MY316"/>
      <c r="MZ316"/>
      <c r="NA316"/>
      <c r="NB316"/>
      <c r="NC316"/>
      <c r="ND316"/>
      <c r="NE316"/>
      <c r="NF316"/>
      <c r="NG316"/>
      <c r="NH316"/>
      <c r="NI316"/>
      <c r="NJ316"/>
      <c r="NK316"/>
      <c r="NL316"/>
      <c r="NM316"/>
      <c r="NN316"/>
      <c r="NO316"/>
      <c r="NP316"/>
      <c r="NQ316"/>
      <c r="NR316"/>
      <c r="NS316"/>
      <c r="NT316"/>
      <c r="NU316"/>
      <c r="NV316"/>
      <c r="NW316"/>
      <c r="NX316"/>
      <c r="NY316"/>
      <c r="NZ316"/>
      <c r="OA316"/>
      <c r="OB316"/>
      <c r="OC316"/>
      <c r="OD316"/>
      <c r="OE316"/>
      <c r="OF316"/>
      <c r="OG316"/>
      <c r="OH316"/>
      <c r="OI316"/>
      <c r="OJ316"/>
      <c r="OK316"/>
      <c r="OL316"/>
      <c r="OM316"/>
      <c r="ON316"/>
      <c r="OO316"/>
      <c r="OP316"/>
      <c r="OQ316"/>
      <c r="OR316"/>
      <c r="OS316"/>
      <c r="OT316"/>
      <c r="OU316"/>
      <c r="OV316"/>
      <c r="OW316"/>
      <c r="OX316"/>
      <c r="OY316"/>
      <c r="OZ316"/>
      <c r="PA316"/>
      <c r="PB316"/>
      <c r="PC316"/>
      <c r="PD316"/>
      <c r="PE316"/>
      <c r="PF316"/>
      <c r="PG316"/>
      <c r="PH316"/>
      <c r="PI316"/>
      <c r="PJ316"/>
      <c r="PK316"/>
      <c r="PL316"/>
      <c r="PM316"/>
      <c r="PN316"/>
      <c r="PO316"/>
      <c r="PP316"/>
      <c r="PQ316"/>
      <c r="PR316"/>
      <c r="PS316"/>
      <c r="PT316"/>
      <c r="PU316"/>
      <c r="PV316"/>
      <c r="PW316"/>
      <c r="PX316"/>
      <c r="PY316"/>
      <c r="PZ316"/>
      <c r="QA316"/>
      <c r="QB316"/>
      <c r="QC316"/>
      <c r="QD316"/>
      <c r="QE316"/>
      <c r="QF316"/>
      <c r="QG316"/>
      <c r="QH316"/>
      <c r="QI316"/>
      <c r="QJ316"/>
      <c r="QK316"/>
      <c r="QL316"/>
      <c r="QM316"/>
      <c r="QN316"/>
      <c r="QO316"/>
      <c r="QP316"/>
      <c r="QQ316"/>
      <c r="QR316"/>
      <c r="QS316"/>
      <c r="QT316"/>
      <c r="QU316"/>
      <c r="QV316"/>
      <c r="QW316"/>
      <c r="QX316"/>
      <c r="QY316"/>
      <c r="QZ316"/>
      <c r="RA316"/>
      <c r="RB316"/>
      <c r="RC316"/>
      <c r="RD316"/>
      <c r="RE316"/>
      <c r="RF316"/>
      <c r="RG316"/>
      <c r="RH316"/>
      <c r="RI316"/>
      <c r="RJ316"/>
      <c r="RK316"/>
      <c r="RL316"/>
      <c r="RM316"/>
      <c r="RN316"/>
      <c r="RO316"/>
      <c r="RP316"/>
      <c r="RQ316"/>
      <c r="RR316"/>
      <c r="RS316"/>
    </row>
    <row r="317" spans="19:487" x14ac:dyDescent="0.25"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  <c r="AS317"/>
      <c r="AT317"/>
      <c r="AU317"/>
      <c r="AV317"/>
      <c r="AW317"/>
      <c r="AX317"/>
      <c r="AY317"/>
      <c r="AZ317"/>
      <c r="BA317"/>
      <c r="BB317"/>
      <c r="BC317"/>
      <c r="BD317"/>
      <c r="BE317"/>
      <c r="BF317"/>
      <c r="BG317"/>
      <c r="BH317"/>
      <c r="BI317"/>
      <c r="BJ317"/>
      <c r="BK317"/>
      <c r="BL317"/>
      <c r="BM317"/>
      <c r="BN317"/>
      <c r="BO317"/>
      <c r="BP317"/>
      <c r="BQ317"/>
      <c r="BR317"/>
      <c r="BS317"/>
      <c r="BT317"/>
      <c r="BU317"/>
      <c r="BV317"/>
      <c r="BW317"/>
      <c r="BX317"/>
      <c r="BY317"/>
      <c r="BZ317"/>
      <c r="CA317"/>
      <c r="CB317"/>
      <c r="CC317"/>
      <c r="CD317"/>
      <c r="CE317"/>
      <c r="CF317"/>
      <c r="CG317"/>
      <c r="CH317"/>
      <c r="CI317"/>
      <c r="CJ317"/>
      <c r="CK317"/>
      <c r="CL317"/>
      <c r="CM317"/>
      <c r="CN317"/>
      <c r="CO317"/>
      <c r="CP317"/>
      <c r="CQ317"/>
      <c r="CR317"/>
      <c r="CS317"/>
      <c r="CT317"/>
      <c r="CU317"/>
      <c r="CV317"/>
      <c r="CW317"/>
      <c r="CX317"/>
      <c r="CY317"/>
      <c r="CZ317"/>
      <c r="DA317"/>
      <c r="DB317"/>
      <c r="DC317"/>
      <c r="DD317"/>
      <c r="DE317"/>
      <c r="DF317"/>
      <c r="DG317"/>
      <c r="DH317"/>
      <c r="DI317"/>
      <c r="DJ317"/>
      <c r="DK317"/>
      <c r="DL317"/>
      <c r="DM317"/>
      <c r="DN317"/>
      <c r="DO317"/>
      <c r="DP317"/>
      <c r="DQ317"/>
      <c r="DR317"/>
      <c r="DS317"/>
      <c r="DT317"/>
      <c r="DU317"/>
      <c r="DV317"/>
      <c r="DW317"/>
      <c r="DX317"/>
      <c r="DY317"/>
      <c r="DZ317"/>
      <c r="EA317"/>
      <c r="EB317"/>
      <c r="EC317"/>
      <c r="ED317"/>
      <c r="EE317"/>
      <c r="EF317"/>
      <c r="EG317"/>
      <c r="EH317"/>
      <c r="EI317"/>
      <c r="EJ317"/>
      <c r="EK317"/>
      <c r="EL317"/>
      <c r="EM317"/>
      <c r="EN317"/>
      <c r="EO317"/>
      <c r="EP317"/>
      <c r="EQ317"/>
      <c r="ER317"/>
      <c r="ES317"/>
      <c r="ET317"/>
      <c r="EU317"/>
      <c r="EV317"/>
      <c r="EW317"/>
      <c r="EX317"/>
      <c r="EY317"/>
      <c r="EZ317"/>
      <c r="FA317"/>
      <c r="FB317"/>
      <c r="FC317"/>
      <c r="FD317"/>
      <c r="FE317"/>
      <c r="FF317"/>
      <c r="FG317"/>
      <c r="FH317"/>
      <c r="FI317"/>
      <c r="FJ317"/>
      <c r="FK317"/>
      <c r="FL317"/>
      <c r="FM317"/>
      <c r="FN317"/>
      <c r="FO317"/>
      <c r="FP317"/>
      <c r="FQ317"/>
      <c r="FR317"/>
      <c r="FS317"/>
      <c r="FT317"/>
      <c r="FU317"/>
      <c r="FV317"/>
      <c r="FW317"/>
      <c r="FX317"/>
      <c r="FY317"/>
      <c r="FZ317"/>
      <c r="GA317"/>
      <c r="GB317"/>
      <c r="GC317"/>
      <c r="GD317"/>
      <c r="GE317"/>
      <c r="GF317"/>
      <c r="GG317"/>
      <c r="GH317"/>
      <c r="GI317"/>
      <c r="GJ317"/>
      <c r="GK317"/>
      <c r="GL317"/>
      <c r="GM317"/>
      <c r="GN317"/>
      <c r="GO317"/>
      <c r="GP317"/>
      <c r="GQ317"/>
      <c r="GR317"/>
      <c r="GS317"/>
      <c r="GT317"/>
      <c r="GU317"/>
      <c r="GV317"/>
      <c r="GW317"/>
      <c r="GX317"/>
      <c r="GY317"/>
      <c r="GZ317"/>
      <c r="HA317"/>
      <c r="HB317"/>
      <c r="HC317"/>
      <c r="HD317"/>
      <c r="HE317"/>
      <c r="HF317"/>
      <c r="HG317"/>
      <c r="HH317"/>
      <c r="HI317"/>
      <c r="HJ317"/>
      <c r="HK317"/>
      <c r="HL317"/>
      <c r="HM317"/>
      <c r="HN317"/>
      <c r="HO317"/>
      <c r="HP317"/>
      <c r="HQ317"/>
      <c r="HR317"/>
      <c r="HS317"/>
      <c r="HT317"/>
      <c r="HU317"/>
      <c r="HV317"/>
      <c r="HW317"/>
      <c r="HX317"/>
      <c r="HY317"/>
      <c r="HZ317"/>
      <c r="IA317"/>
      <c r="IB317"/>
      <c r="IC317"/>
      <c r="ID317"/>
      <c r="IE317"/>
      <c r="IF317"/>
      <c r="IG317"/>
      <c r="IH317"/>
      <c r="II317"/>
      <c r="IJ317"/>
      <c r="IK317"/>
      <c r="IL317"/>
      <c r="IM317"/>
      <c r="IN317"/>
      <c r="IO317"/>
      <c r="IP317"/>
      <c r="IQ317"/>
      <c r="IR317"/>
      <c r="IS317"/>
      <c r="IT317"/>
      <c r="IU317"/>
      <c r="IV317"/>
      <c r="IW317"/>
      <c r="IX317"/>
      <c r="IY317"/>
      <c r="IZ317"/>
      <c r="JA317"/>
      <c r="JB317"/>
      <c r="JC317"/>
      <c r="JD317"/>
      <c r="JE317"/>
      <c r="JF317"/>
      <c r="JG317"/>
      <c r="JH317"/>
      <c r="JI317"/>
      <c r="JJ317"/>
      <c r="JK317"/>
      <c r="JL317"/>
      <c r="JM317"/>
      <c r="JN317"/>
      <c r="JO317"/>
      <c r="JP317"/>
      <c r="JQ317"/>
      <c r="JR317"/>
      <c r="JS317"/>
      <c r="JT317"/>
      <c r="JU317"/>
      <c r="JV317"/>
      <c r="JW317"/>
      <c r="JX317"/>
      <c r="JY317"/>
      <c r="JZ317"/>
      <c r="KA317"/>
      <c r="KB317"/>
      <c r="KC317"/>
      <c r="KD317"/>
      <c r="KE317"/>
      <c r="KF317"/>
      <c r="KG317"/>
      <c r="KH317"/>
      <c r="KI317"/>
      <c r="KJ317"/>
      <c r="KK317"/>
      <c r="KL317"/>
      <c r="KM317"/>
      <c r="KN317"/>
      <c r="KO317"/>
      <c r="KP317"/>
      <c r="KQ317"/>
      <c r="KR317"/>
      <c r="KS317"/>
      <c r="KT317"/>
      <c r="KU317"/>
      <c r="KV317"/>
      <c r="KW317"/>
      <c r="KX317"/>
      <c r="KY317"/>
      <c r="KZ317"/>
      <c r="LA317"/>
      <c r="LB317"/>
      <c r="LC317"/>
      <c r="LD317"/>
      <c r="LE317"/>
      <c r="LF317"/>
      <c r="LG317"/>
      <c r="LH317"/>
      <c r="LI317"/>
      <c r="LJ317"/>
      <c r="LK317"/>
      <c r="LL317"/>
      <c r="LM317"/>
      <c r="LN317"/>
      <c r="LO317"/>
      <c r="LP317"/>
      <c r="LQ317"/>
      <c r="LR317"/>
      <c r="LS317"/>
      <c r="LT317"/>
      <c r="LU317"/>
      <c r="LV317"/>
      <c r="LW317"/>
      <c r="LX317"/>
      <c r="LY317"/>
      <c r="LZ317"/>
      <c r="MA317"/>
      <c r="MB317"/>
      <c r="MC317"/>
      <c r="MD317"/>
      <c r="ME317"/>
      <c r="MF317"/>
      <c r="MG317"/>
      <c r="MH317"/>
      <c r="MI317"/>
      <c r="MJ317"/>
      <c r="MK317"/>
      <c r="ML317"/>
      <c r="MM317"/>
      <c r="MN317"/>
      <c r="MO317"/>
      <c r="MP317"/>
      <c r="MQ317"/>
      <c r="MR317"/>
      <c r="MS317"/>
      <c r="MT317"/>
      <c r="MU317"/>
      <c r="MV317"/>
      <c r="MW317"/>
      <c r="MX317"/>
      <c r="MY317"/>
      <c r="MZ317"/>
      <c r="NA317"/>
      <c r="NB317"/>
      <c r="NC317"/>
      <c r="ND317"/>
      <c r="NE317"/>
      <c r="NF317"/>
      <c r="NG317"/>
      <c r="NH317"/>
      <c r="NI317"/>
      <c r="NJ317"/>
      <c r="NK317"/>
      <c r="NL317"/>
      <c r="NM317"/>
      <c r="NN317"/>
      <c r="NO317"/>
      <c r="NP317"/>
      <c r="NQ317"/>
      <c r="NR317"/>
      <c r="NS317"/>
      <c r="NT317"/>
      <c r="NU317"/>
      <c r="NV317"/>
      <c r="NW317"/>
      <c r="NX317"/>
      <c r="NY317"/>
      <c r="NZ317"/>
      <c r="OA317"/>
      <c r="OB317"/>
      <c r="OC317"/>
      <c r="OD317"/>
      <c r="OE317"/>
      <c r="OF317"/>
      <c r="OG317"/>
      <c r="OH317"/>
      <c r="OI317"/>
      <c r="OJ317"/>
      <c r="OK317"/>
      <c r="OL317"/>
      <c r="OM317"/>
      <c r="ON317"/>
      <c r="OO317"/>
      <c r="OP317"/>
      <c r="OQ317"/>
      <c r="OR317"/>
      <c r="OS317"/>
      <c r="OT317"/>
      <c r="OU317"/>
      <c r="OV317"/>
      <c r="OW317"/>
      <c r="OX317"/>
      <c r="OY317"/>
      <c r="OZ317"/>
      <c r="PA317"/>
      <c r="PB317"/>
      <c r="PC317"/>
      <c r="PD317"/>
      <c r="PE317"/>
      <c r="PF317"/>
      <c r="PG317"/>
      <c r="PH317"/>
      <c r="PI317"/>
      <c r="PJ317"/>
      <c r="PK317"/>
      <c r="PL317"/>
      <c r="PM317"/>
      <c r="PN317"/>
      <c r="PO317"/>
      <c r="PP317"/>
      <c r="PQ317"/>
      <c r="PR317"/>
      <c r="PS317"/>
      <c r="PT317"/>
      <c r="PU317"/>
      <c r="PV317"/>
      <c r="PW317"/>
      <c r="PX317"/>
      <c r="PY317"/>
      <c r="PZ317"/>
      <c r="QA317"/>
      <c r="QB317"/>
      <c r="QC317"/>
      <c r="QD317"/>
      <c r="QE317"/>
      <c r="QF317"/>
      <c r="QG317"/>
      <c r="QH317"/>
      <c r="QI317"/>
      <c r="QJ317"/>
      <c r="QK317"/>
      <c r="QL317"/>
      <c r="QM317"/>
      <c r="QN317"/>
      <c r="QO317"/>
      <c r="QP317"/>
      <c r="QQ317"/>
      <c r="QR317"/>
      <c r="QS317"/>
      <c r="QT317"/>
      <c r="QU317"/>
      <c r="QV317"/>
      <c r="QW317"/>
      <c r="QX317"/>
      <c r="QY317"/>
      <c r="QZ317"/>
      <c r="RA317"/>
      <c r="RB317"/>
      <c r="RC317"/>
      <c r="RD317"/>
      <c r="RE317"/>
      <c r="RF317"/>
      <c r="RG317"/>
      <c r="RH317"/>
      <c r="RI317"/>
      <c r="RJ317"/>
      <c r="RK317"/>
      <c r="RL317"/>
      <c r="RM317"/>
      <c r="RN317"/>
      <c r="RO317"/>
      <c r="RP317"/>
      <c r="RQ317"/>
      <c r="RR317"/>
      <c r="RS317"/>
    </row>
    <row r="318" spans="19:487" x14ac:dyDescent="0.25"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  <c r="BL318"/>
      <c r="BM318"/>
      <c r="BN318"/>
      <c r="BO318"/>
      <c r="BP318"/>
      <c r="BQ318"/>
      <c r="BR318"/>
      <c r="BS318"/>
      <c r="BT318"/>
      <c r="BU318"/>
      <c r="BV318"/>
      <c r="BW318"/>
      <c r="BX318"/>
      <c r="BY318"/>
      <c r="BZ318"/>
      <c r="CA318"/>
      <c r="CB318"/>
      <c r="CC318"/>
      <c r="CD318"/>
      <c r="CE318"/>
      <c r="CF318"/>
      <c r="CG318"/>
      <c r="CH318"/>
      <c r="CI318"/>
      <c r="CJ318"/>
      <c r="CK318"/>
      <c r="CL318"/>
      <c r="CM318"/>
      <c r="CN318"/>
      <c r="CO318"/>
      <c r="CP318"/>
      <c r="CQ318"/>
      <c r="CR318"/>
      <c r="CS318"/>
      <c r="CT318"/>
      <c r="CU318"/>
      <c r="CV318"/>
      <c r="CW318"/>
      <c r="CX318"/>
      <c r="CY318"/>
      <c r="CZ318"/>
      <c r="DA318"/>
      <c r="DB318"/>
      <c r="DC318"/>
      <c r="DD318"/>
      <c r="DE318"/>
      <c r="DF318"/>
      <c r="DG318"/>
      <c r="DH318"/>
      <c r="DI318"/>
      <c r="DJ318"/>
      <c r="DK318"/>
      <c r="DL318"/>
      <c r="DM318"/>
      <c r="DN318"/>
      <c r="DO318"/>
      <c r="DP318"/>
      <c r="DQ318"/>
      <c r="DR318"/>
      <c r="DS318"/>
      <c r="DT318"/>
      <c r="DU318"/>
      <c r="DV318"/>
      <c r="DW318"/>
      <c r="DX318"/>
      <c r="DY318"/>
      <c r="DZ318"/>
      <c r="EA318"/>
      <c r="EB318"/>
      <c r="EC318"/>
      <c r="ED318"/>
      <c r="EE318"/>
      <c r="EF318"/>
      <c r="EG318"/>
      <c r="EH318"/>
      <c r="EI318"/>
      <c r="EJ318"/>
      <c r="EK318"/>
      <c r="EL318"/>
      <c r="EM318"/>
      <c r="EN318"/>
      <c r="EO318"/>
      <c r="EP318"/>
      <c r="EQ318"/>
      <c r="ER318"/>
      <c r="ES318"/>
      <c r="ET318"/>
      <c r="EU318"/>
      <c r="EV318"/>
      <c r="EW318"/>
      <c r="EX318"/>
      <c r="EY318"/>
      <c r="EZ318"/>
      <c r="FA318"/>
      <c r="FB318"/>
      <c r="FC318"/>
      <c r="FD318"/>
      <c r="FE318"/>
      <c r="FF318"/>
      <c r="FG318"/>
      <c r="FH318"/>
      <c r="FI318"/>
      <c r="FJ318"/>
      <c r="FK318"/>
      <c r="FL318"/>
      <c r="FM318"/>
      <c r="FN318"/>
      <c r="FO318"/>
      <c r="FP318"/>
      <c r="FQ318"/>
      <c r="FR318"/>
      <c r="FS318"/>
      <c r="FT318"/>
      <c r="FU318"/>
      <c r="FV318"/>
      <c r="FW318"/>
      <c r="FX318"/>
      <c r="FY318"/>
      <c r="FZ318"/>
      <c r="GA318"/>
      <c r="GB318"/>
      <c r="GC318"/>
      <c r="GD318"/>
      <c r="GE318"/>
      <c r="GF318"/>
      <c r="GG318"/>
      <c r="GH318"/>
      <c r="GI318"/>
      <c r="GJ318"/>
      <c r="GK318"/>
      <c r="GL318"/>
      <c r="GM318"/>
      <c r="GN318"/>
      <c r="GO318"/>
      <c r="GP318"/>
      <c r="GQ318"/>
      <c r="GR318"/>
      <c r="GS318"/>
      <c r="GT318"/>
      <c r="GU318"/>
      <c r="GV318"/>
      <c r="GW318"/>
      <c r="GX318"/>
      <c r="GY318"/>
      <c r="GZ318"/>
      <c r="HA318"/>
      <c r="HB318"/>
      <c r="HC318"/>
      <c r="HD318"/>
      <c r="HE318"/>
      <c r="HF318"/>
      <c r="HG318"/>
      <c r="HH318"/>
      <c r="HI318"/>
      <c r="HJ318"/>
      <c r="HK318"/>
      <c r="HL318"/>
      <c r="HM318"/>
      <c r="HN318"/>
      <c r="HO318"/>
      <c r="HP318"/>
      <c r="HQ318"/>
      <c r="HR318"/>
      <c r="HS318"/>
      <c r="HT318"/>
      <c r="HU318"/>
      <c r="HV318"/>
      <c r="HW318"/>
      <c r="HX318"/>
      <c r="HY318"/>
      <c r="HZ318"/>
      <c r="IA318"/>
      <c r="IB318"/>
      <c r="IC318"/>
      <c r="ID318"/>
      <c r="IE318"/>
      <c r="IF318"/>
      <c r="IG318"/>
      <c r="IH318"/>
      <c r="II318"/>
      <c r="IJ318"/>
      <c r="IK318"/>
      <c r="IL318"/>
      <c r="IM318"/>
      <c r="IN318"/>
      <c r="IO318"/>
      <c r="IP318"/>
      <c r="IQ318"/>
      <c r="IR318"/>
      <c r="IS318"/>
      <c r="IT318"/>
      <c r="IU318"/>
      <c r="IV318"/>
      <c r="IW318"/>
      <c r="IX318"/>
      <c r="IY318"/>
      <c r="IZ318"/>
      <c r="JA318"/>
      <c r="JB318"/>
      <c r="JC318"/>
      <c r="JD318"/>
      <c r="JE318"/>
      <c r="JF318"/>
      <c r="JG318"/>
      <c r="JH318"/>
      <c r="JI318"/>
      <c r="JJ318"/>
      <c r="JK318"/>
      <c r="JL318"/>
      <c r="JM318"/>
      <c r="JN318"/>
      <c r="JO318"/>
      <c r="JP318"/>
      <c r="JQ318"/>
      <c r="JR318"/>
      <c r="JS318"/>
      <c r="JT318"/>
      <c r="JU318"/>
      <c r="JV318"/>
      <c r="JW318"/>
      <c r="JX318"/>
      <c r="JY318"/>
      <c r="JZ318"/>
      <c r="KA318"/>
      <c r="KB318"/>
      <c r="KC318"/>
      <c r="KD318"/>
      <c r="KE318"/>
      <c r="KF318"/>
      <c r="KG318"/>
      <c r="KH318"/>
      <c r="KI318"/>
      <c r="KJ318"/>
      <c r="KK318"/>
      <c r="KL318"/>
      <c r="KM318"/>
      <c r="KN318"/>
      <c r="KO318"/>
      <c r="KP318"/>
      <c r="KQ318"/>
      <c r="KR318"/>
      <c r="KS318"/>
      <c r="KT318"/>
      <c r="KU318"/>
      <c r="KV318"/>
      <c r="KW318"/>
      <c r="KX318"/>
      <c r="KY318"/>
      <c r="KZ318"/>
      <c r="LA318"/>
      <c r="LB318"/>
      <c r="LC318"/>
      <c r="LD318"/>
      <c r="LE318"/>
      <c r="LF318"/>
      <c r="LG318"/>
      <c r="LH318"/>
      <c r="LI318"/>
      <c r="LJ318"/>
      <c r="LK318"/>
      <c r="LL318"/>
      <c r="LM318"/>
      <c r="LN318"/>
      <c r="LO318"/>
      <c r="LP318"/>
      <c r="LQ318"/>
      <c r="LR318"/>
      <c r="LS318"/>
      <c r="LT318"/>
      <c r="LU318"/>
      <c r="LV318"/>
      <c r="LW318"/>
      <c r="LX318"/>
      <c r="LY318"/>
      <c r="LZ318"/>
      <c r="MA318"/>
      <c r="MB318"/>
      <c r="MC318"/>
      <c r="MD318"/>
      <c r="ME318"/>
      <c r="MF318"/>
      <c r="MG318"/>
      <c r="MH318"/>
      <c r="MI318"/>
      <c r="MJ318"/>
      <c r="MK318"/>
      <c r="ML318"/>
      <c r="MM318"/>
      <c r="MN318"/>
      <c r="MO318"/>
      <c r="MP318"/>
      <c r="MQ318"/>
      <c r="MR318"/>
      <c r="MS318"/>
      <c r="MT318"/>
      <c r="MU318"/>
      <c r="MV318"/>
      <c r="MW318"/>
      <c r="MX318"/>
      <c r="MY318"/>
      <c r="MZ318"/>
      <c r="NA318"/>
      <c r="NB318"/>
      <c r="NC318"/>
      <c r="ND318"/>
      <c r="NE318"/>
      <c r="NF318"/>
      <c r="NG318"/>
      <c r="NH318"/>
      <c r="NI318"/>
      <c r="NJ318"/>
      <c r="NK318"/>
      <c r="NL318"/>
      <c r="NM318"/>
      <c r="NN318"/>
      <c r="NO318"/>
      <c r="NP318"/>
      <c r="NQ318"/>
      <c r="NR318"/>
      <c r="NS318"/>
      <c r="NT318"/>
      <c r="NU318"/>
      <c r="NV318"/>
      <c r="NW318"/>
      <c r="NX318"/>
      <c r="NY318"/>
      <c r="NZ318"/>
      <c r="OA318"/>
      <c r="OB318"/>
      <c r="OC318"/>
      <c r="OD318"/>
      <c r="OE318"/>
      <c r="OF318"/>
      <c r="OG318"/>
      <c r="OH318"/>
      <c r="OI318"/>
      <c r="OJ318"/>
      <c r="OK318"/>
      <c r="OL318"/>
      <c r="OM318"/>
      <c r="ON318"/>
      <c r="OO318"/>
      <c r="OP318"/>
      <c r="OQ318"/>
      <c r="OR318"/>
      <c r="OS318"/>
      <c r="OT318"/>
      <c r="OU318"/>
      <c r="OV318"/>
      <c r="OW318"/>
      <c r="OX318"/>
      <c r="OY318"/>
      <c r="OZ318"/>
      <c r="PA318"/>
      <c r="PB318"/>
      <c r="PC318"/>
      <c r="PD318"/>
      <c r="PE318"/>
      <c r="PF318"/>
      <c r="PG318"/>
      <c r="PH318"/>
      <c r="PI318"/>
      <c r="PJ318"/>
      <c r="PK318"/>
      <c r="PL318"/>
      <c r="PM318"/>
      <c r="PN318"/>
      <c r="PO318"/>
      <c r="PP318"/>
      <c r="PQ318"/>
      <c r="PR318"/>
      <c r="PS318"/>
      <c r="PT318"/>
      <c r="PU318"/>
      <c r="PV318"/>
      <c r="PW318"/>
      <c r="PX318"/>
      <c r="PY318"/>
      <c r="PZ318"/>
      <c r="QA318"/>
      <c r="QB318"/>
      <c r="QC318"/>
      <c r="QD318"/>
      <c r="QE318"/>
      <c r="QF318"/>
      <c r="QG318"/>
      <c r="QH318"/>
      <c r="QI318"/>
      <c r="QJ318"/>
      <c r="QK318"/>
      <c r="QL318"/>
      <c r="QM318"/>
      <c r="QN318"/>
      <c r="QO318"/>
      <c r="QP318"/>
      <c r="QQ318"/>
      <c r="QR318"/>
      <c r="QS318"/>
      <c r="QT318"/>
      <c r="QU318"/>
      <c r="QV318"/>
      <c r="QW318"/>
      <c r="QX318"/>
      <c r="QY318"/>
      <c r="QZ318"/>
      <c r="RA318"/>
      <c r="RB318"/>
      <c r="RC318"/>
      <c r="RD318"/>
      <c r="RE318"/>
      <c r="RF318"/>
      <c r="RG318"/>
      <c r="RH318"/>
      <c r="RI318"/>
      <c r="RJ318"/>
      <c r="RK318"/>
      <c r="RL318"/>
      <c r="RM318"/>
      <c r="RN318"/>
      <c r="RO318"/>
      <c r="RP318"/>
      <c r="RQ318"/>
      <c r="RR318"/>
      <c r="RS318"/>
    </row>
    <row r="319" spans="19:487" x14ac:dyDescent="0.25"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  <c r="AS319"/>
      <c r="AT319"/>
      <c r="AU319"/>
      <c r="AV319"/>
      <c r="AW319"/>
      <c r="AX319"/>
      <c r="AY319"/>
      <c r="AZ319"/>
      <c r="BA319"/>
      <c r="BB319"/>
      <c r="BC319"/>
      <c r="BD319"/>
      <c r="BE319"/>
      <c r="BF319"/>
      <c r="BG319"/>
      <c r="BH319"/>
      <c r="BI319"/>
      <c r="BJ319"/>
      <c r="BK319"/>
      <c r="BL319"/>
      <c r="BM319"/>
      <c r="BN319"/>
      <c r="BO319"/>
      <c r="BP319"/>
      <c r="BQ319"/>
      <c r="BR319"/>
      <c r="BS319"/>
      <c r="BT319"/>
      <c r="BU319"/>
      <c r="BV319"/>
      <c r="BW319"/>
      <c r="BX319"/>
      <c r="BY319"/>
      <c r="BZ319"/>
      <c r="CA319"/>
      <c r="CB319"/>
      <c r="CC319"/>
      <c r="CD319"/>
      <c r="CE319"/>
      <c r="CF319"/>
      <c r="CG319"/>
      <c r="CH319"/>
      <c r="CI319"/>
      <c r="CJ319"/>
      <c r="CK319"/>
      <c r="CL319"/>
      <c r="CM319"/>
      <c r="CN319"/>
      <c r="CO319"/>
      <c r="CP319"/>
      <c r="CQ319"/>
      <c r="CR319"/>
      <c r="CS319"/>
      <c r="CT319"/>
      <c r="CU319"/>
      <c r="CV319"/>
      <c r="CW319"/>
      <c r="CX319"/>
      <c r="CY319"/>
      <c r="CZ319"/>
      <c r="DA319"/>
      <c r="DB319"/>
      <c r="DC319"/>
      <c r="DD319"/>
      <c r="DE319"/>
      <c r="DF319"/>
      <c r="DG319"/>
      <c r="DH319"/>
      <c r="DI319"/>
      <c r="DJ319"/>
      <c r="DK319"/>
      <c r="DL319"/>
      <c r="DM319"/>
      <c r="DN319"/>
      <c r="DO319"/>
      <c r="DP319"/>
      <c r="DQ319"/>
      <c r="DR319"/>
      <c r="DS319"/>
      <c r="DT319"/>
      <c r="DU319"/>
      <c r="DV319"/>
      <c r="DW319"/>
      <c r="DX319"/>
      <c r="DY319"/>
      <c r="DZ319"/>
      <c r="EA319"/>
      <c r="EB319"/>
      <c r="EC319"/>
      <c r="ED319"/>
      <c r="EE319"/>
      <c r="EF319"/>
      <c r="EG319"/>
      <c r="EH319"/>
      <c r="EI319"/>
      <c r="EJ319"/>
      <c r="EK319"/>
      <c r="EL319"/>
      <c r="EM319"/>
      <c r="EN319"/>
      <c r="EO319"/>
      <c r="EP319"/>
      <c r="EQ319"/>
      <c r="ER319"/>
      <c r="ES319"/>
      <c r="ET319"/>
      <c r="EU319"/>
      <c r="EV319"/>
      <c r="EW319"/>
      <c r="EX319"/>
      <c r="EY319"/>
      <c r="EZ319"/>
      <c r="FA319"/>
      <c r="FB319"/>
      <c r="FC319"/>
      <c r="FD319"/>
      <c r="FE319"/>
      <c r="FF319"/>
      <c r="FG319"/>
      <c r="FH319"/>
      <c r="FI319"/>
      <c r="FJ319"/>
      <c r="FK319"/>
      <c r="FL319"/>
      <c r="FM319"/>
      <c r="FN319"/>
      <c r="FO319"/>
      <c r="FP319"/>
      <c r="FQ319"/>
      <c r="FR319"/>
      <c r="FS319"/>
      <c r="FT319"/>
      <c r="FU319"/>
      <c r="FV319"/>
      <c r="FW319"/>
      <c r="FX319"/>
      <c r="FY319"/>
      <c r="FZ319"/>
      <c r="GA319"/>
      <c r="GB319"/>
      <c r="GC319"/>
      <c r="GD319"/>
      <c r="GE319"/>
      <c r="GF319"/>
      <c r="GG319"/>
      <c r="GH319"/>
      <c r="GI319"/>
      <c r="GJ319"/>
      <c r="GK319"/>
      <c r="GL319"/>
      <c r="GM319"/>
      <c r="GN319"/>
      <c r="GO319"/>
      <c r="GP319"/>
      <c r="GQ319"/>
      <c r="GR319"/>
      <c r="GS319"/>
      <c r="GT319"/>
      <c r="GU319"/>
      <c r="GV319"/>
      <c r="GW319"/>
      <c r="GX319"/>
      <c r="GY319"/>
      <c r="GZ319"/>
      <c r="HA319"/>
      <c r="HB319"/>
      <c r="HC319"/>
      <c r="HD319"/>
      <c r="HE319"/>
      <c r="HF319"/>
      <c r="HG319"/>
      <c r="HH319"/>
      <c r="HI319"/>
      <c r="HJ319"/>
      <c r="HK319"/>
      <c r="HL319"/>
      <c r="HM319"/>
      <c r="HN319"/>
      <c r="HO319"/>
      <c r="HP319"/>
      <c r="HQ319"/>
      <c r="HR319"/>
      <c r="HS319"/>
      <c r="HT319"/>
      <c r="HU319"/>
      <c r="HV319"/>
      <c r="HW319"/>
      <c r="HX319"/>
      <c r="HY319"/>
      <c r="HZ319"/>
      <c r="IA319"/>
      <c r="IB319"/>
      <c r="IC319"/>
      <c r="ID319"/>
      <c r="IE319"/>
      <c r="IF319"/>
      <c r="IG319"/>
      <c r="IH319"/>
      <c r="II319"/>
      <c r="IJ319"/>
      <c r="IK319"/>
      <c r="IL319"/>
      <c r="IM319"/>
      <c r="IN319"/>
      <c r="IO319"/>
      <c r="IP319"/>
      <c r="IQ319"/>
      <c r="IR319"/>
      <c r="IS319"/>
      <c r="IT319"/>
      <c r="IU319"/>
      <c r="IV319"/>
      <c r="IW319"/>
      <c r="IX319"/>
      <c r="IY319"/>
      <c r="IZ319"/>
      <c r="JA319"/>
      <c r="JB319"/>
      <c r="JC319"/>
      <c r="JD319"/>
      <c r="JE319"/>
      <c r="JF319"/>
      <c r="JG319"/>
      <c r="JH319"/>
      <c r="JI319"/>
      <c r="JJ319"/>
      <c r="JK319"/>
      <c r="JL319"/>
      <c r="JM319"/>
      <c r="JN319"/>
      <c r="JO319"/>
      <c r="JP319"/>
      <c r="JQ319"/>
      <c r="JR319"/>
      <c r="JS319"/>
      <c r="JT319"/>
      <c r="JU319"/>
      <c r="JV319"/>
      <c r="JW319"/>
      <c r="JX319"/>
      <c r="JY319"/>
      <c r="JZ319"/>
      <c r="KA319"/>
      <c r="KB319"/>
      <c r="KC319"/>
      <c r="KD319"/>
      <c r="KE319"/>
      <c r="KF319"/>
      <c r="KG319"/>
      <c r="KH319"/>
      <c r="KI319"/>
      <c r="KJ319"/>
      <c r="KK319"/>
      <c r="KL319"/>
      <c r="KM319"/>
      <c r="KN319"/>
      <c r="KO319"/>
      <c r="KP319"/>
      <c r="KQ319"/>
      <c r="KR319"/>
      <c r="KS319"/>
      <c r="KT319"/>
      <c r="KU319"/>
      <c r="KV319"/>
      <c r="KW319"/>
      <c r="KX319"/>
      <c r="KY319"/>
      <c r="KZ319"/>
      <c r="LA319"/>
      <c r="LB319"/>
      <c r="LC319"/>
      <c r="LD319"/>
      <c r="LE319"/>
      <c r="LF319"/>
      <c r="LG319"/>
      <c r="LH319"/>
      <c r="LI319"/>
      <c r="LJ319"/>
      <c r="LK319"/>
      <c r="LL319"/>
      <c r="LM319"/>
      <c r="LN319"/>
      <c r="LO319"/>
      <c r="LP319"/>
      <c r="LQ319"/>
      <c r="LR319"/>
      <c r="LS319"/>
      <c r="LT319"/>
      <c r="LU319"/>
      <c r="LV319"/>
      <c r="LW319"/>
      <c r="LX319"/>
      <c r="LY319"/>
      <c r="LZ319"/>
      <c r="MA319"/>
      <c r="MB319"/>
      <c r="MC319"/>
      <c r="MD319"/>
      <c r="ME319"/>
      <c r="MF319"/>
      <c r="MG319"/>
      <c r="MH319"/>
      <c r="MI319"/>
      <c r="MJ319"/>
      <c r="MK319"/>
      <c r="ML319"/>
      <c r="MM319"/>
      <c r="MN319"/>
      <c r="MO319"/>
      <c r="MP319"/>
      <c r="MQ319"/>
      <c r="MR319"/>
      <c r="MS319"/>
      <c r="MT319"/>
      <c r="MU319"/>
      <c r="MV319"/>
      <c r="MW319"/>
      <c r="MX319"/>
      <c r="MY319"/>
      <c r="MZ319"/>
      <c r="NA319"/>
      <c r="NB319"/>
      <c r="NC319"/>
      <c r="ND319"/>
      <c r="NE319"/>
      <c r="NF319"/>
      <c r="NG319"/>
      <c r="NH319"/>
      <c r="NI319"/>
      <c r="NJ319"/>
      <c r="NK319"/>
      <c r="NL319"/>
      <c r="NM319"/>
      <c r="NN319"/>
      <c r="NO319"/>
      <c r="NP319"/>
      <c r="NQ319"/>
      <c r="NR319"/>
      <c r="NS319"/>
      <c r="NT319"/>
      <c r="NU319"/>
      <c r="NV319"/>
      <c r="NW319"/>
      <c r="NX319"/>
      <c r="NY319"/>
      <c r="NZ319"/>
      <c r="OA319"/>
      <c r="OB319"/>
      <c r="OC319"/>
      <c r="OD319"/>
      <c r="OE319"/>
      <c r="OF319"/>
      <c r="OG319"/>
      <c r="OH319"/>
      <c r="OI319"/>
      <c r="OJ319"/>
      <c r="OK319"/>
      <c r="OL319"/>
      <c r="OM319"/>
      <c r="ON319"/>
      <c r="OO319"/>
      <c r="OP319"/>
      <c r="OQ319"/>
      <c r="OR319"/>
      <c r="OS319"/>
      <c r="OT319"/>
      <c r="OU319"/>
      <c r="OV319"/>
      <c r="OW319"/>
      <c r="OX319"/>
      <c r="OY319"/>
      <c r="OZ319"/>
      <c r="PA319"/>
      <c r="PB319"/>
      <c r="PC319"/>
      <c r="PD319"/>
      <c r="PE319"/>
      <c r="PF319"/>
      <c r="PG319"/>
      <c r="PH319"/>
      <c r="PI319"/>
      <c r="PJ319"/>
      <c r="PK319"/>
      <c r="PL319"/>
      <c r="PM319"/>
      <c r="PN319"/>
      <c r="PO319"/>
      <c r="PP319"/>
      <c r="PQ319"/>
      <c r="PR319"/>
      <c r="PS319"/>
      <c r="PT319"/>
      <c r="PU319"/>
      <c r="PV319"/>
      <c r="PW319"/>
      <c r="PX319"/>
      <c r="PY319"/>
      <c r="PZ319"/>
      <c r="QA319"/>
      <c r="QB319"/>
      <c r="QC319"/>
      <c r="QD319"/>
      <c r="QE319"/>
      <c r="QF319"/>
      <c r="QG319"/>
      <c r="QH319"/>
      <c r="QI319"/>
      <c r="QJ319"/>
      <c r="QK319"/>
      <c r="QL319"/>
      <c r="QM319"/>
      <c r="QN319"/>
      <c r="QO319"/>
      <c r="QP319"/>
      <c r="QQ319"/>
      <c r="QR319"/>
      <c r="QS319"/>
      <c r="QT319"/>
      <c r="QU319"/>
      <c r="QV319"/>
      <c r="QW319"/>
      <c r="QX319"/>
      <c r="QY319"/>
      <c r="QZ319"/>
      <c r="RA319"/>
      <c r="RB319"/>
      <c r="RC319"/>
      <c r="RD319"/>
      <c r="RE319"/>
      <c r="RF319"/>
      <c r="RG319"/>
      <c r="RH319"/>
      <c r="RI319"/>
      <c r="RJ319"/>
      <c r="RK319"/>
      <c r="RL319"/>
      <c r="RM319"/>
      <c r="RN319"/>
      <c r="RO319"/>
      <c r="RP319"/>
      <c r="RQ319"/>
      <c r="RR319"/>
      <c r="RS319"/>
    </row>
    <row r="320" spans="19:487" x14ac:dyDescent="0.25"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/>
      <c r="AT320"/>
      <c r="AU320"/>
      <c r="AV320"/>
      <c r="AW320"/>
      <c r="AX320"/>
      <c r="AY320"/>
      <c r="AZ320"/>
      <c r="BA320"/>
      <c r="BB320"/>
      <c r="BC320"/>
      <c r="BD320"/>
      <c r="BE320"/>
      <c r="BF320"/>
      <c r="BG320"/>
      <c r="BH320"/>
      <c r="BI320"/>
      <c r="BJ320"/>
      <c r="BK320"/>
      <c r="BL320"/>
      <c r="BM320"/>
      <c r="BN320"/>
      <c r="BO320"/>
      <c r="BP320"/>
      <c r="BQ320"/>
      <c r="BR320"/>
      <c r="BS320"/>
      <c r="BT320"/>
      <c r="BU320"/>
      <c r="BV320"/>
      <c r="BW320"/>
      <c r="BX320"/>
      <c r="BY320"/>
      <c r="BZ320"/>
      <c r="CA320"/>
      <c r="CB320"/>
      <c r="CC320"/>
      <c r="CD320"/>
      <c r="CE320"/>
      <c r="CF320"/>
      <c r="CG320"/>
      <c r="CH320"/>
      <c r="CI320"/>
      <c r="CJ320"/>
      <c r="CK320"/>
      <c r="CL320"/>
      <c r="CM320"/>
      <c r="CN320"/>
      <c r="CO320"/>
      <c r="CP320"/>
      <c r="CQ320"/>
      <c r="CR320"/>
      <c r="CS320"/>
      <c r="CT320"/>
      <c r="CU320"/>
      <c r="CV320"/>
      <c r="CW320"/>
      <c r="CX320"/>
      <c r="CY320"/>
      <c r="CZ320"/>
      <c r="DA320"/>
      <c r="DB320"/>
      <c r="DC320"/>
      <c r="DD320"/>
      <c r="DE320"/>
      <c r="DF320"/>
      <c r="DG320"/>
      <c r="DH320"/>
      <c r="DI320"/>
      <c r="DJ320"/>
      <c r="DK320"/>
      <c r="DL320"/>
      <c r="DM320"/>
      <c r="DN320"/>
      <c r="DO320"/>
      <c r="DP320"/>
      <c r="DQ320"/>
      <c r="DR320"/>
      <c r="DS320"/>
      <c r="DT320"/>
      <c r="DU320"/>
      <c r="DV320"/>
      <c r="DW320"/>
      <c r="DX320"/>
      <c r="DY320"/>
      <c r="DZ320"/>
      <c r="EA320"/>
      <c r="EB320"/>
      <c r="EC320"/>
      <c r="ED320"/>
      <c r="EE320"/>
      <c r="EF320"/>
      <c r="EG320"/>
      <c r="EH320"/>
      <c r="EI320"/>
      <c r="EJ320"/>
      <c r="EK320"/>
      <c r="EL320"/>
      <c r="EM320"/>
      <c r="EN320"/>
      <c r="EO320"/>
      <c r="EP320"/>
      <c r="EQ320"/>
      <c r="ER320"/>
      <c r="ES320"/>
      <c r="ET320"/>
      <c r="EU320"/>
      <c r="EV320"/>
      <c r="EW320"/>
      <c r="EX320"/>
      <c r="EY320"/>
      <c r="EZ320"/>
      <c r="FA320"/>
      <c r="FB320"/>
      <c r="FC320"/>
      <c r="FD320"/>
      <c r="FE320"/>
      <c r="FF320"/>
      <c r="FG320"/>
      <c r="FH320"/>
      <c r="FI320"/>
      <c r="FJ320"/>
      <c r="FK320"/>
      <c r="FL320"/>
      <c r="FM320"/>
      <c r="FN320"/>
      <c r="FO320"/>
      <c r="FP320"/>
      <c r="FQ320"/>
      <c r="FR320"/>
      <c r="FS320"/>
      <c r="FT320"/>
      <c r="FU320"/>
      <c r="FV320"/>
      <c r="FW320"/>
      <c r="FX320"/>
      <c r="FY320"/>
      <c r="FZ320"/>
      <c r="GA320"/>
      <c r="GB320"/>
      <c r="GC320"/>
      <c r="GD320"/>
      <c r="GE320"/>
      <c r="GF320"/>
      <c r="GG320"/>
      <c r="GH320"/>
      <c r="GI320"/>
      <c r="GJ320"/>
      <c r="GK320"/>
      <c r="GL320"/>
      <c r="GM320"/>
      <c r="GN320"/>
      <c r="GO320"/>
      <c r="GP320"/>
      <c r="GQ320"/>
      <c r="GR320"/>
      <c r="GS320"/>
      <c r="GT320"/>
      <c r="GU320"/>
      <c r="GV320"/>
      <c r="GW320"/>
      <c r="GX320"/>
      <c r="GY320"/>
      <c r="GZ320"/>
      <c r="HA320"/>
      <c r="HB320"/>
      <c r="HC320"/>
      <c r="HD320"/>
      <c r="HE320"/>
      <c r="HF320"/>
      <c r="HG320"/>
      <c r="HH320"/>
      <c r="HI320"/>
      <c r="HJ320"/>
      <c r="HK320"/>
      <c r="HL320"/>
      <c r="HM320"/>
      <c r="HN320"/>
      <c r="HO320"/>
      <c r="HP320"/>
      <c r="HQ320"/>
      <c r="HR320"/>
      <c r="HS320"/>
      <c r="HT320"/>
      <c r="HU320"/>
      <c r="HV320"/>
      <c r="HW320"/>
      <c r="HX320"/>
      <c r="HY320"/>
      <c r="HZ320"/>
      <c r="IA320"/>
      <c r="IB320"/>
      <c r="IC320"/>
      <c r="ID320"/>
      <c r="IE320"/>
      <c r="IF320"/>
      <c r="IG320"/>
      <c r="IH320"/>
      <c r="II320"/>
      <c r="IJ320"/>
      <c r="IK320"/>
      <c r="IL320"/>
      <c r="IM320"/>
      <c r="IN320"/>
      <c r="IO320"/>
      <c r="IP320"/>
      <c r="IQ320"/>
      <c r="IR320"/>
      <c r="IS320"/>
      <c r="IT320"/>
      <c r="IU320"/>
      <c r="IV320"/>
      <c r="IW320"/>
      <c r="IX320"/>
      <c r="IY320"/>
      <c r="IZ320"/>
      <c r="JA320"/>
      <c r="JB320"/>
      <c r="JC320"/>
      <c r="JD320"/>
      <c r="JE320"/>
      <c r="JF320"/>
      <c r="JG320"/>
      <c r="JH320"/>
      <c r="JI320"/>
      <c r="JJ320"/>
      <c r="JK320"/>
      <c r="JL320"/>
      <c r="JM320"/>
      <c r="JN320"/>
      <c r="JO320"/>
      <c r="JP320"/>
      <c r="JQ320"/>
      <c r="JR320"/>
      <c r="JS320"/>
      <c r="JT320"/>
      <c r="JU320"/>
      <c r="JV320"/>
      <c r="JW320"/>
      <c r="JX320"/>
      <c r="JY320"/>
      <c r="JZ320"/>
      <c r="KA320"/>
      <c r="KB320"/>
      <c r="KC320"/>
      <c r="KD320"/>
      <c r="KE320"/>
      <c r="KF320"/>
      <c r="KG320"/>
      <c r="KH320"/>
      <c r="KI320"/>
      <c r="KJ320"/>
      <c r="KK320"/>
      <c r="KL320"/>
      <c r="KM320"/>
      <c r="KN320"/>
      <c r="KO320"/>
      <c r="KP320"/>
      <c r="KQ320"/>
      <c r="KR320"/>
      <c r="KS320"/>
      <c r="KT320"/>
      <c r="KU320"/>
      <c r="KV320"/>
      <c r="KW320"/>
      <c r="KX320"/>
      <c r="KY320"/>
      <c r="KZ320"/>
      <c r="LA320"/>
      <c r="LB320"/>
      <c r="LC320"/>
      <c r="LD320"/>
      <c r="LE320"/>
      <c r="LF320"/>
      <c r="LG320"/>
      <c r="LH320"/>
      <c r="LI320"/>
      <c r="LJ320"/>
      <c r="LK320"/>
      <c r="LL320"/>
      <c r="LM320"/>
      <c r="LN320"/>
      <c r="LO320"/>
      <c r="LP320"/>
      <c r="LQ320"/>
      <c r="LR320"/>
      <c r="LS320"/>
      <c r="LT320"/>
      <c r="LU320"/>
      <c r="LV320"/>
      <c r="LW320"/>
      <c r="LX320"/>
      <c r="LY320"/>
      <c r="LZ320"/>
      <c r="MA320"/>
      <c r="MB320"/>
      <c r="MC320"/>
      <c r="MD320"/>
      <c r="ME320"/>
      <c r="MF320"/>
      <c r="MG320"/>
      <c r="MH320"/>
      <c r="MI320"/>
      <c r="MJ320"/>
      <c r="MK320"/>
      <c r="ML320"/>
      <c r="MM320"/>
      <c r="MN320"/>
      <c r="MO320"/>
      <c r="MP320"/>
      <c r="MQ320"/>
      <c r="MR320"/>
      <c r="MS320"/>
      <c r="MT320"/>
      <c r="MU320"/>
      <c r="MV320"/>
      <c r="MW320"/>
      <c r="MX320"/>
      <c r="MY320"/>
      <c r="MZ320"/>
      <c r="NA320"/>
      <c r="NB320"/>
      <c r="NC320"/>
      <c r="ND320"/>
      <c r="NE320"/>
      <c r="NF320"/>
      <c r="NG320"/>
      <c r="NH320"/>
      <c r="NI320"/>
      <c r="NJ320"/>
      <c r="NK320"/>
      <c r="NL320"/>
      <c r="NM320"/>
      <c r="NN320"/>
      <c r="NO320"/>
      <c r="NP320"/>
      <c r="NQ320"/>
      <c r="NR320"/>
      <c r="NS320"/>
      <c r="NT320"/>
      <c r="NU320"/>
      <c r="NV320"/>
      <c r="NW320"/>
      <c r="NX320"/>
      <c r="NY320"/>
      <c r="NZ320"/>
      <c r="OA320"/>
      <c r="OB320"/>
      <c r="OC320"/>
      <c r="OD320"/>
      <c r="OE320"/>
      <c r="OF320"/>
      <c r="OG320"/>
      <c r="OH320"/>
      <c r="OI320"/>
      <c r="OJ320"/>
      <c r="OK320"/>
      <c r="OL320"/>
      <c r="OM320"/>
      <c r="ON320"/>
      <c r="OO320"/>
      <c r="OP320"/>
      <c r="OQ320"/>
      <c r="OR320"/>
      <c r="OS320"/>
      <c r="OT320"/>
      <c r="OU320"/>
      <c r="OV320"/>
      <c r="OW320"/>
      <c r="OX320"/>
      <c r="OY320"/>
      <c r="OZ320"/>
      <c r="PA320"/>
      <c r="PB320"/>
      <c r="PC320"/>
      <c r="PD320"/>
      <c r="PE320"/>
      <c r="PF320"/>
      <c r="PG320"/>
      <c r="PH320"/>
      <c r="PI320"/>
      <c r="PJ320"/>
      <c r="PK320"/>
      <c r="PL320"/>
      <c r="PM320"/>
      <c r="PN320"/>
      <c r="PO320"/>
      <c r="PP320"/>
      <c r="PQ320"/>
      <c r="PR320"/>
      <c r="PS320"/>
      <c r="PT320"/>
      <c r="PU320"/>
      <c r="PV320"/>
      <c r="PW320"/>
      <c r="PX320"/>
      <c r="PY320"/>
      <c r="PZ320"/>
      <c r="QA320"/>
      <c r="QB320"/>
      <c r="QC320"/>
      <c r="QD320"/>
      <c r="QE320"/>
      <c r="QF320"/>
      <c r="QG320"/>
      <c r="QH320"/>
      <c r="QI320"/>
      <c r="QJ320"/>
      <c r="QK320"/>
      <c r="QL320"/>
      <c r="QM320"/>
      <c r="QN320"/>
      <c r="QO320"/>
      <c r="QP320"/>
      <c r="QQ320"/>
      <c r="QR320"/>
      <c r="QS320"/>
      <c r="QT320"/>
      <c r="QU320"/>
      <c r="QV320"/>
      <c r="QW320"/>
      <c r="QX320"/>
      <c r="QY320"/>
      <c r="QZ320"/>
      <c r="RA320"/>
      <c r="RB320"/>
      <c r="RC320"/>
      <c r="RD320"/>
      <c r="RE320"/>
      <c r="RF320"/>
      <c r="RG320"/>
      <c r="RH320"/>
      <c r="RI320"/>
      <c r="RJ320"/>
      <c r="RK320"/>
      <c r="RL320"/>
      <c r="RM320"/>
      <c r="RN320"/>
      <c r="RO320"/>
      <c r="RP320"/>
      <c r="RQ320"/>
      <c r="RR320"/>
      <c r="RS320"/>
    </row>
    <row r="321" spans="19:487" x14ac:dyDescent="0.25"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  <c r="AS321"/>
      <c r="AT321"/>
      <c r="AU321"/>
      <c r="AV321"/>
      <c r="AW321"/>
      <c r="AX321"/>
      <c r="AY321"/>
      <c r="AZ321"/>
      <c r="BA321"/>
      <c r="BB321"/>
      <c r="BC321"/>
      <c r="BD321"/>
      <c r="BE321"/>
      <c r="BF321"/>
      <c r="BG321"/>
      <c r="BH321"/>
      <c r="BI321"/>
      <c r="BJ321"/>
      <c r="BK321"/>
      <c r="BL321"/>
      <c r="BM321"/>
      <c r="BN321"/>
      <c r="BO321"/>
      <c r="BP321"/>
      <c r="BQ321"/>
      <c r="BR321"/>
      <c r="BS321"/>
      <c r="BT321"/>
      <c r="BU321"/>
      <c r="BV321"/>
      <c r="BW321"/>
      <c r="BX321"/>
      <c r="BY321"/>
      <c r="BZ321"/>
      <c r="CA321"/>
      <c r="CB321"/>
      <c r="CC321"/>
      <c r="CD321"/>
      <c r="CE321"/>
      <c r="CF321"/>
      <c r="CG321"/>
      <c r="CH321"/>
      <c r="CI321"/>
      <c r="CJ321"/>
      <c r="CK321"/>
      <c r="CL321"/>
      <c r="CM321"/>
      <c r="CN321"/>
      <c r="CO321"/>
      <c r="CP321"/>
      <c r="CQ321"/>
      <c r="CR321"/>
      <c r="CS321"/>
      <c r="CT321"/>
      <c r="CU321"/>
      <c r="CV321"/>
      <c r="CW321"/>
      <c r="CX321"/>
      <c r="CY321"/>
      <c r="CZ321"/>
      <c r="DA321"/>
      <c r="DB321"/>
      <c r="DC321"/>
      <c r="DD321"/>
      <c r="DE321"/>
      <c r="DF321"/>
      <c r="DG321"/>
      <c r="DH321"/>
      <c r="DI321"/>
      <c r="DJ321"/>
      <c r="DK321"/>
      <c r="DL321"/>
      <c r="DM321"/>
      <c r="DN321"/>
      <c r="DO321"/>
      <c r="DP321"/>
      <c r="DQ321"/>
      <c r="DR321"/>
      <c r="DS321"/>
      <c r="DT321"/>
      <c r="DU321"/>
      <c r="DV321"/>
      <c r="DW321"/>
      <c r="DX321"/>
      <c r="DY321"/>
      <c r="DZ321"/>
      <c r="EA321"/>
      <c r="EB321"/>
      <c r="EC321"/>
      <c r="ED321"/>
      <c r="EE321"/>
      <c r="EF321"/>
      <c r="EG321"/>
      <c r="EH321"/>
      <c r="EI321"/>
      <c r="EJ321"/>
      <c r="EK321"/>
      <c r="EL321"/>
      <c r="EM321"/>
      <c r="EN321"/>
      <c r="EO321"/>
      <c r="EP321"/>
      <c r="EQ321"/>
      <c r="ER321"/>
      <c r="ES321"/>
      <c r="ET321"/>
      <c r="EU321"/>
      <c r="EV321"/>
      <c r="EW321"/>
      <c r="EX321"/>
      <c r="EY321"/>
      <c r="EZ321"/>
      <c r="FA321"/>
      <c r="FB321"/>
      <c r="FC321"/>
      <c r="FD321"/>
      <c r="FE321"/>
      <c r="FF321"/>
      <c r="FG321"/>
      <c r="FH321"/>
      <c r="FI321"/>
      <c r="FJ321"/>
      <c r="FK321"/>
      <c r="FL321"/>
      <c r="FM321"/>
      <c r="FN321"/>
      <c r="FO321"/>
      <c r="FP321"/>
      <c r="FQ321"/>
      <c r="FR321"/>
      <c r="FS321"/>
      <c r="FT321"/>
      <c r="FU321"/>
      <c r="FV321"/>
      <c r="FW321"/>
      <c r="FX321"/>
      <c r="FY321"/>
      <c r="FZ321"/>
      <c r="GA321"/>
      <c r="GB321"/>
      <c r="GC321"/>
      <c r="GD321"/>
      <c r="GE321"/>
      <c r="GF321"/>
      <c r="GG321"/>
      <c r="GH321"/>
      <c r="GI321"/>
      <c r="GJ321"/>
      <c r="GK321"/>
      <c r="GL321"/>
      <c r="GM321"/>
      <c r="GN321"/>
      <c r="GO321"/>
      <c r="GP321"/>
      <c r="GQ321"/>
      <c r="GR321"/>
      <c r="GS321"/>
      <c r="GT321"/>
      <c r="GU321"/>
      <c r="GV321"/>
      <c r="GW321"/>
      <c r="GX321"/>
      <c r="GY321"/>
      <c r="GZ321"/>
      <c r="HA321"/>
      <c r="HB321"/>
      <c r="HC321"/>
      <c r="HD321"/>
      <c r="HE321"/>
      <c r="HF321"/>
      <c r="HG321"/>
      <c r="HH321"/>
      <c r="HI321"/>
      <c r="HJ321"/>
      <c r="HK321"/>
      <c r="HL321"/>
      <c r="HM321"/>
      <c r="HN321"/>
      <c r="HO321"/>
      <c r="HP321"/>
      <c r="HQ321"/>
      <c r="HR321"/>
      <c r="HS321"/>
      <c r="HT321"/>
      <c r="HU321"/>
      <c r="HV321"/>
      <c r="HW321"/>
      <c r="HX321"/>
      <c r="HY321"/>
      <c r="HZ321"/>
      <c r="IA321"/>
      <c r="IB321"/>
      <c r="IC321"/>
      <c r="ID321"/>
      <c r="IE321"/>
      <c r="IF321"/>
      <c r="IG321"/>
      <c r="IH321"/>
      <c r="II321"/>
      <c r="IJ321"/>
      <c r="IK321"/>
      <c r="IL321"/>
      <c r="IM321"/>
      <c r="IN321"/>
      <c r="IO321"/>
      <c r="IP321"/>
      <c r="IQ321"/>
      <c r="IR321"/>
      <c r="IS321"/>
      <c r="IT321"/>
      <c r="IU321"/>
      <c r="IV321"/>
      <c r="IW321"/>
      <c r="IX321"/>
      <c r="IY321"/>
      <c r="IZ321"/>
      <c r="JA321"/>
      <c r="JB321"/>
      <c r="JC321"/>
      <c r="JD321"/>
      <c r="JE321"/>
      <c r="JF321"/>
      <c r="JG321"/>
      <c r="JH321"/>
      <c r="JI321"/>
      <c r="JJ321"/>
      <c r="JK321"/>
      <c r="JL321"/>
      <c r="JM321"/>
      <c r="JN321"/>
      <c r="JO321"/>
      <c r="JP321"/>
      <c r="JQ321"/>
      <c r="JR321"/>
      <c r="JS321"/>
      <c r="JT321"/>
      <c r="JU321"/>
      <c r="JV321"/>
      <c r="JW321"/>
      <c r="JX321"/>
      <c r="JY321"/>
      <c r="JZ321"/>
      <c r="KA321"/>
      <c r="KB321"/>
      <c r="KC321"/>
      <c r="KD321"/>
      <c r="KE321"/>
      <c r="KF321"/>
      <c r="KG321"/>
      <c r="KH321"/>
      <c r="KI321"/>
      <c r="KJ321"/>
      <c r="KK321"/>
      <c r="KL321"/>
      <c r="KM321"/>
      <c r="KN321"/>
      <c r="KO321"/>
      <c r="KP321"/>
      <c r="KQ321"/>
      <c r="KR321"/>
      <c r="KS321"/>
      <c r="KT321"/>
      <c r="KU321"/>
      <c r="KV321"/>
      <c r="KW321"/>
      <c r="KX321"/>
      <c r="KY321"/>
      <c r="KZ321"/>
      <c r="LA321"/>
      <c r="LB321"/>
      <c r="LC321"/>
      <c r="LD321"/>
      <c r="LE321"/>
      <c r="LF321"/>
      <c r="LG321"/>
      <c r="LH321"/>
      <c r="LI321"/>
      <c r="LJ321"/>
      <c r="LK321"/>
      <c r="LL321"/>
      <c r="LM321"/>
      <c r="LN321"/>
      <c r="LO321"/>
      <c r="LP321"/>
      <c r="LQ321"/>
      <c r="LR321"/>
      <c r="LS321"/>
      <c r="LT321"/>
      <c r="LU321"/>
      <c r="LV321"/>
      <c r="LW321"/>
      <c r="LX321"/>
      <c r="LY321"/>
      <c r="LZ321"/>
      <c r="MA321"/>
      <c r="MB321"/>
      <c r="MC321"/>
      <c r="MD321"/>
      <c r="ME321"/>
      <c r="MF321"/>
      <c r="MG321"/>
      <c r="MH321"/>
      <c r="MI321"/>
      <c r="MJ321"/>
      <c r="MK321"/>
      <c r="ML321"/>
      <c r="MM321"/>
      <c r="MN321"/>
      <c r="MO321"/>
      <c r="MP321"/>
      <c r="MQ321"/>
      <c r="MR321"/>
      <c r="MS321"/>
      <c r="MT321"/>
      <c r="MU321"/>
      <c r="MV321"/>
      <c r="MW321"/>
      <c r="MX321"/>
      <c r="MY321"/>
      <c r="MZ321"/>
      <c r="NA321"/>
      <c r="NB321"/>
      <c r="NC321"/>
      <c r="ND321"/>
      <c r="NE321"/>
      <c r="NF321"/>
      <c r="NG321"/>
      <c r="NH321"/>
      <c r="NI321"/>
      <c r="NJ321"/>
      <c r="NK321"/>
      <c r="NL321"/>
      <c r="NM321"/>
      <c r="NN321"/>
      <c r="NO321"/>
      <c r="NP321"/>
      <c r="NQ321"/>
      <c r="NR321"/>
      <c r="NS321"/>
      <c r="NT321"/>
      <c r="NU321"/>
      <c r="NV321"/>
      <c r="NW321"/>
      <c r="NX321"/>
      <c r="NY321"/>
      <c r="NZ321"/>
      <c r="OA321"/>
      <c r="OB321"/>
      <c r="OC321"/>
      <c r="OD321"/>
      <c r="OE321"/>
      <c r="OF321"/>
      <c r="OG321"/>
      <c r="OH321"/>
      <c r="OI321"/>
      <c r="OJ321"/>
      <c r="OK321"/>
      <c r="OL321"/>
      <c r="OM321"/>
      <c r="ON321"/>
      <c r="OO321"/>
      <c r="OP321"/>
      <c r="OQ321"/>
      <c r="OR321"/>
      <c r="OS321"/>
      <c r="OT321"/>
      <c r="OU321"/>
      <c r="OV321"/>
      <c r="OW321"/>
      <c r="OX321"/>
      <c r="OY321"/>
      <c r="OZ321"/>
      <c r="PA321"/>
      <c r="PB321"/>
      <c r="PC321"/>
      <c r="PD321"/>
      <c r="PE321"/>
      <c r="PF321"/>
      <c r="PG321"/>
      <c r="PH321"/>
      <c r="PI321"/>
      <c r="PJ321"/>
      <c r="PK321"/>
      <c r="PL321"/>
      <c r="PM321"/>
      <c r="PN321"/>
      <c r="PO321"/>
      <c r="PP321"/>
      <c r="PQ321"/>
      <c r="PR321"/>
      <c r="PS321"/>
      <c r="PT321"/>
      <c r="PU321"/>
      <c r="PV321"/>
      <c r="PW321"/>
      <c r="PX321"/>
      <c r="PY321"/>
      <c r="PZ321"/>
      <c r="QA321"/>
      <c r="QB321"/>
      <c r="QC321"/>
      <c r="QD321"/>
      <c r="QE321"/>
      <c r="QF321"/>
      <c r="QG321"/>
      <c r="QH321"/>
      <c r="QI321"/>
      <c r="QJ321"/>
      <c r="QK321"/>
      <c r="QL321"/>
      <c r="QM321"/>
      <c r="QN321"/>
      <c r="QO321"/>
      <c r="QP321"/>
      <c r="QQ321"/>
      <c r="QR321"/>
      <c r="QS321"/>
      <c r="QT321"/>
      <c r="QU321"/>
      <c r="QV321"/>
      <c r="QW321"/>
      <c r="QX321"/>
      <c r="QY321"/>
      <c r="QZ321"/>
      <c r="RA321"/>
      <c r="RB321"/>
      <c r="RC321"/>
      <c r="RD321"/>
      <c r="RE321"/>
      <c r="RF321"/>
      <c r="RG321"/>
      <c r="RH321"/>
      <c r="RI321"/>
      <c r="RJ321"/>
      <c r="RK321"/>
      <c r="RL321"/>
      <c r="RM321"/>
      <c r="RN321"/>
      <c r="RO321"/>
      <c r="RP321"/>
      <c r="RQ321"/>
      <c r="RR321"/>
      <c r="RS321"/>
    </row>
    <row r="322" spans="19:487" x14ac:dyDescent="0.25"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  <c r="AS322"/>
      <c r="AT322"/>
      <c r="AU322"/>
      <c r="AV322"/>
      <c r="AW322"/>
      <c r="AX322"/>
      <c r="AY322"/>
      <c r="AZ322"/>
      <c r="BA322"/>
      <c r="BB322"/>
      <c r="BC322"/>
      <c r="BD322"/>
      <c r="BE322"/>
      <c r="BF322"/>
      <c r="BG322"/>
      <c r="BH322"/>
      <c r="BI322"/>
      <c r="BJ322"/>
      <c r="BK322"/>
      <c r="BL322"/>
      <c r="BM322"/>
      <c r="BN322"/>
      <c r="BO322"/>
      <c r="BP322"/>
      <c r="BQ322"/>
      <c r="BR322"/>
      <c r="BS322"/>
      <c r="BT322"/>
      <c r="BU322"/>
      <c r="BV322"/>
      <c r="BW322"/>
      <c r="BX322"/>
      <c r="BY322"/>
      <c r="BZ322"/>
      <c r="CA322"/>
      <c r="CB322"/>
      <c r="CC322"/>
      <c r="CD322"/>
      <c r="CE322"/>
      <c r="CF322"/>
      <c r="CG322"/>
      <c r="CH322"/>
      <c r="CI322"/>
      <c r="CJ322"/>
      <c r="CK322"/>
      <c r="CL322"/>
      <c r="CM322"/>
      <c r="CN322"/>
      <c r="CO322"/>
      <c r="CP322"/>
      <c r="CQ322"/>
      <c r="CR322"/>
      <c r="CS322"/>
      <c r="CT322"/>
      <c r="CU322"/>
      <c r="CV322"/>
      <c r="CW322"/>
      <c r="CX322"/>
      <c r="CY322"/>
      <c r="CZ322"/>
      <c r="DA322"/>
      <c r="DB322"/>
      <c r="DC322"/>
      <c r="DD322"/>
      <c r="DE322"/>
      <c r="DF322"/>
      <c r="DG322"/>
      <c r="DH322"/>
      <c r="DI322"/>
      <c r="DJ322"/>
      <c r="DK322"/>
      <c r="DL322"/>
      <c r="DM322"/>
      <c r="DN322"/>
      <c r="DO322"/>
      <c r="DP322"/>
      <c r="DQ322"/>
      <c r="DR322"/>
      <c r="DS322"/>
      <c r="DT322"/>
      <c r="DU322"/>
      <c r="DV322"/>
      <c r="DW322"/>
      <c r="DX322"/>
      <c r="DY322"/>
      <c r="DZ322"/>
      <c r="EA322"/>
      <c r="EB322"/>
      <c r="EC322"/>
      <c r="ED322"/>
      <c r="EE322"/>
      <c r="EF322"/>
      <c r="EG322"/>
      <c r="EH322"/>
      <c r="EI322"/>
      <c r="EJ322"/>
      <c r="EK322"/>
      <c r="EL322"/>
      <c r="EM322"/>
      <c r="EN322"/>
      <c r="EO322"/>
      <c r="EP322"/>
      <c r="EQ322"/>
      <c r="ER322"/>
      <c r="ES322"/>
      <c r="ET322"/>
      <c r="EU322"/>
      <c r="EV322"/>
      <c r="EW322"/>
      <c r="EX322"/>
      <c r="EY322"/>
      <c r="EZ322"/>
      <c r="FA322"/>
      <c r="FB322"/>
      <c r="FC322"/>
      <c r="FD322"/>
      <c r="FE322"/>
      <c r="FF322"/>
      <c r="FG322"/>
      <c r="FH322"/>
      <c r="FI322"/>
      <c r="FJ322"/>
      <c r="FK322"/>
      <c r="FL322"/>
      <c r="FM322"/>
      <c r="FN322"/>
      <c r="FO322"/>
      <c r="FP322"/>
      <c r="FQ322"/>
      <c r="FR322"/>
      <c r="FS322"/>
      <c r="FT322"/>
      <c r="FU322"/>
      <c r="FV322"/>
      <c r="FW322"/>
      <c r="FX322"/>
      <c r="FY322"/>
      <c r="FZ322"/>
      <c r="GA322"/>
      <c r="GB322"/>
      <c r="GC322"/>
      <c r="GD322"/>
      <c r="GE322"/>
      <c r="GF322"/>
      <c r="GG322"/>
      <c r="GH322"/>
      <c r="GI322"/>
      <c r="GJ322"/>
      <c r="GK322"/>
      <c r="GL322"/>
      <c r="GM322"/>
      <c r="GN322"/>
      <c r="GO322"/>
      <c r="GP322"/>
      <c r="GQ322"/>
      <c r="GR322"/>
      <c r="GS322"/>
      <c r="GT322"/>
      <c r="GU322"/>
      <c r="GV322"/>
      <c r="GW322"/>
      <c r="GX322"/>
      <c r="GY322"/>
      <c r="GZ322"/>
      <c r="HA322"/>
      <c r="HB322"/>
      <c r="HC322"/>
      <c r="HD322"/>
      <c r="HE322"/>
      <c r="HF322"/>
      <c r="HG322"/>
      <c r="HH322"/>
      <c r="HI322"/>
      <c r="HJ322"/>
      <c r="HK322"/>
      <c r="HL322"/>
      <c r="HM322"/>
      <c r="HN322"/>
      <c r="HO322"/>
      <c r="HP322"/>
      <c r="HQ322"/>
      <c r="HR322"/>
      <c r="HS322"/>
      <c r="HT322"/>
      <c r="HU322"/>
      <c r="HV322"/>
      <c r="HW322"/>
      <c r="HX322"/>
      <c r="HY322"/>
      <c r="HZ322"/>
      <c r="IA322"/>
      <c r="IB322"/>
      <c r="IC322"/>
      <c r="ID322"/>
      <c r="IE322"/>
      <c r="IF322"/>
      <c r="IG322"/>
      <c r="IH322"/>
      <c r="II322"/>
      <c r="IJ322"/>
      <c r="IK322"/>
      <c r="IL322"/>
      <c r="IM322"/>
      <c r="IN322"/>
      <c r="IO322"/>
      <c r="IP322"/>
      <c r="IQ322"/>
      <c r="IR322"/>
      <c r="IS322"/>
      <c r="IT322"/>
      <c r="IU322"/>
      <c r="IV322"/>
      <c r="IW322"/>
      <c r="IX322"/>
      <c r="IY322"/>
      <c r="IZ322"/>
      <c r="JA322"/>
      <c r="JB322"/>
      <c r="JC322"/>
      <c r="JD322"/>
      <c r="JE322"/>
      <c r="JF322"/>
      <c r="JG322"/>
      <c r="JH322"/>
      <c r="JI322"/>
      <c r="JJ322"/>
      <c r="JK322"/>
      <c r="JL322"/>
      <c r="JM322"/>
      <c r="JN322"/>
      <c r="JO322"/>
      <c r="JP322"/>
      <c r="JQ322"/>
      <c r="JR322"/>
      <c r="JS322"/>
      <c r="JT322"/>
      <c r="JU322"/>
      <c r="JV322"/>
      <c r="JW322"/>
      <c r="JX322"/>
      <c r="JY322"/>
      <c r="JZ322"/>
      <c r="KA322"/>
      <c r="KB322"/>
      <c r="KC322"/>
      <c r="KD322"/>
      <c r="KE322"/>
      <c r="KF322"/>
      <c r="KG322"/>
      <c r="KH322"/>
      <c r="KI322"/>
      <c r="KJ322"/>
      <c r="KK322"/>
      <c r="KL322"/>
      <c r="KM322"/>
      <c r="KN322"/>
      <c r="KO322"/>
      <c r="KP322"/>
      <c r="KQ322"/>
      <c r="KR322"/>
      <c r="KS322"/>
      <c r="KT322"/>
      <c r="KU322"/>
      <c r="KV322"/>
      <c r="KW322"/>
      <c r="KX322"/>
      <c r="KY322"/>
      <c r="KZ322"/>
      <c r="LA322"/>
      <c r="LB322"/>
      <c r="LC322"/>
      <c r="LD322"/>
      <c r="LE322"/>
      <c r="LF322"/>
      <c r="LG322"/>
      <c r="LH322"/>
      <c r="LI322"/>
      <c r="LJ322"/>
      <c r="LK322"/>
      <c r="LL322"/>
      <c r="LM322"/>
      <c r="LN322"/>
      <c r="LO322"/>
      <c r="LP322"/>
      <c r="LQ322"/>
      <c r="LR322"/>
      <c r="LS322"/>
      <c r="LT322"/>
      <c r="LU322"/>
      <c r="LV322"/>
      <c r="LW322"/>
      <c r="LX322"/>
      <c r="LY322"/>
      <c r="LZ322"/>
      <c r="MA322"/>
      <c r="MB322"/>
      <c r="MC322"/>
      <c r="MD322"/>
      <c r="ME322"/>
      <c r="MF322"/>
      <c r="MG322"/>
      <c r="MH322"/>
      <c r="MI322"/>
      <c r="MJ322"/>
      <c r="MK322"/>
      <c r="ML322"/>
      <c r="MM322"/>
      <c r="MN322"/>
      <c r="MO322"/>
      <c r="MP322"/>
      <c r="MQ322"/>
      <c r="MR322"/>
      <c r="MS322"/>
      <c r="MT322"/>
      <c r="MU322"/>
      <c r="MV322"/>
      <c r="MW322"/>
      <c r="MX322"/>
      <c r="MY322"/>
      <c r="MZ322"/>
      <c r="NA322"/>
      <c r="NB322"/>
      <c r="NC322"/>
      <c r="ND322"/>
      <c r="NE322"/>
      <c r="NF322"/>
      <c r="NG322"/>
      <c r="NH322"/>
      <c r="NI322"/>
      <c r="NJ322"/>
      <c r="NK322"/>
      <c r="NL322"/>
      <c r="NM322"/>
      <c r="NN322"/>
      <c r="NO322"/>
      <c r="NP322"/>
      <c r="NQ322"/>
      <c r="NR322"/>
      <c r="NS322"/>
      <c r="NT322"/>
      <c r="NU322"/>
      <c r="NV322"/>
      <c r="NW322"/>
      <c r="NX322"/>
      <c r="NY322"/>
      <c r="NZ322"/>
      <c r="OA322"/>
      <c r="OB322"/>
      <c r="OC322"/>
      <c r="OD322"/>
      <c r="OE322"/>
      <c r="OF322"/>
      <c r="OG322"/>
      <c r="OH322"/>
      <c r="OI322"/>
      <c r="OJ322"/>
      <c r="OK322"/>
      <c r="OL322"/>
      <c r="OM322"/>
      <c r="ON322"/>
      <c r="OO322"/>
      <c r="OP322"/>
      <c r="OQ322"/>
      <c r="OR322"/>
      <c r="OS322"/>
      <c r="OT322"/>
      <c r="OU322"/>
      <c r="OV322"/>
      <c r="OW322"/>
      <c r="OX322"/>
      <c r="OY322"/>
      <c r="OZ322"/>
      <c r="PA322"/>
      <c r="PB322"/>
      <c r="PC322"/>
      <c r="PD322"/>
      <c r="PE322"/>
      <c r="PF322"/>
      <c r="PG322"/>
      <c r="PH322"/>
      <c r="PI322"/>
      <c r="PJ322"/>
      <c r="PK322"/>
      <c r="PL322"/>
      <c r="PM322"/>
      <c r="PN322"/>
      <c r="PO322"/>
      <c r="PP322"/>
      <c r="PQ322"/>
      <c r="PR322"/>
      <c r="PS322"/>
      <c r="PT322"/>
      <c r="PU322"/>
      <c r="PV322"/>
      <c r="PW322"/>
      <c r="PX322"/>
      <c r="PY322"/>
      <c r="PZ322"/>
      <c r="QA322"/>
      <c r="QB322"/>
      <c r="QC322"/>
      <c r="QD322"/>
      <c r="QE322"/>
      <c r="QF322"/>
      <c r="QG322"/>
      <c r="QH322"/>
      <c r="QI322"/>
      <c r="QJ322"/>
      <c r="QK322"/>
      <c r="QL322"/>
      <c r="QM322"/>
      <c r="QN322"/>
      <c r="QO322"/>
      <c r="QP322"/>
      <c r="QQ322"/>
      <c r="QR322"/>
      <c r="QS322"/>
      <c r="QT322"/>
      <c r="QU322"/>
      <c r="QV322"/>
      <c r="QW322"/>
      <c r="QX322"/>
      <c r="QY322"/>
      <c r="QZ322"/>
      <c r="RA322"/>
      <c r="RB322"/>
      <c r="RC322"/>
      <c r="RD322"/>
      <c r="RE322"/>
      <c r="RF322"/>
      <c r="RG322"/>
      <c r="RH322"/>
      <c r="RI322"/>
      <c r="RJ322"/>
      <c r="RK322"/>
      <c r="RL322"/>
      <c r="RM322"/>
      <c r="RN322"/>
      <c r="RO322"/>
      <c r="RP322"/>
      <c r="RQ322"/>
      <c r="RR322"/>
      <c r="RS322"/>
    </row>
    <row r="323" spans="19:487" x14ac:dyDescent="0.25"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  <c r="AS323"/>
      <c r="AT323"/>
      <c r="AU323"/>
      <c r="AV323"/>
      <c r="AW323"/>
      <c r="AX323"/>
      <c r="AY323"/>
      <c r="AZ323"/>
      <c r="BA323"/>
      <c r="BB323"/>
      <c r="BC323"/>
      <c r="BD323"/>
      <c r="BE323"/>
      <c r="BF323"/>
      <c r="BG323"/>
      <c r="BH323"/>
      <c r="BI323"/>
      <c r="BJ323"/>
      <c r="BK323"/>
      <c r="BL323"/>
      <c r="BM323"/>
      <c r="BN323"/>
      <c r="BO323"/>
      <c r="BP323"/>
      <c r="BQ323"/>
      <c r="BR323"/>
      <c r="BS323"/>
      <c r="BT323"/>
      <c r="BU323"/>
      <c r="BV323"/>
      <c r="BW323"/>
      <c r="BX323"/>
      <c r="BY323"/>
      <c r="BZ323"/>
      <c r="CA323"/>
      <c r="CB323"/>
      <c r="CC323"/>
      <c r="CD323"/>
      <c r="CE323"/>
      <c r="CF323"/>
      <c r="CG323"/>
      <c r="CH323"/>
      <c r="CI323"/>
      <c r="CJ323"/>
      <c r="CK323"/>
      <c r="CL323"/>
      <c r="CM323"/>
      <c r="CN323"/>
      <c r="CO323"/>
      <c r="CP323"/>
      <c r="CQ323"/>
      <c r="CR323"/>
      <c r="CS323"/>
      <c r="CT323"/>
      <c r="CU323"/>
      <c r="CV323"/>
      <c r="CW323"/>
      <c r="CX323"/>
      <c r="CY323"/>
      <c r="CZ323"/>
      <c r="DA323"/>
      <c r="DB323"/>
      <c r="DC323"/>
      <c r="DD323"/>
      <c r="DE323"/>
      <c r="DF323"/>
      <c r="DG323"/>
      <c r="DH323"/>
      <c r="DI323"/>
      <c r="DJ323"/>
      <c r="DK323"/>
      <c r="DL323"/>
      <c r="DM323"/>
      <c r="DN323"/>
      <c r="DO323"/>
      <c r="DP323"/>
      <c r="DQ323"/>
      <c r="DR323"/>
      <c r="DS323"/>
      <c r="DT323"/>
      <c r="DU323"/>
      <c r="DV323"/>
      <c r="DW323"/>
      <c r="DX323"/>
      <c r="DY323"/>
      <c r="DZ323"/>
      <c r="EA323"/>
      <c r="EB323"/>
      <c r="EC323"/>
      <c r="ED323"/>
      <c r="EE323"/>
      <c r="EF323"/>
      <c r="EG323"/>
      <c r="EH323"/>
      <c r="EI323"/>
      <c r="EJ323"/>
      <c r="EK323"/>
      <c r="EL323"/>
      <c r="EM323"/>
      <c r="EN323"/>
      <c r="EO323"/>
      <c r="EP323"/>
      <c r="EQ323"/>
      <c r="ER323"/>
      <c r="ES323"/>
      <c r="ET323"/>
      <c r="EU323"/>
      <c r="EV323"/>
      <c r="EW323"/>
      <c r="EX323"/>
      <c r="EY323"/>
      <c r="EZ323"/>
      <c r="FA323"/>
      <c r="FB323"/>
      <c r="FC323"/>
      <c r="FD323"/>
      <c r="FE323"/>
      <c r="FF323"/>
      <c r="FG323"/>
      <c r="FH323"/>
      <c r="FI323"/>
      <c r="FJ323"/>
      <c r="FK323"/>
      <c r="FL323"/>
      <c r="FM323"/>
      <c r="FN323"/>
      <c r="FO323"/>
      <c r="FP323"/>
      <c r="FQ323"/>
      <c r="FR323"/>
      <c r="FS323"/>
      <c r="FT323"/>
      <c r="FU323"/>
      <c r="FV323"/>
      <c r="FW323"/>
      <c r="FX323"/>
      <c r="FY323"/>
      <c r="FZ323"/>
      <c r="GA323"/>
      <c r="GB323"/>
      <c r="GC323"/>
      <c r="GD323"/>
      <c r="GE323"/>
      <c r="GF323"/>
      <c r="GG323"/>
      <c r="GH323"/>
      <c r="GI323"/>
      <c r="GJ323"/>
      <c r="GK323"/>
      <c r="GL323"/>
      <c r="GM323"/>
      <c r="GN323"/>
      <c r="GO323"/>
      <c r="GP323"/>
      <c r="GQ323"/>
      <c r="GR323"/>
      <c r="GS323"/>
      <c r="GT323"/>
      <c r="GU323"/>
      <c r="GV323"/>
      <c r="GW323"/>
      <c r="GX323"/>
      <c r="GY323"/>
      <c r="GZ323"/>
      <c r="HA323"/>
      <c r="HB323"/>
      <c r="HC323"/>
      <c r="HD323"/>
      <c r="HE323"/>
      <c r="HF323"/>
      <c r="HG323"/>
      <c r="HH323"/>
      <c r="HI323"/>
      <c r="HJ323"/>
      <c r="HK323"/>
      <c r="HL323"/>
      <c r="HM323"/>
      <c r="HN323"/>
      <c r="HO323"/>
      <c r="HP323"/>
      <c r="HQ323"/>
      <c r="HR323"/>
      <c r="HS323"/>
      <c r="HT323"/>
      <c r="HU323"/>
      <c r="HV323"/>
      <c r="HW323"/>
      <c r="HX323"/>
      <c r="HY323"/>
      <c r="HZ323"/>
      <c r="IA323"/>
      <c r="IB323"/>
      <c r="IC323"/>
      <c r="ID323"/>
      <c r="IE323"/>
      <c r="IF323"/>
      <c r="IG323"/>
      <c r="IH323"/>
      <c r="II323"/>
      <c r="IJ323"/>
      <c r="IK323"/>
      <c r="IL323"/>
      <c r="IM323"/>
      <c r="IN323"/>
      <c r="IO323"/>
      <c r="IP323"/>
      <c r="IQ323"/>
      <c r="IR323"/>
      <c r="IS323"/>
      <c r="IT323"/>
      <c r="IU323"/>
      <c r="IV323"/>
      <c r="IW323"/>
      <c r="IX323"/>
      <c r="IY323"/>
      <c r="IZ323"/>
      <c r="JA323"/>
      <c r="JB323"/>
      <c r="JC323"/>
      <c r="JD323"/>
      <c r="JE323"/>
      <c r="JF323"/>
      <c r="JG323"/>
      <c r="JH323"/>
      <c r="JI323"/>
      <c r="JJ323"/>
      <c r="JK323"/>
      <c r="JL323"/>
      <c r="JM323"/>
      <c r="JN323"/>
      <c r="JO323"/>
      <c r="JP323"/>
      <c r="JQ323"/>
      <c r="JR323"/>
      <c r="JS323"/>
      <c r="JT323"/>
      <c r="JU323"/>
      <c r="JV323"/>
      <c r="JW323"/>
      <c r="JX323"/>
      <c r="JY323"/>
      <c r="JZ323"/>
      <c r="KA323"/>
      <c r="KB323"/>
      <c r="KC323"/>
      <c r="KD323"/>
      <c r="KE323"/>
      <c r="KF323"/>
      <c r="KG323"/>
      <c r="KH323"/>
      <c r="KI323"/>
      <c r="KJ323"/>
      <c r="KK323"/>
      <c r="KL323"/>
      <c r="KM323"/>
      <c r="KN323"/>
      <c r="KO323"/>
      <c r="KP323"/>
      <c r="KQ323"/>
      <c r="KR323"/>
      <c r="KS323"/>
      <c r="KT323"/>
      <c r="KU323"/>
      <c r="KV323"/>
      <c r="KW323"/>
      <c r="KX323"/>
      <c r="KY323"/>
      <c r="KZ323"/>
      <c r="LA323"/>
      <c r="LB323"/>
      <c r="LC323"/>
      <c r="LD323"/>
      <c r="LE323"/>
      <c r="LF323"/>
      <c r="LG323"/>
      <c r="LH323"/>
      <c r="LI323"/>
      <c r="LJ323"/>
      <c r="LK323"/>
      <c r="LL323"/>
      <c r="LM323"/>
      <c r="LN323"/>
      <c r="LO323"/>
      <c r="LP323"/>
      <c r="LQ323"/>
      <c r="LR323"/>
      <c r="LS323"/>
      <c r="LT323"/>
      <c r="LU323"/>
      <c r="LV323"/>
      <c r="LW323"/>
      <c r="LX323"/>
      <c r="LY323"/>
      <c r="LZ323"/>
      <c r="MA323"/>
      <c r="MB323"/>
      <c r="MC323"/>
      <c r="MD323"/>
      <c r="ME323"/>
      <c r="MF323"/>
      <c r="MG323"/>
      <c r="MH323"/>
      <c r="MI323"/>
      <c r="MJ323"/>
      <c r="MK323"/>
      <c r="ML323"/>
      <c r="MM323"/>
      <c r="MN323"/>
      <c r="MO323"/>
      <c r="MP323"/>
      <c r="MQ323"/>
      <c r="MR323"/>
      <c r="MS323"/>
      <c r="MT323"/>
      <c r="MU323"/>
      <c r="MV323"/>
      <c r="MW323"/>
      <c r="MX323"/>
      <c r="MY323"/>
      <c r="MZ323"/>
      <c r="NA323"/>
      <c r="NB323"/>
      <c r="NC323"/>
      <c r="ND323"/>
      <c r="NE323"/>
      <c r="NF323"/>
      <c r="NG323"/>
      <c r="NH323"/>
      <c r="NI323"/>
      <c r="NJ323"/>
      <c r="NK323"/>
      <c r="NL323"/>
      <c r="NM323"/>
      <c r="NN323"/>
      <c r="NO323"/>
      <c r="NP323"/>
      <c r="NQ323"/>
      <c r="NR323"/>
      <c r="NS323"/>
      <c r="NT323"/>
      <c r="NU323"/>
      <c r="NV323"/>
      <c r="NW323"/>
      <c r="NX323"/>
      <c r="NY323"/>
      <c r="NZ323"/>
      <c r="OA323"/>
      <c r="OB323"/>
      <c r="OC323"/>
      <c r="OD323"/>
      <c r="OE323"/>
      <c r="OF323"/>
      <c r="OG323"/>
      <c r="OH323"/>
      <c r="OI323"/>
      <c r="OJ323"/>
      <c r="OK323"/>
      <c r="OL323"/>
      <c r="OM323"/>
      <c r="ON323"/>
      <c r="OO323"/>
      <c r="OP323"/>
      <c r="OQ323"/>
      <c r="OR323"/>
      <c r="OS323"/>
      <c r="OT323"/>
      <c r="OU323"/>
      <c r="OV323"/>
      <c r="OW323"/>
      <c r="OX323"/>
      <c r="OY323"/>
      <c r="OZ323"/>
      <c r="PA323"/>
      <c r="PB323"/>
      <c r="PC323"/>
      <c r="PD323"/>
      <c r="PE323"/>
      <c r="PF323"/>
      <c r="PG323"/>
      <c r="PH323"/>
      <c r="PI323"/>
      <c r="PJ323"/>
      <c r="PK323"/>
      <c r="PL323"/>
      <c r="PM323"/>
      <c r="PN323"/>
      <c r="PO323"/>
      <c r="PP323"/>
      <c r="PQ323"/>
      <c r="PR323"/>
      <c r="PS323"/>
      <c r="PT323"/>
      <c r="PU323"/>
      <c r="PV323"/>
      <c r="PW323"/>
      <c r="PX323"/>
      <c r="PY323"/>
      <c r="PZ323"/>
      <c r="QA323"/>
      <c r="QB323"/>
      <c r="QC323"/>
      <c r="QD323"/>
      <c r="QE323"/>
      <c r="QF323"/>
      <c r="QG323"/>
      <c r="QH323"/>
      <c r="QI323"/>
      <c r="QJ323"/>
      <c r="QK323"/>
      <c r="QL323"/>
      <c r="QM323"/>
      <c r="QN323"/>
      <c r="QO323"/>
      <c r="QP323"/>
      <c r="QQ323"/>
      <c r="QR323"/>
      <c r="QS323"/>
      <c r="QT323"/>
      <c r="QU323"/>
      <c r="QV323"/>
      <c r="QW323"/>
      <c r="QX323"/>
      <c r="QY323"/>
      <c r="QZ323"/>
      <c r="RA323"/>
      <c r="RB323"/>
      <c r="RC323"/>
      <c r="RD323"/>
      <c r="RE323"/>
      <c r="RF323"/>
      <c r="RG323"/>
      <c r="RH323"/>
      <c r="RI323"/>
      <c r="RJ323"/>
      <c r="RK323"/>
      <c r="RL323"/>
      <c r="RM323"/>
      <c r="RN323"/>
      <c r="RO323"/>
      <c r="RP323"/>
      <c r="RQ323"/>
      <c r="RR323"/>
      <c r="RS323"/>
    </row>
    <row r="324" spans="19:487" x14ac:dyDescent="0.25"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  <c r="AS324"/>
      <c r="AT324"/>
      <c r="AU324"/>
      <c r="AV324"/>
      <c r="AW324"/>
      <c r="AX324"/>
      <c r="AY324"/>
      <c r="AZ324"/>
      <c r="BA324"/>
      <c r="BB324"/>
      <c r="BC324"/>
      <c r="BD324"/>
      <c r="BE324"/>
      <c r="BF324"/>
      <c r="BG324"/>
      <c r="BH324"/>
      <c r="BI324"/>
      <c r="BJ324"/>
      <c r="BK324"/>
      <c r="BL324"/>
      <c r="BM324"/>
      <c r="BN324"/>
      <c r="BO324"/>
      <c r="BP324"/>
      <c r="BQ324"/>
      <c r="BR324"/>
      <c r="BS324"/>
      <c r="BT324"/>
      <c r="BU324"/>
      <c r="BV324"/>
      <c r="BW324"/>
      <c r="BX324"/>
      <c r="BY324"/>
      <c r="BZ324"/>
      <c r="CA324"/>
      <c r="CB324"/>
      <c r="CC324"/>
      <c r="CD324"/>
      <c r="CE324"/>
      <c r="CF324"/>
      <c r="CG324"/>
      <c r="CH324"/>
      <c r="CI324"/>
      <c r="CJ324"/>
      <c r="CK324"/>
      <c r="CL324"/>
      <c r="CM324"/>
      <c r="CN324"/>
      <c r="CO324"/>
      <c r="CP324"/>
      <c r="CQ324"/>
      <c r="CR324"/>
      <c r="CS324"/>
      <c r="CT324"/>
      <c r="CU324"/>
      <c r="CV324"/>
      <c r="CW324"/>
      <c r="CX324"/>
      <c r="CY324"/>
      <c r="CZ324"/>
      <c r="DA324"/>
      <c r="DB324"/>
      <c r="DC324"/>
      <c r="DD324"/>
      <c r="DE324"/>
      <c r="DF324"/>
      <c r="DG324"/>
      <c r="DH324"/>
      <c r="DI324"/>
      <c r="DJ324"/>
      <c r="DK324"/>
      <c r="DL324"/>
      <c r="DM324"/>
      <c r="DN324"/>
      <c r="DO324"/>
      <c r="DP324"/>
      <c r="DQ324"/>
      <c r="DR324"/>
      <c r="DS324"/>
      <c r="DT324"/>
      <c r="DU324"/>
      <c r="DV324"/>
      <c r="DW324"/>
      <c r="DX324"/>
      <c r="DY324"/>
      <c r="DZ324"/>
      <c r="EA324"/>
      <c r="EB324"/>
      <c r="EC324"/>
      <c r="ED324"/>
      <c r="EE324"/>
      <c r="EF324"/>
      <c r="EG324"/>
      <c r="EH324"/>
      <c r="EI324"/>
      <c r="EJ324"/>
      <c r="EK324"/>
      <c r="EL324"/>
      <c r="EM324"/>
      <c r="EN324"/>
      <c r="EO324"/>
      <c r="EP324"/>
      <c r="EQ324"/>
      <c r="ER324"/>
      <c r="ES324"/>
      <c r="ET324"/>
      <c r="EU324"/>
      <c r="EV324"/>
      <c r="EW324"/>
      <c r="EX324"/>
      <c r="EY324"/>
      <c r="EZ324"/>
      <c r="FA324"/>
      <c r="FB324"/>
      <c r="FC324"/>
      <c r="FD324"/>
      <c r="FE324"/>
      <c r="FF324"/>
      <c r="FG324"/>
      <c r="FH324"/>
      <c r="FI324"/>
      <c r="FJ324"/>
      <c r="FK324"/>
      <c r="FL324"/>
      <c r="FM324"/>
      <c r="FN324"/>
      <c r="FO324"/>
      <c r="FP324"/>
      <c r="FQ324"/>
      <c r="FR324"/>
      <c r="FS324"/>
      <c r="FT324"/>
      <c r="FU324"/>
      <c r="FV324"/>
      <c r="FW324"/>
      <c r="FX324"/>
      <c r="FY324"/>
      <c r="FZ324"/>
      <c r="GA324"/>
      <c r="GB324"/>
      <c r="GC324"/>
      <c r="GD324"/>
      <c r="GE324"/>
      <c r="GF324"/>
      <c r="GG324"/>
      <c r="GH324"/>
      <c r="GI324"/>
      <c r="GJ324"/>
      <c r="GK324"/>
      <c r="GL324"/>
      <c r="GM324"/>
      <c r="GN324"/>
      <c r="GO324"/>
      <c r="GP324"/>
      <c r="GQ324"/>
      <c r="GR324"/>
      <c r="GS324"/>
      <c r="GT324"/>
      <c r="GU324"/>
      <c r="GV324"/>
      <c r="GW324"/>
      <c r="GX324"/>
      <c r="GY324"/>
      <c r="GZ324"/>
      <c r="HA324"/>
      <c r="HB324"/>
      <c r="HC324"/>
      <c r="HD324"/>
      <c r="HE324"/>
      <c r="HF324"/>
      <c r="HG324"/>
      <c r="HH324"/>
      <c r="HI324"/>
      <c r="HJ324"/>
      <c r="HK324"/>
      <c r="HL324"/>
      <c r="HM324"/>
      <c r="HN324"/>
      <c r="HO324"/>
      <c r="HP324"/>
      <c r="HQ324"/>
      <c r="HR324"/>
      <c r="HS324"/>
      <c r="HT324"/>
      <c r="HU324"/>
      <c r="HV324"/>
      <c r="HW324"/>
      <c r="HX324"/>
      <c r="HY324"/>
      <c r="HZ324"/>
      <c r="IA324"/>
      <c r="IB324"/>
      <c r="IC324"/>
      <c r="ID324"/>
      <c r="IE324"/>
      <c r="IF324"/>
      <c r="IG324"/>
      <c r="IH324"/>
      <c r="II324"/>
      <c r="IJ324"/>
      <c r="IK324"/>
      <c r="IL324"/>
      <c r="IM324"/>
      <c r="IN324"/>
      <c r="IO324"/>
      <c r="IP324"/>
      <c r="IQ324"/>
      <c r="IR324"/>
      <c r="IS324"/>
      <c r="IT324"/>
      <c r="IU324"/>
      <c r="IV324"/>
      <c r="IW324"/>
      <c r="IX324"/>
      <c r="IY324"/>
      <c r="IZ324"/>
      <c r="JA324"/>
      <c r="JB324"/>
      <c r="JC324"/>
      <c r="JD324"/>
      <c r="JE324"/>
      <c r="JF324"/>
      <c r="JG324"/>
      <c r="JH324"/>
      <c r="JI324"/>
      <c r="JJ324"/>
      <c r="JK324"/>
      <c r="JL324"/>
      <c r="JM324"/>
      <c r="JN324"/>
      <c r="JO324"/>
      <c r="JP324"/>
      <c r="JQ324"/>
      <c r="JR324"/>
      <c r="JS324"/>
      <c r="JT324"/>
      <c r="JU324"/>
      <c r="JV324"/>
      <c r="JW324"/>
      <c r="JX324"/>
      <c r="JY324"/>
      <c r="JZ324"/>
      <c r="KA324"/>
      <c r="KB324"/>
      <c r="KC324"/>
      <c r="KD324"/>
      <c r="KE324"/>
      <c r="KF324"/>
      <c r="KG324"/>
      <c r="KH324"/>
      <c r="KI324"/>
      <c r="KJ324"/>
      <c r="KK324"/>
      <c r="KL324"/>
      <c r="KM324"/>
      <c r="KN324"/>
      <c r="KO324"/>
      <c r="KP324"/>
      <c r="KQ324"/>
      <c r="KR324"/>
      <c r="KS324"/>
      <c r="KT324"/>
      <c r="KU324"/>
      <c r="KV324"/>
      <c r="KW324"/>
      <c r="KX324"/>
      <c r="KY324"/>
      <c r="KZ324"/>
      <c r="LA324"/>
      <c r="LB324"/>
      <c r="LC324"/>
      <c r="LD324"/>
      <c r="LE324"/>
      <c r="LF324"/>
      <c r="LG324"/>
      <c r="LH324"/>
      <c r="LI324"/>
      <c r="LJ324"/>
      <c r="LK324"/>
      <c r="LL324"/>
      <c r="LM324"/>
      <c r="LN324"/>
      <c r="LO324"/>
      <c r="LP324"/>
      <c r="LQ324"/>
      <c r="LR324"/>
      <c r="LS324"/>
      <c r="LT324"/>
      <c r="LU324"/>
      <c r="LV324"/>
      <c r="LW324"/>
      <c r="LX324"/>
      <c r="LY324"/>
      <c r="LZ324"/>
      <c r="MA324"/>
      <c r="MB324"/>
      <c r="MC324"/>
      <c r="MD324"/>
      <c r="ME324"/>
      <c r="MF324"/>
      <c r="MG324"/>
      <c r="MH324"/>
      <c r="MI324"/>
      <c r="MJ324"/>
      <c r="MK324"/>
      <c r="ML324"/>
      <c r="MM324"/>
      <c r="MN324"/>
      <c r="MO324"/>
      <c r="MP324"/>
      <c r="MQ324"/>
      <c r="MR324"/>
      <c r="MS324"/>
      <c r="MT324"/>
      <c r="MU324"/>
      <c r="MV324"/>
      <c r="MW324"/>
      <c r="MX324"/>
      <c r="MY324"/>
      <c r="MZ324"/>
      <c r="NA324"/>
      <c r="NB324"/>
      <c r="NC324"/>
      <c r="ND324"/>
      <c r="NE324"/>
      <c r="NF324"/>
      <c r="NG324"/>
      <c r="NH324"/>
      <c r="NI324"/>
      <c r="NJ324"/>
      <c r="NK324"/>
      <c r="NL324"/>
      <c r="NM324"/>
      <c r="NN324"/>
      <c r="NO324"/>
      <c r="NP324"/>
      <c r="NQ324"/>
      <c r="NR324"/>
      <c r="NS324"/>
      <c r="NT324"/>
      <c r="NU324"/>
      <c r="NV324"/>
      <c r="NW324"/>
      <c r="NX324"/>
      <c r="NY324"/>
      <c r="NZ324"/>
      <c r="OA324"/>
      <c r="OB324"/>
      <c r="OC324"/>
      <c r="OD324"/>
      <c r="OE324"/>
      <c r="OF324"/>
      <c r="OG324"/>
      <c r="OH324"/>
      <c r="OI324"/>
      <c r="OJ324"/>
      <c r="OK324"/>
      <c r="OL324"/>
      <c r="OM324"/>
      <c r="ON324"/>
      <c r="OO324"/>
      <c r="OP324"/>
      <c r="OQ324"/>
      <c r="OR324"/>
      <c r="OS324"/>
      <c r="OT324"/>
      <c r="OU324"/>
      <c r="OV324"/>
      <c r="OW324"/>
      <c r="OX324"/>
      <c r="OY324"/>
      <c r="OZ324"/>
      <c r="PA324"/>
      <c r="PB324"/>
      <c r="PC324"/>
      <c r="PD324"/>
      <c r="PE324"/>
      <c r="PF324"/>
      <c r="PG324"/>
      <c r="PH324"/>
      <c r="PI324"/>
      <c r="PJ324"/>
      <c r="PK324"/>
      <c r="PL324"/>
      <c r="PM324"/>
      <c r="PN324"/>
      <c r="PO324"/>
      <c r="PP324"/>
      <c r="PQ324"/>
      <c r="PR324"/>
      <c r="PS324"/>
      <c r="PT324"/>
      <c r="PU324"/>
      <c r="PV324"/>
      <c r="PW324"/>
      <c r="PX324"/>
      <c r="PY324"/>
      <c r="PZ324"/>
      <c r="QA324"/>
      <c r="QB324"/>
      <c r="QC324"/>
      <c r="QD324"/>
      <c r="QE324"/>
      <c r="QF324"/>
      <c r="QG324"/>
      <c r="QH324"/>
      <c r="QI324"/>
      <c r="QJ324"/>
      <c r="QK324"/>
      <c r="QL324"/>
      <c r="QM324"/>
      <c r="QN324"/>
      <c r="QO324"/>
      <c r="QP324"/>
      <c r="QQ324"/>
      <c r="QR324"/>
      <c r="QS324"/>
      <c r="QT324"/>
      <c r="QU324"/>
      <c r="QV324"/>
      <c r="QW324"/>
      <c r="QX324"/>
      <c r="QY324"/>
      <c r="QZ324"/>
      <c r="RA324"/>
      <c r="RB324"/>
      <c r="RC324"/>
      <c r="RD324"/>
      <c r="RE324"/>
      <c r="RF324"/>
      <c r="RG324"/>
      <c r="RH324"/>
      <c r="RI324"/>
      <c r="RJ324"/>
      <c r="RK324"/>
      <c r="RL324"/>
      <c r="RM324"/>
      <c r="RN324"/>
      <c r="RO324"/>
      <c r="RP324"/>
      <c r="RQ324"/>
      <c r="RR324"/>
      <c r="RS324"/>
    </row>
    <row r="325" spans="19:487" x14ac:dyDescent="0.25"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  <c r="AS325"/>
      <c r="AT325"/>
      <c r="AU325"/>
      <c r="AV325"/>
      <c r="AW325"/>
      <c r="AX325"/>
      <c r="AY325"/>
      <c r="AZ325"/>
      <c r="BA325"/>
      <c r="BB325"/>
      <c r="BC325"/>
      <c r="BD325"/>
      <c r="BE325"/>
      <c r="BF325"/>
      <c r="BG325"/>
      <c r="BH325"/>
      <c r="BI325"/>
      <c r="BJ325"/>
      <c r="BK325"/>
      <c r="BL325"/>
      <c r="BM325"/>
      <c r="BN325"/>
      <c r="BO325"/>
      <c r="BP325"/>
      <c r="BQ325"/>
      <c r="BR325"/>
      <c r="BS325"/>
      <c r="BT325"/>
      <c r="BU325"/>
      <c r="BV325"/>
      <c r="BW325"/>
      <c r="BX325"/>
      <c r="BY325"/>
      <c r="BZ325"/>
      <c r="CA325"/>
      <c r="CB325"/>
      <c r="CC325"/>
      <c r="CD325"/>
      <c r="CE325"/>
      <c r="CF325"/>
      <c r="CG325"/>
      <c r="CH325"/>
      <c r="CI325"/>
      <c r="CJ325"/>
      <c r="CK325"/>
      <c r="CL325"/>
      <c r="CM325"/>
      <c r="CN325"/>
      <c r="CO325"/>
      <c r="CP325"/>
      <c r="CQ325"/>
      <c r="CR325"/>
      <c r="CS325"/>
      <c r="CT325"/>
      <c r="CU325"/>
      <c r="CV325"/>
      <c r="CW325"/>
      <c r="CX325"/>
      <c r="CY325"/>
      <c r="CZ325"/>
      <c r="DA325"/>
      <c r="DB325"/>
      <c r="DC325"/>
      <c r="DD325"/>
      <c r="DE325"/>
      <c r="DF325"/>
      <c r="DG325"/>
      <c r="DH325"/>
      <c r="DI325"/>
      <c r="DJ325"/>
      <c r="DK325"/>
      <c r="DL325"/>
      <c r="DM325"/>
      <c r="DN325"/>
      <c r="DO325"/>
      <c r="DP325"/>
      <c r="DQ325"/>
      <c r="DR325"/>
      <c r="DS325"/>
      <c r="DT325"/>
      <c r="DU325"/>
      <c r="DV325"/>
      <c r="DW325"/>
      <c r="DX325"/>
      <c r="DY325"/>
      <c r="DZ325"/>
      <c r="EA325"/>
      <c r="EB325"/>
      <c r="EC325"/>
      <c r="ED325"/>
      <c r="EE325"/>
      <c r="EF325"/>
      <c r="EG325"/>
      <c r="EH325"/>
      <c r="EI325"/>
      <c r="EJ325"/>
      <c r="EK325"/>
      <c r="EL325"/>
      <c r="EM325"/>
      <c r="EN325"/>
      <c r="EO325"/>
      <c r="EP325"/>
      <c r="EQ325"/>
      <c r="ER325"/>
      <c r="ES325"/>
      <c r="ET325"/>
      <c r="EU325"/>
      <c r="EV325"/>
      <c r="EW325"/>
      <c r="EX325"/>
      <c r="EY325"/>
      <c r="EZ325"/>
      <c r="FA325"/>
      <c r="FB325"/>
      <c r="FC325"/>
      <c r="FD325"/>
      <c r="FE325"/>
      <c r="FF325"/>
      <c r="FG325"/>
      <c r="FH325"/>
      <c r="FI325"/>
      <c r="FJ325"/>
      <c r="FK325"/>
      <c r="FL325"/>
      <c r="FM325"/>
      <c r="FN325"/>
      <c r="FO325"/>
      <c r="FP325"/>
      <c r="FQ325"/>
      <c r="FR325"/>
      <c r="FS325"/>
      <c r="FT325"/>
      <c r="FU325"/>
      <c r="FV325"/>
      <c r="FW325"/>
      <c r="FX325"/>
      <c r="FY325"/>
      <c r="FZ325"/>
      <c r="GA325"/>
      <c r="GB325"/>
      <c r="GC325"/>
      <c r="GD325"/>
      <c r="GE325"/>
      <c r="GF325"/>
      <c r="GG325"/>
      <c r="GH325"/>
      <c r="GI325"/>
      <c r="GJ325"/>
      <c r="GK325"/>
      <c r="GL325"/>
      <c r="GM325"/>
      <c r="GN325"/>
      <c r="GO325"/>
      <c r="GP325"/>
      <c r="GQ325"/>
      <c r="GR325"/>
      <c r="GS325"/>
      <c r="GT325"/>
      <c r="GU325"/>
      <c r="GV325"/>
      <c r="GW325"/>
      <c r="GX325"/>
      <c r="GY325"/>
      <c r="GZ325"/>
      <c r="HA325"/>
      <c r="HB325"/>
      <c r="HC325"/>
      <c r="HD325"/>
      <c r="HE325"/>
      <c r="HF325"/>
      <c r="HG325"/>
      <c r="HH325"/>
      <c r="HI325"/>
      <c r="HJ325"/>
      <c r="HK325"/>
      <c r="HL325"/>
      <c r="HM325"/>
      <c r="HN325"/>
      <c r="HO325"/>
      <c r="HP325"/>
      <c r="HQ325"/>
      <c r="HR325"/>
      <c r="HS325"/>
      <c r="HT325"/>
      <c r="HU325"/>
      <c r="HV325"/>
      <c r="HW325"/>
      <c r="HX325"/>
      <c r="HY325"/>
      <c r="HZ325"/>
      <c r="IA325"/>
      <c r="IB325"/>
      <c r="IC325"/>
      <c r="ID325"/>
      <c r="IE325"/>
      <c r="IF325"/>
      <c r="IG325"/>
      <c r="IH325"/>
      <c r="II325"/>
      <c r="IJ325"/>
      <c r="IK325"/>
      <c r="IL325"/>
      <c r="IM325"/>
      <c r="IN325"/>
      <c r="IO325"/>
      <c r="IP325"/>
      <c r="IQ325"/>
      <c r="IR325"/>
      <c r="IS325"/>
      <c r="IT325"/>
      <c r="IU325"/>
      <c r="IV325"/>
      <c r="IW325"/>
      <c r="IX325"/>
      <c r="IY325"/>
      <c r="IZ325"/>
      <c r="JA325"/>
      <c r="JB325"/>
      <c r="JC325"/>
      <c r="JD325"/>
      <c r="JE325"/>
      <c r="JF325"/>
      <c r="JG325"/>
      <c r="JH325"/>
      <c r="JI325"/>
      <c r="JJ325"/>
      <c r="JK325"/>
      <c r="JL325"/>
      <c r="JM325"/>
      <c r="JN325"/>
      <c r="JO325"/>
      <c r="JP325"/>
      <c r="JQ325"/>
      <c r="JR325"/>
      <c r="JS325"/>
      <c r="JT325"/>
      <c r="JU325"/>
      <c r="JV325"/>
      <c r="JW325"/>
      <c r="JX325"/>
      <c r="JY325"/>
      <c r="JZ325"/>
      <c r="KA325"/>
      <c r="KB325"/>
      <c r="KC325"/>
      <c r="KD325"/>
      <c r="KE325"/>
      <c r="KF325"/>
      <c r="KG325"/>
      <c r="KH325"/>
      <c r="KI325"/>
      <c r="KJ325"/>
      <c r="KK325"/>
      <c r="KL325"/>
      <c r="KM325"/>
      <c r="KN325"/>
      <c r="KO325"/>
      <c r="KP325"/>
      <c r="KQ325"/>
      <c r="KR325"/>
      <c r="KS325"/>
      <c r="KT325"/>
      <c r="KU325"/>
      <c r="KV325"/>
      <c r="KW325"/>
      <c r="KX325"/>
      <c r="KY325"/>
      <c r="KZ325"/>
      <c r="LA325"/>
      <c r="LB325"/>
      <c r="LC325"/>
      <c r="LD325"/>
      <c r="LE325"/>
      <c r="LF325"/>
      <c r="LG325"/>
      <c r="LH325"/>
      <c r="LI325"/>
      <c r="LJ325"/>
      <c r="LK325"/>
      <c r="LL325"/>
      <c r="LM325"/>
      <c r="LN325"/>
      <c r="LO325"/>
      <c r="LP325"/>
      <c r="LQ325"/>
      <c r="LR325"/>
      <c r="LS325"/>
      <c r="LT325"/>
      <c r="LU325"/>
      <c r="LV325"/>
      <c r="LW325"/>
      <c r="LX325"/>
      <c r="LY325"/>
      <c r="LZ325"/>
      <c r="MA325"/>
      <c r="MB325"/>
      <c r="MC325"/>
      <c r="MD325"/>
      <c r="ME325"/>
      <c r="MF325"/>
      <c r="MG325"/>
      <c r="MH325"/>
      <c r="MI325"/>
      <c r="MJ325"/>
      <c r="MK325"/>
      <c r="ML325"/>
      <c r="MM325"/>
      <c r="MN325"/>
      <c r="MO325"/>
      <c r="MP325"/>
      <c r="MQ325"/>
      <c r="MR325"/>
      <c r="MS325"/>
      <c r="MT325"/>
      <c r="MU325"/>
      <c r="MV325"/>
      <c r="MW325"/>
      <c r="MX325"/>
      <c r="MY325"/>
      <c r="MZ325"/>
      <c r="NA325"/>
      <c r="NB325"/>
      <c r="NC325"/>
      <c r="ND325"/>
      <c r="NE325"/>
      <c r="NF325"/>
      <c r="NG325"/>
      <c r="NH325"/>
      <c r="NI325"/>
      <c r="NJ325"/>
      <c r="NK325"/>
      <c r="NL325"/>
      <c r="NM325"/>
      <c r="NN325"/>
      <c r="NO325"/>
      <c r="NP325"/>
      <c r="NQ325"/>
      <c r="NR325"/>
      <c r="NS325"/>
      <c r="NT325"/>
      <c r="NU325"/>
      <c r="NV325"/>
      <c r="NW325"/>
      <c r="NX325"/>
      <c r="NY325"/>
      <c r="NZ325"/>
      <c r="OA325"/>
      <c r="OB325"/>
      <c r="OC325"/>
      <c r="OD325"/>
      <c r="OE325"/>
      <c r="OF325"/>
      <c r="OG325"/>
      <c r="OH325"/>
      <c r="OI325"/>
      <c r="OJ325"/>
      <c r="OK325"/>
      <c r="OL325"/>
      <c r="OM325"/>
      <c r="ON325"/>
      <c r="OO325"/>
      <c r="OP325"/>
      <c r="OQ325"/>
      <c r="OR325"/>
      <c r="OS325"/>
      <c r="OT325"/>
      <c r="OU325"/>
      <c r="OV325"/>
      <c r="OW325"/>
      <c r="OX325"/>
      <c r="OY325"/>
      <c r="OZ325"/>
      <c r="PA325"/>
      <c r="PB325"/>
      <c r="PC325"/>
      <c r="PD325"/>
      <c r="PE325"/>
      <c r="PF325"/>
      <c r="PG325"/>
      <c r="PH325"/>
      <c r="PI325"/>
      <c r="PJ325"/>
      <c r="PK325"/>
      <c r="PL325"/>
      <c r="PM325"/>
      <c r="PN325"/>
      <c r="PO325"/>
      <c r="PP325"/>
      <c r="PQ325"/>
      <c r="PR325"/>
      <c r="PS325"/>
      <c r="PT325"/>
      <c r="PU325"/>
      <c r="PV325"/>
      <c r="PW325"/>
      <c r="PX325"/>
      <c r="PY325"/>
      <c r="PZ325"/>
      <c r="QA325"/>
      <c r="QB325"/>
      <c r="QC325"/>
      <c r="QD325"/>
      <c r="QE325"/>
      <c r="QF325"/>
      <c r="QG325"/>
      <c r="QH325"/>
      <c r="QI325"/>
      <c r="QJ325"/>
      <c r="QK325"/>
      <c r="QL325"/>
      <c r="QM325"/>
      <c r="QN325"/>
      <c r="QO325"/>
      <c r="QP325"/>
      <c r="QQ325"/>
      <c r="QR325"/>
      <c r="QS325"/>
      <c r="QT325"/>
      <c r="QU325"/>
      <c r="QV325"/>
      <c r="QW325"/>
      <c r="QX325"/>
      <c r="QY325"/>
      <c r="QZ325"/>
      <c r="RA325"/>
      <c r="RB325"/>
      <c r="RC325"/>
      <c r="RD325"/>
      <c r="RE325"/>
      <c r="RF325"/>
      <c r="RG325"/>
      <c r="RH325"/>
      <c r="RI325"/>
      <c r="RJ325"/>
      <c r="RK325"/>
      <c r="RL325"/>
      <c r="RM325"/>
      <c r="RN325"/>
      <c r="RO325"/>
      <c r="RP325"/>
      <c r="RQ325"/>
      <c r="RR325"/>
      <c r="RS325"/>
    </row>
    <row r="326" spans="19:487" x14ac:dyDescent="0.25"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  <c r="AS326"/>
      <c r="AT326"/>
      <c r="AU326"/>
      <c r="AV326"/>
      <c r="AW326"/>
      <c r="AX326"/>
      <c r="AY326"/>
      <c r="AZ326"/>
      <c r="BA326"/>
      <c r="BB326"/>
      <c r="BC326"/>
      <c r="BD326"/>
      <c r="BE326"/>
      <c r="BF326"/>
      <c r="BG326"/>
      <c r="BH326"/>
      <c r="BI326"/>
      <c r="BJ326"/>
      <c r="BK326"/>
      <c r="BL326"/>
      <c r="BM326"/>
      <c r="BN326"/>
      <c r="BO326"/>
      <c r="BP326"/>
      <c r="BQ326"/>
      <c r="BR326"/>
      <c r="BS326"/>
      <c r="BT326"/>
      <c r="BU326"/>
      <c r="BV326"/>
      <c r="BW326"/>
      <c r="BX326"/>
      <c r="BY326"/>
      <c r="BZ326"/>
      <c r="CA326"/>
      <c r="CB326"/>
      <c r="CC326"/>
      <c r="CD326"/>
      <c r="CE326"/>
      <c r="CF326"/>
      <c r="CG326"/>
      <c r="CH326"/>
      <c r="CI326"/>
      <c r="CJ326"/>
      <c r="CK326"/>
      <c r="CL326"/>
      <c r="CM326"/>
      <c r="CN326"/>
      <c r="CO326"/>
      <c r="CP326"/>
      <c r="CQ326"/>
      <c r="CR326"/>
      <c r="CS326"/>
      <c r="CT326"/>
      <c r="CU326"/>
      <c r="CV326"/>
      <c r="CW326"/>
      <c r="CX326"/>
      <c r="CY326"/>
      <c r="CZ326"/>
      <c r="DA326"/>
      <c r="DB326"/>
      <c r="DC326"/>
      <c r="DD326"/>
      <c r="DE326"/>
      <c r="DF326"/>
      <c r="DG326"/>
      <c r="DH326"/>
      <c r="DI326"/>
      <c r="DJ326"/>
      <c r="DK326"/>
      <c r="DL326"/>
      <c r="DM326"/>
      <c r="DN326"/>
      <c r="DO326"/>
      <c r="DP326"/>
      <c r="DQ326"/>
      <c r="DR326"/>
      <c r="DS326"/>
      <c r="DT326"/>
      <c r="DU326"/>
      <c r="DV326"/>
      <c r="DW326"/>
      <c r="DX326"/>
      <c r="DY326"/>
      <c r="DZ326"/>
      <c r="EA326"/>
      <c r="EB326"/>
      <c r="EC326"/>
      <c r="ED326"/>
      <c r="EE326"/>
      <c r="EF326"/>
      <c r="EG326"/>
      <c r="EH326"/>
      <c r="EI326"/>
      <c r="EJ326"/>
      <c r="EK326"/>
      <c r="EL326"/>
      <c r="EM326"/>
      <c r="EN326"/>
      <c r="EO326"/>
      <c r="EP326"/>
      <c r="EQ326"/>
      <c r="ER326"/>
      <c r="ES326"/>
      <c r="ET326"/>
      <c r="EU326"/>
      <c r="EV326"/>
      <c r="EW326"/>
      <c r="EX326"/>
      <c r="EY326"/>
      <c r="EZ326"/>
      <c r="FA326"/>
      <c r="FB326"/>
      <c r="FC326"/>
      <c r="FD326"/>
      <c r="FE326"/>
      <c r="FF326"/>
      <c r="FG326"/>
      <c r="FH326"/>
      <c r="FI326"/>
      <c r="FJ326"/>
      <c r="FK326"/>
      <c r="FL326"/>
      <c r="FM326"/>
      <c r="FN326"/>
      <c r="FO326"/>
      <c r="FP326"/>
      <c r="FQ326"/>
      <c r="FR326"/>
      <c r="FS326"/>
      <c r="FT326"/>
      <c r="FU326"/>
      <c r="FV326"/>
      <c r="FW326"/>
      <c r="FX326"/>
      <c r="FY326"/>
      <c r="FZ326"/>
      <c r="GA326"/>
      <c r="GB326"/>
      <c r="GC326"/>
      <c r="GD326"/>
      <c r="GE326"/>
      <c r="GF326"/>
      <c r="GG326"/>
      <c r="GH326"/>
      <c r="GI326"/>
      <c r="GJ326"/>
      <c r="GK326"/>
      <c r="GL326"/>
      <c r="GM326"/>
      <c r="GN326"/>
      <c r="GO326"/>
      <c r="GP326"/>
      <c r="GQ326"/>
      <c r="GR326"/>
      <c r="GS326"/>
      <c r="GT326"/>
      <c r="GU326"/>
      <c r="GV326"/>
      <c r="GW326"/>
      <c r="GX326"/>
      <c r="GY326"/>
      <c r="GZ326"/>
      <c r="HA326"/>
      <c r="HB326"/>
      <c r="HC326"/>
      <c r="HD326"/>
      <c r="HE326"/>
      <c r="HF326"/>
      <c r="HG326"/>
      <c r="HH326"/>
      <c r="HI326"/>
      <c r="HJ326"/>
      <c r="HK326"/>
      <c r="HL326"/>
      <c r="HM326"/>
      <c r="HN326"/>
      <c r="HO326"/>
      <c r="HP326"/>
      <c r="HQ326"/>
      <c r="HR326"/>
      <c r="HS326"/>
      <c r="HT326"/>
      <c r="HU326"/>
      <c r="HV326"/>
      <c r="HW326"/>
      <c r="HX326"/>
      <c r="HY326"/>
      <c r="HZ326"/>
      <c r="IA326"/>
      <c r="IB326"/>
      <c r="IC326"/>
      <c r="ID326"/>
      <c r="IE326"/>
      <c r="IF326"/>
      <c r="IG326"/>
      <c r="IH326"/>
      <c r="II326"/>
      <c r="IJ326"/>
      <c r="IK326"/>
      <c r="IL326"/>
      <c r="IM326"/>
      <c r="IN326"/>
      <c r="IO326"/>
      <c r="IP326"/>
      <c r="IQ326"/>
      <c r="IR326"/>
      <c r="IS326"/>
      <c r="IT326"/>
      <c r="IU326"/>
      <c r="IV326"/>
      <c r="IW326"/>
      <c r="IX326"/>
      <c r="IY326"/>
      <c r="IZ326"/>
      <c r="JA326"/>
      <c r="JB326"/>
      <c r="JC326"/>
      <c r="JD326"/>
      <c r="JE326"/>
      <c r="JF326"/>
      <c r="JG326"/>
      <c r="JH326"/>
      <c r="JI326"/>
      <c r="JJ326"/>
      <c r="JK326"/>
      <c r="JL326"/>
      <c r="JM326"/>
      <c r="JN326"/>
      <c r="JO326"/>
      <c r="JP326"/>
      <c r="JQ326"/>
      <c r="JR326"/>
      <c r="JS326"/>
      <c r="JT326"/>
      <c r="JU326"/>
      <c r="JV326"/>
      <c r="JW326"/>
      <c r="JX326"/>
      <c r="JY326"/>
      <c r="JZ326"/>
      <c r="KA326"/>
      <c r="KB326"/>
      <c r="KC326"/>
      <c r="KD326"/>
      <c r="KE326"/>
      <c r="KF326"/>
      <c r="KG326"/>
      <c r="KH326"/>
      <c r="KI326"/>
      <c r="KJ326"/>
      <c r="KK326"/>
      <c r="KL326"/>
      <c r="KM326"/>
      <c r="KN326"/>
      <c r="KO326"/>
      <c r="KP326"/>
      <c r="KQ326"/>
      <c r="KR326"/>
      <c r="KS326"/>
      <c r="KT326"/>
      <c r="KU326"/>
      <c r="KV326"/>
      <c r="KW326"/>
      <c r="KX326"/>
      <c r="KY326"/>
      <c r="KZ326"/>
      <c r="LA326"/>
      <c r="LB326"/>
      <c r="LC326"/>
      <c r="LD326"/>
      <c r="LE326"/>
      <c r="LF326"/>
      <c r="LG326"/>
      <c r="LH326"/>
      <c r="LI326"/>
      <c r="LJ326"/>
      <c r="LK326"/>
      <c r="LL326"/>
      <c r="LM326"/>
      <c r="LN326"/>
      <c r="LO326"/>
      <c r="LP326"/>
      <c r="LQ326"/>
      <c r="LR326"/>
      <c r="LS326"/>
      <c r="LT326"/>
      <c r="LU326"/>
      <c r="LV326"/>
      <c r="LW326"/>
      <c r="LX326"/>
      <c r="LY326"/>
      <c r="LZ326"/>
      <c r="MA326"/>
      <c r="MB326"/>
      <c r="MC326"/>
      <c r="MD326"/>
      <c r="ME326"/>
      <c r="MF326"/>
      <c r="MG326"/>
      <c r="MH326"/>
      <c r="MI326"/>
      <c r="MJ326"/>
      <c r="MK326"/>
      <c r="ML326"/>
      <c r="MM326"/>
      <c r="MN326"/>
      <c r="MO326"/>
      <c r="MP326"/>
      <c r="MQ326"/>
      <c r="MR326"/>
      <c r="MS326"/>
      <c r="MT326"/>
      <c r="MU326"/>
      <c r="MV326"/>
      <c r="MW326"/>
      <c r="MX326"/>
      <c r="MY326"/>
      <c r="MZ326"/>
      <c r="NA326"/>
      <c r="NB326"/>
      <c r="NC326"/>
      <c r="ND326"/>
      <c r="NE326"/>
      <c r="NF326"/>
      <c r="NG326"/>
      <c r="NH326"/>
      <c r="NI326"/>
      <c r="NJ326"/>
      <c r="NK326"/>
      <c r="NL326"/>
      <c r="NM326"/>
      <c r="NN326"/>
      <c r="NO326"/>
      <c r="NP326"/>
      <c r="NQ326"/>
      <c r="NR326"/>
      <c r="NS326"/>
      <c r="NT326"/>
      <c r="NU326"/>
      <c r="NV326"/>
      <c r="NW326"/>
      <c r="NX326"/>
      <c r="NY326"/>
      <c r="NZ326"/>
      <c r="OA326"/>
      <c r="OB326"/>
      <c r="OC326"/>
      <c r="OD326"/>
      <c r="OE326"/>
      <c r="OF326"/>
      <c r="OG326"/>
      <c r="OH326"/>
      <c r="OI326"/>
      <c r="OJ326"/>
      <c r="OK326"/>
      <c r="OL326"/>
      <c r="OM326"/>
      <c r="ON326"/>
      <c r="OO326"/>
      <c r="OP326"/>
      <c r="OQ326"/>
      <c r="OR326"/>
      <c r="OS326"/>
      <c r="OT326"/>
      <c r="OU326"/>
      <c r="OV326"/>
      <c r="OW326"/>
      <c r="OX326"/>
      <c r="OY326"/>
      <c r="OZ326"/>
      <c r="PA326"/>
      <c r="PB326"/>
      <c r="PC326"/>
      <c r="PD326"/>
      <c r="PE326"/>
      <c r="PF326"/>
      <c r="PG326"/>
      <c r="PH326"/>
      <c r="PI326"/>
      <c r="PJ326"/>
      <c r="PK326"/>
      <c r="PL326"/>
      <c r="PM326"/>
      <c r="PN326"/>
      <c r="PO326"/>
      <c r="PP326"/>
      <c r="PQ326"/>
      <c r="PR326"/>
      <c r="PS326"/>
      <c r="PT326"/>
      <c r="PU326"/>
      <c r="PV326"/>
      <c r="PW326"/>
      <c r="PX326"/>
      <c r="PY326"/>
      <c r="PZ326"/>
      <c r="QA326"/>
      <c r="QB326"/>
      <c r="QC326"/>
      <c r="QD326"/>
      <c r="QE326"/>
      <c r="QF326"/>
      <c r="QG326"/>
      <c r="QH326"/>
      <c r="QI326"/>
      <c r="QJ326"/>
      <c r="QK326"/>
      <c r="QL326"/>
      <c r="QM326"/>
      <c r="QN326"/>
      <c r="QO326"/>
      <c r="QP326"/>
      <c r="QQ326"/>
      <c r="QR326"/>
      <c r="QS326"/>
      <c r="QT326"/>
      <c r="QU326"/>
      <c r="QV326"/>
      <c r="QW326"/>
      <c r="QX326"/>
      <c r="QY326"/>
      <c r="QZ326"/>
      <c r="RA326"/>
      <c r="RB326"/>
      <c r="RC326"/>
      <c r="RD326"/>
      <c r="RE326"/>
      <c r="RF326"/>
      <c r="RG326"/>
      <c r="RH326"/>
      <c r="RI326"/>
      <c r="RJ326"/>
      <c r="RK326"/>
      <c r="RL326"/>
      <c r="RM326"/>
      <c r="RN326"/>
      <c r="RO326"/>
      <c r="RP326"/>
      <c r="RQ326"/>
      <c r="RR326"/>
      <c r="RS326"/>
    </row>
    <row r="327" spans="19:487" x14ac:dyDescent="0.25"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  <c r="AS327"/>
      <c r="AT327"/>
      <c r="AU327"/>
      <c r="AV327"/>
      <c r="AW327"/>
      <c r="AX327"/>
      <c r="AY327"/>
      <c r="AZ327"/>
      <c r="BA327"/>
      <c r="BB327"/>
      <c r="BC327"/>
      <c r="BD327"/>
      <c r="BE327"/>
      <c r="BF327"/>
      <c r="BG327"/>
      <c r="BH327"/>
      <c r="BI327"/>
      <c r="BJ327"/>
      <c r="BK327"/>
      <c r="BL327"/>
      <c r="BM327"/>
      <c r="BN327"/>
      <c r="BO327"/>
      <c r="BP327"/>
      <c r="BQ327"/>
      <c r="BR327"/>
      <c r="BS327"/>
      <c r="BT327"/>
      <c r="BU327"/>
      <c r="BV327"/>
      <c r="BW327"/>
      <c r="BX327"/>
      <c r="BY327"/>
      <c r="BZ327"/>
      <c r="CA327"/>
      <c r="CB327"/>
      <c r="CC327"/>
      <c r="CD327"/>
      <c r="CE327"/>
      <c r="CF327"/>
      <c r="CG327"/>
      <c r="CH327"/>
      <c r="CI327"/>
      <c r="CJ327"/>
      <c r="CK327"/>
      <c r="CL327"/>
      <c r="CM327"/>
      <c r="CN327"/>
      <c r="CO327"/>
      <c r="CP327"/>
      <c r="CQ327"/>
      <c r="CR327"/>
      <c r="CS327"/>
      <c r="CT327"/>
      <c r="CU327"/>
      <c r="CV327"/>
      <c r="CW327"/>
      <c r="CX327"/>
      <c r="CY327"/>
      <c r="CZ327"/>
      <c r="DA327"/>
      <c r="DB327"/>
      <c r="DC327"/>
      <c r="DD327"/>
      <c r="DE327"/>
      <c r="DF327"/>
      <c r="DG327"/>
      <c r="DH327"/>
      <c r="DI327"/>
      <c r="DJ327"/>
      <c r="DK327"/>
      <c r="DL327"/>
      <c r="DM327"/>
      <c r="DN327"/>
      <c r="DO327"/>
      <c r="DP327"/>
      <c r="DQ327"/>
      <c r="DR327"/>
      <c r="DS327"/>
      <c r="DT327"/>
      <c r="DU327"/>
      <c r="DV327"/>
      <c r="DW327"/>
      <c r="DX327"/>
      <c r="DY327"/>
      <c r="DZ327"/>
      <c r="EA327"/>
      <c r="EB327"/>
      <c r="EC327"/>
      <c r="ED327"/>
      <c r="EE327"/>
      <c r="EF327"/>
      <c r="EG327"/>
      <c r="EH327"/>
      <c r="EI327"/>
      <c r="EJ327"/>
      <c r="EK327"/>
      <c r="EL327"/>
      <c r="EM327"/>
      <c r="EN327"/>
      <c r="EO327"/>
      <c r="EP327"/>
      <c r="EQ327"/>
      <c r="ER327"/>
      <c r="ES327"/>
      <c r="ET327"/>
      <c r="EU327"/>
      <c r="EV327"/>
      <c r="EW327"/>
      <c r="EX327"/>
      <c r="EY327"/>
      <c r="EZ327"/>
      <c r="FA327"/>
      <c r="FB327"/>
      <c r="FC327"/>
      <c r="FD327"/>
      <c r="FE327"/>
      <c r="FF327"/>
      <c r="FG327"/>
      <c r="FH327"/>
      <c r="FI327"/>
      <c r="FJ327"/>
      <c r="FK327"/>
      <c r="FL327"/>
      <c r="FM327"/>
      <c r="FN327"/>
      <c r="FO327"/>
      <c r="FP327"/>
      <c r="FQ327"/>
      <c r="FR327"/>
      <c r="FS327"/>
      <c r="FT327"/>
      <c r="FU327"/>
      <c r="FV327"/>
      <c r="FW327"/>
      <c r="FX327"/>
      <c r="FY327"/>
      <c r="FZ327"/>
      <c r="GA327"/>
      <c r="GB327"/>
      <c r="GC327"/>
      <c r="GD327"/>
      <c r="GE327"/>
      <c r="GF327"/>
      <c r="GG327"/>
      <c r="GH327"/>
      <c r="GI327"/>
      <c r="GJ327"/>
      <c r="GK327"/>
      <c r="GL327"/>
      <c r="GM327"/>
      <c r="GN327"/>
      <c r="GO327"/>
      <c r="GP327"/>
      <c r="GQ327"/>
      <c r="GR327"/>
      <c r="GS327"/>
      <c r="GT327"/>
      <c r="GU327"/>
      <c r="GV327"/>
      <c r="GW327"/>
      <c r="GX327"/>
      <c r="GY327"/>
      <c r="GZ327"/>
      <c r="HA327"/>
      <c r="HB327"/>
      <c r="HC327"/>
      <c r="HD327"/>
      <c r="HE327"/>
      <c r="HF327"/>
      <c r="HG327"/>
      <c r="HH327"/>
      <c r="HI327"/>
      <c r="HJ327"/>
      <c r="HK327"/>
      <c r="HL327"/>
      <c r="HM327"/>
      <c r="HN327"/>
      <c r="HO327"/>
      <c r="HP327"/>
      <c r="HQ327"/>
      <c r="HR327"/>
      <c r="HS327"/>
      <c r="HT327"/>
      <c r="HU327"/>
      <c r="HV327"/>
      <c r="HW327"/>
      <c r="HX327"/>
      <c r="HY327"/>
      <c r="HZ327"/>
      <c r="IA327"/>
      <c r="IB327"/>
      <c r="IC327"/>
      <c r="ID327"/>
      <c r="IE327"/>
      <c r="IF327"/>
      <c r="IG327"/>
      <c r="IH327"/>
      <c r="II327"/>
      <c r="IJ327"/>
      <c r="IK327"/>
      <c r="IL327"/>
      <c r="IM327"/>
      <c r="IN327"/>
      <c r="IO327"/>
      <c r="IP327"/>
      <c r="IQ327"/>
      <c r="IR327"/>
      <c r="IS327"/>
      <c r="IT327"/>
      <c r="IU327"/>
      <c r="IV327"/>
      <c r="IW327"/>
      <c r="IX327"/>
      <c r="IY327"/>
      <c r="IZ327"/>
      <c r="JA327"/>
      <c r="JB327"/>
      <c r="JC327"/>
      <c r="JD327"/>
      <c r="JE327"/>
      <c r="JF327"/>
      <c r="JG327"/>
      <c r="JH327"/>
      <c r="JI327"/>
      <c r="JJ327"/>
      <c r="JK327"/>
      <c r="JL327"/>
      <c r="JM327"/>
      <c r="JN327"/>
      <c r="JO327"/>
      <c r="JP327"/>
      <c r="JQ327"/>
      <c r="JR327"/>
      <c r="JS327"/>
      <c r="JT327"/>
      <c r="JU327"/>
      <c r="JV327"/>
      <c r="JW327"/>
      <c r="JX327"/>
      <c r="JY327"/>
      <c r="JZ327"/>
      <c r="KA327"/>
      <c r="KB327"/>
      <c r="KC327"/>
      <c r="KD327"/>
      <c r="KE327"/>
      <c r="KF327"/>
      <c r="KG327"/>
      <c r="KH327"/>
      <c r="KI327"/>
      <c r="KJ327"/>
      <c r="KK327"/>
      <c r="KL327"/>
      <c r="KM327"/>
      <c r="KN327"/>
      <c r="KO327"/>
      <c r="KP327"/>
      <c r="KQ327"/>
      <c r="KR327"/>
      <c r="KS327"/>
      <c r="KT327"/>
      <c r="KU327"/>
      <c r="KV327"/>
      <c r="KW327"/>
      <c r="KX327"/>
      <c r="KY327"/>
      <c r="KZ327"/>
      <c r="LA327"/>
      <c r="LB327"/>
      <c r="LC327"/>
      <c r="LD327"/>
      <c r="LE327"/>
      <c r="LF327"/>
      <c r="LG327"/>
      <c r="LH327"/>
      <c r="LI327"/>
      <c r="LJ327"/>
      <c r="LK327"/>
      <c r="LL327"/>
      <c r="LM327"/>
      <c r="LN327"/>
      <c r="LO327"/>
      <c r="LP327"/>
      <c r="LQ327"/>
      <c r="LR327"/>
      <c r="LS327"/>
      <c r="LT327"/>
      <c r="LU327"/>
      <c r="LV327"/>
      <c r="LW327"/>
      <c r="LX327"/>
      <c r="LY327"/>
      <c r="LZ327"/>
      <c r="MA327"/>
      <c r="MB327"/>
      <c r="MC327"/>
      <c r="MD327"/>
      <c r="ME327"/>
      <c r="MF327"/>
      <c r="MG327"/>
      <c r="MH327"/>
      <c r="MI327"/>
      <c r="MJ327"/>
      <c r="MK327"/>
      <c r="ML327"/>
      <c r="MM327"/>
      <c r="MN327"/>
      <c r="MO327"/>
      <c r="MP327"/>
      <c r="MQ327"/>
      <c r="MR327"/>
      <c r="MS327"/>
      <c r="MT327"/>
      <c r="MU327"/>
      <c r="MV327"/>
      <c r="MW327"/>
      <c r="MX327"/>
      <c r="MY327"/>
      <c r="MZ327"/>
      <c r="NA327"/>
      <c r="NB327"/>
      <c r="NC327"/>
      <c r="ND327"/>
      <c r="NE327"/>
      <c r="NF327"/>
      <c r="NG327"/>
      <c r="NH327"/>
      <c r="NI327"/>
      <c r="NJ327"/>
      <c r="NK327"/>
      <c r="NL327"/>
      <c r="NM327"/>
      <c r="NN327"/>
      <c r="NO327"/>
      <c r="NP327"/>
      <c r="NQ327"/>
      <c r="NR327"/>
      <c r="NS327"/>
      <c r="NT327"/>
      <c r="NU327"/>
      <c r="NV327"/>
      <c r="NW327"/>
      <c r="NX327"/>
      <c r="NY327"/>
      <c r="NZ327"/>
      <c r="OA327"/>
      <c r="OB327"/>
      <c r="OC327"/>
      <c r="OD327"/>
      <c r="OE327"/>
      <c r="OF327"/>
      <c r="OG327"/>
      <c r="OH327"/>
      <c r="OI327"/>
      <c r="OJ327"/>
      <c r="OK327"/>
      <c r="OL327"/>
      <c r="OM327"/>
      <c r="ON327"/>
      <c r="OO327"/>
      <c r="OP327"/>
      <c r="OQ327"/>
      <c r="OR327"/>
      <c r="OS327"/>
      <c r="OT327"/>
      <c r="OU327"/>
      <c r="OV327"/>
      <c r="OW327"/>
      <c r="OX327"/>
      <c r="OY327"/>
      <c r="OZ327"/>
      <c r="PA327"/>
      <c r="PB327"/>
      <c r="PC327"/>
      <c r="PD327"/>
      <c r="PE327"/>
      <c r="PF327"/>
      <c r="PG327"/>
      <c r="PH327"/>
      <c r="PI327"/>
      <c r="PJ327"/>
      <c r="PK327"/>
      <c r="PL327"/>
      <c r="PM327"/>
      <c r="PN327"/>
      <c r="PO327"/>
      <c r="PP327"/>
      <c r="PQ327"/>
      <c r="PR327"/>
      <c r="PS327"/>
      <c r="PT327"/>
      <c r="PU327"/>
      <c r="PV327"/>
      <c r="PW327"/>
      <c r="PX327"/>
      <c r="PY327"/>
      <c r="PZ327"/>
      <c r="QA327"/>
      <c r="QB327"/>
      <c r="QC327"/>
      <c r="QD327"/>
      <c r="QE327"/>
      <c r="QF327"/>
      <c r="QG327"/>
      <c r="QH327"/>
      <c r="QI327"/>
      <c r="QJ327"/>
      <c r="QK327"/>
      <c r="QL327"/>
      <c r="QM327"/>
      <c r="QN327"/>
      <c r="QO327"/>
      <c r="QP327"/>
      <c r="QQ327"/>
      <c r="QR327"/>
      <c r="QS327"/>
      <c r="QT327"/>
      <c r="QU327"/>
      <c r="QV327"/>
      <c r="QW327"/>
      <c r="QX327"/>
      <c r="QY327"/>
      <c r="QZ327"/>
      <c r="RA327"/>
      <c r="RB327"/>
      <c r="RC327"/>
      <c r="RD327"/>
      <c r="RE327"/>
      <c r="RF327"/>
      <c r="RG327"/>
      <c r="RH327"/>
      <c r="RI327"/>
      <c r="RJ327"/>
      <c r="RK327"/>
      <c r="RL327"/>
      <c r="RM327"/>
      <c r="RN327"/>
      <c r="RO327"/>
      <c r="RP327"/>
      <c r="RQ327"/>
      <c r="RR327"/>
      <c r="RS327"/>
    </row>
    <row r="328" spans="19:487" x14ac:dyDescent="0.25"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  <c r="AS328"/>
      <c r="AT328"/>
      <c r="AU328"/>
      <c r="AV328"/>
      <c r="AW328"/>
      <c r="AX328"/>
      <c r="AY328"/>
      <c r="AZ328"/>
      <c r="BA328"/>
      <c r="BB328"/>
      <c r="BC328"/>
      <c r="BD328"/>
      <c r="BE328"/>
      <c r="BF328"/>
      <c r="BG328"/>
      <c r="BH328"/>
      <c r="BI328"/>
      <c r="BJ328"/>
      <c r="BK328"/>
      <c r="BL328"/>
      <c r="BM328"/>
      <c r="BN328"/>
      <c r="BO328"/>
      <c r="BP328"/>
      <c r="BQ328"/>
      <c r="BR328"/>
      <c r="BS328"/>
      <c r="BT328"/>
      <c r="BU328"/>
      <c r="BV328"/>
      <c r="BW328"/>
      <c r="BX328"/>
      <c r="BY328"/>
      <c r="BZ328"/>
      <c r="CA328"/>
      <c r="CB328"/>
      <c r="CC328"/>
      <c r="CD328"/>
      <c r="CE328"/>
      <c r="CF328"/>
      <c r="CG328"/>
      <c r="CH328"/>
      <c r="CI328"/>
      <c r="CJ328"/>
      <c r="CK328"/>
      <c r="CL328"/>
      <c r="CM328"/>
      <c r="CN328"/>
      <c r="CO328"/>
      <c r="CP328"/>
      <c r="CQ328"/>
      <c r="CR328"/>
      <c r="CS328"/>
      <c r="CT328"/>
      <c r="CU328"/>
      <c r="CV328"/>
      <c r="CW328"/>
      <c r="CX328"/>
      <c r="CY328"/>
      <c r="CZ328"/>
      <c r="DA328"/>
      <c r="DB328"/>
      <c r="DC328"/>
      <c r="DD328"/>
      <c r="DE328"/>
      <c r="DF328"/>
      <c r="DG328"/>
      <c r="DH328"/>
      <c r="DI328"/>
      <c r="DJ328"/>
      <c r="DK328"/>
      <c r="DL328"/>
      <c r="DM328"/>
      <c r="DN328"/>
      <c r="DO328"/>
      <c r="DP328"/>
      <c r="DQ328"/>
      <c r="DR328"/>
      <c r="DS328"/>
      <c r="DT328"/>
      <c r="DU328"/>
      <c r="DV328"/>
      <c r="DW328"/>
      <c r="DX328"/>
      <c r="DY328"/>
      <c r="DZ328"/>
      <c r="EA328"/>
      <c r="EB328"/>
      <c r="EC328"/>
      <c r="ED328"/>
      <c r="EE328"/>
      <c r="EF328"/>
      <c r="EG328"/>
      <c r="EH328"/>
      <c r="EI328"/>
      <c r="EJ328"/>
      <c r="EK328"/>
      <c r="EL328"/>
      <c r="EM328"/>
      <c r="EN328"/>
      <c r="EO328"/>
      <c r="EP328"/>
      <c r="EQ328"/>
      <c r="ER328"/>
      <c r="ES328"/>
      <c r="ET328"/>
      <c r="EU328"/>
      <c r="EV328"/>
      <c r="EW328"/>
      <c r="EX328"/>
      <c r="EY328"/>
      <c r="EZ328"/>
      <c r="FA328"/>
      <c r="FB328"/>
      <c r="FC328"/>
      <c r="FD328"/>
      <c r="FE328"/>
      <c r="FF328"/>
      <c r="FG328"/>
      <c r="FH328"/>
      <c r="FI328"/>
      <c r="FJ328"/>
      <c r="FK328"/>
      <c r="FL328"/>
      <c r="FM328"/>
      <c r="FN328"/>
      <c r="FO328"/>
      <c r="FP328"/>
      <c r="FQ328"/>
      <c r="FR328"/>
      <c r="FS328"/>
      <c r="FT328"/>
      <c r="FU328"/>
      <c r="FV328"/>
      <c r="FW328"/>
      <c r="FX328"/>
      <c r="FY328"/>
      <c r="FZ328"/>
      <c r="GA328"/>
      <c r="GB328"/>
      <c r="GC328"/>
      <c r="GD328"/>
      <c r="GE328"/>
      <c r="GF328"/>
      <c r="GG328"/>
      <c r="GH328"/>
      <c r="GI328"/>
      <c r="GJ328"/>
      <c r="GK328"/>
      <c r="GL328"/>
      <c r="GM328"/>
      <c r="GN328"/>
      <c r="GO328"/>
      <c r="GP328"/>
      <c r="GQ328"/>
      <c r="GR328"/>
      <c r="GS328"/>
      <c r="GT328"/>
      <c r="GU328"/>
      <c r="GV328"/>
      <c r="GW328"/>
      <c r="GX328"/>
      <c r="GY328"/>
      <c r="GZ328"/>
      <c r="HA328"/>
      <c r="HB328"/>
      <c r="HC328"/>
      <c r="HD328"/>
      <c r="HE328"/>
      <c r="HF328"/>
      <c r="HG328"/>
      <c r="HH328"/>
      <c r="HI328"/>
      <c r="HJ328"/>
      <c r="HK328"/>
      <c r="HL328"/>
      <c r="HM328"/>
      <c r="HN328"/>
      <c r="HO328"/>
      <c r="HP328"/>
      <c r="HQ328"/>
      <c r="HR328"/>
      <c r="HS328"/>
      <c r="HT328"/>
      <c r="HU328"/>
      <c r="HV328"/>
      <c r="HW328"/>
      <c r="HX328"/>
      <c r="HY328"/>
      <c r="HZ328"/>
      <c r="IA328"/>
      <c r="IB328"/>
      <c r="IC328"/>
      <c r="ID328"/>
      <c r="IE328"/>
      <c r="IF328"/>
      <c r="IG328"/>
      <c r="IH328"/>
      <c r="II328"/>
      <c r="IJ328"/>
      <c r="IK328"/>
      <c r="IL328"/>
      <c r="IM328"/>
      <c r="IN328"/>
      <c r="IO328"/>
      <c r="IP328"/>
      <c r="IQ328"/>
      <c r="IR328"/>
      <c r="IS328"/>
      <c r="IT328"/>
      <c r="IU328"/>
      <c r="IV328"/>
      <c r="IW328"/>
      <c r="IX328"/>
      <c r="IY328"/>
      <c r="IZ328"/>
      <c r="JA328"/>
      <c r="JB328"/>
      <c r="JC328"/>
      <c r="JD328"/>
      <c r="JE328"/>
      <c r="JF328"/>
      <c r="JG328"/>
      <c r="JH328"/>
      <c r="JI328"/>
      <c r="JJ328"/>
      <c r="JK328"/>
      <c r="JL328"/>
      <c r="JM328"/>
      <c r="JN328"/>
      <c r="JO328"/>
      <c r="JP328"/>
      <c r="JQ328"/>
      <c r="JR328"/>
      <c r="JS328"/>
      <c r="JT328"/>
      <c r="JU328"/>
      <c r="JV328"/>
      <c r="JW328"/>
      <c r="JX328"/>
      <c r="JY328"/>
      <c r="JZ328"/>
      <c r="KA328"/>
      <c r="KB328"/>
      <c r="KC328"/>
      <c r="KD328"/>
      <c r="KE328"/>
      <c r="KF328"/>
      <c r="KG328"/>
      <c r="KH328"/>
      <c r="KI328"/>
      <c r="KJ328"/>
      <c r="KK328"/>
      <c r="KL328"/>
      <c r="KM328"/>
      <c r="KN328"/>
      <c r="KO328"/>
      <c r="KP328"/>
      <c r="KQ328"/>
      <c r="KR328"/>
      <c r="KS328"/>
      <c r="KT328"/>
      <c r="KU328"/>
      <c r="KV328"/>
      <c r="KW328"/>
      <c r="KX328"/>
      <c r="KY328"/>
      <c r="KZ328"/>
      <c r="LA328"/>
      <c r="LB328"/>
      <c r="LC328"/>
      <c r="LD328"/>
      <c r="LE328"/>
      <c r="LF328"/>
      <c r="LG328"/>
      <c r="LH328"/>
      <c r="LI328"/>
      <c r="LJ328"/>
      <c r="LK328"/>
      <c r="LL328"/>
      <c r="LM328"/>
      <c r="LN328"/>
      <c r="LO328"/>
      <c r="LP328"/>
      <c r="LQ328"/>
      <c r="LR328"/>
      <c r="LS328"/>
      <c r="LT328"/>
      <c r="LU328"/>
      <c r="LV328"/>
      <c r="LW328"/>
      <c r="LX328"/>
      <c r="LY328"/>
      <c r="LZ328"/>
      <c r="MA328"/>
      <c r="MB328"/>
      <c r="MC328"/>
      <c r="MD328"/>
      <c r="ME328"/>
      <c r="MF328"/>
      <c r="MG328"/>
      <c r="MH328"/>
      <c r="MI328"/>
      <c r="MJ328"/>
      <c r="MK328"/>
      <c r="ML328"/>
      <c r="MM328"/>
      <c r="MN328"/>
      <c r="MO328"/>
      <c r="MP328"/>
      <c r="MQ328"/>
      <c r="MR328"/>
      <c r="MS328"/>
      <c r="MT328"/>
      <c r="MU328"/>
      <c r="MV328"/>
      <c r="MW328"/>
      <c r="MX328"/>
      <c r="MY328"/>
      <c r="MZ328"/>
      <c r="NA328"/>
      <c r="NB328"/>
      <c r="NC328"/>
      <c r="ND328"/>
      <c r="NE328"/>
      <c r="NF328"/>
      <c r="NG328"/>
      <c r="NH328"/>
      <c r="NI328"/>
      <c r="NJ328"/>
      <c r="NK328"/>
      <c r="NL328"/>
      <c r="NM328"/>
      <c r="NN328"/>
      <c r="NO328"/>
      <c r="NP328"/>
      <c r="NQ328"/>
      <c r="NR328"/>
      <c r="NS328"/>
      <c r="NT328"/>
      <c r="NU328"/>
      <c r="NV328"/>
      <c r="NW328"/>
      <c r="NX328"/>
      <c r="NY328"/>
      <c r="NZ328"/>
      <c r="OA328"/>
      <c r="OB328"/>
      <c r="OC328"/>
      <c r="OD328"/>
      <c r="OE328"/>
      <c r="OF328"/>
      <c r="OG328"/>
      <c r="OH328"/>
      <c r="OI328"/>
      <c r="OJ328"/>
      <c r="OK328"/>
      <c r="OL328"/>
      <c r="OM328"/>
      <c r="ON328"/>
      <c r="OO328"/>
      <c r="OP328"/>
      <c r="OQ328"/>
      <c r="OR328"/>
      <c r="OS328"/>
      <c r="OT328"/>
      <c r="OU328"/>
      <c r="OV328"/>
      <c r="OW328"/>
      <c r="OX328"/>
      <c r="OY328"/>
      <c r="OZ328"/>
      <c r="PA328"/>
      <c r="PB328"/>
      <c r="PC328"/>
      <c r="PD328"/>
      <c r="PE328"/>
      <c r="PF328"/>
      <c r="PG328"/>
      <c r="PH328"/>
      <c r="PI328"/>
      <c r="PJ328"/>
      <c r="PK328"/>
      <c r="PL328"/>
      <c r="PM328"/>
      <c r="PN328"/>
      <c r="PO328"/>
      <c r="PP328"/>
      <c r="PQ328"/>
      <c r="PR328"/>
      <c r="PS328"/>
      <c r="PT328"/>
      <c r="PU328"/>
      <c r="PV328"/>
      <c r="PW328"/>
      <c r="PX328"/>
      <c r="PY328"/>
      <c r="PZ328"/>
      <c r="QA328"/>
      <c r="QB328"/>
      <c r="QC328"/>
      <c r="QD328"/>
      <c r="QE328"/>
      <c r="QF328"/>
      <c r="QG328"/>
      <c r="QH328"/>
      <c r="QI328"/>
      <c r="QJ328"/>
      <c r="QK328"/>
      <c r="QL328"/>
      <c r="QM328"/>
      <c r="QN328"/>
      <c r="QO328"/>
      <c r="QP328"/>
      <c r="QQ328"/>
      <c r="QR328"/>
      <c r="QS328"/>
      <c r="QT328"/>
      <c r="QU328"/>
      <c r="QV328"/>
      <c r="QW328"/>
      <c r="QX328"/>
      <c r="QY328"/>
      <c r="QZ328"/>
      <c r="RA328"/>
      <c r="RB328"/>
      <c r="RC328"/>
      <c r="RD328"/>
      <c r="RE328"/>
      <c r="RF328"/>
      <c r="RG328"/>
      <c r="RH328"/>
      <c r="RI328"/>
      <c r="RJ328"/>
      <c r="RK328"/>
      <c r="RL328"/>
      <c r="RM328"/>
      <c r="RN328"/>
      <c r="RO328"/>
      <c r="RP328"/>
      <c r="RQ328"/>
      <c r="RR328"/>
      <c r="RS328"/>
    </row>
    <row r="329" spans="19:487" x14ac:dyDescent="0.25"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  <c r="AU329"/>
      <c r="AV329"/>
      <c r="AW329"/>
      <c r="AX329"/>
      <c r="AY329"/>
      <c r="AZ329"/>
      <c r="BA329"/>
      <c r="BB329"/>
      <c r="BC329"/>
      <c r="BD329"/>
      <c r="BE329"/>
      <c r="BF329"/>
      <c r="BG329"/>
      <c r="BH329"/>
      <c r="BI329"/>
      <c r="BJ329"/>
      <c r="BK329"/>
      <c r="BL329"/>
      <c r="BM329"/>
      <c r="BN329"/>
      <c r="BO329"/>
      <c r="BP329"/>
      <c r="BQ329"/>
      <c r="BR329"/>
      <c r="BS329"/>
      <c r="BT329"/>
      <c r="BU329"/>
      <c r="BV329"/>
      <c r="BW329"/>
      <c r="BX329"/>
      <c r="BY329"/>
      <c r="BZ329"/>
      <c r="CA329"/>
      <c r="CB329"/>
      <c r="CC329"/>
      <c r="CD329"/>
      <c r="CE329"/>
      <c r="CF329"/>
      <c r="CG329"/>
      <c r="CH329"/>
      <c r="CI329"/>
      <c r="CJ329"/>
      <c r="CK329"/>
      <c r="CL329"/>
      <c r="CM329"/>
      <c r="CN329"/>
      <c r="CO329"/>
      <c r="CP329"/>
      <c r="CQ329"/>
      <c r="CR329"/>
      <c r="CS329"/>
      <c r="CT329"/>
      <c r="CU329"/>
      <c r="CV329"/>
      <c r="CW329"/>
      <c r="CX329"/>
      <c r="CY329"/>
      <c r="CZ329"/>
      <c r="DA329"/>
      <c r="DB329"/>
      <c r="DC329"/>
      <c r="DD329"/>
      <c r="DE329"/>
      <c r="DF329"/>
      <c r="DG329"/>
      <c r="DH329"/>
      <c r="DI329"/>
      <c r="DJ329"/>
      <c r="DK329"/>
      <c r="DL329"/>
      <c r="DM329"/>
      <c r="DN329"/>
      <c r="DO329"/>
      <c r="DP329"/>
      <c r="DQ329"/>
      <c r="DR329"/>
      <c r="DS329"/>
      <c r="DT329"/>
      <c r="DU329"/>
      <c r="DV329"/>
      <c r="DW329"/>
      <c r="DX329"/>
      <c r="DY329"/>
      <c r="DZ329"/>
      <c r="EA329"/>
      <c r="EB329"/>
      <c r="EC329"/>
      <c r="ED329"/>
      <c r="EE329"/>
      <c r="EF329"/>
      <c r="EG329"/>
      <c r="EH329"/>
      <c r="EI329"/>
      <c r="EJ329"/>
      <c r="EK329"/>
      <c r="EL329"/>
      <c r="EM329"/>
      <c r="EN329"/>
      <c r="EO329"/>
      <c r="EP329"/>
      <c r="EQ329"/>
      <c r="ER329"/>
      <c r="ES329"/>
      <c r="ET329"/>
      <c r="EU329"/>
      <c r="EV329"/>
      <c r="EW329"/>
      <c r="EX329"/>
      <c r="EY329"/>
      <c r="EZ329"/>
      <c r="FA329"/>
      <c r="FB329"/>
      <c r="FC329"/>
      <c r="FD329"/>
      <c r="FE329"/>
      <c r="FF329"/>
      <c r="FG329"/>
      <c r="FH329"/>
      <c r="FI329"/>
      <c r="FJ329"/>
      <c r="FK329"/>
      <c r="FL329"/>
      <c r="FM329"/>
      <c r="FN329"/>
      <c r="FO329"/>
      <c r="FP329"/>
      <c r="FQ329"/>
      <c r="FR329"/>
      <c r="FS329"/>
      <c r="FT329"/>
      <c r="FU329"/>
      <c r="FV329"/>
      <c r="FW329"/>
      <c r="FX329"/>
      <c r="FY329"/>
      <c r="FZ329"/>
      <c r="GA329"/>
      <c r="GB329"/>
      <c r="GC329"/>
      <c r="GD329"/>
      <c r="GE329"/>
      <c r="GF329"/>
      <c r="GG329"/>
      <c r="GH329"/>
      <c r="GI329"/>
      <c r="GJ329"/>
      <c r="GK329"/>
      <c r="GL329"/>
      <c r="GM329"/>
      <c r="GN329"/>
      <c r="GO329"/>
      <c r="GP329"/>
      <c r="GQ329"/>
      <c r="GR329"/>
      <c r="GS329"/>
      <c r="GT329"/>
      <c r="GU329"/>
      <c r="GV329"/>
      <c r="GW329"/>
      <c r="GX329"/>
      <c r="GY329"/>
      <c r="GZ329"/>
      <c r="HA329"/>
      <c r="HB329"/>
      <c r="HC329"/>
      <c r="HD329"/>
      <c r="HE329"/>
      <c r="HF329"/>
      <c r="HG329"/>
      <c r="HH329"/>
      <c r="HI329"/>
      <c r="HJ329"/>
      <c r="HK329"/>
      <c r="HL329"/>
      <c r="HM329"/>
      <c r="HN329"/>
      <c r="HO329"/>
      <c r="HP329"/>
      <c r="HQ329"/>
      <c r="HR329"/>
      <c r="HS329"/>
      <c r="HT329"/>
      <c r="HU329"/>
      <c r="HV329"/>
      <c r="HW329"/>
      <c r="HX329"/>
      <c r="HY329"/>
      <c r="HZ329"/>
      <c r="IA329"/>
      <c r="IB329"/>
      <c r="IC329"/>
      <c r="ID329"/>
      <c r="IE329"/>
      <c r="IF329"/>
      <c r="IG329"/>
      <c r="IH329"/>
      <c r="II329"/>
      <c r="IJ329"/>
      <c r="IK329"/>
      <c r="IL329"/>
      <c r="IM329"/>
      <c r="IN329"/>
      <c r="IO329"/>
      <c r="IP329"/>
      <c r="IQ329"/>
      <c r="IR329"/>
      <c r="IS329"/>
      <c r="IT329"/>
      <c r="IU329"/>
      <c r="IV329"/>
      <c r="IW329"/>
      <c r="IX329"/>
      <c r="IY329"/>
      <c r="IZ329"/>
      <c r="JA329"/>
      <c r="JB329"/>
      <c r="JC329"/>
      <c r="JD329"/>
      <c r="JE329"/>
      <c r="JF329"/>
      <c r="JG329"/>
      <c r="JH329"/>
      <c r="JI329"/>
      <c r="JJ329"/>
      <c r="JK329"/>
      <c r="JL329"/>
      <c r="JM329"/>
      <c r="JN329"/>
      <c r="JO329"/>
      <c r="JP329"/>
      <c r="JQ329"/>
      <c r="JR329"/>
      <c r="JS329"/>
      <c r="JT329"/>
      <c r="JU329"/>
      <c r="JV329"/>
      <c r="JW329"/>
      <c r="JX329"/>
      <c r="JY329"/>
      <c r="JZ329"/>
      <c r="KA329"/>
      <c r="KB329"/>
      <c r="KC329"/>
      <c r="KD329"/>
      <c r="KE329"/>
      <c r="KF329"/>
      <c r="KG329"/>
      <c r="KH329"/>
      <c r="KI329"/>
      <c r="KJ329"/>
      <c r="KK329"/>
      <c r="KL329"/>
      <c r="KM329"/>
      <c r="KN329"/>
      <c r="KO329"/>
      <c r="KP329"/>
      <c r="KQ329"/>
      <c r="KR329"/>
      <c r="KS329"/>
      <c r="KT329"/>
      <c r="KU329"/>
      <c r="KV329"/>
      <c r="KW329"/>
      <c r="KX329"/>
      <c r="KY329"/>
      <c r="KZ329"/>
      <c r="LA329"/>
      <c r="LB329"/>
      <c r="LC329"/>
      <c r="LD329"/>
      <c r="LE329"/>
      <c r="LF329"/>
      <c r="LG329"/>
      <c r="LH329"/>
      <c r="LI329"/>
      <c r="LJ329"/>
      <c r="LK329"/>
      <c r="LL329"/>
      <c r="LM329"/>
      <c r="LN329"/>
      <c r="LO329"/>
      <c r="LP329"/>
      <c r="LQ329"/>
      <c r="LR329"/>
      <c r="LS329"/>
      <c r="LT329"/>
      <c r="LU329"/>
      <c r="LV329"/>
      <c r="LW329"/>
      <c r="LX329"/>
      <c r="LY329"/>
      <c r="LZ329"/>
      <c r="MA329"/>
      <c r="MB329"/>
      <c r="MC329"/>
      <c r="MD329"/>
      <c r="ME329"/>
      <c r="MF329"/>
      <c r="MG329"/>
      <c r="MH329"/>
      <c r="MI329"/>
      <c r="MJ329"/>
      <c r="MK329"/>
      <c r="ML329"/>
      <c r="MM329"/>
      <c r="MN329"/>
      <c r="MO329"/>
      <c r="MP329"/>
      <c r="MQ329"/>
      <c r="MR329"/>
      <c r="MS329"/>
      <c r="MT329"/>
      <c r="MU329"/>
      <c r="MV329"/>
      <c r="MW329"/>
      <c r="MX329"/>
      <c r="MY329"/>
      <c r="MZ329"/>
      <c r="NA329"/>
      <c r="NB329"/>
      <c r="NC329"/>
      <c r="ND329"/>
      <c r="NE329"/>
      <c r="NF329"/>
      <c r="NG329"/>
      <c r="NH329"/>
      <c r="NI329"/>
      <c r="NJ329"/>
      <c r="NK329"/>
      <c r="NL329"/>
      <c r="NM329"/>
      <c r="NN329"/>
      <c r="NO329"/>
      <c r="NP329"/>
      <c r="NQ329"/>
      <c r="NR329"/>
      <c r="NS329"/>
      <c r="NT329"/>
      <c r="NU329"/>
      <c r="NV329"/>
      <c r="NW329"/>
      <c r="NX329"/>
      <c r="NY329"/>
      <c r="NZ329"/>
      <c r="OA329"/>
      <c r="OB329"/>
      <c r="OC329"/>
      <c r="OD329"/>
      <c r="OE329"/>
      <c r="OF329"/>
      <c r="OG329"/>
      <c r="OH329"/>
      <c r="OI329"/>
      <c r="OJ329"/>
      <c r="OK329"/>
      <c r="OL329"/>
      <c r="OM329"/>
      <c r="ON329"/>
      <c r="OO329"/>
      <c r="OP329"/>
      <c r="OQ329"/>
      <c r="OR329"/>
      <c r="OS329"/>
      <c r="OT329"/>
      <c r="OU329"/>
      <c r="OV329"/>
      <c r="OW329"/>
      <c r="OX329"/>
      <c r="OY329"/>
      <c r="OZ329"/>
      <c r="PA329"/>
      <c r="PB329"/>
      <c r="PC329"/>
      <c r="PD329"/>
      <c r="PE329"/>
      <c r="PF329"/>
      <c r="PG329"/>
      <c r="PH329"/>
      <c r="PI329"/>
      <c r="PJ329"/>
      <c r="PK329"/>
      <c r="PL329"/>
      <c r="PM329"/>
      <c r="PN329"/>
      <c r="PO329"/>
      <c r="PP329"/>
      <c r="PQ329"/>
      <c r="PR329"/>
      <c r="PS329"/>
      <c r="PT329"/>
      <c r="PU329"/>
      <c r="PV329"/>
      <c r="PW329"/>
      <c r="PX329"/>
      <c r="PY329"/>
      <c r="PZ329"/>
      <c r="QA329"/>
      <c r="QB329"/>
      <c r="QC329"/>
      <c r="QD329"/>
      <c r="QE329"/>
      <c r="QF329"/>
      <c r="QG329"/>
      <c r="QH329"/>
      <c r="QI329"/>
      <c r="QJ329"/>
      <c r="QK329"/>
      <c r="QL329"/>
      <c r="QM329"/>
      <c r="QN329"/>
      <c r="QO329"/>
      <c r="QP329"/>
      <c r="QQ329"/>
      <c r="QR329"/>
      <c r="QS329"/>
      <c r="QT329"/>
      <c r="QU329"/>
      <c r="QV329"/>
      <c r="QW329"/>
      <c r="QX329"/>
      <c r="QY329"/>
      <c r="QZ329"/>
      <c r="RA329"/>
      <c r="RB329"/>
      <c r="RC329"/>
      <c r="RD329"/>
      <c r="RE329"/>
      <c r="RF329"/>
      <c r="RG329"/>
      <c r="RH329"/>
      <c r="RI329"/>
      <c r="RJ329"/>
      <c r="RK329"/>
      <c r="RL329"/>
      <c r="RM329"/>
      <c r="RN329"/>
      <c r="RO329"/>
      <c r="RP329"/>
      <c r="RQ329"/>
      <c r="RR329"/>
      <c r="RS329"/>
    </row>
    <row r="330" spans="19:487" x14ac:dyDescent="0.25"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  <c r="AS330"/>
      <c r="AT330"/>
      <c r="AU330"/>
      <c r="AV330"/>
      <c r="AW330"/>
      <c r="AX330"/>
      <c r="AY330"/>
      <c r="AZ330"/>
      <c r="BA330"/>
      <c r="BB330"/>
      <c r="BC330"/>
      <c r="BD330"/>
      <c r="BE330"/>
      <c r="BF330"/>
      <c r="BG330"/>
      <c r="BH330"/>
      <c r="BI330"/>
      <c r="BJ330"/>
      <c r="BK330"/>
      <c r="BL330"/>
      <c r="BM330"/>
      <c r="BN330"/>
      <c r="BO330"/>
      <c r="BP330"/>
      <c r="BQ330"/>
      <c r="BR330"/>
      <c r="BS330"/>
      <c r="BT330"/>
      <c r="BU330"/>
      <c r="BV330"/>
      <c r="BW330"/>
      <c r="BX330"/>
      <c r="BY330"/>
      <c r="BZ330"/>
      <c r="CA330"/>
      <c r="CB330"/>
      <c r="CC330"/>
      <c r="CD330"/>
      <c r="CE330"/>
      <c r="CF330"/>
      <c r="CG330"/>
      <c r="CH330"/>
      <c r="CI330"/>
      <c r="CJ330"/>
      <c r="CK330"/>
      <c r="CL330"/>
      <c r="CM330"/>
      <c r="CN330"/>
      <c r="CO330"/>
      <c r="CP330"/>
      <c r="CQ330"/>
      <c r="CR330"/>
      <c r="CS330"/>
      <c r="CT330"/>
      <c r="CU330"/>
      <c r="CV330"/>
      <c r="CW330"/>
      <c r="CX330"/>
      <c r="CY330"/>
      <c r="CZ330"/>
      <c r="DA330"/>
      <c r="DB330"/>
      <c r="DC330"/>
      <c r="DD330"/>
      <c r="DE330"/>
      <c r="DF330"/>
      <c r="DG330"/>
      <c r="DH330"/>
      <c r="DI330"/>
      <c r="DJ330"/>
      <c r="DK330"/>
      <c r="DL330"/>
      <c r="DM330"/>
      <c r="DN330"/>
      <c r="DO330"/>
      <c r="DP330"/>
      <c r="DQ330"/>
      <c r="DR330"/>
      <c r="DS330"/>
      <c r="DT330"/>
      <c r="DU330"/>
      <c r="DV330"/>
      <c r="DW330"/>
      <c r="DX330"/>
      <c r="DY330"/>
      <c r="DZ330"/>
      <c r="EA330"/>
      <c r="EB330"/>
      <c r="EC330"/>
      <c r="ED330"/>
      <c r="EE330"/>
      <c r="EF330"/>
      <c r="EG330"/>
      <c r="EH330"/>
      <c r="EI330"/>
      <c r="EJ330"/>
      <c r="EK330"/>
      <c r="EL330"/>
      <c r="EM330"/>
      <c r="EN330"/>
      <c r="EO330"/>
      <c r="EP330"/>
      <c r="EQ330"/>
      <c r="ER330"/>
      <c r="ES330"/>
      <c r="ET330"/>
      <c r="EU330"/>
      <c r="EV330"/>
      <c r="EW330"/>
      <c r="EX330"/>
      <c r="EY330"/>
      <c r="EZ330"/>
      <c r="FA330"/>
      <c r="FB330"/>
      <c r="FC330"/>
      <c r="FD330"/>
      <c r="FE330"/>
      <c r="FF330"/>
      <c r="FG330"/>
      <c r="FH330"/>
      <c r="FI330"/>
      <c r="FJ330"/>
      <c r="FK330"/>
      <c r="FL330"/>
      <c r="FM330"/>
      <c r="FN330"/>
      <c r="FO330"/>
      <c r="FP330"/>
      <c r="FQ330"/>
      <c r="FR330"/>
      <c r="FS330"/>
      <c r="FT330"/>
      <c r="FU330"/>
      <c r="FV330"/>
      <c r="FW330"/>
      <c r="FX330"/>
      <c r="FY330"/>
      <c r="FZ330"/>
      <c r="GA330"/>
      <c r="GB330"/>
      <c r="GC330"/>
      <c r="GD330"/>
      <c r="GE330"/>
      <c r="GF330"/>
      <c r="GG330"/>
      <c r="GH330"/>
      <c r="GI330"/>
      <c r="GJ330"/>
      <c r="GK330"/>
      <c r="GL330"/>
      <c r="GM330"/>
      <c r="GN330"/>
      <c r="GO330"/>
      <c r="GP330"/>
      <c r="GQ330"/>
      <c r="GR330"/>
      <c r="GS330"/>
      <c r="GT330"/>
      <c r="GU330"/>
      <c r="GV330"/>
      <c r="GW330"/>
      <c r="GX330"/>
      <c r="GY330"/>
      <c r="GZ330"/>
      <c r="HA330"/>
      <c r="HB330"/>
      <c r="HC330"/>
      <c r="HD330"/>
      <c r="HE330"/>
      <c r="HF330"/>
      <c r="HG330"/>
      <c r="HH330"/>
      <c r="HI330"/>
      <c r="HJ330"/>
      <c r="HK330"/>
      <c r="HL330"/>
      <c r="HM330"/>
      <c r="HN330"/>
      <c r="HO330"/>
      <c r="HP330"/>
      <c r="HQ330"/>
      <c r="HR330"/>
      <c r="HS330"/>
      <c r="HT330"/>
      <c r="HU330"/>
      <c r="HV330"/>
      <c r="HW330"/>
      <c r="HX330"/>
      <c r="HY330"/>
      <c r="HZ330"/>
      <c r="IA330"/>
      <c r="IB330"/>
      <c r="IC330"/>
      <c r="ID330"/>
      <c r="IE330"/>
      <c r="IF330"/>
      <c r="IG330"/>
      <c r="IH330"/>
      <c r="II330"/>
      <c r="IJ330"/>
      <c r="IK330"/>
      <c r="IL330"/>
      <c r="IM330"/>
      <c r="IN330"/>
      <c r="IO330"/>
      <c r="IP330"/>
      <c r="IQ330"/>
      <c r="IR330"/>
      <c r="IS330"/>
      <c r="IT330"/>
      <c r="IU330"/>
      <c r="IV330"/>
      <c r="IW330"/>
      <c r="IX330"/>
      <c r="IY330"/>
      <c r="IZ330"/>
      <c r="JA330"/>
      <c r="JB330"/>
      <c r="JC330"/>
      <c r="JD330"/>
      <c r="JE330"/>
      <c r="JF330"/>
      <c r="JG330"/>
      <c r="JH330"/>
      <c r="JI330"/>
      <c r="JJ330"/>
      <c r="JK330"/>
      <c r="JL330"/>
      <c r="JM330"/>
      <c r="JN330"/>
      <c r="JO330"/>
      <c r="JP330"/>
      <c r="JQ330"/>
      <c r="JR330"/>
      <c r="JS330"/>
      <c r="JT330"/>
      <c r="JU330"/>
      <c r="JV330"/>
      <c r="JW330"/>
      <c r="JX330"/>
      <c r="JY330"/>
      <c r="JZ330"/>
      <c r="KA330"/>
      <c r="KB330"/>
      <c r="KC330"/>
      <c r="KD330"/>
      <c r="KE330"/>
      <c r="KF330"/>
      <c r="KG330"/>
      <c r="KH330"/>
      <c r="KI330"/>
      <c r="KJ330"/>
      <c r="KK330"/>
      <c r="KL330"/>
      <c r="KM330"/>
      <c r="KN330"/>
      <c r="KO330"/>
      <c r="KP330"/>
      <c r="KQ330"/>
      <c r="KR330"/>
      <c r="KS330"/>
      <c r="KT330"/>
      <c r="KU330"/>
      <c r="KV330"/>
      <c r="KW330"/>
      <c r="KX330"/>
      <c r="KY330"/>
      <c r="KZ330"/>
      <c r="LA330"/>
      <c r="LB330"/>
      <c r="LC330"/>
      <c r="LD330"/>
      <c r="LE330"/>
      <c r="LF330"/>
      <c r="LG330"/>
      <c r="LH330"/>
      <c r="LI330"/>
      <c r="LJ330"/>
      <c r="LK330"/>
      <c r="LL330"/>
      <c r="LM330"/>
      <c r="LN330"/>
      <c r="LO330"/>
      <c r="LP330"/>
      <c r="LQ330"/>
      <c r="LR330"/>
      <c r="LS330"/>
      <c r="LT330"/>
      <c r="LU330"/>
      <c r="LV330"/>
      <c r="LW330"/>
      <c r="LX330"/>
      <c r="LY330"/>
      <c r="LZ330"/>
      <c r="MA330"/>
      <c r="MB330"/>
      <c r="MC330"/>
      <c r="MD330"/>
      <c r="ME330"/>
      <c r="MF330"/>
      <c r="MG330"/>
      <c r="MH330"/>
      <c r="MI330"/>
      <c r="MJ330"/>
      <c r="MK330"/>
      <c r="ML330"/>
      <c r="MM330"/>
      <c r="MN330"/>
      <c r="MO330"/>
      <c r="MP330"/>
      <c r="MQ330"/>
      <c r="MR330"/>
      <c r="MS330"/>
      <c r="MT330"/>
      <c r="MU330"/>
      <c r="MV330"/>
      <c r="MW330"/>
      <c r="MX330"/>
      <c r="MY330"/>
      <c r="MZ330"/>
      <c r="NA330"/>
      <c r="NB330"/>
      <c r="NC330"/>
      <c r="ND330"/>
      <c r="NE330"/>
      <c r="NF330"/>
      <c r="NG330"/>
      <c r="NH330"/>
      <c r="NI330"/>
      <c r="NJ330"/>
      <c r="NK330"/>
      <c r="NL330"/>
      <c r="NM330"/>
      <c r="NN330"/>
      <c r="NO330"/>
      <c r="NP330"/>
      <c r="NQ330"/>
      <c r="NR330"/>
      <c r="NS330"/>
      <c r="NT330"/>
      <c r="NU330"/>
      <c r="NV330"/>
      <c r="NW330"/>
      <c r="NX330"/>
      <c r="NY330"/>
      <c r="NZ330"/>
      <c r="OA330"/>
      <c r="OB330"/>
      <c r="OC330"/>
      <c r="OD330"/>
      <c r="OE330"/>
      <c r="OF330"/>
      <c r="OG330"/>
      <c r="OH330"/>
      <c r="OI330"/>
      <c r="OJ330"/>
      <c r="OK330"/>
      <c r="OL330"/>
      <c r="OM330"/>
      <c r="ON330"/>
      <c r="OO330"/>
      <c r="OP330"/>
      <c r="OQ330"/>
      <c r="OR330"/>
      <c r="OS330"/>
      <c r="OT330"/>
      <c r="OU330"/>
      <c r="OV330"/>
      <c r="OW330"/>
      <c r="OX330"/>
      <c r="OY330"/>
      <c r="OZ330"/>
      <c r="PA330"/>
      <c r="PB330"/>
      <c r="PC330"/>
      <c r="PD330"/>
      <c r="PE330"/>
      <c r="PF330"/>
      <c r="PG330"/>
      <c r="PH330"/>
      <c r="PI330"/>
      <c r="PJ330"/>
      <c r="PK330"/>
      <c r="PL330"/>
      <c r="PM330"/>
      <c r="PN330"/>
      <c r="PO330"/>
      <c r="PP330"/>
      <c r="PQ330"/>
      <c r="PR330"/>
      <c r="PS330"/>
      <c r="PT330"/>
      <c r="PU330"/>
      <c r="PV330"/>
      <c r="PW330"/>
      <c r="PX330"/>
      <c r="PY330"/>
      <c r="PZ330"/>
      <c r="QA330"/>
      <c r="QB330"/>
      <c r="QC330"/>
      <c r="QD330"/>
      <c r="QE330"/>
      <c r="QF330"/>
      <c r="QG330"/>
      <c r="QH330"/>
      <c r="QI330"/>
      <c r="QJ330"/>
      <c r="QK330"/>
      <c r="QL330"/>
      <c r="QM330"/>
      <c r="QN330"/>
      <c r="QO330"/>
      <c r="QP330"/>
      <c r="QQ330"/>
      <c r="QR330"/>
      <c r="QS330"/>
      <c r="QT330"/>
      <c r="QU330"/>
      <c r="QV330"/>
      <c r="QW330"/>
      <c r="QX330"/>
      <c r="QY330"/>
      <c r="QZ330"/>
      <c r="RA330"/>
      <c r="RB330"/>
      <c r="RC330"/>
      <c r="RD330"/>
      <c r="RE330"/>
      <c r="RF330"/>
      <c r="RG330"/>
      <c r="RH330"/>
      <c r="RI330"/>
      <c r="RJ330"/>
      <c r="RK330"/>
      <c r="RL330"/>
      <c r="RM330"/>
      <c r="RN330"/>
      <c r="RO330"/>
      <c r="RP330"/>
      <c r="RQ330"/>
      <c r="RR330"/>
      <c r="RS330"/>
    </row>
    <row r="331" spans="19:487" x14ac:dyDescent="0.25"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  <c r="AS331"/>
      <c r="AT331"/>
      <c r="AU331"/>
      <c r="AV331"/>
      <c r="AW331"/>
      <c r="AX331"/>
      <c r="AY331"/>
      <c r="AZ331"/>
      <c r="BA331"/>
      <c r="BB331"/>
      <c r="BC331"/>
      <c r="BD331"/>
      <c r="BE331"/>
      <c r="BF331"/>
      <c r="BG331"/>
      <c r="BH331"/>
      <c r="BI331"/>
      <c r="BJ331"/>
      <c r="BK331"/>
      <c r="BL331"/>
      <c r="BM331"/>
      <c r="BN331"/>
      <c r="BO331"/>
      <c r="BP331"/>
      <c r="BQ331"/>
      <c r="BR331"/>
      <c r="BS331"/>
      <c r="BT331"/>
      <c r="BU331"/>
      <c r="BV331"/>
      <c r="BW331"/>
      <c r="BX331"/>
      <c r="BY331"/>
      <c r="BZ331"/>
      <c r="CA331"/>
      <c r="CB331"/>
      <c r="CC331"/>
      <c r="CD331"/>
      <c r="CE331"/>
      <c r="CF331"/>
      <c r="CG331"/>
      <c r="CH331"/>
      <c r="CI331"/>
      <c r="CJ331"/>
      <c r="CK331"/>
      <c r="CL331"/>
      <c r="CM331"/>
      <c r="CN331"/>
      <c r="CO331"/>
      <c r="CP331"/>
      <c r="CQ331"/>
      <c r="CR331"/>
      <c r="CS331"/>
      <c r="CT331"/>
      <c r="CU331"/>
      <c r="CV331"/>
      <c r="CW331"/>
      <c r="CX331"/>
      <c r="CY331"/>
      <c r="CZ331"/>
      <c r="DA331"/>
      <c r="DB331"/>
      <c r="DC331"/>
      <c r="DD331"/>
      <c r="DE331"/>
      <c r="DF331"/>
      <c r="DG331"/>
      <c r="DH331"/>
      <c r="DI331"/>
      <c r="DJ331"/>
      <c r="DK331"/>
      <c r="DL331"/>
      <c r="DM331"/>
      <c r="DN331"/>
      <c r="DO331"/>
      <c r="DP331"/>
      <c r="DQ331"/>
      <c r="DR331"/>
      <c r="DS331"/>
      <c r="DT331"/>
      <c r="DU331"/>
      <c r="DV331"/>
      <c r="DW331"/>
      <c r="DX331"/>
      <c r="DY331"/>
      <c r="DZ331"/>
      <c r="EA331"/>
      <c r="EB331"/>
      <c r="EC331"/>
      <c r="ED331"/>
      <c r="EE331"/>
      <c r="EF331"/>
      <c r="EG331"/>
      <c r="EH331"/>
      <c r="EI331"/>
      <c r="EJ331"/>
      <c r="EK331"/>
      <c r="EL331"/>
      <c r="EM331"/>
      <c r="EN331"/>
      <c r="EO331"/>
      <c r="EP331"/>
      <c r="EQ331"/>
      <c r="ER331"/>
      <c r="ES331"/>
      <c r="ET331"/>
      <c r="EU331"/>
      <c r="EV331"/>
      <c r="EW331"/>
      <c r="EX331"/>
      <c r="EY331"/>
      <c r="EZ331"/>
      <c r="FA331"/>
      <c r="FB331"/>
      <c r="FC331"/>
      <c r="FD331"/>
      <c r="FE331"/>
      <c r="FF331"/>
      <c r="FG331"/>
      <c r="FH331"/>
      <c r="FI331"/>
      <c r="FJ331"/>
      <c r="FK331"/>
      <c r="FL331"/>
      <c r="FM331"/>
      <c r="FN331"/>
      <c r="FO331"/>
      <c r="FP331"/>
      <c r="FQ331"/>
      <c r="FR331"/>
      <c r="FS331"/>
      <c r="FT331"/>
      <c r="FU331"/>
      <c r="FV331"/>
      <c r="FW331"/>
      <c r="FX331"/>
      <c r="FY331"/>
      <c r="FZ331"/>
      <c r="GA331"/>
      <c r="GB331"/>
      <c r="GC331"/>
      <c r="GD331"/>
      <c r="GE331"/>
      <c r="GF331"/>
      <c r="GG331"/>
      <c r="GH331"/>
      <c r="GI331"/>
      <c r="GJ331"/>
      <c r="GK331"/>
      <c r="GL331"/>
      <c r="GM331"/>
      <c r="GN331"/>
      <c r="GO331"/>
      <c r="GP331"/>
      <c r="GQ331"/>
      <c r="GR331"/>
      <c r="GS331"/>
      <c r="GT331"/>
      <c r="GU331"/>
      <c r="GV331"/>
      <c r="GW331"/>
      <c r="GX331"/>
      <c r="GY331"/>
      <c r="GZ331"/>
      <c r="HA331"/>
      <c r="HB331"/>
      <c r="HC331"/>
      <c r="HD331"/>
      <c r="HE331"/>
      <c r="HF331"/>
      <c r="HG331"/>
      <c r="HH331"/>
      <c r="HI331"/>
      <c r="HJ331"/>
      <c r="HK331"/>
      <c r="HL331"/>
      <c r="HM331"/>
      <c r="HN331"/>
      <c r="HO331"/>
      <c r="HP331"/>
      <c r="HQ331"/>
      <c r="HR331"/>
      <c r="HS331"/>
      <c r="HT331"/>
      <c r="HU331"/>
      <c r="HV331"/>
      <c r="HW331"/>
      <c r="HX331"/>
      <c r="HY331"/>
      <c r="HZ331"/>
      <c r="IA331"/>
      <c r="IB331"/>
      <c r="IC331"/>
      <c r="ID331"/>
      <c r="IE331"/>
      <c r="IF331"/>
      <c r="IG331"/>
      <c r="IH331"/>
      <c r="II331"/>
      <c r="IJ331"/>
      <c r="IK331"/>
      <c r="IL331"/>
      <c r="IM331"/>
      <c r="IN331"/>
      <c r="IO331"/>
      <c r="IP331"/>
      <c r="IQ331"/>
      <c r="IR331"/>
      <c r="IS331"/>
      <c r="IT331"/>
      <c r="IU331"/>
      <c r="IV331"/>
      <c r="IW331"/>
      <c r="IX331"/>
      <c r="IY331"/>
      <c r="IZ331"/>
      <c r="JA331"/>
      <c r="JB331"/>
      <c r="JC331"/>
      <c r="JD331"/>
      <c r="JE331"/>
      <c r="JF331"/>
      <c r="JG331"/>
      <c r="JH331"/>
      <c r="JI331"/>
      <c r="JJ331"/>
      <c r="JK331"/>
      <c r="JL331"/>
      <c r="JM331"/>
      <c r="JN331"/>
      <c r="JO331"/>
      <c r="JP331"/>
      <c r="JQ331"/>
      <c r="JR331"/>
      <c r="JS331"/>
      <c r="JT331"/>
      <c r="JU331"/>
      <c r="JV331"/>
      <c r="JW331"/>
      <c r="JX331"/>
      <c r="JY331"/>
      <c r="JZ331"/>
      <c r="KA331"/>
      <c r="KB331"/>
      <c r="KC331"/>
      <c r="KD331"/>
      <c r="KE331"/>
      <c r="KF331"/>
      <c r="KG331"/>
      <c r="KH331"/>
      <c r="KI331"/>
      <c r="KJ331"/>
      <c r="KK331"/>
      <c r="KL331"/>
      <c r="KM331"/>
      <c r="KN331"/>
      <c r="KO331"/>
      <c r="KP331"/>
      <c r="KQ331"/>
      <c r="KR331"/>
      <c r="KS331"/>
      <c r="KT331"/>
      <c r="KU331"/>
      <c r="KV331"/>
      <c r="KW331"/>
      <c r="KX331"/>
      <c r="KY331"/>
      <c r="KZ331"/>
      <c r="LA331"/>
      <c r="LB331"/>
      <c r="LC331"/>
      <c r="LD331"/>
      <c r="LE331"/>
      <c r="LF331"/>
      <c r="LG331"/>
      <c r="LH331"/>
      <c r="LI331"/>
      <c r="LJ331"/>
      <c r="LK331"/>
      <c r="LL331"/>
      <c r="LM331"/>
      <c r="LN331"/>
      <c r="LO331"/>
      <c r="LP331"/>
      <c r="LQ331"/>
      <c r="LR331"/>
      <c r="LS331"/>
      <c r="LT331"/>
      <c r="LU331"/>
      <c r="LV331"/>
      <c r="LW331"/>
      <c r="LX331"/>
      <c r="LY331"/>
      <c r="LZ331"/>
      <c r="MA331"/>
      <c r="MB331"/>
      <c r="MC331"/>
      <c r="MD331"/>
      <c r="ME331"/>
      <c r="MF331"/>
      <c r="MG331"/>
      <c r="MH331"/>
      <c r="MI331"/>
      <c r="MJ331"/>
      <c r="MK331"/>
      <c r="ML331"/>
      <c r="MM331"/>
      <c r="MN331"/>
      <c r="MO331"/>
      <c r="MP331"/>
      <c r="MQ331"/>
      <c r="MR331"/>
      <c r="MS331"/>
      <c r="MT331"/>
      <c r="MU331"/>
      <c r="MV331"/>
      <c r="MW331"/>
      <c r="MX331"/>
      <c r="MY331"/>
      <c r="MZ331"/>
      <c r="NA331"/>
      <c r="NB331"/>
      <c r="NC331"/>
      <c r="ND331"/>
      <c r="NE331"/>
      <c r="NF331"/>
      <c r="NG331"/>
      <c r="NH331"/>
      <c r="NI331"/>
      <c r="NJ331"/>
      <c r="NK331"/>
      <c r="NL331"/>
      <c r="NM331"/>
      <c r="NN331"/>
      <c r="NO331"/>
      <c r="NP331"/>
      <c r="NQ331"/>
      <c r="NR331"/>
      <c r="NS331"/>
      <c r="NT331"/>
      <c r="NU331"/>
      <c r="NV331"/>
      <c r="NW331"/>
      <c r="NX331"/>
      <c r="NY331"/>
      <c r="NZ331"/>
      <c r="OA331"/>
      <c r="OB331"/>
      <c r="OC331"/>
      <c r="OD331"/>
      <c r="OE331"/>
      <c r="OF331"/>
      <c r="OG331"/>
      <c r="OH331"/>
      <c r="OI331"/>
      <c r="OJ331"/>
      <c r="OK331"/>
      <c r="OL331"/>
      <c r="OM331"/>
      <c r="ON331"/>
      <c r="OO331"/>
      <c r="OP331"/>
      <c r="OQ331"/>
      <c r="OR331"/>
      <c r="OS331"/>
      <c r="OT331"/>
      <c r="OU331"/>
      <c r="OV331"/>
      <c r="OW331"/>
      <c r="OX331"/>
      <c r="OY331"/>
      <c r="OZ331"/>
      <c r="PA331"/>
      <c r="PB331"/>
      <c r="PC331"/>
      <c r="PD331"/>
      <c r="PE331"/>
      <c r="PF331"/>
      <c r="PG331"/>
      <c r="PH331"/>
      <c r="PI331"/>
      <c r="PJ331"/>
      <c r="PK331"/>
      <c r="PL331"/>
      <c r="PM331"/>
      <c r="PN331"/>
      <c r="PO331"/>
      <c r="PP331"/>
      <c r="PQ331"/>
      <c r="PR331"/>
      <c r="PS331"/>
      <c r="PT331"/>
      <c r="PU331"/>
      <c r="PV331"/>
      <c r="PW331"/>
      <c r="PX331"/>
      <c r="PY331"/>
      <c r="PZ331"/>
      <c r="QA331"/>
      <c r="QB331"/>
      <c r="QC331"/>
      <c r="QD331"/>
      <c r="QE331"/>
      <c r="QF331"/>
      <c r="QG331"/>
      <c r="QH331"/>
      <c r="QI331"/>
      <c r="QJ331"/>
      <c r="QK331"/>
      <c r="QL331"/>
      <c r="QM331"/>
      <c r="QN331"/>
      <c r="QO331"/>
      <c r="QP331"/>
      <c r="QQ331"/>
      <c r="QR331"/>
      <c r="QS331"/>
      <c r="QT331"/>
      <c r="QU331"/>
      <c r="QV331"/>
      <c r="QW331"/>
      <c r="QX331"/>
      <c r="QY331"/>
      <c r="QZ331"/>
      <c r="RA331"/>
      <c r="RB331"/>
      <c r="RC331"/>
      <c r="RD331"/>
      <c r="RE331"/>
      <c r="RF331"/>
      <c r="RG331"/>
      <c r="RH331"/>
      <c r="RI331"/>
      <c r="RJ331"/>
      <c r="RK331"/>
      <c r="RL331"/>
      <c r="RM331"/>
      <c r="RN331"/>
      <c r="RO331"/>
      <c r="RP331"/>
      <c r="RQ331"/>
      <c r="RR331"/>
      <c r="RS331"/>
    </row>
    <row r="332" spans="19:487" x14ac:dyDescent="0.25"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  <c r="AS332"/>
      <c r="AT332"/>
      <c r="AU332"/>
      <c r="AV332"/>
      <c r="AW332"/>
      <c r="AX332"/>
      <c r="AY332"/>
      <c r="AZ332"/>
      <c r="BA332"/>
      <c r="BB332"/>
      <c r="BC332"/>
      <c r="BD332"/>
      <c r="BE332"/>
      <c r="BF332"/>
      <c r="BG332"/>
      <c r="BH332"/>
      <c r="BI332"/>
      <c r="BJ332"/>
      <c r="BK332"/>
      <c r="BL332"/>
      <c r="BM332"/>
      <c r="BN332"/>
      <c r="BO332"/>
      <c r="BP332"/>
      <c r="BQ332"/>
      <c r="BR332"/>
      <c r="BS332"/>
      <c r="BT332"/>
      <c r="BU332"/>
      <c r="BV332"/>
      <c r="BW332"/>
      <c r="BX332"/>
      <c r="BY332"/>
      <c r="BZ332"/>
      <c r="CA332"/>
      <c r="CB332"/>
      <c r="CC332"/>
      <c r="CD332"/>
      <c r="CE332"/>
      <c r="CF332"/>
      <c r="CG332"/>
      <c r="CH332"/>
      <c r="CI332"/>
      <c r="CJ332"/>
      <c r="CK332"/>
      <c r="CL332"/>
      <c r="CM332"/>
      <c r="CN332"/>
      <c r="CO332"/>
      <c r="CP332"/>
      <c r="CQ332"/>
      <c r="CR332"/>
      <c r="CS332"/>
      <c r="CT332"/>
      <c r="CU332"/>
      <c r="CV332"/>
      <c r="CW332"/>
      <c r="CX332"/>
      <c r="CY332"/>
      <c r="CZ332"/>
      <c r="DA332"/>
      <c r="DB332"/>
      <c r="DC332"/>
      <c r="DD332"/>
      <c r="DE332"/>
      <c r="DF332"/>
      <c r="DG332"/>
      <c r="DH332"/>
      <c r="DI332"/>
      <c r="DJ332"/>
      <c r="DK332"/>
      <c r="DL332"/>
      <c r="DM332"/>
      <c r="DN332"/>
      <c r="DO332"/>
      <c r="DP332"/>
      <c r="DQ332"/>
      <c r="DR332"/>
      <c r="DS332"/>
      <c r="DT332"/>
      <c r="DU332"/>
      <c r="DV332"/>
      <c r="DW332"/>
      <c r="DX332"/>
      <c r="DY332"/>
      <c r="DZ332"/>
      <c r="EA332"/>
      <c r="EB332"/>
      <c r="EC332"/>
      <c r="ED332"/>
      <c r="EE332"/>
      <c r="EF332"/>
      <c r="EG332"/>
      <c r="EH332"/>
      <c r="EI332"/>
      <c r="EJ332"/>
      <c r="EK332"/>
      <c r="EL332"/>
      <c r="EM332"/>
      <c r="EN332"/>
      <c r="EO332"/>
      <c r="EP332"/>
      <c r="EQ332"/>
      <c r="ER332"/>
      <c r="ES332"/>
      <c r="ET332"/>
      <c r="EU332"/>
      <c r="EV332"/>
      <c r="EW332"/>
      <c r="EX332"/>
      <c r="EY332"/>
      <c r="EZ332"/>
      <c r="FA332"/>
      <c r="FB332"/>
      <c r="FC332"/>
      <c r="FD332"/>
      <c r="FE332"/>
      <c r="FF332"/>
      <c r="FG332"/>
      <c r="FH332"/>
      <c r="FI332"/>
      <c r="FJ332"/>
      <c r="FK332"/>
      <c r="FL332"/>
      <c r="FM332"/>
      <c r="FN332"/>
      <c r="FO332"/>
      <c r="FP332"/>
      <c r="FQ332"/>
      <c r="FR332"/>
      <c r="FS332"/>
      <c r="FT332"/>
      <c r="FU332"/>
      <c r="FV332"/>
      <c r="FW332"/>
      <c r="FX332"/>
      <c r="FY332"/>
      <c r="FZ332"/>
      <c r="GA332"/>
      <c r="GB332"/>
      <c r="GC332"/>
      <c r="GD332"/>
      <c r="GE332"/>
      <c r="GF332"/>
      <c r="GG332"/>
      <c r="GH332"/>
      <c r="GI332"/>
      <c r="GJ332"/>
      <c r="GK332"/>
      <c r="GL332"/>
      <c r="GM332"/>
      <c r="GN332"/>
      <c r="GO332"/>
      <c r="GP332"/>
      <c r="GQ332"/>
      <c r="GR332"/>
      <c r="GS332"/>
      <c r="GT332"/>
      <c r="GU332"/>
      <c r="GV332"/>
      <c r="GW332"/>
      <c r="GX332"/>
      <c r="GY332"/>
      <c r="GZ332"/>
      <c r="HA332"/>
      <c r="HB332"/>
      <c r="HC332"/>
      <c r="HD332"/>
      <c r="HE332"/>
      <c r="HF332"/>
      <c r="HG332"/>
      <c r="HH332"/>
      <c r="HI332"/>
      <c r="HJ332"/>
      <c r="HK332"/>
      <c r="HL332"/>
      <c r="HM332"/>
      <c r="HN332"/>
      <c r="HO332"/>
      <c r="HP332"/>
      <c r="HQ332"/>
      <c r="HR332"/>
      <c r="HS332"/>
      <c r="HT332"/>
      <c r="HU332"/>
      <c r="HV332"/>
      <c r="HW332"/>
      <c r="HX332"/>
      <c r="HY332"/>
      <c r="HZ332"/>
      <c r="IA332"/>
      <c r="IB332"/>
      <c r="IC332"/>
      <c r="ID332"/>
      <c r="IE332"/>
      <c r="IF332"/>
      <c r="IG332"/>
      <c r="IH332"/>
      <c r="II332"/>
      <c r="IJ332"/>
      <c r="IK332"/>
      <c r="IL332"/>
      <c r="IM332"/>
      <c r="IN332"/>
      <c r="IO332"/>
      <c r="IP332"/>
      <c r="IQ332"/>
      <c r="IR332"/>
      <c r="IS332"/>
      <c r="IT332"/>
      <c r="IU332"/>
      <c r="IV332"/>
      <c r="IW332"/>
      <c r="IX332"/>
      <c r="IY332"/>
      <c r="IZ332"/>
      <c r="JA332"/>
      <c r="JB332"/>
      <c r="JC332"/>
      <c r="JD332"/>
      <c r="JE332"/>
      <c r="JF332"/>
      <c r="JG332"/>
      <c r="JH332"/>
      <c r="JI332"/>
      <c r="JJ332"/>
      <c r="JK332"/>
      <c r="JL332"/>
      <c r="JM332"/>
      <c r="JN332"/>
      <c r="JO332"/>
      <c r="JP332"/>
      <c r="JQ332"/>
      <c r="JR332"/>
      <c r="JS332"/>
      <c r="JT332"/>
      <c r="JU332"/>
      <c r="JV332"/>
      <c r="JW332"/>
      <c r="JX332"/>
      <c r="JY332"/>
      <c r="JZ332"/>
      <c r="KA332"/>
      <c r="KB332"/>
      <c r="KC332"/>
      <c r="KD332"/>
      <c r="KE332"/>
      <c r="KF332"/>
      <c r="KG332"/>
      <c r="KH332"/>
      <c r="KI332"/>
      <c r="KJ332"/>
      <c r="KK332"/>
      <c r="KL332"/>
      <c r="KM332"/>
      <c r="KN332"/>
      <c r="KO332"/>
      <c r="KP332"/>
      <c r="KQ332"/>
      <c r="KR332"/>
      <c r="KS332"/>
      <c r="KT332"/>
      <c r="KU332"/>
      <c r="KV332"/>
      <c r="KW332"/>
      <c r="KX332"/>
      <c r="KY332"/>
      <c r="KZ332"/>
      <c r="LA332"/>
      <c r="LB332"/>
      <c r="LC332"/>
      <c r="LD332"/>
      <c r="LE332"/>
      <c r="LF332"/>
      <c r="LG332"/>
      <c r="LH332"/>
      <c r="LI332"/>
      <c r="LJ332"/>
      <c r="LK332"/>
      <c r="LL332"/>
      <c r="LM332"/>
      <c r="LN332"/>
      <c r="LO332"/>
      <c r="LP332"/>
      <c r="LQ332"/>
      <c r="LR332"/>
      <c r="LS332"/>
      <c r="LT332"/>
      <c r="LU332"/>
      <c r="LV332"/>
      <c r="LW332"/>
      <c r="LX332"/>
      <c r="LY332"/>
      <c r="LZ332"/>
      <c r="MA332"/>
      <c r="MB332"/>
      <c r="MC332"/>
      <c r="MD332"/>
      <c r="ME332"/>
      <c r="MF332"/>
      <c r="MG332"/>
      <c r="MH332"/>
      <c r="MI332"/>
      <c r="MJ332"/>
      <c r="MK332"/>
      <c r="ML332"/>
      <c r="MM332"/>
      <c r="MN332"/>
      <c r="MO332"/>
      <c r="MP332"/>
      <c r="MQ332"/>
      <c r="MR332"/>
      <c r="MS332"/>
      <c r="MT332"/>
      <c r="MU332"/>
      <c r="MV332"/>
      <c r="MW332"/>
      <c r="MX332"/>
      <c r="MY332"/>
      <c r="MZ332"/>
      <c r="NA332"/>
      <c r="NB332"/>
      <c r="NC332"/>
      <c r="ND332"/>
      <c r="NE332"/>
      <c r="NF332"/>
      <c r="NG332"/>
      <c r="NH332"/>
      <c r="NI332"/>
      <c r="NJ332"/>
      <c r="NK332"/>
      <c r="NL332"/>
      <c r="NM332"/>
      <c r="NN332"/>
      <c r="NO332"/>
      <c r="NP332"/>
      <c r="NQ332"/>
      <c r="NR332"/>
      <c r="NS332"/>
      <c r="NT332"/>
      <c r="NU332"/>
      <c r="NV332"/>
      <c r="NW332"/>
      <c r="NX332"/>
      <c r="NY332"/>
      <c r="NZ332"/>
      <c r="OA332"/>
      <c r="OB332"/>
      <c r="OC332"/>
      <c r="OD332"/>
      <c r="OE332"/>
      <c r="OF332"/>
      <c r="OG332"/>
      <c r="OH332"/>
      <c r="OI332"/>
      <c r="OJ332"/>
      <c r="OK332"/>
      <c r="OL332"/>
      <c r="OM332"/>
      <c r="ON332"/>
      <c r="OO332"/>
      <c r="OP332"/>
      <c r="OQ332"/>
      <c r="OR332"/>
      <c r="OS332"/>
      <c r="OT332"/>
      <c r="OU332"/>
      <c r="OV332"/>
      <c r="OW332"/>
      <c r="OX332"/>
      <c r="OY332"/>
      <c r="OZ332"/>
      <c r="PA332"/>
      <c r="PB332"/>
      <c r="PC332"/>
      <c r="PD332"/>
      <c r="PE332"/>
      <c r="PF332"/>
      <c r="PG332"/>
      <c r="PH332"/>
      <c r="PI332"/>
      <c r="PJ332"/>
      <c r="PK332"/>
      <c r="PL332"/>
      <c r="PM332"/>
      <c r="PN332"/>
      <c r="PO332"/>
      <c r="PP332"/>
      <c r="PQ332"/>
      <c r="PR332"/>
      <c r="PS332"/>
      <c r="PT332"/>
      <c r="PU332"/>
      <c r="PV332"/>
      <c r="PW332"/>
      <c r="PX332"/>
      <c r="PY332"/>
      <c r="PZ332"/>
      <c r="QA332"/>
      <c r="QB332"/>
      <c r="QC332"/>
      <c r="QD332"/>
      <c r="QE332"/>
      <c r="QF332"/>
      <c r="QG332"/>
      <c r="QH332"/>
      <c r="QI332"/>
      <c r="QJ332"/>
      <c r="QK332"/>
      <c r="QL332"/>
      <c r="QM332"/>
      <c r="QN332"/>
      <c r="QO332"/>
      <c r="QP332"/>
      <c r="QQ332"/>
      <c r="QR332"/>
      <c r="QS332"/>
      <c r="QT332"/>
      <c r="QU332"/>
      <c r="QV332"/>
      <c r="QW332"/>
      <c r="QX332"/>
      <c r="QY332"/>
      <c r="QZ332"/>
      <c r="RA332"/>
      <c r="RB332"/>
      <c r="RC332"/>
      <c r="RD332"/>
      <c r="RE332"/>
      <c r="RF332"/>
      <c r="RG332"/>
      <c r="RH332"/>
      <c r="RI332"/>
      <c r="RJ332"/>
      <c r="RK332"/>
      <c r="RL332"/>
      <c r="RM332"/>
      <c r="RN332"/>
      <c r="RO332"/>
      <c r="RP332"/>
      <c r="RQ332"/>
      <c r="RR332"/>
      <c r="RS332"/>
    </row>
    <row r="333" spans="19:487" x14ac:dyDescent="0.25"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  <c r="AS333"/>
      <c r="AT333"/>
      <c r="AU333"/>
      <c r="AV333"/>
      <c r="AW333"/>
      <c r="AX333"/>
      <c r="AY333"/>
      <c r="AZ333"/>
      <c r="BA333"/>
      <c r="BB333"/>
      <c r="BC333"/>
      <c r="BD333"/>
      <c r="BE333"/>
      <c r="BF333"/>
      <c r="BG333"/>
      <c r="BH333"/>
      <c r="BI333"/>
      <c r="BJ333"/>
      <c r="BK333"/>
      <c r="BL333"/>
      <c r="BM333"/>
      <c r="BN333"/>
      <c r="BO333"/>
      <c r="BP333"/>
      <c r="BQ333"/>
      <c r="BR333"/>
      <c r="BS333"/>
      <c r="BT333"/>
      <c r="BU333"/>
      <c r="BV333"/>
      <c r="BW333"/>
      <c r="BX333"/>
      <c r="BY333"/>
      <c r="BZ333"/>
      <c r="CA333"/>
      <c r="CB333"/>
      <c r="CC333"/>
      <c r="CD333"/>
      <c r="CE333"/>
      <c r="CF333"/>
      <c r="CG333"/>
      <c r="CH333"/>
      <c r="CI333"/>
      <c r="CJ333"/>
      <c r="CK333"/>
      <c r="CL333"/>
      <c r="CM333"/>
      <c r="CN333"/>
      <c r="CO333"/>
      <c r="CP333"/>
      <c r="CQ333"/>
      <c r="CR333"/>
      <c r="CS333"/>
      <c r="CT333"/>
      <c r="CU333"/>
      <c r="CV333"/>
      <c r="CW333"/>
      <c r="CX333"/>
      <c r="CY333"/>
      <c r="CZ333"/>
      <c r="DA333"/>
      <c r="DB333"/>
      <c r="DC333"/>
      <c r="DD333"/>
      <c r="DE333"/>
      <c r="DF333"/>
      <c r="DG333"/>
      <c r="DH333"/>
      <c r="DI333"/>
      <c r="DJ333"/>
      <c r="DK333"/>
      <c r="DL333"/>
      <c r="DM333"/>
      <c r="DN333"/>
      <c r="DO333"/>
      <c r="DP333"/>
      <c r="DQ333"/>
      <c r="DR333"/>
      <c r="DS333"/>
      <c r="DT333"/>
      <c r="DU333"/>
      <c r="DV333"/>
      <c r="DW333"/>
      <c r="DX333"/>
      <c r="DY333"/>
      <c r="DZ333"/>
      <c r="EA333"/>
      <c r="EB333"/>
      <c r="EC333"/>
      <c r="ED333"/>
      <c r="EE333"/>
      <c r="EF333"/>
      <c r="EG333"/>
      <c r="EH333"/>
      <c r="EI333"/>
      <c r="EJ333"/>
      <c r="EK333"/>
      <c r="EL333"/>
      <c r="EM333"/>
      <c r="EN333"/>
      <c r="EO333"/>
      <c r="EP333"/>
      <c r="EQ333"/>
      <c r="ER333"/>
      <c r="ES333"/>
      <c r="ET333"/>
      <c r="EU333"/>
      <c r="EV333"/>
      <c r="EW333"/>
      <c r="EX333"/>
      <c r="EY333"/>
      <c r="EZ333"/>
      <c r="FA333"/>
      <c r="FB333"/>
      <c r="FC333"/>
      <c r="FD333"/>
      <c r="FE333"/>
      <c r="FF333"/>
      <c r="FG333"/>
      <c r="FH333"/>
      <c r="FI333"/>
      <c r="FJ333"/>
      <c r="FK333"/>
      <c r="FL333"/>
      <c r="FM333"/>
      <c r="FN333"/>
      <c r="FO333"/>
      <c r="FP333"/>
      <c r="FQ333"/>
      <c r="FR333"/>
      <c r="FS333"/>
      <c r="FT333"/>
      <c r="FU333"/>
      <c r="FV333"/>
      <c r="FW333"/>
      <c r="FX333"/>
      <c r="FY333"/>
      <c r="FZ333"/>
      <c r="GA333"/>
      <c r="GB333"/>
      <c r="GC333"/>
      <c r="GD333"/>
      <c r="GE333"/>
      <c r="GF333"/>
      <c r="GG333"/>
      <c r="GH333"/>
      <c r="GI333"/>
      <c r="GJ333"/>
      <c r="GK333"/>
      <c r="GL333"/>
      <c r="GM333"/>
      <c r="GN333"/>
      <c r="GO333"/>
      <c r="GP333"/>
      <c r="GQ333"/>
      <c r="GR333"/>
      <c r="GS333"/>
      <c r="GT333"/>
      <c r="GU333"/>
      <c r="GV333"/>
      <c r="GW333"/>
      <c r="GX333"/>
      <c r="GY333"/>
      <c r="GZ333"/>
      <c r="HA333"/>
      <c r="HB333"/>
      <c r="HC333"/>
      <c r="HD333"/>
      <c r="HE333"/>
      <c r="HF333"/>
      <c r="HG333"/>
      <c r="HH333"/>
      <c r="HI333"/>
      <c r="HJ333"/>
      <c r="HK333"/>
      <c r="HL333"/>
      <c r="HM333"/>
      <c r="HN333"/>
      <c r="HO333"/>
      <c r="HP333"/>
      <c r="HQ333"/>
      <c r="HR333"/>
      <c r="HS333"/>
      <c r="HT333"/>
      <c r="HU333"/>
      <c r="HV333"/>
      <c r="HW333"/>
      <c r="HX333"/>
      <c r="HY333"/>
      <c r="HZ333"/>
      <c r="IA333"/>
      <c r="IB333"/>
      <c r="IC333"/>
      <c r="ID333"/>
      <c r="IE333"/>
      <c r="IF333"/>
      <c r="IG333"/>
      <c r="IH333"/>
      <c r="II333"/>
      <c r="IJ333"/>
      <c r="IK333"/>
      <c r="IL333"/>
      <c r="IM333"/>
      <c r="IN333"/>
      <c r="IO333"/>
      <c r="IP333"/>
      <c r="IQ333"/>
      <c r="IR333"/>
      <c r="IS333"/>
      <c r="IT333"/>
      <c r="IU333"/>
      <c r="IV333"/>
      <c r="IW333"/>
      <c r="IX333"/>
      <c r="IY333"/>
      <c r="IZ333"/>
      <c r="JA333"/>
      <c r="JB333"/>
      <c r="JC333"/>
      <c r="JD333"/>
      <c r="JE333"/>
      <c r="JF333"/>
      <c r="JG333"/>
      <c r="JH333"/>
      <c r="JI333"/>
      <c r="JJ333"/>
      <c r="JK333"/>
      <c r="JL333"/>
      <c r="JM333"/>
      <c r="JN333"/>
      <c r="JO333"/>
      <c r="JP333"/>
      <c r="JQ333"/>
      <c r="JR333"/>
      <c r="JS333"/>
      <c r="JT333"/>
      <c r="JU333"/>
      <c r="JV333"/>
      <c r="JW333"/>
      <c r="JX333"/>
      <c r="JY333"/>
      <c r="JZ333"/>
      <c r="KA333"/>
      <c r="KB333"/>
      <c r="KC333"/>
      <c r="KD333"/>
      <c r="KE333"/>
      <c r="KF333"/>
      <c r="KG333"/>
      <c r="KH333"/>
      <c r="KI333"/>
      <c r="KJ333"/>
      <c r="KK333"/>
      <c r="KL333"/>
      <c r="KM333"/>
      <c r="KN333"/>
      <c r="KO333"/>
      <c r="KP333"/>
      <c r="KQ333"/>
      <c r="KR333"/>
      <c r="KS333"/>
      <c r="KT333"/>
      <c r="KU333"/>
      <c r="KV333"/>
      <c r="KW333"/>
      <c r="KX333"/>
      <c r="KY333"/>
      <c r="KZ333"/>
      <c r="LA333"/>
      <c r="LB333"/>
      <c r="LC333"/>
      <c r="LD333"/>
      <c r="LE333"/>
      <c r="LF333"/>
      <c r="LG333"/>
      <c r="LH333"/>
      <c r="LI333"/>
      <c r="LJ333"/>
      <c r="LK333"/>
      <c r="LL333"/>
      <c r="LM333"/>
      <c r="LN333"/>
      <c r="LO333"/>
      <c r="LP333"/>
      <c r="LQ333"/>
      <c r="LR333"/>
      <c r="LS333"/>
      <c r="LT333"/>
      <c r="LU333"/>
      <c r="LV333"/>
      <c r="LW333"/>
      <c r="LX333"/>
      <c r="LY333"/>
      <c r="LZ333"/>
      <c r="MA333"/>
      <c r="MB333"/>
      <c r="MC333"/>
      <c r="MD333"/>
      <c r="ME333"/>
      <c r="MF333"/>
      <c r="MG333"/>
      <c r="MH333"/>
      <c r="MI333"/>
      <c r="MJ333"/>
      <c r="MK333"/>
      <c r="ML333"/>
      <c r="MM333"/>
      <c r="MN333"/>
      <c r="MO333"/>
      <c r="MP333"/>
      <c r="MQ333"/>
      <c r="MR333"/>
      <c r="MS333"/>
      <c r="MT333"/>
      <c r="MU333"/>
      <c r="MV333"/>
      <c r="MW333"/>
      <c r="MX333"/>
      <c r="MY333"/>
      <c r="MZ333"/>
      <c r="NA333"/>
      <c r="NB333"/>
      <c r="NC333"/>
      <c r="ND333"/>
      <c r="NE333"/>
      <c r="NF333"/>
      <c r="NG333"/>
      <c r="NH333"/>
      <c r="NI333"/>
      <c r="NJ333"/>
      <c r="NK333"/>
      <c r="NL333"/>
      <c r="NM333"/>
      <c r="NN333"/>
      <c r="NO333"/>
      <c r="NP333"/>
      <c r="NQ333"/>
      <c r="NR333"/>
      <c r="NS333"/>
      <c r="NT333"/>
      <c r="NU333"/>
      <c r="NV333"/>
      <c r="NW333"/>
      <c r="NX333"/>
      <c r="NY333"/>
      <c r="NZ333"/>
      <c r="OA333"/>
      <c r="OB333"/>
      <c r="OC333"/>
      <c r="OD333"/>
      <c r="OE333"/>
      <c r="OF333"/>
      <c r="OG333"/>
      <c r="OH333"/>
      <c r="OI333"/>
      <c r="OJ333"/>
      <c r="OK333"/>
      <c r="OL333"/>
      <c r="OM333"/>
      <c r="ON333"/>
      <c r="OO333"/>
      <c r="OP333"/>
      <c r="OQ333"/>
      <c r="OR333"/>
      <c r="OS333"/>
      <c r="OT333"/>
      <c r="OU333"/>
      <c r="OV333"/>
      <c r="OW333"/>
      <c r="OX333"/>
      <c r="OY333"/>
      <c r="OZ333"/>
      <c r="PA333"/>
      <c r="PB333"/>
      <c r="PC333"/>
      <c r="PD333"/>
      <c r="PE333"/>
      <c r="PF333"/>
      <c r="PG333"/>
      <c r="PH333"/>
      <c r="PI333"/>
      <c r="PJ333"/>
      <c r="PK333"/>
      <c r="PL333"/>
      <c r="PM333"/>
      <c r="PN333"/>
      <c r="PO333"/>
      <c r="PP333"/>
      <c r="PQ333"/>
      <c r="PR333"/>
      <c r="PS333"/>
      <c r="PT333"/>
      <c r="PU333"/>
      <c r="PV333"/>
      <c r="PW333"/>
      <c r="PX333"/>
      <c r="PY333"/>
      <c r="PZ333"/>
      <c r="QA333"/>
      <c r="QB333"/>
      <c r="QC333"/>
      <c r="QD333"/>
      <c r="QE333"/>
      <c r="QF333"/>
      <c r="QG333"/>
      <c r="QH333"/>
      <c r="QI333"/>
      <c r="QJ333"/>
      <c r="QK333"/>
      <c r="QL333"/>
      <c r="QM333"/>
      <c r="QN333"/>
      <c r="QO333"/>
      <c r="QP333"/>
      <c r="QQ333"/>
      <c r="QR333"/>
      <c r="QS333"/>
      <c r="QT333"/>
      <c r="QU333"/>
      <c r="QV333"/>
      <c r="QW333"/>
      <c r="QX333"/>
      <c r="QY333"/>
      <c r="QZ333"/>
      <c r="RA333"/>
      <c r="RB333"/>
      <c r="RC333"/>
      <c r="RD333"/>
      <c r="RE333"/>
      <c r="RF333"/>
      <c r="RG333"/>
      <c r="RH333"/>
      <c r="RI333"/>
      <c r="RJ333"/>
      <c r="RK333"/>
      <c r="RL333"/>
      <c r="RM333"/>
      <c r="RN333"/>
      <c r="RO333"/>
      <c r="RP333"/>
      <c r="RQ333"/>
      <c r="RR333"/>
      <c r="RS333"/>
    </row>
    <row r="334" spans="19:487" x14ac:dyDescent="0.25"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  <c r="AS334"/>
      <c r="AT334"/>
      <c r="AU334"/>
      <c r="AV334"/>
      <c r="AW334"/>
      <c r="AX334"/>
      <c r="AY334"/>
      <c r="AZ334"/>
      <c r="BA334"/>
      <c r="BB334"/>
      <c r="BC334"/>
      <c r="BD334"/>
      <c r="BE334"/>
      <c r="BF334"/>
      <c r="BG334"/>
      <c r="BH334"/>
      <c r="BI334"/>
      <c r="BJ334"/>
      <c r="BK334"/>
      <c r="BL334"/>
      <c r="BM334"/>
      <c r="BN334"/>
      <c r="BO334"/>
      <c r="BP334"/>
      <c r="BQ334"/>
      <c r="BR334"/>
      <c r="BS334"/>
      <c r="BT334"/>
      <c r="BU334"/>
      <c r="BV334"/>
      <c r="BW334"/>
      <c r="BX334"/>
      <c r="BY334"/>
      <c r="BZ334"/>
      <c r="CA334"/>
      <c r="CB334"/>
      <c r="CC334"/>
      <c r="CD334"/>
      <c r="CE334"/>
      <c r="CF334"/>
      <c r="CG334"/>
      <c r="CH334"/>
      <c r="CI334"/>
      <c r="CJ334"/>
      <c r="CK334"/>
      <c r="CL334"/>
      <c r="CM334"/>
      <c r="CN334"/>
      <c r="CO334"/>
      <c r="CP334"/>
      <c r="CQ334"/>
      <c r="CR334"/>
      <c r="CS334"/>
      <c r="CT334"/>
      <c r="CU334"/>
      <c r="CV334"/>
      <c r="CW334"/>
      <c r="CX334"/>
      <c r="CY334"/>
      <c r="CZ334"/>
      <c r="DA334"/>
      <c r="DB334"/>
      <c r="DC334"/>
      <c r="DD334"/>
      <c r="DE334"/>
      <c r="DF334"/>
      <c r="DG334"/>
      <c r="DH334"/>
      <c r="DI334"/>
      <c r="DJ334"/>
      <c r="DK334"/>
      <c r="DL334"/>
      <c r="DM334"/>
      <c r="DN334"/>
      <c r="DO334"/>
      <c r="DP334"/>
      <c r="DQ334"/>
      <c r="DR334"/>
      <c r="DS334"/>
      <c r="DT334"/>
      <c r="DU334"/>
      <c r="DV334"/>
      <c r="DW334"/>
      <c r="DX334"/>
      <c r="DY334"/>
      <c r="DZ334"/>
      <c r="EA334"/>
      <c r="EB334"/>
      <c r="EC334"/>
      <c r="ED334"/>
      <c r="EE334"/>
      <c r="EF334"/>
      <c r="EG334"/>
      <c r="EH334"/>
      <c r="EI334"/>
      <c r="EJ334"/>
      <c r="EK334"/>
      <c r="EL334"/>
      <c r="EM334"/>
      <c r="EN334"/>
      <c r="EO334"/>
      <c r="EP334"/>
      <c r="EQ334"/>
      <c r="ER334"/>
      <c r="ES334"/>
      <c r="ET334"/>
      <c r="EU334"/>
      <c r="EV334"/>
      <c r="EW334"/>
      <c r="EX334"/>
      <c r="EY334"/>
      <c r="EZ334"/>
      <c r="FA334"/>
      <c r="FB334"/>
      <c r="FC334"/>
      <c r="FD334"/>
      <c r="FE334"/>
      <c r="FF334"/>
      <c r="FG334"/>
      <c r="FH334"/>
      <c r="FI334"/>
      <c r="FJ334"/>
      <c r="FK334"/>
      <c r="FL334"/>
      <c r="FM334"/>
      <c r="FN334"/>
      <c r="FO334"/>
      <c r="FP334"/>
      <c r="FQ334"/>
      <c r="FR334"/>
      <c r="FS334"/>
      <c r="FT334"/>
      <c r="FU334"/>
      <c r="FV334"/>
      <c r="FW334"/>
      <c r="FX334"/>
      <c r="FY334"/>
      <c r="FZ334"/>
      <c r="GA334"/>
      <c r="GB334"/>
      <c r="GC334"/>
      <c r="GD334"/>
      <c r="GE334"/>
      <c r="GF334"/>
      <c r="GG334"/>
      <c r="GH334"/>
      <c r="GI334"/>
      <c r="GJ334"/>
      <c r="GK334"/>
      <c r="GL334"/>
      <c r="GM334"/>
      <c r="GN334"/>
      <c r="GO334"/>
      <c r="GP334"/>
      <c r="GQ334"/>
      <c r="GR334"/>
      <c r="GS334"/>
      <c r="GT334"/>
      <c r="GU334"/>
      <c r="GV334"/>
      <c r="GW334"/>
      <c r="GX334"/>
      <c r="GY334"/>
      <c r="GZ334"/>
      <c r="HA334"/>
      <c r="HB334"/>
      <c r="HC334"/>
      <c r="HD334"/>
      <c r="HE334"/>
      <c r="HF334"/>
      <c r="HG334"/>
      <c r="HH334"/>
      <c r="HI334"/>
      <c r="HJ334"/>
      <c r="HK334"/>
      <c r="HL334"/>
      <c r="HM334"/>
      <c r="HN334"/>
      <c r="HO334"/>
      <c r="HP334"/>
      <c r="HQ334"/>
      <c r="HR334"/>
      <c r="HS334"/>
      <c r="HT334"/>
      <c r="HU334"/>
      <c r="HV334"/>
      <c r="HW334"/>
      <c r="HX334"/>
      <c r="HY334"/>
      <c r="HZ334"/>
      <c r="IA334"/>
      <c r="IB334"/>
      <c r="IC334"/>
      <c r="ID334"/>
      <c r="IE334"/>
      <c r="IF334"/>
      <c r="IG334"/>
      <c r="IH334"/>
      <c r="II334"/>
      <c r="IJ334"/>
      <c r="IK334"/>
      <c r="IL334"/>
      <c r="IM334"/>
      <c r="IN334"/>
      <c r="IO334"/>
      <c r="IP334"/>
      <c r="IQ334"/>
      <c r="IR334"/>
      <c r="IS334"/>
      <c r="IT334"/>
      <c r="IU334"/>
      <c r="IV334"/>
      <c r="IW334"/>
      <c r="IX334"/>
      <c r="IY334"/>
      <c r="IZ334"/>
      <c r="JA334"/>
      <c r="JB334"/>
      <c r="JC334"/>
      <c r="JD334"/>
      <c r="JE334"/>
      <c r="JF334"/>
      <c r="JG334"/>
      <c r="JH334"/>
      <c r="JI334"/>
      <c r="JJ334"/>
      <c r="JK334"/>
      <c r="JL334"/>
      <c r="JM334"/>
      <c r="JN334"/>
      <c r="JO334"/>
      <c r="JP334"/>
      <c r="JQ334"/>
      <c r="JR334"/>
      <c r="JS334"/>
      <c r="JT334"/>
      <c r="JU334"/>
      <c r="JV334"/>
      <c r="JW334"/>
      <c r="JX334"/>
      <c r="JY334"/>
      <c r="JZ334"/>
      <c r="KA334"/>
      <c r="KB334"/>
      <c r="KC334"/>
      <c r="KD334"/>
      <c r="KE334"/>
      <c r="KF334"/>
      <c r="KG334"/>
      <c r="KH334"/>
      <c r="KI334"/>
      <c r="KJ334"/>
      <c r="KK334"/>
      <c r="KL334"/>
      <c r="KM334"/>
      <c r="KN334"/>
      <c r="KO334"/>
      <c r="KP334"/>
      <c r="KQ334"/>
      <c r="KR334"/>
      <c r="KS334"/>
      <c r="KT334"/>
      <c r="KU334"/>
      <c r="KV334"/>
      <c r="KW334"/>
      <c r="KX334"/>
      <c r="KY334"/>
      <c r="KZ334"/>
      <c r="LA334"/>
      <c r="LB334"/>
      <c r="LC334"/>
      <c r="LD334"/>
      <c r="LE334"/>
      <c r="LF334"/>
      <c r="LG334"/>
      <c r="LH334"/>
      <c r="LI334"/>
      <c r="LJ334"/>
      <c r="LK334"/>
      <c r="LL334"/>
      <c r="LM334"/>
      <c r="LN334"/>
      <c r="LO334"/>
      <c r="LP334"/>
      <c r="LQ334"/>
      <c r="LR334"/>
      <c r="LS334"/>
      <c r="LT334"/>
      <c r="LU334"/>
      <c r="LV334"/>
      <c r="LW334"/>
      <c r="LX334"/>
      <c r="LY334"/>
      <c r="LZ334"/>
      <c r="MA334"/>
      <c r="MB334"/>
      <c r="MC334"/>
      <c r="MD334"/>
      <c r="ME334"/>
      <c r="MF334"/>
      <c r="MG334"/>
      <c r="MH334"/>
      <c r="MI334"/>
      <c r="MJ334"/>
      <c r="MK334"/>
      <c r="ML334"/>
      <c r="MM334"/>
      <c r="MN334"/>
      <c r="MO334"/>
      <c r="MP334"/>
      <c r="MQ334"/>
      <c r="MR334"/>
      <c r="MS334"/>
      <c r="MT334"/>
      <c r="MU334"/>
      <c r="MV334"/>
      <c r="MW334"/>
      <c r="MX334"/>
      <c r="MY334"/>
      <c r="MZ334"/>
      <c r="NA334"/>
      <c r="NB334"/>
      <c r="NC334"/>
      <c r="ND334"/>
      <c r="NE334"/>
      <c r="NF334"/>
      <c r="NG334"/>
      <c r="NH334"/>
      <c r="NI334"/>
      <c r="NJ334"/>
      <c r="NK334"/>
      <c r="NL334"/>
      <c r="NM334"/>
      <c r="NN334"/>
      <c r="NO334"/>
      <c r="NP334"/>
      <c r="NQ334"/>
      <c r="NR334"/>
      <c r="NS334"/>
      <c r="NT334"/>
      <c r="NU334"/>
      <c r="NV334"/>
      <c r="NW334"/>
      <c r="NX334"/>
      <c r="NY334"/>
      <c r="NZ334"/>
      <c r="OA334"/>
      <c r="OB334"/>
      <c r="OC334"/>
      <c r="OD334"/>
      <c r="OE334"/>
      <c r="OF334"/>
      <c r="OG334"/>
      <c r="OH334"/>
      <c r="OI334"/>
      <c r="OJ334"/>
      <c r="OK334"/>
      <c r="OL334"/>
      <c r="OM334"/>
      <c r="ON334"/>
      <c r="OO334"/>
      <c r="OP334"/>
      <c r="OQ334"/>
      <c r="OR334"/>
      <c r="OS334"/>
      <c r="OT334"/>
      <c r="OU334"/>
      <c r="OV334"/>
      <c r="OW334"/>
      <c r="OX334"/>
      <c r="OY334"/>
      <c r="OZ334"/>
      <c r="PA334"/>
      <c r="PB334"/>
      <c r="PC334"/>
      <c r="PD334"/>
      <c r="PE334"/>
      <c r="PF334"/>
      <c r="PG334"/>
      <c r="PH334"/>
      <c r="PI334"/>
      <c r="PJ334"/>
      <c r="PK334"/>
      <c r="PL334"/>
      <c r="PM334"/>
      <c r="PN334"/>
      <c r="PO334"/>
      <c r="PP334"/>
      <c r="PQ334"/>
      <c r="PR334"/>
      <c r="PS334"/>
      <c r="PT334"/>
      <c r="PU334"/>
      <c r="PV334"/>
      <c r="PW334"/>
      <c r="PX334"/>
      <c r="PY334"/>
      <c r="PZ334"/>
      <c r="QA334"/>
      <c r="QB334"/>
      <c r="QC334"/>
      <c r="QD334"/>
      <c r="QE334"/>
      <c r="QF334"/>
      <c r="QG334"/>
      <c r="QH334"/>
      <c r="QI334"/>
      <c r="QJ334"/>
      <c r="QK334"/>
      <c r="QL334"/>
      <c r="QM334"/>
      <c r="QN334"/>
      <c r="QO334"/>
      <c r="QP334"/>
      <c r="QQ334"/>
      <c r="QR334"/>
      <c r="QS334"/>
      <c r="QT334"/>
      <c r="QU334"/>
      <c r="QV334"/>
      <c r="QW334"/>
      <c r="QX334"/>
      <c r="QY334"/>
      <c r="QZ334"/>
      <c r="RA334"/>
      <c r="RB334"/>
      <c r="RC334"/>
      <c r="RD334"/>
      <c r="RE334"/>
      <c r="RF334"/>
      <c r="RG334"/>
      <c r="RH334"/>
      <c r="RI334"/>
      <c r="RJ334"/>
      <c r="RK334"/>
      <c r="RL334"/>
      <c r="RM334"/>
      <c r="RN334"/>
      <c r="RO334"/>
      <c r="RP334"/>
      <c r="RQ334"/>
      <c r="RR334"/>
      <c r="RS334"/>
    </row>
    <row r="335" spans="19:487" x14ac:dyDescent="0.25"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  <c r="AS335"/>
      <c r="AT335"/>
      <c r="AU335"/>
      <c r="AV335"/>
      <c r="AW335"/>
      <c r="AX335"/>
      <c r="AY335"/>
      <c r="AZ335"/>
      <c r="BA335"/>
      <c r="BB335"/>
      <c r="BC335"/>
      <c r="BD335"/>
      <c r="BE335"/>
      <c r="BF335"/>
      <c r="BG335"/>
      <c r="BH335"/>
      <c r="BI335"/>
      <c r="BJ335"/>
      <c r="BK335"/>
      <c r="BL335"/>
      <c r="BM335"/>
      <c r="BN335"/>
      <c r="BO335"/>
      <c r="BP335"/>
      <c r="BQ335"/>
      <c r="BR335"/>
      <c r="BS335"/>
      <c r="BT335"/>
      <c r="BU335"/>
      <c r="BV335"/>
      <c r="BW335"/>
      <c r="BX335"/>
      <c r="BY335"/>
      <c r="BZ335"/>
      <c r="CA335"/>
      <c r="CB335"/>
      <c r="CC335"/>
      <c r="CD335"/>
      <c r="CE335"/>
      <c r="CF335"/>
      <c r="CG335"/>
      <c r="CH335"/>
      <c r="CI335"/>
      <c r="CJ335"/>
      <c r="CK335"/>
      <c r="CL335"/>
      <c r="CM335"/>
      <c r="CN335"/>
      <c r="CO335"/>
      <c r="CP335"/>
      <c r="CQ335"/>
      <c r="CR335"/>
      <c r="CS335"/>
      <c r="CT335"/>
      <c r="CU335"/>
      <c r="CV335"/>
      <c r="CW335"/>
      <c r="CX335"/>
      <c r="CY335"/>
      <c r="CZ335"/>
      <c r="DA335"/>
      <c r="DB335"/>
      <c r="DC335"/>
      <c r="DD335"/>
      <c r="DE335"/>
      <c r="DF335"/>
      <c r="DG335"/>
      <c r="DH335"/>
      <c r="DI335"/>
      <c r="DJ335"/>
      <c r="DK335"/>
      <c r="DL335"/>
      <c r="DM335"/>
      <c r="DN335"/>
      <c r="DO335"/>
      <c r="DP335"/>
      <c r="DQ335"/>
      <c r="DR335"/>
      <c r="DS335"/>
      <c r="DT335"/>
      <c r="DU335"/>
      <c r="DV335"/>
      <c r="DW335"/>
      <c r="DX335"/>
      <c r="DY335"/>
      <c r="DZ335"/>
      <c r="EA335"/>
      <c r="EB335"/>
      <c r="EC335"/>
      <c r="ED335"/>
      <c r="EE335"/>
      <c r="EF335"/>
      <c r="EG335"/>
      <c r="EH335"/>
      <c r="EI335"/>
      <c r="EJ335"/>
      <c r="EK335"/>
      <c r="EL335"/>
      <c r="EM335"/>
      <c r="EN335"/>
      <c r="EO335"/>
      <c r="EP335"/>
      <c r="EQ335"/>
      <c r="ER335"/>
      <c r="ES335"/>
      <c r="ET335"/>
      <c r="EU335"/>
      <c r="EV335"/>
      <c r="EW335"/>
      <c r="EX335"/>
      <c r="EY335"/>
      <c r="EZ335"/>
      <c r="FA335"/>
      <c r="FB335"/>
      <c r="FC335"/>
      <c r="FD335"/>
      <c r="FE335"/>
      <c r="FF335"/>
      <c r="FG335"/>
      <c r="FH335"/>
      <c r="FI335"/>
      <c r="FJ335"/>
      <c r="FK335"/>
      <c r="FL335"/>
      <c r="FM335"/>
      <c r="FN335"/>
      <c r="FO335"/>
      <c r="FP335"/>
      <c r="FQ335"/>
      <c r="FR335"/>
      <c r="FS335"/>
      <c r="FT335"/>
      <c r="FU335"/>
      <c r="FV335"/>
      <c r="FW335"/>
      <c r="FX335"/>
      <c r="FY335"/>
      <c r="FZ335"/>
      <c r="GA335"/>
      <c r="GB335"/>
      <c r="GC335"/>
      <c r="GD335"/>
      <c r="GE335"/>
      <c r="GF335"/>
      <c r="GG335"/>
      <c r="GH335"/>
      <c r="GI335"/>
      <c r="GJ335"/>
      <c r="GK335"/>
      <c r="GL335"/>
      <c r="GM335"/>
      <c r="GN335"/>
      <c r="GO335"/>
      <c r="GP335"/>
      <c r="GQ335"/>
      <c r="GR335"/>
      <c r="GS335"/>
      <c r="GT335"/>
      <c r="GU335"/>
      <c r="GV335"/>
      <c r="GW335"/>
      <c r="GX335"/>
      <c r="GY335"/>
      <c r="GZ335"/>
      <c r="HA335"/>
      <c r="HB335"/>
      <c r="HC335"/>
      <c r="HD335"/>
      <c r="HE335"/>
      <c r="HF335"/>
      <c r="HG335"/>
      <c r="HH335"/>
      <c r="HI335"/>
      <c r="HJ335"/>
      <c r="HK335"/>
      <c r="HL335"/>
      <c r="HM335"/>
      <c r="HN335"/>
      <c r="HO335"/>
      <c r="HP335"/>
      <c r="HQ335"/>
      <c r="HR335"/>
      <c r="HS335"/>
      <c r="HT335"/>
      <c r="HU335"/>
      <c r="HV335"/>
      <c r="HW335"/>
      <c r="HX335"/>
      <c r="HY335"/>
      <c r="HZ335"/>
      <c r="IA335"/>
      <c r="IB335"/>
      <c r="IC335"/>
      <c r="ID335"/>
      <c r="IE335"/>
      <c r="IF335"/>
      <c r="IG335"/>
      <c r="IH335"/>
      <c r="II335"/>
      <c r="IJ335"/>
      <c r="IK335"/>
      <c r="IL335"/>
      <c r="IM335"/>
      <c r="IN335"/>
      <c r="IO335"/>
      <c r="IP335"/>
      <c r="IQ335"/>
      <c r="IR335"/>
      <c r="IS335"/>
      <c r="IT335"/>
      <c r="IU335"/>
      <c r="IV335"/>
      <c r="IW335"/>
      <c r="IX335"/>
      <c r="IY335"/>
      <c r="IZ335"/>
      <c r="JA335"/>
      <c r="JB335"/>
      <c r="JC335"/>
      <c r="JD335"/>
      <c r="JE335"/>
      <c r="JF335"/>
      <c r="JG335"/>
      <c r="JH335"/>
      <c r="JI335"/>
      <c r="JJ335"/>
      <c r="JK335"/>
      <c r="JL335"/>
      <c r="JM335"/>
      <c r="JN335"/>
      <c r="JO335"/>
      <c r="JP335"/>
      <c r="JQ335"/>
      <c r="JR335"/>
      <c r="JS335"/>
      <c r="JT335"/>
      <c r="JU335"/>
      <c r="JV335"/>
      <c r="JW335"/>
      <c r="JX335"/>
      <c r="JY335"/>
      <c r="JZ335"/>
      <c r="KA335"/>
      <c r="KB335"/>
      <c r="KC335"/>
      <c r="KD335"/>
      <c r="KE335"/>
      <c r="KF335"/>
      <c r="KG335"/>
      <c r="KH335"/>
      <c r="KI335"/>
      <c r="KJ335"/>
      <c r="KK335"/>
      <c r="KL335"/>
      <c r="KM335"/>
      <c r="KN335"/>
      <c r="KO335"/>
      <c r="KP335"/>
      <c r="KQ335"/>
      <c r="KR335"/>
      <c r="KS335"/>
      <c r="KT335"/>
      <c r="KU335"/>
      <c r="KV335"/>
      <c r="KW335"/>
      <c r="KX335"/>
      <c r="KY335"/>
      <c r="KZ335"/>
      <c r="LA335"/>
      <c r="LB335"/>
      <c r="LC335"/>
      <c r="LD335"/>
      <c r="LE335"/>
      <c r="LF335"/>
      <c r="LG335"/>
      <c r="LH335"/>
      <c r="LI335"/>
      <c r="LJ335"/>
      <c r="LK335"/>
      <c r="LL335"/>
      <c r="LM335"/>
      <c r="LN335"/>
      <c r="LO335"/>
      <c r="LP335"/>
      <c r="LQ335"/>
      <c r="LR335"/>
      <c r="LS335"/>
      <c r="LT335"/>
      <c r="LU335"/>
      <c r="LV335"/>
      <c r="LW335"/>
      <c r="LX335"/>
      <c r="LY335"/>
      <c r="LZ335"/>
      <c r="MA335"/>
      <c r="MB335"/>
      <c r="MC335"/>
      <c r="MD335"/>
      <c r="ME335"/>
      <c r="MF335"/>
      <c r="MG335"/>
      <c r="MH335"/>
      <c r="MI335"/>
      <c r="MJ335"/>
      <c r="MK335"/>
      <c r="ML335"/>
      <c r="MM335"/>
      <c r="MN335"/>
      <c r="MO335"/>
      <c r="MP335"/>
      <c r="MQ335"/>
      <c r="MR335"/>
      <c r="MS335"/>
      <c r="MT335"/>
      <c r="MU335"/>
      <c r="MV335"/>
      <c r="MW335"/>
      <c r="MX335"/>
      <c r="MY335"/>
      <c r="MZ335"/>
      <c r="NA335"/>
      <c r="NB335"/>
      <c r="NC335"/>
      <c r="ND335"/>
      <c r="NE335"/>
      <c r="NF335"/>
      <c r="NG335"/>
      <c r="NH335"/>
      <c r="NI335"/>
      <c r="NJ335"/>
      <c r="NK335"/>
      <c r="NL335"/>
      <c r="NM335"/>
      <c r="NN335"/>
      <c r="NO335"/>
      <c r="NP335"/>
      <c r="NQ335"/>
      <c r="NR335"/>
      <c r="NS335"/>
      <c r="NT335"/>
      <c r="NU335"/>
      <c r="NV335"/>
      <c r="NW335"/>
      <c r="NX335"/>
      <c r="NY335"/>
      <c r="NZ335"/>
      <c r="OA335"/>
      <c r="OB335"/>
      <c r="OC335"/>
      <c r="OD335"/>
      <c r="OE335"/>
      <c r="OF335"/>
      <c r="OG335"/>
      <c r="OH335"/>
      <c r="OI335"/>
      <c r="OJ335"/>
      <c r="OK335"/>
      <c r="OL335"/>
      <c r="OM335"/>
      <c r="ON335"/>
      <c r="OO335"/>
      <c r="OP335"/>
      <c r="OQ335"/>
      <c r="OR335"/>
      <c r="OS335"/>
      <c r="OT335"/>
      <c r="OU335"/>
      <c r="OV335"/>
      <c r="OW335"/>
      <c r="OX335"/>
      <c r="OY335"/>
      <c r="OZ335"/>
      <c r="PA335"/>
      <c r="PB335"/>
      <c r="PC335"/>
      <c r="PD335"/>
      <c r="PE335"/>
      <c r="PF335"/>
      <c r="PG335"/>
      <c r="PH335"/>
      <c r="PI335"/>
      <c r="PJ335"/>
      <c r="PK335"/>
      <c r="PL335"/>
      <c r="PM335"/>
      <c r="PN335"/>
      <c r="PO335"/>
      <c r="PP335"/>
      <c r="PQ335"/>
      <c r="PR335"/>
      <c r="PS335"/>
      <c r="PT335"/>
      <c r="PU335"/>
      <c r="PV335"/>
      <c r="PW335"/>
      <c r="PX335"/>
      <c r="PY335"/>
      <c r="PZ335"/>
      <c r="QA335"/>
      <c r="QB335"/>
      <c r="QC335"/>
      <c r="QD335"/>
      <c r="QE335"/>
      <c r="QF335"/>
      <c r="QG335"/>
      <c r="QH335"/>
      <c r="QI335"/>
      <c r="QJ335"/>
      <c r="QK335"/>
      <c r="QL335"/>
      <c r="QM335"/>
      <c r="QN335"/>
      <c r="QO335"/>
      <c r="QP335"/>
      <c r="QQ335"/>
      <c r="QR335"/>
      <c r="QS335"/>
      <c r="QT335"/>
      <c r="QU335"/>
      <c r="QV335"/>
      <c r="QW335"/>
      <c r="QX335"/>
      <c r="QY335"/>
      <c r="QZ335"/>
      <c r="RA335"/>
      <c r="RB335"/>
      <c r="RC335"/>
      <c r="RD335"/>
      <c r="RE335"/>
      <c r="RF335"/>
      <c r="RG335"/>
      <c r="RH335"/>
      <c r="RI335"/>
      <c r="RJ335"/>
      <c r="RK335"/>
      <c r="RL335"/>
      <c r="RM335"/>
      <c r="RN335"/>
      <c r="RO335"/>
      <c r="RP335"/>
      <c r="RQ335"/>
      <c r="RR335"/>
      <c r="RS335"/>
    </row>
    <row r="336" spans="19:487" x14ac:dyDescent="0.25"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  <c r="AS336"/>
      <c r="AT336"/>
      <c r="AU336"/>
      <c r="AV336"/>
      <c r="AW336"/>
      <c r="AX336"/>
      <c r="AY336"/>
      <c r="AZ336"/>
      <c r="BA336"/>
      <c r="BB336"/>
      <c r="BC336"/>
      <c r="BD336"/>
      <c r="BE336"/>
      <c r="BF336"/>
      <c r="BG336"/>
      <c r="BH336"/>
      <c r="BI336"/>
      <c r="BJ336"/>
      <c r="BK336"/>
      <c r="BL336"/>
      <c r="BM336"/>
      <c r="BN336"/>
      <c r="BO336"/>
      <c r="BP336"/>
      <c r="BQ336"/>
      <c r="BR336"/>
      <c r="BS336"/>
      <c r="BT336"/>
      <c r="BU336"/>
      <c r="BV336"/>
      <c r="BW336"/>
      <c r="BX336"/>
      <c r="BY336"/>
      <c r="BZ336"/>
      <c r="CA336"/>
      <c r="CB336"/>
      <c r="CC336"/>
      <c r="CD336"/>
      <c r="CE336"/>
      <c r="CF336"/>
      <c r="CG336"/>
      <c r="CH336"/>
      <c r="CI336"/>
      <c r="CJ336"/>
      <c r="CK336"/>
      <c r="CL336"/>
      <c r="CM336"/>
      <c r="CN336"/>
      <c r="CO336"/>
      <c r="CP336"/>
      <c r="CQ336"/>
      <c r="CR336"/>
      <c r="CS336"/>
      <c r="CT336"/>
      <c r="CU336"/>
      <c r="CV336"/>
      <c r="CW336"/>
      <c r="CX336"/>
      <c r="CY336"/>
      <c r="CZ336"/>
      <c r="DA336"/>
      <c r="DB336"/>
      <c r="DC336"/>
      <c r="DD336"/>
      <c r="DE336"/>
      <c r="DF336"/>
      <c r="DG336"/>
      <c r="DH336"/>
      <c r="DI336"/>
      <c r="DJ336"/>
      <c r="DK336"/>
      <c r="DL336"/>
      <c r="DM336"/>
      <c r="DN336"/>
      <c r="DO336"/>
      <c r="DP336"/>
      <c r="DQ336"/>
      <c r="DR336"/>
      <c r="DS336"/>
      <c r="DT336"/>
      <c r="DU336"/>
      <c r="DV336"/>
      <c r="DW336"/>
      <c r="DX336"/>
      <c r="DY336"/>
      <c r="DZ336"/>
      <c r="EA336"/>
      <c r="EB336"/>
      <c r="EC336"/>
      <c r="ED336"/>
      <c r="EE336"/>
      <c r="EF336"/>
      <c r="EG336"/>
      <c r="EH336"/>
      <c r="EI336"/>
      <c r="EJ336"/>
      <c r="EK336"/>
      <c r="EL336"/>
      <c r="EM336"/>
      <c r="EN336"/>
      <c r="EO336"/>
      <c r="EP336"/>
      <c r="EQ336"/>
      <c r="ER336"/>
      <c r="ES336"/>
      <c r="ET336"/>
      <c r="EU336"/>
      <c r="EV336"/>
      <c r="EW336"/>
      <c r="EX336"/>
      <c r="EY336"/>
      <c r="EZ336"/>
      <c r="FA336"/>
      <c r="FB336"/>
      <c r="FC336"/>
      <c r="FD336"/>
      <c r="FE336"/>
      <c r="FF336"/>
      <c r="FG336"/>
      <c r="FH336"/>
      <c r="FI336"/>
      <c r="FJ336"/>
      <c r="FK336"/>
      <c r="FL336"/>
      <c r="FM336"/>
      <c r="FN336"/>
      <c r="FO336"/>
      <c r="FP336"/>
      <c r="FQ336"/>
      <c r="FR336"/>
      <c r="FS336"/>
      <c r="FT336"/>
      <c r="FU336"/>
      <c r="FV336"/>
      <c r="FW336"/>
      <c r="FX336"/>
      <c r="FY336"/>
      <c r="FZ336"/>
      <c r="GA336"/>
      <c r="GB336"/>
      <c r="GC336"/>
      <c r="GD336"/>
      <c r="GE336"/>
      <c r="GF336"/>
      <c r="GG336"/>
      <c r="GH336"/>
      <c r="GI336"/>
      <c r="GJ336"/>
      <c r="GK336"/>
      <c r="GL336"/>
      <c r="GM336"/>
      <c r="GN336"/>
      <c r="GO336"/>
      <c r="GP336"/>
      <c r="GQ336"/>
      <c r="GR336"/>
      <c r="GS336"/>
      <c r="GT336"/>
      <c r="GU336"/>
      <c r="GV336"/>
      <c r="GW336"/>
      <c r="GX336"/>
      <c r="GY336"/>
      <c r="GZ336"/>
      <c r="HA336"/>
      <c r="HB336"/>
      <c r="HC336"/>
      <c r="HD336"/>
      <c r="HE336"/>
      <c r="HF336"/>
      <c r="HG336"/>
      <c r="HH336"/>
      <c r="HI336"/>
      <c r="HJ336"/>
      <c r="HK336"/>
      <c r="HL336"/>
      <c r="HM336"/>
      <c r="HN336"/>
      <c r="HO336"/>
      <c r="HP336"/>
      <c r="HQ336"/>
      <c r="HR336"/>
      <c r="HS336"/>
      <c r="HT336"/>
      <c r="HU336"/>
      <c r="HV336"/>
      <c r="HW336"/>
      <c r="HX336"/>
      <c r="HY336"/>
      <c r="HZ336"/>
      <c r="IA336"/>
      <c r="IB336"/>
      <c r="IC336"/>
      <c r="ID336"/>
      <c r="IE336"/>
      <c r="IF336"/>
      <c r="IG336"/>
      <c r="IH336"/>
      <c r="II336"/>
      <c r="IJ336"/>
      <c r="IK336"/>
      <c r="IL336"/>
      <c r="IM336"/>
      <c r="IN336"/>
      <c r="IO336"/>
      <c r="IP336"/>
      <c r="IQ336"/>
      <c r="IR336"/>
      <c r="IS336"/>
      <c r="IT336"/>
      <c r="IU336"/>
      <c r="IV336"/>
      <c r="IW336"/>
      <c r="IX336"/>
      <c r="IY336"/>
      <c r="IZ336"/>
      <c r="JA336"/>
      <c r="JB336"/>
      <c r="JC336"/>
      <c r="JD336"/>
      <c r="JE336"/>
      <c r="JF336"/>
      <c r="JG336"/>
      <c r="JH336"/>
      <c r="JI336"/>
      <c r="JJ336"/>
      <c r="JK336"/>
      <c r="JL336"/>
      <c r="JM336"/>
      <c r="JN336"/>
      <c r="JO336"/>
      <c r="JP336"/>
      <c r="JQ336"/>
      <c r="JR336"/>
      <c r="JS336"/>
      <c r="JT336"/>
      <c r="JU336"/>
      <c r="JV336"/>
      <c r="JW336"/>
      <c r="JX336"/>
      <c r="JY336"/>
      <c r="JZ336"/>
      <c r="KA336"/>
      <c r="KB336"/>
      <c r="KC336"/>
      <c r="KD336"/>
      <c r="KE336"/>
      <c r="KF336"/>
      <c r="KG336"/>
      <c r="KH336"/>
      <c r="KI336"/>
      <c r="KJ336"/>
      <c r="KK336"/>
      <c r="KL336"/>
      <c r="KM336"/>
      <c r="KN336"/>
      <c r="KO336"/>
      <c r="KP336"/>
      <c r="KQ336"/>
      <c r="KR336"/>
      <c r="KS336"/>
      <c r="KT336"/>
      <c r="KU336"/>
      <c r="KV336"/>
      <c r="KW336"/>
      <c r="KX336"/>
      <c r="KY336"/>
      <c r="KZ336"/>
      <c r="LA336"/>
      <c r="LB336"/>
      <c r="LC336"/>
      <c r="LD336"/>
      <c r="LE336"/>
      <c r="LF336"/>
      <c r="LG336"/>
      <c r="LH336"/>
      <c r="LI336"/>
      <c r="LJ336"/>
      <c r="LK336"/>
      <c r="LL336"/>
      <c r="LM336"/>
      <c r="LN336"/>
      <c r="LO336"/>
      <c r="LP336"/>
      <c r="LQ336"/>
      <c r="LR336"/>
      <c r="LS336"/>
      <c r="LT336"/>
      <c r="LU336"/>
      <c r="LV336"/>
      <c r="LW336"/>
      <c r="LX336"/>
      <c r="LY336"/>
      <c r="LZ336"/>
      <c r="MA336"/>
      <c r="MB336"/>
      <c r="MC336"/>
      <c r="MD336"/>
      <c r="ME336"/>
      <c r="MF336"/>
      <c r="MG336"/>
      <c r="MH336"/>
      <c r="MI336"/>
      <c r="MJ336"/>
      <c r="MK336"/>
      <c r="ML336"/>
      <c r="MM336"/>
      <c r="MN336"/>
      <c r="MO336"/>
      <c r="MP336"/>
      <c r="MQ336"/>
      <c r="MR336"/>
      <c r="MS336"/>
      <c r="MT336"/>
      <c r="MU336"/>
      <c r="MV336"/>
      <c r="MW336"/>
      <c r="MX336"/>
      <c r="MY336"/>
      <c r="MZ336"/>
      <c r="NA336"/>
      <c r="NB336"/>
      <c r="NC336"/>
      <c r="ND336"/>
      <c r="NE336"/>
      <c r="NF336"/>
      <c r="NG336"/>
      <c r="NH336"/>
      <c r="NI336"/>
      <c r="NJ336"/>
      <c r="NK336"/>
      <c r="NL336"/>
      <c r="NM336"/>
      <c r="NN336"/>
      <c r="NO336"/>
      <c r="NP336"/>
      <c r="NQ336"/>
      <c r="NR336"/>
      <c r="NS336"/>
      <c r="NT336"/>
      <c r="NU336"/>
      <c r="NV336"/>
      <c r="NW336"/>
      <c r="NX336"/>
      <c r="NY336"/>
      <c r="NZ336"/>
      <c r="OA336"/>
      <c r="OB336"/>
      <c r="OC336"/>
      <c r="OD336"/>
      <c r="OE336"/>
      <c r="OF336"/>
      <c r="OG336"/>
      <c r="OH336"/>
      <c r="OI336"/>
      <c r="OJ336"/>
      <c r="OK336"/>
      <c r="OL336"/>
      <c r="OM336"/>
      <c r="ON336"/>
      <c r="OO336"/>
      <c r="OP336"/>
      <c r="OQ336"/>
      <c r="OR336"/>
      <c r="OS336"/>
      <c r="OT336"/>
      <c r="OU336"/>
      <c r="OV336"/>
      <c r="OW336"/>
      <c r="OX336"/>
      <c r="OY336"/>
      <c r="OZ336"/>
      <c r="PA336"/>
      <c r="PB336"/>
      <c r="PC336"/>
      <c r="PD336"/>
      <c r="PE336"/>
      <c r="PF336"/>
      <c r="PG336"/>
      <c r="PH336"/>
      <c r="PI336"/>
      <c r="PJ336"/>
      <c r="PK336"/>
      <c r="PL336"/>
      <c r="PM336"/>
      <c r="PN336"/>
      <c r="PO336"/>
      <c r="PP336"/>
      <c r="PQ336"/>
      <c r="PR336"/>
      <c r="PS336"/>
      <c r="PT336"/>
      <c r="PU336"/>
      <c r="PV336"/>
      <c r="PW336"/>
      <c r="PX336"/>
      <c r="PY336"/>
      <c r="PZ336"/>
      <c r="QA336"/>
      <c r="QB336"/>
      <c r="QC336"/>
      <c r="QD336"/>
      <c r="QE336"/>
      <c r="QF336"/>
      <c r="QG336"/>
      <c r="QH336"/>
      <c r="QI336"/>
      <c r="QJ336"/>
      <c r="QK336"/>
      <c r="QL336"/>
      <c r="QM336"/>
      <c r="QN336"/>
      <c r="QO336"/>
      <c r="QP336"/>
      <c r="QQ336"/>
      <c r="QR336"/>
      <c r="QS336"/>
      <c r="QT336"/>
      <c r="QU336"/>
      <c r="QV336"/>
      <c r="QW336"/>
      <c r="QX336"/>
      <c r="QY336"/>
      <c r="QZ336"/>
      <c r="RA336"/>
      <c r="RB336"/>
      <c r="RC336"/>
      <c r="RD336"/>
      <c r="RE336"/>
      <c r="RF336"/>
      <c r="RG336"/>
      <c r="RH336"/>
      <c r="RI336"/>
      <c r="RJ336"/>
      <c r="RK336"/>
      <c r="RL336"/>
      <c r="RM336"/>
      <c r="RN336"/>
      <c r="RO336"/>
      <c r="RP336"/>
      <c r="RQ336"/>
      <c r="RR336"/>
      <c r="RS336"/>
    </row>
    <row r="337" spans="19:487" x14ac:dyDescent="0.25"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  <c r="AS337"/>
      <c r="AT337"/>
      <c r="AU337"/>
      <c r="AV337"/>
      <c r="AW337"/>
      <c r="AX337"/>
      <c r="AY337"/>
      <c r="AZ337"/>
      <c r="BA337"/>
      <c r="BB337"/>
      <c r="BC337"/>
      <c r="BD337"/>
      <c r="BE337"/>
      <c r="BF337"/>
      <c r="BG337"/>
      <c r="BH337"/>
      <c r="BI337"/>
      <c r="BJ337"/>
      <c r="BK337"/>
      <c r="BL337"/>
      <c r="BM337"/>
      <c r="BN337"/>
      <c r="BO337"/>
      <c r="BP337"/>
      <c r="BQ337"/>
      <c r="BR337"/>
      <c r="BS337"/>
      <c r="BT337"/>
      <c r="BU337"/>
      <c r="BV337"/>
      <c r="BW337"/>
      <c r="BX337"/>
      <c r="BY337"/>
      <c r="BZ337"/>
      <c r="CA337"/>
      <c r="CB337"/>
      <c r="CC337"/>
      <c r="CD337"/>
      <c r="CE337"/>
      <c r="CF337"/>
      <c r="CG337"/>
      <c r="CH337"/>
      <c r="CI337"/>
      <c r="CJ337"/>
      <c r="CK337"/>
      <c r="CL337"/>
      <c r="CM337"/>
      <c r="CN337"/>
      <c r="CO337"/>
      <c r="CP337"/>
      <c r="CQ337"/>
      <c r="CR337"/>
      <c r="CS337"/>
      <c r="CT337"/>
      <c r="CU337"/>
      <c r="CV337"/>
      <c r="CW337"/>
      <c r="CX337"/>
      <c r="CY337"/>
      <c r="CZ337"/>
      <c r="DA337"/>
      <c r="DB337"/>
      <c r="DC337"/>
      <c r="DD337"/>
      <c r="DE337"/>
      <c r="DF337"/>
      <c r="DG337"/>
      <c r="DH337"/>
      <c r="DI337"/>
      <c r="DJ337"/>
      <c r="DK337"/>
      <c r="DL337"/>
      <c r="DM337"/>
      <c r="DN337"/>
      <c r="DO337"/>
      <c r="DP337"/>
      <c r="DQ337"/>
      <c r="DR337"/>
      <c r="DS337"/>
      <c r="DT337"/>
      <c r="DU337"/>
      <c r="DV337"/>
      <c r="DW337"/>
      <c r="DX337"/>
      <c r="DY337"/>
      <c r="DZ337"/>
      <c r="EA337"/>
      <c r="EB337"/>
      <c r="EC337"/>
      <c r="ED337"/>
      <c r="EE337"/>
      <c r="EF337"/>
      <c r="EG337"/>
      <c r="EH337"/>
      <c r="EI337"/>
      <c r="EJ337"/>
      <c r="EK337"/>
      <c r="EL337"/>
      <c r="EM337"/>
      <c r="EN337"/>
      <c r="EO337"/>
      <c r="EP337"/>
      <c r="EQ337"/>
      <c r="ER337"/>
      <c r="ES337"/>
      <c r="ET337"/>
      <c r="EU337"/>
      <c r="EV337"/>
      <c r="EW337"/>
      <c r="EX337"/>
      <c r="EY337"/>
      <c r="EZ337"/>
      <c r="FA337"/>
      <c r="FB337"/>
      <c r="FC337"/>
      <c r="FD337"/>
      <c r="FE337"/>
      <c r="FF337"/>
      <c r="FG337"/>
      <c r="FH337"/>
      <c r="FI337"/>
      <c r="FJ337"/>
      <c r="FK337"/>
      <c r="FL337"/>
      <c r="FM337"/>
      <c r="FN337"/>
      <c r="FO337"/>
      <c r="FP337"/>
      <c r="FQ337"/>
      <c r="FR337"/>
      <c r="FS337"/>
      <c r="FT337"/>
      <c r="FU337"/>
      <c r="FV337"/>
      <c r="FW337"/>
      <c r="FX337"/>
      <c r="FY337"/>
      <c r="FZ337"/>
      <c r="GA337"/>
      <c r="GB337"/>
      <c r="GC337"/>
      <c r="GD337"/>
      <c r="GE337"/>
      <c r="GF337"/>
      <c r="GG337"/>
      <c r="GH337"/>
      <c r="GI337"/>
      <c r="GJ337"/>
      <c r="GK337"/>
      <c r="GL337"/>
      <c r="GM337"/>
      <c r="GN337"/>
      <c r="GO337"/>
      <c r="GP337"/>
      <c r="GQ337"/>
      <c r="GR337"/>
      <c r="GS337"/>
      <c r="GT337"/>
      <c r="GU337"/>
      <c r="GV337"/>
      <c r="GW337"/>
      <c r="GX337"/>
      <c r="GY337"/>
      <c r="GZ337"/>
      <c r="HA337"/>
      <c r="HB337"/>
      <c r="HC337"/>
      <c r="HD337"/>
      <c r="HE337"/>
      <c r="HF337"/>
      <c r="HG337"/>
      <c r="HH337"/>
      <c r="HI337"/>
      <c r="HJ337"/>
      <c r="HK337"/>
      <c r="HL337"/>
      <c r="HM337"/>
      <c r="HN337"/>
      <c r="HO337"/>
      <c r="HP337"/>
      <c r="HQ337"/>
      <c r="HR337"/>
      <c r="HS337"/>
      <c r="HT337"/>
      <c r="HU337"/>
      <c r="HV337"/>
      <c r="HW337"/>
      <c r="HX337"/>
      <c r="HY337"/>
      <c r="HZ337"/>
      <c r="IA337"/>
      <c r="IB337"/>
      <c r="IC337"/>
      <c r="ID337"/>
      <c r="IE337"/>
      <c r="IF337"/>
      <c r="IG337"/>
      <c r="IH337"/>
      <c r="II337"/>
      <c r="IJ337"/>
      <c r="IK337"/>
      <c r="IL337"/>
      <c r="IM337"/>
      <c r="IN337"/>
      <c r="IO337"/>
      <c r="IP337"/>
      <c r="IQ337"/>
      <c r="IR337"/>
      <c r="IS337"/>
      <c r="IT337"/>
      <c r="IU337"/>
      <c r="IV337"/>
      <c r="IW337"/>
      <c r="IX337"/>
      <c r="IY337"/>
      <c r="IZ337"/>
      <c r="JA337"/>
      <c r="JB337"/>
      <c r="JC337"/>
      <c r="JD337"/>
      <c r="JE337"/>
      <c r="JF337"/>
      <c r="JG337"/>
      <c r="JH337"/>
      <c r="JI337"/>
      <c r="JJ337"/>
      <c r="JK337"/>
      <c r="JL337"/>
      <c r="JM337"/>
      <c r="JN337"/>
      <c r="JO337"/>
      <c r="JP337"/>
      <c r="JQ337"/>
      <c r="JR337"/>
      <c r="JS337"/>
      <c r="JT337"/>
      <c r="JU337"/>
      <c r="JV337"/>
      <c r="JW337"/>
      <c r="JX337"/>
      <c r="JY337"/>
      <c r="JZ337"/>
      <c r="KA337"/>
      <c r="KB337"/>
      <c r="KC337"/>
      <c r="KD337"/>
      <c r="KE337"/>
      <c r="KF337"/>
      <c r="KG337"/>
      <c r="KH337"/>
      <c r="KI337"/>
      <c r="KJ337"/>
      <c r="KK337"/>
      <c r="KL337"/>
      <c r="KM337"/>
      <c r="KN337"/>
      <c r="KO337"/>
      <c r="KP337"/>
      <c r="KQ337"/>
      <c r="KR337"/>
      <c r="KS337"/>
      <c r="KT337"/>
      <c r="KU337"/>
      <c r="KV337"/>
      <c r="KW337"/>
      <c r="KX337"/>
      <c r="KY337"/>
      <c r="KZ337"/>
      <c r="LA337"/>
      <c r="LB337"/>
      <c r="LC337"/>
      <c r="LD337"/>
      <c r="LE337"/>
      <c r="LF337"/>
      <c r="LG337"/>
      <c r="LH337"/>
      <c r="LI337"/>
      <c r="LJ337"/>
      <c r="LK337"/>
      <c r="LL337"/>
      <c r="LM337"/>
      <c r="LN337"/>
      <c r="LO337"/>
      <c r="LP337"/>
      <c r="LQ337"/>
      <c r="LR337"/>
      <c r="LS337"/>
      <c r="LT337"/>
      <c r="LU337"/>
      <c r="LV337"/>
      <c r="LW337"/>
      <c r="LX337"/>
      <c r="LY337"/>
      <c r="LZ337"/>
      <c r="MA337"/>
      <c r="MB337"/>
      <c r="MC337"/>
      <c r="MD337"/>
      <c r="ME337"/>
      <c r="MF337"/>
      <c r="MG337"/>
      <c r="MH337"/>
      <c r="MI337"/>
      <c r="MJ337"/>
      <c r="MK337"/>
      <c r="ML337"/>
      <c r="MM337"/>
      <c r="MN337"/>
      <c r="MO337"/>
      <c r="MP337"/>
      <c r="MQ337"/>
      <c r="MR337"/>
      <c r="MS337"/>
      <c r="MT337"/>
      <c r="MU337"/>
      <c r="MV337"/>
      <c r="MW337"/>
      <c r="MX337"/>
      <c r="MY337"/>
      <c r="MZ337"/>
      <c r="NA337"/>
      <c r="NB337"/>
      <c r="NC337"/>
      <c r="ND337"/>
      <c r="NE337"/>
      <c r="NF337"/>
      <c r="NG337"/>
      <c r="NH337"/>
      <c r="NI337"/>
      <c r="NJ337"/>
      <c r="NK337"/>
      <c r="NL337"/>
      <c r="NM337"/>
      <c r="NN337"/>
      <c r="NO337"/>
      <c r="NP337"/>
      <c r="NQ337"/>
      <c r="NR337"/>
      <c r="NS337"/>
      <c r="NT337"/>
      <c r="NU337"/>
      <c r="NV337"/>
      <c r="NW337"/>
      <c r="NX337"/>
      <c r="NY337"/>
      <c r="NZ337"/>
      <c r="OA337"/>
      <c r="OB337"/>
      <c r="OC337"/>
      <c r="OD337"/>
      <c r="OE337"/>
      <c r="OF337"/>
      <c r="OG337"/>
      <c r="OH337"/>
      <c r="OI337"/>
      <c r="OJ337"/>
      <c r="OK337"/>
      <c r="OL337"/>
      <c r="OM337"/>
      <c r="ON337"/>
      <c r="OO337"/>
      <c r="OP337"/>
      <c r="OQ337"/>
      <c r="OR337"/>
      <c r="OS337"/>
      <c r="OT337"/>
      <c r="OU337"/>
      <c r="OV337"/>
      <c r="OW337"/>
      <c r="OX337"/>
      <c r="OY337"/>
      <c r="OZ337"/>
      <c r="PA337"/>
      <c r="PB337"/>
      <c r="PC337"/>
      <c r="PD337"/>
      <c r="PE337"/>
      <c r="PF337"/>
      <c r="PG337"/>
      <c r="PH337"/>
      <c r="PI337"/>
      <c r="PJ337"/>
      <c r="PK337"/>
      <c r="PL337"/>
      <c r="PM337"/>
      <c r="PN337"/>
      <c r="PO337"/>
      <c r="PP337"/>
      <c r="PQ337"/>
      <c r="PR337"/>
      <c r="PS337"/>
      <c r="PT337"/>
      <c r="PU337"/>
      <c r="PV337"/>
      <c r="PW337"/>
      <c r="PX337"/>
      <c r="PY337"/>
      <c r="PZ337"/>
      <c r="QA337"/>
      <c r="QB337"/>
      <c r="QC337"/>
      <c r="QD337"/>
      <c r="QE337"/>
      <c r="QF337"/>
      <c r="QG337"/>
      <c r="QH337"/>
      <c r="QI337"/>
      <c r="QJ337"/>
      <c r="QK337"/>
      <c r="QL337"/>
      <c r="QM337"/>
      <c r="QN337"/>
      <c r="QO337"/>
      <c r="QP337"/>
      <c r="QQ337"/>
      <c r="QR337"/>
      <c r="QS337"/>
      <c r="QT337"/>
      <c r="QU337"/>
      <c r="QV337"/>
      <c r="QW337"/>
      <c r="QX337"/>
      <c r="QY337"/>
      <c r="QZ337"/>
      <c r="RA337"/>
      <c r="RB337"/>
      <c r="RC337"/>
      <c r="RD337"/>
      <c r="RE337"/>
      <c r="RF337"/>
      <c r="RG337"/>
      <c r="RH337"/>
      <c r="RI337"/>
      <c r="RJ337"/>
      <c r="RK337"/>
      <c r="RL337"/>
      <c r="RM337"/>
      <c r="RN337"/>
      <c r="RO337"/>
      <c r="RP337"/>
      <c r="RQ337"/>
      <c r="RR337"/>
      <c r="RS337"/>
    </row>
    <row r="338" spans="19:487" x14ac:dyDescent="0.25"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  <c r="AS338"/>
      <c r="AT338"/>
      <c r="AU338"/>
      <c r="AV338"/>
      <c r="AW338"/>
      <c r="AX338"/>
      <c r="AY338"/>
      <c r="AZ338"/>
      <c r="BA338"/>
      <c r="BB338"/>
      <c r="BC338"/>
      <c r="BD338"/>
      <c r="BE338"/>
      <c r="BF338"/>
      <c r="BG338"/>
      <c r="BH338"/>
      <c r="BI338"/>
      <c r="BJ338"/>
      <c r="BK338"/>
      <c r="BL338"/>
      <c r="BM338"/>
      <c r="BN338"/>
      <c r="BO338"/>
      <c r="BP338"/>
      <c r="BQ338"/>
      <c r="BR338"/>
      <c r="BS338"/>
      <c r="BT338"/>
      <c r="BU338"/>
      <c r="BV338"/>
      <c r="BW338"/>
      <c r="BX338"/>
      <c r="BY338"/>
      <c r="BZ338"/>
      <c r="CA338"/>
      <c r="CB338"/>
      <c r="CC338"/>
      <c r="CD338"/>
      <c r="CE338"/>
      <c r="CF338"/>
      <c r="CG338"/>
      <c r="CH338"/>
      <c r="CI338"/>
      <c r="CJ338"/>
      <c r="CK338"/>
      <c r="CL338"/>
      <c r="CM338"/>
      <c r="CN338"/>
      <c r="CO338"/>
      <c r="CP338"/>
      <c r="CQ338"/>
      <c r="CR338"/>
      <c r="CS338"/>
      <c r="CT338"/>
      <c r="CU338"/>
      <c r="CV338"/>
      <c r="CW338"/>
      <c r="CX338"/>
      <c r="CY338"/>
      <c r="CZ338"/>
      <c r="DA338"/>
      <c r="DB338"/>
      <c r="DC338"/>
      <c r="DD338"/>
      <c r="DE338"/>
      <c r="DF338"/>
      <c r="DG338"/>
      <c r="DH338"/>
      <c r="DI338"/>
      <c r="DJ338"/>
      <c r="DK338"/>
      <c r="DL338"/>
      <c r="DM338"/>
      <c r="DN338"/>
      <c r="DO338"/>
      <c r="DP338"/>
      <c r="DQ338"/>
      <c r="DR338"/>
      <c r="DS338"/>
      <c r="DT338"/>
      <c r="DU338"/>
      <c r="DV338"/>
      <c r="DW338"/>
      <c r="DX338"/>
      <c r="DY338"/>
      <c r="DZ338"/>
      <c r="EA338"/>
      <c r="EB338"/>
      <c r="EC338"/>
      <c r="ED338"/>
      <c r="EE338"/>
      <c r="EF338"/>
      <c r="EG338"/>
      <c r="EH338"/>
      <c r="EI338"/>
      <c r="EJ338"/>
      <c r="EK338"/>
      <c r="EL338"/>
      <c r="EM338"/>
      <c r="EN338"/>
      <c r="EO338"/>
      <c r="EP338"/>
      <c r="EQ338"/>
      <c r="ER338"/>
      <c r="ES338"/>
      <c r="ET338"/>
      <c r="EU338"/>
      <c r="EV338"/>
      <c r="EW338"/>
      <c r="EX338"/>
      <c r="EY338"/>
      <c r="EZ338"/>
      <c r="FA338"/>
      <c r="FB338"/>
      <c r="FC338"/>
      <c r="FD338"/>
      <c r="FE338"/>
      <c r="FF338"/>
      <c r="FG338"/>
      <c r="FH338"/>
      <c r="FI338"/>
      <c r="FJ338"/>
      <c r="FK338"/>
      <c r="FL338"/>
      <c r="FM338"/>
      <c r="FN338"/>
      <c r="FO338"/>
      <c r="FP338"/>
      <c r="FQ338"/>
      <c r="FR338"/>
      <c r="FS338"/>
      <c r="FT338"/>
      <c r="FU338"/>
      <c r="FV338"/>
      <c r="FW338"/>
      <c r="FX338"/>
      <c r="FY338"/>
      <c r="FZ338"/>
      <c r="GA338"/>
      <c r="GB338"/>
      <c r="GC338"/>
      <c r="GD338"/>
      <c r="GE338"/>
      <c r="GF338"/>
      <c r="GG338"/>
      <c r="GH338"/>
      <c r="GI338"/>
      <c r="GJ338"/>
      <c r="GK338"/>
      <c r="GL338"/>
      <c r="GM338"/>
      <c r="GN338"/>
      <c r="GO338"/>
      <c r="GP338"/>
      <c r="GQ338"/>
      <c r="GR338"/>
      <c r="GS338"/>
      <c r="GT338"/>
      <c r="GU338"/>
      <c r="GV338"/>
      <c r="GW338"/>
      <c r="GX338"/>
      <c r="GY338"/>
      <c r="GZ338"/>
      <c r="HA338"/>
      <c r="HB338"/>
      <c r="HC338"/>
      <c r="HD338"/>
      <c r="HE338"/>
      <c r="HF338"/>
      <c r="HG338"/>
      <c r="HH338"/>
      <c r="HI338"/>
      <c r="HJ338"/>
      <c r="HK338"/>
      <c r="HL338"/>
      <c r="HM338"/>
      <c r="HN338"/>
      <c r="HO338"/>
      <c r="HP338"/>
      <c r="HQ338"/>
      <c r="HR338"/>
      <c r="HS338"/>
      <c r="HT338"/>
      <c r="HU338"/>
      <c r="HV338"/>
      <c r="HW338"/>
      <c r="HX338"/>
      <c r="HY338"/>
      <c r="HZ338"/>
      <c r="IA338"/>
      <c r="IB338"/>
      <c r="IC338"/>
      <c r="ID338"/>
      <c r="IE338"/>
      <c r="IF338"/>
      <c r="IG338"/>
      <c r="IH338"/>
      <c r="II338"/>
      <c r="IJ338"/>
      <c r="IK338"/>
      <c r="IL338"/>
      <c r="IM338"/>
      <c r="IN338"/>
      <c r="IO338"/>
      <c r="IP338"/>
      <c r="IQ338"/>
      <c r="IR338"/>
      <c r="IS338"/>
      <c r="IT338"/>
      <c r="IU338"/>
      <c r="IV338"/>
      <c r="IW338"/>
      <c r="IX338"/>
      <c r="IY338"/>
      <c r="IZ338"/>
      <c r="JA338"/>
      <c r="JB338"/>
      <c r="JC338"/>
      <c r="JD338"/>
      <c r="JE338"/>
      <c r="JF338"/>
      <c r="JG338"/>
      <c r="JH338"/>
      <c r="JI338"/>
      <c r="JJ338"/>
      <c r="JK338"/>
      <c r="JL338"/>
      <c r="JM338"/>
      <c r="JN338"/>
      <c r="JO338"/>
      <c r="JP338"/>
      <c r="JQ338"/>
      <c r="JR338"/>
      <c r="JS338"/>
      <c r="JT338"/>
      <c r="JU338"/>
      <c r="JV338"/>
      <c r="JW338"/>
      <c r="JX338"/>
      <c r="JY338"/>
      <c r="JZ338"/>
      <c r="KA338"/>
      <c r="KB338"/>
      <c r="KC338"/>
      <c r="KD338"/>
      <c r="KE338"/>
      <c r="KF338"/>
      <c r="KG338"/>
      <c r="KH338"/>
      <c r="KI338"/>
      <c r="KJ338"/>
      <c r="KK338"/>
      <c r="KL338"/>
      <c r="KM338"/>
      <c r="KN338"/>
      <c r="KO338"/>
      <c r="KP338"/>
      <c r="KQ338"/>
      <c r="KR338"/>
      <c r="KS338"/>
      <c r="KT338"/>
      <c r="KU338"/>
      <c r="KV338"/>
      <c r="KW338"/>
      <c r="KX338"/>
      <c r="KY338"/>
      <c r="KZ338"/>
      <c r="LA338"/>
      <c r="LB338"/>
      <c r="LC338"/>
      <c r="LD338"/>
      <c r="LE338"/>
      <c r="LF338"/>
      <c r="LG338"/>
      <c r="LH338"/>
      <c r="LI338"/>
      <c r="LJ338"/>
      <c r="LK338"/>
      <c r="LL338"/>
      <c r="LM338"/>
      <c r="LN338"/>
      <c r="LO338"/>
      <c r="LP338"/>
      <c r="LQ338"/>
      <c r="LR338"/>
      <c r="LS338"/>
      <c r="LT338"/>
      <c r="LU338"/>
      <c r="LV338"/>
      <c r="LW338"/>
      <c r="LX338"/>
      <c r="LY338"/>
      <c r="LZ338"/>
      <c r="MA338"/>
      <c r="MB338"/>
      <c r="MC338"/>
      <c r="MD338"/>
      <c r="ME338"/>
      <c r="MF338"/>
      <c r="MG338"/>
      <c r="MH338"/>
      <c r="MI338"/>
      <c r="MJ338"/>
      <c r="MK338"/>
      <c r="ML338"/>
      <c r="MM338"/>
      <c r="MN338"/>
      <c r="MO338"/>
      <c r="MP338"/>
      <c r="MQ338"/>
      <c r="MR338"/>
      <c r="MS338"/>
      <c r="MT338"/>
      <c r="MU338"/>
      <c r="MV338"/>
      <c r="MW338"/>
      <c r="MX338"/>
      <c r="MY338"/>
      <c r="MZ338"/>
      <c r="NA338"/>
      <c r="NB338"/>
      <c r="NC338"/>
      <c r="ND338"/>
      <c r="NE338"/>
      <c r="NF338"/>
      <c r="NG338"/>
      <c r="NH338"/>
      <c r="NI338"/>
      <c r="NJ338"/>
      <c r="NK338"/>
      <c r="NL338"/>
      <c r="NM338"/>
      <c r="NN338"/>
      <c r="NO338"/>
      <c r="NP338"/>
      <c r="NQ338"/>
      <c r="NR338"/>
      <c r="NS338"/>
      <c r="NT338"/>
      <c r="NU338"/>
      <c r="NV338"/>
      <c r="NW338"/>
      <c r="NX338"/>
      <c r="NY338"/>
      <c r="NZ338"/>
      <c r="OA338"/>
      <c r="OB338"/>
      <c r="OC338"/>
      <c r="OD338"/>
      <c r="OE338"/>
      <c r="OF338"/>
      <c r="OG338"/>
      <c r="OH338"/>
      <c r="OI338"/>
      <c r="OJ338"/>
      <c r="OK338"/>
      <c r="OL338"/>
      <c r="OM338"/>
      <c r="ON338"/>
      <c r="OO338"/>
      <c r="OP338"/>
      <c r="OQ338"/>
      <c r="OR338"/>
      <c r="OS338"/>
      <c r="OT338"/>
      <c r="OU338"/>
      <c r="OV338"/>
      <c r="OW338"/>
      <c r="OX338"/>
      <c r="OY338"/>
      <c r="OZ338"/>
      <c r="PA338"/>
      <c r="PB338"/>
      <c r="PC338"/>
      <c r="PD338"/>
      <c r="PE338"/>
      <c r="PF338"/>
      <c r="PG338"/>
      <c r="PH338"/>
      <c r="PI338"/>
      <c r="PJ338"/>
      <c r="PK338"/>
      <c r="PL338"/>
      <c r="PM338"/>
      <c r="PN338"/>
      <c r="PO338"/>
      <c r="PP338"/>
      <c r="PQ338"/>
      <c r="PR338"/>
      <c r="PS338"/>
      <c r="PT338"/>
      <c r="PU338"/>
      <c r="PV338"/>
      <c r="PW338"/>
      <c r="PX338"/>
      <c r="PY338"/>
      <c r="PZ338"/>
      <c r="QA338"/>
      <c r="QB338"/>
      <c r="QC338"/>
      <c r="QD338"/>
      <c r="QE338"/>
      <c r="QF338"/>
      <c r="QG338"/>
      <c r="QH338"/>
      <c r="QI338"/>
      <c r="QJ338"/>
      <c r="QK338"/>
      <c r="QL338"/>
      <c r="QM338"/>
      <c r="QN338"/>
      <c r="QO338"/>
      <c r="QP338"/>
      <c r="QQ338"/>
      <c r="QR338"/>
      <c r="QS338"/>
      <c r="QT338"/>
      <c r="QU338"/>
      <c r="QV338"/>
      <c r="QW338"/>
      <c r="QX338"/>
      <c r="QY338"/>
      <c r="QZ338"/>
      <c r="RA338"/>
      <c r="RB338"/>
      <c r="RC338"/>
      <c r="RD338"/>
      <c r="RE338"/>
      <c r="RF338"/>
      <c r="RG338"/>
      <c r="RH338"/>
      <c r="RI338"/>
      <c r="RJ338"/>
      <c r="RK338"/>
      <c r="RL338"/>
      <c r="RM338"/>
      <c r="RN338"/>
      <c r="RO338"/>
      <c r="RP338"/>
      <c r="RQ338"/>
      <c r="RR338"/>
      <c r="RS338"/>
    </row>
    <row r="339" spans="19:487" x14ac:dyDescent="0.25"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  <c r="AS339"/>
      <c r="AT339"/>
      <c r="AU339"/>
      <c r="AV339"/>
      <c r="AW339"/>
      <c r="AX339"/>
      <c r="AY339"/>
      <c r="AZ339"/>
      <c r="BA339"/>
      <c r="BB339"/>
      <c r="BC339"/>
      <c r="BD339"/>
      <c r="BE339"/>
      <c r="BF339"/>
      <c r="BG339"/>
      <c r="BH339"/>
      <c r="BI339"/>
      <c r="BJ339"/>
      <c r="BK339"/>
      <c r="BL339"/>
      <c r="BM339"/>
      <c r="BN339"/>
      <c r="BO339"/>
      <c r="BP339"/>
      <c r="BQ339"/>
      <c r="BR339"/>
      <c r="BS339"/>
      <c r="BT339"/>
      <c r="BU339"/>
      <c r="BV339"/>
      <c r="BW339"/>
      <c r="BX339"/>
      <c r="BY339"/>
      <c r="BZ339"/>
      <c r="CA339"/>
      <c r="CB339"/>
      <c r="CC339"/>
      <c r="CD339"/>
      <c r="CE339"/>
      <c r="CF339"/>
      <c r="CG339"/>
      <c r="CH339"/>
      <c r="CI339"/>
      <c r="CJ339"/>
      <c r="CK339"/>
      <c r="CL339"/>
      <c r="CM339"/>
      <c r="CN339"/>
      <c r="CO339"/>
      <c r="CP339"/>
      <c r="CQ339"/>
      <c r="CR339"/>
      <c r="CS339"/>
      <c r="CT339"/>
      <c r="CU339"/>
      <c r="CV339"/>
      <c r="CW339"/>
      <c r="CX339"/>
      <c r="CY339"/>
      <c r="CZ339"/>
      <c r="DA339"/>
      <c r="DB339"/>
      <c r="DC339"/>
      <c r="DD339"/>
      <c r="DE339"/>
      <c r="DF339"/>
      <c r="DG339"/>
      <c r="DH339"/>
      <c r="DI339"/>
      <c r="DJ339"/>
      <c r="DK339"/>
      <c r="DL339"/>
      <c r="DM339"/>
      <c r="DN339"/>
      <c r="DO339"/>
      <c r="DP339"/>
      <c r="DQ339"/>
      <c r="DR339"/>
      <c r="DS339"/>
      <c r="DT339"/>
      <c r="DU339"/>
      <c r="DV339"/>
      <c r="DW339"/>
      <c r="DX339"/>
      <c r="DY339"/>
      <c r="DZ339"/>
      <c r="EA339"/>
      <c r="EB339"/>
      <c r="EC339"/>
      <c r="ED339"/>
      <c r="EE339"/>
      <c r="EF339"/>
      <c r="EG339"/>
      <c r="EH339"/>
      <c r="EI339"/>
      <c r="EJ339"/>
      <c r="EK339"/>
      <c r="EL339"/>
      <c r="EM339"/>
      <c r="EN339"/>
      <c r="EO339"/>
      <c r="EP339"/>
      <c r="EQ339"/>
      <c r="ER339"/>
      <c r="ES339"/>
      <c r="ET339"/>
      <c r="EU339"/>
      <c r="EV339"/>
      <c r="EW339"/>
      <c r="EX339"/>
      <c r="EY339"/>
      <c r="EZ339"/>
      <c r="FA339"/>
      <c r="FB339"/>
      <c r="FC339"/>
      <c r="FD339"/>
      <c r="FE339"/>
      <c r="FF339"/>
      <c r="FG339"/>
      <c r="FH339"/>
      <c r="FI339"/>
      <c r="FJ339"/>
      <c r="FK339"/>
      <c r="FL339"/>
      <c r="FM339"/>
      <c r="FN339"/>
      <c r="FO339"/>
      <c r="FP339"/>
      <c r="FQ339"/>
      <c r="FR339"/>
      <c r="FS339"/>
      <c r="FT339"/>
      <c r="FU339"/>
      <c r="FV339"/>
      <c r="FW339"/>
      <c r="FX339"/>
      <c r="FY339"/>
      <c r="FZ339"/>
      <c r="GA339"/>
      <c r="GB339"/>
      <c r="GC339"/>
      <c r="GD339"/>
      <c r="GE339"/>
      <c r="GF339"/>
      <c r="GG339"/>
      <c r="GH339"/>
      <c r="GI339"/>
      <c r="GJ339"/>
      <c r="GK339"/>
      <c r="GL339"/>
      <c r="GM339"/>
      <c r="GN339"/>
      <c r="GO339"/>
      <c r="GP339"/>
      <c r="GQ339"/>
      <c r="GR339"/>
      <c r="GS339"/>
      <c r="GT339"/>
      <c r="GU339"/>
      <c r="GV339"/>
      <c r="GW339"/>
      <c r="GX339"/>
      <c r="GY339"/>
      <c r="GZ339"/>
      <c r="HA339"/>
      <c r="HB339"/>
      <c r="HC339"/>
      <c r="HD339"/>
      <c r="HE339"/>
      <c r="HF339"/>
      <c r="HG339"/>
      <c r="HH339"/>
      <c r="HI339"/>
      <c r="HJ339"/>
      <c r="HK339"/>
      <c r="HL339"/>
      <c r="HM339"/>
      <c r="HN339"/>
      <c r="HO339"/>
      <c r="HP339"/>
      <c r="HQ339"/>
      <c r="HR339"/>
      <c r="HS339"/>
      <c r="HT339"/>
      <c r="HU339"/>
      <c r="HV339"/>
      <c r="HW339"/>
      <c r="HX339"/>
      <c r="HY339"/>
      <c r="HZ339"/>
      <c r="IA339"/>
      <c r="IB339"/>
      <c r="IC339"/>
      <c r="ID339"/>
      <c r="IE339"/>
      <c r="IF339"/>
      <c r="IG339"/>
      <c r="IH339"/>
      <c r="II339"/>
      <c r="IJ339"/>
      <c r="IK339"/>
      <c r="IL339"/>
      <c r="IM339"/>
      <c r="IN339"/>
      <c r="IO339"/>
      <c r="IP339"/>
      <c r="IQ339"/>
      <c r="IR339"/>
      <c r="IS339"/>
      <c r="IT339"/>
      <c r="IU339"/>
      <c r="IV339"/>
      <c r="IW339"/>
      <c r="IX339"/>
      <c r="IY339"/>
      <c r="IZ339"/>
      <c r="JA339"/>
      <c r="JB339"/>
      <c r="JC339"/>
      <c r="JD339"/>
      <c r="JE339"/>
      <c r="JF339"/>
      <c r="JG339"/>
      <c r="JH339"/>
      <c r="JI339"/>
      <c r="JJ339"/>
      <c r="JK339"/>
      <c r="JL339"/>
      <c r="JM339"/>
      <c r="JN339"/>
      <c r="JO339"/>
      <c r="JP339"/>
      <c r="JQ339"/>
      <c r="JR339"/>
      <c r="JS339"/>
      <c r="JT339"/>
      <c r="JU339"/>
      <c r="JV339"/>
      <c r="JW339"/>
      <c r="JX339"/>
      <c r="JY339"/>
      <c r="JZ339"/>
      <c r="KA339"/>
      <c r="KB339"/>
      <c r="KC339"/>
      <c r="KD339"/>
      <c r="KE339"/>
      <c r="KF339"/>
      <c r="KG339"/>
      <c r="KH339"/>
      <c r="KI339"/>
      <c r="KJ339"/>
      <c r="KK339"/>
      <c r="KL339"/>
      <c r="KM339"/>
      <c r="KN339"/>
      <c r="KO339"/>
      <c r="KP339"/>
      <c r="KQ339"/>
      <c r="KR339"/>
      <c r="KS339"/>
      <c r="KT339"/>
      <c r="KU339"/>
      <c r="KV339"/>
      <c r="KW339"/>
      <c r="KX339"/>
      <c r="KY339"/>
      <c r="KZ339"/>
      <c r="LA339"/>
      <c r="LB339"/>
      <c r="LC339"/>
      <c r="LD339"/>
      <c r="LE339"/>
      <c r="LF339"/>
      <c r="LG339"/>
      <c r="LH339"/>
      <c r="LI339"/>
      <c r="LJ339"/>
      <c r="LK339"/>
      <c r="LL339"/>
      <c r="LM339"/>
      <c r="LN339"/>
      <c r="LO339"/>
      <c r="LP339"/>
      <c r="LQ339"/>
      <c r="LR339"/>
      <c r="LS339"/>
      <c r="LT339"/>
      <c r="LU339"/>
      <c r="LV339"/>
      <c r="LW339"/>
      <c r="LX339"/>
      <c r="LY339"/>
      <c r="LZ339"/>
      <c r="MA339"/>
      <c r="MB339"/>
      <c r="MC339"/>
      <c r="MD339"/>
      <c r="ME339"/>
      <c r="MF339"/>
      <c r="MG339"/>
      <c r="MH339"/>
      <c r="MI339"/>
      <c r="MJ339"/>
      <c r="MK339"/>
      <c r="ML339"/>
      <c r="MM339"/>
      <c r="MN339"/>
      <c r="MO339"/>
      <c r="MP339"/>
      <c r="MQ339"/>
      <c r="MR339"/>
      <c r="MS339"/>
      <c r="MT339"/>
      <c r="MU339"/>
      <c r="MV339"/>
      <c r="MW339"/>
      <c r="MX339"/>
      <c r="MY339"/>
      <c r="MZ339"/>
      <c r="NA339"/>
      <c r="NB339"/>
      <c r="NC339"/>
      <c r="ND339"/>
      <c r="NE339"/>
      <c r="NF339"/>
      <c r="NG339"/>
      <c r="NH339"/>
      <c r="NI339"/>
      <c r="NJ339"/>
      <c r="NK339"/>
      <c r="NL339"/>
      <c r="NM339"/>
      <c r="NN339"/>
      <c r="NO339"/>
      <c r="NP339"/>
      <c r="NQ339"/>
      <c r="NR339"/>
      <c r="NS339"/>
      <c r="NT339"/>
      <c r="NU339"/>
      <c r="NV339"/>
      <c r="NW339"/>
      <c r="NX339"/>
      <c r="NY339"/>
      <c r="NZ339"/>
      <c r="OA339"/>
      <c r="OB339"/>
      <c r="OC339"/>
      <c r="OD339"/>
      <c r="OE339"/>
      <c r="OF339"/>
      <c r="OG339"/>
      <c r="OH339"/>
      <c r="OI339"/>
      <c r="OJ339"/>
      <c r="OK339"/>
      <c r="OL339"/>
      <c r="OM339"/>
      <c r="ON339"/>
      <c r="OO339"/>
      <c r="OP339"/>
      <c r="OQ339"/>
      <c r="OR339"/>
      <c r="OS339"/>
      <c r="OT339"/>
      <c r="OU339"/>
      <c r="OV339"/>
      <c r="OW339"/>
      <c r="OX339"/>
      <c r="OY339"/>
      <c r="OZ339"/>
      <c r="PA339"/>
      <c r="PB339"/>
      <c r="PC339"/>
      <c r="PD339"/>
      <c r="PE339"/>
      <c r="PF339"/>
      <c r="PG339"/>
      <c r="PH339"/>
      <c r="PI339"/>
      <c r="PJ339"/>
      <c r="PK339"/>
      <c r="PL339"/>
      <c r="PM339"/>
      <c r="PN339"/>
      <c r="PO339"/>
      <c r="PP339"/>
      <c r="PQ339"/>
      <c r="PR339"/>
      <c r="PS339"/>
      <c r="PT339"/>
      <c r="PU339"/>
      <c r="PV339"/>
      <c r="PW339"/>
      <c r="PX339"/>
      <c r="PY339"/>
      <c r="PZ339"/>
      <c r="QA339"/>
      <c r="QB339"/>
      <c r="QC339"/>
      <c r="QD339"/>
      <c r="QE339"/>
      <c r="QF339"/>
      <c r="QG339"/>
      <c r="QH339"/>
      <c r="QI339"/>
      <c r="QJ339"/>
      <c r="QK339"/>
      <c r="QL339"/>
      <c r="QM339"/>
      <c r="QN339"/>
      <c r="QO339"/>
      <c r="QP339"/>
      <c r="QQ339"/>
      <c r="QR339"/>
      <c r="QS339"/>
      <c r="QT339"/>
      <c r="QU339"/>
      <c r="QV339"/>
      <c r="QW339"/>
      <c r="QX339"/>
      <c r="QY339"/>
      <c r="QZ339"/>
      <c r="RA339"/>
      <c r="RB339"/>
      <c r="RC339"/>
      <c r="RD339"/>
      <c r="RE339"/>
      <c r="RF339"/>
      <c r="RG339"/>
      <c r="RH339"/>
      <c r="RI339"/>
      <c r="RJ339"/>
      <c r="RK339"/>
      <c r="RL339"/>
      <c r="RM339"/>
      <c r="RN339"/>
      <c r="RO339"/>
      <c r="RP339"/>
      <c r="RQ339"/>
      <c r="RR339"/>
      <c r="RS339"/>
    </row>
    <row r="340" spans="19:487" x14ac:dyDescent="0.25"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/>
      <c r="AK340"/>
      <c r="AL340"/>
      <c r="AM340"/>
      <c r="AN340"/>
      <c r="AO340"/>
      <c r="AP340"/>
      <c r="AQ340"/>
      <c r="AR340"/>
      <c r="AS340"/>
      <c r="AT340"/>
      <c r="AU340"/>
      <c r="AV340"/>
      <c r="AW340"/>
      <c r="AX340"/>
      <c r="AY340"/>
      <c r="AZ340"/>
      <c r="BA340"/>
      <c r="BB340"/>
      <c r="BC340"/>
      <c r="BD340"/>
      <c r="BE340"/>
      <c r="BF340"/>
      <c r="BG340"/>
      <c r="BH340"/>
      <c r="BI340"/>
      <c r="BJ340"/>
      <c r="BK340"/>
      <c r="BL340"/>
      <c r="BM340"/>
      <c r="BN340"/>
      <c r="BO340"/>
      <c r="BP340"/>
      <c r="BQ340"/>
      <c r="BR340"/>
      <c r="BS340"/>
      <c r="BT340"/>
      <c r="BU340"/>
      <c r="BV340"/>
      <c r="BW340"/>
      <c r="BX340"/>
      <c r="BY340"/>
      <c r="BZ340"/>
      <c r="CA340"/>
      <c r="CB340"/>
      <c r="CC340"/>
      <c r="CD340"/>
      <c r="CE340"/>
      <c r="CF340"/>
      <c r="CG340"/>
      <c r="CH340"/>
      <c r="CI340"/>
      <c r="CJ340"/>
      <c r="CK340"/>
      <c r="CL340"/>
      <c r="CM340"/>
      <c r="CN340"/>
      <c r="CO340"/>
      <c r="CP340"/>
      <c r="CQ340"/>
      <c r="CR340"/>
      <c r="CS340"/>
      <c r="CT340"/>
      <c r="CU340"/>
      <c r="CV340"/>
      <c r="CW340"/>
      <c r="CX340"/>
      <c r="CY340"/>
      <c r="CZ340"/>
      <c r="DA340"/>
      <c r="DB340"/>
      <c r="DC340"/>
      <c r="DD340"/>
      <c r="DE340"/>
      <c r="DF340"/>
      <c r="DG340"/>
      <c r="DH340"/>
      <c r="DI340"/>
      <c r="DJ340"/>
      <c r="DK340"/>
      <c r="DL340"/>
      <c r="DM340"/>
      <c r="DN340"/>
      <c r="DO340"/>
      <c r="DP340"/>
      <c r="DQ340"/>
      <c r="DR340"/>
      <c r="DS340"/>
      <c r="DT340"/>
      <c r="DU340"/>
      <c r="DV340"/>
      <c r="DW340"/>
      <c r="DX340"/>
      <c r="DY340"/>
      <c r="DZ340"/>
      <c r="EA340"/>
      <c r="EB340"/>
      <c r="EC340"/>
      <c r="ED340"/>
      <c r="EE340"/>
      <c r="EF340"/>
      <c r="EG340"/>
      <c r="EH340"/>
      <c r="EI340"/>
      <c r="EJ340"/>
      <c r="EK340"/>
      <c r="EL340"/>
      <c r="EM340"/>
      <c r="EN340"/>
      <c r="EO340"/>
      <c r="EP340"/>
      <c r="EQ340"/>
      <c r="ER340"/>
      <c r="ES340"/>
      <c r="ET340"/>
      <c r="EU340"/>
      <c r="EV340"/>
      <c r="EW340"/>
      <c r="EX340"/>
      <c r="EY340"/>
      <c r="EZ340"/>
      <c r="FA340"/>
      <c r="FB340"/>
      <c r="FC340"/>
      <c r="FD340"/>
      <c r="FE340"/>
      <c r="FF340"/>
      <c r="FG340"/>
      <c r="FH340"/>
      <c r="FI340"/>
      <c r="FJ340"/>
      <c r="FK340"/>
      <c r="FL340"/>
      <c r="FM340"/>
      <c r="FN340"/>
      <c r="FO340"/>
      <c r="FP340"/>
      <c r="FQ340"/>
      <c r="FR340"/>
      <c r="FS340"/>
      <c r="FT340"/>
      <c r="FU340"/>
      <c r="FV340"/>
      <c r="FW340"/>
      <c r="FX340"/>
      <c r="FY340"/>
      <c r="FZ340"/>
      <c r="GA340"/>
      <c r="GB340"/>
      <c r="GC340"/>
      <c r="GD340"/>
      <c r="GE340"/>
      <c r="GF340"/>
      <c r="GG340"/>
      <c r="GH340"/>
      <c r="GI340"/>
      <c r="GJ340"/>
      <c r="GK340"/>
      <c r="GL340"/>
      <c r="GM340"/>
      <c r="GN340"/>
      <c r="GO340"/>
      <c r="GP340"/>
      <c r="GQ340"/>
      <c r="GR340"/>
      <c r="GS340"/>
      <c r="GT340"/>
      <c r="GU340"/>
      <c r="GV340"/>
      <c r="GW340"/>
      <c r="GX340"/>
      <c r="GY340"/>
      <c r="GZ340"/>
      <c r="HA340"/>
      <c r="HB340"/>
      <c r="HC340"/>
      <c r="HD340"/>
      <c r="HE340"/>
      <c r="HF340"/>
      <c r="HG340"/>
      <c r="HH340"/>
      <c r="HI340"/>
      <c r="HJ340"/>
      <c r="HK340"/>
      <c r="HL340"/>
      <c r="HM340"/>
      <c r="HN340"/>
      <c r="HO340"/>
      <c r="HP340"/>
      <c r="HQ340"/>
      <c r="HR340"/>
      <c r="HS340"/>
      <c r="HT340"/>
      <c r="HU340"/>
      <c r="HV340"/>
      <c r="HW340"/>
      <c r="HX340"/>
      <c r="HY340"/>
      <c r="HZ340"/>
      <c r="IA340"/>
      <c r="IB340"/>
      <c r="IC340"/>
      <c r="ID340"/>
      <c r="IE340"/>
      <c r="IF340"/>
      <c r="IG340"/>
      <c r="IH340"/>
      <c r="II340"/>
      <c r="IJ340"/>
      <c r="IK340"/>
      <c r="IL340"/>
      <c r="IM340"/>
      <c r="IN340"/>
      <c r="IO340"/>
      <c r="IP340"/>
      <c r="IQ340"/>
      <c r="IR340"/>
      <c r="IS340"/>
      <c r="IT340"/>
      <c r="IU340"/>
      <c r="IV340"/>
      <c r="IW340"/>
      <c r="IX340"/>
      <c r="IY340"/>
      <c r="IZ340"/>
      <c r="JA340"/>
      <c r="JB340"/>
      <c r="JC340"/>
      <c r="JD340"/>
      <c r="JE340"/>
      <c r="JF340"/>
      <c r="JG340"/>
      <c r="JH340"/>
      <c r="JI340"/>
      <c r="JJ340"/>
      <c r="JK340"/>
      <c r="JL340"/>
      <c r="JM340"/>
      <c r="JN340"/>
      <c r="JO340"/>
      <c r="JP340"/>
      <c r="JQ340"/>
      <c r="JR340"/>
      <c r="JS340"/>
      <c r="JT340"/>
      <c r="JU340"/>
      <c r="JV340"/>
      <c r="JW340"/>
      <c r="JX340"/>
      <c r="JY340"/>
      <c r="JZ340"/>
      <c r="KA340"/>
      <c r="KB340"/>
      <c r="KC340"/>
      <c r="KD340"/>
      <c r="KE340"/>
      <c r="KF340"/>
      <c r="KG340"/>
      <c r="KH340"/>
      <c r="KI340"/>
      <c r="KJ340"/>
      <c r="KK340"/>
      <c r="KL340"/>
      <c r="KM340"/>
      <c r="KN340"/>
      <c r="KO340"/>
      <c r="KP340"/>
      <c r="KQ340"/>
      <c r="KR340"/>
      <c r="KS340"/>
      <c r="KT340"/>
      <c r="KU340"/>
      <c r="KV340"/>
      <c r="KW340"/>
      <c r="KX340"/>
      <c r="KY340"/>
      <c r="KZ340"/>
      <c r="LA340"/>
      <c r="LB340"/>
      <c r="LC340"/>
      <c r="LD340"/>
      <c r="LE340"/>
      <c r="LF340"/>
      <c r="LG340"/>
      <c r="LH340"/>
      <c r="LI340"/>
      <c r="LJ340"/>
      <c r="LK340"/>
      <c r="LL340"/>
      <c r="LM340"/>
      <c r="LN340"/>
      <c r="LO340"/>
      <c r="LP340"/>
      <c r="LQ340"/>
      <c r="LR340"/>
      <c r="LS340"/>
      <c r="LT340"/>
      <c r="LU340"/>
      <c r="LV340"/>
      <c r="LW340"/>
      <c r="LX340"/>
      <c r="LY340"/>
      <c r="LZ340"/>
      <c r="MA340"/>
      <c r="MB340"/>
      <c r="MC340"/>
      <c r="MD340"/>
      <c r="ME340"/>
      <c r="MF340"/>
      <c r="MG340"/>
      <c r="MH340"/>
      <c r="MI340"/>
      <c r="MJ340"/>
      <c r="MK340"/>
      <c r="ML340"/>
      <c r="MM340"/>
      <c r="MN340"/>
      <c r="MO340"/>
      <c r="MP340"/>
      <c r="MQ340"/>
      <c r="MR340"/>
      <c r="MS340"/>
      <c r="MT340"/>
      <c r="MU340"/>
      <c r="MV340"/>
      <c r="MW340"/>
      <c r="MX340"/>
      <c r="MY340"/>
      <c r="MZ340"/>
      <c r="NA340"/>
      <c r="NB340"/>
      <c r="NC340"/>
      <c r="ND340"/>
      <c r="NE340"/>
      <c r="NF340"/>
      <c r="NG340"/>
      <c r="NH340"/>
      <c r="NI340"/>
      <c r="NJ340"/>
      <c r="NK340"/>
      <c r="NL340"/>
      <c r="NM340"/>
      <c r="NN340"/>
      <c r="NO340"/>
      <c r="NP340"/>
      <c r="NQ340"/>
      <c r="NR340"/>
      <c r="NS340"/>
      <c r="NT340"/>
      <c r="NU340"/>
      <c r="NV340"/>
      <c r="NW340"/>
      <c r="NX340"/>
      <c r="NY340"/>
      <c r="NZ340"/>
      <c r="OA340"/>
      <c r="OB340"/>
      <c r="OC340"/>
      <c r="OD340"/>
      <c r="OE340"/>
      <c r="OF340"/>
      <c r="OG340"/>
      <c r="OH340"/>
      <c r="OI340"/>
      <c r="OJ340"/>
      <c r="OK340"/>
      <c r="OL340"/>
      <c r="OM340"/>
      <c r="ON340"/>
      <c r="OO340"/>
      <c r="OP340"/>
      <c r="OQ340"/>
      <c r="OR340"/>
      <c r="OS340"/>
      <c r="OT340"/>
      <c r="OU340"/>
      <c r="OV340"/>
      <c r="OW340"/>
      <c r="OX340"/>
      <c r="OY340"/>
      <c r="OZ340"/>
      <c r="PA340"/>
      <c r="PB340"/>
      <c r="PC340"/>
      <c r="PD340"/>
      <c r="PE340"/>
      <c r="PF340"/>
      <c r="PG340"/>
      <c r="PH340"/>
      <c r="PI340"/>
      <c r="PJ340"/>
      <c r="PK340"/>
      <c r="PL340"/>
      <c r="PM340"/>
      <c r="PN340"/>
      <c r="PO340"/>
      <c r="PP340"/>
      <c r="PQ340"/>
      <c r="PR340"/>
      <c r="PS340"/>
      <c r="PT340"/>
      <c r="PU340"/>
      <c r="PV340"/>
      <c r="PW340"/>
      <c r="PX340"/>
      <c r="PY340"/>
      <c r="PZ340"/>
      <c r="QA340"/>
      <c r="QB340"/>
      <c r="QC340"/>
      <c r="QD340"/>
      <c r="QE340"/>
      <c r="QF340"/>
      <c r="QG340"/>
      <c r="QH340"/>
      <c r="QI340"/>
      <c r="QJ340"/>
      <c r="QK340"/>
      <c r="QL340"/>
      <c r="QM340"/>
      <c r="QN340"/>
      <c r="QO340"/>
      <c r="QP340"/>
      <c r="QQ340"/>
      <c r="QR340"/>
      <c r="QS340"/>
      <c r="QT340"/>
      <c r="QU340"/>
      <c r="QV340"/>
      <c r="QW340"/>
      <c r="QX340"/>
      <c r="QY340"/>
      <c r="QZ340"/>
      <c r="RA340"/>
      <c r="RB340"/>
      <c r="RC340"/>
      <c r="RD340"/>
      <c r="RE340"/>
      <c r="RF340"/>
      <c r="RG340"/>
      <c r="RH340"/>
      <c r="RI340"/>
      <c r="RJ340"/>
      <c r="RK340"/>
      <c r="RL340"/>
      <c r="RM340"/>
      <c r="RN340"/>
      <c r="RO340"/>
      <c r="RP340"/>
      <c r="RQ340"/>
      <c r="RR340"/>
      <c r="RS340"/>
    </row>
    <row r="341" spans="19:487" x14ac:dyDescent="0.25"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/>
      <c r="AK341"/>
      <c r="AL341"/>
      <c r="AM341"/>
      <c r="AN341"/>
      <c r="AO341"/>
      <c r="AP341"/>
      <c r="AQ341"/>
      <c r="AR341"/>
      <c r="AS341"/>
      <c r="AT341"/>
      <c r="AU341"/>
      <c r="AV341"/>
      <c r="AW341"/>
      <c r="AX341"/>
      <c r="AY341"/>
      <c r="AZ341"/>
      <c r="BA341"/>
      <c r="BB341"/>
      <c r="BC341"/>
      <c r="BD341"/>
      <c r="BE341"/>
      <c r="BF341"/>
      <c r="BG341"/>
      <c r="BH341"/>
      <c r="BI341"/>
      <c r="BJ341"/>
      <c r="BK341"/>
      <c r="BL341"/>
      <c r="BM341"/>
      <c r="BN341"/>
      <c r="BO341"/>
      <c r="BP341"/>
      <c r="BQ341"/>
      <c r="BR341"/>
      <c r="BS341"/>
      <c r="BT341"/>
      <c r="BU341"/>
      <c r="BV341"/>
      <c r="BW341"/>
      <c r="BX341"/>
      <c r="BY341"/>
      <c r="BZ341"/>
      <c r="CA341"/>
      <c r="CB341"/>
      <c r="CC341"/>
      <c r="CD341"/>
      <c r="CE341"/>
      <c r="CF341"/>
      <c r="CG341"/>
      <c r="CH341"/>
      <c r="CI341"/>
      <c r="CJ341"/>
      <c r="CK341"/>
      <c r="CL341"/>
      <c r="CM341"/>
      <c r="CN341"/>
      <c r="CO341"/>
      <c r="CP341"/>
      <c r="CQ341"/>
      <c r="CR341"/>
      <c r="CS341"/>
      <c r="CT341"/>
      <c r="CU341"/>
      <c r="CV341"/>
      <c r="CW341"/>
      <c r="CX341"/>
      <c r="CY341"/>
      <c r="CZ341"/>
      <c r="DA341"/>
      <c r="DB341"/>
      <c r="DC341"/>
      <c r="DD341"/>
      <c r="DE341"/>
      <c r="DF341"/>
      <c r="DG341"/>
      <c r="DH341"/>
      <c r="DI341"/>
      <c r="DJ341"/>
      <c r="DK341"/>
      <c r="DL341"/>
      <c r="DM341"/>
      <c r="DN341"/>
      <c r="DO341"/>
      <c r="DP341"/>
      <c r="DQ341"/>
      <c r="DR341"/>
      <c r="DS341"/>
      <c r="DT341"/>
      <c r="DU341"/>
      <c r="DV341"/>
      <c r="DW341"/>
      <c r="DX341"/>
      <c r="DY341"/>
      <c r="DZ341"/>
      <c r="EA341"/>
      <c r="EB341"/>
      <c r="EC341"/>
      <c r="ED341"/>
      <c r="EE341"/>
      <c r="EF341"/>
      <c r="EG341"/>
      <c r="EH341"/>
      <c r="EI341"/>
      <c r="EJ341"/>
      <c r="EK341"/>
      <c r="EL341"/>
      <c r="EM341"/>
      <c r="EN341"/>
      <c r="EO341"/>
      <c r="EP341"/>
      <c r="EQ341"/>
      <c r="ER341"/>
      <c r="ES341"/>
      <c r="ET341"/>
      <c r="EU341"/>
      <c r="EV341"/>
      <c r="EW341"/>
      <c r="EX341"/>
      <c r="EY341"/>
      <c r="EZ341"/>
      <c r="FA341"/>
      <c r="FB341"/>
      <c r="FC341"/>
      <c r="FD341"/>
      <c r="FE341"/>
      <c r="FF341"/>
      <c r="FG341"/>
      <c r="FH341"/>
      <c r="FI341"/>
      <c r="FJ341"/>
      <c r="FK341"/>
      <c r="FL341"/>
      <c r="FM341"/>
      <c r="FN341"/>
      <c r="FO341"/>
      <c r="FP341"/>
      <c r="FQ341"/>
      <c r="FR341"/>
      <c r="FS341"/>
      <c r="FT341"/>
      <c r="FU341"/>
      <c r="FV341"/>
      <c r="FW341"/>
      <c r="FX341"/>
      <c r="FY341"/>
      <c r="FZ341"/>
      <c r="GA341"/>
      <c r="GB341"/>
      <c r="GC341"/>
      <c r="GD341"/>
      <c r="GE341"/>
      <c r="GF341"/>
      <c r="GG341"/>
      <c r="GH341"/>
      <c r="GI341"/>
      <c r="GJ341"/>
      <c r="GK341"/>
      <c r="GL341"/>
      <c r="GM341"/>
      <c r="GN341"/>
      <c r="GO341"/>
      <c r="GP341"/>
      <c r="GQ341"/>
      <c r="GR341"/>
      <c r="GS341"/>
      <c r="GT341"/>
      <c r="GU341"/>
      <c r="GV341"/>
      <c r="GW341"/>
      <c r="GX341"/>
      <c r="GY341"/>
      <c r="GZ341"/>
      <c r="HA341"/>
      <c r="HB341"/>
      <c r="HC341"/>
      <c r="HD341"/>
      <c r="HE341"/>
      <c r="HF341"/>
      <c r="HG341"/>
      <c r="HH341"/>
      <c r="HI341"/>
      <c r="HJ341"/>
      <c r="HK341"/>
      <c r="HL341"/>
      <c r="HM341"/>
      <c r="HN341"/>
      <c r="HO341"/>
      <c r="HP341"/>
      <c r="HQ341"/>
      <c r="HR341"/>
      <c r="HS341"/>
      <c r="HT341"/>
      <c r="HU341"/>
      <c r="HV341"/>
      <c r="HW341"/>
      <c r="HX341"/>
      <c r="HY341"/>
      <c r="HZ341"/>
      <c r="IA341"/>
      <c r="IB341"/>
      <c r="IC341"/>
      <c r="ID341"/>
      <c r="IE341"/>
      <c r="IF341"/>
      <c r="IG341"/>
      <c r="IH341"/>
      <c r="II341"/>
      <c r="IJ341"/>
      <c r="IK341"/>
      <c r="IL341"/>
      <c r="IM341"/>
      <c r="IN341"/>
      <c r="IO341"/>
      <c r="IP341"/>
      <c r="IQ341"/>
      <c r="IR341"/>
      <c r="IS341"/>
      <c r="IT341"/>
      <c r="IU341"/>
      <c r="IV341"/>
      <c r="IW341"/>
      <c r="IX341"/>
      <c r="IY341"/>
      <c r="IZ341"/>
      <c r="JA341"/>
      <c r="JB341"/>
      <c r="JC341"/>
      <c r="JD341"/>
      <c r="JE341"/>
      <c r="JF341"/>
      <c r="JG341"/>
      <c r="JH341"/>
      <c r="JI341"/>
      <c r="JJ341"/>
      <c r="JK341"/>
      <c r="JL341"/>
      <c r="JM341"/>
      <c r="JN341"/>
      <c r="JO341"/>
      <c r="JP341"/>
      <c r="JQ341"/>
      <c r="JR341"/>
      <c r="JS341"/>
      <c r="JT341"/>
      <c r="JU341"/>
      <c r="JV341"/>
      <c r="JW341"/>
      <c r="JX341"/>
      <c r="JY341"/>
      <c r="JZ341"/>
      <c r="KA341"/>
      <c r="KB341"/>
      <c r="KC341"/>
      <c r="KD341"/>
      <c r="KE341"/>
      <c r="KF341"/>
      <c r="KG341"/>
      <c r="KH341"/>
      <c r="KI341"/>
      <c r="KJ341"/>
      <c r="KK341"/>
      <c r="KL341"/>
      <c r="KM341"/>
      <c r="KN341"/>
      <c r="KO341"/>
      <c r="KP341"/>
      <c r="KQ341"/>
      <c r="KR341"/>
      <c r="KS341"/>
      <c r="KT341"/>
      <c r="KU341"/>
      <c r="KV341"/>
      <c r="KW341"/>
      <c r="KX341"/>
      <c r="KY341"/>
      <c r="KZ341"/>
      <c r="LA341"/>
      <c r="LB341"/>
      <c r="LC341"/>
      <c r="LD341"/>
      <c r="LE341"/>
      <c r="LF341"/>
      <c r="LG341"/>
      <c r="LH341"/>
      <c r="LI341"/>
      <c r="LJ341"/>
      <c r="LK341"/>
      <c r="LL341"/>
      <c r="LM341"/>
      <c r="LN341"/>
      <c r="LO341"/>
      <c r="LP341"/>
      <c r="LQ341"/>
      <c r="LR341"/>
      <c r="LS341"/>
      <c r="LT341"/>
      <c r="LU341"/>
      <c r="LV341"/>
      <c r="LW341"/>
      <c r="LX341"/>
      <c r="LY341"/>
      <c r="LZ341"/>
      <c r="MA341"/>
      <c r="MB341"/>
      <c r="MC341"/>
      <c r="MD341"/>
      <c r="ME341"/>
      <c r="MF341"/>
      <c r="MG341"/>
      <c r="MH341"/>
      <c r="MI341"/>
      <c r="MJ341"/>
      <c r="MK341"/>
      <c r="ML341"/>
      <c r="MM341"/>
      <c r="MN341"/>
      <c r="MO341"/>
      <c r="MP341"/>
      <c r="MQ341"/>
      <c r="MR341"/>
      <c r="MS341"/>
      <c r="MT341"/>
      <c r="MU341"/>
      <c r="MV341"/>
      <c r="MW341"/>
      <c r="MX341"/>
      <c r="MY341"/>
      <c r="MZ341"/>
      <c r="NA341"/>
      <c r="NB341"/>
      <c r="NC341"/>
      <c r="ND341"/>
      <c r="NE341"/>
      <c r="NF341"/>
      <c r="NG341"/>
      <c r="NH341"/>
      <c r="NI341"/>
      <c r="NJ341"/>
      <c r="NK341"/>
      <c r="NL341"/>
      <c r="NM341"/>
      <c r="NN341"/>
      <c r="NO341"/>
      <c r="NP341"/>
      <c r="NQ341"/>
      <c r="NR341"/>
      <c r="NS341"/>
      <c r="NT341"/>
      <c r="NU341"/>
      <c r="NV341"/>
      <c r="NW341"/>
      <c r="NX341"/>
      <c r="NY341"/>
      <c r="NZ341"/>
      <c r="OA341"/>
      <c r="OB341"/>
      <c r="OC341"/>
      <c r="OD341"/>
      <c r="OE341"/>
      <c r="OF341"/>
      <c r="OG341"/>
      <c r="OH341"/>
      <c r="OI341"/>
      <c r="OJ341"/>
      <c r="OK341"/>
      <c r="OL341"/>
      <c r="OM341"/>
      <c r="ON341"/>
      <c r="OO341"/>
      <c r="OP341"/>
      <c r="OQ341"/>
      <c r="OR341"/>
      <c r="OS341"/>
      <c r="OT341"/>
      <c r="OU341"/>
      <c r="OV341"/>
      <c r="OW341"/>
      <c r="OX341"/>
      <c r="OY341"/>
      <c r="OZ341"/>
      <c r="PA341"/>
      <c r="PB341"/>
      <c r="PC341"/>
      <c r="PD341"/>
      <c r="PE341"/>
      <c r="PF341"/>
      <c r="PG341"/>
      <c r="PH341"/>
      <c r="PI341"/>
      <c r="PJ341"/>
      <c r="PK341"/>
      <c r="PL341"/>
      <c r="PM341"/>
      <c r="PN341"/>
      <c r="PO341"/>
      <c r="PP341"/>
      <c r="PQ341"/>
      <c r="PR341"/>
      <c r="PS341"/>
      <c r="PT341"/>
      <c r="PU341"/>
      <c r="PV341"/>
      <c r="PW341"/>
      <c r="PX341"/>
      <c r="PY341"/>
      <c r="PZ341"/>
      <c r="QA341"/>
      <c r="QB341"/>
      <c r="QC341"/>
      <c r="QD341"/>
      <c r="QE341"/>
      <c r="QF341"/>
      <c r="QG341"/>
      <c r="QH341"/>
      <c r="QI341"/>
      <c r="QJ341"/>
      <c r="QK341"/>
      <c r="QL341"/>
      <c r="QM341"/>
      <c r="QN341"/>
      <c r="QO341"/>
      <c r="QP341"/>
      <c r="QQ341"/>
      <c r="QR341"/>
      <c r="QS341"/>
      <c r="QT341"/>
      <c r="QU341"/>
      <c r="QV341"/>
      <c r="QW341"/>
      <c r="QX341"/>
      <c r="QY341"/>
      <c r="QZ341"/>
      <c r="RA341"/>
      <c r="RB341"/>
      <c r="RC341"/>
      <c r="RD341"/>
      <c r="RE341"/>
      <c r="RF341"/>
      <c r="RG341"/>
      <c r="RH341"/>
      <c r="RI341"/>
      <c r="RJ341"/>
      <c r="RK341"/>
      <c r="RL341"/>
      <c r="RM341"/>
      <c r="RN341"/>
      <c r="RO341"/>
      <c r="RP341"/>
      <c r="RQ341"/>
      <c r="RR341"/>
      <c r="RS341"/>
    </row>
    <row r="342" spans="19:487" x14ac:dyDescent="0.25"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/>
      <c r="AK342"/>
      <c r="AL342"/>
      <c r="AM342"/>
      <c r="AN342"/>
      <c r="AO342"/>
      <c r="AP342"/>
      <c r="AQ342"/>
      <c r="AR342"/>
      <c r="AS342"/>
      <c r="AT342"/>
      <c r="AU342"/>
      <c r="AV342"/>
      <c r="AW342"/>
      <c r="AX342"/>
      <c r="AY342"/>
      <c r="AZ342"/>
      <c r="BA342"/>
      <c r="BB342"/>
      <c r="BC342"/>
      <c r="BD342"/>
      <c r="BE342"/>
      <c r="BF342"/>
      <c r="BG342"/>
      <c r="BH342"/>
      <c r="BI342"/>
      <c r="BJ342"/>
      <c r="BK342"/>
      <c r="BL342"/>
      <c r="BM342"/>
      <c r="BN342"/>
      <c r="BO342"/>
      <c r="BP342"/>
      <c r="BQ342"/>
      <c r="BR342"/>
      <c r="BS342"/>
      <c r="BT342"/>
      <c r="BU342"/>
      <c r="BV342"/>
      <c r="BW342"/>
      <c r="BX342"/>
      <c r="BY342"/>
      <c r="BZ342"/>
      <c r="CA342"/>
      <c r="CB342"/>
      <c r="CC342"/>
      <c r="CD342"/>
      <c r="CE342"/>
      <c r="CF342"/>
      <c r="CG342"/>
      <c r="CH342"/>
      <c r="CI342"/>
      <c r="CJ342"/>
      <c r="CK342"/>
      <c r="CL342"/>
      <c r="CM342"/>
      <c r="CN342"/>
      <c r="CO342"/>
      <c r="CP342"/>
      <c r="CQ342"/>
      <c r="CR342"/>
      <c r="CS342"/>
      <c r="CT342"/>
      <c r="CU342"/>
      <c r="CV342"/>
      <c r="CW342"/>
      <c r="CX342"/>
      <c r="CY342"/>
      <c r="CZ342"/>
      <c r="DA342"/>
      <c r="DB342"/>
      <c r="DC342"/>
      <c r="DD342"/>
      <c r="DE342"/>
      <c r="DF342"/>
      <c r="DG342"/>
      <c r="DH342"/>
      <c r="DI342"/>
      <c r="DJ342"/>
      <c r="DK342"/>
      <c r="DL342"/>
      <c r="DM342"/>
      <c r="DN342"/>
      <c r="DO342"/>
      <c r="DP342"/>
      <c r="DQ342"/>
      <c r="DR342"/>
      <c r="DS342"/>
      <c r="DT342"/>
      <c r="DU342"/>
      <c r="DV342"/>
      <c r="DW342"/>
      <c r="DX342"/>
      <c r="DY342"/>
      <c r="DZ342"/>
      <c r="EA342"/>
      <c r="EB342"/>
      <c r="EC342"/>
      <c r="ED342"/>
      <c r="EE342"/>
      <c r="EF342"/>
      <c r="EG342"/>
      <c r="EH342"/>
      <c r="EI342"/>
      <c r="EJ342"/>
      <c r="EK342"/>
      <c r="EL342"/>
      <c r="EM342"/>
      <c r="EN342"/>
      <c r="EO342"/>
      <c r="EP342"/>
      <c r="EQ342"/>
      <c r="ER342"/>
      <c r="ES342"/>
      <c r="ET342"/>
      <c r="EU342"/>
      <c r="EV342"/>
      <c r="EW342"/>
      <c r="EX342"/>
      <c r="EY342"/>
      <c r="EZ342"/>
      <c r="FA342"/>
      <c r="FB342"/>
      <c r="FC342"/>
      <c r="FD342"/>
      <c r="FE342"/>
      <c r="FF342"/>
      <c r="FG342"/>
      <c r="FH342"/>
      <c r="FI342"/>
      <c r="FJ342"/>
      <c r="FK342"/>
      <c r="FL342"/>
      <c r="FM342"/>
      <c r="FN342"/>
      <c r="FO342"/>
      <c r="FP342"/>
      <c r="FQ342"/>
      <c r="FR342"/>
      <c r="FS342"/>
      <c r="FT342"/>
      <c r="FU342"/>
      <c r="FV342"/>
      <c r="FW342"/>
      <c r="FX342"/>
      <c r="FY342"/>
      <c r="FZ342"/>
      <c r="GA342"/>
      <c r="GB342"/>
      <c r="GC342"/>
      <c r="GD342"/>
      <c r="GE342"/>
      <c r="GF342"/>
      <c r="GG342"/>
      <c r="GH342"/>
      <c r="GI342"/>
      <c r="GJ342"/>
      <c r="GK342"/>
      <c r="GL342"/>
      <c r="GM342"/>
      <c r="GN342"/>
      <c r="GO342"/>
      <c r="GP342"/>
      <c r="GQ342"/>
      <c r="GR342"/>
      <c r="GS342"/>
      <c r="GT342"/>
      <c r="GU342"/>
      <c r="GV342"/>
      <c r="GW342"/>
      <c r="GX342"/>
      <c r="GY342"/>
      <c r="GZ342"/>
      <c r="HA342"/>
      <c r="HB342"/>
      <c r="HC342"/>
      <c r="HD342"/>
      <c r="HE342"/>
      <c r="HF342"/>
      <c r="HG342"/>
      <c r="HH342"/>
      <c r="HI342"/>
      <c r="HJ342"/>
      <c r="HK342"/>
      <c r="HL342"/>
      <c r="HM342"/>
      <c r="HN342"/>
      <c r="HO342"/>
      <c r="HP342"/>
      <c r="HQ342"/>
      <c r="HR342"/>
      <c r="HS342"/>
      <c r="HT342"/>
      <c r="HU342"/>
      <c r="HV342"/>
      <c r="HW342"/>
      <c r="HX342"/>
      <c r="HY342"/>
      <c r="HZ342"/>
      <c r="IA342"/>
      <c r="IB342"/>
      <c r="IC342"/>
      <c r="ID342"/>
      <c r="IE342"/>
      <c r="IF342"/>
      <c r="IG342"/>
      <c r="IH342"/>
      <c r="II342"/>
      <c r="IJ342"/>
      <c r="IK342"/>
      <c r="IL342"/>
      <c r="IM342"/>
      <c r="IN342"/>
      <c r="IO342"/>
      <c r="IP342"/>
      <c r="IQ342"/>
      <c r="IR342"/>
      <c r="IS342"/>
      <c r="IT342"/>
      <c r="IU342"/>
      <c r="IV342"/>
      <c r="IW342"/>
      <c r="IX342"/>
      <c r="IY342"/>
      <c r="IZ342"/>
      <c r="JA342"/>
      <c r="JB342"/>
      <c r="JC342"/>
      <c r="JD342"/>
      <c r="JE342"/>
      <c r="JF342"/>
      <c r="JG342"/>
      <c r="JH342"/>
      <c r="JI342"/>
      <c r="JJ342"/>
      <c r="JK342"/>
      <c r="JL342"/>
      <c r="JM342"/>
      <c r="JN342"/>
      <c r="JO342"/>
      <c r="JP342"/>
      <c r="JQ342"/>
      <c r="JR342"/>
      <c r="JS342"/>
      <c r="JT342"/>
      <c r="JU342"/>
      <c r="JV342"/>
      <c r="JW342"/>
      <c r="JX342"/>
      <c r="JY342"/>
      <c r="JZ342"/>
      <c r="KA342"/>
      <c r="KB342"/>
      <c r="KC342"/>
      <c r="KD342"/>
      <c r="KE342"/>
      <c r="KF342"/>
      <c r="KG342"/>
      <c r="KH342"/>
      <c r="KI342"/>
      <c r="KJ342"/>
      <c r="KK342"/>
      <c r="KL342"/>
      <c r="KM342"/>
      <c r="KN342"/>
      <c r="KO342"/>
      <c r="KP342"/>
      <c r="KQ342"/>
      <c r="KR342"/>
      <c r="KS342"/>
      <c r="KT342"/>
      <c r="KU342"/>
      <c r="KV342"/>
      <c r="KW342"/>
      <c r="KX342"/>
      <c r="KY342"/>
      <c r="KZ342"/>
      <c r="LA342"/>
      <c r="LB342"/>
      <c r="LC342"/>
      <c r="LD342"/>
      <c r="LE342"/>
      <c r="LF342"/>
      <c r="LG342"/>
      <c r="LH342"/>
      <c r="LI342"/>
      <c r="LJ342"/>
      <c r="LK342"/>
      <c r="LL342"/>
      <c r="LM342"/>
      <c r="LN342"/>
      <c r="LO342"/>
      <c r="LP342"/>
      <c r="LQ342"/>
      <c r="LR342"/>
      <c r="LS342"/>
      <c r="LT342"/>
      <c r="LU342"/>
      <c r="LV342"/>
      <c r="LW342"/>
      <c r="LX342"/>
      <c r="LY342"/>
      <c r="LZ342"/>
      <c r="MA342"/>
      <c r="MB342"/>
      <c r="MC342"/>
      <c r="MD342"/>
      <c r="ME342"/>
      <c r="MF342"/>
      <c r="MG342"/>
      <c r="MH342"/>
      <c r="MI342"/>
      <c r="MJ342"/>
      <c r="MK342"/>
      <c r="ML342"/>
      <c r="MM342"/>
      <c r="MN342"/>
      <c r="MO342"/>
      <c r="MP342"/>
      <c r="MQ342"/>
      <c r="MR342"/>
      <c r="MS342"/>
      <c r="MT342"/>
      <c r="MU342"/>
      <c r="MV342"/>
      <c r="MW342"/>
      <c r="MX342"/>
      <c r="MY342"/>
      <c r="MZ342"/>
      <c r="NA342"/>
      <c r="NB342"/>
      <c r="NC342"/>
      <c r="ND342"/>
      <c r="NE342"/>
      <c r="NF342"/>
      <c r="NG342"/>
      <c r="NH342"/>
      <c r="NI342"/>
      <c r="NJ342"/>
      <c r="NK342"/>
      <c r="NL342"/>
      <c r="NM342"/>
      <c r="NN342"/>
      <c r="NO342"/>
      <c r="NP342"/>
      <c r="NQ342"/>
      <c r="NR342"/>
      <c r="NS342"/>
      <c r="NT342"/>
      <c r="NU342"/>
      <c r="NV342"/>
      <c r="NW342"/>
      <c r="NX342"/>
      <c r="NY342"/>
      <c r="NZ342"/>
      <c r="OA342"/>
      <c r="OB342"/>
      <c r="OC342"/>
      <c r="OD342"/>
      <c r="OE342"/>
      <c r="OF342"/>
      <c r="OG342"/>
      <c r="OH342"/>
      <c r="OI342"/>
      <c r="OJ342"/>
      <c r="OK342"/>
      <c r="OL342"/>
      <c r="OM342"/>
      <c r="ON342"/>
      <c r="OO342"/>
      <c r="OP342"/>
      <c r="OQ342"/>
      <c r="OR342"/>
      <c r="OS342"/>
      <c r="OT342"/>
      <c r="OU342"/>
      <c r="OV342"/>
      <c r="OW342"/>
      <c r="OX342"/>
      <c r="OY342"/>
      <c r="OZ342"/>
      <c r="PA342"/>
      <c r="PB342"/>
      <c r="PC342"/>
      <c r="PD342"/>
      <c r="PE342"/>
      <c r="PF342"/>
      <c r="PG342"/>
      <c r="PH342"/>
      <c r="PI342"/>
      <c r="PJ342"/>
      <c r="PK342"/>
      <c r="PL342"/>
      <c r="PM342"/>
      <c r="PN342"/>
      <c r="PO342"/>
      <c r="PP342"/>
      <c r="PQ342"/>
      <c r="PR342"/>
      <c r="PS342"/>
      <c r="PT342"/>
      <c r="PU342"/>
      <c r="PV342"/>
      <c r="PW342"/>
      <c r="PX342"/>
      <c r="PY342"/>
      <c r="PZ342"/>
      <c r="QA342"/>
      <c r="QB342"/>
      <c r="QC342"/>
      <c r="QD342"/>
      <c r="QE342"/>
      <c r="QF342"/>
      <c r="QG342"/>
      <c r="QH342"/>
      <c r="QI342"/>
      <c r="QJ342"/>
      <c r="QK342"/>
      <c r="QL342"/>
      <c r="QM342"/>
      <c r="QN342"/>
      <c r="QO342"/>
      <c r="QP342"/>
      <c r="QQ342"/>
      <c r="QR342"/>
      <c r="QS342"/>
      <c r="QT342"/>
      <c r="QU342"/>
      <c r="QV342"/>
      <c r="QW342"/>
      <c r="QX342"/>
      <c r="QY342"/>
      <c r="QZ342"/>
      <c r="RA342"/>
      <c r="RB342"/>
      <c r="RC342"/>
      <c r="RD342"/>
      <c r="RE342"/>
      <c r="RF342"/>
      <c r="RG342"/>
      <c r="RH342"/>
      <c r="RI342"/>
      <c r="RJ342"/>
      <c r="RK342"/>
      <c r="RL342"/>
      <c r="RM342"/>
      <c r="RN342"/>
      <c r="RO342"/>
      <c r="RP342"/>
      <c r="RQ342"/>
      <c r="RR342"/>
      <c r="RS342"/>
    </row>
    <row r="343" spans="19:487" x14ac:dyDescent="0.25"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/>
      <c r="AK343"/>
      <c r="AL343"/>
      <c r="AM343"/>
      <c r="AN343"/>
      <c r="AO343"/>
      <c r="AP343"/>
      <c r="AQ343"/>
      <c r="AR343"/>
      <c r="AS343"/>
      <c r="AT343"/>
      <c r="AU343"/>
      <c r="AV343"/>
      <c r="AW343"/>
      <c r="AX343"/>
      <c r="AY343"/>
      <c r="AZ343"/>
      <c r="BA343"/>
      <c r="BB343"/>
      <c r="BC343"/>
      <c r="BD343"/>
      <c r="BE343"/>
      <c r="BF343"/>
      <c r="BG343"/>
      <c r="BH343"/>
      <c r="BI343"/>
      <c r="BJ343"/>
      <c r="BK343"/>
      <c r="BL343"/>
      <c r="BM343"/>
      <c r="BN343"/>
      <c r="BO343"/>
      <c r="BP343"/>
      <c r="BQ343"/>
      <c r="BR343"/>
      <c r="BS343"/>
      <c r="BT343"/>
      <c r="BU343"/>
      <c r="BV343"/>
      <c r="BW343"/>
      <c r="BX343"/>
      <c r="BY343"/>
      <c r="BZ343"/>
      <c r="CA343"/>
      <c r="CB343"/>
      <c r="CC343"/>
      <c r="CD343"/>
      <c r="CE343"/>
      <c r="CF343"/>
      <c r="CG343"/>
      <c r="CH343"/>
      <c r="CI343"/>
      <c r="CJ343"/>
      <c r="CK343"/>
      <c r="CL343"/>
      <c r="CM343"/>
      <c r="CN343"/>
      <c r="CO343"/>
      <c r="CP343"/>
      <c r="CQ343"/>
      <c r="CR343"/>
      <c r="CS343"/>
      <c r="CT343"/>
      <c r="CU343"/>
      <c r="CV343"/>
      <c r="CW343"/>
      <c r="CX343"/>
      <c r="CY343"/>
      <c r="CZ343"/>
      <c r="DA343"/>
      <c r="DB343"/>
      <c r="DC343"/>
      <c r="DD343"/>
      <c r="DE343"/>
      <c r="DF343"/>
      <c r="DG343"/>
      <c r="DH343"/>
      <c r="DI343"/>
      <c r="DJ343"/>
      <c r="DK343"/>
      <c r="DL343"/>
      <c r="DM343"/>
      <c r="DN343"/>
      <c r="DO343"/>
      <c r="DP343"/>
      <c r="DQ343"/>
      <c r="DR343"/>
      <c r="DS343"/>
      <c r="DT343"/>
      <c r="DU343"/>
      <c r="DV343"/>
      <c r="DW343"/>
      <c r="DX343"/>
      <c r="DY343"/>
      <c r="DZ343"/>
      <c r="EA343"/>
      <c r="EB343"/>
      <c r="EC343"/>
      <c r="ED343"/>
      <c r="EE343"/>
      <c r="EF343"/>
      <c r="EG343"/>
      <c r="EH343"/>
      <c r="EI343"/>
      <c r="EJ343"/>
      <c r="EK343"/>
      <c r="EL343"/>
      <c r="EM343"/>
      <c r="EN343"/>
      <c r="EO343"/>
      <c r="EP343"/>
      <c r="EQ343"/>
      <c r="ER343"/>
      <c r="ES343"/>
      <c r="ET343"/>
      <c r="EU343"/>
      <c r="EV343"/>
      <c r="EW343"/>
      <c r="EX343"/>
      <c r="EY343"/>
      <c r="EZ343"/>
      <c r="FA343"/>
      <c r="FB343"/>
      <c r="FC343"/>
      <c r="FD343"/>
      <c r="FE343"/>
      <c r="FF343"/>
      <c r="FG343"/>
      <c r="FH343"/>
      <c r="FI343"/>
      <c r="FJ343"/>
      <c r="FK343"/>
      <c r="FL343"/>
      <c r="FM343"/>
      <c r="FN343"/>
      <c r="FO343"/>
      <c r="FP343"/>
      <c r="FQ343"/>
      <c r="FR343"/>
      <c r="FS343"/>
      <c r="FT343"/>
      <c r="FU343"/>
      <c r="FV343"/>
      <c r="FW343"/>
      <c r="FX343"/>
      <c r="FY343"/>
      <c r="FZ343"/>
      <c r="GA343"/>
      <c r="GB343"/>
      <c r="GC343"/>
      <c r="GD343"/>
      <c r="GE343"/>
      <c r="GF343"/>
      <c r="GG343"/>
      <c r="GH343"/>
      <c r="GI343"/>
      <c r="GJ343"/>
      <c r="GK343"/>
      <c r="GL343"/>
      <c r="GM343"/>
      <c r="GN343"/>
      <c r="GO343"/>
      <c r="GP343"/>
      <c r="GQ343"/>
      <c r="GR343"/>
      <c r="GS343"/>
      <c r="GT343"/>
      <c r="GU343"/>
      <c r="GV343"/>
      <c r="GW343"/>
      <c r="GX343"/>
      <c r="GY343"/>
      <c r="GZ343"/>
      <c r="HA343"/>
      <c r="HB343"/>
      <c r="HC343"/>
      <c r="HD343"/>
      <c r="HE343"/>
      <c r="HF343"/>
      <c r="HG343"/>
      <c r="HH343"/>
      <c r="HI343"/>
      <c r="HJ343"/>
      <c r="HK343"/>
      <c r="HL343"/>
      <c r="HM343"/>
      <c r="HN343"/>
      <c r="HO343"/>
      <c r="HP343"/>
      <c r="HQ343"/>
      <c r="HR343"/>
      <c r="HS343"/>
      <c r="HT343"/>
      <c r="HU343"/>
      <c r="HV343"/>
      <c r="HW343"/>
      <c r="HX343"/>
      <c r="HY343"/>
      <c r="HZ343"/>
      <c r="IA343"/>
      <c r="IB343"/>
      <c r="IC343"/>
      <c r="ID343"/>
      <c r="IE343"/>
      <c r="IF343"/>
      <c r="IG343"/>
      <c r="IH343"/>
      <c r="II343"/>
      <c r="IJ343"/>
      <c r="IK343"/>
      <c r="IL343"/>
      <c r="IM343"/>
      <c r="IN343"/>
      <c r="IO343"/>
      <c r="IP343"/>
      <c r="IQ343"/>
      <c r="IR343"/>
      <c r="IS343"/>
      <c r="IT343"/>
      <c r="IU343"/>
      <c r="IV343"/>
      <c r="IW343"/>
      <c r="IX343"/>
      <c r="IY343"/>
      <c r="IZ343"/>
      <c r="JA343"/>
      <c r="JB343"/>
      <c r="JC343"/>
      <c r="JD343"/>
      <c r="JE343"/>
      <c r="JF343"/>
      <c r="JG343"/>
      <c r="JH343"/>
      <c r="JI343"/>
      <c r="JJ343"/>
      <c r="JK343"/>
      <c r="JL343"/>
      <c r="JM343"/>
      <c r="JN343"/>
      <c r="JO343"/>
      <c r="JP343"/>
      <c r="JQ343"/>
      <c r="JR343"/>
      <c r="JS343"/>
      <c r="JT343"/>
      <c r="JU343"/>
      <c r="JV343"/>
      <c r="JW343"/>
      <c r="JX343"/>
      <c r="JY343"/>
      <c r="JZ343"/>
      <c r="KA343"/>
      <c r="KB343"/>
      <c r="KC343"/>
      <c r="KD343"/>
      <c r="KE343"/>
      <c r="KF343"/>
      <c r="KG343"/>
      <c r="KH343"/>
      <c r="KI343"/>
      <c r="KJ343"/>
      <c r="KK343"/>
      <c r="KL343"/>
      <c r="KM343"/>
      <c r="KN343"/>
      <c r="KO343"/>
      <c r="KP343"/>
      <c r="KQ343"/>
      <c r="KR343"/>
      <c r="KS343"/>
      <c r="KT343"/>
      <c r="KU343"/>
      <c r="KV343"/>
      <c r="KW343"/>
      <c r="KX343"/>
      <c r="KY343"/>
      <c r="KZ343"/>
      <c r="LA343"/>
      <c r="LB343"/>
      <c r="LC343"/>
      <c r="LD343"/>
      <c r="LE343"/>
      <c r="LF343"/>
      <c r="LG343"/>
      <c r="LH343"/>
      <c r="LI343"/>
      <c r="LJ343"/>
      <c r="LK343"/>
      <c r="LL343"/>
      <c r="LM343"/>
      <c r="LN343"/>
      <c r="LO343"/>
      <c r="LP343"/>
      <c r="LQ343"/>
      <c r="LR343"/>
      <c r="LS343"/>
      <c r="LT343"/>
      <c r="LU343"/>
      <c r="LV343"/>
      <c r="LW343"/>
      <c r="LX343"/>
      <c r="LY343"/>
      <c r="LZ343"/>
      <c r="MA343"/>
      <c r="MB343"/>
      <c r="MC343"/>
      <c r="MD343"/>
      <c r="ME343"/>
      <c r="MF343"/>
      <c r="MG343"/>
      <c r="MH343"/>
      <c r="MI343"/>
      <c r="MJ343"/>
      <c r="MK343"/>
      <c r="ML343"/>
      <c r="MM343"/>
      <c r="MN343"/>
      <c r="MO343"/>
      <c r="MP343"/>
      <c r="MQ343"/>
      <c r="MR343"/>
      <c r="MS343"/>
      <c r="MT343"/>
      <c r="MU343"/>
      <c r="MV343"/>
      <c r="MW343"/>
      <c r="MX343"/>
      <c r="MY343"/>
      <c r="MZ343"/>
      <c r="NA343"/>
      <c r="NB343"/>
      <c r="NC343"/>
      <c r="ND343"/>
      <c r="NE343"/>
      <c r="NF343"/>
      <c r="NG343"/>
      <c r="NH343"/>
      <c r="NI343"/>
      <c r="NJ343"/>
      <c r="NK343"/>
      <c r="NL343"/>
      <c r="NM343"/>
      <c r="NN343"/>
      <c r="NO343"/>
      <c r="NP343"/>
      <c r="NQ343"/>
      <c r="NR343"/>
      <c r="NS343"/>
      <c r="NT343"/>
      <c r="NU343"/>
      <c r="NV343"/>
      <c r="NW343"/>
      <c r="NX343"/>
      <c r="NY343"/>
      <c r="NZ343"/>
      <c r="OA343"/>
      <c r="OB343"/>
      <c r="OC343"/>
      <c r="OD343"/>
      <c r="OE343"/>
      <c r="OF343"/>
      <c r="OG343"/>
      <c r="OH343"/>
      <c r="OI343"/>
      <c r="OJ343"/>
      <c r="OK343"/>
      <c r="OL343"/>
      <c r="OM343"/>
      <c r="ON343"/>
      <c r="OO343"/>
      <c r="OP343"/>
      <c r="OQ343"/>
      <c r="OR343"/>
      <c r="OS343"/>
      <c r="OT343"/>
      <c r="OU343"/>
      <c r="OV343"/>
      <c r="OW343"/>
      <c r="OX343"/>
      <c r="OY343"/>
      <c r="OZ343"/>
      <c r="PA343"/>
      <c r="PB343"/>
      <c r="PC343"/>
      <c r="PD343"/>
      <c r="PE343"/>
      <c r="PF343"/>
      <c r="PG343"/>
      <c r="PH343"/>
      <c r="PI343"/>
      <c r="PJ343"/>
      <c r="PK343"/>
      <c r="PL343"/>
      <c r="PM343"/>
      <c r="PN343"/>
      <c r="PO343"/>
      <c r="PP343"/>
      <c r="PQ343"/>
      <c r="PR343"/>
      <c r="PS343"/>
      <c r="PT343"/>
      <c r="PU343"/>
      <c r="PV343"/>
      <c r="PW343"/>
      <c r="PX343"/>
      <c r="PY343"/>
      <c r="PZ343"/>
      <c r="QA343"/>
      <c r="QB343"/>
      <c r="QC343"/>
      <c r="QD343"/>
      <c r="QE343"/>
      <c r="QF343"/>
      <c r="QG343"/>
      <c r="QH343"/>
      <c r="QI343"/>
      <c r="QJ343"/>
      <c r="QK343"/>
      <c r="QL343"/>
      <c r="QM343"/>
      <c r="QN343"/>
      <c r="QO343"/>
      <c r="QP343"/>
      <c r="QQ343"/>
      <c r="QR343"/>
      <c r="QS343"/>
      <c r="QT343"/>
      <c r="QU343"/>
      <c r="QV343"/>
      <c r="QW343"/>
      <c r="QX343"/>
      <c r="QY343"/>
      <c r="QZ343"/>
      <c r="RA343"/>
      <c r="RB343"/>
      <c r="RC343"/>
      <c r="RD343"/>
      <c r="RE343"/>
      <c r="RF343"/>
      <c r="RG343"/>
      <c r="RH343"/>
      <c r="RI343"/>
      <c r="RJ343"/>
      <c r="RK343"/>
      <c r="RL343"/>
      <c r="RM343"/>
      <c r="RN343"/>
      <c r="RO343"/>
      <c r="RP343"/>
      <c r="RQ343"/>
      <c r="RR343"/>
      <c r="RS343"/>
    </row>
    <row r="344" spans="19:487" x14ac:dyDescent="0.25"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/>
      <c r="AK344"/>
      <c r="AL344"/>
      <c r="AM344"/>
      <c r="AN344"/>
      <c r="AO344"/>
      <c r="AP344"/>
      <c r="AQ344"/>
      <c r="AR344"/>
      <c r="AS344"/>
      <c r="AT344"/>
      <c r="AU344"/>
      <c r="AV344"/>
      <c r="AW344"/>
      <c r="AX344"/>
      <c r="AY344"/>
      <c r="AZ344"/>
      <c r="BA344"/>
      <c r="BB344"/>
      <c r="BC344"/>
      <c r="BD344"/>
      <c r="BE344"/>
      <c r="BF344"/>
      <c r="BG344"/>
      <c r="BH344"/>
      <c r="BI344"/>
      <c r="BJ344"/>
      <c r="BK344"/>
      <c r="BL344"/>
      <c r="BM344"/>
      <c r="BN344"/>
      <c r="BO344"/>
      <c r="BP344"/>
      <c r="BQ344"/>
      <c r="BR344"/>
      <c r="BS344"/>
      <c r="BT344"/>
      <c r="BU344"/>
      <c r="BV344"/>
      <c r="BW344"/>
      <c r="BX344"/>
      <c r="BY344"/>
      <c r="BZ344"/>
      <c r="CA344"/>
      <c r="CB344"/>
      <c r="CC344"/>
      <c r="CD344"/>
      <c r="CE344"/>
      <c r="CF344"/>
      <c r="CG344"/>
      <c r="CH344"/>
      <c r="CI344"/>
      <c r="CJ344"/>
      <c r="CK344"/>
      <c r="CL344"/>
      <c r="CM344"/>
      <c r="CN344"/>
      <c r="CO344"/>
      <c r="CP344"/>
      <c r="CQ344"/>
      <c r="CR344"/>
      <c r="CS344"/>
      <c r="CT344"/>
      <c r="CU344"/>
      <c r="CV344"/>
      <c r="CW344"/>
      <c r="CX344"/>
      <c r="CY344"/>
      <c r="CZ344"/>
      <c r="DA344"/>
      <c r="DB344"/>
      <c r="DC344"/>
      <c r="DD344"/>
      <c r="DE344"/>
      <c r="DF344"/>
      <c r="DG344"/>
      <c r="DH344"/>
      <c r="DI344"/>
      <c r="DJ344"/>
      <c r="DK344"/>
      <c r="DL344"/>
      <c r="DM344"/>
      <c r="DN344"/>
      <c r="DO344"/>
      <c r="DP344"/>
      <c r="DQ344"/>
      <c r="DR344"/>
      <c r="DS344"/>
      <c r="DT344"/>
      <c r="DU344"/>
      <c r="DV344"/>
      <c r="DW344"/>
      <c r="DX344"/>
      <c r="DY344"/>
      <c r="DZ344"/>
      <c r="EA344"/>
      <c r="EB344"/>
      <c r="EC344"/>
      <c r="ED344"/>
      <c r="EE344"/>
      <c r="EF344"/>
      <c r="EG344"/>
      <c r="EH344"/>
      <c r="EI344"/>
      <c r="EJ344"/>
      <c r="EK344"/>
      <c r="EL344"/>
      <c r="EM344"/>
      <c r="EN344"/>
      <c r="EO344"/>
      <c r="EP344"/>
      <c r="EQ344"/>
      <c r="ER344"/>
      <c r="ES344"/>
      <c r="ET344"/>
      <c r="EU344"/>
      <c r="EV344"/>
      <c r="EW344"/>
      <c r="EX344"/>
      <c r="EY344"/>
      <c r="EZ344"/>
      <c r="FA344"/>
      <c r="FB344"/>
      <c r="FC344"/>
      <c r="FD344"/>
      <c r="FE344"/>
      <c r="FF344"/>
      <c r="FG344"/>
      <c r="FH344"/>
      <c r="FI344"/>
      <c r="FJ344"/>
      <c r="FK344"/>
      <c r="FL344"/>
      <c r="FM344"/>
      <c r="FN344"/>
      <c r="FO344"/>
      <c r="FP344"/>
      <c r="FQ344"/>
      <c r="FR344"/>
      <c r="FS344"/>
      <c r="FT344"/>
      <c r="FU344"/>
      <c r="FV344"/>
      <c r="FW344"/>
      <c r="FX344"/>
      <c r="FY344"/>
      <c r="FZ344"/>
      <c r="GA344"/>
      <c r="GB344"/>
      <c r="GC344"/>
      <c r="GD344"/>
      <c r="GE344"/>
      <c r="GF344"/>
      <c r="GG344"/>
      <c r="GH344"/>
      <c r="GI344"/>
      <c r="GJ344"/>
      <c r="GK344"/>
      <c r="GL344"/>
      <c r="GM344"/>
      <c r="GN344"/>
      <c r="GO344"/>
      <c r="GP344"/>
      <c r="GQ344"/>
      <c r="GR344"/>
      <c r="GS344"/>
      <c r="GT344"/>
      <c r="GU344"/>
      <c r="GV344"/>
      <c r="GW344"/>
      <c r="GX344"/>
      <c r="GY344"/>
      <c r="GZ344"/>
      <c r="HA344"/>
      <c r="HB344"/>
      <c r="HC344"/>
      <c r="HD344"/>
      <c r="HE344"/>
      <c r="HF344"/>
      <c r="HG344"/>
      <c r="HH344"/>
      <c r="HI344"/>
      <c r="HJ344"/>
      <c r="HK344"/>
      <c r="HL344"/>
      <c r="HM344"/>
      <c r="HN344"/>
      <c r="HO344"/>
      <c r="HP344"/>
      <c r="HQ344"/>
      <c r="HR344"/>
      <c r="HS344"/>
      <c r="HT344"/>
      <c r="HU344"/>
      <c r="HV344"/>
      <c r="HW344"/>
      <c r="HX344"/>
      <c r="HY344"/>
      <c r="HZ344"/>
      <c r="IA344"/>
      <c r="IB344"/>
      <c r="IC344"/>
      <c r="ID344"/>
      <c r="IE344"/>
      <c r="IF344"/>
      <c r="IG344"/>
      <c r="IH344"/>
      <c r="II344"/>
      <c r="IJ344"/>
      <c r="IK344"/>
      <c r="IL344"/>
      <c r="IM344"/>
      <c r="IN344"/>
      <c r="IO344"/>
      <c r="IP344"/>
      <c r="IQ344"/>
      <c r="IR344"/>
      <c r="IS344"/>
      <c r="IT344"/>
      <c r="IU344"/>
      <c r="IV344"/>
      <c r="IW344"/>
      <c r="IX344"/>
      <c r="IY344"/>
      <c r="IZ344"/>
      <c r="JA344"/>
      <c r="JB344"/>
      <c r="JC344"/>
      <c r="JD344"/>
      <c r="JE344"/>
      <c r="JF344"/>
      <c r="JG344"/>
      <c r="JH344"/>
      <c r="JI344"/>
      <c r="JJ344"/>
      <c r="JK344"/>
      <c r="JL344"/>
      <c r="JM344"/>
      <c r="JN344"/>
      <c r="JO344"/>
      <c r="JP344"/>
      <c r="JQ344"/>
      <c r="JR344"/>
      <c r="JS344"/>
      <c r="JT344"/>
      <c r="JU344"/>
      <c r="JV344"/>
      <c r="JW344"/>
      <c r="JX344"/>
      <c r="JY344"/>
      <c r="JZ344"/>
      <c r="KA344"/>
      <c r="KB344"/>
      <c r="KC344"/>
      <c r="KD344"/>
      <c r="KE344"/>
      <c r="KF344"/>
      <c r="KG344"/>
      <c r="KH344"/>
      <c r="KI344"/>
      <c r="KJ344"/>
      <c r="KK344"/>
      <c r="KL344"/>
      <c r="KM344"/>
      <c r="KN344"/>
      <c r="KO344"/>
      <c r="KP344"/>
      <c r="KQ344"/>
      <c r="KR344"/>
      <c r="KS344"/>
      <c r="KT344"/>
      <c r="KU344"/>
      <c r="KV344"/>
      <c r="KW344"/>
      <c r="KX344"/>
      <c r="KY344"/>
      <c r="KZ344"/>
      <c r="LA344"/>
      <c r="LB344"/>
      <c r="LC344"/>
      <c r="LD344"/>
      <c r="LE344"/>
      <c r="LF344"/>
      <c r="LG344"/>
      <c r="LH344"/>
      <c r="LI344"/>
      <c r="LJ344"/>
      <c r="LK344"/>
      <c r="LL344"/>
      <c r="LM344"/>
      <c r="LN344"/>
      <c r="LO344"/>
      <c r="LP344"/>
      <c r="LQ344"/>
      <c r="LR344"/>
      <c r="LS344"/>
      <c r="LT344"/>
      <c r="LU344"/>
      <c r="LV344"/>
      <c r="LW344"/>
      <c r="LX344"/>
      <c r="LY344"/>
      <c r="LZ344"/>
      <c r="MA344"/>
      <c r="MB344"/>
      <c r="MC344"/>
      <c r="MD344"/>
      <c r="ME344"/>
      <c r="MF344"/>
      <c r="MG344"/>
      <c r="MH344"/>
      <c r="MI344"/>
      <c r="MJ344"/>
      <c r="MK344"/>
      <c r="ML344"/>
      <c r="MM344"/>
      <c r="MN344"/>
      <c r="MO344"/>
      <c r="MP344"/>
      <c r="MQ344"/>
      <c r="MR344"/>
      <c r="MS344"/>
      <c r="MT344"/>
      <c r="MU344"/>
      <c r="MV344"/>
      <c r="MW344"/>
      <c r="MX344"/>
      <c r="MY344"/>
      <c r="MZ344"/>
      <c r="NA344"/>
      <c r="NB344"/>
      <c r="NC344"/>
      <c r="ND344"/>
      <c r="NE344"/>
      <c r="NF344"/>
      <c r="NG344"/>
      <c r="NH344"/>
      <c r="NI344"/>
      <c r="NJ344"/>
      <c r="NK344"/>
      <c r="NL344"/>
      <c r="NM344"/>
      <c r="NN344"/>
      <c r="NO344"/>
      <c r="NP344"/>
      <c r="NQ344"/>
      <c r="NR344"/>
      <c r="NS344"/>
      <c r="NT344"/>
      <c r="NU344"/>
      <c r="NV344"/>
      <c r="NW344"/>
      <c r="NX344"/>
      <c r="NY344"/>
      <c r="NZ344"/>
      <c r="OA344"/>
      <c r="OB344"/>
      <c r="OC344"/>
      <c r="OD344"/>
      <c r="OE344"/>
      <c r="OF344"/>
      <c r="OG344"/>
      <c r="OH344"/>
      <c r="OI344"/>
      <c r="OJ344"/>
      <c r="OK344"/>
      <c r="OL344"/>
      <c r="OM344"/>
      <c r="ON344"/>
      <c r="OO344"/>
      <c r="OP344"/>
      <c r="OQ344"/>
      <c r="OR344"/>
      <c r="OS344"/>
      <c r="OT344"/>
      <c r="OU344"/>
      <c r="OV344"/>
      <c r="OW344"/>
      <c r="OX344"/>
      <c r="OY344"/>
      <c r="OZ344"/>
      <c r="PA344"/>
      <c r="PB344"/>
      <c r="PC344"/>
      <c r="PD344"/>
      <c r="PE344"/>
      <c r="PF344"/>
      <c r="PG344"/>
      <c r="PH344"/>
      <c r="PI344"/>
      <c r="PJ344"/>
      <c r="PK344"/>
      <c r="PL344"/>
      <c r="PM344"/>
      <c r="PN344"/>
      <c r="PO344"/>
      <c r="PP344"/>
      <c r="PQ344"/>
      <c r="PR344"/>
      <c r="PS344"/>
      <c r="PT344"/>
      <c r="PU344"/>
      <c r="PV344"/>
      <c r="PW344"/>
      <c r="PX344"/>
      <c r="PY344"/>
      <c r="PZ344"/>
      <c r="QA344"/>
      <c r="QB344"/>
      <c r="QC344"/>
      <c r="QD344"/>
      <c r="QE344"/>
      <c r="QF344"/>
      <c r="QG344"/>
      <c r="QH344"/>
      <c r="QI344"/>
      <c r="QJ344"/>
      <c r="QK344"/>
      <c r="QL344"/>
      <c r="QM344"/>
      <c r="QN344"/>
      <c r="QO344"/>
      <c r="QP344"/>
      <c r="QQ344"/>
      <c r="QR344"/>
      <c r="QS344"/>
      <c r="QT344"/>
      <c r="QU344"/>
      <c r="QV344"/>
      <c r="QW344"/>
      <c r="QX344"/>
      <c r="QY344"/>
      <c r="QZ344"/>
      <c r="RA344"/>
      <c r="RB344"/>
      <c r="RC344"/>
      <c r="RD344"/>
      <c r="RE344"/>
      <c r="RF344"/>
      <c r="RG344"/>
      <c r="RH344"/>
      <c r="RI344"/>
      <c r="RJ344"/>
      <c r="RK344"/>
      <c r="RL344"/>
      <c r="RM344"/>
      <c r="RN344"/>
      <c r="RO344"/>
      <c r="RP344"/>
      <c r="RQ344"/>
      <c r="RR344"/>
      <c r="RS344"/>
    </row>
    <row r="345" spans="19:487" x14ac:dyDescent="0.25"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/>
      <c r="AK345"/>
      <c r="AL345"/>
      <c r="AM345"/>
      <c r="AN345"/>
      <c r="AO345"/>
      <c r="AP345"/>
      <c r="AQ345"/>
      <c r="AR345"/>
      <c r="AS345"/>
      <c r="AT345"/>
      <c r="AU345"/>
      <c r="AV345"/>
      <c r="AW345"/>
      <c r="AX345"/>
      <c r="AY345"/>
      <c r="AZ345"/>
      <c r="BA345"/>
      <c r="BB345"/>
      <c r="BC345"/>
      <c r="BD345"/>
      <c r="BE345"/>
      <c r="BF345"/>
      <c r="BG345"/>
      <c r="BH345"/>
      <c r="BI345"/>
      <c r="BJ345"/>
      <c r="BK345"/>
      <c r="BL345"/>
      <c r="BM345"/>
      <c r="BN345"/>
      <c r="BO345"/>
      <c r="BP345"/>
      <c r="BQ345"/>
      <c r="BR345"/>
      <c r="BS345"/>
      <c r="BT345"/>
      <c r="BU345"/>
      <c r="BV345"/>
      <c r="BW345"/>
      <c r="BX345"/>
      <c r="BY345"/>
      <c r="BZ345"/>
      <c r="CA345"/>
      <c r="CB345"/>
      <c r="CC345"/>
      <c r="CD345"/>
      <c r="CE345"/>
      <c r="CF345"/>
      <c r="CG345"/>
      <c r="CH345"/>
      <c r="CI345"/>
      <c r="CJ345"/>
      <c r="CK345"/>
      <c r="CL345"/>
      <c r="CM345"/>
      <c r="CN345"/>
      <c r="CO345"/>
      <c r="CP345"/>
      <c r="CQ345"/>
      <c r="CR345"/>
      <c r="CS345"/>
      <c r="CT345"/>
      <c r="CU345"/>
      <c r="CV345"/>
      <c r="CW345"/>
      <c r="CX345"/>
      <c r="CY345"/>
      <c r="CZ345"/>
      <c r="DA345"/>
      <c r="DB345"/>
      <c r="DC345"/>
      <c r="DD345"/>
      <c r="DE345"/>
      <c r="DF345"/>
      <c r="DG345"/>
      <c r="DH345"/>
      <c r="DI345"/>
      <c r="DJ345"/>
      <c r="DK345"/>
      <c r="DL345"/>
      <c r="DM345"/>
      <c r="DN345"/>
      <c r="DO345"/>
      <c r="DP345"/>
      <c r="DQ345"/>
      <c r="DR345"/>
      <c r="DS345"/>
      <c r="DT345"/>
      <c r="DU345"/>
      <c r="DV345"/>
      <c r="DW345"/>
      <c r="DX345"/>
      <c r="DY345"/>
      <c r="DZ345"/>
      <c r="EA345"/>
      <c r="EB345"/>
      <c r="EC345"/>
      <c r="ED345"/>
      <c r="EE345"/>
      <c r="EF345"/>
      <c r="EG345"/>
      <c r="EH345"/>
      <c r="EI345"/>
      <c r="EJ345"/>
      <c r="EK345"/>
      <c r="EL345"/>
      <c r="EM345"/>
      <c r="EN345"/>
      <c r="EO345"/>
      <c r="EP345"/>
      <c r="EQ345"/>
      <c r="ER345"/>
      <c r="ES345"/>
      <c r="ET345"/>
      <c r="EU345"/>
      <c r="EV345"/>
      <c r="EW345"/>
      <c r="EX345"/>
      <c r="EY345"/>
      <c r="EZ345"/>
      <c r="FA345"/>
      <c r="FB345"/>
      <c r="FC345"/>
      <c r="FD345"/>
      <c r="FE345"/>
      <c r="FF345"/>
      <c r="FG345"/>
      <c r="FH345"/>
      <c r="FI345"/>
      <c r="FJ345"/>
      <c r="FK345"/>
      <c r="FL345"/>
      <c r="FM345"/>
      <c r="FN345"/>
      <c r="FO345"/>
      <c r="FP345"/>
      <c r="FQ345"/>
      <c r="FR345"/>
      <c r="FS345"/>
      <c r="FT345"/>
      <c r="FU345"/>
      <c r="FV345"/>
      <c r="FW345"/>
      <c r="FX345"/>
      <c r="FY345"/>
      <c r="FZ345"/>
      <c r="GA345"/>
      <c r="GB345"/>
      <c r="GC345"/>
      <c r="GD345"/>
      <c r="GE345"/>
      <c r="GF345"/>
      <c r="GG345"/>
      <c r="GH345"/>
      <c r="GI345"/>
      <c r="GJ345"/>
      <c r="GK345"/>
      <c r="GL345"/>
      <c r="GM345"/>
      <c r="GN345"/>
      <c r="GO345"/>
      <c r="GP345"/>
      <c r="GQ345"/>
      <c r="GR345"/>
      <c r="GS345"/>
      <c r="GT345"/>
      <c r="GU345"/>
      <c r="GV345"/>
      <c r="GW345"/>
      <c r="GX345"/>
      <c r="GY345"/>
      <c r="GZ345"/>
      <c r="HA345"/>
      <c r="HB345"/>
      <c r="HC345"/>
      <c r="HD345"/>
      <c r="HE345"/>
      <c r="HF345"/>
      <c r="HG345"/>
      <c r="HH345"/>
      <c r="HI345"/>
      <c r="HJ345"/>
      <c r="HK345"/>
      <c r="HL345"/>
      <c r="HM345"/>
      <c r="HN345"/>
      <c r="HO345"/>
      <c r="HP345"/>
      <c r="HQ345"/>
      <c r="HR345"/>
      <c r="HS345"/>
      <c r="HT345"/>
      <c r="HU345"/>
      <c r="HV345"/>
      <c r="HW345"/>
      <c r="HX345"/>
      <c r="HY345"/>
      <c r="HZ345"/>
      <c r="IA345"/>
      <c r="IB345"/>
      <c r="IC345"/>
      <c r="ID345"/>
      <c r="IE345"/>
      <c r="IF345"/>
      <c r="IG345"/>
      <c r="IH345"/>
      <c r="II345"/>
      <c r="IJ345"/>
      <c r="IK345"/>
      <c r="IL345"/>
      <c r="IM345"/>
      <c r="IN345"/>
      <c r="IO345"/>
      <c r="IP345"/>
      <c r="IQ345"/>
      <c r="IR345"/>
      <c r="IS345"/>
      <c r="IT345"/>
      <c r="IU345"/>
      <c r="IV345"/>
      <c r="IW345"/>
      <c r="IX345"/>
      <c r="IY345"/>
      <c r="IZ345"/>
      <c r="JA345"/>
      <c r="JB345"/>
      <c r="JC345"/>
      <c r="JD345"/>
      <c r="JE345"/>
      <c r="JF345"/>
      <c r="JG345"/>
      <c r="JH345"/>
      <c r="JI345"/>
      <c r="JJ345"/>
      <c r="JK345"/>
      <c r="JL345"/>
      <c r="JM345"/>
      <c r="JN345"/>
      <c r="JO345"/>
      <c r="JP345"/>
      <c r="JQ345"/>
      <c r="JR345"/>
      <c r="JS345"/>
      <c r="JT345"/>
      <c r="JU345"/>
      <c r="JV345"/>
      <c r="JW345"/>
      <c r="JX345"/>
      <c r="JY345"/>
      <c r="JZ345"/>
      <c r="KA345"/>
      <c r="KB345"/>
      <c r="KC345"/>
      <c r="KD345"/>
      <c r="KE345"/>
      <c r="KF345"/>
      <c r="KG345"/>
      <c r="KH345"/>
      <c r="KI345"/>
      <c r="KJ345"/>
      <c r="KK345"/>
      <c r="KL345"/>
      <c r="KM345"/>
      <c r="KN345"/>
      <c r="KO345"/>
      <c r="KP345"/>
      <c r="KQ345"/>
      <c r="KR345"/>
      <c r="KS345"/>
      <c r="KT345"/>
      <c r="KU345"/>
      <c r="KV345"/>
      <c r="KW345"/>
      <c r="KX345"/>
      <c r="KY345"/>
      <c r="KZ345"/>
      <c r="LA345"/>
      <c r="LB345"/>
      <c r="LC345"/>
      <c r="LD345"/>
      <c r="LE345"/>
      <c r="LF345"/>
      <c r="LG345"/>
      <c r="LH345"/>
      <c r="LI345"/>
      <c r="LJ345"/>
      <c r="LK345"/>
      <c r="LL345"/>
      <c r="LM345"/>
      <c r="LN345"/>
      <c r="LO345"/>
      <c r="LP345"/>
      <c r="LQ345"/>
      <c r="LR345"/>
      <c r="LS345"/>
      <c r="LT345"/>
      <c r="LU345"/>
      <c r="LV345"/>
      <c r="LW345"/>
      <c r="LX345"/>
      <c r="LY345"/>
      <c r="LZ345"/>
      <c r="MA345"/>
      <c r="MB345"/>
      <c r="MC345"/>
      <c r="MD345"/>
      <c r="ME345"/>
      <c r="MF345"/>
      <c r="MG345"/>
      <c r="MH345"/>
      <c r="MI345"/>
      <c r="MJ345"/>
      <c r="MK345"/>
      <c r="ML345"/>
      <c r="MM345"/>
      <c r="MN345"/>
      <c r="MO345"/>
      <c r="MP345"/>
      <c r="MQ345"/>
      <c r="MR345"/>
      <c r="MS345"/>
      <c r="MT345"/>
      <c r="MU345"/>
      <c r="MV345"/>
      <c r="MW345"/>
      <c r="MX345"/>
      <c r="MY345"/>
      <c r="MZ345"/>
      <c r="NA345"/>
      <c r="NB345"/>
      <c r="NC345"/>
      <c r="ND345"/>
      <c r="NE345"/>
      <c r="NF345"/>
      <c r="NG345"/>
      <c r="NH345"/>
      <c r="NI345"/>
      <c r="NJ345"/>
      <c r="NK345"/>
      <c r="NL345"/>
      <c r="NM345"/>
      <c r="NN345"/>
      <c r="NO345"/>
      <c r="NP345"/>
      <c r="NQ345"/>
      <c r="NR345"/>
      <c r="NS345"/>
      <c r="NT345"/>
      <c r="NU345"/>
      <c r="NV345"/>
      <c r="NW345"/>
      <c r="NX345"/>
      <c r="NY345"/>
      <c r="NZ345"/>
      <c r="OA345"/>
      <c r="OB345"/>
      <c r="OC345"/>
      <c r="OD345"/>
      <c r="OE345"/>
      <c r="OF345"/>
      <c r="OG345"/>
      <c r="OH345"/>
      <c r="OI345"/>
      <c r="OJ345"/>
      <c r="OK345"/>
      <c r="OL345"/>
      <c r="OM345"/>
      <c r="ON345"/>
      <c r="OO345"/>
      <c r="OP345"/>
      <c r="OQ345"/>
      <c r="OR345"/>
      <c r="OS345"/>
      <c r="OT345"/>
      <c r="OU345"/>
      <c r="OV345"/>
      <c r="OW345"/>
      <c r="OX345"/>
      <c r="OY345"/>
      <c r="OZ345"/>
      <c r="PA345"/>
      <c r="PB345"/>
      <c r="PC345"/>
      <c r="PD345"/>
      <c r="PE345"/>
      <c r="PF345"/>
      <c r="PG345"/>
      <c r="PH345"/>
      <c r="PI345"/>
      <c r="PJ345"/>
      <c r="PK345"/>
      <c r="PL345"/>
      <c r="PM345"/>
      <c r="PN345"/>
      <c r="PO345"/>
      <c r="PP345"/>
      <c r="PQ345"/>
      <c r="PR345"/>
      <c r="PS345"/>
      <c r="PT345"/>
      <c r="PU345"/>
      <c r="PV345"/>
      <c r="PW345"/>
      <c r="PX345"/>
      <c r="PY345"/>
      <c r="PZ345"/>
      <c r="QA345"/>
      <c r="QB345"/>
      <c r="QC345"/>
      <c r="QD345"/>
      <c r="QE345"/>
      <c r="QF345"/>
      <c r="QG345"/>
      <c r="QH345"/>
      <c r="QI345"/>
      <c r="QJ345"/>
      <c r="QK345"/>
      <c r="QL345"/>
      <c r="QM345"/>
      <c r="QN345"/>
      <c r="QO345"/>
      <c r="QP345"/>
      <c r="QQ345"/>
      <c r="QR345"/>
      <c r="QS345"/>
      <c r="QT345"/>
      <c r="QU345"/>
      <c r="QV345"/>
      <c r="QW345"/>
      <c r="QX345"/>
      <c r="QY345"/>
      <c r="QZ345"/>
      <c r="RA345"/>
      <c r="RB345"/>
      <c r="RC345"/>
      <c r="RD345"/>
      <c r="RE345"/>
      <c r="RF345"/>
      <c r="RG345"/>
      <c r="RH345"/>
      <c r="RI345"/>
      <c r="RJ345"/>
      <c r="RK345"/>
      <c r="RL345"/>
      <c r="RM345"/>
      <c r="RN345"/>
      <c r="RO345"/>
      <c r="RP345"/>
      <c r="RQ345"/>
      <c r="RR345"/>
      <c r="RS345"/>
    </row>
    <row r="346" spans="19:487" x14ac:dyDescent="0.25"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J346"/>
      <c r="AK346"/>
      <c r="AL346"/>
      <c r="AM346"/>
      <c r="AN346"/>
      <c r="AO346"/>
      <c r="AP346"/>
      <c r="AQ346"/>
      <c r="AR346"/>
      <c r="AS346"/>
      <c r="AT346"/>
      <c r="AU346"/>
      <c r="AV346"/>
      <c r="AW346"/>
      <c r="AX346"/>
      <c r="AY346"/>
      <c r="AZ346"/>
      <c r="BA346"/>
      <c r="BB346"/>
      <c r="BC346"/>
      <c r="BD346"/>
      <c r="BE346"/>
      <c r="BF346"/>
      <c r="BG346"/>
      <c r="BH346"/>
      <c r="BI346"/>
      <c r="BJ346"/>
      <c r="BK346"/>
      <c r="BL346"/>
      <c r="BM346"/>
      <c r="BN346"/>
      <c r="BO346"/>
      <c r="BP346"/>
      <c r="BQ346"/>
      <c r="BR346"/>
      <c r="BS346"/>
      <c r="BT346"/>
      <c r="BU346"/>
      <c r="BV346"/>
      <c r="BW346"/>
      <c r="BX346"/>
      <c r="BY346"/>
      <c r="BZ346"/>
      <c r="CA346"/>
      <c r="CB346"/>
      <c r="CC346"/>
      <c r="CD346"/>
      <c r="CE346"/>
      <c r="CF346"/>
      <c r="CG346"/>
      <c r="CH346"/>
      <c r="CI346"/>
      <c r="CJ346"/>
      <c r="CK346"/>
      <c r="CL346"/>
      <c r="CM346"/>
      <c r="CN346"/>
      <c r="CO346"/>
      <c r="CP346"/>
      <c r="CQ346"/>
      <c r="CR346"/>
      <c r="CS346"/>
      <c r="CT346"/>
      <c r="CU346"/>
      <c r="CV346"/>
      <c r="CW346"/>
      <c r="CX346"/>
      <c r="CY346"/>
      <c r="CZ346"/>
      <c r="DA346"/>
      <c r="DB346"/>
      <c r="DC346"/>
      <c r="DD346"/>
      <c r="DE346"/>
      <c r="DF346"/>
      <c r="DG346"/>
      <c r="DH346"/>
      <c r="DI346"/>
      <c r="DJ346"/>
      <c r="DK346"/>
      <c r="DL346"/>
      <c r="DM346"/>
      <c r="DN346"/>
      <c r="DO346"/>
      <c r="DP346"/>
      <c r="DQ346"/>
      <c r="DR346"/>
      <c r="DS346"/>
      <c r="DT346"/>
      <c r="DU346"/>
      <c r="DV346"/>
      <c r="DW346"/>
      <c r="DX346"/>
      <c r="DY346"/>
      <c r="DZ346"/>
      <c r="EA346"/>
      <c r="EB346"/>
      <c r="EC346"/>
      <c r="ED346"/>
      <c r="EE346"/>
      <c r="EF346"/>
      <c r="EG346"/>
      <c r="EH346"/>
      <c r="EI346"/>
      <c r="EJ346"/>
      <c r="EK346"/>
      <c r="EL346"/>
      <c r="EM346"/>
      <c r="EN346"/>
      <c r="EO346"/>
      <c r="EP346"/>
      <c r="EQ346"/>
      <c r="ER346"/>
      <c r="ES346"/>
      <c r="ET346"/>
      <c r="EU346"/>
      <c r="EV346"/>
      <c r="EW346"/>
      <c r="EX346"/>
      <c r="EY346"/>
      <c r="EZ346"/>
      <c r="FA346"/>
      <c r="FB346"/>
      <c r="FC346"/>
      <c r="FD346"/>
      <c r="FE346"/>
      <c r="FF346"/>
      <c r="FG346"/>
      <c r="FH346"/>
      <c r="FI346"/>
      <c r="FJ346"/>
      <c r="FK346"/>
      <c r="FL346"/>
      <c r="FM346"/>
      <c r="FN346"/>
      <c r="FO346"/>
      <c r="FP346"/>
      <c r="FQ346"/>
      <c r="FR346"/>
      <c r="FS346"/>
      <c r="FT346"/>
      <c r="FU346"/>
      <c r="FV346"/>
      <c r="FW346"/>
      <c r="FX346"/>
      <c r="FY346"/>
      <c r="FZ346"/>
      <c r="GA346"/>
      <c r="GB346"/>
      <c r="GC346"/>
      <c r="GD346"/>
      <c r="GE346"/>
      <c r="GF346"/>
      <c r="GG346"/>
      <c r="GH346"/>
      <c r="GI346"/>
      <c r="GJ346"/>
      <c r="GK346"/>
      <c r="GL346"/>
      <c r="GM346"/>
      <c r="GN346"/>
      <c r="GO346"/>
      <c r="GP346"/>
      <c r="GQ346"/>
      <c r="GR346"/>
      <c r="GS346"/>
      <c r="GT346"/>
      <c r="GU346"/>
      <c r="GV346"/>
      <c r="GW346"/>
      <c r="GX346"/>
      <c r="GY346"/>
      <c r="GZ346"/>
      <c r="HA346"/>
      <c r="HB346"/>
      <c r="HC346"/>
      <c r="HD346"/>
      <c r="HE346"/>
      <c r="HF346"/>
      <c r="HG346"/>
      <c r="HH346"/>
      <c r="HI346"/>
      <c r="HJ346"/>
      <c r="HK346"/>
      <c r="HL346"/>
      <c r="HM346"/>
      <c r="HN346"/>
      <c r="HO346"/>
      <c r="HP346"/>
      <c r="HQ346"/>
      <c r="HR346"/>
      <c r="HS346"/>
      <c r="HT346"/>
      <c r="HU346"/>
      <c r="HV346"/>
      <c r="HW346"/>
      <c r="HX346"/>
      <c r="HY346"/>
      <c r="HZ346"/>
      <c r="IA346"/>
      <c r="IB346"/>
      <c r="IC346"/>
      <c r="ID346"/>
      <c r="IE346"/>
      <c r="IF346"/>
      <c r="IG346"/>
      <c r="IH346"/>
      <c r="II346"/>
      <c r="IJ346"/>
      <c r="IK346"/>
      <c r="IL346"/>
      <c r="IM346"/>
      <c r="IN346"/>
      <c r="IO346"/>
      <c r="IP346"/>
      <c r="IQ346"/>
      <c r="IR346"/>
      <c r="IS346"/>
      <c r="IT346"/>
      <c r="IU346"/>
      <c r="IV346"/>
      <c r="IW346"/>
      <c r="IX346"/>
      <c r="IY346"/>
      <c r="IZ346"/>
      <c r="JA346"/>
      <c r="JB346"/>
      <c r="JC346"/>
      <c r="JD346"/>
      <c r="JE346"/>
      <c r="JF346"/>
      <c r="JG346"/>
      <c r="JH346"/>
      <c r="JI346"/>
      <c r="JJ346"/>
      <c r="JK346"/>
      <c r="JL346"/>
      <c r="JM346"/>
      <c r="JN346"/>
      <c r="JO346"/>
      <c r="JP346"/>
      <c r="JQ346"/>
      <c r="JR346"/>
      <c r="JS346"/>
      <c r="JT346"/>
      <c r="JU346"/>
      <c r="JV346"/>
      <c r="JW346"/>
      <c r="JX346"/>
      <c r="JY346"/>
      <c r="JZ346"/>
      <c r="KA346"/>
      <c r="KB346"/>
      <c r="KC346"/>
      <c r="KD346"/>
      <c r="KE346"/>
      <c r="KF346"/>
      <c r="KG346"/>
      <c r="KH346"/>
      <c r="KI346"/>
      <c r="KJ346"/>
      <c r="KK346"/>
      <c r="KL346"/>
      <c r="KM346"/>
      <c r="KN346"/>
      <c r="KO346"/>
      <c r="KP346"/>
      <c r="KQ346"/>
      <c r="KR346"/>
      <c r="KS346"/>
      <c r="KT346"/>
      <c r="KU346"/>
      <c r="KV346"/>
      <c r="KW346"/>
      <c r="KX346"/>
      <c r="KY346"/>
      <c r="KZ346"/>
      <c r="LA346"/>
      <c r="LB346"/>
      <c r="LC346"/>
      <c r="LD346"/>
      <c r="LE346"/>
      <c r="LF346"/>
      <c r="LG346"/>
      <c r="LH346"/>
      <c r="LI346"/>
      <c r="LJ346"/>
      <c r="LK346"/>
      <c r="LL346"/>
      <c r="LM346"/>
      <c r="LN346"/>
      <c r="LO346"/>
      <c r="LP346"/>
      <c r="LQ346"/>
      <c r="LR346"/>
      <c r="LS346"/>
      <c r="LT346"/>
      <c r="LU346"/>
      <c r="LV346"/>
      <c r="LW346"/>
      <c r="LX346"/>
      <c r="LY346"/>
      <c r="LZ346"/>
      <c r="MA346"/>
      <c r="MB346"/>
      <c r="MC346"/>
      <c r="MD346"/>
      <c r="ME346"/>
      <c r="MF346"/>
      <c r="MG346"/>
      <c r="MH346"/>
      <c r="MI346"/>
      <c r="MJ346"/>
      <c r="MK346"/>
      <c r="ML346"/>
      <c r="MM346"/>
      <c r="MN346"/>
      <c r="MO346"/>
      <c r="MP346"/>
      <c r="MQ346"/>
      <c r="MR346"/>
      <c r="MS346"/>
      <c r="MT346"/>
      <c r="MU346"/>
      <c r="MV346"/>
      <c r="MW346"/>
      <c r="MX346"/>
      <c r="MY346"/>
      <c r="MZ346"/>
      <c r="NA346"/>
      <c r="NB346"/>
      <c r="NC346"/>
      <c r="ND346"/>
      <c r="NE346"/>
      <c r="NF346"/>
      <c r="NG346"/>
      <c r="NH346"/>
      <c r="NI346"/>
      <c r="NJ346"/>
      <c r="NK346"/>
      <c r="NL346"/>
      <c r="NM346"/>
      <c r="NN346"/>
      <c r="NO346"/>
      <c r="NP346"/>
      <c r="NQ346"/>
      <c r="NR346"/>
      <c r="NS346"/>
      <c r="NT346"/>
      <c r="NU346"/>
      <c r="NV346"/>
      <c r="NW346"/>
      <c r="NX346"/>
      <c r="NY346"/>
      <c r="NZ346"/>
      <c r="OA346"/>
      <c r="OB346"/>
      <c r="OC346"/>
      <c r="OD346"/>
      <c r="OE346"/>
      <c r="OF346"/>
      <c r="OG346"/>
      <c r="OH346"/>
      <c r="OI346"/>
      <c r="OJ346"/>
      <c r="OK346"/>
      <c r="OL346"/>
      <c r="OM346"/>
      <c r="ON346"/>
      <c r="OO346"/>
      <c r="OP346"/>
      <c r="OQ346"/>
      <c r="OR346"/>
      <c r="OS346"/>
      <c r="OT346"/>
      <c r="OU346"/>
      <c r="OV346"/>
      <c r="OW346"/>
      <c r="OX346"/>
      <c r="OY346"/>
      <c r="OZ346"/>
      <c r="PA346"/>
      <c r="PB346"/>
      <c r="PC346"/>
      <c r="PD346"/>
      <c r="PE346"/>
      <c r="PF346"/>
      <c r="PG346"/>
      <c r="PH346"/>
      <c r="PI346"/>
      <c r="PJ346"/>
      <c r="PK346"/>
      <c r="PL346"/>
      <c r="PM346"/>
      <c r="PN346"/>
      <c r="PO346"/>
      <c r="PP346"/>
      <c r="PQ346"/>
      <c r="PR346"/>
      <c r="PS346"/>
      <c r="PT346"/>
      <c r="PU346"/>
      <c r="PV346"/>
      <c r="PW346"/>
      <c r="PX346"/>
      <c r="PY346"/>
      <c r="PZ346"/>
      <c r="QA346"/>
      <c r="QB346"/>
      <c r="QC346"/>
      <c r="QD346"/>
      <c r="QE346"/>
      <c r="QF346"/>
      <c r="QG346"/>
      <c r="QH346"/>
      <c r="QI346"/>
      <c r="QJ346"/>
      <c r="QK346"/>
      <c r="QL346"/>
      <c r="QM346"/>
      <c r="QN346"/>
      <c r="QO346"/>
      <c r="QP346"/>
      <c r="QQ346"/>
      <c r="QR346"/>
      <c r="QS346"/>
      <c r="QT346"/>
      <c r="QU346"/>
      <c r="QV346"/>
      <c r="QW346"/>
      <c r="QX346"/>
      <c r="QY346"/>
      <c r="QZ346"/>
      <c r="RA346"/>
      <c r="RB346"/>
      <c r="RC346"/>
      <c r="RD346"/>
      <c r="RE346"/>
      <c r="RF346"/>
      <c r="RG346"/>
      <c r="RH346"/>
      <c r="RI346"/>
      <c r="RJ346"/>
      <c r="RK346"/>
      <c r="RL346"/>
      <c r="RM346"/>
      <c r="RN346"/>
      <c r="RO346"/>
      <c r="RP346"/>
      <c r="RQ346"/>
      <c r="RR346"/>
      <c r="RS346"/>
    </row>
    <row r="347" spans="19:487" x14ac:dyDescent="0.25"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J347"/>
      <c r="AK347"/>
      <c r="AL347"/>
      <c r="AM347"/>
      <c r="AN347"/>
      <c r="AO347"/>
      <c r="AP347"/>
      <c r="AQ347"/>
      <c r="AR347"/>
      <c r="AS347"/>
      <c r="AT347"/>
      <c r="AU347"/>
      <c r="AV347"/>
      <c r="AW347"/>
      <c r="AX347"/>
      <c r="AY347"/>
      <c r="AZ347"/>
      <c r="BA347"/>
      <c r="BB347"/>
      <c r="BC347"/>
      <c r="BD347"/>
      <c r="BE347"/>
      <c r="BF347"/>
      <c r="BG347"/>
      <c r="BH347"/>
      <c r="BI347"/>
      <c r="BJ347"/>
      <c r="BK347"/>
      <c r="BL347"/>
      <c r="BM347"/>
      <c r="BN347"/>
      <c r="BO347"/>
      <c r="BP347"/>
      <c r="BQ347"/>
      <c r="BR347"/>
      <c r="BS347"/>
      <c r="BT347"/>
      <c r="BU347"/>
      <c r="BV347"/>
      <c r="BW347"/>
      <c r="BX347"/>
      <c r="BY347"/>
      <c r="BZ347"/>
      <c r="CA347"/>
      <c r="CB347"/>
      <c r="CC347"/>
      <c r="CD347"/>
      <c r="CE347"/>
      <c r="CF347"/>
      <c r="CG347"/>
      <c r="CH347"/>
      <c r="CI347"/>
      <c r="CJ347"/>
      <c r="CK347"/>
      <c r="CL347"/>
      <c r="CM347"/>
      <c r="CN347"/>
      <c r="CO347"/>
      <c r="CP347"/>
      <c r="CQ347"/>
      <c r="CR347"/>
      <c r="CS347"/>
      <c r="CT347"/>
      <c r="CU347"/>
      <c r="CV347"/>
      <c r="CW347"/>
      <c r="CX347"/>
      <c r="CY347"/>
      <c r="CZ347"/>
      <c r="DA347"/>
      <c r="DB347"/>
      <c r="DC347"/>
      <c r="DD347"/>
      <c r="DE347"/>
      <c r="DF347"/>
      <c r="DG347"/>
      <c r="DH347"/>
      <c r="DI347"/>
      <c r="DJ347"/>
      <c r="DK347"/>
      <c r="DL347"/>
      <c r="DM347"/>
      <c r="DN347"/>
      <c r="DO347"/>
      <c r="DP347"/>
      <c r="DQ347"/>
      <c r="DR347"/>
      <c r="DS347"/>
      <c r="DT347"/>
      <c r="DU347"/>
      <c r="DV347"/>
      <c r="DW347"/>
      <c r="DX347"/>
      <c r="DY347"/>
      <c r="DZ347"/>
      <c r="EA347"/>
      <c r="EB347"/>
      <c r="EC347"/>
      <c r="ED347"/>
      <c r="EE347"/>
      <c r="EF347"/>
      <c r="EG347"/>
      <c r="EH347"/>
      <c r="EI347"/>
      <c r="EJ347"/>
      <c r="EK347"/>
      <c r="EL347"/>
      <c r="EM347"/>
      <c r="EN347"/>
      <c r="EO347"/>
      <c r="EP347"/>
      <c r="EQ347"/>
      <c r="ER347"/>
      <c r="ES347"/>
      <c r="ET347"/>
      <c r="EU347"/>
      <c r="EV347"/>
      <c r="EW347"/>
      <c r="EX347"/>
      <c r="EY347"/>
      <c r="EZ347"/>
      <c r="FA347"/>
      <c r="FB347"/>
      <c r="FC347"/>
      <c r="FD347"/>
      <c r="FE347"/>
      <c r="FF347"/>
      <c r="FG347"/>
      <c r="FH347"/>
      <c r="FI347"/>
      <c r="FJ347"/>
      <c r="FK347"/>
      <c r="FL347"/>
      <c r="FM347"/>
      <c r="FN347"/>
      <c r="FO347"/>
      <c r="FP347"/>
      <c r="FQ347"/>
      <c r="FR347"/>
      <c r="FS347"/>
      <c r="FT347"/>
      <c r="FU347"/>
      <c r="FV347"/>
      <c r="FW347"/>
      <c r="FX347"/>
      <c r="FY347"/>
      <c r="FZ347"/>
      <c r="GA347"/>
      <c r="GB347"/>
      <c r="GC347"/>
      <c r="GD347"/>
      <c r="GE347"/>
      <c r="GF347"/>
      <c r="GG347"/>
      <c r="GH347"/>
      <c r="GI347"/>
      <c r="GJ347"/>
      <c r="GK347"/>
      <c r="GL347"/>
      <c r="GM347"/>
      <c r="GN347"/>
      <c r="GO347"/>
      <c r="GP347"/>
      <c r="GQ347"/>
      <c r="GR347"/>
      <c r="GS347"/>
      <c r="GT347"/>
      <c r="GU347"/>
      <c r="GV347"/>
      <c r="GW347"/>
      <c r="GX347"/>
      <c r="GY347"/>
      <c r="GZ347"/>
      <c r="HA347"/>
      <c r="HB347"/>
      <c r="HC347"/>
      <c r="HD347"/>
      <c r="HE347"/>
      <c r="HF347"/>
      <c r="HG347"/>
      <c r="HH347"/>
      <c r="HI347"/>
      <c r="HJ347"/>
      <c r="HK347"/>
      <c r="HL347"/>
      <c r="HM347"/>
      <c r="HN347"/>
      <c r="HO347"/>
      <c r="HP347"/>
      <c r="HQ347"/>
      <c r="HR347"/>
      <c r="HS347"/>
      <c r="HT347"/>
      <c r="HU347"/>
      <c r="HV347"/>
      <c r="HW347"/>
      <c r="HX347"/>
      <c r="HY347"/>
      <c r="HZ347"/>
      <c r="IA347"/>
      <c r="IB347"/>
      <c r="IC347"/>
      <c r="ID347"/>
      <c r="IE347"/>
      <c r="IF347"/>
      <c r="IG347"/>
      <c r="IH347"/>
      <c r="II347"/>
      <c r="IJ347"/>
      <c r="IK347"/>
      <c r="IL347"/>
      <c r="IM347"/>
      <c r="IN347"/>
      <c r="IO347"/>
      <c r="IP347"/>
      <c r="IQ347"/>
      <c r="IR347"/>
      <c r="IS347"/>
      <c r="IT347"/>
      <c r="IU347"/>
      <c r="IV347"/>
      <c r="IW347"/>
      <c r="IX347"/>
      <c r="IY347"/>
      <c r="IZ347"/>
      <c r="JA347"/>
      <c r="JB347"/>
      <c r="JC347"/>
      <c r="JD347"/>
      <c r="JE347"/>
      <c r="JF347"/>
      <c r="JG347"/>
      <c r="JH347"/>
      <c r="JI347"/>
      <c r="JJ347"/>
      <c r="JK347"/>
      <c r="JL347"/>
      <c r="JM347"/>
      <c r="JN347"/>
      <c r="JO347"/>
      <c r="JP347"/>
      <c r="JQ347"/>
      <c r="JR347"/>
      <c r="JS347"/>
      <c r="JT347"/>
      <c r="JU347"/>
      <c r="JV347"/>
      <c r="JW347"/>
      <c r="JX347"/>
      <c r="JY347"/>
      <c r="JZ347"/>
      <c r="KA347"/>
      <c r="KB347"/>
      <c r="KC347"/>
      <c r="KD347"/>
      <c r="KE347"/>
      <c r="KF347"/>
      <c r="KG347"/>
      <c r="KH347"/>
      <c r="KI347"/>
      <c r="KJ347"/>
      <c r="KK347"/>
      <c r="KL347"/>
      <c r="KM347"/>
      <c r="KN347"/>
      <c r="KO347"/>
      <c r="KP347"/>
      <c r="KQ347"/>
      <c r="KR347"/>
      <c r="KS347"/>
      <c r="KT347"/>
      <c r="KU347"/>
      <c r="KV347"/>
      <c r="KW347"/>
      <c r="KX347"/>
      <c r="KY347"/>
      <c r="KZ347"/>
      <c r="LA347"/>
      <c r="LB347"/>
      <c r="LC347"/>
      <c r="LD347"/>
      <c r="LE347"/>
      <c r="LF347"/>
      <c r="LG347"/>
      <c r="LH347"/>
      <c r="LI347"/>
      <c r="LJ347"/>
      <c r="LK347"/>
      <c r="LL347"/>
      <c r="LM347"/>
      <c r="LN347"/>
      <c r="LO347"/>
      <c r="LP347"/>
      <c r="LQ347"/>
      <c r="LR347"/>
      <c r="LS347"/>
      <c r="LT347"/>
      <c r="LU347"/>
      <c r="LV347"/>
      <c r="LW347"/>
      <c r="LX347"/>
      <c r="LY347"/>
      <c r="LZ347"/>
      <c r="MA347"/>
      <c r="MB347"/>
      <c r="MC347"/>
      <c r="MD347"/>
      <c r="ME347"/>
      <c r="MF347"/>
      <c r="MG347"/>
      <c r="MH347"/>
      <c r="MI347"/>
      <c r="MJ347"/>
      <c r="MK347"/>
      <c r="ML347"/>
      <c r="MM347"/>
      <c r="MN347"/>
      <c r="MO347"/>
      <c r="MP347"/>
      <c r="MQ347"/>
      <c r="MR347"/>
      <c r="MS347"/>
      <c r="MT347"/>
      <c r="MU347"/>
      <c r="MV347"/>
      <c r="MW347"/>
      <c r="MX347"/>
      <c r="MY347"/>
      <c r="MZ347"/>
      <c r="NA347"/>
      <c r="NB347"/>
      <c r="NC347"/>
      <c r="ND347"/>
      <c r="NE347"/>
      <c r="NF347"/>
      <c r="NG347"/>
      <c r="NH347"/>
      <c r="NI347"/>
      <c r="NJ347"/>
      <c r="NK347"/>
      <c r="NL347"/>
      <c r="NM347"/>
      <c r="NN347"/>
      <c r="NO347"/>
      <c r="NP347"/>
      <c r="NQ347"/>
      <c r="NR347"/>
      <c r="NS347"/>
      <c r="NT347"/>
      <c r="NU347"/>
      <c r="NV347"/>
      <c r="NW347"/>
      <c r="NX347"/>
      <c r="NY347"/>
      <c r="NZ347"/>
      <c r="OA347"/>
      <c r="OB347"/>
      <c r="OC347"/>
      <c r="OD347"/>
      <c r="OE347"/>
      <c r="OF347"/>
      <c r="OG347"/>
      <c r="OH347"/>
      <c r="OI347"/>
      <c r="OJ347"/>
      <c r="OK347"/>
      <c r="OL347"/>
      <c r="OM347"/>
      <c r="ON347"/>
      <c r="OO347"/>
      <c r="OP347"/>
      <c r="OQ347"/>
      <c r="OR347"/>
      <c r="OS347"/>
      <c r="OT347"/>
      <c r="OU347"/>
      <c r="OV347"/>
      <c r="OW347"/>
      <c r="OX347"/>
      <c r="OY347"/>
      <c r="OZ347"/>
      <c r="PA347"/>
      <c r="PB347"/>
      <c r="PC347"/>
      <c r="PD347"/>
      <c r="PE347"/>
      <c r="PF347"/>
      <c r="PG347"/>
      <c r="PH347"/>
      <c r="PI347"/>
      <c r="PJ347"/>
      <c r="PK347"/>
      <c r="PL347"/>
      <c r="PM347"/>
      <c r="PN347"/>
      <c r="PO347"/>
      <c r="PP347"/>
      <c r="PQ347"/>
      <c r="PR347"/>
      <c r="PS347"/>
      <c r="PT347"/>
      <c r="PU347"/>
      <c r="PV347"/>
      <c r="PW347"/>
      <c r="PX347"/>
      <c r="PY347"/>
      <c r="PZ347"/>
      <c r="QA347"/>
      <c r="QB347"/>
      <c r="QC347"/>
      <c r="QD347"/>
      <c r="QE347"/>
      <c r="QF347"/>
      <c r="QG347"/>
      <c r="QH347"/>
      <c r="QI347"/>
      <c r="QJ347"/>
      <c r="QK347"/>
      <c r="QL347"/>
      <c r="QM347"/>
      <c r="QN347"/>
      <c r="QO347"/>
      <c r="QP347"/>
      <c r="QQ347"/>
      <c r="QR347"/>
      <c r="QS347"/>
      <c r="QT347"/>
      <c r="QU347"/>
      <c r="QV347"/>
      <c r="QW347"/>
      <c r="QX347"/>
      <c r="QY347"/>
      <c r="QZ347"/>
      <c r="RA347"/>
      <c r="RB347"/>
      <c r="RC347"/>
      <c r="RD347"/>
      <c r="RE347"/>
      <c r="RF347"/>
      <c r="RG347"/>
      <c r="RH347"/>
      <c r="RI347"/>
      <c r="RJ347"/>
      <c r="RK347"/>
      <c r="RL347"/>
      <c r="RM347"/>
      <c r="RN347"/>
      <c r="RO347"/>
      <c r="RP347"/>
      <c r="RQ347"/>
      <c r="RR347"/>
      <c r="RS347"/>
    </row>
    <row r="348" spans="19:487" x14ac:dyDescent="0.25"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  <c r="AH348"/>
      <c r="AI348"/>
      <c r="AJ348"/>
      <c r="AK348"/>
      <c r="AL348"/>
      <c r="AM348"/>
      <c r="AN348"/>
      <c r="AO348"/>
      <c r="AP348"/>
      <c r="AQ348"/>
      <c r="AR348"/>
      <c r="AS348"/>
      <c r="AT348"/>
      <c r="AU348"/>
      <c r="AV348"/>
      <c r="AW348"/>
      <c r="AX348"/>
      <c r="AY348"/>
      <c r="AZ348"/>
      <c r="BA348"/>
      <c r="BB348"/>
      <c r="BC348"/>
      <c r="BD348"/>
      <c r="BE348"/>
      <c r="BF348"/>
      <c r="BG348"/>
      <c r="BH348"/>
      <c r="BI348"/>
      <c r="BJ348"/>
      <c r="BK348"/>
      <c r="BL348"/>
      <c r="BM348"/>
      <c r="BN348"/>
      <c r="BO348"/>
      <c r="BP348"/>
      <c r="BQ348"/>
      <c r="BR348"/>
      <c r="BS348"/>
      <c r="BT348"/>
      <c r="BU348"/>
      <c r="BV348"/>
      <c r="BW348"/>
      <c r="BX348"/>
      <c r="BY348"/>
      <c r="BZ348"/>
      <c r="CA348"/>
      <c r="CB348"/>
      <c r="CC348"/>
      <c r="CD348"/>
      <c r="CE348"/>
      <c r="CF348"/>
      <c r="CG348"/>
      <c r="CH348"/>
      <c r="CI348"/>
      <c r="CJ348"/>
      <c r="CK348"/>
      <c r="CL348"/>
      <c r="CM348"/>
      <c r="CN348"/>
      <c r="CO348"/>
      <c r="CP348"/>
      <c r="CQ348"/>
      <c r="CR348"/>
      <c r="CS348"/>
      <c r="CT348"/>
      <c r="CU348"/>
      <c r="CV348"/>
      <c r="CW348"/>
      <c r="CX348"/>
      <c r="CY348"/>
      <c r="CZ348"/>
      <c r="DA348"/>
      <c r="DB348"/>
      <c r="DC348"/>
      <c r="DD348"/>
      <c r="DE348"/>
      <c r="DF348"/>
      <c r="DG348"/>
      <c r="DH348"/>
      <c r="DI348"/>
      <c r="DJ348"/>
      <c r="DK348"/>
      <c r="DL348"/>
      <c r="DM348"/>
      <c r="DN348"/>
      <c r="DO348"/>
      <c r="DP348"/>
      <c r="DQ348"/>
      <c r="DR348"/>
      <c r="DS348"/>
      <c r="DT348"/>
      <c r="DU348"/>
      <c r="DV348"/>
      <c r="DW348"/>
      <c r="DX348"/>
      <c r="DY348"/>
      <c r="DZ348"/>
      <c r="EA348"/>
      <c r="EB348"/>
      <c r="EC348"/>
      <c r="ED348"/>
      <c r="EE348"/>
      <c r="EF348"/>
      <c r="EG348"/>
      <c r="EH348"/>
      <c r="EI348"/>
      <c r="EJ348"/>
      <c r="EK348"/>
      <c r="EL348"/>
      <c r="EM348"/>
      <c r="EN348"/>
      <c r="EO348"/>
      <c r="EP348"/>
      <c r="EQ348"/>
      <c r="ER348"/>
      <c r="ES348"/>
      <c r="ET348"/>
      <c r="EU348"/>
      <c r="EV348"/>
      <c r="EW348"/>
      <c r="EX348"/>
      <c r="EY348"/>
      <c r="EZ348"/>
      <c r="FA348"/>
      <c r="FB348"/>
      <c r="FC348"/>
      <c r="FD348"/>
      <c r="FE348"/>
      <c r="FF348"/>
      <c r="FG348"/>
      <c r="FH348"/>
      <c r="FI348"/>
      <c r="FJ348"/>
      <c r="FK348"/>
      <c r="FL348"/>
      <c r="FM348"/>
      <c r="FN348"/>
      <c r="FO348"/>
      <c r="FP348"/>
      <c r="FQ348"/>
      <c r="FR348"/>
      <c r="FS348"/>
      <c r="FT348"/>
      <c r="FU348"/>
      <c r="FV348"/>
      <c r="FW348"/>
      <c r="FX348"/>
      <c r="FY348"/>
      <c r="FZ348"/>
      <c r="GA348"/>
      <c r="GB348"/>
      <c r="GC348"/>
      <c r="GD348"/>
      <c r="GE348"/>
      <c r="GF348"/>
      <c r="GG348"/>
      <c r="GH348"/>
      <c r="GI348"/>
      <c r="GJ348"/>
      <c r="GK348"/>
      <c r="GL348"/>
      <c r="GM348"/>
      <c r="GN348"/>
      <c r="GO348"/>
      <c r="GP348"/>
      <c r="GQ348"/>
      <c r="GR348"/>
      <c r="GS348"/>
      <c r="GT348"/>
      <c r="GU348"/>
      <c r="GV348"/>
      <c r="GW348"/>
      <c r="GX348"/>
      <c r="GY348"/>
      <c r="GZ348"/>
      <c r="HA348"/>
      <c r="HB348"/>
      <c r="HC348"/>
      <c r="HD348"/>
      <c r="HE348"/>
      <c r="HF348"/>
      <c r="HG348"/>
      <c r="HH348"/>
      <c r="HI348"/>
      <c r="HJ348"/>
      <c r="HK348"/>
      <c r="HL348"/>
      <c r="HM348"/>
      <c r="HN348"/>
      <c r="HO348"/>
      <c r="HP348"/>
      <c r="HQ348"/>
      <c r="HR348"/>
      <c r="HS348"/>
      <c r="HT348"/>
      <c r="HU348"/>
      <c r="HV348"/>
      <c r="HW348"/>
      <c r="HX348"/>
      <c r="HY348"/>
      <c r="HZ348"/>
      <c r="IA348"/>
      <c r="IB348"/>
      <c r="IC348"/>
      <c r="ID348"/>
      <c r="IE348"/>
      <c r="IF348"/>
      <c r="IG348"/>
      <c r="IH348"/>
      <c r="II348"/>
      <c r="IJ348"/>
      <c r="IK348"/>
      <c r="IL348"/>
      <c r="IM348"/>
      <c r="IN348"/>
      <c r="IO348"/>
      <c r="IP348"/>
      <c r="IQ348"/>
      <c r="IR348"/>
      <c r="IS348"/>
      <c r="IT348"/>
      <c r="IU348"/>
      <c r="IV348"/>
      <c r="IW348"/>
      <c r="IX348"/>
      <c r="IY348"/>
      <c r="IZ348"/>
      <c r="JA348"/>
      <c r="JB348"/>
      <c r="JC348"/>
      <c r="JD348"/>
      <c r="JE348"/>
      <c r="JF348"/>
      <c r="JG348"/>
      <c r="JH348"/>
      <c r="JI348"/>
      <c r="JJ348"/>
      <c r="JK348"/>
      <c r="JL348"/>
      <c r="JM348"/>
      <c r="JN348"/>
      <c r="JO348"/>
      <c r="JP348"/>
      <c r="JQ348"/>
      <c r="JR348"/>
      <c r="JS348"/>
      <c r="JT348"/>
      <c r="JU348"/>
      <c r="JV348"/>
      <c r="JW348"/>
      <c r="JX348"/>
      <c r="JY348"/>
      <c r="JZ348"/>
      <c r="KA348"/>
      <c r="KB348"/>
      <c r="KC348"/>
      <c r="KD348"/>
      <c r="KE348"/>
      <c r="KF348"/>
      <c r="KG348"/>
      <c r="KH348"/>
      <c r="KI348"/>
      <c r="KJ348"/>
      <c r="KK348"/>
      <c r="KL348"/>
      <c r="KM348"/>
      <c r="KN348"/>
      <c r="KO348"/>
      <c r="KP348"/>
      <c r="KQ348"/>
      <c r="KR348"/>
      <c r="KS348"/>
      <c r="KT348"/>
      <c r="KU348"/>
      <c r="KV348"/>
      <c r="KW348"/>
      <c r="KX348"/>
      <c r="KY348"/>
      <c r="KZ348"/>
      <c r="LA348"/>
      <c r="LB348"/>
      <c r="LC348"/>
      <c r="LD348"/>
      <c r="LE348"/>
      <c r="LF348"/>
      <c r="LG348"/>
      <c r="LH348"/>
      <c r="LI348"/>
      <c r="LJ348"/>
      <c r="LK348"/>
      <c r="LL348"/>
      <c r="LM348"/>
      <c r="LN348"/>
      <c r="LO348"/>
      <c r="LP348"/>
      <c r="LQ348"/>
      <c r="LR348"/>
      <c r="LS348"/>
      <c r="LT348"/>
      <c r="LU348"/>
      <c r="LV348"/>
      <c r="LW348"/>
      <c r="LX348"/>
      <c r="LY348"/>
      <c r="LZ348"/>
      <c r="MA348"/>
      <c r="MB348"/>
      <c r="MC348"/>
      <c r="MD348"/>
      <c r="ME348"/>
      <c r="MF348"/>
      <c r="MG348"/>
      <c r="MH348"/>
      <c r="MI348"/>
      <c r="MJ348"/>
      <c r="MK348"/>
      <c r="ML348"/>
      <c r="MM348"/>
      <c r="MN348"/>
      <c r="MO348"/>
      <c r="MP348"/>
      <c r="MQ348"/>
      <c r="MR348"/>
      <c r="MS348"/>
      <c r="MT348"/>
      <c r="MU348"/>
      <c r="MV348"/>
      <c r="MW348"/>
      <c r="MX348"/>
      <c r="MY348"/>
      <c r="MZ348"/>
      <c r="NA348"/>
      <c r="NB348"/>
      <c r="NC348"/>
      <c r="ND348"/>
      <c r="NE348"/>
      <c r="NF348"/>
      <c r="NG348"/>
      <c r="NH348"/>
      <c r="NI348"/>
      <c r="NJ348"/>
      <c r="NK348"/>
      <c r="NL348"/>
      <c r="NM348"/>
      <c r="NN348"/>
      <c r="NO348"/>
      <c r="NP348"/>
      <c r="NQ348"/>
      <c r="NR348"/>
      <c r="NS348"/>
      <c r="NT348"/>
      <c r="NU348"/>
      <c r="NV348"/>
      <c r="NW348"/>
      <c r="NX348"/>
      <c r="NY348"/>
      <c r="NZ348"/>
      <c r="OA348"/>
      <c r="OB348"/>
      <c r="OC348"/>
      <c r="OD348"/>
      <c r="OE348"/>
      <c r="OF348"/>
      <c r="OG348"/>
      <c r="OH348"/>
      <c r="OI348"/>
      <c r="OJ348"/>
      <c r="OK348"/>
      <c r="OL348"/>
      <c r="OM348"/>
      <c r="ON348"/>
      <c r="OO348"/>
      <c r="OP348"/>
      <c r="OQ348"/>
      <c r="OR348"/>
      <c r="OS348"/>
      <c r="OT348"/>
      <c r="OU348"/>
      <c r="OV348"/>
      <c r="OW348"/>
      <c r="OX348"/>
      <c r="OY348"/>
      <c r="OZ348"/>
      <c r="PA348"/>
      <c r="PB348"/>
      <c r="PC348"/>
      <c r="PD348"/>
      <c r="PE348"/>
      <c r="PF348"/>
      <c r="PG348"/>
      <c r="PH348"/>
      <c r="PI348"/>
      <c r="PJ348"/>
      <c r="PK348"/>
      <c r="PL348"/>
      <c r="PM348"/>
      <c r="PN348"/>
      <c r="PO348"/>
      <c r="PP348"/>
      <c r="PQ348"/>
      <c r="PR348"/>
      <c r="PS348"/>
      <c r="PT348"/>
      <c r="PU348"/>
      <c r="PV348"/>
      <c r="PW348"/>
      <c r="PX348"/>
      <c r="PY348"/>
      <c r="PZ348"/>
      <c r="QA348"/>
      <c r="QB348"/>
      <c r="QC348"/>
      <c r="QD348"/>
      <c r="QE348"/>
      <c r="QF348"/>
      <c r="QG348"/>
      <c r="QH348"/>
      <c r="QI348"/>
      <c r="QJ348"/>
      <c r="QK348"/>
      <c r="QL348"/>
      <c r="QM348"/>
      <c r="QN348"/>
      <c r="QO348"/>
      <c r="QP348"/>
      <c r="QQ348"/>
      <c r="QR348"/>
      <c r="QS348"/>
      <c r="QT348"/>
      <c r="QU348"/>
      <c r="QV348"/>
      <c r="QW348"/>
      <c r="QX348"/>
      <c r="QY348"/>
      <c r="QZ348"/>
      <c r="RA348"/>
      <c r="RB348"/>
      <c r="RC348"/>
      <c r="RD348"/>
      <c r="RE348"/>
      <c r="RF348"/>
      <c r="RG348"/>
      <c r="RH348"/>
      <c r="RI348"/>
      <c r="RJ348"/>
      <c r="RK348"/>
      <c r="RL348"/>
      <c r="RM348"/>
      <c r="RN348"/>
      <c r="RO348"/>
      <c r="RP348"/>
      <c r="RQ348"/>
      <c r="RR348"/>
      <c r="RS348"/>
    </row>
    <row r="349" spans="19:487" x14ac:dyDescent="0.25"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  <c r="AH349"/>
      <c r="AI349"/>
      <c r="AJ349"/>
      <c r="AK349"/>
      <c r="AL349"/>
      <c r="AM349"/>
      <c r="AN349"/>
      <c r="AO349"/>
      <c r="AP349"/>
      <c r="AQ349"/>
      <c r="AR349"/>
      <c r="AS349"/>
      <c r="AT349"/>
      <c r="AU349"/>
      <c r="AV349"/>
      <c r="AW349"/>
      <c r="AX349"/>
      <c r="AY349"/>
      <c r="AZ349"/>
      <c r="BA349"/>
      <c r="BB349"/>
      <c r="BC349"/>
      <c r="BD349"/>
      <c r="BE349"/>
      <c r="BF349"/>
      <c r="BG349"/>
      <c r="BH349"/>
      <c r="BI349"/>
      <c r="BJ349"/>
      <c r="BK349"/>
      <c r="BL349"/>
      <c r="BM349"/>
      <c r="BN349"/>
      <c r="BO349"/>
      <c r="BP349"/>
      <c r="BQ349"/>
      <c r="BR349"/>
      <c r="BS349"/>
      <c r="BT349"/>
      <c r="BU349"/>
      <c r="BV349"/>
      <c r="BW349"/>
      <c r="BX349"/>
      <c r="BY349"/>
      <c r="BZ349"/>
      <c r="CA349"/>
      <c r="CB349"/>
      <c r="CC349"/>
      <c r="CD349"/>
      <c r="CE349"/>
      <c r="CF349"/>
      <c r="CG349"/>
      <c r="CH349"/>
      <c r="CI349"/>
      <c r="CJ349"/>
      <c r="CK349"/>
      <c r="CL349"/>
      <c r="CM349"/>
      <c r="CN349"/>
      <c r="CO349"/>
      <c r="CP349"/>
      <c r="CQ349"/>
      <c r="CR349"/>
      <c r="CS349"/>
      <c r="CT349"/>
      <c r="CU349"/>
      <c r="CV349"/>
      <c r="CW349"/>
      <c r="CX349"/>
      <c r="CY349"/>
      <c r="CZ349"/>
      <c r="DA349"/>
      <c r="DB349"/>
      <c r="DC349"/>
      <c r="DD349"/>
      <c r="DE349"/>
      <c r="DF349"/>
      <c r="DG349"/>
      <c r="DH349"/>
      <c r="DI349"/>
      <c r="DJ349"/>
      <c r="DK349"/>
      <c r="DL349"/>
      <c r="DM349"/>
      <c r="DN349"/>
      <c r="DO349"/>
      <c r="DP349"/>
      <c r="DQ349"/>
      <c r="DR349"/>
      <c r="DS349"/>
      <c r="DT349"/>
      <c r="DU349"/>
      <c r="DV349"/>
      <c r="DW349"/>
      <c r="DX349"/>
      <c r="DY349"/>
      <c r="DZ349"/>
      <c r="EA349"/>
      <c r="EB349"/>
      <c r="EC349"/>
      <c r="ED349"/>
      <c r="EE349"/>
      <c r="EF349"/>
      <c r="EG349"/>
      <c r="EH349"/>
      <c r="EI349"/>
      <c r="EJ349"/>
      <c r="EK349"/>
      <c r="EL349"/>
      <c r="EM349"/>
      <c r="EN349"/>
      <c r="EO349"/>
      <c r="EP349"/>
      <c r="EQ349"/>
      <c r="ER349"/>
      <c r="ES349"/>
      <c r="ET349"/>
      <c r="EU349"/>
      <c r="EV349"/>
      <c r="EW349"/>
      <c r="EX349"/>
      <c r="EY349"/>
      <c r="EZ349"/>
      <c r="FA349"/>
      <c r="FB349"/>
      <c r="FC349"/>
      <c r="FD349"/>
      <c r="FE349"/>
      <c r="FF349"/>
      <c r="FG349"/>
      <c r="FH349"/>
      <c r="FI349"/>
      <c r="FJ349"/>
      <c r="FK349"/>
      <c r="FL349"/>
      <c r="FM349"/>
      <c r="FN349"/>
      <c r="FO349"/>
      <c r="FP349"/>
      <c r="FQ349"/>
      <c r="FR349"/>
      <c r="FS349"/>
      <c r="FT349"/>
      <c r="FU349"/>
      <c r="FV349"/>
      <c r="FW349"/>
      <c r="FX349"/>
      <c r="FY349"/>
      <c r="FZ349"/>
      <c r="GA349"/>
      <c r="GB349"/>
      <c r="GC349"/>
      <c r="GD349"/>
      <c r="GE349"/>
      <c r="GF349"/>
      <c r="GG349"/>
      <c r="GH349"/>
      <c r="GI349"/>
      <c r="GJ349"/>
      <c r="GK349"/>
      <c r="GL349"/>
      <c r="GM349"/>
      <c r="GN349"/>
      <c r="GO349"/>
      <c r="GP349"/>
      <c r="GQ349"/>
      <c r="GR349"/>
      <c r="GS349"/>
      <c r="GT349"/>
      <c r="GU349"/>
      <c r="GV349"/>
      <c r="GW349"/>
      <c r="GX349"/>
      <c r="GY349"/>
      <c r="GZ349"/>
      <c r="HA349"/>
      <c r="HB349"/>
      <c r="HC349"/>
      <c r="HD349"/>
      <c r="HE349"/>
      <c r="HF349"/>
      <c r="HG349"/>
      <c r="HH349"/>
      <c r="HI349"/>
      <c r="HJ349"/>
      <c r="HK349"/>
      <c r="HL349"/>
      <c r="HM349"/>
      <c r="HN349"/>
      <c r="HO349"/>
      <c r="HP349"/>
      <c r="HQ349"/>
      <c r="HR349"/>
      <c r="HS349"/>
      <c r="HT349"/>
      <c r="HU349"/>
      <c r="HV349"/>
      <c r="HW349"/>
      <c r="HX349"/>
      <c r="HY349"/>
      <c r="HZ349"/>
      <c r="IA349"/>
      <c r="IB349"/>
      <c r="IC349"/>
      <c r="ID349"/>
      <c r="IE349"/>
      <c r="IF349"/>
      <c r="IG349"/>
      <c r="IH349"/>
      <c r="II349"/>
      <c r="IJ349"/>
      <c r="IK349"/>
      <c r="IL349"/>
      <c r="IM349"/>
      <c r="IN349"/>
      <c r="IO349"/>
      <c r="IP349"/>
      <c r="IQ349"/>
      <c r="IR349"/>
      <c r="IS349"/>
      <c r="IT349"/>
      <c r="IU349"/>
      <c r="IV349"/>
      <c r="IW349"/>
      <c r="IX349"/>
      <c r="IY349"/>
      <c r="IZ349"/>
      <c r="JA349"/>
      <c r="JB349"/>
      <c r="JC349"/>
      <c r="JD349"/>
      <c r="JE349"/>
      <c r="JF349"/>
      <c r="JG349"/>
      <c r="JH349"/>
      <c r="JI349"/>
      <c r="JJ349"/>
      <c r="JK349"/>
      <c r="JL349"/>
      <c r="JM349"/>
      <c r="JN349"/>
      <c r="JO349"/>
      <c r="JP349"/>
      <c r="JQ349"/>
      <c r="JR349"/>
      <c r="JS349"/>
      <c r="JT349"/>
      <c r="JU349"/>
      <c r="JV349"/>
      <c r="JW349"/>
      <c r="JX349"/>
      <c r="JY349"/>
      <c r="JZ349"/>
      <c r="KA349"/>
      <c r="KB349"/>
      <c r="KC349"/>
      <c r="KD349"/>
      <c r="KE349"/>
      <c r="KF349"/>
      <c r="KG349"/>
      <c r="KH349"/>
      <c r="KI349"/>
      <c r="KJ349"/>
      <c r="KK349"/>
      <c r="KL349"/>
      <c r="KM349"/>
      <c r="KN349"/>
      <c r="KO349"/>
      <c r="KP349"/>
      <c r="KQ349"/>
      <c r="KR349"/>
      <c r="KS349"/>
      <c r="KT349"/>
      <c r="KU349"/>
      <c r="KV349"/>
      <c r="KW349"/>
      <c r="KX349"/>
      <c r="KY349"/>
      <c r="KZ349"/>
      <c r="LA349"/>
      <c r="LB349"/>
      <c r="LC349"/>
      <c r="LD349"/>
      <c r="LE349"/>
      <c r="LF349"/>
      <c r="LG349"/>
      <c r="LH349"/>
      <c r="LI349"/>
      <c r="LJ349"/>
      <c r="LK349"/>
      <c r="LL349"/>
      <c r="LM349"/>
      <c r="LN349"/>
      <c r="LO349"/>
      <c r="LP349"/>
      <c r="LQ349"/>
      <c r="LR349"/>
      <c r="LS349"/>
      <c r="LT349"/>
      <c r="LU349"/>
      <c r="LV349"/>
      <c r="LW349"/>
      <c r="LX349"/>
      <c r="LY349"/>
      <c r="LZ349"/>
      <c r="MA349"/>
      <c r="MB349"/>
      <c r="MC349"/>
      <c r="MD349"/>
      <c r="ME349"/>
      <c r="MF349"/>
      <c r="MG349"/>
      <c r="MH349"/>
      <c r="MI349"/>
      <c r="MJ349"/>
      <c r="MK349"/>
      <c r="ML349"/>
      <c r="MM349"/>
      <c r="MN349"/>
      <c r="MO349"/>
      <c r="MP349"/>
      <c r="MQ349"/>
      <c r="MR349"/>
      <c r="MS349"/>
      <c r="MT349"/>
      <c r="MU349"/>
      <c r="MV349"/>
      <c r="MW349"/>
      <c r="MX349"/>
      <c r="MY349"/>
      <c r="MZ349"/>
      <c r="NA349"/>
      <c r="NB349"/>
      <c r="NC349"/>
      <c r="ND349"/>
      <c r="NE349"/>
      <c r="NF349"/>
      <c r="NG349"/>
      <c r="NH349"/>
      <c r="NI349"/>
      <c r="NJ349"/>
      <c r="NK349"/>
      <c r="NL349"/>
      <c r="NM349"/>
      <c r="NN349"/>
      <c r="NO349"/>
      <c r="NP349"/>
      <c r="NQ349"/>
      <c r="NR349"/>
      <c r="NS349"/>
      <c r="NT349"/>
      <c r="NU349"/>
      <c r="NV349"/>
      <c r="NW349"/>
      <c r="NX349"/>
      <c r="NY349"/>
      <c r="NZ349"/>
      <c r="OA349"/>
      <c r="OB349"/>
      <c r="OC349"/>
      <c r="OD349"/>
      <c r="OE349"/>
      <c r="OF349"/>
      <c r="OG349"/>
      <c r="OH349"/>
      <c r="OI349"/>
      <c r="OJ349"/>
      <c r="OK349"/>
      <c r="OL349"/>
      <c r="OM349"/>
      <c r="ON349"/>
      <c r="OO349"/>
      <c r="OP349"/>
      <c r="OQ349"/>
      <c r="OR349"/>
      <c r="OS349"/>
      <c r="OT349"/>
      <c r="OU349"/>
      <c r="OV349"/>
      <c r="OW349"/>
      <c r="OX349"/>
      <c r="OY349"/>
      <c r="OZ349"/>
      <c r="PA349"/>
      <c r="PB349"/>
      <c r="PC349"/>
      <c r="PD349"/>
      <c r="PE349"/>
      <c r="PF349"/>
      <c r="PG349"/>
      <c r="PH349"/>
      <c r="PI349"/>
      <c r="PJ349"/>
      <c r="PK349"/>
      <c r="PL349"/>
      <c r="PM349"/>
      <c r="PN349"/>
      <c r="PO349"/>
      <c r="PP349"/>
      <c r="PQ349"/>
      <c r="PR349"/>
      <c r="PS349"/>
      <c r="PT349"/>
      <c r="PU349"/>
      <c r="PV349"/>
      <c r="PW349"/>
      <c r="PX349"/>
      <c r="PY349"/>
      <c r="PZ349"/>
      <c r="QA349"/>
      <c r="QB349"/>
      <c r="QC349"/>
      <c r="QD349"/>
      <c r="QE349"/>
      <c r="QF349"/>
      <c r="QG349"/>
      <c r="QH349"/>
      <c r="QI349"/>
      <c r="QJ349"/>
      <c r="QK349"/>
      <c r="QL349"/>
      <c r="QM349"/>
      <c r="QN349"/>
      <c r="QO349"/>
      <c r="QP349"/>
      <c r="QQ349"/>
      <c r="QR349"/>
      <c r="QS349"/>
      <c r="QT349"/>
      <c r="QU349"/>
      <c r="QV349"/>
      <c r="QW349"/>
      <c r="QX349"/>
      <c r="QY349"/>
      <c r="QZ349"/>
      <c r="RA349"/>
      <c r="RB349"/>
      <c r="RC349"/>
      <c r="RD349"/>
      <c r="RE349"/>
      <c r="RF349"/>
      <c r="RG349"/>
      <c r="RH349"/>
      <c r="RI349"/>
      <c r="RJ349"/>
      <c r="RK349"/>
      <c r="RL349"/>
      <c r="RM349"/>
      <c r="RN349"/>
      <c r="RO349"/>
      <c r="RP349"/>
      <c r="RQ349"/>
      <c r="RR349"/>
      <c r="RS349"/>
    </row>
    <row r="350" spans="19:487" x14ac:dyDescent="0.25"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  <c r="AH350"/>
      <c r="AI350"/>
      <c r="AJ350"/>
      <c r="AK350"/>
      <c r="AL350"/>
      <c r="AM350"/>
      <c r="AN350"/>
      <c r="AO350"/>
      <c r="AP350"/>
      <c r="AQ350"/>
      <c r="AR350"/>
      <c r="AS350"/>
      <c r="AT350"/>
      <c r="AU350"/>
      <c r="AV350"/>
      <c r="AW350"/>
      <c r="AX350"/>
      <c r="AY350"/>
      <c r="AZ350"/>
      <c r="BA350"/>
      <c r="BB350"/>
      <c r="BC350"/>
      <c r="BD350"/>
      <c r="BE350"/>
      <c r="BF350"/>
      <c r="BG350"/>
      <c r="BH350"/>
      <c r="BI350"/>
      <c r="BJ350"/>
      <c r="BK350"/>
      <c r="BL350"/>
      <c r="BM350"/>
      <c r="BN350"/>
      <c r="BO350"/>
      <c r="BP350"/>
      <c r="BQ350"/>
      <c r="BR350"/>
      <c r="BS350"/>
      <c r="BT350"/>
      <c r="BU350"/>
      <c r="BV350"/>
      <c r="BW350"/>
      <c r="BX350"/>
      <c r="BY350"/>
      <c r="BZ350"/>
      <c r="CA350"/>
      <c r="CB350"/>
      <c r="CC350"/>
      <c r="CD350"/>
      <c r="CE350"/>
      <c r="CF350"/>
      <c r="CG350"/>
      <c r="CH350"/>
      <c r="CI350"/>
      <c r="CJ350"/>
      <c r="CK350"/>
      <c r="CL350"/>
      <c r="CM350"/>
      <c r="CN350"/>
      <c r="CO350"/>
      <c r="CP350"/>
      <c r="CQ350"/>
      <c r="CR350"/>
      <c r="CS350"/>
      <c r="CT350"/>
      <c r="CU350"/>
      <c r="CV350"/>
      <c r="CW350"/>
      <c r="CX350"/>
      <c r="CY350"/>
      <c r="CZ350"/>
      <c r="DA350"/>
      <c r="DB350"/>
      <c r="DC350"/>
      <c r="DD350"/>
      <c r="DE350"/>
      <c r="DF350"/>
      <c r="DG350"/>
      <c r="DH350"/>
      <c r="DI350"/>
      <c r="DJ350"/>
      <c r="DK350"/>
      <c r="DL350"/>
      <c r="DM350"/>
      <c r="DN350"/>
      <c r="DO350"/>
      <c r="DP350"/>
      <c r="DQ350"/>
      <c r="DR350"/>
      <c r="DS350"/>
      <c r="DT350"/>
      <c r="DU350"/>
      <c r="DV350"/>
      <c r="DW350"/>
      <c r="DX350"/>
      <c r="DY350"/>
      <c r="DZ350"/>
      <c r="EA350"/>
      <c r="EB350"/>
      <c r="EC350"/>
      <c r="ED350"/>
      <c r="EE350"/>
      <c r="EF350"/>
      <c r="EG350"/>
      <c r="EH350"/>
      <c r="EI350"/>
      <c r="EJ350"/>
      <c r="EK350"/>
      <c r="EL350"/>
      <c r="EM350"/>
      <c r="EN350"/>
      <c r="EO350"/>
      <c r="EP350"/>
      <c r="EQ350"/>
      <c r="ER350"/>
      <c r="ES350"/>
      <c r="ET350"/>
      <c r="EU350"/>
      <c r="EV350"/>
      <c r="EW350"/>
      <c r="EX350"/>
      <c r="EY350"/>
      <c r="EZ350"/>
      <c r="FA350"/>
      <c r="FB350"/>
      <c r="FC350"/>
      <c r="FD350"/>
      <c r="FE350"/>
      <c r="FF350"/>
      <c r="FG350"/>
      <c r="FH350"/>
      <c r="FI350"/>
      <c r="FJ350"/>
      <c r="FK350"/>
      <c r="FL350"/>
      <c r="FM350"/>
      <c r="FN350"/>
      <c r="FO350"/>
      <c r="FP350"/>
      <c r="FQ350"/>
      <c r="FR350"/>
      <c r="FS350"/>
      <c r="FT350"/>
      <c r="FU350"/>
      <c r="FV350"/>
      <c r="FW350"/>
      <c r="FX350"/>
      <c r="FY350"/>
      <c r="FZ350"/>
      <c r="GA350"/>
      <c r="GB350"/>
      <c r="GC350"/>
      <c r="GD350"/>
      <c r="GE350"/>
      <c r="GF350"/>
      <c r="GG350"/>
      <c r="GH350"/>
      <c r="GI350"/>
      <c r="GJ350"/>
      <c r="GK350"/>
      <c r="GL350"/>
      <c r="GM350"/>
      <c r="GN350"/>
      <c r="GO350"/>
      <c r="GP350"/>
      <c r="GQ350"/>
      <c r="GR350"/>
      <c r="GS350"/>
      <c r="GT350"/>
      <c r="GU350"/>
      <c r="GV350"/>
      <c r="GW350"/>
      <c r="GX350"/>
      <c r="GY350"/>
      <c r="GZ350"/>
      <c r="HA350"/>
      <c r="HB350"/>
      <c r="HC350"/>
      <c r="HD350"/>
      <c r="HE350"/>
      <c r="HF350"/>
      <c r="HG350"/>
      <c r="HH350"/>
      <c r="HI350"/>
      <c r="HJ350"/>
      <c r="HK350"/>
      <c r="HL350"/>
      <c r="HM350"/>
      <c r="HN350"/>
      <c r="HO350"/>
      <c r="HP350"/>
      <c r="HQ350"/>
      <c r="HR350"/>
      <c r="HS350"/>
      <c r="HT350"/>
      <c r="HU350"/>
      <c r="HV350"/>
      <c r="HW350"/>
      <c r="HX350"/>
      <c r="HY350"/>
      <c r="HZ350"/>
      <c r="IA350"/>
      <c r="IB350"/>
      <c r="IC350"/>
      <c r="ID350"/>
      <c r="IE350"/>
      <c r="IF350"/>
      <c r="IG350"/>
      <c r="IH350"/>
      <c r="II350"/>
      <c r="IJ350"/>
      <c r="IK350"/>
      <c r="IL350"/>
      <c r="IM350"/>
      <c r="IN350"/>
      <c r="IO350"/>
      <c r="IP350"/>
      <c r="IQ350"/>
      <c r="IR350"/>
      <c r="IS350"/>
      <c r="IT350"/>
      <c r="IU350"/>
      <c r="IV350"/>
      <c r="IW350"/>
      <c r="IX350"/>
      <c r="IY350"/>
      <c r="IZ350"/>
      <c r="JA350"/>
      <c r="JB350"/>
      <c r="JC350"/>
      <c r="JD350"/>
      <c r="JE350"/>
      <c r="JF350"/>
      <c r="JG350"/>
      <c r="JH350"/>
      <c r="JI350"/>
      <c r="JJ350"/>
      <c r="JK350"/>
      <c r="JL350"/>
      <c r="JM350"/>
      <c r="JN350"/>
      <c r="JO350"/>
      <c r="JP350"/>
      <c r="JQ350"/>
      <c r="JR350"/>
      <c r="JS350"/>
      <c r="JT350"/>
      <c r="JU350"/>
      <c r="JV350"/>
      <c r="JW350"/>
      <c r="JX350"/>
      <c r="JY350"/>
      <c r="JZ350"/>
      <c r="KA350"/>
      <c r="KB350"/>
      <c r="KC350"/>
      <c r="KD350"/>
      <c r="KE350"/>
      <c r="KF350"/>
      <c r="KG350"/>
      <c r="KH350"/>
      <c r="KI350"/>
      <c r="KJ350"/>
      <c r="KK350"/>
      <c r="KL350"/>
      <c r="KM350"/>
      <c r="KN350"/>
      <c r="KO350"/>
      <c r="KP350"/>
      <c r="KQ350"/>
      <c r="KR350"/>
      <c r="KS350"/>
      <c r="KT350"/>
      <c r="KU350"/>
      <c r="KV350"/>
      <c r="KW350"/>
      <c r="KX350"/>
      <c r="KY350"/>
      <c r="KZ350"/>
      <c r="LA350"/>
      <c r="LB350"/>
      <c r="LC350"/>
      <c r="LD350"/>
      <c r="LE350"/>
      <c r="LF350"/>
      <c r="LG350"/>
      <c r="LH350"/>
      <c r="LI350"/>
      <c r="LJ350"/>
      <c r="LK350"/>
      <c r="LL350"/>
      <c r="LM350"/>
      <c r="LN350"/>
      <c r="LO350"/>
      <c r="LP350"/>
      <c r="LQ350"/>
      <c r="LR350"/>
      <c r="LS350"/>
      <c r="LT350"/>
      <c r="LU350"/>
      <c r="LV350"/>
      <c r="LW350"/>
      <c r="LX350"/>
      <c r="LY350"/>
      <c r="LZ350"/>
      <c r="MA350"/>
      <c r="MB350"/>
      <c r="MC350"/>
      <c r="MD350"/>
      <c r="ME350"/>
      <c r="MF350"/>
      <c r="MG350"/>
      <c r="MH350"/>
      <c r="MI350"/>
      <c r="MJ350"/>
      <c r="MK350"/>
      <c r="ML350"/>
      <c r="MM350"/>
      <c r="MN350"/>
      <c r="MO350"/>
      <c r="MP350"/>
      <c r="MQ350"/>
      <c r="MR350"/>
      <c r="MS350"/>
      <c r="MT350"/>
      <c r="MU350"/>
      <c r="MV350"/>
      <c r="MW350"/>
      <c r="MX350"/>
      <c r="MY350"/>
      <c r="MZ350"/>
      <c r="NA350"/>
      <c r="NB350"/>
      <c r="NC350"/>
      <c r="ND350"/>
      <c r="NE350"/>
      <c r="NF350"/>
      <c r="NG350"/>
      <c r="NH350"/>
      <c r="NI350"/>
      <c r="NJ350"/>
      <c r="NK350"/>
      <c r="NL350"/>
      <c r="NM350"/>
      <c r="NN350"/>
      <c r="NO350"/>
      <c r="NP350"/>
      <c r="NQ350"/>
      <c r="NR350"/>
      <c r="NS350"/>
      <c r="NT350"/>
      <c r="NU350"/>
      <c r="NV350"/>
      <c r="NW350"/>
      <c r="NX350"/>
      <c r="NY350"/>
      <c r="NZ350"/>
      <c r="OA350"/>
      <c r="OB350"/>
      <c r="OC350"/>
      <c r="OD350"/>
      <c r="OE350"/>
      <c r="OF350"/>
      <c r="OG350"/>
      <c r="OH350"/>
      <c r="OI350"/>
      <c r="OJ350"/>
      <c r="OK350"/>
      <c r="OL350"/>
      <c r="OM350"/>
      <c r="ON350"/>
      <c r="OO350"/>
      <c r="OP350"/>
      <c r="OQ350"/>
      <c r="OR350"/>
      <c r="OS350"/>
      <c r="OT350"/>
      <c r="OU350"/>
      <c r="OV350"/>
      <c r="OW350"/>
      <c r="OX350"/>
      <c r="OY350"/>
      <c r="OZ350"/>
      <c r="PA350"/>
      <c r="PB350"/>
      <c r="PC350"/>
      <c r="PD350"/>
      <c r="PE350"/>
      <c r="PF350"/>
      <c r="PG350"/>
      <c r="PH350"/>
      <c r="PI350"/>
      <c r="PJ350"/>
      <c r="PK350"/>
      <c r="PL350"/>
      <c r="PM350"/>
      <c r="PN350"/>
      <c r="PO350"/>
      <c r="PP350"/>
      <c r="PQ350"/>
      <c r="PR350"/>
      <c r="PS350"/>
      <c r="PT350"/>
      <c r="PU350"/>
      <c r="PV350"/>
      <c r="PW350"/>
      <c r="PX350"/>
      <c r="PY350"/>
      <c r="PZ350"/>
      <c r="QA350"/>
      <c r="QB350"/>
      <c r="QC350"/>
      <c r="QD350"/>
      <c r="QE350"/>
      <c r="QF350"/>
      <c r="QG350"/>
      <c r="QH350"/>
      <c r="QI350"/>
      <c r="QJ350"/>
      <c r="QK350"/>
      <c r="QL350"/>
      <c r="QM350"/>
      <c r="QN350"/>
      <c r="QO350"/>
      <c r="QP350"/>
      <c r="QQ350"/>
      <c r="QR350"/>
      <c r="QS350"/>
      <c r="QT350"/>
      <c r="QU350"/>
      <c r="QV350"/>
      <c r="QW350"/>
      <c r="QX350"/>
      <c r="QY350"/>
      <c r="QZ350"/>
      <c r="RA350"/>
      <c r="RB350"/>
      <c r="RC350"/>
      <c r="RD350"/>
      <c r="RE350"/>
      <c r="RF350"/>
      <c r="RG350"/>
      <c r="RH350"/>
      <c r="RI350"/>
      <c r="RJ350"/>
      <c r="RK350"/>
      <c r="RL350"/>
      <c r="RM350"/>
      <c r="RN350"/>
      <c r="RO350"/>
      <c r="RP350"/>
      <c r="RQ350"/>
      <c r="RR350"/>
      <c r="RS350"/>
    </row>
    <row r="351" spans="19:487" x14ac:dyDescent="0.25"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  <c r="AH351"/>
      <c r="AI351"/>
      <c r="AJ351"/>
      <c r="AK351"/>
      <c r="AL351"/>
      <c r="AM351"/>
      <c r="AN351"/>
      <c r="AO351"/>
      <c r="AP351"/>
      <c r="AQ351"/>
      <c r="AR351"/>
      <c r="AS351"/>
      <c r="AT351"/>
      <c r="AU351"/>
      <c r="AV351"/>
      <c r="AW351"/>
      <c r="AX351"/>
      <c r="AY351"/>
      <c r="AZ351"/>
      <c r="BA351"/>
      <c r="BB351"/>
      <c r="BC351"/>
      <c r="BD351"/>
      <c r="BE351"/>
      <c r="BF351"/>
      <c r="BG351"/>
      <c r="BH351"/>
      <c r="BI351"/>
      <c r="BJ351"/>
      <c r="BK351"/>
      <c r="BL351"/>
      <c r="BM351"/>
      <c r="BN351"/>
      <c r="BO351"/>
      <c r="BP351"/>
      <c r="BQ351"/>
      <c r="BR351"/>
      <c r="BS351"/>
      <c r="BT351"/>
      <c r="BU351"/>
      <c r="BV351"/>
      <c r="BW351"/>
      <c r="BX351"/>
      <c r="BY351"/>
      <c r="BZ351"/>
      <c r="CA351"/>
      <c r="CB351"/>
      <c r="CC351"/>
      <c r="CD351"/>
      <c r="CE351"/>
      <c r="CF351"/>
      <c r="CG351"/>
      <c r="CH351"/>
      <c r="CI351"/>
      <c r="CJ351"/>
      <c r="CK351"/>
      <c r="CL351"/>
      <c r="CM351"/>
      <c r="CN351"/>
      <c r="CO351"/>
      <c r="CP351"/>
      <c r="CQ351"/>
      <c r="CR351"/>
      <c r="CS351"/>
      <c r="CT351"/>
      <c r="CU351"/>
      <c r="CV351"/>
      <c r="CW351"/>
      <c r="CX351"/>
      <c r="CY351"/>
      <c r="CZ351"/>
      <c r="DA351"/>
      <c r="DB351"/>
      <c r="DC351"/>
      <c r="DD351"/>
      <c r="DE351"/>
      <c r="DF351"/>
      <c r="DG351"/>
      <c r="DH351"/>
      <c r="DI351"/>
      <c r="DJ351"/>
      <c r="DK351"/>
      <c r="DL351"/>
      <c r="DM351"/>
      <c r="DN351"/>
      <c r="DO351"/>
      <c r="DP351"/>
      <c r="DQ351"/>
      <c r="DR351"/>
      <c r="DS351"/>
      <c r="DT351"/>
      <c r="DU351"/>
      <c r="DV351"/>
      <c r="DW351"/>
      <c r="DX351"/>
      <c r="DY351"/>
      <c r="DZ351"/>
      <c r="EA351"/>
      <c r="EB351"/>
      <c r="EC351"/>
      <c r="ED351"/>
      <c r="EE351"/>
      <c r="EF351"/>
      <c r="EG351"/>
      <c r="EH351"/>
      <c r="EI351"/>
      <c r="EJ351"/>
      <c r="EK351"/>
      <c r="EL351"/>
      <c r="EM351"/>
      <c r="EN351"/>
      <c r="EO351"/>
      <c r="EP351"/>
      <c r="EQ351"/>
      <c r="ER351"/>
      <c r="ES351"/>
      <c r="ET351"/>
      <c r="EU351"/>
      <c r="EV351"/>
      <c r="EW351"/>
      <c r="EX351"/>
      <c r="EY351"/>
      <c r="EZ351"/>
      <c r="FA351"/>
      <c r="FB351"/>
      <c r="FC351"/>
      <c r="FD351"/>
      <c r="FE351"/>
      <c r="FF351"/>
      <c r="FG351"/>
      <c r="FH351"/>
      <c r="FI351"/>
      <c r="FJ351"/>
      <c r="FK351"/>
      <c r="FL351"/>
      <c r="FM351"/>
      <c r="FN351"/>
      <c r="FO351"/>
      <c r="FP351"/>
      <c r="FQ351"/>
      <c r="FR351"/>
      <c r="FS351"/>
      <c r="FT351"/>
      <c r="FU351"/>
      <c r="FV351"/>
      <c r="FW351"/>
      <c r="FX351"/>
      <c r="FY351"/>
      <c r="FZ351"/>
      <c r="GA351"/>
      <c r="GB351"/>
      <c r="GC351"/>
      <c r="GD351"/>
      <c r="GE351"/>
      <c r="GF351"/>
      <c r="GG351"/>
      <c r="GH351"/>
      <c r="GI351"/>
      <c r="GJ351"/>
      <c r="GK351"/>
      <c r="GL351"/>
      <c r="GM351"/>
      <c r="GN351"/>
      <c r="GO351"/>
      <c r="GP351"/>
      <c r="GQ351"/>
      <c r="GR351"/>
      <c r="GS351"/>
      <c r="GT351"/>
      <c r="GU351"/>
      <c r="GV351"/>
      <c r="GW351"/>
      <c r="GX351"/>
      <c r="GY351"/>
      <c r="GZ351"/>
      <c r="HA351"/>
      <c r="HB351"/>
      <c r="HC351"/>
      <c r="HD351"/>
      <c r="HE351"/>
      <c r="HF351"/>
      <c r="HG351"/>
      <c r="HH351"/>
      <c r="HI351"/>
      <c r="HJ351"/>
      <c r="HK351"/>
      <c r="HL351"/>
      <c r="HM351"/>
      <c r="HN351"/>
      <c r="HO351"/>
      <c r="HP351"/>
      <c r="HQ351"/>
      <c r="HR351"/>
      <c r="HS351"/>
      <c r="HT351"/>
      <c r="HU351"/>
      <c r="HV351"/>
      <c r="HW351"/>
      <c r="HX351"/>
      <c r="HY351"/>
      <c r="HZ351"/>
      <c r="IA351"/>
      <c r="IB351"/>
      <c r="IC351"/>
      <c r="ID351"/>
      <c r="IE351"/>
      <c r="IF351"/>
      <c r="IG351"/>
      <c r="IH351"/>
      <c r="II351"/>
      <c r="IJ351"/>
      <c r="IK351"/>
      <c r="IL351"/>
      <c r="IM351"/>
      <c r="IN351"/>
      <c r="IO351"/>
      <c r="IP351"/>
      <c r="IQ351"/>
      <c r="IR351"/>
      <c r="IS351"/>
      <c r="IT351"/>
      <c r="IU351"/>
      <c r="IV351"/>
      <c r="IW351"/>
      <c r="IX351"/>
      <c r="IY351"/>
      <c r="IZ351"/>
      <c r="JA351"/>
      <c r="JB351"/>
      <c r="JC351"/>
      <c r="JD351"/>
      <c r="JE351"/>
      <c r="JF351"/>
      <c r="JG351"/>
      <c r="JH351"/>
      <c r="JI351"/>
      <c r="JJ351"/>
      <c r="JK351"/>
      <c r="JL351"/>
      <c r="JM351"/>
      <c r="JN351"/>
      <c r="JO351"/>
      <c r="JP351"/>
      <c r="JQ351"/>
      <c r="JR351"/>
      <c r="JS351"/>
      <c r="JT351"/>
      <c r="JU351"/>
      <c r="JV351"/>
      <c r="JW351"/>
      <c r="JX351"/>
      <c r="JY351"/>
      <c r="JZ351"/>
      <c r="KA351"/>
      <c r="KB351"/>
      <c r="KC351"/>
      <c r="KD351"/>
      <c r="KE351"/>
      <c r="KF351"/>
      <c r="KG351"/>
      <c r="KH351"/>
      <c r="KI351"/>
      <c r="KJ351"/>
      <c r="KK351"/>
      <c r="KL351"/>
      <c r="KM351"/>
      <c r="KN351"/>
      <c r="KO351"/>
      <c r="KP351"/>
      <c r="KQ351"/>
      <c r="KR351"/>
      <c r="KS351"/>
      <c r="KT351"/>
      <c r="KU351"/>
      <c r="KV351"/>
      <c r="KW351"/>
      <c r="KX351"/>
      <c r="KY351"/>
      <c r="KZ351"/>
      <c r="LA351"/>
      <c r="LB351"/>
      <c r="LC351"/>
      <c r="LD351"/>
      <c r="LE351"/>
      <c r="LF351"/>
      <c r="LG351"/>
      <c r="LH351"/>
      <c r="LI351"/>
      <c r="LJ351"/>
      <c r="LK351"/>
      <c r="LL351"/>
      <c r="LM351"/>
      <c r="LN351"/>
      <c r="LO351"/>
      <c r="LP351"/>
      <c r="LQ351"/>
      <c r="LR351"/>
      <c r="LS351"/>
      <c r="LT351"/>
      <c r="LU351"/>
      <c r="LV351"/>
      <c r="LW351"/>
      <c r="LX351"/>
      <c r="LY351"/>
      <c r="LZ351"/>
      <c r="MA351"/>
      <c r="MB351"/>
      <c r="MC351"/>
      <c r="MD351"/>
      <c r="ME351"/>
      <c r="MF351"/>
      <c r="MG351"/>
      <c r="MH351"/>
      <c r="MI351"/>
      <c r="MJ351"/>
      <c r="MK351"/>
      <c r="ML351"/>
      <c r="MM351"/>
      <c r="MN351"/>
      <c r="MO351"/>
      <c r="MP351"/>
      <c r="MQ351"/>
      <c r="MR351"/>
      <c r="MS351"/>
      <c r="MT351"/>
      <c r="MU351"/>
      <c r="MV351"/>
      <c r="MW351"/>
      <c r="MX351"/>
      <c r="MY351"/>
      <c r="MZ351"/>
      <c r="NA351"/>
      <c r="NB351"/>
      <c r="NC351"/>
      <c r="ND351"/>
      <c r="NE351"/>
      <c r="NF351"/>
      <c r="NG351"/>
      <c r="NH351"/>
      <c r="NI351"/>
      <c r="NJ351"/>
      <c r="NK351"/>
      <c r="NL351"/>
      <c r="NM351"/>
      <c r="NN351"/>
      <c r="NO351"/>
      <c r="NP351"/>
      <c r="NQ351"/>
      <c r="NR351"/>
      <c r="NS351"/>
      <c r="NT351"/>
      <c r="NU351"/>
      <c r="NV351"/>
      <c r="NW351"/>
      <c r="NX351"/>
      <c r="NY351"/>
      <c r="NZ351"/>
      <c r="OA351"/>
      <c r="OB351"/>
      <c r="OC351"/>
      <c r="OD351"/>
      <c r="OE351"/>
      <c r="OF351"/>
      <c r="OG351"/>
      <c r="OH351"/>
      <c r="OI351"/>
      <c r="OJ351"/>
      <c r="OK351"/>
      <c r="OL351"/>
      <c r="OM351"/>
      <c r="ON351"/>
      <c r="OO351"/>
      <c r="OP351"/>
      <c r="OQ351"/>
      <c r="OR351"/>
      <c r="OS351"/>
      <c r="OT351"/>
      <c r="OU351"/>
      <c r="OV351"/>
      <c r="OW351"/>
      <c r="OX351"/>
      <c r="OY351"/>
      <c r="OZ351"/>
      <c r="PA351"/>
      <c r="PB351"/>
      <c r="PC351"/>
      <c r="PD351"/>
      <c r="PE351"/>
      <c r="PF351"/>
      <c r="PG351"/>
      <c r="PH351"/>
      <c r="PI351"/>
      <c r="PJ351"/>
      <c r="PK351"/>
      <c r="PL351"/>
      <c r="PM351"/>
      <c r="PN351"/>
      <c r="PO351"/>
      <c r="PP351"/>
      <c r="PQ351"/>
      <c r="PR351"/>
      <c r="PS351"/>
      <c r="PT351"/>
      <c r="PU351"/>
      <c r="PV351"/>
      <c r="PW351"/>
      <c r="PX351"/>
      <c r="PY351"/>
      <c r="PZ351"/>
      <c r="QA351"/>
      <c r="QB351"/>
      <c r="QC351"/>
      <c r="QD351"/>
      <c r="QE351"/>
      <c r="QF351"/>
      <c r="QG351"/>
      <c r="QH351"/>
      <c r="QI351"/>
      <c r="QJ351"/>
      <c r="QK351"/>
      <c r="QL351"/>
      <c r="QM351"/>
      <c r="QN351"/>
      <c r="QO351"/>
      <c r="QP351"/>
      <c r="QQ351"/>
      <c r="QR351"/>
      <c r="QS351"/>
      <c r="QT351"/>
      <c r="QU351"/>
      <c r="QV351"/>
      <c r="QW351"/>
      <c r="QX351"/>
      <c r="QY351"/>
      <c r="QZ351"/>
      <c r="RA351"/>
      <c r="RB351"/>
      <c r="RC351"/>
      <c r="RD351"/>
      <c r="RE351"/>
      <c r="RF351"/>
      <c r="RG351"/>
      <c r="RH351"/>
      <c r="RI351"/>
      <c r="RJ351"/>
      <c r="RK351"/>
      <c r="RL351"/>
      <c r="RM351"/>
      <c r="RN351"/>
      <c r="RO351"/>
      <c r="RP351"/>
      <c r="RQ351"/>
      <c r="RR351"/>
      <c r="RS351"/>
    </row>
    <row r="352" spans="19:487" x14ac:dyDescent="0.25"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  <c r="AH352"/>
      <c r="AI352"/>
      <c r="AJ352"/>
      <c r="AK352"/>
      <c r="AL352"/>
      <c r="AM352"/>
      <c r="AN352"/>
      <c r="AO352"/>
      <c r="AP352"/>
      <c r="AQ352"/>
      <c r="AR352"/>
      <c r="AS352"/>
      <c r="AT352"/>
      <c r="AU352"/>
      <c r="AV352"/>
      <c r="AW352"/>
      <c r="AX352"/>
      <c r="AY352"/>
      <c r="AZ352"/>
      <c r="BA352"/>
      <c r="BB352"/>
      <c r="BC352"/>
      <c r="BD352"/>
      <c r="BE352"/>
      <c r="BF352"/>
      <c r="BG352"/>
      <c r="BH352"/>
      <c r="BI352"/>
      <c r="BJ352"/>
      <c r="BK352"/>
      <c r="BL352"/>
      <c r="BM352"/>
      <c r="BN352"/>
      <c r="BO352"/>
      <c r="BP352"/>
      <c r="BQ352"/>
      <c r="BR352"/>
      <c r="BS352"/>
      <c r="BT352"/>
      <c r="BU352"/>
      <c r="BV352"/>
      <c r="BW352"/>
      <c r="BX352"/>
      <c r="BY352"/>
      <c r="BZ352"/>
      <c r="CA352"/>
      <c r="CB352"/>
      <c r="CC352"/>
      <c r="CD352"/>
      <c r="CE352"/>
      <c r="CF352"/>
      <c r="CG352"/>
      <c r="CH352"/>
      <c r="CI352"/>
      <c r="CJ352"/>
      <c r="CK352"/>
      <c r="CL352"/>
      <c r="CM352"/>
      <c r="CN352"/>
      <c r="CO352"/>
      <c r="CP352"/>
      <c r="CQ352"/>
      <c r="CR352"/>
      <c r="CS352"/>
      <c r="CT352"/>
      <c r="CU352"/>
      <c r="CV352"/>
      <c r="CW352"/>
      <c r="CX352"/>
      <c r="CY352"/>
      <c r="CZ352"/>
      <c r="DA352"/>
      <c r="DB352"/>
      <c r="DC352"/>
      <c r="DD352"/>
      <c r="DE352"/>
      <c r="DF352"/>
      <c r="DG352"/>
      <c r="DH352"/>
      <c r="DI352"/>
      <c r="DJ352"/>
      <c r="DK352"/>
      <c r="DL352"/>
      <c r="DM352"/>
      <c r="DN352"/>
      <c r="DO352"/>
      <c r="DP352"/>
      <c r="DQ352"/>
      <c r="DR352"/>
      <c r="DS352"/>
      <c r="DT352"/>
      <c r="DU352"/>
      <c r="DV352"/>
      <c r="DW352"/>
      <c r="DX352"/>
      <c r="DY352"/>
      <c r="DZ352"/>
      <c r="EA352"/>
      <c r="EB352"/>
      <c r="EC352"/>
      <c r="ED352"/>
      <c r="EE352"/>
      <c r="EF352"/>
      <c r="EG352"/>
      <c r="EH352"/>
      <c r="EI352"/>
      <c r="EJ352"/>
      <c r="EK352"/>
      <c r="EL352"/>
      <c r="EM352"/>
      <c r="EN352"/>
      <c r="EO352"/>
      <c r="EP352"/>
      <c r="EQ352"/>
      <c r="ER352"/>
      <c r="ES352"/>
      <c r="ET352"/>
      <c r="EU352"/>
      <c r="EV352"/>
      <c r="EW352"/>
      <c r="EX352"/>
      <c r="EY352"/>
      <c r="EZ352"/>
      <c r="FA352"/>
      <c r="FB352"/>
      <c r="FC352"/>
      <c r="FD352"/>
      <c r="FE352"/>
      <c r="FF352"/>
      <c r="FG352"/>
      <c r="FH352"/>
      <c r="FI352"/>
      <c r="FJ352"/>
      <c r="FK352"/>
      <c r="FL352"/>
      <c r="FM352"/>
      <c r="FN352"/>
      <c r="FO352"/>
      <c r="FP352"/>
      <c r="FQ352"/>
      <c r="FR352"/>
      <c r="FS352"/>
      <c r="FT352"/>
      <c r="FU352"/>
      <c r="FV352"/>
      <c r="FW352"/>
      <c r="FX352"/>
      <c r="FY352"/>
      <c r="FZ352"/>
      <c r="GA352"/>
      <c r="GB352"/>
      <c r="GC352"/>
      <c r="GD352"/>
      <c r="GE352"/>
      <c r="GF352"/>
      <c r="GG352"/>
      <c r="GH352"/>
      <c r="GI352"/>
      <c r="GJ352"/>
      <c r="GK352"/>
      <c r="GL352"/>
      <c r="GM352"/>
      <c r="GN352"/>
      <c r="GO352"/>
      <c r="GP352"/>
      <c r="GQ352"/>
      <c r="GR352"/>
      <c r="GS352"/>
      <c r="GT352"/>
      <c r="GU352"/>
      <c r="GV352"/>
      <c r="GW352"/>
      <c r="GX352"/>
      <c r="GY352"/>
      <c r="GZ352"/>
      <c r="HA352"/>
      <c r="HB352"/>
      <c r="HC352"/>
      <c r="HD352"/>
      <c r="HE352"/>
      <c r="HF352"/>
      <c r="HG352"/>
      <c r="HH352"/>
      <c r="HI352"/>
      <c r="HJ352"/>
      <c r="HK352"/>
      <c r="HL352"/>
      <c r="HM352"/>
      <c r="HN352"/>
      <c r="HO352"/>
      <c r="HP352"/>
      <c r="HQ352"/>
      <c r="HR352"/>
      <c r="HS352"/>
      <c r="HT352"/>
      <c r="HU352"/>
      <c r="HV352"/>
      <c r="HW352"/>
      <c r="HX352"/>
      <c r="HY352"/>
      <c r="HZ352"/>
      <c r="IA352"/>
      <c r="IB352"/>
      <c r="IC352"/>
      <c r="ID352"/>
      <c r="IE352"/>
      <c r="IF352"/>
      <c r="IG352"/>
      <c r="IH352"/>
      <c r="II352"/>
      <c r="IJ352"/>
      <c r="IK352"/>
      <c r="IL352"/>
      <c r="IM352"/>
      <c r="IN352"/>
      <c r="IO352"/>
      <c r="IP352"/>
      <c r="IQ352"/>
      <c r="IR352"/>
      <c r="IS352"/>
      <c r="IT352"/>
      <c r="IU352"/>
      <c r="IV352"/>
      <c r="IW352"/>
      <c r="IX352"/>
      <c r="IY352"/>
      <c r="IZ352"/>
      <c r="JA352"/>
      <c r="JB352"/>
      <c r="JC352"/>
      <c r="JD352"/>
      <c r="JE352"/>
      <c r="JF352"/>
      <c r="JG352"/>
      <c r="JH352"/>
      <c r="JI352"/>
      <c r="JJ352"/>
      <c r="JK352"/>
      <c r="JL352"/>
      <c r="JM352"/>
      <c r="JN352"/>
      <c r="JO352"/>
      <c r="JP352"/>
      <c r="JQ352"/>
      <c r="JR352"/>
      <c r="JS352"/>
      <c r="JT352"/>
      <c r="JU352"/>
      <c r="JV352"/>
      <c r="JW352"/>
      <c r="JX352"/>
      <c r="JY352"/>
      <c r="JZ352"/>
      <c r="KA352"/>
      <c r="KB352"/>
      <c r="KC352"/>
      <c r="KD352"/>
      <c r="KE352"/>
      <c r="KF352"/>
      <c r="KG352"/>
      <c r="KH352"/>
      <c r="KI352"/>
      <c r="KJ352"/>
      <c r="KK352"/>
      <c r="KL352"/>
      <c r="KM352"/>
      <c r="KN352"/>
      <c r="KO352"/>
      <c r="KP352"/>
      <c r="KQ352"/>
      <c r="KR352"/>
      <c r="KS352"/>
      <c r="KT352"/>
      <c r="KU352"/>
      <c r="KV352"/>
      <c r="KW352"/>
      <c r="KX352"/>
      <c r="KY352"/>
      <c r="KZ352"/>
      <c r="LA352"/>
      <c r="LB352"/>
      <c r="LC352"/>
      <c r="LD352"/>
      <c r="LE352"/>
      <c r="LF352"/>
      <c r="LG352"/>
      <c r="LH352"/>
      <c r="LI352"/>
      <c r="LJ352"/>
      <c r="LK352"/>
      <c r="LL352"/>
      <c r="LM352"/>
      <c r="LN352"/>
      <c r="LO352"/>
      <c r="LP352"/>
      <c r="LQ352"/>
      <c r="LR352"/>
      <c r="LS352"/>
      <c r="LT352"/>
      <c r="LU352"/>
      <c r="LV352"/>
      <c r="LW352"/>
      <c r="LX352"/>
      <c r="LY352"/>
      <c r="LZ352"/>
      <c r="MA352"/>
      <c r="MB352"/>
      <c r="MC352"/>
      <c r="MD352"/>
      <c r="ME352"/>
      <c r="MF352"/>
      <c r="MG352"/>
      <c r="MH352"/>
      <c r="MI352"/>
      <c r="MJ352"/>
      <c r="MK352"/>
      <c r="ML352"/>
      <c r="MM352"/>
      <c r="MN352"/>
      <c r="MO352"/>
      <c r="MP352"/>
      <c r="MQ352"/>
      <c r="MR352"/>
      <c r="MS352"/>
      <c r="MT352"/>
      <c r="MU352"/>
      <c r="MV352"/>
      <c r="MW352"/>
      <c r="MX352"/>
      <c r="MY352"/>
      <c r="MZ352"/>
      <c r="NA352"/>
      <c r="NB352"/>
      <c r="NC352"/>
      <c r="ND352"/>
      <c r="NE352"/>
      <c r="NF352"/>
      <c r="NG352"/>
      <c r="NH352"/>
      <c r="NI352"/>
      <c r="NJ352"/>
      <c r="NK352"/>
      <c r="NL352"/>
      <c r="NM352"/>
      <c r="NN352"/>
      <c r="NO352"/>
      <c r="NP352"/>
      <c r="NQ352"/>
      <c r="NR352"/>
      <c r="NS352"/>
      <c r="NT352"/>
      <c r="NU352"/>
      <c r="NV352"/>
      <c r="NW352"/>
      <c r="NX352"/>
      <c r="NY352"/>
      <c r="NZ352"/>
      <c r="OA352"/>
      <c r="OB352"/>
      <c r="OC352"/>
      <c r="OD352"/>
      <c r="OE352"/>
      <c r="OF352"/>
      <c r="OG352"/>
      <c r="OH352"/>
      <c r="OI352"/>
      <c r="OJ352"/>
      <c r="OK352"/>
      <c r="OL352"/>
      <c r="OM352"/>
      <c r="ON352"/>
      <c r="OO352"/>
      <c r="OP352"/>
      <c r="OQ352"/>
      <c r="OR352"/>
      <c r="OS352"/>
      <c r="OT352"/>
      <c r="OU352"/>
      <c r="OV352"/>
      <c r="OW352"/>
      <c r="OX352"/>
      <c r="OY352"/>
      <c r="OZ352"/>
      <c r="PA352"/>
      <c r="PB352"/>
      <c r="PC352"/>
      <c r="PD352"/>
      <c r="PE352"/>
      <c r="PF352"/>
      <c r="PG352"/>
      <c r="PH352"/>
      <c r="PI352"/>
      <c r="PJ352"/>
      <c r="PK352"/>
      <c r="PL352"/>
      <c r="PM352"/>
      <c r="PN352"/>
      <c r="PO352"/>
      <c r="PP352"/>
      <c r="PQ352"/>
      <c r="PR352"/>
      <c r="PS352"/>
      <c r="PT352"/>
      <c r="PU352"/>
      <c r="PV352"/>
      <c r="PW352"/>
      <c r="PX352"/>
      <c r="PY352"/>
      <c r="PZ352"/>
      <c r="QA352"/>
      <c r="QB352"/>
      <c r="QC352"/>
      <c r="QD352"/>
      <c r="QE352"/>
      <c r="QF352"/>
      <c r="QG352"/>
      <c r="QH352"/>
      <c r="QI352"/>
      <c r="QJ352"/>
      <c r="QK352"/>
      <c r="QL352"/>
      <c r="QM352"/>
      <c r="QN352"/>
      <c r="QO352"/>
      <c r="QP352"/>
      <c r="QQ352"/>
      <c r="QR352"/>
      <c r="QS352"/>
      <c r="QT352"/>
      <c r="QU352"/>
      <c r="QV352"/>
      <c r="QW352"/>
      <c r="QX352"/>
      <c r="QY352"/>
      <c r="QZ352"/>
      <c r="RA352"/>
      <c r="RB352"/>
      <c r="RC352"/>
      <c r="RD352"/>
      <c r="RE352"/>
      <c r="RF352"/>
      <c r="RG352"/>
      <c r="RH352"/>
      <c r="RI352"/>
      <c r="RJ352"/>
      <c r="RK352"/>
      <c r="RL352"/>
      <c r="RM352"/>
      <c r="RN352"/>
      <c r="RO352"/>
      <c r="RP352"/>
      <c r="RQ352"/>
      <c r="RR352"/>
      <c r="RS352"/>
    </row>
    <row r="353" spans="19:487" x14ac:dyDescent="0.25"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  <c r="BL353"/>
      <c r="BM353"/>
      <c r="BN353"/>
      <c r="BO353"/>
      <c r="BP353"/>
      <c r="BQ353"/>
      <c r="BR353"/>
      <c r="BS353"/>
      <c r="BT353"/>
      <c r="BU353"/>
      <c r="BV353"/>
      <c r="BW353"/>
      <c r="BX353"/>
      <c r="BY353"/>
      <c r="BZ353"/>
      <c r="CA353"/>
      <c r="CB353"/>
      <c r="CC353"/>
      <c r="CD353"/>
      <c r="CE353"/>
      <c r="CF353"/>
      <c r="CG353"/>
      <c r="CH353"/>
      <c r="CI353"/>
      <c r="CJ353"/>
      <c r="CK353"/>
      <c r="CL353"/>
      <c r="CM353"/>
      <c r="CN353"/>
      <c r="CO353"/>
      <c r="CP353"/>
      <c r="CQ353"/>
      <c r="CR353"/>
      <c r="CS353"/>
      <c r="CT353"/>
      <c r="CU353"/>
      <c r="CV353"/>
      <c r="CW353"/>
      <c r="CX353"/>
      <c r="CY353"/>
      <c r="CZ353"/>
      <c r="DA353"/>
      <c r="DB353"/>
      <c r="DC353"/>
      <c r="DD353"/>
      <c r="DE353"/>
      <c r="DF353"/>
      <c r="DG353"/>
      <c r="DH353"/>
      <c r="DI353"/>
      <c r="DJ353"/>
      <c r="DK353"/>
      <c r="DL353"/>
      <c r="DM353"/>
      <c r="DN353"/>
      <c r="DO353"/>
      <c r="DP353"/>
      <c r="DQ353"/>
      <c r="DR353"/>
      <c r="DS353"/>
      <c r="DT353"/>
      <c r="DU353"/>
      <c r="DV353"/>
      <c r="DW353"/>
      <c r="DX353"/>
      <c r="DY353"/>
      <c r="DZ353"/>
      <c r="EA353"/>
      <c r="EB353"/>
      <c r="EC353"/>
      <c r="ED353"/>
      <c r="EE353"/>
      <c r="EF353"/>
      <c r="EG353"/>
      <c r="EH353"/>
      <c r="EI353"/>
      <c r="EJ353"/>
      <c r="EK353"/>
      <c r="EL353"/>
      <c r="EM353"/>
      <c r="EN353"/>
      <c r="EO353"/>
      <c r="EP353"/>
      <c r="EQ353"/>
      <c r="ER353"/>
      <c r="ES353"/>
      <c r="ET353"/>
      <c r="EU353"/>
      <c r="EV353"/>
      <c r="EW353"/>
      <c r="EX353"/>
      <c r="EY353"/>
      <c r="EZ353"/>
      <c r="FA353"/>
      <c r="FB353"/>
      <c r="FC353"/>
      <c r="FD353"/>
      <c r="FE353"/>
      <c r="FF353"/>
      <c r="FG353"/>
      <c r="FH353"/>
      <c r="FI353"/>
      <c r="FJ353"/>
      <c r="FK353"/>
      <c r="FL353"/>
      <c r="FM353"/>
      <c r="FN353"/>
      <c r="FO353"/>
      <c r="FP353"/>
      <c r="FQ353"/>
      <c r="FR353"/>
      <c r="FS353"/>
      <c r="FT353"/>
      <c r="FU353"/>
      <c r="FV353"/>
      <c r="FW353"/>
      <c r="FX353"/>
      <c r="FY353"/>
      <c r="FZ353"/>
      <c r="GA353"/>
      <c r="GB353"/>
      <c r="GC353"/>
      <c r="GD353"/>
      <c r="GE353"/>
      <c r="GF353"/>
      <c r="GG353"/>
      <c r="GH353"/>
      <c r="GI353"/>
      <c r="GJ353"/>
      <c r="GK353"/>
      <c r="GL353"/>
      <c r="GM353"/>
      <c r="GN353"/>
      <c r="GO353"/>
      <c r="GP353"/>
      <c r="GQ353"/>
      <c r="GR353"/>
      <c r="GS353"/>
      <c r="GT353"/>
      <c r="GU353"/>
      <c r="GV353"/>
      <c r="GW353"/>
      <c r="GX353"/>
      <c r="GY353"/>
      <c r="GZ353"/>
      <c r="HA353"/>
      <c r="HB353"/>
      <c r="HC353"/>
      <c r="HD353"/>
      <c r="HE353"/>
      <c r="HF353"/>
      <c r="HG353"/>
      <c r="HH353"/>
      <c r="HI353"/>
      <c r="HJ353"/>
      <c r="HK353"/>
      <c r="HL353"/>
      <c r="HM353"/>
      <c r="HN353"/>
      <c r="HO353"/>
      <c r="HP353"/>
      <c r="HQ353"/>
      <c r="HR353"/>
      <c r="HS353"/>
      <c r="HT353"/>
      <c r="HU353"/>
      <c r="HV353"/>
      <c r="HW353"/>
      <c r="HX353"/>
      <c r="HY353"/>
      <c r="HZ353"/>
      <c r="IA353"/>
      <c r="IB353"/>
      <c r="IC353"/>
      <c r="ID353"/>
      <c r="IE353"/>
      <c r="IF353"/>
      <c r="IG353"/>
      <c r="IH353"/>
      <c r="II353"/>
      <c r="IJ353"/>
      <c r="IK353"/>
      <c r="IL353"/>
      <c r="IM353"/>
      <c r="IN353"/>
      <c r="IO353"/>
      <c r="IP353"/>
      <c r="IQ353"/>
      <c r="IR353"/>
      <c r="IS353"/>
      <c r="IT353"/>
      <c r="IU353"/>
      <c r="IV353"/>
      <c r="IW353"/>
      <c r="IX353"/>
      <c r="IY353"/>
      <c r="IZ353"/>
      <c r="JA353"/>
      <c r="JB353"/>
      <c r="JC353"/>
      <c r="JD353"/>
      <c r="JE353"/>
      <c r="JF353"/>
      <c r="JG353"/>
      <c r="JH353"/>
      <c r="JI353"/>
      <c r="JJ353"/>
      <c r="JK353"/>
      <c r="JL353"/>
      <c r="JM353"/>
      <c r="JN353"/>
      <c r="JO353"/>
      <c r="JP353"/>
      <c r="JQ353"/>
      <c r="JR353"/>
      <c r="JS353"/>
      <c r="JT353"/>
      <c r="JU353"/>
      <c r="JV353"/>
      <c r="JW353"/>
      <c r="JX353"/>
      <c r="JY353"/>
      <c r="JZ353"/>
      <c r="KA353"/>
      <c r="KB353"/>
      <c r="KC353"/>
      <c r="KD353"/>
      <c r="KE353"/>
      <c r="KF353"/>
      <c r="KG353"/>
      <c r="KH353"/>
      <c r="KI353"/>
      <c r="KJ353"/>
      <c r="KK353"/>
      <c r="KL353"/>
      <c r="KM353"/>
      <c r="KN353"/>
      <c r="KO353"/>
      <c r="KP353"/>
      <c r="KQ353"/>
      <c r="KR353"/>
      <c r="KS353"/>
      <c r="KT353"/>
      <c r="KU353"/>
      <c r="KV353"/>
      <c r="KW353"/>
      <c r="KX353"/>
      <c r="KY353"/>
      <c r="KZ353"/>
      <c r="LA353"/>
      <c r="LB353"/>
      <c r="LC353"/>
      <c r="LD353"/>
      <c r="LE353"/>
      <c r="LF353"/>
      <c r="LG353"/>
      <c r="LH353"/>
      <c r="LI353"/>
      <c r="LJ353"/>
      <c r="LK353"/>
      <c r="LL353"/>
      <c r="LM353"/>
      <c r="LN353"/>
      <c r="LO353"/>
      <c r="LP353"/>
      <c r="LQ353"/>
      <c r="LR353"/>
      <c r="LS353"/>
      <c r="LT353"/>
      <c r="LU353"/>
      <c r="LV353"/>
      <c r="LW353"/>
      <c r="LX353"/>
      <c r="LY353"/>
      <c r="LZ353"/>
      <c r="MA353"/>
      <c r="MB353"/>
      <c r="MC353"/>
      <c r="MD353"/>
      <c r="ME353"/>
      <c r="MF353"/>
      <c r="MG353"/>
      <c r="MH353"/>
      <c r="MI353"/>
      <c r="MJ353"/>
      <c r="MK353"/>
      <c r="ML353"/>
      <c r="MM353"/>
      <c r="MN353"/>
      <c r="MO353"/>
      <c r="MP353"/>
      <c r="MQ353"/>
      <c r="MR353"/>
      <c r="MS353"/>
      <c r="MT353"/>
      <c r="MU353"/>
      <c r="MV353"/>
      <c r="MW353"/>
      <c r="MX353"/>
      <c r="MY353"/>
      <c r="MZ353"/>
      <c r="NA353"/>
      <c r="NB353"/>
      <c r="NC353"/>
      <c r="ND353"/>
      <c r="NE353"/>
      <c r="NF353"/>
      <c r="NG353"/>
      <c r="NH353"/>
      <c r="NI353"/>
      <c r="NJ353"/>
      <c r="NK353"/>
      <c r="NL353"/>
      <c r="NM353"/>
      <c r="NN353"/>
      <c r="NO353"/>
      <c r="NP353"/>
      <c r="NQ353"/>
      <c r="NR353"/>
      <c r="NS353"/>
      <c r="NT353"/>
      <c r="NU353"/>
      <c r="NV353"/>
      <c r="NW353"/>
      <c r="NX353"/>
      <c r="NY353"/>
      <c r="NZ353"/>
      <c r="OA353"/>
      <c r="OB353"/>
      <c r="OC353"/>
      <c r="OD353"/>
      <c r="OE353"/>
      <c r="OF353"/>
      <c r="OG353"/>
      <c r="OH353"/>
      <c r="OI353"/>
      <c r="OJ353"/>
      <c r="OK353"/>
      <c r="OL353"/>
      <c r="OM353"/>
      <c r="ON353"/>
      <c r="OO353"/>
      <c r="OP353"/>
      <c r="OQ353"/>
      <c r="OR353"/>
      <c r="OS353"/>
      <c r="OT353"/>
      <c r="OU353"/>
      <c r="OV353"/>
      <c r="OW353"/>
      <c r="OX353"/>
      <c r="OY353"/>
      <c r="OZ353"/>
      <c r="PA353"/>
      <c r="PB353"/>
      <c r="PC353"/>
      <c r="PD353"/>
      <c r="PE353"/>
      <c r="PF353"/>
      <c r="PG353"/>
      <c r="PH353"/>
      <c r="PI353"/>
      <c r="PJ353"/>
      <c r="PK353"/>
      <c r="PL353"/>
      <c r="PM353"/>
      <c r="PN353"/>
      <c r="PO353"/>
      <c r="PP353"/>
      <c r="PQ353"/>
      <c r="PR353"/>
      <c r="PS353"/>
      <c r="PT353"/>
      <c r="PU353"/>
      <c r="PV353"/>
      <c r="PW353"/>
      <c r="PX353"/>
      <c r="PY353"/>
      <c r="PZ353"/>
      <c r="QA353"/>
      <c r="QB353"/>
      <c r="QC353"/>
      <c r="QD353"/>
      <c r="QE353"/>
      <c r="QF353"/>
      <c r="QG353"/>
      <c r="QH353"/>
      <c r="QI353"/>
      <c r="QJ353"/>
      <c r="QK353"/>
      <c r="QL353"/>
      <c r="QM353"/>
      <c r="QN353"/>
      <c r="QO353"/>
      <c r="QP353"/>
      <c r="QQ353"/>
      <c r="QR353"/>
      <c r="QS353"/>
      <c r="QT353"/>
      <c r="QU353"/>
      <c r="QV353"/>
      <c r="QW353"/>
      <c r="QX353"/>
      <c r="QY353"/>
      <c r="QZ353"/>
      <c r="RA353"/>
      <c r="RB353"/>
      <c r="RC353"/>
      <c r="RD353"/>
      <c r="RE353"/>
      <c r="RF353"/>
      <c r="RG353"/>
      <c r="RH353"/>
      <c r="RI353"/>
      <c r="RJ353"/>
      <c r="RK353"/>
      <c r="RL353"/>
      <c r="RM353"/>
      <c r="RN353"/>
      <c r="RO353"/>
      <c r="RP353"/>
      <c r="RQ353"/>
      <c r="RR353"/>
      <c r="RS353"/>
    </row>
    <row r="354" spans="19:487" x14ac:dyDescent="0.25"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  <c r="BC354"/>
      <c r="BD354"/>
      <c r="BE354"/>
      <c r="BF354"/>
      <c r="BG354"/>
      <c r="BH354"/>
      <c r="BI354"/>
      <c r="BJ354"/>
      <c r="BK354"/>
      <c r="BL354"/>
      <c r="BM354"/>
      <c r="BN354"/>
      <c r="BO354"/>
      <c r="BP354"/>
      <c r="BQ354"/>
      <c r="BR354"/>
      <c r="BS354"/>
      <c r="BT354"/>
      <c r="BU354"/>
      <c r="BV354"/>
      <c r="BW354"/>
      <c r="BX354"/>
      <c r="BY354"/>
      <c r="BZ354"/>
      <c r="CA354"/>
      <c r="CB354"/>
      <c r="CC354"/>
      <c r="CD354"/>
      <c r="CE354"/>
      <c r="CF354"/>
      <c r="CG354"/>
      <c r="CH354"/>
      <c r="CI354"/>
      <c r="CJ354"/>
      <c r="CK354"/>
      <c r="CL354"/>
      <c r="CM354"/>
      <c r="CN354"/>
      <c r="CO354"/>
      <c r="CP354"/>
      <c r="CQ354"/>
      <c r="CR354"/>
      <c r="CS354"/>
      <c r="CT354"/>
      <c r="CU354"/>
      <c r="CV354"/>
      <c r="CW354"/>
      <c r="CX354"/>
      <c r="CY354"/>
      <c r="CZ354"/>
      <c r="DA354"/>
      <c r="DB354"/>
      <c r="DC354"/>
      <c r="DD354"/>
      <c r="DE354"/>
      <c r="DF354"/>
      <c r="DG354"/>
      <c r="DH354"/>
      <c r="DI354"/>
      <c r="DJ354"/>
      <c r="DK354"/>
      <c r="DL354"/>
      <c r="DM354"/>
      <c r="DN354"/>
      <c r="DO354"/>
      <c r="DP354"/>
      <c r="DQ354"/>
      <c r="DR354"/>
      <c r="DS354"/>
      <c r="DT354"/>
      <c r="DU354"/>
      <c r="DV354"/>
      <c r="DW354"/>
      <c r="DX354"/>
      <c r="DY354"/>
      <c r="DZ354"/>
      <c r="EA354"/>
      <c r="EB354"/>
      <c r="EC354"/>
      <c r="ED354"/>
      <c r="EE354"/>
      <c r="EF354"/>
      <c r="EG354"/>
      <c r="EH354"/>
      <c r="EI354"/>
      <c r="EJ354"/>
      <c r="EK354"/>
      <c r="EL354"/>
      <c r="EM354"/>
      <c r="EN354"/>
      <c r="EO354"/>
      <c r="EP354"/>
      <c r="EQ354"/>
      <c r="ER354"/>
      <c r="ES354"/>
      <c r="ET354"/>
      <c r="EU354"/>
      <c r="EV354"/>
      <c r="EW354"/>
      <c r="EX354"/>
      <c r="EY354"/>
      <c r="EZ354"/>
      <c r="FA354"/>
      <c r="FB354"/>
      <c r="FC354"/>
      <c r="FD354"/>
      <c r="FE354"/>
      <c r="FF354"/>
      <c r="FG354"/>
      <c r="FH354"/>
      <c r="FI354"/>
      <c r="FJ354"/>
      <c r="FK354"/>
      <c r="FL354"/>
      <c r="FM354"/>
      <c r="FN354"/>
      <c r="FO354"/>
      <c r="FP354"/>
      <c r="FQ354"/>
      <c r="FR354"/>
      <c r="FS354"/>
      <c r="FT354"/>
      <c r="FU354"/>
      <c r="FV354"/>
      <c r="FW354"/>
      <c r="FX354"/>
      <c r="FY354"/>
      <c r="FZ354"/>
      <c r="GA354"/>
      <c r="GB354"/>
      <c r="GC354"/>
      <c r="GD354"/>
      <c r="GE354"/>
      <c r="GF354"/>
      <c r="GG354"/>
      <c r="GH354"/>
      <c r="GI354"/>
      <c r="GJ354"/>
      <c r="GK354"/>
      <c r="GL354"/>
      <c r="GM354"/>
      <c r="GN354"/>
      <c r="GO354"/>
      <c r="GP354"/>
      <c r="GQ354"/>
      <c r="GR354"/>
      <c r="GS354"/>
      <c r="GT354"/>
      <c r="GU354"/>
      <c r="GV354"/>
      <c r="GW354"/>
      <c r="GX354"/>
      <c r="GY354"/>
      <c r="GZ354"/>
      <c r="HA354"/>
      <c r="HB354"/>
      <c r="HC354"/>
      <c r="HD354"/>
      <c r="HE354"/>
      <c r="HF354"/>
      <c r="HG354"/>
      <c r="HH354"/>
      <c r="HI354"/>
      <c r="HJ354"/>
      <c r="HK354"/>
      <c r="HL354"/>
      <c r="HM354"/>
      <c r="HN354"/>
      <c r="HO354"/>
      <c r="HP354"/>
      <c r="HQ354"/>
      <c r="HR354"/>
      <c r="HS354"/>
      <c r="HT354"/>
      <c r="HU354"/>
      <c r="HV354"/>
      <c r="HW354"/>
      <c r="HX354"/>
      <c r="HY354"/>
      <c r="HZ354"/>
      <c r="IA354"/>
      <c r="IB354"/>
      <c r="IC354"/>
      <c r="ID354"/>
      <c r="IE354"/>
      <c r="IF354"/>
      <c r="IG354"/>
      <c r="IH354"/>
      <c r="II354"/>
      <c r="IJ354"/>
      <c r="IK354"/>
      <c r="IL354"/>
      <c r="IM354"/>
      <c r="IN354"/>
      <c r="IO354"/>
      <c r="IP354"/>
      <c r="IQ354"/>
      <c r="IR354"/>
      <c r="IS354"/>
      <c r="IT354"/>
      <c r="IU354"/>
      <c r="IV354"/>
      <c r="IW354"/>
      <c r="IX354"/>
      <c r="IY354"/>
      <c r="IZ354"/>
      <c r="JA354"/>
      <c r="JB354"/>
      <c r="JC354"/>
      <c r="JD354"/>
      <c r="JE354"/>
      <c r="JF354"/>
      <c r="JG354"/>
      <c r="JH354"/>
      <c r="JI354"/>
      <c r="JJ354"/>
      <c r="JK354"/>
      <c r="JL354"/>
      <c r="JM354"/>
      <c r="JN354"/>
      <c r="JO354"/>
      <c r="JP354"/>
      <c r="JQ354"/>
      <c r="JR354"/>
      <c r="JS354"/>
      <c r="JT354"/>
      <c r="JU354"/>
      <c r="JV354"/>
      <c r="JW354"/>
      <c r="JX354"/>
      <c r="JY354"/>
      <c r="JZ354"/>
      <c r="KA354"/>
      <c r="KB354"/>
      <c r="KC354"/>
      <c r="KD354"/>
      <c r="KE354"/>
      <c r="KF354"/>
      <c r="KG354"/>
      <c r="KH354"/>
      <c r="KI354"/>
      <c r="KJ354"/>
      <c r="KK354"/>
      <c r="KL354"/>
      <c r="KM354"/>
      <c r="KN354"/>
      <c r="KO354"/>
      <c r="KP354"/>
      <c r="KQ354"/>
      <c r="KR354"/>
      <c r="KS354"/>
      <c r="KT354"/>
      <c r="KU354"/>
      <c r="KV354"/>
      <c r="KW354"/>
      <c r="KX354"/>
      <c r="KY354"/>
      <c r="KZ354"/>
      <c r="LA354"/>
      <c r="LB354"/>
      <c r="LC354"/>
      <c r="LD354"/>
      <c r="LE354"/>
      <c r="LF354"/>
      <c r="LG354"/>
      <c r="LH354"/>
      <c r="LI354"/>
      <c r="LJ354"/>
      <c r="LK354"/>
      <c r="LL354"/>
      <c r="LM354"/>
      <c r="LN354"/>
      <c r="LO354"/>
      <c r="LP354"/>
      <c r="LQ354"/>
      <c r="LR354"/>
      <c r="LS354"/>
      <c r="LT354"/>
      <c r="LU354"/>
      <c r="LV354"/>
      <c r="LW354"/>
      <c r="LX354"/>
      <c r="LY354"/>
      <c r="LZ354"/>
      <c r="MA354"/>
      <c r="MB354"/>
      <c r="MC354"/>
      <c r="MD354"/>
      <c r="ME354"/>
      <c r="MF354"/>
      <c r="MG354"/>
      <c r="MH354"/>
      <c r="MI354"/>
      <c r="MJ354"/>
      <c r="MK354"/>
      <c r="ML354"/>
      <c r="MM354"/>
      <c r="MN354"/>
      <c r="MO354"/>
      <c r="MP354"/>
      <c r="MQ354"/>
      <c r="MR354"/>
      <c r="MS354"/>
      <c r="MT354"/>
      <c r="MU354"/>
      <c r="MV354"/>
      <c r="MW354"/>
      <c r="MX354"/>
      <c r="MY354"/>
      <c r="MZ354"/>
      <c r="NA354"/>
      <c r="NB354"/>
      <c r="NC354"/>
      <c r="ND354"/>
      <c r="NE354"/>
      <c r="NF354"/>
      <c r="NG354"/>
      <c r="NH354"/>
      <c r="NI354"/>
      <c r="NJ354"/>
      <c r="NK354"/>
      <c r="NL354"/>
      <c r="NM354"/>
      <c r="NN354"/>
      <c r="NO354"/>
      <c r="NP354"/>
      <c r="NQ354"/>
      <c r="NR354"/>
      <c r="NS354"/>
      <c r="NT354"/>
      <c r="NU354"/>
      <c r="NV354"/>
      <c r="NW354"/>
      <c r="NX354"/>
      <c r="NY354"/>
      <c r="NZ354"/>
      <c r="OA354"/>
      <c r="OB354"/>
      <c r="OC354"/>
      <c r="OD354"/>
      <c r="OE354"/>
      <c r="OF354"/>
      <c r="OG354"/>
      <c r="OH354"/>
      <c r="OI354"/>
      <c r="OJ354"/>
      <c r="OK354"/>
      <c r="OL354"/>
      <c r="OM354"/>
      <c r="ON354"/>
      <c r="OO354"/>
      <c r="OP354"/>
      <c r="OQ354"/>
      <c r="OR354"/>
      <c r="OS354"/>
      <c r="OT354"/>
      <c r="OU354"/>
      <c r="OV354"/>
      <c r="OW354"/>
      <c r="OX354"/>
      <c r="OY354"/>
      <c r="OZ354"/>
      <c r="PA354"/>
      <c r="PB354"/>
      <c r="PC354"/>
      <c r="PD354"/>
      <c r="PE354"/>
      <c r="PF354"/>
      <c r="PG354"/>
      <c r="PH354"/>
      <c r="PI354"/>
      <c r="PJ354"/>
      <c r="PK354"/>
      <c r="PL354"/>
      <c r="PM354"/>
      <c r="PN354"/>
      <c r="PO354"/>
      <c r="PP354"/>
      <c r="PQ354"/>
      <c r="PR354"/>
      <c r="PS354"/>
      <c r="PT354"/>
      <c r="PU354"/>
      <c r="PV354"/>
      <c r="PW354"/>
      <c r="PX354"/>
      <c r="PY354"/>
      <c r="PZ354"/>
      <c r="QA354"/>
      <c r="QB354"/>
      <c r="QC354"/>
      <c r="QD354"/>
      <c r="QE354"/>
      <c r="QF354"/>
      <c r="QG354"/>
      <c r="QH354"/>
      <c r="QI354"/>
      <c r="QJ354"/>
      <c r="QK354"/>
      <c r="QL354"/>
      <c r="QM354"/>
      <c r="QN354"/>
      <c r="QO354"/>
      <c r="QP354"/>
      <c r="QQ354"/>
      <c r="QR354"/>
      <c r="QS354"/>
      <c r="QT354"/>
      <c r="QU354"/>
      <c r="QV354"/>
      <c r="QW354"/>
      <c r="QX354"/>
      <c r="QY354"/>
      <c r="QZ354"/>
      <c r="RA354"/>
      <c r="RB354"/>
      <c r="RC354"/>
      <c r="RD354"/>
      <c r="RE354"/>
      <c r="RF354"/>
      <c r="RG354"/>
      <c r="RH354"/>
      <c r="RI354"/>
      <c r="RJ354"/>
      <c r="RK354"/>
      <c r="RL354"/>
      <c r="RM354"/>
      <c r="RN354"/>
      <c r="RO354"/>
      <c r="RP354"/>
      <c r="RQ354"/>
      <c r="RR354"/>
      <c r="RS354"/>
    </row>
    <row r="355" spans="19:487" x14ac:dyDescent="0.25"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  <c r="BC355"/>
      <c r="BD355"/>
      <c r="BE355"/>
      <c r="BF355"/>
      <c r="BG355"/>
      <c r="BH355"/>
      <c r="BI355"/>
      <c r="BJ355"/>
      <c r="BK355"/>
      <c r="BL355"/>
      <c r="BM355"/>
      <c r="BN355"/>
      <c r="BO355"/>
      <c r="BP355"/>
      <c r="BQ355"/>
      <c r="BR355"/>
      <c r="BS355"/>
      <c r="BT355"/>
      <c r="BU355"/>
      <c r="BV355"/>
      <c r="BW355"/>
      <c r="BX355"/>
      <c r="BY355"/>
      <c r="BZ355"/>
      <c r="CA355"/>
      <c r="CB355"/>
      <c r="CC355"/>
      <c r="CD355"/>
      <c r="CE355"/>
      <c r="CF355"/>
      <c r="CG355"/>
      <c r="CH355"/>
      <c r="CI355"/>
      <c r="CJ355"/>
      <c r="CK355"/>
      <c r="CL355"/>
      <c r="CM355"/>
      <c r="CN355"/>
      <c r="CO355"/>
      <c r="CP355"/>
      <c r="CQ355"/>
      <c r="CR355"/>
      <c r="CS355"/>
      <c r="CT355"/>
      <c r="CU355"/>
      <c r="CV355"/>
      <c r="CW355"/>
      <c r="CX355"/>
      <c r="CY355"/>
      <c r="CZ355"/>
      <c r="DA355"/>
      <c r="DB355"/>
      <c r="DC355"/>
      <c r="DD355"/>
      <c r="DE355"/>
      <c r="DF355"/>
      <c r="DG355"/>
      <c r="DH355"/>
      <c r="DI355"/>
      <c r="DJ355"/>
      <c r="DK355"/>
      <c r="DL355"/>
      <c r="DM355"/>
      <c r="DN355"/>
      <c r="DO355"/>
      <c r="DP355"/>
      <c r="DQ355"/>
      <c r="DR355"/>
      <c r="DS355"/>
      <c r="DT355"/>
      <c r="DU355"/>
      <c r="DV355"/>
      <c r="DW355"/>
      <c r="DX355"/>
      <c r="DY355"/>
      <c r="DZ355"/>
      <c r="EA355"/>
      <c r="EB355"/>
      <c r="EC355"/>
      <c r="ED355"/>
      <c r="EE355"/>
      <c r="EF355"/>
      <c r="EG355"/>
      <c r="EH355"/>
      <c r="EI355"/>
      <c r="EJ355"/>
      <c r="EK355"/>
      <c r="EL355"/>
      <c r="EM355"/>
      <c r="EN355"/>
      <c r="EO355"/>
      <c r="EP355"/>
      <c r="EQ355"/>
      <c r="ER355"/>
      <c r="ES355"/>
      <c r="ET355"/>
      <c r="EU355"/>
      <c r="EV355"/>
      <c r="EW355"/>
      <c r="EX355"/>
      <c r="EY355"/>
      <c r="EZ355"/>
      <c r="FA355"/>
      <c r="FB355"/>
      <c r="FC355"/>
      <c r="FD355"/>
      <c r="FE355"/>
      <c r="FF355"/>
      <c r="FG355"/>
      <c r="FH355"/>
      <c r="FI355"/>
      <c r="FJ355"/>
      <c r="FK355"/>
      <c r="FL355"/>
      <c r="FM355"/>
      <c r="FN355"/>
      <c r="FO355"/>
      <c r="FP355"/>
      <c r="FQ355"/>
      <c r="FR355"/>
      <c r="FS355"/>
      <c r="FT355"/>
      <c r="FU355"/>
      <c r="FV355"/>
      <c r="FW355"/>
      <c r="FX355"/>
      <c r="FY355"/>
      <c r="FZ355"/>
      <c r="GA355"/>
      <c r="GB355"/>
      <c r="GC355"/>
      <c r="GD355"/>
      <c r="GE355"/>
      <c r="GF355"/>
      <c r="GG355"/>
      <c r="GH355"/>
      <c r="GI355"/>
      <c r="GJ355"/>
      <c r="GK355"/>
      <c r="GL355"/>
      <c r="GM355"/>
      <c r="GN355"/>
      <c r="GO355"/>
      <c r="GP355"/>
      <c r="GQ355"/>
      <c r="GR355"/>
      <c r="GS355"/>
      <c r="GT355"/>
      <c r="GU355"/>
      <c r="GV355"/>
      <c r="GW355"/>
      <c r="GX355"/>
      <c r="GY355"/>
      <c r="GZ355"/>
      <c r="HA355"/>
      <c r="HB355"/>
      <c r="HC355"/>
      <c r="HD355"/>
      <c r="HE355"/>
      <c r="HF355"/>
      <c r="HG355"/>
      <c r="HH355"/>
      <c r="HI355"/>
      <c r="HJ355"/>
      <c r="HK355"/>
      <c r="HL355"/>
      <c r="HM355"/>
      <c r="HN355"/>
      <c r="HO355"/>
      <c r="HP355"/>
      <c r="HQ355"/>
      <c r="HR355"/>
      <c r="HS355"/>
      <c r="HT355"/>
      <c r="HU355"/>
      <c r="HV355"/>
      <c r="HW355"/>
      <c r="HX355"/>
      <c r="HY355"/>
      <c r="HZ355"/>
      <c r="IA355"/>
      <c r="IB355"/>
      <c r="IC355"/>
      <c r="ID355"/>
      <c r="IE355"/>
      <c r="IF355"/>
      <c r="IG355"/>
      <c r="IH355"/>
      <c r="II355"/>
      <c r="IJ355"/>
      <c r="IK355"/>
      <c r="IL355"/>
      <c r="IM355"/>
      <c r="IN355"/>
      <c r="IO355"/>
      <c r="IP355"/>
      <c r="IQ355"/>
      <c r="IR355"/>
      <c r="IS355"/>
      <c r="IT355"/>
      <c r="IU355"/>
      <c r="IV355"/>
      <c r="IW355"/>
      <c r="IX355"/>
      <c r="IY355"/>
      <c r="IZ355"/>
      <c r="JA355"/>
      <c r="JB355"/>
      <c r="JC355"/>
      <c r="JD355"/>
      <c r="JE355"/>
      <c r="JF355"/>
      <c r="JG355"/>
      <c r="JH355"/>
      <c r="JI355"/>
      <c r="JJ355"/>
      <c r="JK355"/>
      <c r="JL355"/>
      <c r="JM355"/>
      <c r="JN355"/>
      <c r="JO355"/>
      <c r="JP355"/>
      <c r="JQ355"/>
      <c r="JR355"/>
      <c r="JS355"/>
      <c r="JT355"/>
      <c r="JU355"/>
      <c r="JV355"/>
      <c r="JW355"/>
      <c r="JX355"/>
      <c r="JY355"/>
      <c r="JZ355"/>
      <c r="KA355"/>
      <c r="KB355"/>
      <c r="KC355"/>
      <c r="KD355"/>
      <c r="KE355"/>
      <c r="KF355"/>
      <c r="KG355"/>
      <c r="KH355"/>
      <c r="KI355"/>
      <c r="KJ355"/>
      <c r="KK355"/>
      <c r="KL355"/>
      <c r="KM355"/>
      <c r="KN355"/>
      <c r="KO355"/>
      <c r="KP355"/>
      <c r="KQ355"/>
      <c r="KR355"/>
      <c r="KS355"/>
      <c r="KT355"/>
      <c r="KU355"/>
      <c r="KV355"/>
      <c r="KW355"/>
      <c r="KX355"/>
      <c r="KY355"/>
      <c r="KZ355"/>
      <c r="LA355"/>
      <c r="LB355"/>
      <c r="LC355"/>
      <c r="LD355"/>
      <c r="LE355"/>
      <c r="LF355"/>
      <c r="LG355"/>
      <c r="LH355"/>
      <c r="LI355"/>
      <c r="LJ355"/>
      <c r="LK355"/>
      <c r="LL355"/>
      <c r="LM355"/>
      <c r="LN355"/>
      <c r="LO355"/>
      <c r="LP355"/>
      <c r="LQ355"/>
      <c r="LR355"/>
      <c r="LS355"/>
      <c r="LT355"/>
      <c r="LU355"/>
      <c r="LV355"/>
      <c r="LW355"/>
      <c r="LX355"/>
      <c r="LY355"/>
      <c r="LZ355"/>
      <c r="MA355"/>
      <c r="MB355"/>
      <c r="MC355"/>
      <c r="MD355"/>
      <c r="ME355"/>
      <c r="MF355"/>
      <c r="MG355"/>
      <c r="MH355"/>
      <c r="MI355"/>
      <c r="MJ355"/>
      <c r="MK355"/>
      <c r="ML355"/>
      <c r="MM355"/>
      <c r="MN355"/>
      <c r="MO355"/>
      <c r="MP355"/>
      <c r="MQ355"/>
      <c r="MR355"/>
      <c r="MS355"/>
      <c r="MT355"/>
      <c r="MU355"/>
      <c r="MV355"/>
      <c r="MW355"/>
      <c r="MX355"/>
      <c r="MY355"/>
      <c r="MZ355"/>
      <c r="NA355"/>
      <c r="NB355"/>
      <c r="NC355"/>
      <c r="ND355"/>
      <c r="NE355"/>
      <c r="NF355"/>
      <c r="NG355"/>
      <c r="NH355"/>
      <c r="NI355"/>
      <c r="NJ355"/>
      <c r="NK355"/>
      <c r="NL355"/>
      <c r="NM355"/>
      <c r="NN355"/>
      <c r="NO355"/>
      <c r="NP355"/>
      <c r="NQ355"/>
      <c r="NR355"/>
      <c r="NS355"/>
      <c r="NT355"/>
      <c r="NU355"/>
      <c r="NV355"/>
      <c r="NW355"/>
      <c r="NX355"/>
      <c r="NY355"/>
      <c r="NZ355"/>
      <c r="OA355"/>
      <c r="OB355"/>
      <c r="OC355"/>
      <c r="OD355"/>
      <c r="OE355"/>
      <c r="OF355"/>
      <c r="OG355"/>
      <c r="OH355"/>
      <c r="OI355"/>
      <c r="OJ355"/>
      <c r="OK355"/>
      <c r="OL355"/>
      <c r="OM355"/>
      <c r="ON355"/>
      <c r="OO355"/>
      <c r="OP355"/>
      <c r="OQ355"/>
      <c r="OR355"/>
      <c r="OS355"/>
      <c r="OT355"/>
      <c r="OU355"/>
      <c r="OV355"/>
      <c r="OW355"/>
      <c r="OX355"/>
      <c r="OY355"/>
      <c r="OZ355"/>
      <c r="PA355"/>
      <c r="PB355"/>
      <c r="PC355"/>
      <c r="PD355"/>
      <c r="PE355"/>
      <c r="PF355"/>
      <c r="PG355"/>
      <c r="PH355"/>
      <c r="PI355"/>
      <c r="PJ355"/>
      <c r="PK355"/>
      <c r="PL355"/>
      <c r="PM355"/>
      <c r="PN355"/>
      <c r="PO355"/>
      <c r="PP355"/>
      <c r="PQ355"/>
      <c r="PR355"/>
      <c r="PS355"/>
      <c r="PT355"/>
      <c r="PU355"/>
      <c r="PV355"/>
      <c r="PW355"/>
      <c r="PX355"/>
      <c r="PY355"/>
      <c r="PZ355"/>
      <c r="QA355"/>
      <c r="QB355"/>
      <c r="QC355"/>
      <c r="QD355"/>
      <c r="QE355"/>
      <c r="QF355"/>
      <c r="QG355"/>
      <c r="QH355"/>
      <c r="QI355"/>
      <c r="QJ355"/>
      <c r="QK355"/>
      <c r="QL355"/>
      <c r="QM355"/>
      <c r="QN355"/>
      <c r="QO355"/>
      <c r="QP355"/>
      <c r="QQ355"/>
      <c r="QR355"/>
      <c r="QS355"/>
      <c r="QT355"/>
      <c r="QU355"/>
      <c r="QV355"/>
      <c r="QW355"/>
      <c r="QX355"/>
      <c r="QY355"/>
      <c r="QZ355"/>
      <c r="RA355"/>
      <c r="RB355"/>
      <c r="RC355"/>
      <c r="RD355"/>
      <c r="RE355"/>
      <c r="RF355"/>
      <c r="RG355"/>
      <c r="RH355"/>
      <c r="RI355"/>
      <c r="RJ355"/>
      <c r="RK355"/>
      <c r="RL355"/>
      <c r="RM355"/>
      <c r="RN355"/>
      <c r="RO355"/>
      <c r="RP355"/>
      <c r="RQ355"/>
      <c r="RR355"/>
      <c r="RS355"/>
    </row>
    <row r="356" spans="19:487" x14ac:dyDescent="0.25"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  <c r="AH356"/>
      <c r="AI356"/>
      <c r="AJ356"/>
      <c r="AK356"/>
      <c r="AL356"/>
      <c r="AM356"/>
      <c r="AN356"/>
      <c r="AO356"/>
      <c r="AP356"/>
      <c r="AQ356"/>
      <c r="AR356"/>
      <c r="AS356"/>
      <c r="AT356"/>
      <c r="AU356"/>
      <c r="AV356"/>
      <c r="AW356"/>
      <c r="AX356"/>
      <c r="AY356"/>
      <c r="AZ356"/>
      <c r="BA356"/>
      <c r="BB356"/>
      <c r="BC356"/>
      <c r="BD356"/>
      <c r="BE356"/>
      <c r="BF356"/>
      <c r="BG356"/>
      <c r="BH356"/>
      <c r="BI356"/>
      <c r="BJ356"/>
      <c r="BK356"/>
      <c r="BL356"/>
      <c r="BM356"/>
      <c r="BN356"/>
      <c r="BO356"/>
      <c r="BP356"/>
      <c r="BQ356"/>
      <c r="BR356"/>
      <c r="BS356"/>
      <c r="BT356"/>
      <c r="BU356"/>
      <c r="BV356"/>
      <c r="BW356"/>
      <c r="BX356"/>
      <c r="BY356"/>
      <c r="BZ356"/>
      <c r="CA356"/>
      <c r="CB356"/>
      <c r="CC356"/>
      <c r="CD356"/>
      <c r="CE356"/>
      <c r="CF356"/>
      <c r="CG356"/>
      <c r="CH356"/>
      <c r="CI356"/>
      <c r="CJ356"/>
      <c r="CK356"/>
      <c r="CL356"/>
      <c r="CM356"/>
      <c r="CN356"/>
      <c r="CO356"/>
      <c r="CP356"/>
      <c r="CQ356"/>
      <c r="CR356"/>
      <c r="CS356"/>
      <c r="CT356"/>
      <c r="CU356"/>
      <c r="CV356"/>
      <c r="CW356"/>
      <c r="CX356"/>
      <c r="CY356"/>
      <c r="CZ356"/>
      <c r="DA356"/>
      <c r="DB356"/>
      <c r="DC356"/>
      <c r="DD356"/>
      <c r="DE356"/>
      <c r="DF356"/>
      <c r="DG356"/>
      <c r="DH356"/>
      <c r="DI356"/>
      <c r="DJ356"/>
      <c r="DK356"/>
      <c r="DL356"/>
      <c r="DM356"/>
      <c r="DN356"/>
      <c r="DO356"/>
      <c r="DP356"/>
      <c r="DQ356"/>
      <c r="DR356"/>
      <c r="DS356"/>
      <c r="DT356"/>
      <c r="DU356"/>
      <c r="DV356"/>
      <c r="DW356"/>
      <c r="DX356"/>
      <c r="DY356"/>
      <c r="DZ356"/>
      <c r="EA356"/>
      <c r="EB356"/>
      <c r="EC356"/>
      <c r="ED356"/>
      <c r="EE356"/>
      <c r="EF356"/>
      <c r="EG356"/>
      <c r="EH356"/>
      <c r="EI356"/>
      <c r="EJ356"/>
      <c r="EK356"/>
      <c r="EL356"/>
      <c r="EM356"/>
      <c r="EN356"/>
      <c r="EO356"/>
      <c r="EP356"/>
      <c r="EQ356"/>
      <c r="ER356"/>
      <c r="ES356"/>
      <c r="ET356"/>
      <c r="EU356"/>
      <c r="EV356"/>
      <c r="EW356"/>
      <c r="EX356"/>
      <c r="EY356"/>
      <c r="EZ356"/>
      <c r="FA356"/>
      <c r="FB356"/>
      <c r="FC356"/>
      <c r="FD356"/>
      <c r="FE356"/>
      <c r="FF356"/>
      <c r="FG356"/>
      <c r="FH356"/>
      <c r="FI356"/>
      <c r="FJ356"/>
      <c r="FK356"/>
      <c r="FL356"/>
      <c r="FM356"/>
      <c r="FN356"/>
      <c r="FO356"/>
      <c r="FP356"/>
      <c r="FQ356"/>
      <c r="FR356"/>
      <c r="FS356"/>
      <c r="FT356"/>
      <c r="FU356"/>
      <c r="FV356"/>
      <c r="FW356"/>
      <c r="FX356"/>
      <c r="FY356"/>
      <c r="FZ356"/>
      <c r="GA356"/>
      <c r="GB356"/>
      <c r="GC356"/>
      <c r="GD356"/>
      <c r="GE356"/>
      <c r="GF356"/>
      <c r="GG356"/>
      <c r="GH356"/>
      <c r="GI356"/>
      <c r="GJ356"/>
      <c r="GK356"/>
      <c r="GL356"/>
      <c r="GM356"/>
      <c r="GN356"/>
      <c r="GO356"/>
      <c r="GP356"/>
      <c r="GQ356"/>
      <c r="GR356"/>
      <c r="GS356"/>
      <c r="GT356"/>
      <c r="GU356"/>
      <c r="GV356"/>
      <c r="GW356"/>
      <c r="GX356"/>
      <c r="GY356"/>
      <c r="GZ356"/>
      <c r="HA356"/>
      <c r="HB356"/>
      <c r="HC356"/>
      <c r="HD356"/>
      <c r="HE356"/>
      <c r="HF356"/>
      <c r="HG356"/>
      <c r="HH356"/>
      <c r="HI356"/>
      <c r="HJ356"/>
      <c r="HK356"/>
      <c r="HL356"/>
      <c r="HM356"/>
      <c r="HN356"/>
      <c r="HO356"/>
      <c r="HP356"/>
      <c r="HQ356"/>
      <c r="HR356"/>
      <c r="HS356"/>
      <c r="HT356"/>
      <c r="HU356"/>
      <c r="HV356"/>
      <c r="HW356"/>
      <c r="HX356"/>
      <c r="HY356"/>
      <c r="HZ356"/>
      <c r="IA356"/>
      <c r="IB356"/>
      <c r="IC356"/>
      <c r="ID356"/>
      <c r="IE356"/>
      <c r="IF356"/>
      <c r="IG356"/>
      <c r="IH356"/>
      <c r="II356"/>
      <c r="IJ356"/>
      <c r="IK356"/>
      <c r="IL356"/>
      <c r="IM356"/>
      <c r="IN356"/>
      <c r="IO356"/>
      <c r="IP356"/>
      <c r="IQ356"/>
      <c r="IR356"/>
      <c r="IS356"/>
      <c r="IT356"/>
      <c r="IU356"/>
      <c r="IV356"/>
      <c r="IW356"/>
      <c r="IX356"/>
      <c r="IY356"/>
      <c r="IZ356"/>
      <c r="JA356"/>
      <c r="JB356"/>
      <c r="JC356"/>
      <c r="JD356"/>
      <c r="JE356"/>
      <c r="JF356"/>
      <c r="JG356"/>
      <c r="JH356"/>
      <c r="JI356"/>
      <c r="JJ356"/>
      <c r="JK356"/>
      <c r="JL356"/>
      <c r="JM356"/>
      <c r="JN356"/>
      <c r="JO356"/>
      <c r="JP356"/>
      <c r="JQ356"/>
      <c r="JR356"/>
      <c r="JS356"/>
      <c r="JT356"/>
      <c r="JU356"/>
      <c r="JV356"/>
      <c r="JW356"/>
      <c r="JX356"/>
      <c r="JY356"/>
      <c r="JZ356"/>
      <c r="KA356"/>
      <c r="KB356"/>
      <c r="KC356"/>
      <c r="KD356"/>
      <c r="KE356"/>
      <c r="KF356"/>
      <c r="KG356"/>
      <c r="KH356"/>
      <c r="KI356"/>
      <c r="KJ356"/>
      <c r="KK356"/>
      <c r="KL356"/>
      <c r="KM356"/>
      <c r="KN356"/>
      <c r="KO356"/>
      <c r="KP356"/>
      <c r="KQ356"/>
      <c r="KR356"/>
      <c r="KS356"/>
      <c r="KT356"/>
      <c r="KU356"/>
      <c r="KV356"/>
      <c r="KW356"/>
      <c r="KX356"/>
      <c r="KY356"/>
      <c r="KZ356"/>
      <c r="LA356"/>
      <c r="LB356"/>
      <c r="LC356"/>
      <c r="LD356"/>
      <c r="LE356"/>
      <c r="LF356"/>
      <c r="LG356"/>
      <c r="LH356"/>
      <c r="LI356"/>
      <c r="LJ356"/>
      <c r="LK356"/>
      <c r="LL356"/>
      <c r="LM356"/>
      <c r="LN356"/>
      <c r="LO356"/>
      <c r="LP356"/>
      <c r="LQ356"/>
      <c r="LR356"/>
      <c r="LS356"/>
      <c r="LT356"/>
      <c r="LU356"/>
      <c r="LV356"/>
      <c r="LW356"/>
      <c r="LX356"/>
      <c r="LY356"/>
      <c r="LZ356"/>
      <c r="MA356"/>
      <c r="MB356"/>
      <c r="MC356"/>
      <c r="MD356"/>
      <c r="ME356"/>
      <c r="MF356"/>
      <c r="MG356"/>
      <c r="MH356"/>
      <c r="MI356"/>
      <c r="MJ356"/>
      <c r="MK356"/>
      <c r="ML356"/>
      <c r="MM356"/>
      <c r="MN356"/>
      <c r="MO356"/>
      <c r="MP356"/>
      <c r="MQ356"/>
      <c r="MR356"/>
      <c r="MS356"/>
      <c r="MT356"/>
      <c r="MU356"/>
      <c r="MV356"/>
      <c r="MW356"/>
      <c r="MX356"/>
      <c r="MY356"/>
      <c r="MZ356"/>
      <c r="NA356"/>
      <c r="NB356"/>
      <c r="NC356"/>
      <c r="ND356"/>
      <c r="NE356"/>
      <c r="NF356"/>
      <c r="NG356"/>
      <c r="NH356"/>
      <c r="NI356"/>
      <c r="NJ356"/>
      <c r="NK356"/>
      <c r="NL356"/>
      <c r="NM356"/>
      <c r="NN356"/>
      <c r="NO356"/>
      <c r="NP356"/>
      <c r="NQ356"/>
      <c r="NR356"/>
      <c r="NS356"/>
      <c r="NT356"/>
      <c r="NU356"/>
      <c r="NV356"/>
      <c r="NW356"/>
      <c r="NX356"/>
      <c r="NY356"/>
      <c r="NZ356"/>
      <c r="OA356"/>
      <c r="OB356"/>
      <c r="OC356"/>
      <c r="OD356"/>
      <c r="OE356"/>
      <c r="OF356"/>
      <c r="OG356"/>
      <c r="OH356"/>
      <c r="OI356"/>
      <c r="OJ356"/>
      <c r="OK356"/>
      <c r="OL356"/>
      <c r="OM356"/>
      <c r="ON356"/>
      <c r="OO356"/>
      <c r="OP356"/>
      <c r="OQ356"/>
      <c r="OR356"/>
      <c r="OS356"/>
      <c r="OT356"/>
      <c r="OU356"/>
      <c r="OV356"/>
      <c r="OW356"/>
      <c r="OX356"/>
      <c r="OY356"/>
      <c r="OZ356"/>
      <c r="PA356"/>
      <c r="PB356"/>
      <c r="PC356"/>
      <c r="PD356"/>
      <c r="PE356"/>
      <c r="PF356"/>
      <c r="PG356"/>
      <c r="PH356"/>
      <c r="PI356"/>
      <c r="PJ356"/>
      <c r="PK356"/>
      <c r="PL356"/>
      <c r="PM356"/>
      <c r="PN356"/>
      <c r="PO356"/>
      <c r="PP356"/>
      <c r="PQ356"/>
      <c r="PR356"/>
      <c r="PS356"/>
      <c r="PT356"/>
      <c r="PU356"/>
      <c r="PV356"/>
      <c r="PW356"/>
      <c r="PX356"/>
      <c r="PY356"/>
      <c r="PZ356"/>
      <c r="QA356"/>
      <c r="QB356"/>
      <c r="QC356"/>
      <c r="QD356"/>
      <c r="QE356"/>
      <c r="QF356"/>
      <c r="QG356"/>
      <c r="QH356"/>
      <c r="QI356"/>
      <c r="QJ356"/>
      <c r="QK356"/>
      <c r="QL356"/>
      <c r="QM356"/>
      <c r="QN356"/>
      <c r="QO356"/>
      <c r="QP356"/>
      <c r="QQ356"/>
      <c r="QR356"/>
      <c r="QS356"/>
      <c r="QT356"/>
      <c r="QU356"/>
      <c r="QV356"/>
      <c r="QW356"/>
      <c r="QX356"/>
      <c r="QY356"/>
      <c r="QZ356"/>
      <c r="RA356"/>
      <c r="RB356"/>
      <c r="RC356"/>
      <c r="RD356"/>
      <c r="RE356"/>
      <c r="RF356"/>
      <c r="RG356"/>
      <c r="RH356"/>
      <c r="RI356"/>
      <c r="RJ356"/>
      <c r="RK356"/>
      <c r="RL356"/>
      <c r="RM356"/>
      <c r="RN356"/>
      <c r="RO356"/>
      <c r="RP356"/>
      <c r="RQ356"/>
      <c r="RR356"/>
      <c r="RS356"/>
    </row>
    <row r="357" spans="19:487" x14ac:dyDescent="0.25"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/>
      <c r="AU357"/>
      <c r="AV357"/>
      <c r="AW357"/>
      <c r="AX357"/>
      <c r="AY357"/>
      <c r="AZ357"/>
      <c r="BA357"/>
      <c r="BB357"/>
      <c r="BC357"/>
      <c r="BD357"/>
      <c r="BE357"/>
      <c r="BF357"/>
      <c r="BG357"/>
      <c r="BH357"/>
      <c r="BI357"/>
      <c r="BJ357"/>
      <c r="BK357"/>
      <c r="BL357"/>
      <c r="BM357"/>
      <c r="BN357"/>
      <c r="BO357"/>
      <c r="BP357"/>
      <c r="BQ357"/>
      <c r="BR357"/>
      <c r="BS357"/>
      <c r="BT357"/>
      <c r="BU357"/>
      <c r="BV357"/>
      <c r="BW357"/>
      <c r="BX357"/>
      <c r="BY357"/>
      <c r="BZ357"/>
      <c r="CA357"/>
      <c r="CB357"/>
      <c r="CC357"/>
      <c r="CD357"/>
      <c r="CE357"/>
      <c r="CF357"/>
      <c r="CG357"/>
      <c r="CH357"/>
      <c r="CI357"/>
      <c r="CJ357"/>
      <c r="CK357"/>
      <c r="CL357"/>
      <c r="CM357"/>
      <c r="CN357"/>
      <c r="CO357"/>
      <c r="CP357"/>
      <c r="CQ357"/>
      <c r="CR357"/>
      <c r="CS357"/>
      <c r="CT357"/>
      <c r="CU357"/>
      <c r="CV357"/>
      <c r="CW357"/>
      <c r="CX357"/>
      <c r="CY357"/>
      <c r="CZ357"/>
      <c r="DA357"/>
      <c r="DB357"/>
      <c r="DC357"/>
      <c r="DD357"/>
      <c r="DE357"/>
      <c r="DF357"/>
      <c r="DG357"/>
      <c r="DH357"/>
      <c r="DI357"/>
      <c r="DJ357"/>
      <c r="DK357"/>
      <c r="DL357"/>
      <c r="DM357"/>
      <c r="DN357"/>
      <c r="DO357"/>
      <c r="DP357"/>
      <c r="DQ357"/>
      <c r="DR357"/>
      <c r="DS357"/>
      <c r="DT357"/>
      <c r="DU357"/>
      <c r="DV357"/>
      <c r="DW357"/>
      <c r="DX357"/>
      <c r="DY357"/>
      <c r="DZ357"/>
      <c r="EA357"/>
      <c r="EB357"/>
      <c r="EC357"/>
      <c r="ED357"/>
      <c r="EE357"/>
      <c r="EF357"/>
      <c r="EG357"/>
      <c r="EH357"/>
      <c r="EI357"/>
      <c r="EJ357"/>
      <c r="EK357"/>
      <c r="EL357"/>
      <c r="EM357"/>
      <c r="EN357"/>
      <c r="EO357"/>
      <c r="EP357"/>
      <c r="EQ357"/>
      <c r="ER357"/>
      <c r="ES357"/>
      <c r="ET357"/>
      <c r="EU357"/>
      <c r="EV357"/>
      <c r="EW357"/>
      <c r="EX357"/>
      <c r="EY357"/>
      <c r="EZ357"/>
      <c r="FA357"/>
      <c r="FB357"/>
      <c r="FC357"/>
      <c r="FD357"/>
      <c r="FE357"/>
      <c r="FF357"/>
      <c r="FG357"/>
      <c r="FH357"/>
      <c r="FI357"/>
      <c r="FJ357"/>
      <c r="FK357"/>
      <c r="FL357"/>
      <c r="FM357"/>
      <c r="FN357"/>
      <c r="FO357"/>
      <c r="FP357"/>
      <c r="FQ357"/>
      <c r="FR357"/>
      <c r="FS357"/>
      <c r="FT357"/>
      <c r="FU357"/>
      <c r="FV357"/>
      <c r="FW357"/>
      <c r="FX357"/>
      <c r="FY357"/>
      <c r="FZ357"/>
      <c r="GA357"/>
      <c r="GB357"/>
      <c r="GC357"/>
      <c r="GD357"/>
      <c r="GE357"/>
      <c r="GF357"/>
      <c r="GG357"/>
      <c r="GH357"/>
      <c r="GI357"/>
      <c r="GJ357"/>
      <c r="GK357"/>
      <c r="GL357"/>
      <c r="GM357"/>
      <c r="GN357"/>
      <c r="GO357"/>
      <c r="GP357"/>
      <c r="GQ357"/>
      <c r="GR357"/>
      <c r="GS357"/>
      <c r="GT357"/>
      <c r="GU357"/>
      <c r="GV357"/>
      <c r="GW357"/>
      <c r="GX357"/>
      <c r="GY357"/>
      <c r="GZ357"/>
      <c r="HA357"/>
      <c r="HB357"/>
      <c r="HC357"/>
      <c r="HD357"/>
      <c r="HE357"/>
      <c r="HF357"/>
      <c r="HG357"/>
      <c r="HH357"/>
      <c r="HI357"/>
      <c r="HJ357"/>
      <c r="HK357"/>
      <c r="HL357"/>
      <c r="HM357"/>
      <c r="HN357"/>
      <c r="HO357"/>
      <c r="HP357"/>
      <c r="HQ357"/>
      <c r="HR357"/>
      <c r="HS357"/>
      <c r="HT357"/>
      <c r="HU357"/>
      <c r="HV357"/>
      <c r="HW357"/>
      <c r="HX357"/>
      <c r="HY357"/>
      <c r="HZ357"/>
      <c r="IA357"/>
      <c r="IB357"/>
      <c r="IC357"/>
      <c r="ID357"/>
      <c r="IE357"/>
      <c r="IF357"/>
      <c r="IG357"/>
      <c r="IH357"/>
      <c r="II357"/>
      <c r="IJ357"/>
      <c r="IK357"/>
      <c r="IL357"/>
      <c r="IM357"/>
      <c r="IN357"/>
      <c r="IO357"/>
      <c r="IP357"/>
      <c r="IQ357"/>
      <c r="IR357"/>
      <c r="IS357"/>
      <c r="IT357"/>
      <c r="IU357"/>
      <c r="IV357"/>
      <c r="IW357"/>
      <c r="IX357"/>
      <c r="IY357"/>
      <c r="IZ357"/>
      <c r="JA357"/>
      <c r="JB357"/>
      <c r="JC357"/>
      <c r="JD357"/>
      <c r="JE357"/>
      <c r="JF357"/>
      <c r="JG357"/>
      <c r="JH357"/>
      <c r="JI357"/>
      <c r="JJ357"/>
      <c r="JK357"/>
      <c r="JL357"/>
      <c r="JM357"/>
      <c r="JN357"/>
      <c r="JO357"/>
      <c r="JP357"/>
      <c r="JQ357"/>
      <c r="JR357"/>
      <c r="JS357"/>
      <c r="JT357"/>
      <c r="JU357"/>
      <c r="JV357"/>
      <c r="JW357"/>
      <c r="JX357"/>
      <c r="JY357"/>
      <c r="JZ357"/>
      <c r="KA357"/>
      <c r="KB357"/>
      <c r="KC357"/>
      <c r="KD357"/>
      <c r="KE357"/>
      <c r="KF357"/>
      <c r="KG357"/>
      <c r="KH357"/>
      <c r="KI357"/>
      <c r="KJ357"/>
      <c r="KK357"/>
      <c r="KL357"/>
      <c r="KM357"/>
      <c r="KN357"/>
      <c r="KO357"/>
      <c r="KP357"/>
      <c r="KQ357"/>
      <c r="KR357"/>
      <c r="KS357"/>
      <c r="KT357"/>
      <c r="KU357"/>
      <c r="KV357"/>
      <c r="KW357"/>
      <c r="KX357"/>
      <c r="KY357"/>
      <c r="KZ357"/>
      <c r="LA357"/>
      <c r="LB357"/>
      <c r="LC357"/>
      <c r="LD357"/>
      <c r="LE357"/>
      <c r="LF357"/>
      <c r="LG357"/>
      <c r="LH357"/>
      <c r="LI357"/>
      <c r="LJ357"/>
      <c r="LK357"/>
      <c r="LL357"/>
      <c r="LM357"/>
      <c r="LN357"/>
      <c r="LO357"/>
      <c r="LP357"/>
      <c r="LQ357"/>
      <c r="LR357"/>
      <c r="LS357"/>
      <c r="LT357"/>
      <c r="LU357"/>
      <c r="LV357"/>
      <c r="LW357"/>
      <c r="LX357"/>
      <c r="LY357"/>
      <c r="LZ357"/>
      <c r="MA357"/>
      <c r="MB357"/>
      <c r="MC357"/>
      <c r="MD357"/>
      <c r="ME357"/>
      <c r="MF357"/>
      <c r="MG357"/>
      <c r="MH357"/>
      <c r="MI357"/>
      <c r="MJ357"/>
      <c r="MK357"/>
      <c r="ML357"/>
      <c r="MM357"/>
      <c r="MN357"/>
      <c r="MO357"/>
      <c r="MP357"/>
      <c r="MQ357"/>
      <c r="MR357"/>
      <c r="MS357"/>
      <c r="MT357"/>
      <c r="MU357"/>
      <c r="MV357"/>
      <c r="MW357"/>
      <c r="MX357"/>
      <c r="MY357"/>
      <c r="MZ357"/>
      <c r="NA357"/>
      <c r="NB357"/>
      <c r="NC357"/>
      <c r="ND357"/>
      <c r="NE357"/>
      <c r="NF357"/>
      <c r="NG357"/>
      <c r="NH357"/>
      <c r="NI357"/>
      <c r="NJ357"/>
      <c r="NK357"/>
      <c r="NL357"/>
      <c r="NM357"/>
      <c r="NN357"/>
      <c r="NO357"/>
      <c r="NP357"/>
      <c r="NQ357"/>
      <c r="NR357"/>
      <c r="NS357"/>
      <c r="NT357"/>
      <c r="NU357"/>
      <c r="NV357"/>
      <c r="NW357"/>
      <c r="NX357"/>
      <c r="NY357"/>
      <c r="NZ357"/>
      <c r="OA357"/>
      <c r="OB357"/>
      <c r="OC357"/>
      <c r="OD357"/>
      <c r="OE357"/>
      <c r="OF357"/>
      <c r="OG357"/>
      <c r="OH357"/>
      <c r="OI357"/>
      <c r="OJ357"/>
      <c r="OK357"/>
      <c r="OL357"/>
      <c r="OM357"/>
      <c r="ON357"/>
      <c r="OO357"/>
      <c r="OP357"/>
      <c r="OQ357"/>
      <c r="OR357"/>
      <c r="OS357"/>
      <c r="OT357"/>
      <c r="OU357"/>
      <c r="OV357"/>
      <c r="OW357"/>
      <c r="OX357"/>
      <c r="OY357"/>
      <c r="OZ357"/>
      <c r="PA357"/>
      <c r="PB357"/>
      <c r="PC357"/>
      <c r="PD357"/>
      <c r="PE357"/>
      <c r="PF357"/>
      <c r="PG357"/>
      <c r="PH357"/>
      <c r="PI357"/>
      <c r="PJ357"/>
      <c r="PK357"/>
      <c r="PL357"/>
      <c r="PM357"/>
      <c r="PN357"/>
      <c r="PO357"/>
      <c r="PP357"/>
      <c r="PQ357"/>
      <c r="PR357"/>
      <c r="PS357"/>
      <c r="PT357"/>
      <c r="PU357"/>
      <c r="PV357"/>
      <c r="PW357"/>
      <c r="PX357"/>
      <c r="PY357"/>
      <c r="PZ357"/>
      <c r="QA357"/>
      <c r="QB357"/>
      <c r="QC357"/>
      <c r="QD357"/>
      <c r="QE357"/>
      <c r="QF357"/>
      <c r="QG357"/>
      <c r="QH357"/>
      <c r="QI357"/>
      <c r="QJ357"/>
      <c r="QK357"/>
      <c r="QL357"/>
      <c r="QM357"/>
      <c r="QN357"/>
      <c r="QO357"/>
      <c r="QP357"/>
      <c r="QQ357"/>
      <c r="QR357"/>
      <c r="QS357"/>
      <c r="QT357"/>
      <c r="QU357"/>
      <c r="QV357"/>
      <c r="QW357"/>
      <c r="QX357"/>
      <c r="QY357"/>
      <c r="QZ357"/>
      <c r="RA357"/>
      <c r="RB357"/>
      <c r="RC357"/>
      <c r="RD357"/>
      <c r="RE357"/>
      <c r="RF357"/>
      <c r="RG357"/>
      <c r="RH357"/>
      <c r="RI357"/>
      <c r="RJ357"/>
      <c r="RK357"/>
      <c r="RL357"/>
      <c r="RM357"/>
      <c r="RN357"/>
      <c r="RO357"/>
      <c r="RP357"/>
      <c r="RQ357"/>
      <c r="RR357"/>
      <c r="RS357"/>
    </row>
    <row r="358" spans="19:487" x14ac:dyDescent="0.25"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J358"/>
      <c r="AK358"/>
      <c r="AL358"/>
      <c r="AM358"/>
      <c r="AN358"/>
      <c r="AO358"/>
      <c r="AP358"/>
      <c r="AQ358"/>
      <c r="AR358"/>
      <c r="AS358"/>
      <c r="AT358"/>
      <c r="AU358"/>
      <c r="AV358"/>
      <c r="AW358"/>
      <c r="AX358"/>
      <c r="AY358"/>
      <c r="AZ358"/>
      <c r="BA358"/>
      <c r="BB358"/>
      <c r="BC358"/>
      <c r="BD358"/>
      <c r="BE358"/>
      <c r="BF358"/>
      <c r="BG358"/>
      <c r="BH358"/>
      <c r="BI358"/>
      <c r="BJ358"/>
      <c r="BK358"/>
      <c r="BL358"/>
      <c r="BM358"/>
      <c r="BN358"/>
      <c r="BO358"/>
      <c r="BP358"/>
      <c r="BQ358"/>
      <c r="BR358"/>
      <c r="BS358"/>
      <c r="BT358"/>
      <c r="BU358"/>
      <c r="BV358"/>
      <c r="BW358"/>
      <c r="BX358"/>
      <c r="BY358"/>
      <c r="BZ358"/>
      <c r="CA358"/>
      <c r="CB358"/>
      <c r="CC358"/>
      <c r="CD358"/>
      <c r="CE358"/>
      <c r="CF358"/>
      <c r="CG358"/>
      <c r="CH358"/>
      <c r="CI358"/>
      <c r="CJ358"/>
      <c r="CK358"/>
      <c r="CL358"/>
      <c r="CM358"/>
      <c r="CN358"/>
      <c r="CO358"/>
      <c r="CP358"/>
      <c r="CQ358"/>
      <c r="CR358"/>
      <c r="CS358"/>
      <c r="CT358"/>
      <c r="CU358"/>
      <c r="CV358"/>
      <c r="CW358"/>
      <c r="CX358"/>
      <c r="CY358"/>
      <c r="CZ358"/>
      <c r="DA358"/>
      <c r="DB358"/>
      <c r="DC358"/>
      <c r="DD358"/>
      <c r="DE358"/>
      <c r="DF358"/>
      <c r="DG358"/>
      <c r="DH358"/>
      <c r="DI358"/>
      <c r="DJ358"/>
      <c r="DK358"/>
      <c r="DL358"/>
      <c r="DM358"/>
      <c r="DN358"/>
      <c r="DO358"/>
      <c r="DP358"/>
      <c r="DQ358"/>
      <c r="DR358"/>
      <c r="DS358"/>
      <c r="DT358"/>
      <c r="DU358"/>
      <c r="DV358"/>
      <c r="DW358"/>
      <c r="DX358"/>
      <c r="DY358"/>
      <c r="DZ358"/>
      <c r="EA358"/>
      <c r="EB358"/>
      <c r="EC358"/>
      <c r="ED358"/>
      <c r="EE358"/>
      <c r="EF358"/>
      <c r="EG358"/>
      <c r="EH358"/>
      <c r="EI358"/>
      <c r="EJ358"/>
      <c r="EK358"/>
      <c r="EL358"/>
      <c r="EM358"/>
      <c r="EN358"/>
      <c r="EO358"/>
      <c r="EP358"/>
      <c r="EQ358"/>
      <c r="ER358"/>
      <c r="ES358"/>
      <c r="ET358"/>
      <c r="EU358"/>
      <c r="EV358"/>
      <c r="EW358"/>
      <c r="EX358"/>
      <c r="EY358"/>
      <c r="EZ358"/>
      <c r="FA358"/>
      <c r="FB358"/>
      <c r="FC358"/>
      <c r="FD358"/>
      <c r="FE358"/>
      <c r="FF358"/>
      <c r="FG358"/>
      <c r="FH358"/>
      <c r="FI358"/>
      <c r="FJ358"/>
      <c r="FK358"/>
      <c r="FL358"/>
      <c r="FM358"/>
      <c r="FN358"/>
      <c r="FO358"/>
      <c r="FP358"/>
      <c r="FQ358"/>
      <c r="FR358"/>
      <c r="FS358"/>
      <c r="FT358"/>
      <c r="FU358"/>
      <c r="FV358"/>
      <c r="FW358"/>
      <c r="FX358"/>
      <c r="FY358"/>
      <c r="FZ358"/>
      <c r="GA358"/>
      <c r="GB358"/>
      <c r="GC358"/>
      <c r="GD358"/>
      <c r="GE358"/>
      <c r="GF358"/>
      <c r="GG358"/>
      <c r="GH358"/>
      <c r="GI358"/>
      <c r="GJ358"/>
      <c r="GK358"/>
      <c r="GL358"/>
      <c r="GM358"/>
      <c r="GN358"/>
      <c r="GO358"/>
      <c r="GP358"/>
      <c r="GQ358"/>
      <c r="GR358"/>
      <c r="GS358"/>
      <c r="GT358"/>
      <c r="GU358"/>
      <c r="GV358"/>
      <c r="GW358"/>
      <c r="GX358"/>
      <c r="GY358"/>
      <c r="GZ358"/>
      <c r="HA358"/>
      <c r="HB358"/>
      <c r="HC358"/>
      <c r="HD358"/>
      <c r="HE358"/>
      <c r="HF358"/>
      <c r="HG358"/>
      <c r="HH358"/>
      <c r="HI358"/>
      <c r="HJ358"/>
      <c r="HK358"/>
      <c r="HL358"/>
      <c r="HM358"/>
      <c r="HN358"/>
      <c r="HO358"/>
      <c r="HP358"/>
      <c r="HQ358"/>
      <c r="HR358"/>
      <c r="HS358"/>
      <c r="HT358"/>
      <c r="HU358"/>
      <c r="HV358"/>
      <c r="HW358"/>
      <c r="HX358"/>
      <c r="HY358"/>
      <c r="HZ358"/>
      <c r="IA358"/>
      <c r="IB358"/>
      <c r="IC358"/>
      <c r="ID358"/>
      <c r="IE358"/>
      <c r="IF358"/>
      <c r="IG358"/>
      <c r="IH358"/>
      <c r="II358"/>
      <c r="IJ358"/>
      <c r="IK358"/>
      <c r="IL358"/>
      <c r="IM358"/>
      <c r="IN358"/>
      <c r="IO358"/>
      <c r="IP358"/>
      <c r="IQ358"/>
      <c r="IR358"/>
      <c r="IS358"/>
      <c r="IT358"/>
      <c r="IU358"/>
      <c r="IV358"/>
      <c r="IW358"/>
      <c r="IX358"/>
      <c r="IY358"/>
      <c r="IZ358"/>
      <c r="JA358"/>
      <c r="JB358"/>
      <c r="JC358"/>
      <c r="JD358"/>
      <c r="JE358"/>
      <c r="JF358"/>
      <c r="JG358"/>
      <c r="JH358"/>
      <c r="JI358"/>
      <c r="JJ358"/>
      <c r="JK358"/>
      <c r="JL358"/>
      <c r="JM358"/>
      <c r="JN358"/>
      <c r="JO358"/>
      <c r="JP358"/>
      <c r="JQ358"/>
      <c r="JR358"/>
      <c r="JS358"/>
      <c r="JT358"/>
      <c r="JU358"/>
      <c r="JV358"/>
      <c r="JW358"/>
      <c r="JX358"/>
      <c r="JY358"/>
      <c r="JZ358"/>
      <c r="KA358"/>
      <c r="KB358"/>
      <c r="KC358"/>
      <c r="KD358"/>
      <c r="KE358"/>
      <c r="KF358"/>
      <c r="KG358"/>
      <c r="KH358"/>
      <c r="KI358"/>
      <c r="KJ358"/>
      <c r="KK358"/>
      <c r="KL358"/>
      <c r="KM358"/>
      <c r="KN358"/>
      <c r="KO358"/>
      <c r="KP358"/>
      <c r="KQ358"/>
      <c r="KR358"/>
      <c r="KS358"/>
      <c r="KT358"/>
      <c r="KU358"/>
      <c r="KV358"/>
      <c r="KW358"/>
      <c r="KX358"/>
      <c r="KY358"/>
      <c r="KZ358"/>
      <c r="LA358"/>
      <c r="LB358"/>
      <c r="LC358"/>
      <c r="LD358"/>
      <c r="LE358"/>
      <c r="LF358"/>
      <c r="LG358"/>
      <c r="LH358"/>
      <c r="LI358"/>
      <c r="LJ358"/>
      <c r="LK358"/>
      <c r="LL358"/>
      <c r="LM358"/>
      <c r="LN358"/>
      <c r="LO358"/>
      <c r="LP358"/>
      <c r="LQ358"/>
      <c r="LR358"/>
      <c r="LS358"/>
      <c r="LT358"/>
      <c r="LU358"/>
      <c r="LV358"/>
      <c r="LW358"/>
      <c r="LX358"/>
      <c r="LY358"/>
      <c r="LZ358"/>
      <c r="MA358"/>
      <c r="MB358"/>
      <c r="MC358"/>
      <c r="MD358"/>
      <c r="ME358"/>
      <c r="MF358"/>
      <c r="MG358"/>
      <c r="MH358"/>
      <c r="MI358"/>
      <c r="MJ358"/>
      <c r="MK358"/>
      <c r="ML358"/>
      <c r="MM358"/>
      <c r="MN358"/>
      <c r="MO358"/>
      <c r="MP358"/>
      <c r="MQ358"/>
      <c r="MR358"/>
      <c r="MS358"/>
      <c r="MT358"/>
      <c r="MU358"/>
      <c r="MV358"/>
      <c r="MW358"/>
      <c r="MX358"/>
      <c r="MY358"/>
      <c r="MZ358"/>
      <c r="NA358"/>
      <c r="NB358"/>
      <c r="NC358"/>
      <c r="ND358"/>
      <c r="NE358"/>
      <c r="NF358"/>
      <c r="NG358"/>
      <c r="NH358"/>
      <c r="NI358"/>
      <c r="NJ358"/>
      <c r="NK358"/>
      <c r="NL358"/>
      <c r="NM358"/>
      <c r="NN358"/>
      <c r="NO358"/>
      <c r="NP358"/>
      <c r="NQ358"/>
      <c r="NR358"/>
      <c r="NS358"/>
      <c r="NT358"/>
      <c r="NU358"/>
      <c r="NV358"/>
      <c r="NW358"/>
      <c r="NX358"/>
      <c r="NY358"/>
      <c r="NZ358"/>
      <c r="OA358"/>
      <c r="OB358"/>
      <c r="OC358"/>
      <c r="OD358"/>
      <c r="OE358"/>
      <c r="OF358"/>
      <c r="OG358"/>
      <c r="OH358"/>
      <c r="OI358"/>
      <c r="OJ358"/>
      <c r="OK358"/>
      <c r="OL358"/>
      <c r="OM358"/>
      <c r="ON358"/>
      <c r="OO358"/>
      <c r="OP358"/>
      <c r="OQ358"/>
      <c r="OR358"/>
      <c r="OS358"/>
      <c r="OT358"/>
      <c r="OU358"/>
      <c r="OV358"/>
      <c r="OW358"/>
      <c r="OX358"/>
      <c r="OY358"/>
      <c r="OZ358"/>
      <c r="PA358"/>
      <c r="PB358"/>
      <c r="PC358"/>
      <c r="PD358"/>
      <c r="PE358"/>
      <c r="PF358"/>
      <c r="PG358"/>
      <c r="PH358"/>
      <c r="PI358"/>
      <c r="PJ358"/>
      <c r="PK358"/>
      <c r="PL358"/>
      <c r="PM358"/>
      <c r="PN358"/>
      <c r="PO358"/>
      <c r="PP358"/>
      <c r="PQ358"/>
      <c r="PR358"/>
      <c r="PS358"/>
      <c r="PT358"/>
      <c r="PU358"/>
      <c r="PV358"/>
      <c r="PW358"/>
      <c r="PX358"/>
      <c r="PY358"/>
      <c r="PZ358"/>
      <c r="QA358"/>
      <c r="QB358"/>
      <c r="QC358"/>
      <c r="QD358"/>
      <c r="QE358"/>
      <c r="QF358"/>
      <c r="QG358"/>
      <c r="QH358"/>
      <c r="QI358"/>
      <c r="QJ358"/>
      <c r="QK358"/>
      <c r="QL358"/>
      <c r="QM358"/>
      <c r="QN358"/>
      <c r="QO358"/>
      <c r="QP358"/>
      <c r="QQ358"/>
      <c r="QR358"/>
      <c r="QS358"/>
      <c r="QT358"/>
      <c r="QU358"/>
      <c r="QV358"/>
      <c r="QW358"/>
      <c r="QX358"/>
      <c r="QY358"/>
      <c r="QZ358"/>
      <c r="RA358"/>
      <c r="RB358"/>
      <c r="RC358"/>
      <c r="RD358"/>
      <c r="RE358"/>
      <c r="RF358"/>
      <c r="RG358"/>
      <c r="RH358"/>
      <c r="RI358"/>
      <c r="RJ358"/>
      <c r="RK358"/>
      <c r="RL358"/>
      <c r="RM358"/>
      <c r="RN358"/>
      <c r="RO358"/>
      <c r="RP358"/>
      <c r="RQ358"/>
      <c r="RR358"/>
      <c r="RS358"/>
    </row>
    <row r="359" spans="19:487" x14ac:dyDescent="0.25"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  <c r="AH359"/>
      <c r="AI359"/>
      <c r="AJ359"/>
      <c r="AK359"/>
      <c r="AL359"/>
      <c r="AM359"/>
      <c r="AN359"/>
      <c r="AO359"/>
      <c r="AP359"/>
      <c r="AQ359"/>
      <c r="AR359"/>
      <c r="AS359"/>
      <c r="AT359"/>
      <c r="AU359"/>
      <c r="AV359"/>
      <c r="AW359"/>
      <c r="AX359"/>
      <c r="AY359"/>
      <c r="AZ359"/>
      <c r="BA359"/>
      <c r="BB359"/>
      <c r="BC359"/>
      <c r="BD359"/>
      <c r="BE359"/>
      <c r="BF359"/>
      <c r="BG359"/>
      <c r="BH359"/>
      <c r="BI359"/>
      <c r="BJ359"/>
      <c r="BK359"/>
      <c r="BL359"/>
      <c r="BM359"/>
      <c r="BN359"/>
      <c r="BO359"/>
      <c r="BP359"/>
      <c r="BQ359"/>
      <c r="BR359"/>
      <c r="BS359"/>
      <c r="BT359"/>
      <c r="BU359"/>
      <c r="BV359"/>
      <c r="BW359"/>
      <c r="BX359"/>
      <c r="BY359"/>
      <c r="BZ359"/>
      <c r="CA359"/>
      <c r="CB359"/>
      <c r="CC359"/>
      <c r="CD359"/>
      <c r="CE359"/>
      <c r="CF359"/>
      <c r="CG359"/>
      <c r="CH359"/>
      <c r="CI359"/>
      <c r="CJ359"/>
      <c r="CK359"/>
      <c r="CL359"/>
      <c r="CM359"/>
      <c r="CN359"/>
      <c r="CO359"/>
      <c r="CP359"/>
      <c r="CQ359"/>
      <c r="CR359"/>
      <c r="CS359"/>
      <c r="CT359"/>
      <c r="CU359"/>
      <c r="CV359"/>
      <c r="CW359"/>
      <c r="CX359"/>
      <c r="CY359"/>
      <c r="CZ359"/>
      <c r="DA359"/>
      <c r="DB359"/>
      <c r="DC359"/>
      <c r="DD359"/>
      <c r="DE359"/>
      <c r="DF359"/>
      <c r="DG359"/>
      <c r="DH359"/>
      <c r="DI359"/>
      <c r="DJ359"/>
      <c r="DK359"/>
      <c r="DL359"/>
      <c r="DM359"/>
      <c r="DN359"/>
      <c r="DO359"/>
      <c r="DP359"/>
      <c r="DQ359"/>
      <c r="DR359"/>
      <c r="DS359"/>
      <c r="DT359"/>
      <c r="DU359"/>
      <c r="DV359"/>
      <c r="DW359"/>
      <c r="DX359"/>
      <c r="DY359"/>
      <c r="DZ359"/>
      <c r="EA359"/>
      <c r="EB359"/>
      <c r="EC359"/>
      <c r="ED359"/>
      <c r="EE359"/>
      <c r="EF359"/>
      <c r="EG359"/>
      <c r="EH359"/>
      <c r="EI359"/>
      <c r="EJ359"/>
      <c r="EK359"/>
      <c r="EL359"/>
      <c r="EM359"/>
      <c r="EN359"/>
      <c r="EO359"/>
      <c r="EP359"/>
      <c r="EQ359"/>
      <c r="ER359"/>
      <c r="ES359"/>
      <c r="ET359"/>
      <c r="EU359"/>
      <c r="EV359"/>
      <c r="EW359"/>
      <c r="EX359"/>
      <c r="EY359"/>
      <c r="EZ359"/>
      <c r="FA359"/>
      <c r="FB359"/>
      <c r="FC359"/>
      <c r="FD359"/>
      <c r="FE359"/>
      <c r="FF359"/>
      <c r="FG359"/>
      <c r="FH359"/>
      <c r="FI359"/>
      <c r="FJ359"/>
      <c r="FK359"/>
      <c r="FL359"/>
      <c r="FM359"/>
      <c r="FN359"/>
      <c r="FO359"/>
      <c r="FP359"/>
      <c r="FQ359"/>
      <c r="FR359"/>
      <c r="FS359"/>
      <c r="FT359"/>
      <c r="FU359"/>
      <c r="FV359"/>
      <c r="FW359"/>
      <c r="FX359"/>
      <c r="FY359"/>
      <c r="FZ359"/>
      <c r="GA359"/>
      <c r="GB359"/>
      <c r="GC359"/>
      <c r="GD359"/>
      <c r="GE359"/>
      <c r="GF359"/>
      <c r="GG359"/>
      <c r="GH359"/>
      <c r="GI359"/>
      <c r="GJ359"/>
      <c r="GK359"/>
      <c r="GL359"/>
      <c r="GM359"/>
      <c r="GN359"/>
      <c r="GO359"/>
      <c r="GP359"/>
      <c r="GQ359"/>
      <c r="GR359"/>
      <c r="GS359"/>
      <c r="GT359"/>
      <c r="GU359"/>
      <c r="GV359"/>
      <c r="GW359"/>
      <c r="GX359"/>
      <c r="GY359"/>
      <c r="GZ359"/>
      <c r="HA359"/>
      <c r="HB359"/>
      <c r="HC359"/>
      <c r="HD359"/>
      <c r="HE359"/>
      <c r="HF359"/>
      <c r="HG359"/>
      <c r="HH359"/>
      <c r="HI359"/>
      <c r="HJ359"/>
      <c r="HK359"/>
      <c r="HL359"/>
      <c r="HM359"/>
      <c r="HN359"/>
      <c r="HO359"/>
      <c r="HP359"/>
      <c r="HQ359"/>
      <c r="HR359"/>
      <c r="HS359"/>
      <c r="HT359"/>
      <c r="HU359"/>
      <c r="HV359"/>
      <c r="HW359"/>
      <c r="HX359"/>
      <c r="HY359"/>
      <c r="HZ359"/>
      <c r="IA359"/>
      <c r="IB359"/>
      <c r="IC359"/>
      <c r="ID359"/>
      <c r="IE359"/>
      <c r="IF359"/>
      <c r="IG359"/>
      <c r="IH359"/>
      <c r="II359"/>
      <c r="IJ359"/>
      <c r="IK359"/>
      <c r="IL359"/>
      <c r="IM359"/>
      <c r="IN359"/>
      <c r="IO359"/>
      <c r="IP359"/>
      <c r="IQ359"/>
      <c r="IR359"/>
      <c r="IS359"/>
      <c r="IT359"/>
      <c r="IU359"/>
      <c r="IV359"/>
      <c r="IW359"/>
      <c r="IX359"/>
      <c r="IY359"/>
      <c r="IZ359"/>
      <c r="JA359"/>
      <c r="JB359"/>
      <c r="JC359"/>
      <c r="JD359"/>
      <c r="JE359"/>
      <c r="JF359"/>
      <c r="JG359"/>
      <c r="JH359"/>
      <c r="JI359"/>
      <c r="JJ359"/>
      <c r="JK359"/>
      <c r="JL359"/>
      <c r="JM359"/>
      <c r="JN359"/>
      <c r="JO359"/>
      <c r="JP359"/>
      <c r="JQ359"/>
      <c r="JR359"/>
      <c r="JS359"/>
      <c r="JT359"/>
      <c r="JU359"/>
      <c r="JV359"/>
      <c r="JW359"/>
      <c r="JX359"/>
      <c r="JY359"/>
      <c r="JZ359"/>
      <c r="KA359"/>
      <c r="KB359"/>
      <c r="KC359"/>
      <c r="KD359"/>
      <c r="KE359"/>
      <c r="KF359"/>
      <c r="KG359"/>
      <c r="KH359"/>
      <c r="KI359"/>
      <c r="KJ359"/>
      <c r="KK359"/>
      <c r="KL359"/>
      <c r="KM359"/>
      <c r="KN359"/>
      <c r="KO359"/>
      <c r="KP359"/>
      <c r="KQ359"/>
      <c r="KR359"/>
      <c r="KS359"/>
      <c r="KT359"/>
      <c r="KU359"/>
      <c r="KV359"/>
      <c r="KW359"/>
      <c r="KX359"/>
      <c r="KY359"/>
      <c r="KZ359"/>
      <c r="LA359"/>
      <c r="LB359"/>
      <c r="LC359"/>
      <c r="LD359"/>
      <c r="LE359"/>
      <c r="LF359"/>
      <c r="LG359"/>
      <c r="LH359"/>
      <c r="LI359"/>
      <c r="LJ359"/>
      <c r="LK359"/>
      <c r="LL359"/>
      <c r="LM359"/>
      <c r="LN359"/>
      <c r="LO359"/>
      <c r="LP359"/>
      <c r="LQ359"/>
      <c r="LR359"/>
      <c r="LS359"/>
      <c r="LT359"/>
      <c r="LU359"/>
      <c r="LV359"/>
      <c r="LW359"/>
      <c r="LX359"/>
      <c r="LY359"/>
      <c r="LZ359"/>
      <c r="MA359"/>
      <c r="MB359"/>
      <c r="MC359"/>
      <c r="MD359"/>
      <c r="ME359"/>
      <c r="MF359"/>
      <c r="MG359"/>
      <c r="MH359"/>
      <c r="MI359"/>
      <c r="MJ359"/>
      <c r="MK359"/>
      <c r="ML359"/>
      <c r="MM359"/>
      <c r="MN359"/>
      <c r="MO359"/>
      <c r="MP359"/>
      <c r="MQ359"/>
      <c r="MR359"/>
      <c r="MS359"/>
      <c r="MT359"/>
      <c r="MU359"/>
      <c r="MV359"/>
      <c r="MW359"/>
      <c r="MX359"/>
      <c r="MY359"/>
      <c r="MZ359"/>
      <c r="NA359"/>
      <c r="NB359"/>
      <c r="NC359"/>
      <c r="ND359"/>
      <c r="NE359"/>
      <c r="NF359"/>
      <c r="NG359"/>
      <c r="NH359"/>
      <c r="NI359"/>
      <c r="NJ359"/>
      <c r="NK359"/>
      <c r="NL359"/>
      <c r="NM359"/>
      <c r="NN359"/>
      <c r="NO359"/>
      <c r="NP359"/>
      <c r="NQ359"/>
      <c r="NR359"/>
      <c r="NS359"/>
      <c r="NT359"/>
      <c r="NU359"/>
      <c r="NV359"/>
      <c r="NW359"/>
      <c r="NX359"/>
      <c r="NY359"/>
      <c r="NZ359"/>
      <c r="OA359"/>
      <c r="OB359"/>
      <c r="OC359"/>
      <c r="OD359"/>
      <c r="OE359"/>
      <c r="OF359"/>
      <c r="OG359"/>
      <c r="OH359"/>
      <c r="OI359"/>
      <c r="OJ359"/>
      <c r="OK359"/>
      <c r="OL359"/>
      <c r="OM359"/>
      <c r="ON359"/>
      <c r="OO359"/>
      <c r="OP359"/>
      <c r="OQ359"/>
      <c r="OR359"/>
      <c r="OS359"/>
      <c r="OT359"/>
      <c r="OU359"/>
      <c r="OV359"/>
      <c r="OW359"/>
      <c r="OX359"/>
      <c r="OY359"/>
      <c r="OZ359"/>
      <c r="PA359"/>
      <c r="PB359"/>
      <c r="PC359"/>
      <c r="PD359"/>
      <c r="PE359"/>
      <c r="PF359"/>
      <c r="PG359"/>
      <c r="PH359"/>
      <c r="PI359"/>
      <c r="PJ359"/>
      <c r="PK359"/>
      <c r="PL359"/>
      <c r="PM359"/>
      <c r="PN359"/>
      <c r="PO359"/>
      <c r="PP359"/>
      <c r="PQ359"/>
      <c r="PR359"/>
      <c r="PS359"/>
      <c r="PT359"/>
      <c r="PU359"/>
      <c r="PV359"/>
      <c r="PW359"/>
      <c r="PX359"/>
      <c r="PY359"/>
      <c r="PZ359"/>
      <c r="QA359"/>
      <c r="QB359"/>
      <c r="QC359"/>
      <c r="QD359"/>
      <c r="QE359"/>
      <c r="QF359"/>
      <c r="QG359"/>
      <c r="QH359"/>
      <c r="QI359"/>
      <c r="QJ359"/>
      <c r="QK359"/>
      <c r="QL359"/>
      <c r="QM359"/>
      <c r="QN359"/>
      <c r="QO359"/>
      <c r="QP359"/>
      <c r="QQ359"/>
      <c r="QR359"/>
      <c r="QS359"/>
      <c r="QT359"/>
      <c r="QU359"/>
      <c r="QV359"/>
      <c r="QW359"/>
      <c r="QX359"/>
      <c r="QY359"/>
      <c r="QZ359"/>
      <c r="RA359"/>
      <c r="RB359"/>
      <c r="RC359"/>
      <c r="RD359"/>
      <c r="RE359"/>
      <c r="RF359"/>
      <c r="RG359"/>
      <c r="RH359"/>
      <c r="RI359"/>
      <c r="RJ359"/>
      <c r="RK359"/>
      <c r="RL359"/>
      <c r="RM359"/>
      <c r="RN359"/>
      <c r="RO359"/>
      <c r="RP359"/>
      <c r="RQ359"/>
      <c r="RR359"/>
      <c r="RS359"/>
    </row>
    <row r="360" spans="19:487" x14ac:dyDescent="0.25"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  <c r="AH360"/>
      <c r="AI360"/>
      <c r="AJ360"/>
      <c r="AK360"/>
      <c r="AL360"/>
      <c r="AM360"/>
      <c r="AN360"/>
      <c r="AO360"/>
      <c r="AP360"/>
      <c r="AQ360"/>
      <c r="AR360"/>
      <c r="AS360"/>
      <c r="AT360"/>
      <c r="AU360"/>
      <c r="AV360"/>
      <c r="AW360"/>
      <c r="AX360"/>
      <c r="AY360"/>
      <c r="AZ360"/>
      <c r="BA360"/>
      <c r="BB360"/>
      <c r="BC360"/>
      <c r="BD360"/>
      <c r="BE360"/>
      <c r="BF360"/>
      <c r="BG360"/>
      <c r="BH360"/>
      <c r="BI360"/>
      <c r="BJ360"/>
      <c r="BK360"/>
      <c r="BL360"/>
      <c r="BM360"/>
      <c r="BN360"/>
      <c r="BO360"/>
      <c r="BP360"/>
      <c r="BQ360"/>
      <c r="BR360"/>
      <c r="BS360"/>
      <c r="BT360"/>
      <c r="BU360"/>
      <c r="BV360"/>
      <c r="BW360"/>
      <c r="BX360"/>
      <c r="BY360"/>
      <c r="BZ360"/>
      <c r="CA360"/>
      <c r="CB360"/>
      <c r="CC360"/>
      <c r="CD360"/>
      <c r="CE360"/>
      <c r="CF360"/>
      <c r="CG360"/>
      <c r="CH360"/>
      <c r="CI360"/>
      <c r="CJ360"/>
      <c r="CK360"/>
      <c r="CL360"/>
      <c r="CM360"/>
      <c r="CN360"/>
      <c r="CO360"/>
      <c r="CP360"/>
      <c r="CQ360"/>
      <c r="CR360"/>
      <c r="CS360"/>
      <c r="CT360"/>
      <c r="CU360"/>
      <c r="CV360"/>
      <c r="CW360"/>
      <c r="CX360"/>
      <c r="CY360"/>
      <c r="CZ360"/>
      <c r="DA360"/>
      <c r="DB360"/>
      <c r="DC360"/>
      <c r="DD360"/>
      <c r="DE360"/>
      <c r="DF360"/>
      <c r="DG360"/>
      <c r="DH360"/>
      <c r="DI360"/>
      <c r="DJ360"/>
      <c r="DK360"/>
      <c r="DL360"/>
      <c r="DM360"/>
      <c r="DN360"/>
      <c r="DO360"/>
      <c r="DP360"/>
      <c r="DQ360"/>
      <c r="DR360"/>
      <c r="DS360"/>
      <c r="DT360"/>
      <c r="DU360"/>
      <c r="DV360"/>
      <c r="DW360"/>
      <c r="DX360"/>
      <c r="DY360"/>
      <c r="DZ360"/>
      <c r="EA360"/>
      <c r="EB360"/>
      <c r="EC360"/>
      <c r="ED360"/>
      <c r="EE360"/>
      <c r="EF360"/>
      <c r="EG360"/>
      <c r="EH360"/>
      <c r="EI360"/>
      <c r="EJ360"/>
      <c r="EK360"/>
      <c r="EL360"/>
      <c r="EM360"/>
      <c r="EN360"/>
      <c r="EO360"/>
      <c r="EP360"/>
      <c r="EQ360"/>
      <c r="ER360"/>
      <c r="ES360"/>
      <c r="ET360"/>
      <c r="EU360"/>
      <c r="EV360"/>
      <c r="EW360"/>
      <c r="EX360"/>
      <c r="EY360"/>
      <c r="EZ360"/>
      <c r="FA360"/>
      <c r="FB360"/>
      <c r="FC360"/>
      <c r="FD360"/>
      <c r="FE360"/>
      <c r="FF360"/>
      <c r="FG360"/>
      <c r="FH360"/>
      <c r="FI360"/>
      <c r="FJ360"/>
      <c r="FK360"/>
      <c r="FL360"/>
      <c r="FM360"/>
      <c r="FN360"/>
      <c r="FO360"/>
      <c r="FP360"/>
      <c r="FQ360"/>
      <c r="FR360"/>
      <c r="FS360"/>
      <c r="FT360"/>
      <c r="FU360"/>
      <c r="FV360"/>
      <c r="FW360"/>
      <c r="FX360"/>
      <c r="FY360"/>
      <c r="FZ360"/>
      <c r="GA360"/>
      <c r="GB360"/>
      <c r="GC360"/>
      <c r="GD360"/>
      <c r="GE360"/>
      <c r="GF360"/>
      <c r="GG360"/>
      <c r="GH360"/>
      <c r="GI360"/>
      <c r="GJ360"/>
      <c r="GK360"/>
      <c r="GL360"/>
      <c r="GM360"/>
      <c r="GN360"/>
      <c r="GO360"/>
      <c r="GP360"/>
      <c r="GQ360"/>
      <c r="GR360"/>
      <c r="GS360"/>
      <c r="GT360"/>
      <c r="GU360"/>
      <c r="GV360"/>
      <c r="GW360"/>
      <c r="GX360"/>
      <c r="GY360"/>
      <c r="GZ360"/>
      <c r="HA360"/>
      <c r="HB360"/>
      <c r="HC360"/>
      <c r="HD360"/>
      <c r="HE360"/>
      <c r="HF360"/>
      <c r="HG360"/>
      <c r="HH360"/>
      <c r="HI360"/>
      <c r="HJ360"/>
      <c r="HK360"/>
      <c r="HL360"/>
      <c r="HM360"/>
      <c r="HN360"/>
      <c r="HO360"/>
      <c r="HP360"/>
      <c r="HQ360"/>
      <c r="HR360"/>
      <c r="HS360"/>
      <c r="HT360"/>
      <c r="HU360"/>
      <c r="HV360"/>
      <c r="HW360"/>
      <c r="HX360"/>
      <c r="HY360"/>
      <c r="HZ360"/>
      <c r="IA360"/>
      <c r="IB360"/>
      <c r="IC360"/>
      <c r="ID360"/>
      <c r="IE360"/>
      <c r="IF360"/>
      <c r="IG360"/>
      <c r="IH360"/>
      <c r="II360"/>
      <c r="IJ360"/>
      <c r="IK360"/>
      <c r="IL360"/>
      <c r="IM360"/>
      <c r="IN360"/>
      <c r="IO360"/>
      <c r="IP360"/>
      <c r="IQ360"/>
      <c r="IR360"/>
      <c r="IS360"/>
      <c r="IT360"/>
      <c r="IU360"/>
      <c r="IV360"/>
      <c r="IW360"/>
      <c r="IX360"/>
      <c r="IY360"/>
      <c r="IZ360"/>
      <c r="JA360"/>
      <c r="JB360"/>
      <c r="JC360"/>
      <c r="JD360"/>
      <c r="JE360"/>
      <c r="JF360"/>
      <c r="JG360"/>
      <c r="JH360"/>
      <c r="JI360"/>
      <c r="JJ360"/>
      <c r="JK360"/>
      <c r="JL360"/>
      <c r="JM360"/>
      <c r="JN360"/>
      <c r="JO360"/>
      <c r="JP360"/>
      <c r="JQ360"/>
      <c r="JR360"/>
      <c r="JS360"/>
      <c r="JT360"/>
      <c r="JU360"/>
      <c r="JV360"/>
      <c r="JW360"/>
      <c r="JX360"/>
      <c r="JY360"/>
      <c r="JZ360"/>
      <c r="KA360"/>
      <c r="KB360"/>
      <c r="KC360"/>
      <c r="KD360"/>
      <c r="KE360"/>
      <c r="KF360"/>
      <c r="KG360"/>
      <c r="KH360"/>
      <c r="KI360"/>
      <c r="KJ360"/>
      <c r="KK360"/>
      <c r="KL360"/>
      <c r="KM360"/>
      <c r="KN360"/>
      <c r="KO360"/>
      <c r="KP360"/>
      <c r="KQ360"/>
      <c r="KR360"/>
      <c r="KS360"/>
      <c r="KT360"/>
      <c r="KU360"/>
      <c r="KV360"/>
      <c r="KW360"/>
      <c r="KX360"/>
      <c r="KY360"/>
      <c r="KZ360"/>
      <c r="LA360"/>
      <c r="LB360"/>
      <c r="LC360"/>
      <c r="LD360"/>
      <c r="LE360"/>
      <c r="LF360"/>
      <c r="LG360"/>
      <c r="LH360"/>
      <c r="LI360"/>
      <c r="LJ360"/>
      <c r="LK360"/>
      <c r="LL360"/>
      <c r="LM360"/>
      <c r="LN360"/>
      <c r="LO360"/>
      <c r="LP360"/>
      <c r="LQ360"/>
      <c r="LR360"/>
      <c r="LS360"/>
      <c r="LT360"/>
      <c r="LU360"/>
      <c r="LV360"/>
      <c r="LW360"/>
      <c r="LX360"/>
      <c r="LY360"/>
      <c r="LZ360"/>
      <c r="MA360"/>
      <c r="MB360"/>
      <c r="MC360"/>
      <c r="MD360"/>
      <c r="ME360"/>
      <c r="MF360"/>
      <c r="MG360"/>
      <c r="MH360"/>
      <c r="MI360"/>
      <c r="MJ360"/>
      <c r="MK360"/>
      <c r="ML360"/>
      <c r="MM360"/>
      <c r="MN360"/>
      <c r="MO360"/>
      <c r="MP360"/>
      <c r="MQ360"/>
      <c r="MR360"/>
      <c r="MS360"/>
      <c r="MT360"/>
      <c r="MU360"/>
      <c r="MV360"/>
      <c r="MW360"/>
      <c r="MX360"/>
      <c r="MY360"/>
      <c r="MZ360"/>
      <c r="NA360"/>
      <c r="NB360"/>
      <c r="NC360"/>
      <c r="ND360"/>
      <c r="NE360"/>
      <c r="NF360"/>
      <c r="NG360"/>
      <c r="NH360"/>
      <c r="NI360"/>
      <c r="NJ360"/>
      <c r="NK360"/>
      <c r="NL360"/>
      <c r="NM360"/>
      <c r="NN360"/>
      <c r="NO360"/>
      <c r="NP360"/>
      <c r="NQ360"/>
      <c r="NR360"/>
      <c r="NS360"/>
      <c r="NT360"/>
      <c r="NU360"/>
      <c r="NV360"/>
      <c r="NW360"/>
      <c r="NX360"/>
      <c r="NY360"/>
      <c r="NZ360"/>
      <c r="OA360"/>
      <c r="OB360"/>
      <c r="OC360"/>
      <c r="OD360"/>
      <c r="OE360"/>
      <c r="OF360"/>
      <c r="OG360"/>
      <c r="OH360"/>
      <c r="OI360"/>
      <c r="OJ360"/>
      <c r="OK360"/>
      <c r="OL360"/>
      <c r="OM360"/>
      <c r="ON360"/>
      <c r="OO360"/>
      <c r="OP360"/>
      <c r="OQ360"/>
      <c r="OR360"/>
      <c r="OS360"/>
      <c r="OT360"/>
      <c r="OU360"/>
      <c r="OV360"/>
      <c r="OW360"/>
      <c r="OX360"/>
      <c r="OY360"/>
      <c r="OZ360"/>
      <c r="PA360"/>
      <c r="PB360"/>
      <c r="PC360"/>
      <c r="PD360"/>
      <c r="PE360"/>
      <c r="PF360"/>
      <c r="PG360"/>
      <c r="PH360"/>
      <c r="PI360"/>
      <c r="PJ360"/>
      <c r="PK360"/>
      <c r="PL360"/>
      <c r="PM360"/>
      <c r="PN360"/>
      <c r="PO360"/>
      <c r="PP360"/>
      <c r="PQ360"/>
      <c r="PR360"/>
      <c r="PS360"/>
      <c r="PT360"/>
      <c r="PU360"/>
      <c r="PV360"/>
      <c r="PW360"/>
      <c r="PX360"/>
      <c r="PY360"/>
      <c r="PZ360"/>
      <c r="QA360"/>
      <c r="QB360"/>
      <c r="QC360"/>
      <c r="QD360"/>
      <c r="QE360"/>
      <c r="QF360"/>
      <c r="QG360"/>
      <c r="QH360"/>
      <c r="QI360"/>
      <c r="QJ360"/>
      <c r="QK360"/>
      <c r="QL360"/>
      <c r="QM360"/>
      <c r="QN360"/>
      <c r="QO360"/>
      <c r="QP360"/>
      <c r="QQ360"/>
      <c r="QR360"/>
      <c r="QS360"/>
      <c r="QT360"/>
      <c r="QU360"/>
      <c r="QV360"/>
      <c r="QW360"/>
      <c r="QX360"/>
      <c r="QY360"/>
      <c r="QZ360"/>
      <c r="RA360"/>
      <c r="RB360"/>
      <c r="RC360"/>
      <c r="RD360"/>
      <c r="RE360"/>
      <c r="RF360"/>
      <c r="RG360"/>
      <c r="RH360"/>
      <c r="RI360"/>
      <c r="RJ360"/>
      <c r="RK360"/>
      <c r="RL360"/>
      <c r="RM360"/>
      <c r="RN360"/>
      <c r="RO360"/>
      <c r="RP360"/>
      <c r="RQ360"/>
      <c r="RR360"/>
      <c r="RS360"/>
    </row>
    <row r="361" spans="19:487" x14ac:dyDescent="0.25"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  <c r="AH361"/>
      <c r="AI361"/>
      <c r="AJ361"/>
      <c r="AK361"/>
      <c r="AL361"/>
      <c r="AM361"/>
      <c r="AN361"/>
      <c r="AO361"/>
      <c r="AP361"/>
      <c r="AQ361"/>
      <c r="AR361"/>
      <c r="AS361"/>
      <c r="AT361"/>
      <c r="AU361"/>
      <c r="AV361"/>
      <c r="AW361"/>
      <c r="AX361"/>
      <c r="AY361"/>
      <c r="AZ361"/>
      <c r="BA361"/>
      <c r="BB361"/>
      <c r="BC361"/>
      <c r="BD361"/>
      <c r="BE361"/>
      <c r="BF361"/>
      <c r="BG361"/>
      <c r="BH361"/>
      <c r="BI361"/>
      <c r="BJ361"/>
      <c r="BK361"/>
      <c r="BL361"/>
      <c r="BM361"/>
      <c r="BN361"/>
      <c r="BO361"/>
      <c r="BP361"/>
      <c r="BQ361"/>
      <c r="BR361"/>
      <c r="BS361"/>
      <c r="BT361"/>
      <c r="BU361"/>
      <c r="BV361"/>
      <c r="BW361"/>
      <c r="BX361"/>
      <c r="BY361"/>
      <c r="BZ361"/>
      <c r="CA361"/>
      <c r="CB361"/>
      <c r="CC361"/>
      <c r="CD361"/>
      <c r="CE361"/>
      <c r="CF361"/>
      <c r="CG361"/>
      <c r="CH361"/>
      <c r="CI361"/>
      <c r="CJ361"/>
      <c r="CK361"/>
      <c r="CL361"/>
      <c r="CM361"/>
      <c r="CN361"/>
      <c r="CO361"/>
      <c r="CP361"/>
      <c r="CQ361"/>
      <c r="CR361"/>
      <c r="CS361"/>
      <c r="CT361"/>
      <c r="CU361"/>
      <c r="CV361"/>
      <c r="CW361"/>
      <c r="CX361"/>
      <c r="CY361"/>
      <c r="CZ361"/>
      <c r="DA361"/>
      <c r="DB361"/>
      <c r="DC361"/>
      <c r="DD361"/>
      <c r="DE361"/>
      <c r="DF361"/>
      <c r="DG361"/>
      <c r="DH361"/>
      <c r="DI361"/>
      <c r="DJ361"/>
      <c r="DK361"/>
      <c r="DL361"/>
      <c r="DM361"/>
      <c r="DN361"/>
      <c r="DO361"/>
      <c r="DP361"/>
      <c r="DQ361"/>
      <c r="DR361"/>
      <c r="DS361"/>
      <c r="DT361"/>
      <c r="DU361"/>
      <c r="DV361"/>
      <c r="DW361"/>
      <c r="DX361"/>
      <c r="DY361"/>
      <c r="DZ361"/>
      <c r="EA361"/>
      <c r="EB361"/>
      <c r="EC361"/>
      <c r="ED361"/>
      <c r="EE361"/>
      <c r="EF361"/>
      <c r="EG361"/>
      <c r="EH361"/>
      <c r="EI361"/>
      <c r="EJ361"/>
      <c r="EK361"/>
      <c r="EL361"/>
      <c r="EM361"/>
      <c r="EN361"/>
      <c r="EO361"/>
      <c r="EP361"/>
      <c r="EQ361"/>
      <c r="ER361"/>
      <c r="ES361"/>
      <c r="ET361"/>
      <c r="EU361"/>
      <c r="EV361"/>
      <c r="EW361"/>
      <c r="EX361"/>
      <c r="EY361"/>
      <c r="EZ361"/>
      <c r="FA361"/>
      <c r="FB361"/>
      <c r="FC361"/>
      <c r="FD361"/>
      <c r="FE361"/>
      <c r="FF361"/>
      <c r="FG361"/>
      <c r="FH361"/>
      <c r="FI361"/>
      <c r="FJ361"/>
      <c r="FK361"/>
      <c r="FL361"/>
      <c r="FM361"/>
      <c r="FN361"/>
      <c r="FO361"/>
      <c r="FP361"/>
      <c r="FQ361"/>
      <c r="FR361"/>
      <c r="FS361"/>
      <c r="FT361"/>
      <c r="FU361"/>
      <c r="FV361"/>
      <c r="FW361"/>
      <c r="FX361"/>
      <c r="FY361"/>
      <c r="FZ361"/>
      <c r="GA361"/>
      <c r="GB361"/>
      <c r="GC361"/>
      <c r="GD361"/>
      <c r="GE361"/>
      <c r="GF361"/>
      <c r="GG361"/>
      <c r="GH361"/>
      <c r="GI361"/>
      <c r="GJ361"/>
      <c r="GK361"/>
      <c r="GL361"/>
      <c r="GM361"/>
      <c r="GN361"/>
      <c r="GO361"/>
      <c r="GP361"/>
      <c r="GQ361"/>
      <c r="GR361"/>
      <c r="GS361"/>
      <c r="GT361"/>
      <c r="GU361"/>
      <c r="GV361"/>
      <c r="GW361"/>
      <c r="GX361"/>
      <c r="GY361"/>
      <c r="GZ361"/>
      <c r="HA361"/>
      <c r="HB361"/>
      <c r="HC361"/>
      <c r="HD361"/>
      <c r="HE361"/>
      <c r="HF361"/>
      <c r="HG361"/>
      <c r="HH361"/>
      <c r="HI361"/>
      <c r="HJ361"/>
      <c r="HK361"/>
      <c r="HL361"/>
      <c r="HM361"/>
      <c r="HN361"/>
      <c r="HO361"/>
      <c r="HP361"/>
      <c r="HQ361"/>
      <c r="HR361"/>
      <c r="HS361"/>
      <c r="HT361"/>
      <c r="HU361"/>
      <c r="HV361"/>
      <c r="HW361"/>
      <c r="HX361"/>
      <c r="HY361"/>
      <c r="HZ361"/>
      <c r="IA361"/>
      <c r="IB361"/>
      <c r="IC361"/>
      <c r="ID361"/>
      <c r="IE361"/>
      <c r="IF361"/>
      <c r="IG361"/>
      <c r="IH361"/>
      <c r="II361"/>
      <c r="IJ361"/>
      <c r="IK361"/>
      <c r="IL361"/>
      <c r="IM361"/>
      <c r="IN361"/>
      <c r="IO361"/>
      <c r="IP361"/>
      <c r="IQ361"/>
      <c r="IR361"/>
      <c r="IS361"/>
      <c r="IT361"/>
      <c r="IU361"/>
      <c r="IV361"/>
      <c r="IW361"/>
      <c r="IX361"/>
      <c r="IY361"/>
      <c r="IZ361"/>
      <c r="JA361"/>
      <c r="JB361"/>
      <c r="JC361"/>
      <c r="JD361"/>
      <c r="JE361"/>
      <c r="JF361"/>
      <c r="JG361"/>
      <c r="JH361"/>
      <c r="JI361"/>
      <c r="JJ361"/>
      <c r="JK361"/>
      <c r="JL361"/>
      <c r="JM361"/>
      <c r="JN361"/>
      <c r="JO361"/>
      <c r="JP361"/>
      <c r="JQ361"/>
      <c r="JR361"/>
      <c r="JS361"/>
      <c r="JT361"/>
      <c r="JU361"/>
      <c r="JV361"/>
      <c r="JW361"/>
      <c r="JX361"/>
      <c r="JY361"/>
      <c r="JZ361"/>
      <c r="KA361"/>
      <c r="KB361"/>
      <c r="KC361"/>
      <c r="KD361"/>
      <c r="KE361"/>
      <c r="KF361"/>
      <c r="KG361"/>
      <c r="KH361"/>
      <c r="KI361"/>
      <c r="KJ361"/>
      <c r="KK361"/>
      <c r="KL361"/>
      <c r="KM361"/>
      <c r="KN361"/>
      <c r="KO361"/>
      <c r="KP361"/>
      <c r="KQ361"/>
      <c r="KR361"/>
      <c r="KS361"/>
      <c r="KT361"/>
      <c r="KU361"/>
      <c r="KV361"/>
      <c r="KW361"/>
      <c r="KX361"/>
      <c r="KY361"/>
      <c r="KZ361"/>
      <c r="LA361"/>
      <c r="LB361"/>
      <c r="LC361"/>
      <c r="LD361"/>
      <c r="LE361"/>
      <c r="LF361"/>
      <c r="LG361"/>
      <c r="LH361"/>
      <c r="LI361"/>
      <c r="LJ361"/>
      <c r="LK361"/>
      <c r="LL361"/>
      <c r="LM361"/>
      <c r="LN361"/>
      <c r="LO361"/>
      <c r="LP361"/>
      <c r="LQ361"/>
      <c r="LR361"/>
      <c r="LS361"/>
      <c r="LT361"/>
      <c r="LU361"/>
      <c r="LV361"/>
      <c r="LW361"/>
      <c r="LX361"/>
      <c r="LY361"/>
      <c r="LZ361"/>
      <c r="MA361"/>
      <c r="MB361"/>
      <c r="MC361"/>
      <c r="MD361"/>
      <c r="ME361"/>
      <c r="MF361"/>
      <c r="MG361"/>
      <c r="MH361"/>
      <c r="MI361"/>
      <c r="MJ361"/>
      <c r="MK361"/>
      <c r="ML361"/>
      <c r="MM361"/>
      <c r="MN361"/>
      <c r="MO361"/>
      <c r="MP361"/>
      <c r="MQ361"/>
      <c r="MR361"/>
      <c r="MS361"/>
      <c r="MT361"/>
      <c r="MU361"/>
      <c r="MV361"/>
      <c r="MW361"/>
      <c r="MX361"/>
      <c r="MY361"/>
      <c r="MZ361"/>
      <c r="NA361"/>
      <c r="NB361"/>
      <c r="NC361"/>
      <c r="ND361"/>
      <c r="NE361"/>
      <c r="NF361"/>
      <c r="NG361"/>
      <c r="NH361"/>
      <c r="NI361"/>
      <c r="NJ361"/>
      <c r="NK361"/>
      <c r="NL361"/>
      <c r="NM361"/>
      <c r="NN361"/>
      <c r="NO361"/>
      <c r="NP361"/>
      <c r="NQ361"/>
      <c r="NR361"/>
      <c r="NS361"/>
      <c r="NT361"/>
      <c r="NU361"/>
      <c r="NV361"/>
      <c r="NW361"/>
      <c r="NX361"/>
      <c r="NY361"/>
      <c r="NZ361"/>
      <c r="OA361"/>
      <c r="OB361"/>
      <c r="OC361"/>
      <c r="OD361"/>
      <c r="OE361"/>
      <c r="OF361"/>
      <c r="OG361"/>
      <c r="OH361"/>
      <c r="OI361"/>
      <c r="OJ361"/>
      <c r="OK361"/>
      <c r="OL361"/>
      <c r="OM361"/>
      <c r="ON361"/>
      <c r="OO361"/>
      <c r="OP361"/>
      <c r="OQ361"/>
      <c r="OR361"/>
      <c r="OS361"/>
      <c r="OT361"/>
      <c r="OU361"/>
      <c r="OV361"/>
      <c r="OW361"/>
      <c r="OX361"/>
      <c r="OY361"/>
      <c r="OZ361"/>
      <c r="PA361"/>
      <c r="PB361"/>
      <c r="PC361"/>
      <c r="PD361"/>
      <c r="PE361"/>
      <c r="PF361"/>
      <c r="PG361"/>
      <c r="PH361"/>
      <c r="PI361"/>
      <c r="PJ361"/>
      <c r="PK361"/>
      <c r="PL361"/>
      <c r="PM361"/>
      <c r="PN361"/>
      <c r="PO361"/>
      <c r="PP361"/>
      <c r="PQ361"/>
      <c r="PR361"/>
      <c r="PS361"/>
      <c r="PT361"/>
      <c r="PU361"/>
      <c r="PV361"/>
      <c r="PW361"/>
      <c r="PX361"/>
      <c r="PY361"/>
      <c r="PZ361"/>
      <c r="QA361"/>
      <c r="QB361"/>
      <c r="QC361"/>
      <c r="QD361"/>
      <c r="QE361"/>
      <c r="QF361"/>
      <c r="QG361"/>
      <c r="QH361"/>
      <c r="QI361"/>
      <c r="QJ361"/>
      <c r="QK361"/>
      <c r="QL361"/>
      <c r="QM361"/>
      <c r="QN361"/>
      <c r="QO361"/>
      <c r="QP361"/>
      <c r="QQ361"/>
      <c r="QR361"/>
      <c r="QS361"/>
      <c r="QT361"/>
      <c r="QU361"/>
      <c r="QV361"/>
      <c r="QW361"/>
      <c r="QX361"/>
      <c r="QY361"/>
      <c r="QZ361"/>
      <c r="RA361"/>
      <c r="RB361"/>
      <c r="RC361"/>
      <c r="RD361"/>
      <c r="RE361"/>
      <c r="RF361"/>
      <c r="RG361"/>
      <c r="RH361"/>
      <c r="RI361"/>
      <c r="RJ361"/>
      <c r="RK361"/>
      <c r="RL361"/>
      <c r="RM361"/>
      <c r="RN361"/>
      <c r="RO361"/>
      <c r="RP361"/>
      <c r="RQ361"/>
      <c r="RR361"/>
      <c r="RS361"/>
    </row>
    <row r="362" spans="19:487" x14ac:dyDescent="0.25"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  <c r="AH362"/>
      <c r="AI362"/>
      <c r="AJ362"/>
      <c r="AK362"/>
      <c r="AL362"/>
      <c r="AM362"/>
      <c r="AN362"/>
      <c r="AO362"/>
      <c r="AP362"/>
      <c r="AQ362"/>
      <c r="AR362"/>
      <c r="AS362"/>
      <c r="AT362"/>
      <c r="AU362"/>
      <c r="AV362"/>
      <c r="AW362"/>
      <c r="AX362"/>
      <c r="AY362"/>
      <c r="AZ362"/>
      <c r="BA362"/>
      <c r="BB362"/>
      <c r="BC362"/>
      <c r="BD362"/>
      <c r="BE362"/>
      <c r="BF362"/>
      <c r="BG362"/>
      <c r="BH362"/>
      <c r="BI362"/>
      <c r="BJ362"/>
      <c r="BK362"/>
      <c r="BL362"/>
      <c r="BM362"/>
      <c r="BN362"/>
      <c r="BO362"/>
      <c r="BP362"/>
      <c r="BQ362"/>
      <c r="BR362"/>
      <c r="BS362"/>
      <c r="BT362"/>
      <c r="BU362"/>
      <c r="BV362"/>
      <c r="BW362"/>
      <c r="BX362"/>
      <c r="BY362"/>
      <c r="BZ362"/>
      <c r="CA362"/>
      <c r="CB362"/>
      <c r="CC362"/>
      <c r="CD362"/>
      <c r="CE362"/>
      <c r="CF362"/>
      <c r="CG362"/>
      <c r="CH362"/>
      <c r="CI362"/>
      <c r="CJ362"/>
      <c r="CK362"/>
      <c r="CL362"/>
      <c r="CM362"/>
      <c r="CN362"/>
      <c r="CO362"/>
      <c r="CP362"/>
      <c r="CQ362"/>
      <c r="CR362"/>
      <c r="CS362"/>
      <c r="CT362"/>
      <c r="CU362"/>
      <c r="CV362"/>
      <c r="CW362"/>
      <c r="CX362"/>
      <c r="CY362"/>
      <c r="CZ362"/>
      <c r="DA362"/>
      <c r="DB362"/>
      <c r="DC362"/>
      <c r="DD362"/>
      <c r="DE362"/>
      <c r="DF362"/>
      <c r="DG362"/>
      <c r="DH362"/>
      <c r="DI362"/>
      <c r="DJ362"/>
      <c r="DK362"/>
      <c r="DL362"/>
      <c r="DM362"/>
      <c r="DN362"/>
      <c r="DO362"/>
      <c r="DP362"/>
      <c r="DQ362"/>
      <c r="DR362"/>
      <c r="DS362"/>
      <c r="DT362"/>
      <c r="DU362"/>
      <c r="DV362"/>
      <c r="DW362"/>
      <c r="DX362"/>
      <c r="DY362"/>
      <c r="DZ362"/>
      <c r="EA362"/>
      <c r="EB362"/>
      <c r="EC362"/>
      <c r="ED362"/>
      <c r="EE362"/>
      <c r="EF362"/>
      <c r="EG362"/>
      <c r="EH362"/>
      <c r="EI362"/>
      <c r="EJ362"/>
      <c r="EK362"/>
      <c r="EL362"/>
      <c r="EM362"/>
      <c r="EN362"/>
      <c r="EO362"/>
      <c r="EP362"/>
      <c r="EQ362"/>
      <c r="ER362"/>
      <c r="ES362"/>
      <c r="ET362"/>
      <c r="EU362"/>
      <c r="EV362"/>
      <c r="EW362"/>
      <c r="EX362"/>
      <c r="EY362"/>
      <c r="EZ362"/>
      <c r="FA362"/>
      <c r="FB362"/>
      <c r="FC362"/>
      <c r="FD362"/>
      <c r="FE362"/>
      <c r="FF362"/>
      <c r="FG362"/>
      <c r="FH362"/>
      <c r="FI362"/>
      <c r="FJ362"/>
      <c r="FK362"/>
      <c r="FL362"/>
      <c r="FM362"/>
      <c r="FN362"/>
      <c r="FO362"/>
      <c r="FP362"/>
      <c r="FQ362"/>
      <c r="FR362"/>
      <c r="FS362"/>
      <c r="FT362"/>
      <c r="FU362"/>
      <c r="FV362"/>
      <c r="FW362"/>
      <c r="FX362"/>
      <c r="FY362"/>
      <c r="FZ362"/>
      <c r="GA362"/>
      <c r="GB362"/>
      <c r="GC362"/>
      <c r="GD362"/>
      <c r="GE362"/>
      <c r="GF362"/>
      <c r="GG362"/>
      <c r="GH362"/>
      <c r="GI362"/>
      <c r="GJ362"/>
      <c r="GK362"/>
      <c r="GL362"/>
      <c r="GM362"/>
      <c r="GN362"/>
      <c r="GO362"/>
      <c r="GP362"/>
      <c r="GQ362"/>
      <c r="GR362"/>
      <c r="GS362"/>
      <c r="GT362"/>
      <c r="GU362"/>
      <c r="GV362"/>
      <c r="GW362"/>
      <c r="GX362"/>
      <c r="GY362"/>
      <c r="GZ362"/>
      <c r="HA362"/>
      <c r="HB362"/>
      <c r="HC362"/>
      <c r="HD362"/>
      <c r="HE362"/>
      <c r="HF362"/>
      <c r="HG362"/>
      <c r="HH362"/>
      <c r="HI362"/>
      <c r="HJ362"/>
      <c r="HK362"/>
      <c r="HL362"/>
      <c r="HM362"/>
      <c r="HN362"/>
      <c r="HO362"/>
      <c r="HP362"/>
      <c r="HQ362"/>
      <c r="HR362"/>
      <c r="HS362"/>
      <c r="HT362"/>
      <c r="HU362"/>
      <c r="HV362"/>
      <c r="HW362"/>
      <c r="HX362"/>
      <c r="HY362"/>
      <c r="HZ362"/>
      <c r="IA362"/>
      <c r="IB362"/>
      <c r="IC362"/>
      <c r="ID362"/>
      <c r="IE362"/>
      <c r="IF362"/>
      <c r="IG362"/>
      <c r="IH362"/>
      <c r="II362"/>
      <c r="IJ362"/>
      <c r="IK362"/>
      <c r="IL362"/>
      <c r="IM362"/>
      <c r="IN362"/>
      <c r="IO362"/>
      <c r="IP362"/>
      <c r="IQ362"/>
      <c r="IR362"/>
      <c r="IS362"/>
      <c r="IT362"/>
      <c r="IU362"/>
      <c r="IV362"/>
      <c r="IW362"/>
      <c r="IX362"/>
      <c r="IY362"/>
      <c r="IZ362"/>
      <c r="JA362"/>
      <c r="JB362"/>
      <c r="JC362"/>
      <c r="JD362"/>
      <c r="JE362"/>
      <c r="JF362"/>
      <c r="JG362"/>
      <c r="JH362"/>
      <c r="JI362"/>
      <c r="JJ362"/>
      <c r="JK362"/>
      <c r="JL362"/>
      <c r="JM362"/>
      <c r="JN362"/>
      <c r="JO362"/>
      <c r="JP362"/>
      <c r="JQ362"/>
      <c r="JR362"/>
      <c r="JS362"/>
      <c r="JT362"/>
      <c r="JU362"/>
      <c r="JV362"/>
      <c r="JW362"/>
      <c r="JX362"/>
      <c r="JY362"/>
      <c r="JZ362"/>
      <c r="KA362"/>
      <c r="KB362"/>
      <c r="KC362"/>
      <c r="KD362"/>
      <c r="KE362"/>
      <c r="KF362"/>
      <c r="KG362"/>
      <c r="KH362"/>
      <c r="KI362"/>
      <c r="KJ362"/>
      <c r="KK362"/>
      <c r="KL362"/>
      <c r="KM362"/>
      <c r="KN362"/>
      <c r="KO362"/>
      <c r="KP362"/>
      <c r="KQ362"/>
      <c r="KR362"/>
      <c r="KS362"/>
      <c r="KT362"/>
      <c r="KU362"/>
      <c r="KV362"/>
      <c r="KW362"/>
      <c r="KX362"/>
      <c r="KY362"/>
      <c r="KZ362"/>
      <c r="LA362"/>
      <c r="LB362"/>
      <c r="LC362"/>
      <c r="LD362"/>
      <c r="LE362"/>
      <c r="LF362"/>
      <c r="LG362"/>
      <c r="LH362"/>
      <c r="LI362"/>
      <c r="LJ362"/>
      <c r="LK362"/>
      <c r="LL362"/>
      <c r="LM362"/>
      <c r="LN362"/>
      <c r="LO362"/>
      <c r="LP362"/>
      <c r="LQ362"/>
      <c r="LR362"/>
      <c r="LS362"/>
      <c r="LT362"/>
      <c r="LU362"/>
      <c r="LV362"/>
      <c r="LW362"/>
      <c r="LX362"/>
      <c r="LY362"/>
      <c r="LZ362"/>
      <c r="MA362"/>
      <c r="MB362"/>
      <c r="MC362"/>
      <c r="MD362"/>
      <c r="ME362"/>
      <c r="MF362"/>
      <c r="MG362"/>
      <c r="MH362"/>
      <c r="MI362"/>
      <c r="MJ362"/>
      <c r="MK362"/>
      <c r="ML362"/>
      <c r="MM362"/>
      <c r="MN362"/>
      <c r="MO362"/>
      <c r="MP362"/>
      <c r="MQ362"/>
      <c r="MR362"/>
      <c r="MS362"/>
      <c r="MT362"/>
      <c r="MU362"/>
      <c r="MV362"/>
      <c r="MW362"/>
      <c r="MX362"/>
      <c r="MY362"/>
      <c r="MZ362"/>
      <c r="NA362"/>
      <c r="NB362"/>
      <c r="NC362"/>
      <c r="ND362"/>
      <c r="NE362"/>
      <c r="NF362"/>
      <c r="NG362"/>
      <c r="NH362"/>
      <c r="NI362"/>
      <c r="NJ362"/>
      <c r="NK362"/>
      <c r="NL362"/>
      <c r="NM362"/>
      <c r="NN362"/>
      <c r="NO362"/>
      <c r="NP362"/>
      <c r="NQ362"/>
      <c r="NR362"/>
      <c r="NS362"/>
      <c r="NT362"/>
      <c r="NU362"/>
      <c r="NV362"/>
      <c r="NW362"/>
      <c r="NX362"/>
      <c r="NY362"/>
      <c r="NZ362"/>
      <c r="OA362"/>
      <c r="OB362"/>
      <c r="OC362"/>
      <c r="OD362"/>
      <c r="OE362"/>
      <c r="OF362"/>
      <c r="OG362"/>
      <c r="OH362"/>
      <c r="OI362"/>
      <c r="OJ362"/>
      <c r="OK362"/>
      <c r="OL362"/>
      <c r="OM362"/>
      <c r="ON362"/>
      <c r="OO362"/>
      <c r="OP362"/>
      <c r="OQ362"/>
      <c r="OR362"/>
      <c r="OS362"/>
      <c r="OT362"/>
      <c r="OU362"/>
      <c r="OV362"/>
      <c r="OW362"/>
      <c r="OX362"/>
      <c r="OY362"/>
      <c r="OZ362"/>
      <c r="PA362"/>
      <c r="PB362"/>
      <c r="PC362"/>
      <c r="PD362"/>
      <c r="PE362"/>
      <c r="PF362"/>
      <c r="PG362"/>
      <c r="PH362"/>
      <c r="PI362"/>
      <c r="PJ362"/>
      <c r="PK362"/>
      <c r="PL362"/>
      <c r="PM362"/>
      <c r="PN362"/>
      <c r="PO362"/>
      <c r="PP362"/>
      <c r="PQ362"/>
      <c r="PR362"/>
      <c r="PS362"/>
      <c r="PT362"/>
      <c r="PU362"/>
      <c r="PV362"/>
      <c r="PW362"/>
      <c r="PX362"/>
      <c r="PY362"/>
      <c r="PZ362"/>
      <c r="QA362"/>
      <c r="QB362"/>
      <c r="QC362"/>
      <c r="QD362"/>
      <c r="QE362"/>
      <c r="QF362"/>
      <c r="QG362"/>
      <c r="QH362"/>
      <c r="QI362"/>
      <c r="QJ362"/>
      <c r="QK362"/>
      <c r="QL362"/>
      <c r="QM362"/>
      <c r="QN362"/>
      <c r="QO362"/>
      <c r="QP362"/>
      <c r="QQ362"/>
      <c r="QR362"/>
      <c r="QS362"/>
      <c r="QT362"/>
      <c r="QU362"/>
      <c r="QV362"/>
      <c r="QW362"/>
      <c r="QX362"/>
      <c r="QY362"/>
      <c r="QZ362"/>
      <c r="RA362"/>
      <c r="RB362"/>
      <c r="RC362"/>
      <c r="RD362"/>
      <c r="RE362"/>
      <c r="RF362"/>
      <c r="RG362"/>
      <c r="RH362"/>
      <c r="RI362"/>
      <c r="RJ362"/>
      <c r="RK362"/>
      <c r="RL362"/>
      <c r="RM362"/>
      <c r="RN362"/>
      <c r="RO362"/>
      <c r="RP362"/>
      <c r="RQ362"/>
      <c r="RR362"/>
      <c r="RS362"/>
    </row>
    <row r="363" spans="19:487" x14ac:dyDescent="0.25"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  <c r="AH363"/>
      <c r="AI363"/>
      <c r="AJ363"/>
      <c r="AK363"/>
      <c r="AL363"/>
      <c r="AM363"/>
      <c r="AN363"/>
      <c r="AO363"/>
      <c r="AP363"/>
      <c r="AQ363"/>
      <c r="AR363"/>
      <c r="AS363"/>
      <c r="AT363"/>
      <c r="AU363"/>
      <c r="AV363"/>
      <c r="AW363"/>
      <c r="AX363"/>
      <c r="AY363"/>
      <c r="AZ363"/>
      <c r="BA363"/>
      <c r="BB363"/>
      <c r="BC363"/>
      <c r="BD363"/>
      <c r="BE363"/>
      <c r="BF363"/>
      <c r="BG363"/>
      <c r="BH363"/>
      <c r="BI363"/>
      <c r="BJ363"/>
      <c r="BK363"/>
      <c r="BL363"/>
      <c r="BM363"/>
      <c r="BN363"/>
      <c r="BO363"/>
      <c r="BP363"/>
      <c r="BQ363"/>
      <c r="BR363"/>
      <c r="BS363"/>
      <c r="BT363"/>
      <c r="BU363"/>
      <c r="BV363"/>
      <c r="BW363"/>
      <c r="BX363"/>
      <c r="BY363"/>
      <c r="BZ363"/>
      <c r="CA363"/>
      <c r="CB363"/>
      <c r="CC363"/>
      <c r="CD363"/>
      <c r="CE363"/>
      <c r="CF363"/>
      <c r="CG363"/>
      <c r="CH363"/>
      <c r="CI363"/>
      <c r="CJ363"/>
      <c r="CK363"/>
      <c r="CL363"/>
      <c r="CM363"/>
      <c r="CN363"/>
      <c r="CO363"/>
      <c r="CP363"/>
      <c r="CQ363"/>
      <c r="CR363"/>
      <c r="CS363"/>
      <c r="CT363"/>
      <c r="CU363"/>
      <c r="CV363"/>
      <c r="CW363"/>
      <c r="CX363"/>
      <c r="CY363"/>
      <c r="CZ363"/>
      <c r="DA363"/>
      <c r="DB363"/>
      <c r="DC363"/>
      <c r="DD363"/>
      <c r="DE363"/>
      <c r="DF363"/>
      <c r="DG363"/>
      <c r="DH363"/>
      <c r="DI363"/>
      <c r="DJ363"/>
      <c r="DK363"/>
      <c r="DL363"/>
      <c r="DM363"/>
      <c r="DN363"/>
      <c r="DO363"/>
      <c r="DP363"/>
      <c r="DQ363"/>
      <c r="DR363"/>
      <c r="DS363"/>
      <c r="DT363"/>
      <c r="DU363"/>
      <c r="DV363"/>
      <c r="DW363"/>
      <c r="DX363"/>
      <c r="DY363"/>
      <c r="DZ363"/>
      <c r="EA363"/>
      <c r="EB363"/>
      <c r="EC363"/>
      <c r="ED363"/>
      <c r="EE363"/>
      <c r="EF363"/>
      <c r="EG363"/>
      <c r="EH363"/>
      <c r="EI363"/>
      <c r="EJ363"/>
      <c r="EK363"/>
      <c r="EL363"/>
      <c r="EM363"/>
      <c r="EN363"/>
      <c r="EO363"/>
      <c r="EP363"/>
      <c r="EQ363"/>
      <c r="ER363"/>
      <c r="ES363"/>
      <c r="ET363"/>
      <c r="EU363"/>
      <c r="EV363"/>
      <c r="EW363"/>
      <c r="EX363"/>
      <c r="EY363"/>
      <c r="EZ363"/>
      <c r="FA363"/>
      <c r="FB363"/>
      <c r="FC363"/>
      <c r="FD363"/>
      <c r="FE363"/>
      <c r="FF363"/>
      <c r="FG363"/>
      <c r="FH363"/>
      <c r="FI363"/>
      <c r="FJ363"/>
      <c r="FK363"/>
      <c r="FL363"/>
      <c r="FM363"/>
      <c r="FN363"/>
      <c r="FO363"/>
      <c r="FP363"/>
      <c r="FQ363"/>
      <c r="FR363"/>
      <c r="FS363"/>
      <c r="FT363"/>
      <c r="FU363"/>
      <c r="FV363"/>
      <c r="FW363"/>
      <c r="FX363"/>
      <c r="FY363"/>
      <c r="FZ363"/>
      <c r="GA363"/>
      <c r="GB363"/>
      <c r="GC363"/>
      <c r="GD363"/>
      <c r="GE363"/>
      <c r="GF363"/>
      <c r="GG363"/>
      <c r="GH363"/>
      <c r="GI363"/>
      <c r="GJ363"/>
      <c r="GK363"/>
      <c r="GL363"/>
      <c r="GM363"/>
      <c r="GN363"/>
      <c r="GO363"/>
      <c r="GP363"/>
      <c r="GQ363"/>
      <c r="GR363"/>
      <c r="GS363"/>
      <c r="GT363"/>
      <c r="GU363"/>
      <c r="GV363"/>
      <c r="GW363"/>
      <c r="GX363"/>
      <c r="GY363"/>
      <c r="GZ363"/>
      <c r="HA363"/>
      <c r="HB363"/>
      <c r="HC363"/>
      <c r="HD363"/>
      <c r="HE363"/>
      <c r="HF363"/>
      <c r="HG363"/>
      <c r="HH363"/>
      <c r="HI363"/>
      <c r="HJ363"/>
      <c r="HK363"/>
      <c r="HL363"/>
      <c r="HM363"/>
      <c r="HN363"/>
      <c r="HO363"/>
      <c r="HP363"/>
      <c r="HQ363"/>
      <c r="HR363"/>
      <c r="HS363"/>
      <c r="HT363"/>
      <c r="HU363"/>
      <c r="HV363"/>
      <c r="HW363"/>
      <c r="HX363"/>
      <c r="HY363"/>
      <c r="HZ363"/>
      <c r="IA363"/>
      <c r="IB363"/>
      <c r="IC363"/>
      <c r="ID363"/>
      <c r="IE363"/>
      <c r="IF363"/>
      <c r="IG363"/>
      <c r="IH363"/>
      <c r="II363"/>
      <c r="IJ363"/>
      <c r="IK363"/>
      <c r="IL363"/>
      <c r="IM363"/>
      <c r="IN363"/>
      <c r="IO363"/>
      <c r="IP363"/>
      <c r="IQ363"/>
      <c r="IR363"/>
      <c r="IS363"/>
      <c r="IT363"/>
      <c r="IU363"/>
      <c r="IV363"/>
      <c r="IW363"/>
      <c r="IX363"/>
      <c r="IY363"/>
      <c r="IZ363"/>
      <c r="JA363"/>
      <c r="JB363"/>
      <c r="JC363"/>
      <c r="JD363"/>
      <c r="JE363"/>
      <c r="JF363"/>
      <c r="JG363"/>
      <c r="JH363"/>
      <c r="JI363"/>
      <c r="JJ363"/>
      <c r="JK363"/>
      <c r="JL363"/>
      <c r="JM363"/>
      <c r="JN363"/>
      <c r="JO363"/>
      <c r="JP363"/>
      <c r="JQ363"/>
      <c r="JR363"/>
      <c r="JS363"/>
      <c r="JT363"/>
      <c r="JU363"/>
      <c r="JV363"/>
      <c r="JW363"/>
      <c r="JX363"/>
      <c r="JY363"/>
      <c r="JZ363"/>
      <c r="KA363"/>
      <c r="KB363"/>
      <c r="KC363"/>
      <c r="KD363"/>
      <c r="KE363"/>
      <c r="KF363"/>
      <c r="KG363"/>
      <c r="KH363"/>
      <c r="KI363"/>
      <c r="KJ363"/>
      <c r="KK363"/>
      <c r="KL363"/>
      <c r="KM363"/>
      <c r="KN363"/>
      <c r="KO363"/>
      <c r="KP363"/>
      <c r="KQ363"/>
      <c r="KR363"/>
      <c r="KS363"/>
      <c r="KT363"/>
      <c r="KU363"/>
      <c r="KV363"/>
      <c r="KW363"/>
      <c r="KX363"/>
      <c r="KY363"/>
      <c r="KZ363"/>
      <c r="LA363"/>
      <c r="LB363"/>
      <c r="LC363"/>
      <c r="LD363"/>
      <c r="LE363"/>
      <c r="LF363"/>
      <c r="LG363"/>
      <c r="LH363"/>
      <c r="LI363"/>
      <c r="LJ363"/>
      <c r="LK363"/>
      <c r="LL363"/>
      <c r="LM363"/>
      <c r="LN363"/>
      <c r="LO363"/>
      <c r="LP363"/>
      <c r="LQ363"/>
      <c r="LR363"/>
      <c r="LS363"/>
      <c r="LT363"/>
      <c r="LU363"/>
      <c r="LV363"/>
      <c r="LW363"/>
      <c r="LX363"/>
      <c r="LY363"/>
      <c r="LZ363"/>
      <c r="MA363"/>
      <c r="MB363"/>
      <c r="MC363"/>
      <c r="MD363"/>
      <c r="ME363"/>
      <c r="MF363"/>
      <c r="MG363"/>
      <c r="MH363"/>
      <c r="MI363"/>
      <c r="MJ363"/>
      <c r="MK363"/>
      <c r="ML363"/>
      <c r="MM363"/>
      <c r="MN363"/>
      <c r="MO363"/>
      <c r="MP363"/>
      <c r="MQ363"/>
      <c r="MR363"/>
      <c r="MS363"/>
      <c r="MT363"/>
      <c r="MU363"/>
      <c r="MV363"/>
      <c r="MW363"/>
      <c r="MX363"/>
      <c r="MY363"/>
      <c r="MZ363"/>
      <c r="NA363"/>
      <c r="NB363"/>
      <c r="NC363"/>
      <c r="ND363"/>
      <c r="NE363"/>
      <c r="NF363"/>
      <c r="NG363"/>
      <c r="NH363"/>
      <c r="NI363"/>
      <c r="NJ363"/>
      <c r="NK363"/>
      <c r="NL363"/>
      <c r="NM363"/>
      <c r="NN363"/>
      <c r="NO363"/>
      <c r="NP363"/>
      <c r="NQ363"/>
      <c r="NR363"/>
      <c r="NS363"/>
      <c r="NT363"/>
      <c r="NU363"/>
      <c r="NV363"/>
      <c r="NW363"/>
      <c r="NX363"/>
      <c r="NY363"/>
      <c r="NZ363"/>
      <c r="OA363"/>
      <c r="OB363"/>
      <c r="OC363"/>
      <c r="OD363"/>
      <c r="OE363"/>
      <c r="OF363"/>
      <c r="OG363"/>
      <c r="OH363"/>
      <c r="OI363"/>
      <c r="OJ363"/>
      <c r="OK363"/>
      <c r="OL363"/>
      <c r="OM363"/>
      <c r="ON363"/>
      <c r="OO363"/>
      <c r="OP363"/>
      <c r="OQ363"/>
      <c r="OR363"/>
      <c r="OS363"/>
      <c r="OT363"/>
      <c r="OU363"/>
      <c r="OV363"/>
      <c r="OW363"/>
      <c r="OX363"/>
      <c r="OY363"/>
      <c r="OZ363"/>
      <c r="PA363"/>
      <c r="PB363"/>
      <c r="PC363"/>
      <c r="PD363"/>
      <c r="PE363"/>
      <c r="PF363"/>
      <c r="PG363"/>
      <c r="PH363"/>
      <c r="PI363"/>
      <c r="PJ363"/>
      <c r="PK363"/>
      <c r="PL363"/>
      <c r="PM363"/>
      <c r="PN363"/>
      <c r="PO363"/>
      <c r="PP363"/>
      <c r="PQ363"/>
      <c r="PR363"/>
      <c r="PS363"/>
      <c r="PT363"/>
      <c r="PU363"/>
      <c r="PV363"/>
      <c r="PW363"/>
      <c r="PX363"/>
      <c r="PY363"/>
      <c r="PZ363"/>
      <c r="QA363"/>
      <c r="QB363"/>
      <c r="QC363"/>
      <c r="QD363"/>
      <c r="QE363"/>
      <c r="QF363"/>
      <c r="QG363"/>
      <c r="QH363"/>
      <c r="QI363"/>
      <c r="QJ363"/>
      <c r="QK363"/>
      <c r="QL363"/>
      <c r="QM363"/>
      <c r="QN363"/>
      <c r="QO363"/>
      <c r="QP363"/>
      <c r="QQ363"/>
      <c r="QR363"/>
      <c r="QS363"/>
      <c r="QT363"/>
      <c r="QU363"/>
      <c r="QV363"/>
      <c r="QW363"/>
      <c r="QX363"/>
      <c r="QY363"/>
      <c r="QZ363"/>
      <c r="RA363"/>
      <c r="RB363"/>
      <c r="RC363"/>
      <c r="RD363"/>
      <c r="RE363"/>
      <c r="RF363"/>
      <c r="RG363"/>
      <c r="RH363"/>
      <c r="RI363"/>
      <c r="RJ363"/>
      <c r="RK363"/>
      <c r="RL363"/>
      <c r="RM363"/>
      <c r="RN363"/>
      <c r="RO363"/>
      <c r="RP363"/>
      <c r="RQ363"/>
      <c r="RR363"/>
      <c r="RS363"/>
    </row>
    <row r="364" spans="19:487" x14ac:dyDescent="0.25"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  <c r="AH364"/>
      <c r="AI364"/>
      <c r="AJ364"/>
      <c r="AK364"/>
      <c r="AL364"/>
      <c r="AM364"/>
      <c r="AN364"/>
      <c r="AO364"/>
      <c r="AP364"/>
      <c r="AQ364"/>
      <c r="AR364"/>
      <c r="AS364"/>
      <c r="AT364"/>
      <c r="AU364"/>
      <c r="AV364"/>
      <c r="AW364"/>
      <c r="AX364"/>
      <c r="AY364"/>
      <c r="AZ364"/>
      <c r="BA364"/>
      <c r="BB364"/>
      <c r="BC364"/>
      <c r="BD364"/>
      <c r="BE364"/>
      <c r="BF364"/>
      <c r="BG364"/>
      <c r="BH364"/>
      <c r="BI364"/>
      <c r="BJ364"/>
      <c r="BK364"/>
      <c r="BL364"/>
      <c r="BM364"/>
      <c r="BN364"/>
      <c r="BO364"/>
      <c r="BP364"/>
      <c r="BQ364"/>
      <c r="BR364"/>
      <c r="BS364"/>
      <c r="BT364"/>
      <c r="BU364"/>
      <c r="BV364"/>
      <c r="BW364"/>
      <c r="BX364"/>
      <c r="BY364"/>
      <c r="BZ364"/>
      <c r="CA364"/>
      <c r="CB364"/>
      <c r="CC364"/>
      <c r="CD364"/>
      <c r="CE364"/>
      <c r="CF364"/>
      <c r="CG364"/>
      <c r="CH364"/>
      <c r="CI364"/>
      <c r="CJ364"/>
      <c r="CK364"/>
      <c r="CL364"/>
      <c r="CM364"/>
      <c r="CN364"/>
      <c r="CO364"/>
      <c r="CP364"/>
      <c r="CQ364"/>
      <c r="CR364"/>
      <c r="CS364"/>
      <c r="CT364"/>
      <c r="CU364"/>
      <c r="CV364"/>
      <c r="CW364"/>
      <c r="CX364"/>
      <c r="CY364"/>
      <c r="CZ364"/>
      <c r="DA364"/>
      <c r="DB364"/>
      <c r="DC364"/>
      <c r="DD364"/>
      <c r="DE364"/>
      <c r="DF364"/>
      <c r="DG364"/>
      <c r="DH364"/>
      <c r="DI364"/>
      <c r="DJ364"/>
      <c r="DK364"/>
      <c r="DL364"/>
      <c r="DM364"/>
      <c r="DN364"/>
      <c r="DO364"/>
      <c r="DP364"/>
      <c r="DQ364"/>
      <c r="DR364"/>
      <c r="DS364"/>
      <c r="DT364"/>
      <c r="DU364"/>
      <c r="DV364"/>
      <c r="DW364"/>
      <c r="DX364"/>
      <c r="DY364"/>
      <c r="DZ364"/>
      <c r="EA364"/>
      <c r="EB364"/>
      <c r="EC364"/>
      <c r="ED364"/>
      <c r="EE364"/>
      <c r="EF364"/>
      <c r="EG364"/>
      <c r="EH364"/>
      <c r="EI364"/>
      <c r="EJ364"/>
      <c r="EK364"/>
      <c r="EL364"/>
      <c r="EM364"/>
      <c r="EN364"/>
      <c r="EO364"/>
      <c r="EP364"/>
      <c r="EQ364"/>
      <c r="ER364"/>
      <c r="ES364"/>
      <c r="ET364"/>
      <c r="EU364"/>
      <c r="EV364"/>
      <c r="EW364"/>
      <c r="EX364"/>
      <c r="EY364"/>
      <c r="EZ364"/>
      <c r="FA364"/>
      <c r="FB364"/>
      <c r="FC364"/>
      <c r="FD364"/>
      <c r="FE364"/>
      <c r="FF364"/>
      <c r="FG364"/>
      <c r="FH364"/>
      <c r="FI364"/>
      <c r="FJ364"/>
      <c r="FK364"/>
      <c r="FL364"/>
      <c r="FM364"/>
      <c r="FN364"/>
      <c r="FO364"/>
      <c r="FP364"/>
      <c r="FQ364"/>
      <c r="FR364"/>
      <c r="FS364"/>
      <c r="FT364"/>
      <c r="FU364"/>
      <c r="FV364"/>
      <c r="FW364"/>
      <c r="FX364"/>
      <c r="FY364"/>
      <c r="FZ364"/>
      <c r="GA364"/>
      <c r="GB364"/>
      <c r="GC364"/>
      <c r="GD364"/>
      <c r="GE364"/>
      <c r="GF364"/>
      <c r="GG364"/>
      <c r="GH364"/>
      <c r="GI364"/>
      <c r="GJ364"/>
      <c r="GK364"/>
      <c r="GL364"/>
      <c r="GM364"/>
      <c r="GN364"/>
      <c r="GO364"/>
      <c r="GP364"/>
      <c r="GQ364"/>
      <c r="GR364"/>
      <c r="GS364"/>
      <c r="GT364"/>
      <c r="GU364"/>
      <c r="GV364"/>
      <c r="GW364"/>
      <c r="GX364"/>
      <c r="GY364"/>
      <c r="GZ364"/>
      <c r="HA364"/>
      <c r="HB364"/>
      <c r="HC364"/>
      <c r="HD364"/>
      <c r="HE364"/>
      <c r="HF364"/>
      <c r="HG364"/>
      <c r="HH364"/>
      <c r="HI364"/>
      <c r="HJ364"/>
      <c r="HK364"/>
      <c r="HL364"/>
      <c r="HM364"/>
      <c r="HN364"/>
      <c r="HO364"/>
      <c r="HP364"/>
      <c r="HQ364"/>
      <c r="HR364"/>
      <c r="HS364"/>
      <c r="HT364"/>
      <c r="HU364"/>
      <c r="HV364"/>
      <c r="HW364"/>
      <c r="HX364"/>
      <c r="HY364"/>
      <c r="HZ364"/>
      <c r="IA364"/>
      <c r="IB364"/>
      <c r="IC364"/>
      <c r="ID364"/>
      <c r="IE364"/>
      <c r="IF364"/>
      <c r="IG364"/>
      <c r="IH364"/>
      <c r="II364"/>
      <c r="IJ364"/>
      <c r="IK364"/>
      <c r="IL364"/>
      <c r="IM364"/>
      <c r="IN364"/>
      <c r="IO364"/>
      <c r="IP364"/>
      <c r="IQ364"/>
      <c r="IR364"/>
      <c r="IS364"/>
      <c r="IT364"/>
      <c r="IU364"/>
      <c r="IV364"/>
      <c r="IW364"/>
      <c r="IX364"/>
      <c r="IY364"/>
      <c r="IZ364"/>
      <c r="JA364"/>
      <c r="JB364"/>
      <c r="JC364"/>
      <c r="JD364"/>
      <c r="JE364"/>
      <c r="JF364"/>
      <c r="JG364"/>
      <c r="JH364"/>
      <c r="JI364"/>
      <c r="JJ364"/>
      <c r="JK364"/>
      <c r="JL364"/>
      <c r="JM364"/>
      <c r="JN364"/>
      <c r="JO364"/>
      <c r="JP364"/>
      <c r="JQ364"/>
      <c r="JR364"/>
      <c r="JS364"/>
      <c r="JT364"/>
      <c r="JU364"/>
      <c r="JV364"/>
      <c r="JW364"/>
      <c r="JX364"/>
      <c r="JY364"/>
      <c r="JZ364"/>
      <c r="KA364"/>
      <c r="KB364"/>
      <c r="KC364"/>
      <c r="KD364"/>
      <c r="KE364"/>
      <c r="KF364"/>
      <c r="KG364"/>
      <c r="KH364"/>
      <c r="KI364"/>
      <c r="KJ364"/>
      <c r="KK364"/>
      <c r="KL364"/>
      <c r="KM364"/>
      <c r="KN364"/>
      <c r="KO364"/>
      <c r="KP364"/>
      <c r="KQ364"/>
      <c r="KR364"/>
      <c r="KS364"/>
      <c r="KT364"/>
      <c r="KU364"/>
      <c r="KV364"/>
      <c r="KW364"/>
      <c r="KX364"/>
      <c r="KY364"/>
      <c r="KZ364"/>
      <c r="LA364"/>
      <c r="LB364"/>
      <c r="LC364"/>
      <c r="LD364"/>
      <c r="LE364"/>
      <c r="LF364"/>
      <c r="LG364"/>
      <c r="LH364"/>
      <c r="LI364"/>
      <c r="LJ364"/>
      <c r="LK364"/>
      <c r="LL364"/>
      <c r="LM364"/>
      <c r="LN364"/>
      <c r="LO364"/>
      <c r="LP364"/>
      <c r="LQ364"/>
      <c r="LR364"/>
      <c r="LS364"/>
      <c r="LT364"/>
      <c r="LU364"/>
      <c r="LV364"/>
      <c r="LW364"/>
      <c r="LX364"/>
      <c r="LY364"/>
      <c r="LZ364"/>
      <c r="MA364"/>
      <c r="MB364"/>
      <c r="MC364"/>
      <c r="MD364"/>
      <c r="ME364"/>
      <c r="MF364"/>
      <c r="MG364"/>
      <c r="MH364"/>
      <c r="MI364"/>
      <c r="MJ364"/>
      <c r="MK364"/>
      <c r="ML364"/>
      <c r="MM364"/>
      <c r="MN364"/>
      <c r="MO364"/>
      <c r="MP364"/>
      <c r="MQ364"/>
      <c r="MR364"/>
      <c r="MS364"/>
      <c r="MT364"/>
      <c r="MU364"/>
      <c r="MV364"/>
      <c r="MW364"/>
      <c r="MX364"/>
      <c r="MY364"/>
      <c r="MZ364"/>
      <c r="NA364"/>
      <c r="NB364"/>
      <c r="NC364"/>
      <c r="ND364"/>
      <c r="NE364"/>
      <c r="NF364"/>
      <c r="NG364"/>
      <c r="NH364"/>
      <c r="NI364"/>
      <c r="NJ364"/>
      <c r="NK364"/>
      <c r="NL364"/>
      <c r="NM364"/>
      <c r="NN364"/>
      <c r="NO364"/>
      <c r="NP364"/>
      <c r="NQ364"/>
      <c r="NR364"/>
      <c r="NS364"/>
      <c r="NT364"/>
      <c r="NU364"/>
      <c r="NV364"/>
      <c r="NW364"/>
      <c r="NX364"/>
      <c r="NY364"/>
      <c r="NZ364"/>
      <c r="OA364"/>
      <c r="OB364"/>
      <c r="OC364"/>
      <c r="OD364"/>
      <c r="OE364"/>
      <c r="OF364"/>
      <c r="OG364"/>
      <c r="OH364"/>
      <c r="OI364"/>
      <c r="OJ364"/>
      <c r="OK364"/>
      <c r="OL364"/>
      <c r="OM364"/>
      <c r="ON364"/>
      <c r="OO364"/>
      <c r="OP364"/>
      <c r="OQ364"/>
      <c r="OR364"/>
      <c r="OS364"/>
      <c r="OT364"/>
      <c r="OU364"/>
      <c r="OV364"/>
      <c r="OW364"/>
      <c r="OX364"/>
      <c r="OY364"/>
      <c r="OZ364"/>
      <c r="PA364"/>
      <c r="PB364"/>
      <c r="PC364"/>
      <c r="PD364"/>
      <c r="PE364"/>
      <c r="PF364"/>
      <c r="PG364"/>
      <c r="PH364"/>
      <c r="PI364"/>
      <c r="PJ364"/>
      <c r="PK364"/>
      <c r="PL364"/>
      <c r="PM364"/>
      <c r="PN364"/>
      <c r="PO364"/>
      <c r="PP364"/>
      <c r="PQ364"/>
      <c r="PR364"/>
      <c r="PS364"/>
      <c r="PT364"/>
      <c r="PU364"/>
      <c r="PV364"/>
      <c r="PW364"/>
      <c r="PX364"/>
      <c r="PY364"/>
      <c r="PZ364"/>
      <c r="QA364"/>
      <c r="QB364"/>
      <c r="QC364"/>
      <c r="QD364"/>
      <c r="QE364"/>
      <c r="QF364"/>
      <c r="QG364"/>
      <c r="QH364"/>
      <c r="QI364"/>
      <c r="QJ364"/>
      <c r="QK364"/>
      <c r="QL364"/>
      <c r="QM364"/>
      <c r="QN364"/>
      <c r="QO364"/>
      <c r="QP364"/>
      <c r="QQ364"/>
      <c r="QR364"/>
      <c r="QS364"/>
      <c r="QT364"/>
      <c r="QU364"/>
      <c r="QV364"/>
      <c r="QW364"/>
      <c r="QX364"/>
      <c r="QY364"/>
      <c r="QZ364"/>
      <c r="RA364"/>
      <c r="RB364"/>
      <c r="RC364"/>
      <c r="RD364"/>
      <c r="RE364"/>
      <c r="RF364"/>
      <c r="RG364"/>
      <c r="RH364"/>
      <c r="RI364"/>
      <c r="RJ364"/>
      <c r="RK364"/>
      <c r="RL364"/>
      <c r="RM364"/>
      <c r="RN364"/>
      <c r="RO364"/>
      <c r="RP364"/>
      <c r="RQ364"/>
      <c r="RR364"/>
      <c r="RS364"/>
    </row>
    <row r="365" spans="19:487" x14ac:dyDescent="0.25"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  <c r="AH365"/>
      <c r="AI365"/>
      <c r="AJ365"/>
      <c r="AK365"/>
      <c r="AL365"/>
      <c r="AM365"/>
      <c r="AN365"/>
      <c r="AO365"/>
      <c r="AP365"/>
      <c r="AQ365"/>
      <c r="AR365"/>
      <c r="AS365"/>
      <c r="AT365"/>
      <c r="AU365"/>
      <c r="AV365"/>
      <c r="AW365"/>
      <c r="AX365"/>
      <c r="AY365"/>
      <c r="AZ365"/>
      <c r="BA365"/>
      <c r="BB365"/>
      <c r="BC365"/>
      <c r="BD365"/>
      <c r="BE365"/>
      <c r="BF365"/>
      <c r="BG365"/>
      <c r="BH365"/>
      <c r="BI365"/>
      <c r="BJ365"/>
      <c r="BK365"/>
      <c r="BL365"/>
      <c r="BM365"/>
      <c r="BN365"/>
      <c r="BO365"/>
      <c r="BP365"/>
      <c r="BQ365"/>
      <c r="BR365"/>
      <c r="BS365"/>
      <c r="BT365"/>
      <c r="BU365"/>
      <c r="BV365"/>
      <c r="BW365"/>
      <c r="BX365"/>
      <c r="BY365"/>
      <c r="BZ365"/>
      <c r="CA365"/>
      <c r="CB365"/>
      <c r="CC365"/>
      <c r="CD365"/>
      <c r="CE365"/>
      <c r="CF365"/>
      <c r="CG365"/>
      <c r="CH365"/>
      <c r="CI365"/>
      <c r="CJ365"/>
      <c r="CK365"/>
      <c r="CL365"/>
      <c r="CM365"/>
      <c r="CN365"/>
      <c r="CO365"/>
      <c r="CP365"/>
      <c r="CQ365"/>
      <c r="CR365"/>
      <c r="CS365"/>
      <c r="CT365"/>
      <c r="CU365"/>
      <c r="CV365"/>
      <c r="CW365"/>
      <c r="CX365"/>
      <c r="CY365"/>
      <c r="CZ365"/>
      <c r="DA365"/>
      <c r="DB365"/>
      <c r="DC365"/>
      <c r="DD365"/>
      <c r="DE365"/>
      <c r="DF365"/>
      <c r="DG365"/>
      <c r="DH365"/>
      <c r="DI365"/>
      <c r="DJ365"/>
      <c r="DK365"/>
      <c r="DL365"/>
      <c r="DM365"/>
      <c r="DN365"/>
      <c r="DO365"/>
      <c r="DP365"/>
      <c r="DQ365"/>
      <c r="DR365"/>
      <c r="DS365"/>
      <c r="DT365"/>
      <c r="DU365"/>
      <c r="DV365"/>
      <c r="DW365"/>
      <c r="DX365"/>
      <c r="DY365"/>
      <c r="DZ365"/>
      <c r="EA365"/>
      <c r="EB365"/>
      <c r="EC365"/>
      <c r="ED365"/>
      <c r="EE365"/>
      <c r="EF365"/>
      <c r="EG365"/>
      <c r="EH365"/>
      <c r="EI365"/>
      <c r="EJ365"/>
      <c r="EK365"/>
      <c r="EL365"/>
      <c r="EM365"/>
      <c r="EN365"/>
      <c r="EO365"/>
      <c r="EP365"/>
      <c r="EQ365"/>
      <c r="ER365"/>
      <c r="ES365"/>
      <c r="ET365"/>
      <c r="EU365"/>
      <c r="EV365"/>
      <c r="EW365"/>
      <c r="EX365"/>
      <c r="EY365"/>
      <c r="EZ365"/>
      <c r="FA365"/>
      <c r="FB365"/>
      <c r="FC365"/>
      <c r="FD365"/>
      <c r="FE365"/>
      <c r="FF365"/>
      <c r="FG365"/>
      <c r="FH365"/>
      <c r="FI365"/>
      <c r="FJ365"/>
      <c r="FK365"/>
      <c r="FL365"/>
      <c r="FM365"/>
      <c r="FN365"/>
      <c r="FO365"/>
      <c r="FP365"/>
      <c r="FQ365"/>
      <c r="FR365"/>
      <c r="FS365"/>
      <c r="FT365"/>
      <c r="FU365"/>
      <c r="FV365"/>
      <c r="FW365"/>
      <c r="FX365"/>
      <c r="FY365"/>
      <c r="FZ365"/>
      <c r="GA365"/>
      <c r="GB365"/>
      <c r="GC365"/>
      <c r="GD365"/>
      <c r="GE365"/>
      <c r="GF365"/>
      <c r="GG365"/>
      <c r="GH365"/>
      <c r="GI365"/>
      <c r="GJ365"/>
      <c r="GK365"/>
      <c r="GL365"/>
      <c r="GM365"/>
      <c r="GN365"/>
      <c r="GO365"/>
      <c r="GP365"/>
      <c r="GQ365"/>
      <c r="GR365"/>
      <c r="GS365"/>
      <c r="GT365"/>
      <c r="GU365"/>
      <c r="GV365"/>
      <c r="GW365"/>
      <c r="GX365"/>
      <c r="GY365"/>
      <c r="GZ365"/>
      <c r="HA365"/>
      <c r="HB365"/>
      <c r="HC365"/>
      <c r="HD365"/>
      <c r="HE365"/>
      <c r="HF365"/>
      <c r="HG365"/>
      <c r="HH365"/>
      <c r="HI365"/>
      <c r="HJ365"/>
      <c r="HK365"/>
      <c r="HL365"/>
      <c r="HM365"/>
      <c r="HN365"/>
      <c r="HO365"/>
      <c r="HP365"/>
      <c r="HQ365"/>
      <c r="HR365"/>
      <c r="HS365"/>
      <c r="HT365"/>
      <c r="HU365"/>
      <c r="HV365"/>
      <c r="HW365"/>
      <c r="HX365"/>
      <c r="HY365"/>
      <c r="HZ365"/>
      <c r="IA365"/>
      <c r="IB365"/>
      <c r="IC365"/>
      <c r="ID365"/>
      <c r="IE365"/>
      <c r="IF365"/>
      <c r="IG365"/>
      <c r="IH365"/>
      <c r="II365"/>
      <c r="IJ365"/>
      <c r="IK365"/>
      <c r="IL365"/>
      <c r="IM365"/>
      <c r="IN365"/>
      <c r="IO365"/>
      <c r="IP365"/>
      <c r="IQ365"/>
      <c r="IR365"/>
      <c r="IS365"/>
      <c r="IT365"/>
      <c r="IU365"/>
      <c r="IV365"/>
      <c r="IW365"/>
      <c r="IX365"/>
      <c r="IY365"/>
      <c r="IZ365"/>
      <c r="JA365"/>
      <c r="JB365"/>
      <c r="JC365"/>
      <c r="JD365"/>
      <c r="JE365"/>
      <c r="JF365"/>
      <c r="JG365"/>
      <c r="JH365"/>
      <c r="JI365"/>
      <c r="JJ365"/>
      <c r="JK365"/>
      <c r="JL365"/>
      <c r="JM365"/>
      <c r="JN365"/>
      <c r="JO365"/>
      <c r="JP365"/>
      <c r="JQ365"/>
      <c r="JR365"/>
      <c r="JS365"/>
      <c r="JT365"/>
      <c r="JU365"/>
      <c r="JV365"/>
      <c r="JW365"/>
      <c r="JX365"/>
      <c r="JY365"/>
      <c r="JZ365"/>
      <c r="KA365"/>
      <c r="KB365"/>
      <c r="KC365"/>
      <c r="KD365"/>
      <c r="KE365"/>
      <c r="KF365"/>
      <c r="KG365"/>
      <c r="KH365"/>
      <c r="KI365"/>
      <c r="KJ365"/>
      <c r="KK365"/>
      <c r="KL365"/>
      <c r="KM365"/>
      <c r="KN365"/>
      <c r="KO365"/>
      <c r="KP365"/>
      <c r="KQ365"/>
      <c r="KR365"/>
      <c r="KS365"/>
      <c r="KT365"/>
      <c r="KU365"/>
      <c r="KV365"/>
      <c r="KW365"/>
      <c r="KX365"/>
      <c r="KY365"/>
      <c r="KZ365"/>
      <c r="LA365"/>
      <c r="LB365"/>
      <c r="LC365"/>
      <c r="LD365"/>
      <c r="LE365"/>
      <c r="LF365"/>
      <c r="LG365"/>
      <c r="LH365"/>
      <c r="LI365"/>
      <c r="LJ365"/>
      <c r="LK365"/>
      <c r="LL365"/>
      <c r="LM365"/>
      <c r="LN365"/>
      <c r="LO365"/>
      <c r="LP365"/>
      <c r="LQ365"/>
      <c r="LR365"/>
      <c r="LS365"/>
      <c r="LT365"/>
      <c r="LU365"/>
      <c r="LV365"/>
      <c r="LW365"/>
      <c r="LX365"/>
      <c r="LY365"/>
      <c r="LZ365"/>
      <c r="MA365"/>
      <c r="MB365"/>
      <c r="MC365"/>
      <c r="MD365"/>
      <c r="ME365"/>
      <c r="MF365"/>
      <c r="MG365"/>
      <c r="MH365"/>
      <c r="MI365"/>
      <c r="MJ365"/>
      <c r="MK365"/>
      <c r="ML365"/>
      <c r="MM365"/>
      <c r="MN365"/>
      <c r="MO365"/>
      <c r="MP365"/>
      <c r="MQ365"/>
      <c r="MR365"/>
      <c r="MS365"/>
      <c r="MT365"/>
      <c r="MU365"/>
      <c r="MV365"/>
      <c r="MW365"/>
      <c r="MX365"/>
      <c r="MY365"/>
      <c r="MZ365"/>
      <c r="NA365"/>
      <c r="NB365"/>
      <c r="NC365"/>
      <c r="ND365"/>
      <c r="NE365"/>
      <c r="NF365"/>
      <c r="NG365"/>
      <c r="NH365"/>
      <c r="NI365"/>
      <c r="NJ365"/>
      <c r="NK365"/>
      <c r="NL365"/>
      <c r="NM365"/>
      <c r="NN365"/>
      <c r="NO365"/>
      <c r="NP365"/>
      <c r="NQ365"/>
      <c r="NR365"/>
      <c r="NS365"/>
      <c r="NT365"/>
      <c r="NU365"/>
      <c r="NV365"/>
      <c r="NW365"/>
      <c r="NX365"/>
      <c r="NY365"/>
      <c r="NZ365"/>
      <c r="OA365"/>
      <c r="OB365"/>
      <c r="OC365"/>
      <c r="OD365"/>
      <c r="OE365"/>
      <c r="OF365"/>
      <c r="OG365"/>
      <c r="OH365"/>
      <c r="OI365"/>
      <c r="OJ365"/>
      <c r="OK365"/>
      <c r="OL365"/>
      <c r="OM365"/>
      <c r="ON365"/>
      <c r="OO365"/>
      <c r="OP365"/>
      <c r="OQ365"/>
      <c r="OR365"/>
      <c r="OS365"/>
      <c r="OT365"/>
      <c r="OU365"/>
      <c r="OV365"/>
      <c r="OW365"/>
      <c r="OX365"/>
      <c r="OY365"/>
      <c r="OZ365"/>
      <c r="PA365"/>
      <c r="PB365"/>
      <c r="PC365"/>
      <c r="PD365"/>
      <c r="PE365"/>
      <c r="PF365"/>
      <c r="PG365"/>
      <c r="PH365"/>
      <c r="PI365"/>
      <c r="PJ365"/>
      <c r="PK365"/>
      <c r="PL365"/>
      <c r="PM365"/>
      <c r="PN365"/>
      <c r="PO365"/>
      <c r="PP365"/>
      <c r="PQ365"/>
      <c r="PR365"/>
      <c r="PS365"/>
      <c r="PT365"/>
      <c r="PU365"/>
      <c r="PV365"/>
      <c r="PW365"/>
      <c r="PX365"/>
      <c r="PY365"/>
      <c r="PZ365"/>
      <c r="QA365"/>
      <c r="QB365"/>
      <c r="QC365"/>
      <c r="QD365"/>
      <c r="QE365"/>
      <c r="QF365"/>
      <c r="QG365"/>
      <c r="QH365"/>
      <c r="QI365"/>
      <c r="QJ365"/>
      <c r="QK365"/>
      <c r="QL365"/>
      <c r="QM365"/>
      <c r="QN365"/>
      <c r="QO365"/>
      <c r="QP365"/>
      <c r="QQ365"/>
      <c r="QR365"/>
      <c r="QS365"/>
      <c r="QT365"/>
      <c r="QU365"/>
      <c r="QV365"/>
      <c r="QW365"/>
      <c r="QX365"/>
      <c r="QY365"/>
      <c r="QZ365"/>
      <c r="RA365"/>
      <c r="RB365"/>
      <c r="RC365"/>
      <c r="RD365"/>
      <c r="RE365"/>
      <c r="RF365"/>
      <c r="RG365"/>
      <c r="RH365"/>
      <c r="RI365"/>
      <c r="RJ365"/>
      <c r="RK365"/>
      <c r="RL365"/>
      <c r="RM365"/>
      <c r="RN365"/>
      <c r="RO365"/>
      <c r="RP365"/>
      <c r="RQ365"/>
      <c r="RR365"/>
      <c r="RS365"/>
    </row>
    <row r="366" spans="19:487" x14ac:dyDescent="0.25"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  <c r="AH366"/>
      <c r="AI366"/>
      <c r="AJ366"/>
      <c r="AK366"/>
      <c r="AL366"/>
      <c r="AM366"/>
      <c r="AN366"/>
      <c r="AO366"/>
      <c r="AP366"/>
      <c r="AQ366"/>
      <c r="AR366"/>
      <c r="AS366"/>
      <c r="AT366"/>
      <c r="AU366"/>
      <c r="AV366"/>
      <c r="AW366"/>
      <c r="AX366"/>
      <c r="AY366"/>
      <c r="AZ366"/>
      <c r="BA366"/>
      <c r="BB366"/>
      <c r="BC366"/>
      <c r="BD366"/>
      <c r="BE366"/>
      <c r="BF366"/>
      <c r="BG366"/>
      <c r="BH366"/>
      <c r="BI366"/>
      <c r="BJ366"/>
      <c r="BK366"/>
      <c r="BL366"/>
      <c r="BM366"/>
      <c r="BN366"/>
      <c r="BO366"/>
      <c r="BP366"/>
      <c r="BQ366"/>
      <c r="BR366"/>
      <c r="BS366"/>
      <c r="BT366"/>
      <c r="BU366"/>
      <c r="BV366"/>
      <c r="BW366"/>
      <c r="BX366"/>
      <c r="BY366"/>
      <c r="BZ366"/>
      <c r="CA366"/>
      <c r="CB366"/>
      <c r="CC366"/>
      <c r="CD366"/>
      <c r="CE366"/>
      <c r="CF366"/>
      <c r="CG366"/>
      <c r="CH366"/>
      <c r="CI366"/>
      <c r="CJ366"/>
      <c r="CK366"/>
      <c r="CL366"/>
      <c r="CM366"/>
      <c r="CN366"/>
      <c r="CO366"/>
      <c r="CP366"/>
      <c r="CQ366"/>
      <c r="CR366"/>
      <c r="CS366"/>
      <c r="CT366"/>
      <c r="CU366"/>
      <c r="CV366"/>
      <c r="CW366"/>
      <c r="CX366"/>
      <c r="CY366"/>
      <c r="CZ366"/>
      <c r="DA366"/>
      <c r="DB366"/>
      <c r="DC366"/>
      <c r="DD366"/>
      <c r="DE366"/>
      <c r="DF366"/>
      <c r="DG366"/>
      <c r="DH366"/>
      <c r="DI366"/>
      <c r="DJ366"/>
      <c r="DK366"/>
      <c r="DL366"/>
      <c r="DM366"/>
      <c r="DN366"/>
      <c r="DO366"/>
      <c r="DP366"/>
      <c r="DQ366"/>
      <c r="DR366"/>
      <c r="DS366"/>
      <c r="DT366"/>
      <c r="DU366"/>
      <c r="DV366"/>
      <c r="DW366"/>
      <c r="DX366"/>
      <c r="DY366"/>
      <c r="DZ366"/>
      <c r="EA366"/>
      <c r="EB366"/>
      <c r="EC366"/>
      <c r="ED366"/>
      <c r="EE366"/>
      <c r="EF366"/>
      <c r="EG366"/>
      <c r="EH366"/>
      <c r="EI366"/>
      <c r="EJ366"/>
      <c r="EK366"/>
      <c r="EL366"/>
      <c r="EM366"/>
      <c r="EN366"/>
      <c r="EO366"/>
      <c r="EP366"/>
      <c r="EQ366"/>
      <c r="ER366"/>
      <c r="ES366"/>
      <c r="ET366"/>
      <c r="EU366"/>
      <c r="EV366"/>
      <c r="EW366"/>
      <c r="EX366"/>
      <c r="EY366"/>
      <c r="EZ366"/>
      <c r="FA366"/>
      <c r="FB366"/>
      <c r="FC366"/>
      <c r="FD366"/>
      <c r="FE366"/>
      <c r="FF366"/>
      <c r="FG366"/>
      <c r="FH366"/>
      <c r="FI366"/>
      <c r="FJ366"/>
      <c r="FK366"/>
      <c r="FL366"/>
      <c r="FM366"/>
      <c r="FN366"/>
      <c r="FO366"/>
      <c r="FP366"/>
      <c r="FQ366"/>
      <c r="FR366"/>
      <c r="FS366"/>
      <c r="FT366"/>
      <c r="FU366"/>
      <c r="FV366"/>
      <c r="FW366"/>
      <c r="FX366"/>
      <c r="FY366"/>
      <c r="FZ366"/>
      <c r="GA366"/>
      <c r="GB366"/>
      <c r="GC366"/>
      <c r="GD366"/>
      <c r="GE366"/>
      <c r="GF366"/>
      <c r="GG366"/>
      <c r="GH366"/>
      <c r="GI366"/>
      <c r="GJ366"/>
      <c r="GK366"/>
      <c r="GL366"/>
      <c r="GM366"/>
      <c r="GN366"/>
      <c r="GO366"/>
      <c r="GP366"/>
      <c r="GQ366"/>
      <c r="GR366"/>
      <c r="GS366"/>
      <c r="GT366"/>
      <c r="GU366"/>
      <c r="GV366"/>
      <c r="GW366"/>
      <c r="GX366"/>
      <c r="GY366"/>
      <c r="GZ366"/>
      <c r="HA366"/>
      <c r="HB366"/>
      <c r="HC366"/>
      <c r="HD366"/>
      <c r="HE366"/>
      <c r="HF366"/>
      <c r="HG366"/>
      <c r="HH366"/>
      <c r="HI366"/>
      <c r="HJ366"/>
      <c r="HK366"/>
      <c r="HL366"/>
      <c r="HM366"/>
      <c r="HN366"/>
      <c r="HO366"/>
      <c r="HP366"/>
      <c r="HQ366"/>
      <c r="HR366"/>
      <c r="HS366"/>
      <c r="HT366"/>
      <c r="HU366"/>
      <c r="HV366"/>
      <c r="HW366"/>
      <c r="HX366"/>
      <c r="HY366"/>
      <c r="HZ366"/>
      <c r="IA366"/>
      <c r="IB366"/>
      <c r="IC366"/>
      <c r="ID366"/>
      <c r="IE366"/>
      <c r="IF366"/>
      <c r="IG366"/>
      <c r="IH366"/>
      <c r="II366"/>
      <c r="IJ366"/>
      <c r="IK366"/>
      <c r="IL366"/>
      <c r="IM366"/>
      <c r="IN366"/>
      <c r="IO366"/>
      <c r="IP366"/>
      <c r="IQ366"/>
      <c r="IR366"/>
      <c r="IS366"/>
      <c r="IT366"/>
      <c r="IU366"/>
      <c r="IV366"/>
      <c r="IW366"/>
      <c r="IX366"/>
      <c r="IY366"/>
      <c r="IZ366"/>
      <c r="JA366"/>
      <c r="JB366"/>
      <c r="JC366"/>
      <c r="JD366"/>
      <c r="JE366"/>
      <c r="JF366"/>
      <c r="JG366"/>
      <c r="JH366"/>
      <c r="JI366"/>
      <c r="JJ366"/>
      <c r="JK366"/>
      <c r="JL366"/>
      <c r="JM366"/>
      <c r="JN366"/>
      <c r="JO366"/>
      <c r="JP366"/>
      <c r="JQ366"/>
      <c r="JR366"/>
      <c r="JS366"/>
      <c r="JT366"/>
      <c r="JU366"/>
      <c r="JV366"/>
      <c r="JW366"/>
      <c r="JX366"/>
      <c r="JY366"/>
      <c r="JZ366"/>
      <c r="KA366"/>
      <c r="KB366"/>
      <c r="KC366"/>
      <c r="KD366"/>
      <c r="KE366"/>
      <c r="KF366"/>
      <c r="KG366"/>
      <c r="KH366"/>
      <c r="KI366"/>
      <c r="KJ366"/>
      <c r="KK366"/>
      <c r="KL366"/>
      <c r="KM366"/>
      <c r="KN366"/>
      <c r="KO366"/>
      <c r="KP366"/>
      <c r="KQ366"/>
      <c r="KR366"/>
      <c r="KS366"/>
      <c r="KT366"/>
      <c r="KU366"/>
      <c r="KV366"/>
      <c r="KW366"/>
      <c r="KX366"/>
      <c r="KY366"/>
      <c r="KZ366"/>
      <c r="LA366"/>
      <c r="LB366"/>
      <c r="LC366"/>
      <c r="LD366"/>
      <c r="LE366"/>
      <c r="LF366"/>
      <c r="LG366"/>
      <c r="LH366"/>
      <c r="LI366"/>
      <c r="LJ366"/>
      <c r="LK366"/>
      <c r="LL366"/>
      <c r="LM366"/>
      <c r="LN366"/>
      <c r="LO366"/>
      <c r="LP366"/>
      <c r="LQ366"/>
      <c r="LR366"/>
      <c r="LS366"/>
      <c r="LT366"/>
      <c r="LU366"/>
      <c r="LV366"/>
      <c r="LW366"/>
      <c r="LX366"/>
      <c r="LY366"/>
      <c r="LZ366"/>
      <c r="MA366"/>
      <c r="MB366"/>
      <c r="MC366"/>
      <c r="MD366"/>
      <c r="ME366"/>
      <c r="MF366"/>
      <c r="MG366"/>
      <c r="MH366"/>
      <c r="MI366"/>
      <c r="MJ366"/>
      <c r="MK366"/>
      <c r="ML366"/>
      <c r="MM366"/>
      <c r="MN366"/>
      <c r="MO366"/>
      <c r="MP366"/>
      <c r="MQ366"/>
      <c r="MR366"/>
      <c r="MS366"/>
      <c r="MT366"/>
      <c r="MU366"/>
      <c r="MV366"/>
      <c r="MW366"/>
      <c r="MX366"/>
      <c r="MY366"/>
      <c r="MZ366"/>
      <c r="NA366"/>
      <c r="NB366"/>
      <c r="NC366"/>
      <c r="ND366"/>
      <c r="NE366"/>
      <c r="NF366"/>
      <c r="NG366"/>
      <c r="NH366"/>
      <c r="NI366"/>
      <c r="NJ366"/>
      <c r="NK366"/>
      <c r="NL366"/>
      <c r="NM366"/>
      <c r="NN366"/>
      <c r="NO366"/>
      <c r="NP366"/>
      <c r="NQ366"/>
      <c r="NR366"/>
      <c r="NS366"/>
      <c r="NT366"/>
      <c r="NU366"/>
      <c r="NV366"/>
      <c r="NW366"/>
      <c r="NX366"/>
      <c r="NY366"/>
      <c r="NZ366"/>
      <c r="OA366"/>
      <c r="OB366"/>
      <c r="OC366"/>
      <c r="OD366"/>
      <c r="OE366"/>
      <c r="OF366"/>
      <c r="OG366"/>
      <c r="OH366"/>
      <c r="OI366"/>
      <c r="OJ366"/>
      <c r="OK366"/>
      <c r="OL366"/>
      <c r="OM366"/>
      <c r="ON366"/>
      <c r="OO366"/>
      <c r="OP366"/>
      <c r="OQ366"/>
      <c r="OR366"/>
      <c r="OS366"/>
      <c r="OT366"/>
      <c r="OU366"/>
      <c r="OV366"/>
      <c r="OW366"/>
      <c r="OX366"/>
      <c r="OY366"/>
      <c r="OZ366"/>
      <c r="PA366"/>
      <c r="PB366"/>
      <c r="PC366"/>
      <c r="PD366"/>
      <c r="PE366"/>
      <c r="PF366"/>
      <c r="PG366"/>
      <c r="PH366"/>
      <c r="PI366"/>
      <c r="PJ366"/>
      <c r="PK366"/>
      <c r="PL366"/>
      <c r="PM366"/>
      <c r="PN366"/>
      <c r="PO366"/>
      <c r="PP366"/>
      <c r="PQ366"/>
      <c r="PR366"/>
      <c r="PS366"/>
      <c r="PT366"/>
      <c r="PU366"/>
      <c r="PV366"/>
      <c r="PW366"/>
      <c r="PX366"/>
      <c r="PY366"/>
      <c r="PZ366"/>
      <c r="QA366"/>
      <c r="QB366"/>
      <c r="QC366"/>
      <c r="QD366"/>
      <c r="QE366"/>
      <c r="QF366"/>
      <c r="QG366"/>
      <c r="QH366"/>
      <c r="QI366"/>
      <c r="QJ366"/>
      <c r="QK366"/>
      <c r="QL366"/>
      <c r="QM366"/>
      <c r="QN366"/>
      <c r="QO366"/>
      <c r="QP366"/>
      <c r="QQ366"/>
      <c r="QR366"/>
      <c r="QS366"/>
      <c r="QT366"/>
      <c r="QU366"/>
      <c r="QV366"/>
      <c r="QW366"/>
      <c r="QX366"/>
      <c r="QY366"/>
      <c r="QZ366"/>
      <c r="RA366"/>
      <c r="RB366"/>
      <c r="RC366"/>
      <c r="RD366"/>
      <c r="RE366"/>
      <c r="RF366"/>
      <c r="RG366"/>
      <c r="RH366"/>
      <c r="RI366"/>
      <c r="RJ366"/>
      <c r="RK366"/>
      <c r="RL366"/>
      <c r="RM366"/>
      <c r="RN366"/>
      <c r="RO366"/>
      <c r="RP366"/>
      <c r="RQ366"/>
      <c r="RR366"/>
      <c r="RS366"/>
    </row>
    <row r="367" spans="19:487" x14ac:dyDescent="0.25"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  <c r="AH367"/>
      <c r="AI367"/>
      <c r="AJ367"/>
      <c r="AK367"/>
      <c r="AL367"/>
      <c r="AM367"/>
      <c r="AN367"/>
      <c r="AO367"/>
      <c r="AP367"/>
      <c r="AQ367"/>
      <c r="AR367"/>
      <c r="AS367"/>
      <c r="AT367"/>
      <c r="AU367"/>
      <c r="AV367"/>
      <c r="AW367"/>
      <c r="AX367"/>
      <c r="AY367"/>
      <c r="AZ367"/>
      <c r="BA367"/>
      <c r="BB367"/>
      <c r="BC367"/>
      <c r="BD367"/>
      <c r="BE367"/>
      <c r="BF367"/>
      <c r="BG367"/>
      <c r="BH367"/>
      <c r="BI367"/>
      <c r="BJ367"/>
      <c r="BK367"/>
      <c r="BL367"/>
      <c r="BM367"/>
      <c r="BN367"/>
      <c r="BO367"/>
      <c r="BP367"/>
      <c r="BQ367"/>
      <c r="BR367"/>
      <c r="BS367"/>
      <c r="BT367"/>
      <c r="BU367"/>
      <c r="BV367"/>
      <c r="BW367"/>
      <c r="BX367"/>
      <c r="BY367"/>
      <c r="BZ367"/>
      <c r="CA367"/>
      <c r="CB367"/>
      <c r="CC367"/>
      <c r="CD367"/>
      <c r="CE367"/>
      <c r="CF367"/>
      <c r="CG367"/>
      <c r="CH367"/>
      <c r="CI367"/>
      <c r="CJ367"/>
      <c r="CK367"/>
      <c r="CL367"/>
      <c r="CM367"/>
      <c r="CN367"/>
      <c r="CO367"/>
      <c r="CP367"/>
      <c r="CQ367"/>
      <c r="CR367"/>
      <c r="CS367"/>
      <c r="CT367"/>
      <c r="CU367"/>
      <c r="CV367"/>
      <c r="CW367"/>
      <c r="CX367"/>
      <c r="CY367"/>
      <c r="CZ367"/>
      <c r="DA367"/>
      <c r="DB367"/>
      <c r="DC367"/>
      <c r="DD367"/>
      <c r="DE367"/>
      <c r="DF367"/>
      <c r="DG367"/>
      <c r="DH367"/>
      <c r="DI367"/>
      <c r="DJ367"/>
      <c r="DK367"/>
      <c r="DL367"/>
      <c r="DM367"/>
      <c r="DN367"/>
      <c r="DO367"/>
      <c r="DP367"/>
      <c r="DQ367"/>
      <c r="DR367"/>
      <c r="DS367"/>
      <c r="DT367"/>
      <c r="DU367"/>
      <c r="DV367"/>
      <c r="DW367"/>
      <c r="DX367"/>
      <c r="DY367"/>
      <c r="DZ367"/>
      <c r="EA367"/>
      <c r="EB367"/>
      <c r="EC367"/>
      <c r="ED367"/>
      <c r="EE367"/>
      <c r="EF367"/>
      <c r="EG367"/>
      <c r="EH367"/>
      <c r="EI367"/>
      <c r="EJ367"/>
      <c r="EK367"/>
      <c r="EL367"/>
      <c r="EM367"/>
      <c r="EN367"/>
      <c r="EO367"/>
      <c r="EP367"/>
      <c r="EQ367"/>
      <c r="ER367"/>
      <c r="ES367"/>
      <c r="ET367"/>
      <c r="EU367"/>
      <c r="EV367"/>
      <c r="EW367"/>
      <c r="EX367"/>
      <c r="EY367"/>
      <c r="EZ367"/>
      <c r="FA367"/>
      <c r="FB367"/>
      <c r="FC367"/>
      <c r="FD367"/>
      <c r="FE367"/>
      <c r="FF367"/>
      <c r="FG367"/>
      <c r="FH367"/>
      <c r="FI367"/>
      <c r="FJ367"/>
      <c r="FK367"/>
      <c r="FL367"/>
      <c r="FM367"/>
      <c r="FN367"/>
      <c r="FO367"/>
      <c r="FP367"/>
      <c r="FQ367"/>
      <c r="FR367"/>
      <c r="FS367"/>
      <c r="FT367"/>
      <c r="FU367"/>
      <c r="FV367"/>
      <c r="FW367"/>
      <c r="FX367"/>
      <c r="FY367"/>
      <c r="FZ367"/>
      <c r="GA367"/>
      <c r="GB367"/>
      <c r="GC367"/>
      <c r="GD367"/>
      <c r="GE367"/>
      <c r="GF367"/>
      <c r="GG367"/>
      <c r="GH367"/>
      <c r="GI367"/>
      <c r="GJ367"/>
      <c r="GK367"/>
      <c r="GL367"/>
      <c r="GM367"/>
      <c r="GN367"/>
      <c r="GO367"/>
      <c r="GP367"/>
      <c r="GQ367"/>
      <c r="GR367"/>
      <c r="GS367"/>
      <c r="GT367"/>
      <c r="GU367"/>
      <c r="GV367"/>
      <c r="GW367"/>
      <c r="GX367"/>
      <c r="GY367"/>
      <c r="GZ367"/>
      <c r="HA367"/>
      <c r="HB367"/>
      <c r="HC367"/>
      <c r="HD367"/>
      <c r="HE367"/>
      <c r="HF367"/>
      <c r="HG367"/>
      <c r="HH367"/>
      <c r="HI367"/>
      <c r="HJ367"/>
      <c r="HK367"/>
      <c r="HL367"/>
      <c r="HM367"/>
      <c r="HN367"/>
      <c r="HO367"/>
      <c r="HP367"/>
      <c r="HQ367"/>
      <c r="HR367"/>
      <c r="HS367"/>
      <c r="HT367"/>
      <c r="HU367"/>
      <c r="HV367"/>
      <c r="HW367"/>
      <c r="HX367"/>
      <c r="HY367"/>
      <c r="HZ367"/>
      <c r="IA367"/>
      <c r="IB367"/>
      <c r="IC367"/>
      <c r="ID367"/>
      <c r="IE367"/>
      <c r="IF367"/>
      <c r="IG367"/>
      <c r="IH367"/>
      <c r="II367"/>
      <c r="IJ367"/>
      <c r="IK367"/>
      <c r="IL367"/>
      <c r="IM367"/>
      <c r="IN367"/>
      <c r="IO367"/>
      <c r="IP367"/>
      <c r="IQ367"/>
      <c r="IR367"/>
      <c r="IS367"/>
      <c r="IT367"/>
      <c r="IU367"/>
      <c r="IV367"/>
      <c r="IW367"/>
      <c r="IX367"/>
      <c r="IY367"/>
      <c r="IZ367"/>
      <c r="JA367"/>
      <c r="JB367"/>
      <c r="JC367"/>
      <c r="JD367"/>
      <c r="JE367"/>
      <c r="JF367"/>
      <c r="JG367"/>
      <c r="JH367"/>
      <c r="JI367"/>
      <c r="JJ367"/>
      <c r="JK367"/>
      <c r="JL367"/>
      <c r="JM367"/>
      <c r="JN367"/>
      <c r="JO367"/>
      <c r="JP367"/>
      <c r="JQ367"/>
      <c r="JR367"/>
      <c r="JS367"/>
      <c r="JT367"/>
      <c r="JU367"/>
      <c r="JV367"/>
      <c r="JW367"/>
      <c r="JX367"/>
      <c r="JY367"/>
      <c r="JZ367"/>
      <c r="KA367"/>
      <c r="KB367"/>
      <c r="KC367"/>
      <c r="KD367"/>
      <c r="KE367"/>
      <c r="KF367"/>
      <c r="KG367"/>
      <c r="KH367"/>
      <c r="KI367"/>
      <c r="KJ367"/>
      <c r="KK367"/>
      <c r="KL367"/>
      <c r="KM367"/>
      <c r="KN367"/>
      <c r="KO367"/>
      <c r="KP367"/>
      <c r="KQ367"/>
      <c r="KR367"/>
      <c r="KS367"/>
      <c r="KT367"/>
      <c r="KU367"/>
      <c r="KV367"/>
      <c r="KW367"/>
      <c r="KX367"/>
      <c r="KY367"/>
      <c r="KZ367"/>
      <c r="LA367"/>
      <c r="LB367"/>
      <c r="LC367"/>
      <c r="LD367"/>
      <c r="LE367"/>
      <c r="LF367"/>
      <c r="LG367"/>
      <c r="LH367"/>
      <c r="LI367"/>
      <c r="LJ367"/>
      <c r="LK367"/>
      <c r="LL367"/>
      <c r="LM367"/>
      <c r="LN367"/>
      <c r="LO367"/>
      <c r="LP367"/>
      <c r="LQ367"/>
      <c r="LR367"/>
      <c r="LS367"/>
      <c r="LT367"/>
      <c r="LU367"/>
      <c r="LV367"/>
      <c r="LW367"/>
      <c r="LX367"/>
      <c r="LY367"/>
      <c r="LZ367"/>
      <c r="MA367"/>
      <c r="MB367"/>
      <c r="MC367"/>
      <c r="MD367"/>
      <c r="ME367"/>
      <c r="MF367"/>
      <c r="MG367"/>
      <c r="MH367"/>
      <c r="MI367"/>
      <c r="MJ367"/>
      <c r="MK367"/>
      <c r="ML367"/>
      <c r="MM367"/>
      <c r="MN367"/>
      <c r="MO367"/>
      <c r="MP367"/>
      <c r="MQ367"/>
      <c r="MR367"/>
      <c r="MS367"/>
      <c r="MT367"/>
      <c r="MU367"/>
      <c r="MV367"/>
      <c r="MW367"/>
      <c r="MX367"/>
      <c r="MY367"/>
      <c r="MZ367"/>
      <c r="NA367"/>
      <c r="NB367"/>
      <c r="NC367"/>
      <c r="ND367"/>
      <c r="NE367"/>
      <c r="NF367"/>
      <c r="NG367"/>
      <c r="NH367"/>
      <c r="NI367"/>
      <c r="NJ367"/>
      <c r="NK367"/>
      <c r="NL367"/>
      <c r="NM367"/>
      <c r="NN367"/>
      <c r="NO367"/>
      <c r="NP367"/>
      <c r="NQ367"/>
      <c r="NR367"/>
      <c r="NS367"/>
      <c r="NT367"/>
      <c r="NU367"/>
      <c r="NV367"/>
      <c r="NW367"/>
      <c r="NX367"/>
      <c r="NY367"/>
      <c r="NZ367"/>
      <c r="OA367"/>
      <c r="OB367"/>
      <c r="OC367"/>
      <c r="OD367"/>
      <c r="OE367"/>
      <c r="OF367"/>
      <c r="OG367"/>
      <c r="OH367"/>
      <c r="OI367"/>
      <c r="OJ367"/>
      <c r="OK367"/>
      <c r="OL367"/>
      <c r="OM367"/>
      <c r="ON367"/>
      <c r="OO367"/>
      <c r="OP367"/>
      <c r="OQ367"/>
      <c r="OR367"/>
      <c r="OS367"/>
      <c r="OT367"/>
      <c r="OU367"/>
      <c r="OV367"/>
      <c r="OW367"/>
      <c r="OX367"/>
      <c r="OY367"/>
      <c r="OZ367"/>
      <c r="PA367"/>
      <c r="PB367"/>
      <c r="PC367"/>
      <c r="PD367"/>
      <c r="PE367"/>
      <c r="PF367"/>
      <c r="PG367"/>
      <c r="PH367"/>
      <c r="PI367"/>
      <c r="PJ367"/>
      <c r="PK367"/>
      <c r="PL367"/>
      <c r="PM367"/>
      <c r="PN367"/>
      <c r="PO367"/>
      <c r="PP367"/>
      <c r="PQ367"/>
      <c r="PR367"/>
      <c r="PS367"/>
      <c r="PT367"/>
      <c r="PU367"/>
      <c r="PV367"/>
      <c r="PW367"/>
      <c r="PX367"/>
      <c r="PY367"/>
      <c r="PZ367"/>
      <c r="QA367"/>
      <c r="QB367"/>
      <c r="QC367"/>
      <c r="QD367"/>
      <c r="QE367"/>
      <c r="QF367"/>
      <c r="QG367"/>
      <c r="QH367"/>
      <c r="QI367"/>
      <c r="QJ367"/>
      <c r="QK367"/>
      <c r="QL367"/>
      <c r="QM367"/>
      <c r="QN367"/>
      <c r="QO367"/>
      <c r="QP367"/>
      <c r="QQ367"/>
      <c r="QR367"/>
      <c r="QS367"/>
      <c r="QT367"/>
      <c r="QU367"/>
      <c r="QV367"/>
      <c r="QW367"/>
      <c r="QX367"/>
      <c r="QY367"/>
      <c r="QZ367"/>
      <c r="RA367"/>
      <c r="RB367"/>
      <c r="RC367"/>
      <c r="RD367"/>
      <c r="RE367"/>
      <c r="RF367"/>
      <c r="RG367"/>
      <c r="RH367"/>
      <c r="RI367"/>
      <c r="RJ367"/>
      <c r="RK367"/>
      <c r="RL367"/>
      <c r="RM367"/>
      <c r="RN367"/>
      <c r="RO367"/>
      <c r="RP367"/>
      <c r="RQ367"/>
      <c r="RR367"/>
      <c r="RS367"/>
    </row>
    <row r="368" spans="19:487" x14ac:dyDescent="0.25"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  <c r="AH368"/>
      <c r="AI368"/>
      <c r="AJ368"/>
      <c r="AK368"/>
      <c r="AL368"/>
      <c r="AM368"/>
      <c r="AN368"/>
      <c r="AO368"/>
      <c r="AP368"/>
      <c r="AQ368"/>
      <c r="AR368"/>
      <c r="AS368"/>
      <c r="AT368"/>
      <c r="AU368"/>
      <c r="AV368"/>
      <c r="AW368"/>
      <c r="AX368"/>
      <c r="AY368"/>
      <c r="AZ368"/>
      <c r="BA368"/>
      <c r="BB368"/>
      <c r="BC368"/>
      <c r="BD368"/>
      <c r="BE368"/>
      <c r="BF368"/>
      <c r="BG368"/>
      <c r="BH368"/>
      <c r="BI368"/>
      <c r="BJ368"/>
      <c r="BK368"/>
      <c r="BL368"/>
      <c r="BM368"/>
      <c r="BN368"/>
      <c r="BO368"/>
      <c r="BP368"/>
      <c r="BQ368"/>
      <c r="BR368"/>
      <c r="BS368"/>
      <c r="BT368"/>
      <c r="BU368"/>
      <c r="BV368"/>
      <c r="BW368"/>
      <c r="BX368"/>
      <c r="BY368"/>
      <c r="BZ368"/>
      <c r="CA368"/>
      <c r="CB368"/>
      <c r="CC368"/>
      <c r="CD368"/>
      <c r="CE368"/>
      <c r="CF368"/>
      <c r="CG368"/>
      <c r="CH368"/>
      <c r="CI368"/>
      <c r="CJ368"/>
      <c r="CK368"/>
      <c r="CL368"/>
      <c r="CM368"/>
      <c r="CN368"/>
      <c r="CO368"/>
      <c r="CP368"/>
      <c r="CQ368"/>
      <c r="CR368"/>
      <c r="CS368"/>
      <c r="CT368"/>
      <c r="CU368"/>
      <c r="CV368"/>
      <c r="CW368"/>
      <c r="CX368"/>
      <c r="CY368"/>
      <c r="CZ368"/>
      <c r="DA368"/>
      <c r="DB368"/>
      <c r="DC368"/>
      <c r="DD368"/>
      <c r="DE368"/>
      <c r="DF368"/>
      <c r="DG368"/>
      <c r="DH368"/>
      <c r="DI368"/>
      <c r="DJ368"/>
      <c r="DK368"/>
      <c r="DL368"/>
      <c r="DM368"/>
      <c r="DN368"/>
      <c r="DO368"/>
      <c r="DP368"/>
      <c r="DQ368"/>
      <c r="DR368"/>
      <c r="DS368"/>
      <c r="DT368"/>
      <c r="DU368"/>
      <c r="DV368"/>
      <c r="DW368"/>
      <c r="DX368"/>
      <c r="DY368"/>
      <c r="DZ368"/>
      <c r="EA368"/>
      <c r="EB368"/>
      <c r="EC368"/>
      <c r="ED368"/>
      <c r="EE368"/>
      <c r="EF368"/>
      <c r="EG368"/>
      <c r="EH368"/>
      <c r="EI368"/>
      <c r="EJ368"/>
      <c r="EK368"/>
      <c r="EL368"/>
      <c r="EM368"/>
      <c r="EN368"/>
      <c r="EO368"/>
      <c r="EP368"/>
      <c r="EQ368"/>
      <c r="ER368"/>
      <c r="ES368"/>
      <c r="ET368"/>
      <c r="EU368"/>
      <c r="EV368"/>
      <c r="EW368"/>
      <c r="EX368"/>
      <c r="EY368"/>
      <c r="EZ368"/>
      <c r="FA368"/>
      <c r="FB368"/>
      <c r="FC368"/>
      <c r="FD368"/>
      <c r="FE368"/>
      <c r="FF368"/>
      <c r="FG368"/>
      <c r="FH368"/>
      <c r="FI368"/>
      <c r="FJ368"/>
      <c r="FK368"/>
      <c r="FL368"/>
      <c r="FM368"/>
      <c r="FN368"/>
      <c r="FO368"/>
      <c r="FP368"/>
      <c r="FQ368"/>
      <c r="FR368"/>
      <c r="FS368"/>
      <c r="FT368"/>
      <c r="FU368"/>
      <c r="FV368"/>
      <c r="FW368"/>
      <c r="FX368"/>
      <c r="FY368"/>
      <c r="FZ368"/>
      <c r="GA368"/>
      <c r="GB368"/>
      <c r="GC368"/>
      <c r="GD368"/>
      <c r="GE368"/>
      <c r="GF368"/>
      <c r="GG368"/>
      <c r="GH368"/>
      <c r="GI368"/>
      <c r="GJ368"/>
      <c r="GK368"/>
      <c r="GL368"/>
      <c r="GM368"/>
      <c r="GN368"/>
      <c r="GO368"/>
      <c r="GP368"/>
      <c r="GQ368"/>
      <c r="GR368"/>
      <c r="GS368"/>
      <c r="GT368"/>
      <c r="GU368"/>
      <c r="GV368"/>
      <c r="GW368"/>
      <c r="GX368"/>
      <c r="GY368"/>
      <c r="GZ368"/>
      <c r="HA368"/>
      <c r="HB368"/>
      <c r="HC368"/>
      <c r="HD368"/>
      <c r="HE368"/>
      <c r="HF368"/>
      <c r="HG368"/>
      <c r="HH368"/>
      <c r="HI368"/>
      <c r="HJ368"/>
      <c r="HK368"/>
      <c r="HL368"/>
      <c r="HM368"/>
      <c r="HN368"/>
      <c r="HO368"/>
      <c r="HP368"/>
      <c r="HQ368"/>
      <c r="HR368"/>
      <c r="HS368"/>
      <c r="HT368"/>
      <c r="HU368"/>
      <c r="HV368"/>
      <c r="HW368"/>
      <c r="HX368"/>
      <c r="HY368"/>
      <c r="HZ368"/>
      <c r="IA368"/>
      <c r="IB368"/>
      <c r="IC368"/>
      <c r="ID368"/>
      <c r="IE368"/>
      <c r="IF368"/>
      <c r="IG368"/>
      <c r="IH368"/>
      <c r="II368"/>
      <c r="IJ368"/>
      <c r="IK368"/>
      <c r="IL368"/>
      <c r="IM368"/>
      <c r="IN368"/>
      <c r="IO368"/>
      <c r="IP368"/>
      <c r="IQ368"/>
      <c r="IR368"/>
      <c r="IS368"/>
      <c r="IT368"/>
      <c r="IU368"/>
      <c r="IV368"/>
      <c r="IW368"/>
      <c r="IX368"/>
      <c r="IY368"/>
      <c r="IZ368"/>
      <c r="JA368"/>
      <c r="JB368"/>
      <c r="JC368"/>
      <c r="JD368"/>
      <c r="JE368"/>
      <c r="JF368"/>
      <c r="JG368"/>
      <c r="JH368"/>
      <c r="JI368"/>
      <c r="JJ368"/>
      <c r="JK368"/>
      <c r="JL368"/>
      <c r="JM368"/>
      <c r="JN368"/>
      <c r="JO368"/>
      <c r="JP368"/>
      <c r="JQ368"/>
      <c r="JR368"/>
      <c r="JS368"/>
      <c r="JT368"/>
      <c r="JU368"/>
      <c r="JV368"/>
      <c r="JW368"/>
      <c r="JX368"/>
      <c r="JY368"/>
      <c r="JZ368"/>
      <c r="KA368"/>
      <c r="KB368"/>
      <c r="KC368"/>
      <c r="KD368"/>
      <c r="KE368"/>
      <c r="KF368"/>
      <c r="KG368"/>
      <c r="KH368"/>
      <c r="KI368"/>
      <c r="KJ368"/>
      <c r="KK368"/>
      <c r="KL368"/>
      <c r="KM368"/>
      <c r="KN368"/>
      <c r="KO368"/>
      <c r="KP368"/>
      <c r="KQ368"/>
      <c r="KR368"/>
      <c r="KS368"/>
      <c r="KT368"/>
      <c r="KU368"/>
      <c r="KV368"/>
      <c r="KW368"/>
      <c r="KX368"/>
      <c r="KY368"/>
      <c r="KZ368"/>
      <c r="LA368"/>
      <c r="LB368"/>
      <c r="LC368"/>
      <c r="LD368"/>
      <c r="LE368"/>
      <c r="LF368"/>
      <c r="LG368"/>
      <c r="LH368"/>
      <c r="LI368"/>
      <c r="LJ368"/>
      <c r="LK368"/>
      <c r="LL368"/>
      <c r="LM368"/>
      <c r="LN368"/>
      <c r="LO368"/>
      <c r="LP368"/>
      <c r="LQ368"/>
      <c r="LR368"/>
      <c r="LS368"/>
      <c r="LT368"/>
      <c r="LU368"/>
      <c r="LV368"/>
      <c r="LW368"/>
      <c r="LX368"/>
      <c r="LY368"/>
      <c r="LZ368"/>
      <c r="MA368"/>
      <c r="MB368"/>
      <c r="MC368"/>
      <c r="MD368"/>
      <c r="ME368"/>
      <c r="MF368"/>
      <c r="MG368"/>
      <c r="MH368"/>
      <c r="MI368"/>
      <c r="MJ368"/>
      <c r="MK368"/>
      <c r="ML368"/>
      <c r="MM368"/>
      <c r="MN368"/>
      <c r="MO368"/>
      <c r="MP368"/>
      <c r="MQ368"/>
      <c r="MR368"/>
      <c r="MS368"/>
      <c r="MT368"/>
      <c r="MU368"/>
      <c r="MV368"/>
      <c r="MW368"/>
      <c r="MX368"/>
      <c r="MY368"/>
      <c r="MZ368"/>
      <c r="NA368"/>
      <c r="NB368"/>
      <c r="NC368"/>
      <c r="ND368"/>
      <c r="NE368"/>
      <c r="NF368"/>
      <c r="NG368"/>
      <c r="NH368"/>
      <c r="NI368"/>
      <c r="NJ368"/>
      <c r="NK368"/>
      <c r="NL368"/>
      <c r="NM368"/>
      <c r="NN368"/>
      <c r="NO368"/>
      <c r="NP368"/>
      <c r="NQ368"/>
      <c r="NR368"/>
      <c r="NS368"/>
      <c r="NT368"/>
      <c r="NU368"/>
      <c r="NV368"/>
      <c r="NW368"/>
      <c r="NX368"/>
      <c r="NY368"/>
      <c r="NZ368"/>
      <c r="OA368"/>
      <c r="OB368"/>
      <c r="OC368"/>
      <c r="OD368"/>
      <c r="OE368"/>
      <c r="OF368"/>
      <c r="OG368"/>
      <c r="OH368"/>
      <c r="OI368"/>
      <c r="OJ368"/>
      <c r="OK368"/>
      <c r="OL368"/>
      <c r="OM368"/>
      <c r="ON368"/>
      <c r="OO368"/>
      <c r="OP368"/>
      <c r="OQ368"/>
      <c r="OR368"/>
      <c r="OS368"/>
      <c r="OT368"/>
      <c r="OU368"/>
      <c r="OV368"/>
      <c r="OW368"/>
      <c r="OX368"/>
      <c r="OY368"/>
      <c r="OZ368"/>
      <c r="PA368"/>
      <c r="PB368"/>
      <c r="PC368"/>
      <c r="PD368"/>
      <c r="PE368"/>
      <c r="PF368"/>
      <c r="PG368"/>
      <c r="PH368"/>
      <c r="PI368"/>
      <c r="PJ368"/>
      <c r="PK368"/>
      <c r="PL368"/>
      <c r="PM368"/>
      <c r="PN368"/>
      <c r="PO368"/>
      <c r="PP368"/>
      <c r="PQ368"/>
      <c r="PR368"/>
      <c r="PS368"/>
      <c r="PT368"/>
      <c r="PU368"/>
      <c r="PV368"/>
      <c r="PW368"/>
      <c r="PX368"/>
      <c r="PY368"/>
      <c r="PZ368"/>
      <c r="QA368"/>
      <c r="QB368"/>
      <c r="QC368"/>
      <c r="QD368"/>
      <c r="QE368"/>
      <c r="QF368"/>
      <c r="QG368"/>
      <c r="QH368"/>
      <c r="QI368"/>
      <c r="QJ368"/>
      <c r="QK368"/>
      <c r="QL368"/>
      <c r="QM368"/>
      <c r="QN368"/>
      <c r="QO368"/>
      <c r="QP368"/>
      <c r="QQ368"/>
      <c r="QR368"/>
      <c r="QS368"/>
      <c r="QT368"/>
      <c r="QU368"/>
      <c r="QV368"/>
      <c r="QW368"/>
      <c r="QX368"/>
      <c r="QY368"/>
      <c r="QZ368"/>
      <c r="RA368"/>
      <c r="RB368"/>
      <c r="RC368"/>
      <c r="RD368"/>
      <c r="RE368"/>
      <c r="RF368"/>
      <c r="RG368"/>
      <c r="RH368"/>
      <c r="RI368"/>
      <c r="RJ368"/>
      <c r="RK368"/>
      <c r="RL368"/>
      <c r="RM368"/>
      <c r="RN368"/>
      <c r="RO368"/>
      <c r="RP368"/>
      <c r="RQ368"/>
      <c r="RR368"/>
      <c r="RS368"/>
    </row>
    <row r="369" spans="19:487" x14ac:dyDescent="0.25"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  <c r="AH369"/>
      <c r="AI369"/>
      <c r="AJ369"/>
      <c r="AK369"/>
      <c r="AL369"/>
      <c r="AM369"/>
      <c r="AN369"/>
      <c r="AO369"/>
      <c r="AP369"/>
      <c r="AQ369"/>
      <c r="AR369"/>
      <c r="AS369"/>
      <c r="AT369"/>
      <c r="AU369"/>
      <c r="AV369"/>
      <c r="AW369"/>
      <c r="AX369"/>
      <c r="AY369"/>
      <c r="AZ369"/>
      <c r="BA369"/>
      <c r="BB369"/>
      <c r="BC369"/>
      <c r="BD369"/>
      <c r="BE369"/>
      <c r="BF369"/>
      <c r="BG369"/>
      <c r="BH369"/>
      <c r="BI369"/>
      <c r="BJ369"/>
      <c r="BK369"/>
      <c r="BL369"/>
      <c r="BM369"/>
      <c r="BN369"/>
      <c r="BO369"/>
      <c r="BP369"/>
      <c r="BQ369"/>
      <c r="BR369"/>
      <c r="BS369"/>
      <c r="BT369"/>
      <c r="BU369"/>
      <c r="BV369"/>
      <c r="BW369"/>
      <c r="BX369"/>
      <c r="BY369"/>
      <c r="BZ369"/>
      <c r="CA369"/>
      <c r="CB369"/>
      <c r="CC369"/>
      <c r="CD369"/>
      <c r="CE369"/>
      <c r="CF369"/>
      <c r="CG369"/>
      <c r="CH369"/>
      <c r="CI369"/>
      <c r="CJ369"/>
      <c r="CK369"/>
      <c r="CL369"/>
      <c r="CM369"/>
      <c r="CN369"/>
      <c r="CO369"/>
      <c r="CP369"/>
      <c r="CQ369"/>
      <c r="CR369"/>
      <c r="CS369"/>
      <c r="CT369"/>
      <c r="CU369"/>
      <c r="CV369"/>
      <c r="CW369"/>
      <c r="CX369"/>
      <c r="CY369"/>
      <c r="CZ369"/>
      <c r="DA369"/>
      <c r="DB369"/>
      <c r="DC369"/>
      <c r="DD369"/>
      <c r="DE369"/>
      <c r="DF369"/>
      <c r="DG369"/>
      <c r="DH369"/>
      <c r="DI369"/>
      <c r="DJ369"/>
      <c r="DK369"/>
      <c r="DL369"/>
      <c r="DM369"/>
      <c r="DN369"/>
      <c r="DO369"/>
      <c r="DP369"/>
      <c r="DQ369"/>
      <c r="DR369"/>
      <c r="DS369"/>
      <c r="DT369"/>
      <c r="DU369"/>
      <c r="DV369"/>
      <c r="DW369"/>
      <c r="DX369"/>
      <c r="DY369"/>
      <c r="DZ369"/>
      <c r="EA369"/>
      <c r="EB369"/>
      <c r="EC369"/>
      <c r="ED369"/>
      <c r="EE369"/>
      <c r="EF369"/>
      <c r="EG369"/>
      <c r="EH369"/>
      <c r="EI369"/>
      <c r="EJ369"/>
      <c r="EK369"/>
      <c r="EL369"/>
      <c r="EM369"/>
      <c r="EN369"/>
      <c r="EO369"/>
      <c r="EP369"/>
      <c r="EQ369"/>
      <c r="ER369"/>
      <c r="ES369"/>
      <c r="ET369"/>
      <c r="EU369"/>
      <c r="EV369"/>
      <c r="EW369"/>
      <c r="EX369"/>
      <c r="EY369"/>
      <c r="EZ369"/>
      <c r="FA369"/>
      <c r="FB369"/>
      <c r="FC369"/>
      <c r="FD369"/>
      <c r="FE369"/>
      <c r="FF369"/>
      <c r="FG369"/>
      <c r="FH369"/>
      <c r="FI369"/>
      <c r="FJ369"/>
      <c r="FK369"/>
      <c r="FL369"/>
      <c r="FM369"/>
      <c r="FN369"/>
      <c r="FO369"/>
      <c r="FP369"/>
      <c r="FQ369"/>
      <c r="FR369"/>
      <c r="FS369"/>
      <c r="FT369"/>
      <c r="FU369"/>
      <c r="FV369"/>
      <c r="FW369"/>
      <c r="FX369"/>
      <c r="FY369"/>
      <c r="FZ369"/>
      <c r="GA369"/>
      <c r="GB369"/>
      <c r="GC369"/>
      <c r="GD369"/>
      <c r="GE369"/>
      <c r="GF369"/>
      <c r="GG369"/>
      <c r="GH369"/>
      <c r="GI369"/>
      <c r="GJ369"/>
      <c r="GK369"/>
      <c r="GL369"/>
      <c r="GM369"/>
      <c r="GN369"/>
      <c r="GO369"/>
      <c r="GP369"/>
      <c r="GQ369"/>
      <c r="GR369"/>
      <c r="GS369"/>
      <c r="GT369"/>
      <c r="GU369"/>
      <c r="GV369"/>
      <c r="GW369"/>
      <c r="GX369"/>
      <c r="GY369"/>
      <c r="GZ369"/>
      <c r="HA369"/>
      <c r="HB369"/>
      <c r="HC369"/>
      <c r="HD369"/>
      <c r="HE369"/>
      <c r="HF369"/>
      <c r="HG369"/>
      <c r="HH369"/>
      <c r="HI369"/>
      <c r="HJ369"/>
      <c r="HK369"/>
      <c r="HL369"/>
      <c r="HM369"/>
      <c r="HN369"/>
      <c r="HO369"/>
      <c r="HP369"/>
      <c r="HQ369"/>
      <c r="HR369"/>
      <c r="HS369"/>
      <c r="HT369"/>
      <c r="HU369"/>
      <c r="HV369"/>
      <c r="HW369"/>
      <c r="HX369"/>
      <c r="HY369"/>
      <c r="HZ369"/>
      <c r="IA369"/>
      <c r="IB369"/>
      <c r="IC369"/>
      <c r="ID369"/>
      <c r="IE369"/>
      <c r="IF369"/>
      <c r="IG369"/>
      <c r="IH369"/>
      <c r="II369"/>
      <c r="IJ369"/>
      <c r="IK369"/>
      <c r="IL369"/>
      <c r="IM369"/>
      <c r="IN369"/>
      <c r="IO369"/>
      <c r="IP369"/>
      <c r="IQ369"/>
      <c r="IR369"/>
      <c r="IS369"/>
      <c r="IT369"/>
      <c r="IU369"/>
      <c r="IV369"/>
      <c r="IW369"/>
      <c r="IX369"/>
      <c r="IY369"/>
      <c r="IZ369"/>
      <c r="JA369"/>
      <c r="JB369"/>
      <c r="JC369"/>
      <c r="JD369"/>
      <c r="JE369"/>
      <c r="JF369"/>
      <c r="JG369"/>
      <c r="JH369"/>
      <c r="JI369"/>
      <c r="JJ369"/>
      <c r="JK369"/>
      <c r="JL369"/>
      <c r="JM369"/>
      <c r="JN369"/>
      <c r="JO369"/>
      <c r="JP369"/>
      <c r="JQ369"/>
      <c r="JR369"/>
      <c r="JS369"/>
      <c r="JT369"/>
      <c r="JU369"/>
      <c r="JV369"/>
      <c r="JW369"/>
      <c r="JX369"/>
      <c r="JY369"/>
      <c r="JZ369"/>
      <c r="KA369"/>
      <c r="KB369"/>
      <c r="KC369"/>
      <c r="KD369"/>
      <c r="KE369"/>
      <c r="KF369"/>
      <c r="KG369"/>
      <c r="KH369"/>
      <c r="KI369"/>
      <c r="KJ369"/>
      <c r="KK369"/>
      <c r="KL369"/>
      <c r="KM369"/>
      <c r="KN369"/>
      <c r="KO369"/>
      <c r="KP369"/>
      <c r="KQ369"/>
      <c r="KR369"/>
      <c r="KS369"/>
      <c r="KT369"/>
      <c r="KU369"/>
      <c r="KV369"/>
      <c r="KW369"/>
      <c r="KX369"/>
      <c r="KY369"/>
      <c r="KZ369"/>
      <c r="LA369"/>
      <c r="LB369"/>
      <c r="LC369"/>
      <c r="LD369"/>
      <c r="LE369"/>
      <c r="LF369"/>
      <c r="LG369"/>
      <c r="LH369"/>
      <c r="LI369"/>
      <c r="LJ369"/>
      <c r="LK369"/>
      <c r="LL369"/>
      <c r="LM369"/>
      <c r="LN369"/>
      <c r="LO369"/>
      <c r="LP369"/>
      <c r="LQ369"/>
      <c r="LR369"/>
      <c r="LS369"/>
      <c r="LT369"/>
      <c r="LU369"/>
      <c r="LV369"/>
      <c r="LW369"/>
      <c r="LX369"/>
      <c r="LY369"/>
      <c r="LZ369"/>
      <c r="MA369"/>
      <c r="MB369"/>
      <c r="MC369"/>
      <c r="MD369"/>
      <c r="ME369"/>
      <c r="MF369"/>
      <c r="MG369"/>
      <c r="MH369"/>
      <c r="MI369"/>
      <c r="MJ369"/>
      <c r="MK369"/>
      <c r="ML369"/>
      <c r="MM369"/>
      <c r="MN369"/>
      <c r="MO369"/>
      <c r="MP369"/>
      <c r="MQ369"/>
      <c r="MR369"/>
      <c r="MS369"/>
      <c r="MT369"/>
      <c r="MU369"/>
      <c r="MV369"/>
      <c r="MW369"/>
      <c r="MX369"/>
      <c r="MY369"/>
      <c r="MZ369"/>
      <c r="NA369"/>
      <c r="NB369"/>
      <c r="NC369"/>
      <c r="ND369"/>
      <c r="NE369"/>
      <c r="NF369"/>
      <c r="NG369"/>
      <c r="NH369"/>
      <c r="NI369"/>
      <c r="NJ369"/>
      <c r="NK369"/>
      <c r="NL369"/>
      <c r="NM369"/>
      <c r="NN369"/>
      <c r="NO369"/>
      <c r="NP369"/>
      <c r="NQ369"/>
      <c r="NR369"/>
      <c r="NS369"/>
      <c r="NT369"/>
      <c r="NU369"/>
      <c r="NV369"/>
      <c r="NW369"/>
      <c r="NX369"/>
      <c r="NY369"/>
      <c r="NZ369"/>
      <c r="OA369"/>
      <c r="OB369"/>
      <c r="OC369"/>
      <c r="OD369"/>
      <c r="OE369"/>
      <c r="OF369"/>
      <c r="OG369"/>
      <c r="OH369"/>
      <c r="OI369"/>
      <c r="OJ369"/>
      <c r="OK369"/>
      <c r="OL369"/>
      <c r="OM369"/>
      <c r="ON369"/>
      <c r="OO369"/>
      <c r="OP369"/>
      <c r="OQ369"/>
      <c r="OR369"/>
      <c r="OS369"/>
      <c r="OT369"/>
      <c r="OU369"/>
      <c r="OV369"/>
      <c r="OW369"/>
      <c r="OX369"/>
      <c r="OY369"/>
      <c r="OZ369"/>
      <c r="PA369"/>
      <c r="PB369"/>
      <c r="PC369"/>
      <c r="PD369"/>
      <c r="PE369"/>
      <c r="PF369"/>
      <c r="PG369"/>
      <c r="PH369"/>
      <c r="PI369"/>
      <c r="PJ369"/>
      <c r="PK369"/>
      <c r="PL369"/>
      <c r="PM369"/>
      <c r="PN369"/>
      <c r="PO369"/>
      <c r="PP369"/>
      <c r="PQ369"/>
      <c r="PR369"/>
      <c r="PS369"/>
      <c r="PT369"/>
      <c r="PU369"/>
      <c r="PV369"/>
      <c r="PW369"/>
      <c r="PX369"/>
      <c r="PY369"/>
      <c r="PZ369"/>
      <c r="QA369"/>
      <c r="QB369"/>
      <c r="QC369"/>
      <c r="QD369"/>
      <c r="QE369"/>
      <c r="QF369"/>
      <c r="QG369"/>
      <c r="QH369"/>
      <c r="QI369"/>
      <c r="QJ369"/>
      <c r="QK369"/>
      <c r="QL369"/>
      <c r="QM369"/>
      <c r="QN369"/>
      <c r="QO369"/>
      <c r="QP369"/>
      <c r="QQ369"/>
      <c r="QR369"/>
      <c r="QS369"/>
      <c r="QT369"/>
      <c r="QU369"/>
      <c r="QV369"/>
      <c r="QW369"/>
      <c r="QX369"/>
      <c r="QY369"/>
      <c r="QZ369"/>
      <c r="RA369"/>
      <c r="RB369"/>
      <c r="RC369"/>
      <c r="RD369"/>
      <c r="RE369"/>
      <c r="RF369"/>
      <c r="RG369"/>
      <c r="RH369"/>
      <c r="RI369"/>
      <c r="RJ369"/>
      <c r="RK369"/>
      <c r="RL369"/>
      <c r="RM369"/>
      <c r="RN369"/>
      <c r="RO369"/>
      <c r="RP369"/>
      <c r="RQ369"/>
      <c r="RR369"/>
      <c r="RS369"/>
    </row>
    <row r="370" spans="19:487" x14ac:dyDescent="0.25"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  <c r="AH370"/>
      <c r="AI370"/>
      <c r="AJ370"/>
      <c r="AK370"/>
      <c r="AL370"/>
      <c r="AM370"/>
      <c r="AN370"/>
      <c r="AO370"/>
      <c r="AP370"/>
      <c r="AQ370"/>
      <c r="AR370"/>
      <c r="AS370"/>
      <c r="AT370"/>
      <c r="AU370"/>
      <c r="AV370"/>
      <c r="AW370"/>
      <c r="AX370"/>
      <c r="AY370"/>
      <c r="AZ370"/>
      <c r="BA370"/>
      <c r="BB370"/>
      <c r="BC370"/>
      <c r="BD370"/>
      <c r="BE370"/>
      <c r="BF370"/>
      <c r="BG370"/>
      <c r="BH370"/>
      <c r="BI370"/>
      <c r="BJ370"/>
      <c r="BK370"/>
      <c r="BL370"/>
      <c r="BM370"/>
      <c r="BN370"/>
      <c r="BO370"/>
      <c r="BP370"/>
      <c r="BQ370"/>
      <c r="BR370"/>
      <c r="BS370"/>
      <c r="BT370"/>
      <c r="BU370"/>
      <c r="BV370"/>
      <c r="BW370"/>
      <c r="BX370"/>
      <c r="BY370"/>
      <c r="BZ370"/>
      <c r="CA370"/>
      <c r="CB370"/>
      <c r="CC370"/>
      <c r="CD370"/>
      <c r="CE370"/>
      <c r="CF370"/>
      <c r="CG370"/>
      <c r="CH370"/>
      <c r="CI370"/>
      <c r="CJ370"/>
      <c r="CK370"/>
      <c r="CL370"/>
      <c r="CM370"/>
      <c r="CN370"/>
      <c r="CO370"/>
      <c r="CP370"/>
      <c r="CQ370"/>
      <c r="CR370"/>
      <c r="CS370"/>
      <c r="CT370"/>
      <c r="CU370"/>
      <c r="CV370"/>
      <c r="CW370"/>
      <c r="CX370"/>
      <c r="CY370"/>
      <c r="CZ370"/>
      <c r="DA370"/>
      <c r="DB370"/>
      <c r="DC370"/>
      <c r="DD370"/>
      <c r="DE370"/>
      <c r="DF370"/>
      <c r="DG370"/>
      <c r="DH370"/>
      <c r="DI370"/>
      <c r="DJ370"/>
      <c r="DK370"/>
      <c r="DL370"/>
      <c r="DM370"/>
      <c r="DN370"/>
      <c r="DO370"/>
      <c r="DP370"/>
      <c r="DQ370"/>
      <c r="DR370"/>
      <c r="DS370"/>
      <c r="DT370"/>
      <c r="DU370"/>
      <c r="DV370"/>
      <c r="DW370"/>
      <c r="DX370"/>
      <c r="DY370"/>
      <c r="DZ370"/>
      <c r="EA370"/>
      <c r="EB370"/>
      <c r="EC370"/>
      <c r="ED370"/>
      <c r="EE370"/>
      <c r="EF370"/>
      <c r="EG370"/>
      <c r="EH370"/>
      <c r="EI370"/>
      <c r="EJ370"/>
      <c r="EK370"/>
      <c r="EL370"/>
      <c r="EM370"/>
      <c r="EN370"/>
      <c r="EO370"/>
      <c r="EP370"/>
      <c r="EQ370"/>
      <c r="ER370"/>
      <c r="ES370"/>
      <c r="ET370"/>
      <c r="EU370"/>
      <c r="EV370"/>
      <c r="EW370"/>
      <c r="EX370"/>
      <c r="EY370"/>
      <c r="EZ370"/>
      <c r="FA370"/>
      <c r="FB370"/>
      <c r="FC370"/>
      <c r="FD370"/>
      <c r="FE370"/>
      <c r="FF370"/>
      <c r="FG370"/>
      <c r="FH370"/>
      <c r="FI370"/>
      <c r="FJ370"/>
      <c r="FK370"/>
      <c r="FL370"/>
      <c r="FM370"/>
      <c r="FN370"/>
      <c r="FO370"/>
      <c r="FP370"/>
      <c r="FQ370"/>
      <c r="FR370"/>
      <c r="FS370"/>
      <c r="FT370"/>
      <c r="FU370"/>
      <c r="FV370"/>
      <c r="FW370"/>
      <c r="FX370"/>
      <c r="FY370"/>
      <c r="FZ370"/>
      <c r="GA370"/>
      <c r="GB370"/>
      <c r="GC370"/>
      <c r="GD370"/>
      <c r="GE370"/>
      <c r="GF370"/>
      <c r="GG370"/>
      <c r="GH370"/>
      <c r="GI370"/>
      <c r="GJ370"/>
      <c r="GK370"/>
      <c r="GL370"/>
      <c r="GM370"/>
      <c r="GN370"/>
      <c r="GO370"/>
      <c r="GP370"/>
      <c r="GQ370"/>
      <c r="GR370"/>
      <c r="GS370"/>
      <c r="GT370"/>
      <c r="GU370"/>
      <c r="GV370"/>
      <c r="GW370"/>
      <c r="GX370"/>
      <c r="GY370"/>
      <c r="GZ370"/>
      <c r="HA370"/>
      <c r="HB370"/>
      <c r="HC370"/>
      <c r="HD370"/>
      <c r="HE370"/>
      <c r="HF370"/>
      <c r="HG370"/>
      <c r="HH370"/>
      <c r="HI370"/>
      <c r="HJ370"/>
      <c r="HK370"/>
      <c r="HL370"/>
      <c r="HM370"/>
      <c r="HN370"/>
      <c r="HO370"/>
      <c r="HP370"/>
      <c r="HQ370"/>
      <c r="HR370"/>
      <c r="HS370"/>
      <c r="HT370"/>
      <c r="HU370"/>
      <c r="HV370"/>
      <c r="HW370"/>
      <c r="HX370"/>
      <c r="HY370"/>
      <c r="HZ370"/>
      <c r="IA370"/>
      <c r="IB370"/>
      <c r="IC370"/>
      <c r="ID370"/>
      <c r="IE370"/>
      <c r="IF370"/>
      <c r="IG370"/>
      <c r="IH370"/>
      <c r="II370"/>
      <c r="IJ370"/>
      <c r="IK370"/>
      <c r="IL370"/>
      <c r="IM370"/>
      <c r="IN370"/>
      <c r="IO370"/>
      <c r="IP370"/>
      <c r="IQ370"/>
      <c r="IR370"/>
      <c r="IS370"/>
      <c r="IT370"/>
      <c r="IU370"/>
      <c r="IV370"/>
      <c r="IW370"/>
      <c r="IX370"/>
      <c r="IY370"/>
      <c r="IZ370"/>
      <c r="JA370"/>
      <c r="JB370"/>
      <c r="JC370"/>
      <c r="JD370"/>
      <c r="JE370"/>
      <c r="JF370"/>
      <c r="JG370"/>
      <c r="JH370"/>
      <c r="JI370"/>
      <c r="JJ370"/>
      <c r="JK370"/>
      <c r="JL370"/>
      <c r="JM370"/>
      <c r="JN370"/>
      <c r="JO370"/>
      <c r="JP370"/>
      <c r="JQ370"/>
      <c r="JR370"/>
      <c r="JS370"/>
      <c r="JT370"/>
      <c r="JU370"/>
      <c r="JV370"/>
      <c r="JW370"/>
      <c r="JX370"/>
      <c r="JY370"/>
      <c r="JZ370"/>
      <c r="KA370"/>
      <c r="KB370"/>
      <c r="KC370"/>
      <c r="KD370"/>
      <c r="KE370"/>
      <c r="KF370"/>
      <c r="KG370"/>
      <c r="KH370"/>
      <c r="KI370"/>
      <c r="KJ370"/>
      <c r="KK370"/>
      <c r="KL370"/>
      <c r="KM370"/>
      <c r="KN370"/>
      <c r="KO370"/>
      <c r="KP370"/>
      <c r="KQ370"/>
      <c r="KR370"/>
      <c r="KS370"/>
      <c r="KT370"/>
      <c r="KU370"/>
      <c r="KV370"/>
      <c r="KW370"/>
      <c r="KX370"/>
      <c r="KY370"/>
      <c r="KZ370"/>
      <c r="LA370"/>
      <c r="LB370"/>
      <c r="LC370"/>
      <c r="LD370"/>
      <c r="LE370"/>
      <c r="LF370"/>
      <c r="LG370"/>
      <c r="LH370"/>
      <c r="LI370"/>
      <c r="LJ370"/>
      <c r="LK370"/>
      <c r="LL370"/>
      <c r="LM370"/>
      <c r="LN370"/>
      <c r="LO370"/>
      <c r="LP370"/>
      <c r="LQ370"/>
      <c r="LR370"/>
      <c r="LS370"/>
      <c r="LT370"/>
      <c r="LU370"/>
      <c r="LV370"/>
      <c r="LW370"/>
      <c r="LX370"/>
      <c r="LY370"/>
      <c r="LZ370"/>
      <c r="MA370"/>
      <c r="MB370"/>
      <c r="MC370"/>
      <c r="MD370"/>
      <c r="ME370"/>
      <c r="MF370"/>
      <c r="MG370"/>
      <c r="MH370"/>
      <c r="MI370"/>
      <c r="MJ370"/>
      <c r="MK370"/>
      <c r="ML370"/>
      <c r="MM370"/>
      <c r="MN370"/>
      <c r="MO370"/>
      <c r="MP370"/>
      <c r="MQ370"/>
      <c r="MR370"/>
      <c r="MS370"/>
      <c r="MT370"/>
      <c r="MU370"/>
      <c r="MV370"/>
      <c r="MW370"/>
      <c r="MX370"/>
      <c r="MY370"/>
      <c r="MZ370"/>
      <c r="NA370"/>
      <c r="NB370"/>
      <c r="NC370"/>
      <c r="ND370"/>
      <c r="NE370"/>
      <c r="NF370"/>
      <c r="NG370"/>
      <c r="NH370"/>
      <c r="NI370"/>
      <c r="NJ370"/>
      <c r="NK370"/>
      <c r="NL370"/>
      <c r="NM370"/>
      <c r="NN370"/>
      <c r="NO370"/>
      <c r="NP370"/>
      <c r="NQ370"/>
      <c r="NR370"/>
      <c r="NS370"/>
      <c r="NT370"/>
      <c r="NU370"/>
      <c r="NV370"/>
      <c r="NW370"/>
      <c r="NX370"/>
      <c r="NY370"/>
      <c r="NZ370"/>
      <c r="OA370"/>
      <c r="OB370"/>
      <c r="OC370"/>
      <c r="OD370"/>
      <c r="OE370"/>
      <c r="OF370"/>
      <c r="OG370"/>
      <c r="OH370"/>
      <c r="OI370"/>
      <c r="OJ370"/>
      <c r="OK370"/>
      <c r="OL370"/>
      <c r="OM370"/>
      <c r="ON370"/>
      <c r="OO370"/>
      <c r="OP370"/>
      <c r="OQ370"/>
      <c r="OR370"/>
      <c r="OS370"/>
      <c r="OT370"/>
      <c r="OU370"/>
      <c r="OV370"/>
      <c r="OW370"/>
      <c r="OX370"/>
      <c r="OY370"/>
      <c r="OZ370"/>
      <c r="PA370"/>
      <c r="PB370"/>
      <c r="PC370"/>
      <c r="PD370"/>
      <c r="PE370"/>
      <c r="PF370"/>
      <c r="PG370"/>
      <c r="PH370"/>
      <c r="PI370"/>
      <c r="PJ370"/>
      <c r="PK370"/>
      <c r="PL370"/>
      <c r="PM370"/>
      <c r="PN370"/>
      <c r="PO370"/>
      <c r="PP370"/>
      <c r="PQ370"/>
      <c r="PR370"/>
      <c r="PS370"/>
      <c r="PT370"/>
      <c r="PU370"/>
      <c r="PV370"/>
      <c r="PW370"/>
      <c r="PX370"/>
      <c r="PY370"/>
      <c r="PZ370"/>
      <c r="QA370"/>
      <c r="QB370"/>
      <c r="QC370"/>
      <c r="QD370"/>
      <c r="QE370"/>
      <c r="QF370"/>
      <c r="QG370"/>
      <c r="QH370"/>
      <c r="QI370"/>
      <c r="QJ370"/>
      <c r="QK370"/>
      <c r="QL370"/>
      <c r="QM370"/>
      <c r="QN370"/>
      <c r="QO370"/>
      <c r="QP370"/>
      <c r="QQ370"/>
      <c r="QR370"/>
      <c r="QS370"/>
      <c r="QT370"/>
      <c r="QU370"/>
      <c r="QV370"/>
      <c r="QW370"/>
      <c r="QX370"/>
      <c r="QY370"/>
      <c r="QZ370"/>
      <c r="RA370"/>
      <c r="RB370"/>
      <c r="RC370"/>
      <c r="RD370"/>
      <c r="RE370"/>
      <c r="RF370"/>
      <c r="RG370"/>
      <c r="RH370"/>
      <c r="RI370"/>
      <c r="RJ370"/>
      <c r="RK370"/>
      <c r="RL370"/>
      <c r="RM370"/>
      <c r="RN370"/>
      <c r="RO370"/>
      <c r="RP370"/>
      <c r="RQ370"/>
      <c r="RR370"/>
      <c r="RS370"/>
    </row>
    <row r="371" spans="19:487" x14ac:dyDescent="0.25"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  <c r="AH371"/>
      <c r="AI371"/>
      <c r="AJ371"/>
      <c r="AK371"/>
      <c r="AL371"/>
      <c r="AM371"/>
      <c r="AN371"/>
      <c r="AO371"/>
      <c r="AP371"/>
      <c r="AQ371"/>
      <c r="AR371"/>
      <c r="AS371"/>
      <c r="AT371"/>
      <c r="AU371"/>
      <c r="AV371"/>
      <c r="AW371"/>
      <c r="AX371"/>
      <c r="AY371"/>
      <c r="AZ371"/>
      <c r="BA371"/>
      <c r="BB371"/>
      <c r="BC371"/>
      <c r="BD371"/>
      <c r="BE371"/>
      <c r="BF371"/>
      <c r="BG371"/>
      <c r="BH371"/>
      <c r="BI371"/>
      <c r="BJ371"/>
      <c r="BK371"/>
      <c r="BL371"/>
      <c r="BM371"/>
      <c r="BN371"/>
      <c r="BO371"/>
      <c r="BP371"/>
      <c r="BQ371"/>
      <c r="BR371"/>
      <c r="BS371"/>
      <c r="BT371"/>
      <c r="BU371"/>
      <c r="BV371"/>
      <c r="BW371"/>
      <c r="BX371"/>
      <c r="BY371"/>
      <c r="BZ371"/>
      <c r="CA371"/>
      <c r="CB371"/>
      <c r="CC371"/>
      <c r="CD371"/>
      <c r="CE371"/>
      <c r="CF371"/>
      <c r="CG371"/>
      <c r="CH371"/>
      <c r="CI371"/>
      <c r="CJ371"/>
      <c r="CK371"/>
      <c r="CL371"/>
      <c r="CM371"/>
      <c r="CN371"/>
      <c r="CO371"/>
      <c r="CP371"/>
      <c r="CQ371"/>
      <c r="CR371"/>
      <c r="CS371"/>
      <c r="CT371"/>
      <c r="CU371"/>
      <c r="CV371"/>
      <c r="CW371"/>
      <c r="CX371"/>
      <c r="CY371"/>
      <c r="CZ371"/>
      <c r="DA371"/>
      <c r="DB371"/>
      <c r="DC371"/>
      <c r="DD371"/>
      <c r="DE371"/>
      <c r="DF371"/>
      <c r="DG371"/>
      <c r="DH371"/>
      <c r="DI371"/>
      <c r="DJ371"/>
      <c r="DK371"/>
      <c r="DL371"/>
      <c r="DM371"/>
      <c r="DN371"/>
      <c r="DO371"/>
      <c r="DP371"/>
      <c r="DQ371"/>
      <c r="DR371"/>
      <c r="DS371"/>
      <c r="DT371"/>
      <c r="DU371"/>
      <c r="DV371"/>
      <c r="DW371"/>
      <c r="DX371"/>
      <c r="DY371"/>
      <c r="DZ371"/>
      <c r="EA371"/>
      <c r="EB371"/>
      <c r="EC371"/>
      <c r="ED371"/>
      <c r="EE371"/>
      <c r="EF371"/>
      <c r="EG371"/>
      <c r="EH371"/>
      <c r="EI371"/>
      <c r="EJ371"/>
      <c r="EK371"/>
      <c r="EL371"/>
      <c r="EM371"/>
      <c r="EN371"/>
      <c r="EO371"/>
      <c r="EP371"/>
      <c r="EQ371"/>
      <c r="ER371"/>
      <c r="ES371"/>
      <c r="ET371"/>
      <c r="EU371"/>
      <c r="EV371"/>
      <c r="EW371"/>
      <c r="EX371"/>
      <c r="EY371"/>
      <c r="EZ371"/>
      <c r="FA371"/>
      <c r="FB371"/>
      <c r="FC371"/>
      <c r="FD371"/>
      <c r="FE371"/>
      <c r="FF371"/>
      <c r="FG371"/>
      <c r="FH371"/>
      <c r="FI371"/>
      <c r="FJ371"/>
      <c r="FK371"/>
      <c r="FL371"/>
      <c r="FM371"/>
      <c r="FN371"/>
      <c r="FO371"/>
      <c r="FP371"/>
      <c r="FQ371"/>
      <c r="FR371"/>
      <c r="FS371"/>
      <c r="FT371"/>
      <c r="FU371"/>
      <c r="FV371"/>
      <c r="FW371"/>
      <c r="FX371"/>
      <c r="FY371"/>
      <c r="FZ371"/>
      <c r="GA371"/>
      <c r="GB371"/>
      <c r="GC371"/>
      <c r="GD371"/>
      <c r="GE371"/>
      <c r="GF371"/>
      <c r="GG371"/>
      <c r="GH371"/>
      <c r="GI371"/>
      <c r="GJ371"/>
      <c r="GK371"/>
      <c r="GL371"/>
      <c r="GM371"/>
      <c r="GN371"/>
      <c r="GO371"/>
      <c r="GP371"/>
      <c r="GQ371"/>
      <c r="GR371"/>
      <c r="GS371"/>
      <c r="GT371"/>
      <c r="GU371"/>
      <c r="GV371"/>
      <c r="GW371"/>
      <c r="GX371"/>
      <c r="GY371"/>
      <c r="GZ371"/>
      <c r="HA371"/>
      <c r="HB371"/>
      <c r="HC371"/>
      <c r="HD371"/>
      <c r="HE371"/>
      <c r="HF371"/>
      <c r="HG371"/>
      <c r="HH371"/>
      <c r="HI371"/>
      <c r="HJ371"/>
      <c r="HK371"/>
      <c r="HL371"/>
      <c r="HM371"/>
      <c r="HN371"/>
      <c r="HO371"/>
      <c r="HP371"/>
      <c r="HQ371"/>
      <c r="HR371"/>
      <c r="HS371"/>
      <c r="HT371"/>
      <c r="HU371"/>
      <c r="HV371"/>
      <c r="HW371"/>
      <c r="HX371"/>
      <c r="HY371"/>
      <c r="HZ371"/>
      <c r="IA371"/>
      <c r="IB371"/>
      <c r="IC371"/>
      <c r="ID371"/>
      <c r="IE371"/>
      <c r="IF371"/>
      <c r="IG371"/>
      <c r="IH371"/>
      <c r="II371"/>
      <c r="IJ371"/>
      <c r="IK371"/>
      <c r="IL371"/>
      <c r="IM371"/>
      <c r="IN371"/>
      <c r="IO371"/>
      <c r="IP371"/>
      <c r="IQ371"/>
      <c r="IR371"/>
      <c r="IS371"/>
      <c r="IT371"/>
      <c r="IU371"/>
      <c r="IV371"/>
      <c r="IW371"/>
      <c r="IX371"/>
      <c r="IY371"/>
      <c r="IZ371"/>
      <c r="JA371"/>
      <c r="JB371"/>
      <c r="JC371"/>
      <c r="JD371"/>
      <c r="JE371"/>
      <c r="JF371"/>
      <c r="JG371"/>
      <c r="JH371"/>
      <c r="JI371"/>
      <c r="JJ371"/>
      <c r="JK371"/>
      <c r="JL371"/>
      <c r="JM371"/>
      <c r="JN371"/>
      <c r="JO371"/>
      <c r="JP371"/>
      <c r="JQ371"/>
      <c r="JR371"/>
      <c r="JS371"/>
      <c r="JT371"/>
      <c r="JU371"/>
      <c r="JV371"/>
      <c r="JW371"/>
      <c r="JX371"/>
      <c r="JY371"/>
      <c r="JZ371"/>
      <c r="KA371"/>
      <c r="KB371"/>
      <c r="KC371"/>
      <c r="KD371"/>
      <c r="KE371"/>
      <c r="KF371"/>
      <c r="KG371"/>
      <c r="KH371"/>
      <c r="KI371"/>
      <c r="KJ371"/>
      <c r="KK371"/>
      <c r="KL371"/>
      <c r="KM371"/>
      <c r="KN371"/>
      <c r="KO371"/>
      <c r="KP371"/>
      <c r="KQ371"/>
      <c r="KR371"/>
      <c r="KS371"/>
      <c r="KT371"/>
      <c r="KU371"/>
      <c r="KV371"/>
      <c r="KW371"/>
      <c r="KX371"/>
      <c r="KY371"/>
      <c r="KZ371"/>
      <c r="LA371"/>
      <c r="LB371"/>
      <c r="LC371"/>
      <c r="LD371"/>
      <c r="LE371"/>
      <c r="LF371"/>
      <c r="LG371"/>
      <c r="LH371"/>
      <c r="LI371"/>
      <c r="LJ371"/>
      <c r="LK371"/>
      <c r="LL371"/>
      <c r="LM371"/>
      <c r="LN371"/>
      <c r="LO371"/>
      <c r="LP371"/>
      <c r="LQ371"/>
      <c r="LR371"/>
      <c r="LS371"/>
      <c r="LT371"/>
      <c r="LU371"/>
      <c r="LV371"/>
      <c r="LW371"/>
      <c r="LX371"/>
      <c r="LY371"/>
      <c r="LZ371"/>
      <c r="MA371"/>
      <c r="MB371"/>
      <c r="MC371"/>
      <c r="MD371"/>
      <c r="ME371"/>
      <c r="MF371"/>
      <c r="MG371"/>
      <c r="MH371"/>
      <c r="MI371"/>
      <c r="MJ371"/>
      <c r="MK371"/>
      <c r="ML371"/>
      <c r="MM371"/>
      <c r="MN371"/>
      <c r="MO371"/>
      <c r="MP371"/>
      <c r="MQ371"/>
      <c r="MR371"/>
      <c r="MS371"/>
      <c r="MT371"/>
      <c r="MU371"/>
      <c r="MV371"/>
      <c r="MW371"/>
      <c r="MX371"/>
      <c r="MY371"/>
      <c r="MZ371"/>
      <c r="NA371"/>
      <c r="NB371"/>
      <c r="NC371"/>
      <c r="ND371"/>
      <c r="NE371"/>
      <c r="NF371"/>
      <c r="NG371"/>
      <c r="NH371"/>
      <c r="NI371"/>
      <c r="NJ371"/>
      <c r="NK371"/>
      <c r="NL371"/>
      <c r="NM371"/>
      <c r="NN371"/>
      <c r="NO371"/>
      <c r="NP371"/>
      <c r="NQ371"/>
      <c r="NR371"/>
      <c r="NS371"/>
      <c r="NT371"/>
      <c r="NU371"/>
      <c r="NV371"/>
      <c r="NW371"/>
      <c r="NX371"/>
      <c r="NY371"/>
      <c r="NZ371"/>
      <c r="OA371"/>
      <c r="OB371"/>
      <c r="OC371"/>
      <c r="OD371"/>
      <c r="OE371"/>
      <c r="OF371"/>
      <c r="OG371"/>
      <c r="OH371"/>
      <c r="OI371"/>
      <c r="OJ371"/>
      <c r="OK371"/>
      <c r="OL371"/>
      <c r="OM371"/>
      <c r="ON371"/>
      <c r="OO371"/>
      <c r="OP371"/>
      <c r="OQ371"/>
      <c r="OR371"/>
      <c r="OS371"/>
      <c r="OT371"/>
      <c r="OU371"/>
      <c r="OV371"/>
      <c r="OW371"/>
      <c r="OX371"/>
      <c r="OY371"/>
      <c r="OZ371"/>
      <c r="PA371"/>
      <c r="PB371"/>
      <c r="PC371"/>
      <c r="PD371"/>
      <c r="PE371"/>
      <c r="PF371"/>
      <c r="PG371"/>
      <c r="PH371"/>
      <c r="PI371"/>
      <c r="PJ371"/>
      <c r="PK371"/>
      <c r="PL371"/>
      <c r="PM371"/>
      <c r="PN371"/>
      <c r="PO371"/>
      <c r="PP371"/>
      <c r="PQ371"/>
      <c r="PR371"/>
      <c r="PS371"/>
      <c r="PT371"/>
      <c r="PU371"/>
      <c r="PV371"/>
      <c r="PW371"/>
      <c r="PX371"/>
      <c r="PY371"/>
      <c r="PZ371"/>
      <c r="QA371"/>
      <c r="QB371"/>
      <c r="QC371"/>
      <c r="QD371"/>
      <c r="QE371"/>
      <c r="QF371"/>
      <c r="QG371"/>
      <c r="QH371"/>
      <c r="QI371"/>
      <c r="QJ371"/>
      <c r="QK371"/>
      <c r="QL371"/>
      <c r="QM371"/>
      <c r="QN371"/>
      <c r="QO371"/>
      <c r="QP371"/>
      <c r="QQ371"/>
      <c r="QR371"/>
      <c r="QS371"/>
      <c r="QT371"/>
      <c r="QU371"/>
      <c r="QV371"/>
      <c r="QW371"/>
      <c r="QX371"/>
      <c r="QY371"/>
      <c r="QZ371"/>
      <c r="RA371"/>
      <c r="RB371"/>
      <c r="RC371"/>
      <c r="RD371"/>
      <c r="RE371"/>
      <c r="RF371"/>
      <c r="RG371"/>
      <c r="RH371"/>
      <c r="RI371"/>
      <c r="RJ371"/>
      <c r="RK371"/>
      <c r="RL371"/>
      <c r="RM371"/>
      <c r="RN371"/>
      <c r="RO371"/>
      <c r="RP371"/>
      <c r="RQ371"/>
      <c r="RR371"/>
      <c r="RS371"/>
    </row>
    <row r="372" spans="19:487" x14ac:dyDescent="0.25"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  <c r="AH372"/>
      <c r="AI372"/>
      <c r="AJ372"/>
      <c r="AK372"/>
      <c r="AL372"/>
      <c r="AM372"/>
      <c r="AN372"/>
      <c r="AO372"/>
      <c r="AP372"/>
      <c r="AQ372"/>
      <c r="AR372"/>
      <c r="AS372"/>
      <c r="AT372"/>
      <c r="AU372"/>
      <c r="AV372"/>
      <c r="AW372"/>
      <c r="AX372"/>
      <c r="AY372"/>
      <c r="AZ372"/>
      <c r="BA372"/>
      <c r="BB372"/>
      <c r="BC372"/>
      <c r="BD372"/>
      <c r="BE372"/>
      <c r="BF372"/>
      <c r="BG372"/>
      <c r="BH372"/>
      <c r="BI372"/>
      <c r="BJ372"/>
      <c r="BK372"/>
      <c r="BL372"/>
      <c r="BM372"/>
      <c r="BN372"/>
      <c r="BO372"/>
      <c r="BP372"/>
      <c r="BQ372"/>
      <c r="BR372"/>
      <c r="BS372"/>
      <c r="BT372"/>
      <c r="BU372"/>
      <c r="BV372"/>
      <c r="BW372"/>
      <c r="BX372"/>
      <c r="BY372"/>
      <c r="BZ372"/>
      <c r="CA372"/>
      <c r="CB372"/>
      <c r="CC372"/>
      <c r="CD372"/>
      <c r="CE372"/>
      <c r="CF372"/>
      <c r="CG372"/>
      <c r="CH372"/>
      <c r="CI372"/>
      <c r="CJ372"/>
      <c r="CK372"/>
      <c r="CL372"/>
      <c r="CM372"/>
      <c r="CN372"/>
      <c r="CO372"/>
      <c r="CP372"/>
      <c r="CQ372"/>
      <c r="CR372"/>
      <c r="CS372"/>
      <c r="CT372"/>
      <c r="CU372"/>
      <c r="CV372"/>
      <c r="CW372"/>
      <c r="CX372"/>
      <c r="CY372"/>
      <c r="CZ372"/>
      <c r="DA372"/>
      <c r="DB372"/>
      <c r="DC372"/>
      <c r="DD372"/>
      <c r="DE372"/>
      <c r="DF372"/>
      <c r="DG372"/>
      <c r="DH372"/>
      <c r="DI372"/>
      <c r="DJ372"/>
      <c r="DK372"/>
      <c r="DL372"/>
      <c r="DM372"/>
      <c r="DN372"/>
      <c r="DO372"/>
      <c r="DP372"/>
      <c r="DQ372"/>
      <c r="DR372"/>
      <c r="DS372"/>
      <c r="DT372"/>
      <c r="DU372"/>
      <c r="DV372"/>
      <c r="DW372"/>
      <c r="DX372"/>
      <c r="DY372"/>
      <c r="DZ372"/>
      <c r="EA372"/>
      <c r="EB372"/>
      <c r="EC372"/>
      <c r="ED372"/>
      <c r="EE372"/>
      <c r="EF372"/>
      <c r="EG372"/>
      <c r="EH372"/>
      <c r="EI372"/>
      <c r="EJ372"/>
      <c r="EK372"/>
      <c r="EL372"/>
      <c r="EM372"/>
      <c r="EN372"/>
      <c r="EO372"/>
      <c r="EP372"/>
      <c r="EQ372"/>
      <c r="ER372"/>
      <c r="ES372"/>
      <c r="ET372"/>
      <c r="EU372"/>
      <c r="EV372"/>
      <c r="EW372"/>
      <c r="EX372"/>
      <c r="EY372"/>
      <c r="EZ372"/>
      <c r="FA372"/>
      <c r="FB372"/>
      <c r="FC372"/>
      <c r="FD372"/>
      <c r="FE372"/>
      <c r="FF372"/>
      <c r="FG372"/>
      <c r="FH372"/>
      <c r="FI372"/>
      <c r="FJ372"/>
      <c r="FK372"/>
      <c r="FL372"/>
      <c r="FM372"/>
      <c r="FN372"/>
      <c r="FO372"/>
      <c r="FP372"/>
      <c r="FQ372"/>
      <c r="FR372"/>
      <c r="FS372"/>
      <c r="FT372"/>
      <c r="FU372"/>
      <c r="FV372"/>
      <c r="FW372"/>
      <c r="FX372"/>
      <c r="FY372"/>
      <c r="FZ372"/>
      <c r="GA372"/>
      <c r="GB372"/>
      <c r="GC372"/>
      <c r="GD372"/>
      <c r="GE372"/>
      <c r="GF372"/>
      <c r="GG372"/>
      <c r="GH372"/>
      <c r="GI372"/>
      <c r="GJ372"/>
      <c r="GK372"/>
      <c r="GL372"/>
      <c r="GM372"/>
      <c r="GN372"/>
      <c r="GO372"/>
      <c r="GP372"/>
      <c r="GQ372"/>
      <c r="GR372"/>
      <c r="GS372"/>
      <c r="GT372"/>
      <c r="GU372"/>
      <c r="GV372"/>
      <c r="GW372"/>
      <c r="GX372"/>
      <c r="GY372"/>
      <c r="GZ372"/>
      <c r="HA372"/>
      <c r="HB372"/>
      <c r="HC372"/>
      <c r="HD372"/>
      <c r="HE372"/>
      <c r="HF372"/>
      <c r="HG372"/>
      <c r="HH372"/>
      <c r="HI372"/>
      <c r="HJ372"/>
      <c r="HK372"/>
      <c r="HL372"/>
      <c r="HM372"/>
      <c r="HN372"/>
      <c r="HO372"/>
      <c r="HP372"/>
      <c r="HQ372"/>
      <c r="HR372"/>
      <c r="HS372"/>
      <c r="HT372"/>
      <c r="HU372"/>
      <c r="HV372"/>
      <c r="HW372"/>
      <c r="HX372"/>
      <c r="HY372"/>
      <c r="HZ372"/>
      <c r="IA372"/>
      <c r="IB372"/>
      <c r="IC372"/>
      <c r="ID372"/>
      <c r="IE372"/>
      <c r="IF372"/>
      <c r="IG372"/>
      <c r="IH372"/>
      <c r="II372"/>
      <c r="IJ372"/>
      <c r="IK372"/>
      <c r="IL372"/>
      <c r="IM372"/>
      <c r="IN372"/>
      <c r="IO372"/>
      <c r="IP372"/>
      <c r="IQ372"/>
      <c r="IR372"/>
      <c r="IS372"/>
      <c r="IT372"/>
      <c r="IU372"/>
      <c r="IV372"/>
      <c r="IW372"/>
      <c r="IX372"/>
      <c r="IY372"/>
      <c r="IZ372"/>
      <c r="JA372"/>
      <c r="JB372"/>
      <c r="JC372"/>
      <c r="JD372"/>
      <c r="JE372"/>
      <c r="JF372"/>
      <c r="JG372"/>
      <c r="JH372"/>
      <c r="JI372"/>
      <c r="JJ372"/>
      <c r="JK372"/>
      <c r="JL372"/>
      <c r="JM372"/>
      <c r="JN372"/>
      <c r="JO372"/>
      <c r="JP372"/>
      <c r="JQ372"/>
      <c r="JR372"/>
      <c r="JS372"/>
      <c r="JT372"/>
      <c r="JU372"/>
      <c r="JV372"/>
      <c r="JW372"/>
      <c r="JX372"/>
      <c r="JY372"/>
      <c r="JZ372"/>
      <c r="KA372"/>
      <c r="KB372"/>
      <c r="KC372"/>
      <c r="KD372"/>
      <c r="KE372"/>
      <c r="KF372"/>
      <c r="KG372"/>
      <c r="KH372"/>
      <c r="KI372"/>
      <c r="KJ372"/>
      <c r="KK372"/>
      <c r="KL372"/>
      <c r="KM372"/>
      <c r="KN372"/>
      <c r="KO372"/>
      <c r="KP372"/>
      <c r="KQ372"/>
      <c r="KR372"/>
      <c r="KS372"/>
      <c r="KT372"/>
      <c r="KU372"/>
      <c r="KV372"/>
      <c r="KW372"/>
      <c r="KX372"/>
      <c r="KY372"/>
      <c r="KZ372"/>
      <c r="LA372"/>
      <c r="LB372"/>
      <c r="LC372"/>
      <c r="LD372"/>
      <c r="LE372"/>
      <c r="LF372"/>
      <c r="LG372"/>
      <c r="LH372"/>
      <c r="LI372"/>
      <c r="LJ372"/>
      <c r="LK372"/>
      <c r="LL372"/>
      <c r="LM372"/>
      <c r="LN372"/>
      <c r="LO372"/>
      <c r="LP372"/>
      <c r="LQ372"/>
      <c r="LR372"/>
      <c r="LS372"/>
      <c r="LT372"/>
      <c r="LU372"/>
      <c r="LV372"/>
      <c r="LW372"/>
      <c r="LX372"/>
      <c r="LY372"/>
      <c r="LZ372"/>
      <c r="MA372"/>
      <c r="MB372"/>
      <c r="MC372"/>
      <c r="MD372"/>
      <c r="ME372"/>
      <c r="MF372"/>
      <c r="MG372"/>
      <c r="MH372"/>
      <c r="MI372"/>
      <c r="MJ372"/>
      <c r="MK372"/>
      <c r="ML372"/>
      <c r="MM372"/>
      <c r="MN372"/>
      <c r="MO372"/>
      <c r="MP372"/>
      <c r="MQ372"/>
      <c r="MR372"/>
      <c r="MS372"/>
      <c r="MT372"/>
      <c r="MU372"/>
      <c r="MV372"/>
      <c r="MW372"/>
      <c r="MX372"/>
      <c r="MY372"/>
      <c r="MZ372"/>
      <c r="NA372"/>
      <c r="NB372"/>
      <c r="NC372"/>
      <c r="ND372"/>
      <c r="NE372"/>
      <c r="NF372"/>
      <c r="NG372"/>
      <c r="NH372"/>
      <c r="NI372"/>
      <c r="NJ372"/>
      <c r="NK372"/>
      <c r="NL372"/>
      <c r="NM372"/>
      <c r="NN372"/>
      <c r="NO372"/>
      <c r="NP372"/>
      <c r="NQ372"/>
      <c r="NR372"/>
      <c r="NS372"/>
      <c r="NT372"/>
      <c r="NU372"/>
      <c r="NV372"/>
      <c r="NW372"/>
      <c r="NX372"/>
      <c r="NY372"/>
      <c r="NZ372"/>
      <c r="OA372"/>
      <c r="OB372"/>
      <c r="OC372"/>
      <c r="OD372"/>
      <c r="OE372"/>
      <c r="OF372"/>
      <c r="OG372"/>
      <c r="OH372"/>
      <c r="OI372"/>
      <c r="OJ372"/>
      <c r="OK372"/>
      <c r="OL372"/>
      <c r="OM372"/>
      <c r="ON372"/>
      <c r="OO372"/>
      <c r="OP372"/>
      <c r="OQ372"/>
      <c r="OR372"/>
      <c r="OS372"/>
      <c r="OT372"/>
      <c r="OU372"/>
      <c r="OV372"/>
      <c r="OW372"/>
      <c r="OX372"/>
      <c r="OY372"/>
      <c r="OZ372"/>
      <c r="PA372"/>
      <c r="PB372"/>
      <c r="PC372"/>
      <c r="PD372"/>
      <c r="PE372"/>
      <c r="PF372"/>
      <c r="PG372"/>
      <c r="PH372"/>
      <c r="PI372"/>
      <c r="PJ372"/>
      <c r="PK372"/>
      <c r="PL372"/>
      <c r="PM372"/>
      <c r="PN372"/>
      <c r="PO372"/>
      <c r="PP372"/>
      <c r="PQ372"/>
      <c r="PR372"/>
      <c r="PS372"/>
      <c r="PT372"/>
      <c r="PU372"/>
      <c r="PV372"/>
      <c r="PW372"/>
      <c r="PX372"/>
      <c r="PY372"/>
      <c r="PZ372"/>
      <c r="QA372"/>
      <c r="QB372"/>
      <c r="QC372"/>
      <c r="QD372"/>
      <c r="QE372"/>
      <c r="QF372"/>
      <c r="QG372"/>
      <c r="QH372"/>
      <c r="QI372"/>
      <c r="QJ372"/>
      <c r="QK372"/>
      <c r="QL372"/>
      <c r="QM372"/>
      <c r="QN372"/>
      <c r="QO372"/>
      <c r="QP372"/>
      <c r="QQ372"/>
      <c r="QR372"/>
      <c r="QS372"/>
      <c r="QT372"/>
      <c r="QU372"/>
      <c r="QV372"/>
      <c r="QW372"/>
      <c r="QX372"/>
      <c r="QY372"/>
      <c r="QZ372"/>
      <c r="RA372"/>
      <c r="RB372"/>
      <c r="RC372"/>
      <c r="RD372"/>
      <c r="RE372"/>
      <c r="RF372"/>
      <c r="RG372"/>
      <c r="RH372"/>
      <c r="RI372"/>
      <c r="RJ372"/>
      <c r="RK372"/>
      <c r="RL372"/>
      <c r="RM372"/>
      <c r="RN372"/>
      <c r="RO372"/>
      <c r="RP372"/>
      <c r="RQ372"/>
      <c r="RR372"/>
      <c r="RS372"/>
    </row>
    <row r="373" spans="19:487" x14ac:dyDescent="0.25"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  <c r="AH373"/>
      <c r="AI373"/>
      <c r="AJ373"/>
      <c r="AK373"/>
      <c r="AL373"/>
      <c r="AM373"/>
      <c r="AN373"/>
      <c r="AO373"/>
      <c r="AP373"/>
      <c r="AQ373"/>
      <c r="AR373"/>
      <c r="AS373"/>
      <c r="AT373"/>
      <c r="AU373"/>
      <c r="AV373"/>
      <c r="AW373"/>
      <c r="AX373"/>
      <c r="AY373"/>
      <c r="AZ373"/>
      <c r="BA373"/>
      <c r="BB373"/>
      <c r="BC373"/>
      <c r="BD373"/>
      <c r="BE373"/>
      <c r="BF373"/>
      <c r="BG373"/>
      <c r="BH373"/>
      <c r="BI373"/>
      <c r="BJ373"/>
      <c r="BK373"/>
      <c r="BL373"/>
      <c r="BM373"/>
      <c r="BN373"/>
      <c r="BO373"/>
      <c r="BP373"/>
      <c r="BQ373"/>
      <c r="BR373"/>
      <c r="BS373"/>
      <c r="BT373"/>
      <c r="BU373"/>
      <c r="BV373"/>
      <c r="BW373"/>
      <c r="BX373"/>
      <c r="BY373"/>
      <c r="BZ373"/>
      <c r="CA373"/>
      <c r="CB373"/>
      <c r="CC373"/>
      <c r="CD373"/>
      <c r="CE373"/>
      <c r="CF373"/>
      <c r="CG373"/>
      <c r="CH373"/>
      <c r="CI373"/>
      <c r="CJ373"/>
      <c r="CK373"/>
      <c r="CL373"/>
      <c r="CM373"/>
      <c r="CN373"/>
      <c r="CO373"/>
      <c r="CP373"/>
      <c r="CQ373"/>
      <c r="CR373"/>
      <c r="CS373"/>
      <c r="CT373"/>
      <c r="CU373"/>
      <c r="CV373"/>
      <c r="CW373"/>
      <c r="CX373"/>
      <c r="CY373"/>
      <c r="CZ373"/>
      <c r="DA373"/>
      <c r="DB373"/>
      <c r="DC373"/>
      <c r="DD373"/>
      <c r="DE373"/>
      <c r="DF373"/>
      <c r="DG373"/>
      <c r="DH373"/>
      <c r="DI373"/>
      <c r="DJ373"/>
      <c r="DK373"/>
      <c r="DL373"/>
      <c r="DM373"/>
      <c r="DN373"/>
      <c r="DO373"/>
      <c r="DP373"/>
      <c r="DQ373"/>
      <c r="DR373"/>
      <c r="DS373"/>
      <c r="DT373"/>
      <c r="DU373"/>
      <c r="DV373"/>
      <c r="DW373"/>
      <c r="DX373"/>
      <c r="DY373"/>
      <c r="DZ373"/>
      <c r="EA373"/>
      <c r="EB373"/>
      <c r="EC373"/>
      <c r="ED373"/>
      <c r="EE373"/>
      <c r="EF373"/>
      <c r="EG373"/>
      <c r="EH373"/>
      <c r="EI373"/>
      <c r="EJ373"/>
      <c r="EK373"/>
      <c r="EL373"/>
      <c r="EM373"/>
      <c r="EN373"/>
      <c r="EO373"/>
      <c r="EP373"/>
      <c r="EQ373"/>
      <c r="ER373"/>
      <c r="ES373"/>
      <c r="ET373"/>
      <c r="EU373"/>
      <c r="EV373"/>
      <c r="EW373"/>
      <c r="EX373"/>
      <c r="EY373"/>
      <c r="EZ373"/>
      <c r="FA373"/>
      <c r="FB373"/>
      <c r="FC373"/>
      <c r="FD373"/>
      <c r="FE373"/>
      <c r="FF373"/>
      <c r="FG373"/>
      <c r="FH373"/>
      <c r="FI373"/>
      <c r="FJ373"/>
      <c r="FK373"/>
      <c r="FL373"/>
      <c r="FM373"/>
      <c r="FN373"/>
      <c r="FO373"/>
      <c r="FP373"/>
      <c r="FQ373"/>
      <c r="FR373"/>
      <c r="FS373"/>
      <c r="FT373"/>
      <c r="FU373"/>
      <c r="FV373"/>
      <c r="FW373"/>
      <c r="FX373"/>
      <c r="FY373"/>
      <c r="FZ373"/>
      <c r="GA373"/>
      <c r="GB373"/>
      <c r="GC373"/>
      <c r="GD373"/>
      <c r="GE373"/>
      <c r="GF373"/>
      <c r="GG373"/>
      <c r="GH373"/>
      <c r="GI373"/>
      <c r="GJ373"/>
      <c r="GK373"/>
      <c r="GL373"/>
      <c r="GM373"/>
      <c r="GN373"/>
      <c r="GO373"/>
      <c r="GP373"/>
      <c r="GQ373"/>
      <c r="GR373"/>
      <c r="GS373"/>
      <c r="GT373"/>
      <c r="GU373"/>
      <c r="GV373"/>
      <c r="GW373"/>
      <c r="GX373"/>
      <c r="GY373"/>
      <c r="GZ373"/>
      <c r="HA373"/>
      <c r="HB373"/>
      <c r="HC373"/>
      <c r="HD373"/>
      <c r="HE373"/>
      <c r="HF373"/>
      <c r="HG373"/>
      <c r="HH373"/>
      <c r="HI373"/>
      <c r="HJ373"/>
      <c r="HK373"/>
      <c r="HL373"/>
      <c r="HM373"/>
      <c r="HN373"/>
      <c r="HO373"/>
      <c r="HP373"/>
      <c r="HQ373"/>
      <c r="HR373"/>
      <c r="HS373"/>
      <c r="HT373"/>
      <c r="HU373"/>
      <c r="HV373"/>
      <c r="HW373"/>
      <c r="HX373"/>
      <c r="HY373"/>
      <c r="HZ373"/>
      <c r="IA373"/>
      <c r="IB373"/>
      <c r="IC373"/>
      <c r="ID373"/>
      <c r="IE373"/>
      <c r="IF373"/>
      <c r="IG373"/>
      <c r="IH373"/>
      <c r="II373"/>
      <c r="IJ373"/>
      <c r="IK373"/>
      <c r="IL373"/>
      <c r="IM373"/>
      <c r="IN373"/>
      <c r="IO373"/>
      <c r="IP373"/>
      <c r="IQ373"/>
      <c r="IR373"/>
      <c r="IS373"/>
      <c r="IT373"/>
      <c r="IU373"/>
      <c r="IV373"/>
      <c r="IW373"/>
      <c r="IX373"/>
      <c r="IY373"/>
      <c r="IZ373"/>
      <c r="JA373"/>
      <c r="JB373"/>
      <c r="JC373"/>
      <c r="JD373"/>
      <c r="JE373"/>
      <c r="JF373"/>
      <c r="JG373"/>
      <c r="JH373"/>
      <c r="JI373"/>
      <c r="JJ373"/>
      <c r="JK373"/>
      <c r="JL373"/>
      <c r="JM373"/>
      <c r="JN373"/>
      <c r="JO373"/>
      <c r="JP373"/>
      <c r="JQ373"/>
      <c r="JR373"/>
      <c r="JS373"/>
      <c r="JT373"/>
      <c r="JU373"/>
      <c r="JV373"/>
      <c r="JW373"/>
      <c r="JX373"/>
      <c r="JY373"/>
      <c r="JZ373"/>
      <c r="KA373"/>
      <c r="KB373"/>
      <c r="KC373"/>
      <c r="KD373"/>
      <c r="KE373"/>
      <c r="KF373"/>
      <c r="KG373"/>
      <c r="KH373"/>
      <c r="KI373"/>
      <c r="KJ373"/>
      <c r="KK373"/>
      <c r="KL373"/>
      <c r="KM373"/>
      <c r="KN373"/>
      <c r="KO373"/>
      <c r="KP373"/>
      <c r="KQ373"/>
      <c r="KR373"/>
      <c r="KS373"/>
      <c r="KT373"/>
      <c r="KU373"/>
      <c r="KV373"/>
      <c r="KW373"/>
      <c r="KX373"/>
      <c r="KY373"/>
      <c r="KZ373"/>
      <c r="LA373"/>
      <c r="LB373"/>
      <c r="LC373"/>
      <c r="LD373"/>
      <c r="LE373"/>
      <c r="LF373"/>
      <c r="LG373"/>
      <c r="LH373"/>
      <c r="LI373"/>
      <c r="LJ373"/>
      <c r="LK373"/>
      <c r="LL373"/>
      <c r="LM373"/>
      <c r="LN373"/>
      <c r="LO373"/>
      <c r="LP373"/>
      <c r="LQ373"/>
      <c r="LR373"/>
      <c r="LS373"/>
      <c r="LT373"/>
      <c r="LU373"/>
      <c r="LV373"/>
      <c r="LW373"/>
      <c r="LX373"/>
      <c r="LY373"/>
      <c r="LZ373"/>
      <c r="MA373"/>
      <c r="MB373"/>
      <c r="MC373"/>
      <c r="MD373"/>
      <c r="ME373"/>
      <c r="MF373"/>
      <c r="MG373"/>
      <c r="MH373"/>
      <c r="MI373"/>
      <c r="MJ373"/>
      <c r="MK373"/>
      <c r="ML373"/>
      <c r="MM373"/>
      <c r="MN373"/>
      <c r="MO373"/>
      <c r="MP373"/>
      <c r="MQ373"/>
      <c r="MR373"/>
      <c r="MS373"/>
      <c r="MT373"/>
      <c r="MU373"/>
      <c r="MV373"/>
      <c r="MW373"/>
      <c r="MX373"/>
      <c r="MY373"/>
      <c r="MZ373"/>
      <c r="NA373"/>
      <c r="NB373"/>
      <c r="NC373"/>
      <c r="ND373"/>
      <c r="NE373"/>
      <c r="NF373"/>
      <c r="NG373"/>
      <c r="NH373"/>
      <c r="NI373"/>
      <c r="NJ373"/>
      <c r="NK373"/>
      <c r="NL373"/>
      <c r="NM373"/>
      <c r="NN373"/>
      <c r="NO373"/>
      <c r="NP373"/>
      <c r="NQ373"/>
      <c r="NR373"/>
      <c r="NS373"/>
      <c r="NT373"/>
      <c r="NU373"/>
      <c r="NV373"/>
      <c r="NW373"/>
      <c r="NX373"/>
      <c r="NY373"/>
      <c r="NZ373"/>
      <c r="OA373"/>
      <c r="OB373"/>
      <c r="OC373"/>
      <c r="OD373"/>
      <c r="OE373"/>
      <c r="OF373"/>
      <c r="OG373"/>
      <c r="OH373"/>
      <c r="OI373"/>
      <c r="OJ373"/>
      <c r="OK373"/>
      <c r="OL373"/>
      <c r="OM373"/>
      <c r="ON373"/>
      <c r="OO373"/>
      <c r="OP373"/>
      <c r="OQ373"/>
      <c r="OR373"/>
      <c r="OS373"/>
      <c r="OT373"/>
      <c r="OU373"/>
      <c r="OV373"/>
      <c r="OW373"/>
      <c r="OX373"/>
      <c r="OY373"/>
      <c r="OZ373"/>
      <c r="PA373"/>
      <c r="PB373"/>
      <c r="PC373"/>
      <c r="PD373"/>
      <c r="PE373"/>
      <c r="PF373"/>
      <c r="PG373"/>
      <c r="PH373"/>
      <c r="PI373"/>
      <c r="PJ373"/>
      <c r="PK373"/>
      <c r="PL373"/>
      <c r="PM373"/>
      <c r="PN373"/>
      <c r="PO373"/>
      <c r="PP373"/>
      <c r="PQ373"/>
      <c r="PR373"/>
      <c r="PS373"/>
      <c r="PT373"/>
      <c r="PU373"/>
      <c r="PV373"/>
      <c r="PW373"/>
      <c r="PX373"/>
      <c r="PY373"/>
      <c r="PZ373"/>
      <c r="QA373"/>
      <c r="QB373"/>
      <c r="QC373"/>
      <c r="QD373"/>
      <c r="QE373"/>
      <c r="QF373"/>
      <c r="QG373"/>
      <c r="QH373"/>
      <c r="QI373"/>
      <c r="QJ373"/>
      <c r="QK373"/>
      <c r="QL373"/>
      <c r="QM373"/>
      <c r="QN373"/>
      <c r="QO373"/>
      <c r="QP373"/>
      <c r="QQ373"/>
      <c r="QR373"/>
      <c r="QS373"/>
      <c r="QT373"/>
      <c r="QU373"/>
      <c r="QV373"/>
      <c r="QW373"/>
      <c r="QX373"/>
      <c r="QY373"/>
      <c r="QZ373"/>
      <c r="RA373"/>
      <c r="RB373"/>
      <c r="RC373"/>
      <c r="RD373"/>
      <c r="RE373"/>
      <c r="RF373"/>
      <c r="RG373"/>
      <c r="RH373"/>
      <c r="RI373"/>
      <c r="RJ373"/>
      <c r="RK373"/>
      <c r="RL373"/>
      <c r="RM373"/>
      <c r="RN373"/>
      <c r="RO373"/>
      <c r="RP373"/>
      <c r="RQ373"/>
      <c r="RR373"/>
      <c r="RS373"/>
    </row>
    <row r="374" spans="19:487" x14ac:dyDescent="0.25"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  <c r="AH374"/>
      <c r="AI374"/>
      <c r="AJ374"/>
      <c r="AK374"/>
      <c r="AL374"/>
      <c r="AM374"/>
      <c r="AN374"/>
      <c r="AO374"/>
      <c r="AP374"/>
      <c r="AQ374"/>
      <c r="AR374"/>
      <c r="AS374"/>
      <c r="AT374"/>
      <c r="AU374"/>
      <c r="AV374"/>
      <c r="AW374"/>
      <c r="AX374"/>
      <c r="AY374"/>
      <c r="AZ374"/>
      <c r="BA374"/>
      <c r="BB374"/>
      <c r="BC374"/>
      <c r="BD374"/>
      <c r="BE374"/>
      <c r="BF374"/>
      <c r="BG374"/>
      <c r="BH374"/>
      <c r="BI374"/>
      <c r="BJ374"/>
      <c r="BK374"/>
      <c r="BL374"/>
      <c r="BM374"/>
      <c r="BN374"/>
      <c r="BO374"/>
      <c r="BP374"/>
      <c r="BQ374"/>
      <c r="BR374"/>
      <c r="BS374"/>
      <c r="BT374"/>
      <c r="BU374"/>
      <c r="BV374"/>
      <c r="BW374"/>
      <c r="BX374"/>
      <c r="BY374"/>
      <c r="BZ374"/>
      <c r="CA374"/>
      <c r="CB374"/>
      <c r="CC374"/>
      <c r="CD374"/>
      <c r="CE374"/>
      <c r="CF374"/>
      <c r="CG374"/>
      <c r="CH374"/>
      <c r="CI374"/>
      <c r="CJ374"/>
      <c r="CK374"/>
      <c r="CL374"/>
      <c r="CM374"/>
      <c r="CN374"/>
      <c r="CO374"/>
      <c r="CP374"/>
      <c r="CQ374"/>
      <c r="CR374"/>
      <c r="CS374"/>
      <c r="CT374"/>
      <c r="CU374"/>
      <c r="CV374"/>
      <c r="CW374"/>
      <c r="CX374"/>
      <c r="CY374"/>
      <c r="CZ374"/>
      <c r="DA374"/>
      <c r="DB374"/>
      <c r="DC374"/>
      <c r="DD374"/>
      <c r="DE374"/>
      <c r="DF374"/>
      <c r="DG374"/>
      <c r="DH374"/>
      <c r="DI374"/>
      <c r="DJ374"/>
      <c r="DK374"/>
      <c r="DL374"/>
      <c r="DM374"/>
      <c r="DN374"/>
      <c r="DO374"/>
      <c r="DP374"/>
      <c r="DQ374"/>
      <c r="DR374"/>
      <c r="DS374"/>
      <c r="DT374"/>
      <c r="DU374"/>
      <c r="DV374"/>
      <c r="DW374"/>
      <c r="DX374"/>
      <c r="DY374"/>
      <c r="DZ374"/>
      <c r="EA374"/>
      <c r="EB374"/>
      <c r="EC374"/>
      <c r="ED374"/>
      <c r="EE374"/>
      <c r="EF374"/>
      <c r="EG374"/>
      <c r="EH374"/>
      <c r="EI374"/>
      <c r="EJ374"/>
      <c r="EK374"/>
      <c r="EL374"/>
      <c r="EM374"/>
      <c r="EN374"/>
      <c r="EO374"/>
      <c r="EP374"/>
      <c r="EQ374"/>
      <c r="ER374"/>
      <c r="ES374"/>
      <c r="ET374"/>
      <c r="EU374"/>
      <c r="EV374"/>
      <c r="EW374"/>
      <c r="EX374"/>
      <c r="EY374"/>
      <c r="EZ374"/>
      <c r="FA374"/>
      <c r="FB374"/>
      <c r="FC374"/>
      <c r="FD374"/>
      <c r="FE374"/>
      <c r="FF374"/>
      <c r="FG374"/>
      <c r="FH374"/>
      <c r="FI374"/>
      <c r="FJ374"/>
      <c r="FK374"/>
      <c r="FL374"/>
      <c r="FM374"/>
      <c r="FN374"/>
      <c r="FO374"/>
      <c r="FP374"/>
      <c r="FQ374"/>
      <c r="FR374"/>
      <c r="FS374"/>
      <c r="FT374"/>
      <c r="FU374"/>
      <c r="FV374"/>
      <c r="FW374"/>
      <c r="FX374"/>
      <c r="FY374"/>
      <c r="FZ374"/>
      <c r="GA374"/>
      <c r="GB374"/>
      <c r="GC374"/>
      <c r="GD374"/>
      <c r="GE374"/>
      <c r="GF374"/>
      <c r="GG374"/>
      <c r="GH374"/>
      <c r="GI374"/>
      <c r="GJ374"/>
      <c r="GK374"/>
      <c r="GL374"/>
      <c r="GM374"/>
      <c r="GN374"/>
      <c r="GO374"/>
      <c r="GP374"/>
      <c r="GQ374"/>
      <c r="GR374"/>
      <c r="GS374"/>
      <c r="GT374"/>
      <c r="GU374"/>
      <c r="GV374"/>
      <c r="GW374"/>
      <c r="GX374"/>
      <c r="GY374"/>
      <c r="GZ374"/>
      <c r="HA374"/>
      <c r="HB374"/>
      <c r="HC374"/>
      <c r="HD374"/>
      <c r="HE374"/>
      <c r="HF374"/>
      <c r="HG374"/>
      <c r="HH374"/>
      <c r="HI374"/>
      <c r="HJ374"/>
      <c r="HK374"/>
      <c r="HL374"/>
      <c r="HM374"/>
      <c r="HN374"/>
      <c r="HO374"/>
      <c r="HP374"/>
      <c r="HQ374"/>
      <c r="HR374"/>
      <c r="HS374"/>
      <c r="HT374"/>
      <c r="HU374"/>
      <c r="HV374"/>
      <c r="HW374"/>
      <c r="HX374"/>
      <c r="HY374"/>
      <c r="HZ374"/>
      <c r="IA374"/>
      <c r="IB374"/>
      <c r="IC374"/>
      <c r="ID374"/>
      <c r="IE374"/>
      <c r="IF374"/>
      <c r="IG374"/>
      <c r="IH374"/>
      <c r="II374"/>
      <c r="IJ374"/>
      <c r="IK374"/>
      <c r="IL374"/>
      <c r="IM374"/>
      <c r="IN374"/>
      <c r="IO374"/>
      <c r="IP374"/>
      <c r="IQ374"/>
      <c r="IR374"/>
      <c r="IS374"/>
      <c r="IT374"/>
      <c r="IU374"/>
      <c r="IV374"/>
      <c r="IW374"/>
      <c r="IX374"/>
      <c r="IY374"/>
      <c r="IZ374"/>
      <c r="JA374"/>
      <c r="JB374"/>
      <c r="JC374"/>
      <c r="JD374"/>
      <c r="JE374"/>
      <c r="JF374"/>
      <c r="JG374"/>
      <c r="JH374"/>
      <c r="JI374"/>
      <c r="JJ374"/>
      <c r="JK374"/>
      <c r="JL374"/>
      <c r="JM374"/>
      <c r="JN374"/>
      <c r="JO374"/>
      <c r="JP374"/>
      <c r="JQ374"/>
      <c r="JR374"/>
      <c r="JS374"/>
      <c r="JT374"/>
      <c r="JU374"/>
      <c r="JV374"/>
      <c r="JW374"/>
      <c r="JX374"/>
      <c r="JY374"/>
      <c r="JZ374"/>
      <c r="KA374"/>
      <c r="KB374"/>
      <c r="KC374"/>
      <c r="KD374"/>
      <c r="KE374"/>
      <c r="KF374"/>
      <c r="KG374"/>
      <c r="KH374"/>
      <c r="KI374"/>
      <c r="KJ374"/>
      <c r="KK374"/>
      <c r="KL374"/>
      <c r="KM374"/>
      <c r="KN374"/>
      <c r="KO374"/>
      <c r="KP374"/>
      <c r="KQ374"/>
      <c r="KR374"/>
      <c r="KS374"/>
      <c r="KT374"/>
      <c r="KU374"/>
      <c r="KV374"/>
      <c r="KW374"/>
      <c r="KX374"/>
      <c r="KY374"/>
      <c r="KZ374"/>
      <c r="LA374"/>
      <c r="LB374"/>
      <c r="LC374"/>
      <c r="LD374"/>
      <c r="LE374"/>
      <c r="LF374"/>
      <c r="LG374"/>
      <c r="LH374"/>
      <c r="LI374"/>
      <c r="LJ374"/>
      <c r="LK374"/>
      <c r="LL374"/>
      <c r="LM374"/>
      <c r="LN374"/>
      <c r="LO374"/>
      <c r="LP374"/>
      <c r="LQ374"/>
      <c r="LR374"/>
      <c r="LS374"/>
      <c r="LT374"/>
      <c r="LU374"/>
      <c r="LV374"/>
      <c r="LW374"/>
      <c r="LX374"/>
      <c r="LY374"/>
      <c r="LZ374"/>
      <c r="MA374"/>
      <c r="MB374"/>
      <c r="MC374"/>
      <c r="MD374"/>
      <c r="ME374"/>
      <c r="MF374"/>
      <c r="MG374"/>
      <c r="MH374"/>
      <c r="MI374"/>
      <c r="MJ374"/>
      <c r="MK374"/>
      <c r="ML374"/>
      <c r="MM374"/>
      <c r="MN374"/>
      <c r="MO374"/>
      <c r="MP374"/>
      <c r="MQ374"/>
      <c r="MR374"/>
      <c r="MS374"/>
      <c r="MT374"/>
      <c r="MU374"/>
      <c r="MV374"/>
      <c r="MW374"/>
      <c r="MX374"/>
      <c r="MY374"/>
      <c r="MZ374"/>
      <c r="NA374"/>
      <c r="NB374"/>
      <c r="NC374"/>
      <c r="ND374"/>
      <c r="NE374"/>
      <c r="NF374"/>
      <c r="NG374"/>
      <c r="NH374"/>
      <c r="NI374"/>
      <c r="NJ374"/>
      <c r="NK374"/>
      <c r="NL374"/>
      <c r="NM374"/>
      <c r="NN374"/>
      <c r="NO374"/>
      <c r="NP374"/>
      <c r="NQ374"/>
      <c r="NR374"/>
      <c r="NS374"/>
      <c r="NT374"/>
      <c r="NU374"/>
      <c r="NV374"/>
      <c r="NW374"/>
      <c r="NX374"/>
      <c r="NY374"/>
      <c r="NZ374"/>
      <c r="OA374"/>
      <c r="OB374"/>
      <c r="OC374"/>
      <c r="OD374"/>
      <c r="OE374"/>
      <c r="OF374"/>
      <c r="OG374"/>
      <c r="OH374"/>
      <c r="OI374"/>
      <c r="OJ374"/>
      <c r="OK374"/>
      <c r="OL374"/>
      <c r="OM374"/>
      <c r="ON374"/>
      <c r="OO374"/>
      <c r="OP374"/>
      <c r="OQ374"/>
      <c r="OR374"/>
      <c r="OS374"/>
      <c r="OT374"/>
      <c r="OU374"/>
      <c r="OV374"/>
      <c r="OW374"/>
      <c r="OX374"/>
      <c r="OY374"/>
      <c r="OZ374"/>
      <c r="PA374"/>
      <c r="PB374"/>
      <c r="PC374"/>
      <c r="PD374"/>
      <c r="PE374"/>
      <c r="PF374"/>
      <c r="PG374"/>
      <c r="PH374"/>
      <c r="PI374"/>
      <c r="PJ374"/>
      <c r="PK374"/>
      <c r="PL374"/>
      <c r="PM374"/>
      <c r="PN374"/>
      <c r="PO374"/>
      <c r="PP374"/>
      <c r="PQ374"/>
      <c r="PR374"/>
      <c r="PS374"/>
      <c r="PT374"/>
      <c r="PU374"/>
      <c r="PV374"/>
      <c r="PW374"/>
      <c r="PX374"/>
      <c r="PY374"/>
      <c r="PZ374"/>
      <c r="QA374"/>
      <c r="QB374"/>
      <c r="QC374"/>
      <c r="QD374"/>
      <c r="QE374"/>
      <c r="QF374"/>
      <c r="QG374"/>
      <c r="QH374"/>
      <c r="QI374"/>
      <c r="QJ374"/>
      <c r="QK374"/>
      <c r="QL374"/>
      <c r="QM374"/>
      <c r="QN374"/>
      <c r="QO374"/>
      <c r="QP374"/>
      <c r="QQ374"/>
      <c r="QR374"/>
      <c r="QS374"/>
      <c r="QT374"/>
      <c r="QU374"/>
      <c r="QV374"/>
      <c r="QW374"/>
      <c r="QX374"/>
      <c r="QY374"/>
      <c r="QZ374"/>
      <c r="RA374"/>
      <c r="RB374"/>
      <c r="RC374"/>
      <c r="RD374"/>
      <c r="RE374"/>
      <c r="RF374"/>
      <c r="RG374"/>
      <c r="RH374"/>
      <c r="RI374"/>
      <c r="RJ374"/>
      <c r="RK374"/>
      <c r="RL374"/>
      <c r="RM374"/>
      <c r="RN374"/>
      <c r="RO374"/>
      <c r="RP374"/>
      <c r="RQ374"/>
      <c r="RR374"/>
      <c r="RS374"/>
    </row>
    <row r="375" spans="19:487" x14ac:dyDescent="0.25"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  <c r="AH375"/>
      <c r="AI375"/>
      <c r="AJ375"/>
      <c r="AK375"/>
      <c r="AL375"/>
      <c r="AM375"/>
      <c r="AN375"/>
      <c r="AO375"/>
      <c r="AP375"/>
      <c r="AQ375"/>
      <c r="AR375"/>
      <c r="AS375"/>
      <c r="AT375"/>
      <c r="AU375"/>
      <c r="AV375"/>
      <c r="AW375"/>
      <c r="AX375"/>
      <c r="AY375"/>
      <c r="AZ375"/>
      <c r="BA375"/>
      <c r="BB375"/>
      <c r="BC375"/>
      <c r="BD375"/>
      <c r="BE375"/>
      <c r="BF375"/>
      <c r="BG375"/>
      <c r="BH375"/>
      <c r="BI375"/>
      <c r="BJ375"/>
      <c r="BK375"/>
      <c r="BL375"/>
      <c r="BM375"/>
      <c r="BN375"/>
      <c r="BO375"/>
      <c r="BP375"/>
      <c r="BQ375"/>
      <c r="BR375"/>
      <c r="BS375"/>
      <c r="BT375"/>
      <c r="BU375"/>
      <c r="BV375"/>
      <c r="BW375"/>
      <c r="BX375"/>
      <c r="BY375"/>
      <c r="BZ375"/>
      <c r="CA375"/>
      <c r="CB375"/>
      <c r="CC375"/>
      <c r="CD375"/>
      <c r="CE375"/>
      <c r="CF375"/>
      <c r="CG375"/>
      <c r="CH375"/>
      <c r="CI375"/>
      <c r="CJ375"/>
      <c r="CK375"/>
      <c r="CL375"/>
      <c r="CM375"/>
      <c r="CN375"/>
      <c r="CO375"/>
      <c r="CP375"/>
      <c r="CQ375"/>
      <c r="CR375"/>
      <c r="CS375"/>
      <c r="CT375"/>
      <c r="CU375"/>
      <c r="CV375"/>
      <c r="CW375"/>
      <c r="CX375"/>
      <c r="CY375"/>
      <c r="CZ375"/>
      <c r="DA375"/>
      <c r="DB375"/>
      <c r="DC375"/>
      <c r="DD375"/>
      <c r="DE375"/>
      <c r="DF375"/>
      <c r="DG375"/>
      <c r="DH375"/>
      <c r="DI375"/>
      <c r="DJ375"/>
      <c r="DK375"/>
      <c r="DL375"/>
      <c r="DM375"/>
      <c r="DN375"/>
      <c r="DO375"/>
      <c r="DP375"/>
      <c r="DQ375"/>
      <c r="DR375"/>
      <c r="DS375"/>
      <c r="DT375"/>
      <c r="DU375"/>
      <c r="DV375"/>
      <c r="DW375"/>
      <c r="DX375"/>
      <c r="DY375"/>
      <c r="DZ375"/>
      <c r="EA375"/>
      <c r="EB375"/>
      <c r="EC375"/>
      <c r="ED375"/>
      <c r="EE375"/>
      <c r="EF375"/>
      <c r="EG375"/>
      <c r="EH375"/>
      <c r="EI375"/>
      <c r="EJ375"/>
      <c r="EK375"/>
      <c r="EL375"/>
      <c r="EM375"/>
      <c r="EN375"/>
      <c r="EO375"/>
      <c r="EP375"/>
      <c r="EQ375"/>
      <c r="ER375"/>
      <c r="ES375"/>
      <c r="ET375"/>
      <c r="EU375"/>
      <c r="EV375"/>
      <c r="EW375"/>
      <c r="EX375"/>
      <c r="EY375"/>
      <c r="EZ375"/>
      <c r="FA375"/>
      <c r="FB375"/>
      <c r="FC375"/>
      <c r="FD375"/>
      <c r="FE375"/>
      <c r="FF375"/>
      <c r="FG375"/>
      <c r="FH375"/>
      <c r="FI375"/>
      <c r="FJ375"/>
      <c r="FK375"/>
      <c r="FL375"/>
      <c r="FM375"/>
      <c r="FN375"/>
      <c r="FO375"/>
      <c r="FP375"/>
      <c r="FQ375"/>
      <c r="FR375"/>
      <c r="FS375"/>
      <c r="FT375"/>
      <c r="FU375"/>
      <c r="FV375"/>
      <c r="FW375"/>
      <c r="FX375"/>
      <c r="FY375"/>
      <c r="FZ375"/>
      <c r="GA375"/>
      <c r="GB375"/>
      <c r="GC375"/>
      <c r="GD375"/>
      <c r="GE375"/>
      <c r="GF375"/>
      <c r="GG375"/>
      <c r="GH375"/>
      <c r="GI375"/>
      <c r="GJ375"/>
      <c r="GK375"/>
      <c r="GL375"/>
      <c r="GM375"/>
      <c r="GN375"/>
      <c r="GO375"/>
      <c r="GP375"/>
      <c r="GQ375"/>
      <c r="GR375"/>
      <c r="GS375"/>
      <c r="GT375"/>
      <c r="GU375"/>
      <c r="GV375"/>
      <c r="GW375"/>
      <c r="GX375"/>
      <c r="GY375"/>
      <c r="GZ375"/>
      <c r="HA375"/>
      <c r="HB375"/>
      <c r="HC375"/>
      <c r="HD375"/>
      <c r="HE375"/>
      <c r="HF375"/>
      <c r="HG375"/>
      <c r="HH375"/>
      <c r="HI375"/>
      <c r="HJ375"/>
      <c r="HK375"/>
      <c r="HL375"/>
      <c r="HM375"/>
      <c r="HN375"/>
      <c r="HO375"/>
      <c r="HP375"/>
      <c r="HQ375"/>
      <c r="HR375"/>
      <c r="HS375"/>
      <c r="HT375"/>
      <c r="HU375"/>
      <c r="HV375"/>
      <c r="HW375"/>
      <c r="HX375"/>
      <c r="HY375"/>
      <c r="HZ375"/>
      <c r="IA375"/>
      <c r="IB375"/>
      <c r="IC375"/>
      <c r="ID375"/>
      <c r="IE375"/>
      <c r="IF375"/>
      <c r="IG375"/>
      <c r="IH375"/>
      <c r="II375"/>
      <c r="IJ375"/>
      <c r="IK375"/>
      <c r="IL375"/>
      <c r="IM375"/>
      <c r="IN375"/>
      <c r="IO375"/>
      <c r="IP375"/>
      <c r="IQ375"/>
      <c r="IR375"/>
      <c r="IS375"/>
      <c r="IT375"/>
      <c r="IU375"/>
      <c r="IV375"/>
      <c r="IW375"/>
      <c r="IX375"/>
      <c r="IY375"/>
      <c r="IZ375"/>
      <c r="JA375"/>
      <c r="JB375"/>
      <c r="JC375"/>
      <c r="JD375"/>
      <c r="JE375"/>
      <c r="JF375"/>
      <c r="JG375"/>
      <c r="JH375"/>
      <c r="JI375"/>
      <c r="JJ375"/>
      <c r="JK375"/>
      <c r="JL375"/>
      <c r="JM375"/>
      <c r="JN375"/>
      <c r="JO375"/>
      <c r="JP375"/>
      <c r="JQ375"/>
      <c r="JR375"/>
      <c r="JS375"/>
      <c r="JT375"/>
      <c r="JU375"/>
      <c r="JV375"/>
      <c r="JW375"/>
      <c r="JX375"/>
      <c r="JY375"/>
      <c r="JZ375"/>
      <c r="KA375"/>
      <c r="KB375"/>
      <c r="KC375"/>
      <c r="KD375"/>
      <c r="KE375"/>
      <c r="KF375"/>
      <c r="KG375"/>
      <c r="KH375"/>
      <c r="KI375"/>
      <c r="KJ375"/>
      <c r="KK375"/>
      <c r="KL375"/>
      <c r="KM375"/>
      <c r="KN375"/>
      <c r="KO375"/>
      <c r="KP375"/>
      <c r="KQ375"/>
      <c r="KR375"/>
      <c r="KS375"/>
      <c r="KT375"/>
      <c r="KU375"/>
      <c r="KV375"/>
      <c r="KW375"/>
      <c r="KX375"/>
      <c r="KY375"/>
      <c r="KZ375"/>
      <c r="LA375"/>
      <c r="LB375"/>
      <c r="LC375"/>
      <c r="LD375"/>
      <c r="LE375"/>
      <c r="LF375"/>
      <c r="LG375"/>
      <c r="LH375"/>
      <c r="LI375"/>
      <c r="LJ375"/>
      <c r="LK375"/>
      <c r="LL375"/>
      <c r="LM375"/>
      <c r="LN375"/>
      <c r="LO375"/>
      <c r="LP375"/>
      <c r="LQ375"/>
      <c r="LR375"/>
      <c r="LS375"/>
      <c r="LT375"/>
      <c r="LU375"/>
      <c r="LV375"/>
      <c r="LW375"/>
      <c r="LX375"/>
      <c r="LY375"/>
      <c r="LZ375"/>
      <c r="MA375"/>
      <c r="MB375"/>
      <c r="MC375"/>
      <c r="MD375"/>
      <c r="ME375"/>
      <c r="MF375"/>
      <c r="MG375"/>
      <c r="MH375"/>
      <c r="MI375"/>
      <c r="MJ375"/>
      <c r="MK375"/>
      <c r="ML375"/>
      <c r="MM375"/>
      <c r="MN375"/>
      <c r="MO375"/>
      <c r="MP375"/>
      <c r="MQ375"/>
      <c r="MR375"/>
      <c r="MS375"/>
      <c r="MT375"/>
      <c r="MU375"/>
      <c r="MV375"/>
      <c r="MW375"/>
      <c r="MX375"/>
      <c r="MY375"/>
      <c r="MZ375"/>
      <c r="NA375"/>
      <c r="NB375"/>
      <c r="NC375"/>
      <c r="ND375"/>
      <c r="NE375"/>
      <c r="NF375"/>
      <c r="NG375"/>
      <c r="NH375"/>
      <c r="NI375"/>
      <c r="NJ375"/>
      <c r="NK375"/>
      <c r="NL375"/>
      <c r="NM375"/>
      <c r="NN375"/>
      <c r="NO375"/>
      <c r="NP375"/>
      <c r="NQ375"/>
      <c r="NR375"/>
      <c r="NS375"/>
      <c r="NT375"/>
      <c r="NU375"/>
      <c r="NV375"/>
      <c r="NW375"/>
      <c r="NX375"/>
      <c r="NY375"/>
      <c r="NZ375"/>
      <c r="OA375"/>
      <c r="OB375"/>
      <c r="OC375"/>
      <c r="OD375"/>
      <c r="OE375"/>
      <c r="OF375"/>
      <c r="OG375"/>
      <c r="OH375"/>
      <c r="OI375"/>
      <c r="OJ375"/>
      <c r="OK375"/>
      <c r="OL375"/>
      <c r="OM375"/>
      <c r="ON375"/>
      <c r="OO375"/>
      <c r="OP375"/>
      <c r="OQ375"/>
      <c r="OR375"/>
      <c r="OS375"/>
      <c r="OT375"/>
      <c r="OU375"/>
      <c r="OV375"/>
      <c r="OW375"/>
      <c r="OX375"/>
      <c r="OY375"/>
      <c r="OZ375"/>
      <c r="PA375"/>
      <c r="PB375"/>
      <c r="PC375"/>
      <c r="PD375"/>
      <c r="PE375"/>
      <c r="PF375"/>
      <c r="PG375"/>
      <c r="PH375"/>
      <c r="PI375"/>
      <c r="PJ375"/>
      <c r="PK375"/>
      <c r="PL375"/>
      <c r="PM375"/>
      <c r="PN375"/>
      <c r="PO375"/>
      <c r="PP375"/>
      <c r="PQ375"/>
      <c r="PR375"/>
      <c r="PS375"/>
      <c r="PT375"/>
      <c r="PU375"/>
      <c r="PV375"/>
      <c r="PW375"/>
      <c r="PX375"/>
      <c r="PY375"/>
      <c r="PZ375"/>
      <c r="QA375"/>
      <c r="QB375"/>
      <c r="QC375"/>
      <c r="QD375"/>
      <c r="QE375"/>
      <c r="QF375"/>
      <c r="QG375"/>
      <c r="QH375"/>
      <c r="QI375"/>
      <c r="QJ375"/>
      <c r="QK375"/>
      <c r="QL375"/>
      <c r="QM375"/>
      <c r="QN375"/>
      <c r="QO375"/>
      <c r="QP375"/>
      <c r="QQ375"/>
      <c r="QR375"/>
      <c r="QS375"/>
      <c r="QT375"/>
      <c r="QU375"/>
      <c r="QV375"/>
      <c r="QW375"/>
      <c r="QX375"/>
      <c r="QY375"/>
      <c r="QZ375"/>
      <c r="RA375"/>
      <c r="RB375"/>
      <c r="RC375"/>
      <c r="RD375"/>
      <c r="RE375"/>
      <c r="RF375"/>
      <c r="RG375"/>
      <c r="RH375"/>
      <c r="RI375"/>
      <c r="RJ375"/>
      <c r="RK375"/>
      <c r="RL375"/>
      <c r="RM375"/>
      <c r="RN375"/>
      <c r="RO375"/>
      <c r="RP375"/>
      <c r="RQ375"/>
      <c r="RR375"/>
      <c r="RS375"/>
    </row>
    <row r="376" spans="19:487" x14ac:dyDescent="0.25"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  <c r="AH376"/>
      <c r="AI376"/>
      <c r="AJ376"/>
      <c r="AK376"/>
      <c r="AL376"/>
      <c r="AM376"/>
      <c r="AN376"/>
      <c r="AO376"/>
      <c r="AP376"/>
      <c r="AQ376"/>
      <c r="AR376"/>
      <c r="AS376"/>
      <c r="AT376"/>
      <c r="AU376"/>
      <c r="AV376"/>
      <c r="AW376"/>
      <c r="AX376"/>
      <c r="AY376"/>
      <c r="AZ376"/>
      <c r="BA376"/>
      <c r="BB376"/>
      <c r="BC376"/>
      <c r="BD376"/>
      <c r="BE376"/>
      <c r="BF376"/>
      <c r="BG376"/>
      <c r="BH376"/>
      <c r="BI376"/>
      <c r="BJ376"/>
      <c r="BK376"/>
      <c r="BL376"/>
      <c r="BM376"/>
      <c r="BN376"/>
      <c r="BO376"/>
      <c r="BP376"/>
      <c r="BQ376"/>
      <c r="BR376"/>
      <c r="BS376"/>
      <c r="BT376"/>
      <c r="BU376"/>
      <c r="BV376"/>
      <c r="BW376"/>
      <c r="BX376"/>
      <c r="BY376"/>
      <c r="BZ376"/>
      <c r="CA376"/>
      <c r="CB376"/>
      <c r="CC376"/>
      <c r="CD376"/>
      <c r="CE376"/>
      <c r="CF376"/>
      <c r="CG376"/>
      <c r="CH376"/>
      <c r="CI376"/>
      <c r="CJ376"/>
      <c r="CK376"/>
      <c r="CL376"/>
      <c r="CM376"/>
      <c r="CN376"/>
      <c r="CO376"/>
      <c r="CP376"/>
      <c r="CQ376"/>
      <c r="CR376"/>
      <c r="CS376"/>
      <c r="CT376"/>
      <c r="CU376"/>
      <c r="CV376"/>
      <c r="CW376"/>
      <c r="CX376"/>
      <c r="CY376"/>
      <c r="CZ376"/>
      <c r="DA376"/>
      <c r="DB376"/>
      <c r="DC376"/>
      <c r="DD376"/>
      <c r="DE376"/>
      <c r="DF376"/>
      <c r="DG376"/>
      <c r="DH376"/>
      <c r="DI376"/>
      <c r="DJ376"/>
      <c r="DK376"/>
      <c r="DL376"/>
      <c r="DM376"/>
      <c r="DN376"/>
      <c r="DO376"/>
      <c r="DP376"/>
      <c r="DQ376"/>
      <c r="DR376"/>
      <c r="DS376"/>
      <c r="DT376"/>
      <c r="DU376"/>
      <c r="DV376"/>
      <c r="DW376"/>
      <c r="DX376"/>
      <c r="DY376"/>
      <c r="DZ376"/>
      <c r="EA376"/>
      <c r="EB376"/>
      <c r="EC376"/>
      <c r="ED376"/>
      <c r="EE376"/>
      <c r="EF376"/>
      <c r="EG376"/>
      <c r="EH376"/>
      <c r="EI376"/>
      <c r="EJ376"/>
      <c r="EK376"/>
      <c r="EL376"/>
      <c r="EM376"/>
      <c r="EN376"/>
      <c r="EO376"/>
      <c r="EP376"/>
      <c r="EQ376"/>
      <c r="ER376"/>
      <c r="ES376"/>
      <c r="ET376"/>
      <c r="EU376"/>
      <c r="EV376"/>
      <c r="EW376"/>
      <c r="EX376"/>
      <c r="EY376"/>
      <c r="EZ376"/>
      <c r="FA376"/>
      <c r="FB376"/>
      <c r="FC376"/>
      <c r="FD376"/>
      <c r="FE376"/>
      <c r="FF376"/>
      <c r="FG376"/>
      <c r="FH376"/>
      <c r="FI376"/>
      <c r="FJ376"/>
      <c r="FK376"/>
      <c r="FL376"/>
      <c r="FM376"/>
      <c r="FN376"/>
      <c r="FO376"/>
      <c r="FP376"/>
      <c r="FQ376"/>
      <c r="FR376"/>
      <c r="FS376"/>
      <c r="FT376"/>
      <c r="FU376"/>
      <c r="FV376"/>
      <c r="FW376"/>
      <c r="FX376"/>
      <c r="FY376"/>
      <c r="FZ376"/>
      <c r="GA376"/>
      <c r="GB376"/>
      <c r="GC376"/>
      <c r="GD376"/>
      <c r="GE376"/>
      <c r="GF376"/>
      <c r="GG376"/>
      <c r="GH376"/>
      <c r="GI376"/>
      <c r="GJ376"/>
      <c r="GK376"/>
      <c r="GL376"/>
      <c r="GM376"/>
      <c r="GN376"/>
      <c r="GO376"/>
      <c r="GP376"/>
      <c r="GQ376"/>
      <c r="GR376"/>
      <c r="GS376"/>
      <c r="GT376"/>
      <c r="GU376"/>
      <c r="GV376"/>
      <c r="GW376"/>
      <c r="GX376"/>
      <c r="GY376"/>
      <c r="GZ376"/>
      <c r="HA376"/>
      <c r="HB376"/>
      <c r="HC376"/>
      <c r="HD376"/>
      <c r="HE376"/>
      <c r="HF376"/>
      <c r="HG376"/>
      <c r="HH376"/>
      <c r="HI376"/>
      <c r="HJ376"/>
      <c r="HK376"/>
      <c r="HL376"/>
      <c r="HM376"/>
      <c r="HN376"/>
      <c r="HO376"/>
      <c r="HP376"/>
      <c r="HQ376"/>
      <c r="HR376"/>
      <c r="HS376"/>
      <c r="HT376"/>
      <c r="HU376"/>
      <c r="HV376"/>
      <c r="HW376"/>
      <c r="HX376"/>
      <c r="HY376"/>
      <c r="HZ376"/>
      <c r="IA376"/>
      <c r="IB376"/>
      <c r="IC376"/>
      <c r="ID376"/>
      <c r="IE376"/>
      <c r="IF376"/>
      <c r="IG376"/>
      <c r="IH376"/>
      <c r="II376"/>
      <c r="IJ376"/>
      <c r="IK376"/>
      <c r="IL376"/>
      <c r="IM376"/>
      <c r="IN376"/>
      <c r="IO376"/>
      <c r="IP376"/>
      <c r="IQ376"/>
      <c r="IR376"/>
      <c r="IS376"/>
      <c r="IT376"/>
      <c r="IU376"/>
      <c r="IV376"/>
      <c r="IW376"/>
      <c r="IX376"/>
      <c r="IY376"/>
      <c r="IZ376"/>
      <c r="JA376"/>
      <c r="JB376"/>
      <c r="JC376"/>
      <c r="JD376"/>
      <c r="JE376"/>
      <c r="JF376"/>
      <c r="JG376"/>
      <c r="JH376"/>
      <c r="JI376"/>
      <c r="JJ376"/>
      <c r="JK376"/>
      <c r="JL376"/>
      <c r="JM376"/>
      <c r="JN376"/>
      <c r="JO376"/>
      <c r="JP376"/>
      <c r="JQ376"/>
      <c r="JR376"/>
      <c r="JS376"/>
      <c r="JT376"/>
      <c r="JU376"/>
      <c r="JV376"/>
      <c r="JW376"/>
      <c r="JX376"/>
      <c r="JY376"/>
      <c r="JZ376"/>
      <c r="KA376"/>
      <c r="KB376"/>
      <c r="KC376"/>
      <c r="KD376"/>
      <c r="KE376"/>
      <c r="KF376"/>
      <c r="KG376"/>
      <c r="KH376"/>
      <c r="KI376"/>
      <c r="KJ376"/>
      <c r="KK376"/>
      <c r="KL376"/>
      <c r="KM376"/>
      <c r="KN376"/>
      <c r="KO376"/>
      <c r="KP376"/>
      <c r="KQ376"/>
      <c r="KR376"/>
      <c r="KS376"/>
      <c r="KT376"/>
      <c r="KU376"/>
      <c r="KV376"/>
      <c r="KW376"/>
      <c r="KX376"/>
      <c r="KY376"/>
      <c r="KZ376"/>
      <c r="LA376"/>
      <c r="LB376"/>
      <c r="LC376"/>
      <c r="LD376"/>
      <c r="LE376"/>
      <c r="LF376"/>
      <c r="LG376"/>
      <c r="LH376"/>
      <c r="LI376"/>
      <c r="LJ376"/>
      <c r="LK376"/>
      <c r="LL376"/>
      <c r="LM376"/>
      <c r="LN376"/>
      <c r="LO376"/>
      <c r="LP376"/>
      <c r="LQ376"/>
      <c r="LR376"/>
      <c r="LS376"/>
      <c r="LT376"/>
      <c r="LU376"/>
      <c r="LV376"/>
      <c r="LW376"/>
      <c r="LX376"/>
      <c r="LY376"/>
      <c r="LZ376"/>
      <c r="MA376"/>
      <c r="MB376"/>
      <c r="MC376"/>
      <c r="MD376"/>
      <c r="ME376"/>
      <c r="MF376"/>
      <c r="MG376"/>
      <c r="MH376"/>
      <c r="MI376"/>
      <c r="MJ376"/>
      <c r="MK376"/>
      <c r="ML376"/>
      <c r="MM376"/>
      <c r="MN376"/>
      <c r="MO376"/>
      <c r="MP376"/>
      <c r="MQ376"/>
      <c r="MR376"/>
      <c r="MS376"/>
      <c r="MT376"/>
      <c r="MU376"/>
      <c r="MV376"/>
      <c r="MW376"/>
      <c r="MX376"/>
      <c r="MY376"/>
      <c r="MZ376"/>
      <c r="NA376"/>
      <c r="NB376"/>
      <c r="NC376"/>
      <c r="ND376"/>
      <c r="NE376"/>
      <c r="NF376"/>
      <c r="NG376"/>
      <c r="NH376"/>
      <c r="NI376"/>
      <c r="NJ376"/>
      <c r="NK376"/>
      <c r="NL376"/>
      <c r="NM376"/>
      <c r="NN376"/>
      <c r="NO376"/>
      <c r="NP376"/>
      <c r="NQ376"/>
      <c r="NR376"/>
      <c r="NS376"/>
      <c r="NT376"/>
      <c r="NU376"/>
      <c r="NV376"/>
      <c r="NW376"/>
      <c r="NX376"/>
      <c r="NY376"/>
      <c r="NZ376"/>
      <c r="OA376"/>
      <c r="OB376"/>
      <c r="OC376"/>
      <c r="OD376"/>
      <c r="OE376"/>
      <c r="OF376"/>
      <c r="OG376"/>
      <c r="OH376"/>
      <c r="OI376"/>
      <c r="OJ376"/>
      <c r="OK376"/>
      <c r="OL376"/>
      <c r="OM376"/>
      <c r="ON376"/>
      <c r="OO376"/>
      <c r="OP376"/>
      <c r="OQ376"/>
      <c r="OR376"/>
      <c r="OS376"/>
      <c r="OT376"/>
      <c r="OU376"/>
      <c r="OV376"/>
      <c r="OW376"/>
      <c r="OX376"/>
      <c r="OY376"/>
      <c r="OZ376"/>
      <c r="PA376"/>
      <c r="PB376"/>
      <c r="PC376"/>
      <c r="PD376"/>
      <c r="PE376"/>
      <c r="PF376"/>
      <c r="PG376"/>
      <c r="PH376"/>
      <c r="PI376"/>
      <c r="PJ376"/>
      <c r="PK376"/>
      <c r="PL376"/>
      <c r="PM376"/>
      <c r="PN376"/>
      <c r="PO376"/>
      <c r="PP376"/>
      <c r="PQ376"/>
      <c r="PR376"/>
      <c r="PS376"/>
      <c r="PT376"/>
      <c r="PU376"/>
      <c r="PV376"/>
      <c r="PW376"/>
      <c r="PX376"/>
      <c r="PY376"/>
      <c r="PZ376"/>
      <c r="QA376"/>
      <c r="QB376"/>
      <c r="QC376"/>
      <c r="QD376"/>
      <c r="QE376"/>
      <c r="QF376"/>
      <c r="QG376"/>
      <c r="QH376"/>
      <c r="QI376"/>
      <c r="QJ376"/>
      <c r="QK376"/>
      <c r="QL376"/>
      <c r="QM376"/>
      <c r="QN376"/>
      <c r="QO376"/>
      <c r="QP376"/>
      <c r="QQ376"/>
      <c r="QR376"/>
      <c r="QS376"/>
      <c r="QT376"/>
      <c r="QU376"/>
      <c r="QV376"/>
      <c r="QW376"/>
      <c r="QX376"/>
      <c r="QY376"/>
      <c r="QZ376"/>
      <c r="RA376"/>
      <c r="RB376"/>
      <c r="RC376"/>
      <c r="RD376"/>
      <c r="RE376"/>
      <c r="RF376"/>
      <c r="RG376"/>
      <c r="RH376"/>
      <c r="RI376"/>
      <c r="RJ376"/>
      <c r="RK376"/>
      <c r="RL376"/>
      <c r="RM376"/>
      <c r="RN376"/>
      <c r="RO376"/>
      <c r="RP376"/>
      <c r="RQ376"/>
      <c r="RR376"/>
      <c r="RS376"/>
    </row>
    <row r="377" spans="19:487" x14ac:dyDescent="0.25"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  <c r="AH377"/>
      <c r="AI377"/>
      <c r="AJ377"/>
      <c r="AK377"/>
      <c r="AL377"/>
      <c r="AM377"/>
      <c r="AN377"/>
      <c r="AO377"/>
      <c r="AP377"/>
      <c r="AQ377"/>
      <c r="AR377"/>
      <c r="AS377"/>
      <c r="AT377"/>
      <c r="AU377"/>
      <c r="AV377"/>
      <c r="AW377"/>
      <c r="AX377"/>
      <c r="AY377"/>
      <c r="AZ377"/>
      <c r="BA377"/>
      <c r="BB377"/>
      <c r="BC377"/>
      <c r="BD377"/>
      <c r="BE377"/>
      <c r="BF377"/>
      <c r="BG377"/>
      <c r="BH377"/>
      <c r="BI377"/>
      <c r="BJ377"/>
      <c r="BK377"/>
      <c r="BL377"/>
      <c r="BM377"/>
      <c r="BN377"/>
      <c r="BO377"/>
      <c r="BP377"/>
      <c r="BQ377"/>
      <c r="BR377"/>
      <c r="BS377"/>
      <c r="BT377"/>
      <c r="BU377"/>
      <c r="BV377"/>
      <c r="BW377"/>
      <c r="BX377"/>
      <c r="BY377"/>
      <c r="BZ377"/>
      <c r="CA377"/>
      <c r="CB377"/>
      <c r="CC377"/>
      <c r="CD377"/>
      <c r="CE377"/>
      <c r="CF377"/>
      <c r="CG377"/>
      <c r="CH377"/>
      <c r="CI377"/>
      <c r="CJ377"/>
      <c r="CK377"/>
      <c r="CL377"/>
      <c r="CM377"/>
      <c r="CN377"/>
      <c r="CO377"/>
      <c r="CP377"/>
      <c r="CQ377"/>
      <c r="CR377"/>
      <c r="CS377"/>
      <c r="CT377"/>
      <c r="CU377"/>
      <c r="CV377"/>
      <c r="CW377"/>
      <c r="CX377"/>
      <c r="CY377"/>
      <c r="CZ377"/>
      <c r="DA377"/>
      <c r="DB377"/>
      <c r="DC377"/>
      <c r="DD377"/>
      <c r="DE377"/>
      <c r="DF377"/>
      <c r="DG377"/>
      <c r="DH377"/>
      <c r="DI377"/>
      <c r="DJ377"/>
      <c r="DK377"/>
      <c r="DL377"/>
      <c r="DM377"/>
      <c r="DN377"/>
      <c r="DO377"/>
      <c r="DP377"/>
      <c r="DQ377"/>
      <c r="DR377"/>
      <c r="DS377"/>
      <c r="DT377"/>
      <c r="DU377"/>
      <c r="DV377"/>
      <c r="DW377"/>
      <c r="DX377"/>
      <c r="DY377"/>
      <c r="DZ377"/>
      <c r="EA377"/>
      <c r="EB377"/>
      <c r="EC377"/>
      <c r="ED377"/>
      <c r="EE377"/>
      <c r="EF377"/>
      <c r="EG377"/>
      <c r="EH377"/>
      <c r="EI377"/>
      <c r="EJ377"/>
      <c r="EK377"/>
      <c r="EL377"/>
      <c r="EM377"/>
      <c r="EN377"/>
      <c r="EO377"/>
      <c r="EP377"/>
      <c r="EQ377"/>
      <c r="ER377"/>
      <c r="ES377"/>
      <c r="ET377"/>
      <c r="EU377"/>
      <c r="EV377"/>
      <c r="EW377"/>
      <c r="EX377"/>
      <c r="EY377"/>
      <c r="EZ377"/>
      <c r="FA377"/>
      <c r="FB377"/>
      <c r="FC377"/>
      <c r="FD377"/>
      <c r="FE377"/>
      <c r="FF377"/>
      <c r="FG377"/>
      <c r="FH377"/>
      <c r="FI377"/>
      <c r="FJ377"/>
      <c r="FK377"/>
      <c r="FL377"/>
      <c r="FM377"/>
      <c r="FN377"/>
      <c r="FO377"/>
      <c r="FP377"/>
      <c r="FQ377"/>
      <c r="FR377"/>
      <c r="FS377"/>
      <c r="FT377"/>
      <c r="FU377"/>
      <c r="FV377"/>
      <c r="FW377"/>
      <c r="FX377"/>
      <c r="FY377"/>
      <c r="FZ377"/>
      <c r="GA377"/>
      <c r="GB377"/>
      <c r="GC377"/>
      <c r="GD377"/>
      <c r="GE377"/>
      <c r="GF377"/>
      <c r="GG377"/>
      <c r="GH377"/>
      <c r="GI377"/>
      <c r="GJ377"/>
      <c r="GK377"/>
      <c r="GL377"/>
      <c r="GM377"/>
      <c r="GN377"/>
      <c r="GO377"/>
      <c r="GP377"/>
      <c r="GQ377"/>
      <c r="GR377"/>
      <c r="GS377"/>
      <c r="GT377"/>
      <c r="GU377"/>
      <c r="GV377"/>
      <c r="GW377"/>
      <c r="GX377"/>
      <c r="GY377"/>
      <c r="GZ377"/>
      <c r="HA377"/>
      <c r="HB377"/>
      <c r="HC377"/>
      <c r="HD377"/>
      <c r="HE377"/>
      <c r="HF377"/>
      <c r="HG377"/>
      <c r="HH377"/>
      <c r="HI377"/>
      <c r="HJ377"/>
      <c r="HK377"/>
      <c r="HL377"/>
      <c r="HM377"/>
      <c r="HN377"/>
      <c r="HO377"/>
      <c r="HP377"/>
      <c r="HQ377"/>
      <c r="HR377"/>
      <c r="HS377"/>
      <c r="HT377"/>
      <c r="HU377"/>
      <c r="HV377"/>
      <c r="HW377"/>
      <c r="HX377"/>
      <c r="HY377"/>
      <c r="HZ377"/>
      <c r="IA377"/>
      <c r="IB377"/>
      <c r="IC377"/>
      <c r="ID377"/>
      <c r="IE377"/>
      <c r="IF377"/>
      <c r="IG377"/>
      <c r="IH377"/>
      <c r="II377"/>
      <c r="IJ377"/>
      <c r="IK377"/>
      <c r="IL377"/>
      <c r="IM377"/>
      <c r="IN377"/>
      <c r="IO377"/>
      <c r="IP377"/>
      <c r="IQ377"/>
      <c r="IR377"/>
      <c r="IS377"/>
      <c r="IT377"/>
      <c r="IU377"/>
      <c r="IV377"/>
      <c r="IW377"/>
      <c r="IX377"/>
      <c r="IY377"/>
      <c r="IZ377"/>
      <c r="JA377"/>
      <c r="JB377"/>
      <c r="JC377"/>
      <c r="JD377"/>
      <c r="JE377"/>
      <c r="JF377"/>
      <c r="JG377"/>
      <c r="JH377"/>
      <c r="JI377"/>
      <c r="JJ377"/>
      <c r="JK377"/>
      <c r="JL377"/>
      <c r="JM377"/>
      <c r="JN377"/>
      <c r="JO377"/>
      <c r="JP377"/>
      <c r="JQ377"/>
      <c r="JR377"/>
      <c r="JS377"/>
      <c r="JT377"/>
      <c r="JU377"/>
      <c r="JV377"/>
      <c r="JW377"/>
      <c r="JX377"/>
      <c r="JY377"/>
      <c r="JZ377"/>
      <c r="KA377"/>
      <c r="KB377"/>
      <c r="KC377"/>
      <c r="KD377"/>
      <c r="KE377"/>
      <c r="KF377"/>
      <c r="KG377"/>
      <c r="KH377"/>
      <c r="KI377"/>
      <c r="KJ377"/>
      <c r="KK377"/>
      <c r="KL377"/>
      <c r="KM377"/>
      <c r="KN377"/>
      <c r="KO377"/>
      <c r="KP377"/>
      <c r="KQ377"/>
      <c r="KR377"/>
      <c r="KS377"/>
      <c r="KT377"/>
      <c r="KU377"/>
      <c r="KV377"/>
      <c r="KW377"/>
      <c r="KX377"/>
      <c r="KY377"/>
      <c r="KZ377"/>
      <c r="LA377"/>
      <c r="LB377"/>
      <c r="LC377"/>
      <c r="LD377"/>
      <c r="LE377"/>
      <c r="LF377"/>
      <c r="LG377"/>
      <c r="LH377"/>
      <c r="LI377"/>
      <c r="LJ377"/>
      <c r="LK377"/>
      <c r="LL377"/>
      <c r="LM377"/>
      <c r="LN377"/>
      <c r="LO377"/>
      <c r="LP377"/>
      <c r="LQ377"/>
      <c r="LR377"/>
      <c r="LS377"/>
      <c r="LT377"/>
      <c r="LU377"/>
      <c r="LV377"/>
      <c r="LW377"/>
      <c r="LX377"/>
      <c r="LY377"/>
      <c r="LZ377"/>
      <c r="MA377"/>
      <c r="MB377"/>
      <c r="MC377"/>
      <c r="MD377"/>
      <c r="ME377"/>
      <c r="MF377"/>
      <c r="MG377"/>
      <c r="MH377"/>
      <c r="MI377"/>
      <c r="MJ377"/>
      <c r="MK377"/>
      <c r="ML377"/>
      <c r="MM377"/>
      <c r="MN377"/>
      <c r="MO377"/>
      <c r="MP377"/>
      <c r="MQ377"/>
      <c r="MR377"/>
      <c r="MS377"/>
      <c r="MT377"/>
      <c r="MU377"/>
      <c r="MV377"/>
      <c r="MW377"/>
      <c r="MX377"/>
      <c r="MY377"/>
      <c r="MZ377"/>
      <c r="NA377"/>
      <c r="NB377"/>
      <c r="NC377"/>
      <c r="ND377"/>
      <c r="NE377"/>
      <c r="NF377"/>
      <c r="NG377"/>
      <c r="NH377"/>
      <c r="NI377"/>
      <c r="NJ377"/>
      <c r="NK377"/>
      <c r="NL377"/>
      <c r="NM377"/>
      <c r="NN377"/>
      <c r="NO377"/>
      <c r="NP377"/>
      <c r="NQ377"/>
      <c r="NR377"/>
      <c r="NS377"/>
      <c r="NT377"/>
      <c r="NU377"/>
      <c r="NV377"/>
      <c r="NW377"/>
      <c r="NX377"/>
      <c r="NY377"/>
      <c r="NZ377"/>
      <c r="OA377"/>
      <c r="OB377"/>
      <c r="OC377"/>
      <c r="OD377"/>
      <c r="OE377"/>
      <c r="OF377"/>
      <c r="OG377"/>
      <c r="OH377"/>
      <c r="OI377"/>
      <c r="OJ377"/>
      <c r="OK377"/>
      <c r="OL377"/>
      <c r="OM377"/>
      <c r="ON377"/>
      <c r="OO377"/>
      <c r="OP377"/>
      <c r="OQ377"/>
      <c r="OR377"/>
      <c r="OS377"/>
      <c r="OT377"/>
      <c r="OU377"/>
      <c r="OV377"/>
      <c r="OW377"/>
      <c r="OX377"/>
      <c r="OY377"/>
      <c r="OZ377"/>
      <c r="PA377"/>
      <c r="PB377"/>
      <c r="PC377"/>
      <c r="PD377"/>
      <c r="PE377"/>
      <c r="PF377"/>
      <c r="PG377"/>
      <c r="PH377"/>
      <c r="PI377"/>
      <c r="PJ377"/>
      <c r="PK377"/>
      <c r="PL377"/>
      <c r="PM377"/>
      <c r="PN377"/>
      <c r="PO377"/>
      <c r="PP377"/>
      <c r="PQ377"/>
      <c r="PR377"/>
      <c r="PS377"/>
      <c r="PT377"/>
      <c r="PU377"/>
      <c r="PV377"/>
      <c r="PW377"/>
      <c r="PX377"/>
      <c r="PY377"/>
      <c r="PZ377"/>
      <c r="QA377"/>
      <c r="QB377"/>
      <c r="QC377"/>
      <c r="QD377"/>
      <c r="QE377"/>
      <c r="QF377"/>
      <c r="QG377"/>
      <c r="QH377"/>
      <c r="QI377"/>
      <c r="QJ377"/>
      <c r="QK377"/>
      <c r="QL377"/>
      <c r="QM377"/>
      <c r="QN377"/>
      <c r="QO377"/>
      <c r="QP377"/>
      <c r="QQ377"/>
      <c r="QR377"/>
      <c r="QS377"/>
      <c r="QT377"/>
      <c r="QU377"/>
      <c r="QV377"/>
      <c r="QW377"/>
      <c r="QX377"/>
      <c r="QY377"/>
      <c r="QZ377"/>
      <c r="RA377"/>
      <c r="RB377"/>
      <c r="RC377"/>
      <c r="RD377"/>
      <c r="RE377"/>
      <c r="RF377"/>
      <c r="RG377"/>
      <c r="RH377"/>
      <c r="RI377"/>
      <c r="RJ377"/>
      <c r="RK377"/>
      <c r="RL377"/>
      <c r="RM377"/>
      <c r="RN377"/>
      <c r="RO377"/>
      <c r="RP377"/>
      <c r="RQ377"/>
      <c r="RR377"/>
      <c r="RS377"/>
    </row>
    <row r="378" spans="19:487" x14ac:dyDescent="0.25"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  <c r="AH378"/>
      <c r="AI378"/>
      <c r="AJ378"/>
      <c r="AK378"/>
      <c r="AL378"/>
      <c r="AM378"/>
      <c r="AN378"/>
      <c r="AO378"/>
      <c r="AP378"/>
      <c r="AQ378"/>
      <c r="AR378"/>
      <c r="AS378"/>
      <c r="AT378"/>
      <c r="AU378"/>
      <c r="AV378"/>
      <c r="AW378"/>
      <c r="AX378"/>
      <c r="AY378"/>
      <c r="AZ378"/>
      <c r="BA378"/>
      <c r="BB378"/>
      <c r="BC378"/>
      <c r="BD378"/>
      <c r="BE378"/>
      <c r="BF378"/>
      <c r="BG378"/>
      <c r="BH378"/>
      <c r="BI378"/>
      <c r="BJ378"/>
      <c r="BK378"/>
      <c r="BL378"/>
      <c r="BM378"/>
      <c r="BN378"/>
      <c r="BO378"/>
      <c r="BP378"/>
      <c r="BQ378"/>
      <c r="BR378"/>
      <c r="BS378"/>
      <c r="BT378"/>
      <c r="BU378"/>
      <c r="BV378"/>
      <c r="BW378"/>
      <c r="BX378"/>
      <c r="BY378"/>
      <c r="BZ378"/>
      <c r="CA378"/>
      <c r="CB378"/>
      <c r="CC378"/>
      <c r="CD378"/>
      <c r="CE378"/>
      <c r="CF378"/>
      <c r="CG378"/>
      <c r="CH378"/>
      <c r="CI378"/>
      <c r="CJ378"/>
      <c r="CK378"/>
      <c r="CL378"/>
      <c r="CM378"/>
      <c r="CN378"/>
      <c r="CO378"/>
      <c r="CP378"/>
      <c r="CQ378"/>
      <c r="CR378"/>
      <c r="CS378"/>
      <c r="CT378"/>
      <c r="CU378"/>
      <c r="CV378"/>
      <c r="CW378"/>
      <c r="CX378"/>
      <c r="CY378"/>
      <c r="CZ378"/>
      <c r="DA378"/>
      <c r="DB378"/>
      <c r="DC378"/>
      <c r="DD378"/>
      <c r="DE378"/>
      <c r="DF378"/>
      <c r="DG378"/>
      <c r="DH378"/>
      <c r="DI378"/>
      <c r="DJ378"/>
      <c r="DK378"/>
      <c r="DL378"/>
      <c r="DM378"/>
      <c r="DN378"/>
      <c r="DO378"/>
      <c r="DP378"/>
      <c r="DQ378"/>
      <c r="DR378"/>
      <c r="DS378"/>
      <c r="DT378"/>
      <c r="DU378"/>
      <c r="DV378"/>
      <c r="DW378"/>
      <c r="DX378"/>
      <c r="DY378"/>
      <c r="DZ378"/>
      <c r="EA378"/>
      <c r="EB378"/>
      <c r="EC378"/>
      <c r="ED378"/>
      <c r="EE378"/>
      <c r="EF378"/>
      <c r="EG378"/>
      <c r="EH378"/>
      <c r="EI378"/>
      <c r="EJ378"/>
      <c r="EK378"/>
      <c r="EL378"/>
      <c r="EM378"/>
      <c r="EN378"/>
      <c r="EO378"/>
      <c r="EP378"/>
      <c r="EQ378"/>
      <c r="ER378"/>
      <c r="ES378"/>
      <c r="ET378"/>
      <c r="EU378"/>
      <c r="EV378"/>
      <c r="EW378"/>
      <c r="EX378"/>
      <c r="EY378"/>
      <c r="EZ378"/>
      <c r="FA378"/>
      <c r="FB378"/>
      <c r="FC378"/>
      <c r="FD378"/>
      <c r="FE378"/>
      <c r="FF378"/>
      <c r="FG378"/>
      <c r="FH378"/>
      <c r="FI378"/>
      <c r="FJ378"/>
      <c r="FK378"/>
      <c r="FL378"/>
      <c r="FM378"/>
      <c r="FN378"/>
      <c r="FO378"/>
      <c r="FP378"/>
      <c r="FQ378"/>
      <c r="FR378"/>
      <c r="FS378"/>
      <c r="FT378"/>
      <c r="FU378"/>
      <c r="FV378"/>
      <c r="FW378"/>
      <c r="FX378"/>
      <c r="FY378"/>
      <c r="FZ378"/>
      <c r="GA378"/>
      <c r="GB378"/>
      <c r="GC378"/>
      <c r="GD378"/>
      <c r="GE378"/>
      <c r="GF378"/>
      <c r="GG378"/>
      <c r="GH378"/>
      <c r="GI378"/>
      <c r="GJ378"/>
      <c r="GK378"/>
      <c r="GL378"/>
      <c r="GM378"/>
      <c r="GN378"/>
      <c r="GO378"/>
      <c r="GP378"/>
      <c r="GQ378"/>
      <c r="GR378"/>
      <c r="GS378"/>
      <c r="GT378"/>
      <c r="GU378"/>
      <c r="GV378"/>
      <c r="GW378"/>
      <c r="GX378"/>
      <c r="GY378"/>
      <c r="GZ378"/>
      <c r="HA378"/>
      <c r="HB378"/>
      <c r="HC378"/>
      <c r="HD378"/>
      <c r="HE378"/>
      <c r="HF378"/>
      <c r="HG378"/>
      <c r="HH378"/>
      <c r="HI378"/>
      <c r="HJ378"/>
      <c r="HK378"/>
      <c r="HL378"/>
      <c r="HM378"/>
      <c r="HN378"/>
      <c r="HO378"/>
      <c r="HP378"/>
      <c r="HQ378"/>
      <c r="HR378"/>
      <c r="HS378"/>
      <c r="HT378"/>
      <c r="HU378"/>
      <c r="HV378"/>
      <c r="HW378"/>
      <c r="HX378"/>
      <c r="HY378"/>
      <c r="HZ378"/>
      <c r="IA378"/>
      <c r="IB378"/>
      <c r="IC378"/>
      <c r="ID378"/>
      <c r="IE378"/>
      <c r="IF378"/>
      <c r="IG378"/>
      <c r="IH378"/>
      <c r="II378"/>
      <c r="IJ378"/>
      <c r="IK378"/>
      <c r="IL378"/>
      <c r="IM378"/>
      <c r="IN378"/>
      <c r="IO378"/>
      <c r="IP378"/>
      <c r="IQ378"/>
      <c r="IR378"/>
      <c r="IS378"/>
      <c r="IT378"/>
      <c r="IU378"/>
      <c r="IV378"/>
      <c r="IW378"/>
      <c r="IX378"/>
      <c r="IY378"/>
      <c r="IZ378"/>
      <c r="JA378"/>
      <c r="JB378"/>
      <c r="JC378"/>
      <c r="JD378"/>
      <c r="JE378"/>
      <c r="JF378"/>
      <c r="JG378"/>
      <c r="JH378"/>
      <c r="JI378"/>
      <c r="JJ378"/>
      <c r="JK378"/>
      <c r="JL378"/>
      <c r="JM378"/>
      <c r="JN378"/>
      <c r="JO378"/>
      <c r="JP378"/>
      <c r="JQ378"/>
      <c r="JR378"/>
      <c r="JS378"/>
      <c r="JT378"/>
      <c r="JU378"/>
      <c r="JV378"/>
      <c r="JW378"/>
      <c r="JX378"/>
      <c r="JY378"/>
      <c r="JZ378"/>
      <c r="KA378"/>
      <c r="KB378"/>
      <c r="KC378"/>
      <c r="KD378"/>
      <c r="KE378"/>
      <c r="KF378"/>
      <c r="KG378"/>
      <c r="KH378"/>
      <c r="KI378"/>
      <c r="KJ378"/>
      <c r="KK378"/>
      <c r="KL378"/>
      <c r="KM378"/>
      <c r="KN378"/>
      <c r="KO378"/>
      <c r="KP378"/>
      <c r="KQ378"/>
      <c r="KR378"/>
      <c r="KS378"/>
      <c r="KT378"/>
      <c r="KU378"/>
      <c r="KV378"/>
      <c r="KW378"/>
      <c r="KX378"/>
      <c r="KY378"/>
      <c r="KZ378"/>
      <c r="LA378"/>
      <c r="LB378"/>
      <c r="LC378"/>
      <c r="LD378"/>
      <c r="LE378"/>
      <c r="LF378"/>
      <c r="LG378"/>
      <c r="LH378"/>
      <c r="LI378"/>
      <c r="LJ378"/>
      <c r="LK378"/>
      <c r="LL378"/>
      <c r="LM378"/>
      <c r="LN378"/>
      <c r="LO378"/>
      <c r="LP378"/>
      <c r="LQ378"/>
      <c r="LR378"/>
      <c r="LS378"/>
      <c r="LT378"/>
      <c r="LU378"/>
      <c r="LV378"/>
      <c r="LW378"/>
      <c r="LX378"/>
      <c r="LY378"/>
      <c r="LZ378"/>
      <c r="MA378"/>
      <c r="MB378"/>
      <c r="MC378"/>
      <c r="MD378"/>
      <c r="ME378"/>
      <c r="MF378"/>
      <c r="MG378"/>
      <c r="MH378"/>
      <c r="MI378"/>
      <c r="MJ378"/>
      <c r="MK378"/>
      <c r="ML378"/>
      <c r="MM378"/>
      <c r="MN378"/>
      <c r="MO378"/>
      <c r="MP378"/>
      <c r="MQ378"/>
      <c r="MR378"/>
      <c r="MS378"/>
      <c r="MT378"/>
      <c r="MU378"/>
      <c r="MV378"/>
      <c r="MW378"/>
      <c r="MX378"/>
      <c r="MY378"/>
      <c r="MZ378"/>
      <c r="NA378"/>
      <c r="NB378"/>
      <c r="NC378"/>
      <c r="ND378"/>
      <c r="NE378"/>
      <c r="NF378"/>
      <c r="NG378"/>
      <c r="NH378"/>
      <c r="NI378"/>
      <c r="NJ378"/>
      <c r="NK378"/>
      <c r="NL378"/>
      <c r="NM378"/>
      <c r="NN378"/>
      <c r="NO378"/>
      <c r="NP378"/>
      <c r="NQ378"/>
      <c r="NR378"/>
      <c r="NS378"/>
      <c r="NT378"/>
      <c r="NU378"/>
      <c r="NV378"/>
      <c r="NW378"/>
      <c r="NX378"/>
      <c r="NY378"/>
      <c r="NZ378"/>
      <c r="OA378"/>
      <c r="OB378"/>
      <c r="OC378"/>
      <c r="OD378"/>
      <c r="OE378"/>
      <c r="OF378"/>
      <c r="OG378"/>
      <c r="OH378"/>
      <c r="OI378"/>
      <c r="OJ378"/>
      <c r="OK378"/>
      <c r="OL378"/>
      <c r="OM378"/>
      <c r="ON378"/>
      <c r="OO378"/>
      <c r="OP378"/>
      <c r="OQ378"/>
      <c r="OR378"/>
      <c r="OS378"/>
      <c r="OT378"/>
      <c r="OU378"/>
      <c r="OV378"/>
      <c r="OW378"/>
      <c r="OX378"/>
      <c r="OY378"/>
      <c r="OZ378"/>
      <c r="PA378"/>
      <c r="PB378"/>
      <c r="PC378"/>
      <c r="PD378"/>
      <c r="PE378"/>
      <c r="PF378"/>
      <c r="PG378"/>
      <c r="PH378"/>
      <c r="PI378"/>
      <c r="PJ378"/>
      <c r="PK378"/>
      <c r="PL378"/>
      <c r="PM378"/>
      <c r="PN378"/>
      <c r="PO378"/>
      <c r="PP378"/>
      <c r="PQ378"/>
      <c r="PR378"/>
      <c r="PS378"/>
      <c r="PT378"/>
      <c r="PU378"/>
      <c r="PV378"/>
      <c r="PW378"/>
      <c r="PX378"/>
      <c r="PY378"/>
      <c r="PZ378"/>
      <c r="QA378"/>
      <c r="QB378"/>
      <c r="QC378"/>
      <c r="QD378"/>
      <c r="QE378"/>
      <c r="QF378"/>
      <c r="QG378"/>
      <c r="QH378"/>
      <c r="QI378"/>
      <c r="QJ378"/>
      <c r="QK378"/>
      <c r="QL378"/>
      <c r="QM378"/>
      <c r="QN378"/>
      <c r="QO378"/>
      <c r="QP378"/>
      <c r="QQ378"/>
      <c r="QR378"/>
      <c r="QS378"/>
      <c r="QT378"/>
      <c r="QU378"/>
      <c r="QV378"/>
      <c r="QW378"/>
      <c r="QX378"/>
      <c r="QY378"/>
      <c r="QZ378"/>
      <c r="RA378"/>
      <c r="RB378"/>
      <c r="RC378"/>
      <c r="RD378"/>
      <c r="RE378"/>
      <c r="RF378"/>
      <c r="RG378"/>
      <c r="RH378"/>
      <c r="RI378"/>
      <c r="RJ378"/>
      <c r="RK378"/>
      <c r="RL378"/>
      <c r="RM378"/>
      <c r="RN378"/>
      <c r="RO378"/>
      <c r="RP378"/>
      <c r="RQ378"/>
      <c r="RR378"/>
      <c r="RS378"/>
    </row>
    <row r="379" spans="19:487" x14ac:dyDescent="0.25"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  <c r="AH379"/>
      <c r="AI379"/>
      <c r="AJ379"/>
      <c r="AK379"/>
      <c r="AL379"/>
      <c r="AM379"/>
      <c r="AN379"/>
      <c r="AO379"/>
      <c r="AP379"/>
      <c r="AQ379"/>
      <c r="AR379"/>
      <c r="AS379"/>
      <c r="AT379"/>
      <c r="AU379"/>
      <c r="AV379"/>
      <c r="AW379"/>
      <c r="AX379"/>
      <c r="AY379"/>
      <c r="AZ379"/>
      <c r="BA379"/>
      <c r="BB379"/>
      <c r="BC379"/>
      <c r="BD379"/>
      <c r="BE379"/>
      <c r="BF379"/>
      <c r="BG379"/>
      <c r="BH379"/>
      <c r="BI379"/>
      <c r="BJ379"/>
      <c r="BK379"/>
      <c r="BL379"/>
      <c r="BM379"/>
      <c r="BN379"/>
      <c r="BO379"/>
      <c r="BP379"/>
      <c r="BQ379"/>
      <c r="BR379"/>
      <c r="BS379"/>
      <c r="BT379"/>
      <c r="BU379"/>
      <c r="BV379"/>
      <c r="BW379"/>
      <c r="BX379"/>
      <c r="BY379"/>
      <c r="BZ379"/>
      <c r="CA379"/>
      <c r="CB379"/>
      <c r="CC379"/>
      <c r="CD379"/>
      <c r="CE379"/>
      <c r="CF379"/>
      <c r="CG379"/>
      <c r="CH379"/>
      <c r="CI379"/>
      <c r="CJ379"/>
      <c r="CK379"/>
      <c r="CL379"/>
      <c r="CM379"/>
      <c r="CN379"/>
      <c r="CO379"/>
      <c r="CP379"/>
      <c r="CQ379"/>
      <c r="CR379"/>
      <c r="CS379"/>
      <c r="CT379"/>
      <c r="CU379"/>
      <c r="CV379"/>
      <c r="CW379"/>
      <c r="CX379"/>
      <c r="CY379"/>
      <c r="CZ379"/>
      <c r="DA379"/>
      <c r="DB379"/>
      <c r="DC379"/>
      <c r="DD379"/>
      <c r="DE379"/>
      <c r="DF379"/>
      <c r="DG379"/>
      <c r="DH379"/>
      <c r="DI379"/>
      <c r="DJ379"/>
      <c r="DK379"/>
      <c r="DL379"/>
      <c r="DM379"/>
      <c r="DN379"/>
      <c r="DO379"/>
      <c r="DP379"/>
      <c r="DQ379"/>
      <c r="DR379"/>
      <c r="DS379"/>
      <c r="DT379"/>
      <c r="DU379"/>
      <c r="DV379"/>
      <c r="DW379"/>
      <c r="DX379"/>
      <c r="DY379"/>
      <c r="DZ379"/>
      <c r="EA379"/>
      <c r="EB379"/>
      <c r="EC379"/>
      <c r="ED379"/>
      <c r="EE379"/>
      <c r="EF379"/>
      <c r="EG379"/>
      <c r="EH379"/>
      <c r="EI379"/>
      <c r="EJ379"/>
      <c r="EK379"/>
      <c r="EL379"/>
      <c r="EM379"/>
      <c r="EN379"/>
      <c r="EO379"/>
      <c r="EP379"/>
      <c r="EQ379"/>
      <c r="ER379"/>
      <c r="ES379"/>
      <c r="ET379"/>
      <c r="EU379"/>
      <c r="EV379"/>
      <c r="EW379"/>
      <c r="EX379"/>
      <c r="EY379"/>
      <c r="EZ379"/>
      <c r="FA379"/>
      <c r="FB379"/>
      <c r="FC379"/>
      <c r="FD379"/>
      <c r="FE379"/>
      <c r="FF379"/>
      <c r="FG379"/>
      <c r="FH379"/>
      <c r="FI379"/>
      <c r="FJ379"/>
      <c r="FK379"/>
      <c r="FL379"/>
      <c r="FM379"/>
      <c r="FN379"/>
      <c r="FO379"/>
      <c r="FP379"/>
      <c r="FQ379"/>
      <c r="FR379"/>
      <c r="FS379"/>
      <c r="FT379"/>
      <c r="FU379"/>
      <c r="FV379"/>
      <c r="FW379"/>
      <c r="FX379"/>
      <c r="FY379"/>
      <c r="FZ379"/>
      <c r="GA379"/>
      <c r="GB379"/>
      <c r="GC379"/>
      <c r="GD379"/>
      <c r="GE379"/>
      <c r="GF379"/>
      <c r="GG379"/>
      <c r="GH379"/>
      <c r="GI379"/>
      <c r="GJ379"/>
      <c r="GK379"/>
      <c r="GL379"/>
      <c r="GM379"/>
      <c r="GN379"/>
      <c r="GO379"/>
      <c r="GP379"/>
      <c r="GQ379"/>
      <c r="GR379"/>
      <c r="GS379"/>
      <c r="GT379"/>
      <c r="GU379"/>
      <c r="GV379"/>
      <c r="GW379"/>
      <c r="GX379"/>
      <c r="GY379"/>
      <c r="GZ379"/>
      <c r="HA379"/>
      <c r="HB379"/>
      <c r="HC379"/>
      <c r="HD379"/>
      <c r="HE379"/>
      <c r="HF379"/>
      <c r="HG379"/>
      <c r="HH379"/>
      <c r="HI379"/>
      <c r="HJ379"/>
      <c r="HK379"/>
      <c r="HL379"/>
      <c r="HM379"/>
      <c r="HN379"/>
      <c r="HO379"/>
      <c r="HP379"/>
      <c r="HQ379"/>
      <c r="HR379"/>
      <c r="HS379"/>
      <c r="HT379"/>
      <c r="HU379"/>
      <c r="HV379"/>
      <c r="HW379"/>
      <c r="HX379"/>
      <c r="HY379"/>
      <c r="HZ379"/>
      <c r="IA379"/>
      <c r="IB379"/>
      <c r="IC379"/>
      <c r="ID379"/>
      <c r="IE379"/>
      <c r="IF379"/>
      <c r="IG379"/>
      <c r="IH379"/>
      <c r="II379"/>
      <c r="IJ379"/>
      <c r="IK379"/>
      <c r="IL379"/>
      <c r="IM379"/>
      <c r="IN379"/>
      <c r="IO379"/>
      <c r="IP379"/>
      <c r="IQ379"/>
      <c r="IR379"/>
      <c r="IS379"/>
      <c r="IT379"/>
      <c r="IU379"/>
      <c r="IV379"/>
      <c r="IW379"/>
      <c r="IX379"/>
      <c r="IY379"/>
      <c r="IZ379"/>
      <c r="JA379"/>
      <c r="JB379"/>
      <c r="JC379"/>
      <c r="JD379"/>
      <c r="JE379"/>
      <c r="JF379"/>
      <c r="JG379"/>
      <c r="JH379"/>
      <c r="JI379"/>
      <c r="JJ379"/>
      <c r="JK379"/>
      <c r="JL379"/>
      <c r="JM379"/>
      <c r="JN379"/>
      <c r="JO379"/>
      <c r="JP379"/>
      <c r="JQ379"/>
      <c r="JR379"/>
      <c r="JS379"/>
      <c r="JT379"/>
      <c r="JU379"/>
      <c r="JV379"/>
      <c r="JW379"/>
      <c r="JX379"/>
      <c r="JY379"/>
      <c r="JZ379"/>
      <c r="KA379"/>
      <c r="KB379"/>
      <c r="KC379"/>
      <c r="KD379"/>
      <c r="KE379"/>
      <c r="KF379"/>
      <c r="KG379"/>
      <c r="KH379"/>
      <c r="KI379"/>
      <c r="KJ379"/>
      <c r="KK379"/>
      <c r="KL379"/>
      <c r="KM379"/>
      <c r="KN379"/>
      <c r="KO379"/>
      <c r="KP379"/>
      <c r="KQ379"/>
      <c r="KR379"/>
      <c r="KS379"/>
      <c r="KT379"/>
      <c r="KU379"/>
      <c r="KV379"/>
      <c r="KW379"/>
      <c r="KX379"/>
      <c r="KY379"/>
      <c r="KZ379"/>
      <c r="LA379"/>
      <c r="LB379"/>
      <c r="LC379"/>
      <c r="LD379"/>
      <c r="LE379"/>
      <c r="LF379"/>
      <c r="LG379"/>
      <c r="LH379"/>
      <c r="LI379"/>
      <c r="LJ379"/>
      <c r="LK379"/>
      <c r="LL379"/>
      <c r="LM379"/>
      <c r="LN379"/>
      <c r="LO379"/>
      <c r="LP379"/>
      <c r="LQ379"/>
      <c r="LR379"/>
      <c r="LS379"/>
      <c r="LT379"/>
      <c r="LU379"/>
      <c r="LV379"/>
      <c r="LW379"/>
      <c r="LX379"/>
      <c r="LY379"/>
      <c r="LZ379"/>
      <c r="MA379"/>
      <c r="MB379"/>
      <c r="MC379"/>
      <c r="MD379"/>
      <c r="ME379"/>
      <c r="MF379"/>
      <c r="MG379"/>
      <c r="MH379"/>
      <c r="MI379"/>
      <c r="MJ379"/>
      <c r="MK379"/>
      <c r="ML379"/>
      <c r="MM379"/>
      <c r="MN379"/>
      <c r="MO379"/>
      <c r="MP379"/>
      <c r="MQ379"/>
      <c r="MR379"/>
      <c r="MS379"/>
      <c r="MT379"/>
      <c r="MU379"/>
      <c r="MV379"/>
      <c r="MW379"/>
      <c r="MX379"/>
      <c r="MY379"/>
      <c r="MZ379"/>
      <c r="NA379"/>
      <c r="NB379"/>
      <c r="NC379"/>
      <c r="ND379"/>
      <c r="NE379"/>
      <c r="NF379"/>
      <c r="NG379"/>
      <c r="NH379"/>
      <c r="NI379"/>
      <c r="NJ379"/>
      <c r="NK379"/>
      <c r="NL379"/>
      <c r="NM379"/>
      <c r="NN379"/>
      <c r="NO379"/>
      <c r="NP379"/>
      <c r="NQ379"/>
      <c r="NR379"/>
      <c r="NS379"/>
      <c r="NT379"/>
      <c r="NU379"/>
      <c r="NV379"/>
      <c r="NW379"/>
      <c r="NX379"/>
      <c r="NY379"/>
      <c r="NZ379"/>
      <c r="OA379"/>
      <c r="OB379"/>
      <c r="OC379"/>
      <c r="OD379"/>
      <c r="OE379"/>
      <c r="OF379"/>
      <c r="OG379"/>
      <c r="OH379"/>
      <c r="OI379"/>
      <c r="OJ379"/>
      <c r="OK379"/>
      <c r="OL379"/>
      <c r="OM379"/>
      <c r="ON379"/>
      <c r="OO379"/>
      <c r="OP379"/>
      <c r="OQ379"/>
      <c r="OR379"/>
      <c r="OS379"/>
      <c r="OT379"/>
      <c r="OU379"/>
      <c r="OV379"/>
      <c r="OW379"/>
      <c r="OX379"/>
      <c r="OY379"/>
      <c r="OZ379"/>
      <c r="PA379"/>
      <c r="PB379"/>
      <c r="PC379"/>
      <c r="PD379"/>
      <c r="PE379"/>
      <c r="PF379"/>
      <c r="PG379"/>
      <c r="PH379"/>
      <c r="PI379"/>
      <c r="PJ379"/>
      <c r="PK379"/>
      <c r="PL379"/>
      <c r="PM379"/>
      <c r="PN379"/>
      <c r="PO379"/>
      <c r="PP379"/>
      <c r="PQ379"/>
      <c r="PR379"/>
      <c r="PS379"/>
      <c r="PT379"/>
      <c r="PU379"/>
      <c r="PV379"/>
      <c r="PW379"/>
      <c r="PX379"/>
      <c r="PY379"/>
      <c r="PZ379"/>
      <c r="QA379"/>
      <c r="QB379"/>
      <c r="QC379"/>
      <c r="QD379"/>
      <c r="QE379"/>
      <c r="QF379"/>
      <c r="QG379"/>
      <c r="QH379"/>
      <c r="QI379"/>
      <c r="QJ379"/>
      <c r="QK379"/>
      <c r="QL379"/>
      <c r="QM379"/>
      <c r="QN379"/>
      <c r="QO379"/>
      <c r="QP379"/>
      <c r="QQ379"/>
      <c r="QR379"/>
      <c r="QS379"/>
      <c r="QT379"/>
      <c r="QU379"/>
      <c r="QV379"/>
      <c r="QW379"/>
      <c r="QX379"/>
      <c r="QY379"/>
      <c r="QZ379"/>
      <c r="RA379"/>
      <c r="RB379"/>
      <c r="RC379"/>
      <c r="RD379"/>
      <c r="RE379"/>
      <c r="RF379"/>
      <c r="RG379"/>
      <c r="RH379"/>
      <c r="RI379"/>
      <c r="RJ379"/>
      <c r="RK379"/>
      <c r="RL379"/>
      <c r="RM379"/>
      <c r="RN379"/>
      <c r="RO379"/>
      <c r="RP379"/>
      <c r="RQ379"/>
      <c r="RR379"/>
      <c r="RS379"/>
    </row>
    <row r="380" spans="19:487" x14ac:dyDescent="0.25"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  <c r="AH380"/>
      <c r="AI380"/>
      <c r="AJ380"/>
      <c r="AK380"/>
      <c r="AL380"/>
      <c r="AM380"/>
      <c r="AN380"/>
      <c r="AO380"/>
      <c r="AP380"/>
      <c r="AQ380"/>
      <c r="AR380"/>
      <c r="AS380"/>
      <c r="AT380"/>
      <c r="AU380"/>
      <c r="AV380"/>
      <c r="AW380"/>
      <c r="AX380"/>
      <c r="AY380"/>
      <c r="AZ380"/>
      <c r="BA380"/>
      <c r="BB380"/>
      <c r="BC380"/>
      <c r="BD380"/>
      <c r="BE380"/>
      <c r="BF380"/>
      <c r="BG380"/>
      <c r="BH380"/>
      <c r="BI380"/>
      <c r="BJ380"/>
      <c r="BK380"/>
      <c r="BL380"/>
      <c r="BM380"/>
      <c r="BN380"/>
      <c r="BO380"/>
      <c r="BP380"/>
      <c r="BQ380"/>
      <c r="BR380"/>
      <c r="BS380"/>
      <c r="BT380"/>
      <c r="BU380"/>
      <c r="BV380"/>
      <c r="BW380"/>
      <c r="BX380"/>
      <c r="BY380"/>
      <c r="BZ380"/>
      <c r="CA380"/>
      <c r="CB380"/>
      <c r="CC380"/>
      <c r="CD380"/>
      <c r="CE380"/>
      <c r="CF380"/>
      <c r="CG380"/>
      <c r="CH380"/>
      <c r="CI380"/>
      <c r="CJ380"/>
      <c r="CK380"/>
      <c r="CL380"/>
      <c r="CM380"/>
      <c r="CN380"/>
      <c r="CO380"/>
      <c r="CP380"/>
      <c r="CQ380"/>
      <c r="CR380"/>
      <c r="CS380"/>
      <c r="CT380"/>
      <c r="CU380"/>
      <c r="CV380"/>
      <c r="CW380"/>
      <c r="CX380"/>
      <c r="CY380"/>
      <c r="CZ380"/>
      <c r="DA380"/>
      <c r="DB380"/>
      <c r="DC380"/>
      <c r="DD380"/>
      <c r="DE380"/>
      <c r="DF380"/>
      <c r="DG380"/>
      <c r="DH380"/>
      <c r="DI380"/>
      <c r="DJ380"/>
      <c r="DK380"/>
      <c r="DL380"/>
      <c r="DM380"/>
      <c r="DN380"/>
      <c r="DO380"/>
      <c r="DP380"/>
      <c r="DQ380"/>
      <c r="DR380"/>
      <c r="DS380"/>
      <c r="DT380"/>
      <c r="DU380"/>
      <c r="DV380"/>
      <c r="DW380"/>
      <c r="DX380"/>
      <c r="DY380"/>
      <c r="DZ380"/>
      <c r="EA380"/>
      <c r="EB380"/>
      <c r="EC380"/>
      <c r="ED380"/>
      <c r="EE380"/>
      <c r="EF380"/>
      <c r="EG380"/>
      <c r="EH380"/>
      <c r="EI380"/>
      <c r="EJ380"/>
      <c r="EK380"/>
      <c r="EL380"/>
      <c r="EM380"/>
      <c r="EN380"/>
      <c r="EO380"/>
      <c r="EP380"/>
      <c r="EQ380"/>
      <c r="ER380"/>
      <c r="ES380"/>
      <c r="ET380"/>
      <c r="EU380"/>
      <c r="EV380"/>
      <c r="EW380"/>
      <c r="EX380"/>
      <c r="EY380"/>
      <c r="EZ380"/>
      <c r="FA380"/>
      <c r="FB380"/>
      <c r="FC380"/>
      <c r="FD380"/>
      <c r="FE380"/>
      <c r="FF380"/>
      <c r="FG380"/>
      <c r="FH380"/>
      <c r="FI380"/>
      <c r="FJ380"/>
      <c r="FK380"/>
      <c r="FL380"/>
      <c r="FM380"/>
      <c r="FN380"/>
      <c r="FO380"/>
      <c r="FP380"/>
      <c r="FQ380"/>
      <c r="FR380"/>
      <c r="FS380"/>
      <c r="FT380"/>
      <c r="FU380"/>
      <c r="FV380"/>
      <c r="FW380"/>
      <c r="FX380"/>
      <c r="FY380"/>
      <c r="FZ380"/>
      <c r="GA380"/>
      <c r="GB380"/>
      <c r="GC380"/>
      <c r="GD380"/>
      <c r="GE380"/>
      <c r="GF380"/>
      <c r="GG380"/>
      <c r="GH380"/>
      <c r="GI380"/>
      <c r="GJ380"/>
      <c r="GK380"/>
      <c r="GL380"/>
      <c r="GM380"/>
      <c r="GN380"/>
      <c r="GO380"/>
      <c r="GP380"/>
      <c r="GQ380"/>
      <c r="GR380"/>
      <c r="GS380"/>
      <c r="GT380"/>
      <c r="GU380"/>
      <c r="GV380"/>
      <c r="GW380"/>
      <c r="GX380"/>
      <c r="GY380"/>
      <c r="GZ380"/>
      <c r="HA380"/>
      <c r="HB380"/>
      <c r="HC380"/>
      <c r="HD380"/>
      <c r="HE380"/>
      <c r="HF380"/>
      <c r="HG380"/>
      <c r="HH380"/>
      <c r="HI380"/>
      <c r="HJ380"/>
      <c r="HK380"/>
      <c r="HL380"/>
      <c r="HM380"/>
      <c r="HN380"/>
      <c r="HO380"/>
      <c r="HP380"/>
      <c r="HQ380"/>
      <c r="HR380"/>
      <c r="HS380"/>
      <c r="HT380"/>
      <c r="HU380"/>
      <c r="HV380"/>
      <c r="HW380"/>
      <c r="HX380"/>
      <c r="HY380"/>
      <c r="HZ380"/>
      <c r="IA380"/>
      <c r="IB380"/>
      <c r="IC380"/>
      <c r="ID380"/>
      <c r="IE380"/>
      <c r="IF380"/>
      <c r="IG380"/>
      <c r="IH380"/>
      <c r="II380"/>
      <c r="IJ380"/>
      <c r="IK380"/>
      <c r="IL380"/>
      <c r="IM380"/>
      <c r="IN380"/>
      <c r="IO380"/>
      <c r="IP380"/>
      <c r="IQ380"/>
      <c r="IR380"/>
      <c r="IS380"/>
      <c r="IT380"/>
      <c r="IU380"/>
      <c r="IV380"/>
      <c r="IW380"/>
      <c r="IX380"/>
      <c r="IY380"/>
      <c r="IZ380"/>
      <c r="JA380"/>
      <c r="JB380"/>
      <c r="JC380"/>
      <c r="JD380"/>
      <c r="JE380"/>
      <c r="JF380"/>
      <c r="JG380"/>
      <c r="JH380"/>
      <c r="JI380"/>
      <c r="JJ380"/>
      <c r="JK380"/>
      <c r="JL380"/>
      <c r="JM380"/>
      <c r="JN380"/>
      <c r="JO380"/>
      <c r="JP380"/>
      <c r="JQ380"/>
      <c r="JR380"/>
      <c r="JS380"/>
      <c r="JT380"/>
      <c r="JU380"/>
      <c r="JV380"/>
      <c r="JW380"/>
      <c r="JX380"/>
      <c r="JY380"/>
      <c r="JZ380"/>
      <c r="KA380"/>
      <c r="KB380"/>
      <c r="KC380"/>
      <c r="KD380"/>
      <c r="KE380"/>
      <c r="KF380"/>
      <c r="KG380"/>
      <c r="KH380"/>
      <c r="KI380"/>
      <c r="KJ380"/>
      <c r="KK380"/>
      <c r="KL380"/>
      <c r="KM380"/>
      <c r="KN380"/>
      <c r="KO380"/>
      <c r="KP380"/>
      <c r="KQ380"/>
      <c r="KR380"/>
      <c r="KS380"/>
      <c r="KT380"/>
      <c r="KU380"/>
      <c r="KV380"/>
      <c r="KW380"/>
      <c r="KX380"/>
      <c r="KY380"/>
      <c r="KZ380"/>
      <c r="LA380"/>
      <c r="LB380"/>
      <c r="LC380"/>
      <c r="LD380"/>
      <c r="LE380"/>
      <c r="LF380"/>
      <c r="LG380"/>
      <c r="LH380"/>
      <c r="LI380"/>
      <c r="LJ380"/>
      <c r="LK380"/>
      <c r="LL380"/>
      <c r="LM380"/>
      <c r="LN380"/>
      <c r="LO380"/>
      <c r="LP380"/>
      <c r="LQ380"/>
      <c r="LR380"/>
      <c r="LS380"/>
      <c r="LT380"/>
      <c r="LU380"/>
      <c r="LV380"/>
      <c r="LW380"/>
      <c r="LX380"/>
      <c r="LY380"/>
      <c r="LZ380"/>
      <c r="MA380"/>
      <c r="MB380"/>
      <c r="MC380"/>
      <c r="MD380"/>
      <c r="ME380"/>
      <c r="MF380"/>
      <c r="MG380"/>
      <c r="MH380"/>
      <c r="MI380"/>
      <c r="MJ380"/>
      <c r="MK380"/>
      <c r="ML380"/>
      <c r="MM380"/>
      <c r="MN380"/>
      <c r="MO380"/>
      <c r="MP380"/>
      <c r="MQ380"/>
      <c r="MR380"/>
      <c r="MS380"/>
      <c r="MT380"/>
      <c r="MU380"/>
      <c r="MV380"/>
      <c r="MW380"/>
      <c r="MX380"/>
      <c r="MY380"/>
      <c r="MZ380"/>
      <c r="NA380"/>
      <c r="NB380"/>
      <c r="NC380"/>
      <c r="ND380"/>
      <c r="NE380"/>
      <c r="NF380"/>
      <c r="NG380"/>
      <c r="NH380"/>
      <c r="NI380"/>
      <c r="NJ380"/>
      <c r="NK380"/>
      <c r="NL380"/>
      <c r="NM380"/>
      <c r="NN380"/>
      <c r="NO380"/>
      <c r="NP380"/>
      <c r="NQ380"/>
      <c r="NR380"/>
      <c r="NS380"/>
      <c r="NT380"/>
      <c r="NU380"/>
      <c r="NV380"/>
      <c r="NW380"/>
      <c r="NX380"/>
      <c r="NY380"/>
      <c r="NZ380"/>
      <c r="OA380"/>
      <c r="OB380"/>
      <c r="OC380"/>
      <c r="OD380"/>
      <c r="OE380"/>
      <c r="OF380"/>
      <c r="OG380"/>
      <c r="OH380"/>
      <c r="OI380"/>
      <c r="OJ380"/>
      <c r="OK380"/>
      <c r="OL380"/>
      <c r="OM380"/>
      <c r="ON380"/>
      <c r="OO380"/>
      <c r="OP380"/>
      <c r="OQ380"/>
      <c r="OR380"/>
      <c r="OS380"/>
      <c r="OT380"/>
      <c r="OU380"/>
      <c r="OV380"/>
      <c r="OW380"/>
      <c r="OX380"/>
      <c r="OY380"/>
      <c r="OZ380"/>
      <c r="PA380"/>
      <c r="PB380"/>
      <c r="PC380"/>
      <c r="PD380"/>
      <c r="PE380"/>
      <c r="PF380"/>
      <c r="PG380"/>
      <c r="PH380"/>
      <c r="PI380"/>
      <c r="PJ380"/>
      <c r="PK380"/>
      <c r="PL380"/>
      <c r="PM380"/>
      <c r="PN380"/>
      <c r="PO380"/>
      <c r="PP380"/>
      <c r="PQ380"/>
      <c r="PR380"/>
      <c r="PS380"/>
      <c r="PT380"/>
      <c r="PU380"/>
      <c r="PV380"/>
      <c r="PW380"/>
      <c r="PX380"/>
      <c r="PY380"/>
      <c r="PZ380"/>
      <c r="QA380"/>
      <c r="QB380"/>
      <c r="QC380"/>
      <c r="QD380"/>
      <c r="QE380"/>
      <c r="QF380"/>
      <c r="QG380"/>
      <c r="QH380"/>
      <c r="QI380"/>
      <c r="QJ380"/>
      <c r="QK380"/>
      <c r="QL380"/>
      <c r="QM380"/>
      <c r="QN380"/>
      <c r="QO380"/>
      <c r="QP380"/>
      <c r="QQ380"/>
      <c r="QR380"/>
      <c r="QS380"/>
      <c r="QT380"/>
      <c r="QU380"/>
      <c r="QV380"/>
      <c r="QW380"/>
      <c r="QX380"/>
      <c r="QY380"/>
      <c r="QZ380"/>
      <c r="RA380"/>
      <c r="RB380"/>
      <c r="RC380"/>
      <c r="RD380"/>
      <c r="RE380"/>
      <c r="RF380"/>
      <c r="RG380"/>
      <c r="RH380"/>
      <c r="RI380"/>
      <c r="RJ380"/>
      <c r="RK380"/>
      <c r="RL380"/>
      <c r="RM380"/>
      <c r="RN380"/>
      <c r="RO380"/>
      <c r="RP380"/>
      <c r="RQ380"/>
      <c r="RR380"/>
      <c r="RS380"/>
    </row>
    <row r="381" spans="19:487" x14ac:dyDescent="0.25"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  <c r="AH381"/>
      <c r="AI381"/>
      <c r="AJ381"/>
      <c r="AK381"/>
      <c r="AL381"/>
      <c r="AM381"/>
      <c r="AN381"/>
      <c r="AO381"/>
      <c r="AP381"/>
      <c r="AQ381"/>
      <c r="AR381"/>
      <c r="AS381"/>
      <c r="AT381"/>
      <c r="AU381"/>
      <c r="AV381"/>
      <c r="AW381"/>
      <c r="AX381"/>
      <c r="AY381"/>
      <c r="AZ381"/>
      <c r="BA381"/>
      <c r="BB381"/>
      <c r="BC381"/>
      <c r="BD381"/>
      <c r="BE381"/>
      <c r="BF381"/>
      <c r="BG381"/>
      <c r="BH381"/>
      <c r="BI381"/>
      <c r="BJ381"/>
      <c r="BK381"/>
      <c r="BL381"/>
      <c r="BM381"/>
      <c r="BN381"/>
      <c r="BO381"/>
      <c r="BP381"/>
      <c r="BQ381"/>
      <c r="BR381"/>
      <c r="BS381"/>
      <c r="BT381"/>
      <c r="BU381"/>
      <c r="BV381"/>
      <c r="BW381"/>
      <c r="BX381"/>
      <c r="BY381"/>
      <c r="BZ381"/>
      <c r="CA381"/>
      <c r="CB381"/>
      <c r="CC381"/>
      <c r="CD381"/>
      <c r="CE381"/>
      <c r="CF381"/>
      <c r="CG381"/>
      <c r="CH381"/>
      <c r="CI381"/>
      <c r="CJ381"/>
      <c r="CK381"/>
      <c r="CL381"/>
      <c r="CM381"/>
      <c r="CN381"/>
      <c r="CO381"/>
      <c r="CP381"/>
      <c r="CQ381"/>
      <c r="CR381"/>
      <c r="CS381"/>
      <c r="CT381"/>
      <c r="CU381"/>
      <c r="CV381"/>
      <c r="CW381"/>
      <c r="CX381"/>
      <c r="CY381"/>
      <c r="CZ381"/>
      <c r="DA381"/>
      <c r="DB381"/>
      <c r="DC381"/>
      <c r="DD381"/>
      <c r="DE381"/>
      <c r="DF381"/>
      <c r="DG381"/>
      <c r="DH381"/>
      <c r="DI381"/>
      <c r="DJ381"/>
      <c r="DK381"/>
      <c r="DL381"/>
      <c r="DM381"/>
      <c r="DN381"/>
      <c r="DO381"/>
      <c r="DP381"/>
      <c r="DQ381"/>
      <c r="DR381"/>
      <c r="DS381"/>
      <c r="DT381"/>
      <c r="DU381"/>
      <c r="DV381"/>
      <c r="DW381"/>
      <c r="DX381"/>
      <c r="DY381"/>
      <c r="DZ381"/>
      <c r="EA381"/>
      <c r="EB381"/>
      <c r="EC381"/>
      <c r="ED381"/>
      <c r="EE381"/>
      <c r="EF381"/>
      <c r="EG381"/>
      <c r="EH381"/>
      <c r="EI381"/>
      <c r="EJ381"/>
      <c r="EK381"/>
      <c r="EL381"/>
      <c r="EM381"/>
      <c r="EN381"/>
      <c r="EO381"/>
      <c r="EP381"/>
      <c r="EQ381"/>
      <c r="ER381"/>
      <c r="ES381"/>
      <c r="ET381"/>
      <c r="EU381"/>
      <c r="EV381"/>
      <c r="EW381"/>
      <c r="EX381"/>
      <c r="EY381"/>
      <c r="EZ381"/>
      <c r="FA381"/>
      <c r="FB381"/>
      <c r="FC381"/>
      <c r="FD381"/>
      <c r="FE381"/>
      <c r="FF381"/>
      <c r="FG381"/>
      <c r="FH381"/>
      <c r="FI381"/>
      <c r="FJ381"/>
      <c r="FK381"/>
      <c r="FL381"/>
      <c r="FM381"/>
      <c r="FN381"/>
      <c r="FO381"/>
      <c r="FP381"/>
      <c r="FQ381"/>
      <c r="FR381"/>
      <c r="FS381"/>
      <c r="FT381"/>
      <c r="FU381"/>
      <c r="FV381"/>
      <c r="FW381"/>
      <c r="FX381"/>
      <c r="FY381"/>
      <c r="FZ381"/>
      <c r="GA381"/>
      <c r="GB381"/>
      <c r="GC381"/>
      <c r="GD381"/>
      <c r="GE381"/>
      <c r="GF381"/>
      <c r="GG381"/>
      <c r="GH381"/>
      <c r="GI381"/>
      <c r="GJ381"/>
      <c r="GK381"/>
      <c r="GL381"/>
      <c r="GM381"/>
      <c r="GN381"/>
      <c r="GO381"/>
      <c r="GP381"/>
      <c r="GQ381"/>
      <c r="GR381"/>
      <c r="GS381"/>
      <c r="GT381"/>
      <c r="GU381"/>
      <c r="GV381"/>
      <c r="GW381"/>
      <c r="GX381"/>
      <c r="GY381"/>
      <c r="GZ381"/>
      <c r="HA381"/>
      <c r="HB381"/>
      <c r="HC381"/>
      <c r="HD381"/>
      <c r="HE381"/>
      <c r="HF381"/>
      <c r="HG381"/>
      <c r="HH381"/>
      <c r="HI381"/>
      <c r="HJ381"/>
      <c r="HK381"/>
      <c r="HL381"/>
      <c r="HM381"/>
      <c r="HN381"/>
      <c r="HO381"/>
      <c r="HP381"/>
      <c r="HQ381"/>
      <c r="HR381"/>
      <c r="HS381"/>
      <c r="HT381"/>
      <c r="HU381"/>
      <c r="HV381"/>
      <c r="HW381"/>
      <c r="HX381"/>
      <c r="HY381"/>
      <c r="HZ381"/>
      <c r="IA381"/>
      <c r="IB381"/>
      <c r="IC381"/>
      <c r="ID381"/>
      <c r="IE381"/>
      <c r="IF381"/>
      <c r="IG381"/>
      <c r="IH381"/>
      <c r="II381"/>
      <c r="IJ381"/>
      <c r="IK381"/>
      <c r="IL381"/>
      <c r="IM381"/>
      <c r="IN381"/>
      <c r="IO381"/>
      <c r="IP381"/>
      <c r="IQ381"/>
      <c r="IR381"/>
      <c r="IS381"/>
      <c r="IT381"/>
      <c r="IU381"/>
      <c r="IV381"/>
      <c r="IW381"/>
      <c r="IX381"/>
      <c r="IY381"/>
      <c r="IZ381"/>
      <c r="JA381"/>
      <c r="JB381"/>
      <c r="JC381"/>
      <c r="JD381"/>
      <c r="JE381"/>
      <c r="JF381"/>
      <c r="JG381"/>
      <c r="JH381"/>
      <c r="JI381"/>
      <c r="JJ381"/>
      <c r="JK381"/>
      <c r="JL381"/>
      <c r="JM381"/>
      <c r="JN381"/>
      <c r="JO381"/>
      <c r="JP381"/>
      <c r="JQ381"/>
      <c r="JR381"/>
      <c r="JS381"/>
      <c r="JT381"/>
      <c r="JU381"/>
      <c r="JV381"/>
      <c r="JW381"/>
      <c r="JX381"/>
      <c r="JY381"/>
      <c r="JZ381"/>
      <c r="KA381"/>
      <c r="KB381"/>
      <c r="KC381"/>
      <c r="KD381"/>
      <c r="KE381"/>
      <c r="KF381"/>
      <c r="KG381"/>
      <c r="KH381"/>
      <c r="KI381"/>
      <c r="KJ381"/>
      <c r="KK381"/>
      <c r="KL381"/>
      <c r="KM381"/>
      <c r="KN381"/>
      <c r="KO381"/>
      <c r="KP381"/>
      <c r="KQ381"/>
      <c r="KR381"/>
      <c r="KS381"/>
      <c r="KT381"/>
      <c r="KU381"/>
      <c r="KV381"/>
      <c r="KW381"/>
      <c r="KX381"/>
      <c r="KY381"/>
      <c r="KZ381"/>
      <c r="LA381"/>
      <c r="LB381"/>
      <c r="LC381"/>
      <c r="LD381"/>
      <c r="LE381"/>
      <c r="LF381"/>
      <c r="LG381"/>
      <c r="LH381"/>
      <c r="LI381"/>
      <c r="LJ381"/>
      <c r="LK381"/>
      <c r="LL381"/>
      <c r="LM381"/>
      <c r="LN381"/>
      <c r="LO381"/>
      <c r="LP381"/>
      <c r="LQ381"/>
      <c r="LR381"/>
      <c r="LS381"/>
      <c r="LT381"/>
      <c r="LU381"/>
      <c r="LV381"/>
      <c r="LW381"/>
      <c r="LX381"/>
      <c r="LY381"/>
      <c r="LZ381"/>
      <c r="MA381"/>
      <c r="MB381"/>
      <c r="MC381"/>
      <c r="MD381"/>
      <c r="ME381"/>
      <c r="MF381"/>
      <c r="MG381"/>
      <c r="MH381"/>
      <c r="MI381"/>
      <c r="MJ381"/>
      <c r="MK381"/>
      <c r="ML381"/>
      <c r="MM381"/>
      <c r="MN381"/>
      <c r="MO381"/>
      <c r="MP381"/>
      <c r="MQ381"/>
      <c r="MR381"/>
      <c r="MS381"/>
      <c r="MT381"/>
      <c r="MU381"/>
      <c r="MV381"/>
      <c r="MW381"/>
      <c r="MX381"/>
      <c r="MY381"/>
      <c r="MZ381"/>
      <c r="NA381"/>
      <c r="NB381"/>
      <c r="NC381"/>
      <c r="ND381"/>
      <c r="NE381"/>
      <c r="NF381"/>
      <c r="NG381"/>
      <c r="NH381"/>
      <c r="NI381"/>
      <c r="NJ381"/>
      <c r="NK381"/>
      <c r="NL381"/>
      <c r="NM381"/>
      <c r="NN381"/>
      <c r="NO381"/>
      <c r="NP381"/>
      <c r="NQ381"/>
      <c r="NR381"/>
      <c r="NS381"/>
      <c r="NT381"/>
      <c r="NU381"/>
      <c r="NV381"/>
      <c r="NW381"/>
      <c r="NX381"/>
      <c r="NY381"/>
      <c r="NZ381"/>
      <c r="OA381"/>
      <c r="OB381"/>
      <c r="OC381"/>
      <c r="OD381"/>
      <c r="OE381"/>
      <c r="OF381"/>
      <c r="OG381"/>
      <c r="OH381"/>
      <c r="OI381"/>
      <c r="OJ381"/>
      <c r="OK381"/>
      <c r="OL381"/>
      <c r="OM381"/>
      <c r="ON381"/>
      <c r="OO381"/>
      <c r="OP381"/>
      <c r="OQ381"/>
      <c r="OR381"/>
      <c r="OS381"/>
      <c r="OT381"/>
      <c r="OU381"/>
      <c r="OV381"/>
      <c r="OW381"/>
      <c r="OX381"/>
      <c r="OY381"/>
      <c r="OZ381"/>
      <c r="PA381"/>
      <c r="PB381"/>
      <c r="PC381"/>
      <c r="PD381"/>
      <c r="PE381"/>
      <c r="PF381"/>
      <c r="PG381"/>
      <c r="PH381"/>
      <c r="PI381"/>
      <c r="PJ381"/>
      <c r="PK381"/>
      <c r="PL381"/>
      <c r="PM381"/>
      <c r="PN381"/>
      <c r="PO381"/>
      <c r="PP381"/>
      <c r="PQ381"/>
      <c r="PR381"/>
      <c r="PS381"/>
      <c r="PT381"/>
      <c r="PU381"/>
      <c r="PV381"/>
      <c r="PW381"/>
      <c r="PX381"/>
      <c r="PY381"/>
      <c r="PZ381"/>
      <c r="QA381"/>
      <c r="QB381"/>
      <c r="QC381"/>
      <c r="QD381"/>
      <c r="QE381"/>
      <c r="QF381"/>
      <c r="QG381"/>
      <c r="QH381"/>
      <c r="QI381"/>
      <c r="QJ381"/>
      <c r="QK381"/>
      <c r="QL381"/>
      <c r="QM381"/>
      <c r="QN381"/>
      <c r="QO381"/>
      <c r="QP381"/>
      <c r="QQ381"/>
      <c r="QR381"/>
      <c r="QS381"/>
      <c r="QT381"/>
      <c r="QU381"/>
      <c r="QV381"/>
      <c r="QW381"/>
      <c r="QX381"/>
      <c r="QY381"/>
      <c r="QZ381"/>
      <c r="RA381"/>
      <c r="RB381"/>
      <c r="RC381"/>
      <c r="RD381"/>
      <c r="RE381"/>
      <c r="RF381"/>
      <c r="RG381"/>
      <c r="RH381"/>
      <c r="RI381"/>
      <c r="RJ381"/>
      <c r="RK381"/>
      <c r="RL381"/>
      <c r="RM381"/>
      <c r="RN381"/>
      <c r="RO381"/>
      <c r="RP381"/>
      <c r="RQ381"/>
      <c r="RR381"/>
      <c r="RS381"/>
    </row>
    <row r="382" spans="19:487" x14ac:dyDescent="0.25"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  <c r="AH382"/>
      <c r="AI382"/>
      <c r="AJ382"/>
      <c r="AK382"/>
      <c r="AL382"/>
      <c r="AM382"/>
      <c r="AN382"/>
      <c r="AO382"/>
      <c r="AP382"/>
      <c r="AQ382"/>
      <c r="AR382"/>
      <c r="AS382"/>
      <c r="AT382"/>
      <c r="AU382"/>
      <c r="AV382"/>
      <c r="AW382"/>
      <c r="AX382"/>
      <c r="AY382"/>
      <c r="AZ382"/>
      <c r="BA382"/>
      <c r="BB382"/>
      <c r="BC382"/>
      <c r="BD382"/>
      <c r="BE382"/>
      <c r="BF382"/>
      <c r="BG382"/>
      <c r="BH382"/>
      <c r="BI382"/>
      <c r="BJ382"/>
      <c r="BK382"/>
      <c r="BL382"/>
      <c r="BM382"/>
      <c r="BN382"/>
      <c r="BO382"/>
      <c r="BP382"/>
      <c r="BQ382"/>
      <c r="BR382"/>
      <c r="BS382"/>
      <c r="BT382"/>
      <c r="BU382"/>
      <c r="BV382"/>
      <c r="BW382"/>
      <c r="BX382"/>
      <c r="BY382"/>
      <c r="BZ382"/>
      <c r="CA382"/>
      <c r="CB382"/>
      <c r="CC382"/>
      <c r="CD382"/>
      <c r="CE382"/>
      <c r="CF382"/>
      <c r="CG382"/>
      <c r="CH382"/>
      <c r="CI382"/>
      <c r="CJ382"/>
      <c r="CK382"/>
      <c r="CL382"/>
      <c r="CM382"/>
      <c r="CN382"/>
      <c r="CO382"/>
      <c r="CP382"/>
      <c r="CQ382"/>
      <c r="CR382"/>
      <c r="CS382"/>
      <c r="CT382"/>
      <c r="CU382"/>
      <c r="CV382"/>
      <c r="CW382"/>
      <c r="CX382"/>
      <c r="CY382"/>
      <c r="CZ382"/>
      <c r="DA382"/>
      <c r="DB382"/>
      <c r="DC382"/>
      <c r="DD382"/>
      <c r="DE382"/>
      <c r="DF382"/>
      <c r="DG382"/>
      <c r="DH382"/>
      <c r="DI382"/>
      <c r="DJ382"/>
      <c r="DK382"/>
      <c r="DL382"/>
      <c r="DM382"/>
      <c r="DN382"/>
      <c r="DO382"/>
      <c r="DP382"/>
      <c r="DQ382"/>
      <c r="DR382"/>
      <c r="DS382"/>
      <c r="DT382"/>
      <c r="DU382"/>
      <c r="DV382"/>
      <c r="DW382"/>
      <c r="DX382"/>
      <c r="DY382"/>
      <c r="DZ382"/>
      <c r="EA382"/>
      <c r="EB382"/>
      <c r="EC382"/>
      <c r="ED382"/>
      <c r="EE382"/>
      <c r="EF382"/>
      <c r="EG382"/>
      <c r="EH382"/>
      <c r="EI382"/>
      <c r="EJ382"/>
      <c r="EK382"/>
      <c r="EL382"/>
      <c r="EM382"/>
      <c r="EN382"/>
      <c r="EO382"/>
      <c r="EP382"/>
      <c r="EQ382"/>
      <c r="ER382"/>
      <c r="ES382"/>
      <c r="ET382"/>
      <c r="EU382"/>
      <c r="EV382"/>
      <c r="EW382"/>
      <c r="EX382"/>
      <c r="EY382"/>
      <c r="EZ382"/>
      <c r="FA382"/>
      <c r="FB382"/>
      <c r="FC382"/>
      <c r="FD382"/>
      <c r="FE382"/>
      <c r="FF382"/>
      <c r="FG382"/>
      <c r="FH382"/>
      <c r="FI382"/>
      <c r="FJ382"/>
      <c r="FK382"/>
      <c r="FL382"/>
      <c r="FM382"/>
      <c r="FN382"/>
      <c r="FO382"/>
      <c r="FP382"/>
      <c r="FQ382"/>
      <c r="FR382"/>
      <c r="FS382"/>
      <c r="FT382"/>
      <c r="FU382"/>
      <c r="FV382"/>
      <c r="FW382"/>
      <c r="FX382"/>
      <c r="FY382"/>
      <c r="FZ382"/>
      <c r="GA382"/>
      <c r="GB382"/>
      <c r="GC382"/>
      <c r="GD382"/>
      <c r="GE382"/>
      <c r="GF382"/>
      <c r="GG382"/>
      <c r="GH382"/>
      <c r="GI382"/>
      <c r="GJ382"/>
      <c r="GK382"/>
      <c r="GL382"/>
      <c r="GM382"/>
      <c r="GN382"/>
      <c r="GO382"/>
      <c r="GP382"/>
      <c r="GQ382"/>
      <c r="GR382"/>
      <c r="GS382"/>
      <c r="GT382"/>
      <c r="GU382"/>
      <c r="GV382"/>
      <c r="GW382"/>
      <c r="GX382"/>
      <c r="GY382"/>
      <c r="GZ382"/>
      <c r="HA382"/>
      <c r="HB382"/>
      <c r="HC382"/>
      <c r="HD382"/>
      <c r="HE382"/>
      <c r="HF382"/>
      <c r="HG382"/>
      <c r="HH382"/>
      <c r="HI382"/>
      <c r="HJ382"/>
      <c r="HK382"/>
      <c r="HL382"/>
      <c r="HM382"/>
      <c r="HN382"/>
      <c r="HO382"/>
      <c r="HP382"/>
      <c r="HQ382"/>
      <c r="HR382"/>
      <c r="HS382"/>
      <c r="HT382"/>
      <c r="HU382"/>
      <c r="HV382"/>
      <c r="HW382"/>
      <c r="HX382"/>
      <c r="HY382"/>
      <c r="HZ382"/>
      <c r="IA382"/>
      <c r="IB382"/>
      <c r="IC382"/>
      <c r="ID382"/>
      <c r="IE382"/>
      <c r="IF382"/>
      <c r="IG382"/>
      <c r="IH382"/>
      <c r="II382"/>
      <c r="IJ382"/>
      <c r="IK382"/>
      <c r="IL382"/>
      <c r="IM382"/>
      <c r="IN382"/>
      <c r="IO382"/>
      <c r="IP382"/>
      <c r="IQ382"/>
      <c r="IR382"/>
      <c r="IS382"/>
      <c r="IT382"/>
      <c r="IU382"/>
      <c r="IV382"/>
      <c r="IW382"/>
      <c r="IX382"/>
      <c r="IY382"/>
      <c r="IZ382"/>
      <c r="JA382"/>
      <c r="JB382"/>
      <c r="JC382"/>
      <c r="JD382"/>
      <c r="JE382"/>
      <c r="JF382"/>
      <c r="JG382"/>
      <c r="JH382"/>
      <c r="JI382"/>
      <c r="JJ382"/>
      <c r="JK382"/>
      <c r="JL382"/>
      <c r="JM382"/>
      <c r="JN382"/>
      <c r="JO382"/>
      <c r="JP382"/>
      <c r="JQ382"/>
      <c r="JR382"/>
      <c r="JS382"/>
      <c r="JT382"/>
      <c r="JU382"/>
      <c r="JV382"/>
      <c r="JW382"/>
      <c r="JX382"/>
      <c r="JY382"/>
      <c r="JZ382"/>
      <c r="KA382"/>
      <c r="KB382"/>
      <c r="KC382"/>
      <c r="KD382"/>
      <c r="KE382"/>
      <c r="KF382"/>
      <c r="KG382"/>
      <c r="KH382"/>
      <c r="KI382"/>
      <c r="KJ382"/>
      <c r="KK382"/>
      <c r="KL382"/>
      <c r="KM382"/>
      <c r="KN382"/>
      <c r="KO382"/>
      <c r="KP382"/>
      <c r="KQ382"/>
      <c r="KR382"/>
      <c r="KS382"/>
      <c r="KT382"/>
      <c r="KU382"/>
      <c r="KV382"/>
      <c r="KW382"/>
      <c r="KX382"/>
      <c r="KY382"/>
      <c r="KZ382"/>
      <c r="LA382"/>
      <c r="LB382"/>
      <c r="LC382"/>
      <c r="LD382"/>
      <c r="LE382"/>
      <c r="LF382"/>
      <c r="LG382"/>
      <c r="LH382"/>
      <c r="LI382"/>
      <c r="LJ382"/>
      <c r="LK382"/>
      <c r="LL382"/>
      <c r="LM382"/>
      <c r="LN382"/>
      <c r="LO382"/>
      <c r="LP382"/>
      <c r="LQ382"/>
      <c r="LR382"/>
      <c r="LS382"/>
      <c r="LT382"/>
      <c r="LU382"/>
      <c r="LV382"/>
      <c r="LW382"/>
      <c r="LX382"/>
      <c r="LY382"/>
      <c r="LZ382"/>
      <c r="MA382"/>
      <c r="MB382"/>
      <c r="MC382"/>
      <c r="MD382"/>
      <c r="ME382"/>
      <c r="MF382"/>
      <c r="MG382"/>
      <c r="MH382"/>
      <c r="MI382"/>
      <c r="MJ382"/>
      <c r="MK382"/>
      <c r="ML382"/>
      <c r="MM382"/>
      <c r="MN382"/>
      <c r="MO382"/>
      <c r="MP382"/>
      <c r="MQ382"/>
      <c r="MR382"/>
      <c r="MS382"/>
      <c r="MT382"/>
      <c r="MU382"/>
      <c r="MV382"/>
      <c r="MW382"/>
      <c r="MX382"/>
      <c r="MY382"/>
      <c r="MZ382"/>
      <c r="NA382"/>
      <c r="NB382"/>
      <c r="NC382"/>
      <c r="ND382"/>
      <c r="NE382"/>
      <c r="NF382"/>
      <c r="NG382"/>
      <c r="NH382"/>
      <c r="NI382"/>
      <c r="NJ382"/>
      <c r="NK382"/>
      <c r="NL382"/>
      <c r="NM382"/>
      <c r="NN382"/>
      <c r="NO382"/>
      <c r="NP382"/>
      <c r="NQ382"/>
      <c r="NR382"/>
      <c r="NS382"/>
      <c r="NT382"/>
      <c r="NU382"/>
      <c r="NV382"/>
      <c r="NW382"/>
      <c r="NX382"/>
      <c r="NY382"/>
      <c r="NZ382"/>
      <c r="OA382"/>
      <c r="OB382"/>
      <c r="OC382"/>
      <c r="OD382"/>
      <c r="OE382"/>
      <c r="OF382"/>
      <c r="OG382"/>
      <c r="OH382"/>
      <c r="OI382"/>
      <c r="OJ382"/>
      <c r="OK382"/>
      <c r="OL382"/>
      <c r="OM382"/>
      <c r="ON382"/>
      <c r="OO382"/>
      <c r="OP382"/>
      <c r="OQ382"/>
      <c r="OR382"/>
      <c r="OS382"/>
      <c r="OT382"/>
      <c r="OU382"/>
      <c r="OV382"/>
      <c r="OW382"/>
      <c r="OX382"/>
      <c r="OY382"/>
      <c r="OZ382"/>
      <c r="PA382"/>
      <c r="PB382"/>
      <c r="PC382"/>
      <c r="PD382"/>
      <c r="PE382"/>
      <c r="PF382"/>
      <c r="PG382"/>
      <c r="PH382"/>
      <c r="PI382"/>
      <c r="PJ382"/>
      <c r="PK382"/>
      <c r="PL382"/>
      <c r="PM382"/>
      <c r="PN382"/>
      <c r="PO382"/>
      <c r="PP382"/>
      <c r="PQ382"/>
      <c r="PR382"/>
      <c r="PS382"/>
      <c r="PT382"/>
      <c r="PU382"/>
      <c r="PV382"/>
      <c r="PW382"/>
      <c r="PX382"/>
      <c r="PY382"/>
      <c r="PZ382"/>
      <c r="QA382"/>
      <c r="QB382"/>
      <c r="QC382"/>
      <c r="QD382"/>
      <c r="QE382"/>
      <c r="QF382"/>
      <c r="QG382"/>
      <c r="QH382"/>
      <c r="QI382"/>
      <c r="QJ382"/>
      <c r="QK382"/>
      <c r="QL382"/>
      <c r="QM382"/>
      <c r="QN382"/>
      <c r="QO382"/>
      <c r="QP382"/>
      <c r="QQ382"/>
      <c r="QR382"/>
      <c r="QS382"/>
      <c r="QT382"/>
      <c r="QU382"/>
      <c r="QV382"/>
      <c r="QW382"/>
      <c r="QX382"/>
      <c r="QY382"/>
      <c r="QZ382"/>
      <c r="RA382"/>
      <c r="RB382"/>
      <c r="RC382"/>
      <c r="RD382"/>
      <c r="RE382"/>
      <c r="RF382"/>
      <c r="RG382"/>
      <c r="RH382"/>
      <c r="RI382"/>
      <c r="RJ382"/>
      <c r="RK382"/>
      <c r="RL382"/>
      <c r="RM382"/>
      <c r="RN382"/>
      <c r="RO382"/>
      <c r="RP382"/>
      <c r="RQ382"/>
      <c r="RR382"/>
      <c r="RS382"/>
    </row>
    <row r="383" spans="19:487" x14ac:dyDescent="0.25"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  <c r="AH383"/>
      <c r="AI383"/>
      <c r="AJ383"/>
      <c r="AK383"/>
      <c r="AL383"/>
      <c r="AM383"/>
      <c r="AN383"/>
      <c r="AO383"/>
      <c r="AP383"/>
      <c r="AQ383"/>
      <c r="AR383"/>
      <c r="AS383"/>
      <c r="AT383"/>
      <c r="AU383"/>
      <c r="AV383"/>
      <c r="AW383"/>
      <c r="AX383"/>
      <c r="AY383"/>
      <c r="AZ383"/>
      <c r="BA383"/>
      <c r="BB383"/>
      <c r="BC383"/>
      <c r="BD383"/>
      <c r="BE383"/>
      <c r="BF383"/>
      <c r="BG383"/>
      <c r="BH383"/>
      <c r="BI383"/>
      <c r="BJ383"/>
      <c r="BK383"/>
      <c r="BL383"/>
      <c r="BM383"/>
      <c r="BN383"/>
      <c r="BO383"/>
      <c r="BP383"/>
      <c r="BQ383"/>
      <c r="BR383"/>
      <c r="BS383"/>
      <c r="BT383"/>
      <c r="BU383"/>
      <c r="BV383"/>
      <c r="BW383"/>
      <c r="BX383"/>
      <c r="BY383"/>
      <c r="BZ383"/>
      <c r="CA383"/>
      <c r="CB383"/>
      <c r="CC383"/>
      <c r="CD383"/>
      <c r="CE383"/>
      <c r="CF383"/>
      <c r="CG383"/>
      <c r="CH383"/>
      <c r="CI383"/>
      <c r="CJ383"/>
      <c r="CK383"/>
      <c r="CL383"/>
      <c r="CM383"/>
      <c r="CN383"/>
      <c r="CO383"/>
      <c r="CP383"/>
      <c r="CQ383"/>
      <c r="CR383"/>
      <c r="CS383"/>
      <c r="CT383"/>
      <c r="CU383"/>
      <c r="CV383"/>
      <c r="CW383"/>
      <c r="CX383"/>
      <c r="CY383"/>
      <c r="CZ383"/>
      <c r="DA383"/>
      <c r="DB383"/>
      <c r="DC383"/>
      <c r="DD383"/>
      <c r="DE383"/>
      <c r="DF383"/>
      <c r="DG383"/>
      <c r="DH383"/>
      <c r="DI383"/>
      <c r="DJ383"/>
      <c r="DK383"/>
      <c r="DL383"/>
      <c r="DM383"/>
      <c r="DN383"/>
      <c r="DO383"/>
      <c r="DP383"/>
      <c r="DQ383"/>
      <c r="DR383"/>
      <c r="DS383"/>
      <c r="DT383"/>
      <c r="DU383"/>
      <c r="DV383"/>
      <c r="DW383"/>
      <c r="DX383"/>
      <c r="DY383"/>
      <c r="DZ383"/>
      <c r="EA383"/>
      <c r="EB383"/>
      <c r="EC383"/>
      <c r="ED383"/>
      <c r="EE383"/>
      <c r="EF383"/>
      <c r="EG383"/>
      <c r="EH383"/>
      <c r="EI383"/>
      <c r="EJ383"/>
      <c r="EK383"/>
      <c r="EL383"/>
      <c r="EM383"/>
      <c r="EN383"/>
      <c r="EO383"/>
      <c r="EP383"/>
      <c r="EQ383"/>
      <c r="ER383"/>
      <c r="ES383"/>
      <c r="ET383"/>
      <c r="EU383"/>
      <c r="EV383"/>
      <c r="EW383"/>
      <c r="EX383"/>
      <c r="EY383"/>
      <c r="EZ383"/>
      <c r="FA383"/>
      <c r="FB383"/>
      <c r="FC383"/>
      <c r="FD383"/>
      <c r="FE383"/>
      <c r="FF383"/>
      <c r="FG383"/>
      <c r="FH383"/>
      <c r="FI383"/>
      <c r="FJ383"/>
      <c r="FK383"/>
      <c r="FL383"/>
      <c r="FM383"/>
      <c r="FN383"/>
      <c r="FO383"/>
      <c r="FP383"/>
      <c r="FQ383"/>
      <c r="FR383"/>
      <c r="FS383"/>
      <c r="FT383"/>
      <c r="FU383"/>
      <c r="FV383"/>
      <c r="FW383"/>
      <c r="FX383"/>
      <c r="FY383"/>
      <c r="FZ383"/>
      <c r="GA383"/>
      <c r="GB383"/>
      <c r="GC383"/>
      <c r="GD383"/>
      <c r="GE383"/>
      <c r="GF383"/>
      <c r="GG383"/>
      <c r="GH383"/>
      <c r="GI383"/>
      <c r="GJ383"/>
      <c r="GK383"/>
      <c r="GL383"/>
      <c r="GM383"/>
      <c r="GN383"/>
      <c r="GO383"/>
      <c r="GP383"/>
      <c r="GQ383"/>
      <c r="GR383"/>
      <c r="GS383"/>
      <c r="GT383"/>
      <c r="GU383"/>
      <c r="GV383"/>
      <c r="GW383"/>
      <c r="GX383"/>
      <c r="GY383"/>
      <c r="GZ383"/>
      <c r="HA383"/>
      <c r="HB383"/>
      <c r="HC383"/>
      <c r="HD383"/>
      <c r="HE383"/>
      <c r="HF383"/>
      <c r="HG383"/>
      <c r="HH383"/>
      <c r="HI383"/>
      <c r="HJ383"/>
      <c r="HK383"/>
      <c r="HL383"/>
      <c r="HM383"/>
      <c r="HN383"/>
      <c r="HO383"/>
      <c r="HP383"/>
      <c r="HQ383"/>
      <c r="HR383"/>
      <c r="HS383"/>
      <c r="HT383"/>
      <c r="HU383"/>
      <c r="HV383"/>
      <c r="HW383"/>
      <c r="HX383"/>
      <c r="HY383"/>
      <c r="HZ383"/>
      <c r="IA383"/>
      <c r="IB383"/>
      <c r="IC383"/>
      <c r="ID383"/>
      <c r="IE383"/>
      <c r="IF383"/>
      <c r="IG383"/>
      <c r="IH383"/>
      <c r="II383"/>
      <c r="IJ383"/>
      <c r="IK383"/>
      <c r="IL383"/>
      <c r="IM383"/>
      <c r="IN383"/>
      <c r="IO383"/>
      <c r="IP383"/>
      <c r="IQ383"/>
      <c r="IR383"/>
      <c r="IS383"/>
      <c r="IT383"/>
      <c r="IU383"/>
      <c r="IV383"/>
      <c r="IW383"/>
      <c r="IX383"/>
      <c r="IY383"/>
      <c r="IZ383"/>
      <c r="JA383"/>
      <c r="JB383"/>
      <c r="JC383"/>
      <c r="JD383"/>
      <c r="JE383"/>
      <c r="JF383"/>
      <c r="JG383"/>
      <c r="JH383"/>
      <c r="JI383"/>
      <c r="JJ383"/>
      <c r="JK383"/>
      <c r="JL383"/>
      <c r="JM383"/>
      <c r="JN383"/>
      <c r="JO383"/>
      <c r="JP383"/>
      <c r="JQ383"/>
      <c r="JR383"/>
      <c r="JS383"/>
      <c r="JT383"/>
      <c r="JU383"/>
      <c r="JV383"/>
      <c r="JW383"/>
      <c r="JX383"/>
      <c r="JY383"/>
      <c r="JZ383"/>
      <c r="KA383"/>
      <c r="KB383"/>
      <c r="KC383"/>
      <c r="KD383"/>
      <c r="KE383"/>
      <c r="KF383"/>
      <c r="KG383"/>
      <c r="KH383"/>
      <c r="KI383"/>
      <c r="KJ383"/>
      <c r="KK383"/>
      <c r="KL383"/>
      <c r="KM383"/>
      <c r="KN383"/>
      <c r="KO383"/>
      <c r="KP383"/>
      <c r="KQ383"/>
      <c r="KR383"/>
      <c r="KS383"/>
      <c r="KT383"/>
      <c r="KU383"/>
      <c r="KV383"/>
      <c r="KW383"/>
      <c r="KX383"/>
      <c r="KY383"/>
      <c r="KZ383"/>
      <c r="LA383"/>
      <c r="LB383"/>
      <c r="LC383"/>
      <c r="LD383"/>
      <c r="LE383"/>
      <c r="LF383"/>
      <c r="LG383"/>
      <c r="LH383"/>
      <c r="LI383"/>
      <c r="LJ383"/>
      <c r="LK383"/>
      <c r="LL383"/>
      <c r="LM383"/>
      <c r="LN383"/>
      <c r="LO383"/>
      <c r="LP383"/>
      <c r="LQ383"/>
      <c r="LR383"/>
      <c r="LS383"/>
      <c r="LT383"/>
      <c r="LU383"/>
      <c r="LV383"/>
      <c r="LW383"/>
      <c r="LX383"/>
      <c r="LY383"/>
      <c r="LZ383"/>
      <c r="MA383"/>
      <c r="MB383"/>
      <c r="MC383"/>
      <c r="MD383"/>
      <c r="ME383"/>
      <c r="MF383"/>
      <c r="MG383"/>
      <c r="MH383"/>
      <c r="MI383"/>
      <c r="MJ383"/>
      <c r="MK383"/>
      <c r="ML383"/>
      <c r="MM383"/>
      <c r="MN383"/>
      <c r="MO383"/>
      <c r="MP383"/>
      <c r="MQ383"/>
      <c r="MR383"/>
      <c r="MS383"/>
      <c r="MT383"/>
      <c r="MU383"/>
      <c r="MV383"/>
      <c r="MW383"/>
      <c r="MX383"/>
      <c r="MY383"/>
      <c r="MZ383"/>
      <c r="NA383"/>
      <c r="NB383"/>
      <c r="NC383"/>
      <c r="ND383"/>
      <c r="NE383"/>
      <c r="NF383"/>
      <c r="NG383"/>
      <c r="NH383"/>
      <c r="NI383"/>
      <c r="NJ383"/>
      <c r="NK383"/>
      <c r="NL383"/>
      <c r="NM383"/>
      <c r="NN383"/>
      <c r="NO383"/>
      <c r="NP383"/>
      <c r="NQ383"/>
      <c r="NR383"/>
      <c r="NS383"/>
      <c r="NT383"/>
      <c r="NU383"/>
      <c r="NV383"/>
      <c r="NW383"/>
      <c r="NX383"/>
      <c r="NY383"/>
      <c r="NZ383"/>
      <c r="OA383"/>
      <c r="OB383"/>
      <c r="OC383"/>
      <c r="OD383"/>
      <c r="OE383"/>
      <c r="OF383"/>
      <c r="OG383"/>
      <c r="OH383"/>
      <c r="OI383"/>
      <c r="OJ383"/>
      <c r="OK383"/>
      <c r="OL383"/>
      <c r="OM383"/>
      <c r="ON383"/>
      <c r="OO383"/>
      <c r="OP383"/>
      <c r="OQ383"/>
      <c r="OR383"/>
      <c r="OS383"/>
      <c r="OT383"/>
      <c r="OU383"/>
      <c r="OV383"/>
      <c r="OW383"/>
      <c r="OX383"/>
      <c r="OY383"/>
      <c r="OZ383"/>
      <c r="PA383"/>
      <c r="PB383"/>
      <c r="PC383"/>
      <c r="PD383"/>
      <c r="PE383"/>
      <c r="PF383"/>
      <c r="PG383"/>
      <c r="PH383"/>
      <c r="PI383"/>
      <c r="PJ383"/>
      <c r="PK383"/>
      <c r="PL383"/>
      <c r="PM383"/>
      <c r="PN383"/>
      <c r="PO383"/>
      <c r="PP383"/>
      <c r="PQ383"/>
      <c r="PR383"/>
      <c r="PS383"/>
      <c r="PT383"/>
      <c r="PU383"/>
      <c r="PV383"/>
      <c r="PW383"/>
      <c r="PX383"/>
      <c r="PY383"/>
      <c r="PZ383"/>
      <c r="QA383"/>
      <c r="QB383"/>
      <c r="QC383"/>
      <c r="QD383"/>
      <c r="QE383"/>
      <c r="QF383"/>
      <c r="QG383"/>
      <c r="QH383"/>
      <c r="QI383"/>
      <c r="QJ383"/>
      <c r="QK383"/>
      <c r="QL383"/>
      <c r="QM383"/>
      <c r="QN383"/>
      <c r="QO383"/>
      <c r="QP383"/>
      <c r="QQ383"/>
      <c r="QR383"/>
      <c r="QS383"/>
      <c r="QT383"/>
      <c r="QU383"/>
      <c r="QV383"/>
      <c r="QW383"/>
      <c r="QX383"/>
      <c r="QY383"/>
      <c r="QZ383"/>
      <c r="RA383"/>
      <c r="RB383"/>
      <c r="RC383"/>
      <c r="RD383"/>
      <c r="RE383"/>
      <c r="RF383"/>
      <c r="RG383"/>
      <c r="RH383"/>
      <c r="RI383"/>
      <c r="RJ383"/>
      <c r="RK383"/>
      <c r="RL383"/>
      <c r="RM383"/>
      <c r="RN383"/>
      <c r="RO383"/>
      <c r="RP383"/>
      <c r="RQ383"/>
      <c r="RR383"/>
      <c r="RS383"/>
    </row>
    <row r="384" spans="19:487" x14ac:dyDescent="0.25"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  <c r="AH384"/>
      <c r="AI384"/>
      <c r="AJ384"/>
      <c r="AK384"/>
      <c r="AL384"/>
      <c r="AM384"/>
      <c r="AN384"/>
      <c r="AO384"/>
      <c r="AP384"/>
      <c r="AQ384"/>
      <c r="AR384"/>
      <c r="AS384"/>
      <c r="AT384"/>
      <c r="AU384"/>
      <c r="AV384"/>
      <c r="AW384"/>
      <c r="AX384"/>
      <c r="AY384"/>
      <c r="AZ384"/>
      <c r="BA384"/>
      <c r="BB384"/>
      <c r="BC384"/>
      <c r="BD384"/>
      <c r="BE384"/>
      <c r="BF384"/>
      <c r="BG384"/>
      <c r="BH384"/>
      <c r="BI384"/>
      <c r="BJ384"/>
      <c r="BK384"/>
      <c r="BL384"/>
      <c r="BM384"/>
      <c r="BN384"/>
      <c r="BO384"/>
      <c r="BP384"/>
      <c r="BQ384"/>
      <c r="BR384"/>
      <c r="BS384"/>
      <c r="BT384"/>
      <c r="BU384"/>
      <c r="BV384"/>
      <c r="BW384"/>
      <c r="BX384"/>
      <c r="BY384"/>
      <c r="BZ384"/>
      <c r="CA384"/>
      <c r="CB384"/>
      <c r="CC384"/>
      <c r="CD384"/>
      <c r="CE384"/>
      <c r="CF384"/>
      <c r="CG384"/>
      <c r="CH384"/>
      <c r="CI384"/>
      <c r="CJ384"/>
      <c r="CK384"/>
      <c r="CL384"/>
      <c r="CM384"/>
      <c r="CN384"/>
      <c r="CO384"/>
      <c r="CP384"/>
      <c r="CQ384"/>
      <c r="CR384"/>
      <c r="CS384"/>
      <c r="CT384"/>
      <c r="CU384"/>
      <c r="CV384"/>
      <c r="CW384"/>
      <c r="CX384"/>
      <c r="CY384"/>
      <c r="CZ384"/>
      <c r="DA384"/>
      <c r="DB384"/>
      <c r="DC384"/>
      <c r="DD384"/>
      <c r="DE384"/>
      <c r="DF384"/>
      <c r="DG384"/>
      <c r="DH384"/>
      <c r="DI384"/>
      <c r="DJ384"/>
      <c r="DK384"/>
      <c r="DL384"/>
      <c r="DM384"/>
      <c r="DN384"/>
      <c r="DO384"/>
      <c r="DP384"/>
      <c r="DQ384"/>
      <c r="DR384"/>
      <c r="DS384"/>
      <c r="DT384"/>
      <c r="DU384"/>
      <c r="DV384"/>
      <c r="DW384"/>
      <c r="DX384"/>
      <c r="DY384"/>
      <c r="DZ384"/>
      <c r="EA384"/>
      <c r="EB384"/>
      <c r="EC384"/>
      <c r="ED384"/>
      <c r="EE384"/>
      <c r="EF384"/>
      <c r="EG384"/>
      <c r="EH384"/>
      <c r="EI384"/>
      <c r="EJ384"/>
      <c r="EK384"/>
      <c r="EL384"/>
      <c r="EM384"/>
      <c r="EN384"/>
      <c r="EO384"/>
      <c r="EP384"/>
      <c r="EQ384"/>
      <c r="ER384"/>
      <c r="ES384"/>
      <c r="ET384"/>
      <c r="EU384"/>
      <c r="EV384"/>
      <c r="EW384"/>
      <c r="EX384"/>
      <c r="EY384"/>
      <c r="EZ384"/>
      <c r="FA384"/>
      <c r="FB384"/>
      <c r="FC384"/>
      <c r="FD384"/>
      <c r="FE384"/>
      <c r="FF384"/>
      <c r="FG384"/>
      <c r="FH384"/>
      <c r="FI384"/>
      <c r="FJ384"/>
      <c r="FK384"/>
      <c r="FL384"/>
      <c r="FM384"/>
      <c r="FN384"/>
      <c r="FO384"/>
      <c r="FP384"/>
      <c r="FQ384"/>
      <c r="FR384"/>
      <c r="FS384"/>
      <c r="FT384"/>
      <c r="FU384"/>
      <c r="FV384"/>
      <c r="FW384"/>
      <c r="FX384"/>
      <c r="FY384"/>
      <c r="FZ384"/>
      <c r="GA384"/>
      <c r="GB384"/>
      <c r="GC384"/>
      <c r="GD384"/>
      <c r="GE384"/>
      <c r="GF384"/>
      <c r="GG384"/>
      <c r="GH384"/>
      <c r="GI384"/>
      <c r="GJ384"/>
      <c r="GK384"/>
      <c r="GL384"/>
      <c r="GM384"/>
      <c r="GN384"/>
      <c r="GO384"/>
      <c r="GP384"/>
      <c r="GQ384"/>
      <c r="GR384"/>
      <c r="GS384"/>
      <c r="GT384"/>
      <c r="GU384"/>
      <c r="GV384"/>
      <c r="GW384"/>
      <c r="GX384"/>
      <c r="GY384"/>
      <c r="GZ384"/>
      <c r="HA384"/>
      <c r="HB384"/>
      <c r="HC384"/>
      <c r="HD384"/>
      <c r="HE384"/>
      <c r="HF384"/>
      <c r="HG384"/>
      <c r="HH384"/>
      <c r="HI384"/>
      <c r="HJ384"/>
      <c r="HK384"/>
      <c r="HL384"/>
      <c r="HM384"/>
      <c r="HN384"/>
      <c r="HO384"/>
      <c r="HP384"/>
      <c r="HQ384"/>
      <c r="HR384"/>
      <c r="HS384"/>
      <c r="HT384"/>
      <c r="HU384"/>
      <c r="HV384"/>
      <c r="HW384"/>
      <c r="HX384"/>
      <c r="HY384"/>
      <c r="HZ384"/>
      <c r="IA384"/>
      <c r="IB384"/>
      <c r="IC384"/>
      <c r="ID384"/>
      <c r="IE384"/>
      <c r="IF384"/>
      <c r="IG384"/>
      <c r="IH384"/>
      <c r="II384"/>
      <c r="IJ384"/>
      <c r="IK384"/>
      <c r="IL384"/>
      <c r="IM384"/>
      <c r="IN384"/>
      <c r="IO384"/>
      <c r="IP384"/>
      <c r="IQ384"/>
      <c r="IR384"/>
      <c r="IS384"/>
      <c r="IT384"/>
      <c r="IU384"/>
      <c r="IV384"/>
      <c r="IW384"/>
      <c r="IX384"/>
      <c r="IY384"/>
      <c r="IZ384"/>
      <c r="JA384"/>
      <c r="JB384"/>
      <c r="JC384"/>
      <c r="JD384"/>
      <c r="JE384"/>
      <c r="JF384"/>
      <c r="JG384"/>
      <c r="JH384"/>
      <c r="JI384"/>
      <c r="JJ384"/>
      <c r="JK384"/>
      <c r="JL384"/>
      <c r="JM384"/>
      <c r="JN384"/>
      <c r="JO384"/>
      <c r="JP384"/>
      <c r="JQ384"/>
      <c r="JR384"/>
      <c r="JS384"/>
      <c r="JT384"/>
      <c r="JU384"/>
      <c r="JV384"/>
      <c r="JW384"/>
      <c r="JX384"/>
      <c r="JY384"/>
      <c r="JZ384"/>
      <c r="KA384"/>
      <c r="KB384"/>
      <c r="KC384"/>
      <c r="KD384"/>
      <c r="KE384"/>
      <c r="KF384"/>
      <c r="KG384"/>
      <c r="KH384"/>
      <c r="KI384"/>
      <c r="KJ384"/>
      <c r="KK384"/>
      <c r="KL384"/>
      <c r="KM384"/>
      <c r="KN384"/>
      <c r="KO384"/>
      <c r="KP384"/>
      <c r="KQ384"/>
      <c r="KR384"/>
      <c r="KS384"/>
      <c r="KT384"/>
      <c r="KU384"/>
      <c r="KV384"/>
      <c r="KW384"/>
      <c r="KX384"/>
      <c r="KY384"/>
      <c r="KZ384"/>
      <c r="LA384"/>
      <c r="LB384"/>
      <c r="LC384"/>
      <c r="LD384"/>
      <c r="LE384"/>
      <c r="LF384"/>
      <c r="LG384"/>
      <c r="LH384"/>
      <c r="LI384"/>
      <c r="LJ384"/>
      <c r="LK384"/>
      <c r="LL384"/>
      <c r="LM384"/>
      <c r="LN384"/>
      <c r="LO384"/>
      <c r="LP384"/>
      <c r="LQ384"/>
      <c r="LR384"/>
      <c r="LS384"/>
      <c r="LT384"/>
      <c r="LU384"/>
      <c r="LV384"/>
      <c r="LW384"/>
      <c r="LX384"/>
      <c r="LY384"/>
      <c r="LZ384"/>
      <c r="MA384"/>
      <c r="MB384"/>
      <c r="MC384"/>
      <c r="MD384"/>
      <c r="ME384"/>
      <c r="MF384"/>
      <c r="MG384"/>
      <c r="MH384"/>
      <c r="MI384"/>
      <c r="MJ384"/>
      <c r="MK384"/>
      <c r="ML384"/>
      <c r="MM384"/>
      <c r="MN384"/>
      <c r="MO384"/>
      <c r="MP384"/>
      <c r="MQ384"/>
      <c r="MR384"/>
      <c r="MS384"/>
      <c r="MT384"/>
      <c r="MU384"/>
      <c r="MV384"/>
      <c r="MW384"/>
      <c r="MX384"/>
      <c r="MY384"/>
      <c r="MZ384"/>
      <c r="NA384"/>
      <c r="NB384"/>
      <c r="NC384"/>
      <c r="ND384"/>
      <c r="NE384"/>
      <c r="NF384"/>
      <c r="NG384"/>
      <c r="NH384"/>
      <c r="NI384"/>
      <c r="NJ384"/>
      <c r="NK384"/>
      <c r="NL384"/>
      <c r="NM384"/>
      <c r="NN384"/>
      <c r="NO384"/>
      <c r="NP384"/>
      <c r="NQ384"/>
      <c r="NR384"/>
      <c r="NS384"/>
      <c r="NT384"/>
      <c r="NU384"/>
      <c r="NV384"/>
      <c r="NW384"/>
      <c r="NX384"/>
      <c r="NY384"/>
      <c r="NZ384"/>
      <c r="OA384"/>
      <c r="OB384"/>
      <c r="OC384"/>
      <c r="OD384"/>
      <c r="OE384"/>
      <c r="OF384"/>
      <c r="OG384"/>
      <c r="OH384"/>
      <c r="OI384"/>
      <c r="OJ384"/>
      <c r="OK384"/>
      <c r="OL384"/>
      <c r="OM384"/>
      <c r="ON384"/>
      <c r="OO384"/>
      <c r="OP384"/>
      <c r="OQ384"/>
      <c r="OR384"/>
      <c r="OS384"/>
      <c r="OT384"/>
      <c r="OU384"/>
      <c r="OV384"/>
      <c r="OW384"/>
      <c r="OX384"/>
      <c r="OY384"/>
      <c r="OZ384"/>
      <c r="PA384"/>
      <c r="PB384"/>
      <c r="PC384"/>
      <c r="PD384"/>
      <c r="PE384"/>
      <c r="PF384"/>
      <c r="PG384"/>
      <c r="PH384"/>
      <c r="PI384"/>
      <c r="PJ384"/>
      <c r="PK384"/>
      <c r="PL384"/>
      <c r="PM384"/>
      <c r="PN384"/>
      <c r="PO384"/>
      <c r="PP384"/>
      <c r="PQ384"/>
      <c r="PR384"/>
      <c r="PS384"/>
      <c r="PT384"/>
      <c r="PU384"/>
      <c r="PV384"/>
      <c r="PW384"/>
      <c r="PX384"/>
      <c r="PY384"/>
      <c r="PZ384"/>
      <c r="QA384"/>
      <c r="QB384"/>
      <c r="QC384"/>
      <c r="QD384"/>
      <c r="QE384"/>
      <c r="QF384"/>
      <c r="QG384"/>
      <c r="QH384"/>
      <c r="QI384"/>
      <c r="QJ384"/>
      <c r="QK384"/>
      <c r="QL384"/>
      <c r="QM384"/>
      <c r="QN384"/>
      <c r="QO384"/>
      <c r="QP384"/>
      <c r="QQ384"/>
      <c r="QR384"/>
      <c r="QS384"/>
      <c r="QT384"/>
      <c r="QU384"/>
      <c r="QV384"/>
      <c r="QW384"/>
      <c r="QX384"/>
      <c r="QY384"/>
      <c r="QZ384"/>
      <c r="RA384"/>
      <c r="RB384"/>
      <c r="RC384"/>
      <c r="RD384"/>
      <c r="RE384"/>
      <c r="RF384"/>
      <c r="RG384"/>
      <c r="RH384"/>
      <c r="RI384"/>
      <c r="RJ384"/>
      <c r="RK384"/>
      <c r="RL384"/>
      <c r="RM384"/>
      <c r="RN384"/>
      <c r="RO384"/>
      <c r="RP384"/>
      <c r="RQ384"/>
      <c r="RR384"/>
      <c r="RS384"/>
    </row>
    <row r="385" spans="19:487" x14ac:dyDescent="0.25"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/>
      <c r="AH385"/>
      <c r="AI385"/>
      <c r="AJ385"/>
      <c r="AK385"/>
      <c r="AL385"/>
      <c r="AM385"/>
      <c r="AN385"/>
      <c r="AO385"/>
      <c r="AP385"/>
      <c r="AQ385"/>
      <c r="AR385"/>
      <c r="AS385"/>
      <c r="AT385"/>
      <c r="AU385"/>
      <c r="AV385"/>
      <c r="AW385"/>
      <c r="AX385"/>
      <c r="AY385"/>
      <c r="AZ385"/>
      <c r="BA385"/>
      <c r="BB385"/>
      <c r="BC385"/>
      <c r="BD385"/>
      <c r="BE385"/>
      <c r="BF385"/>
      <c r="BG385"/>
      <c r="BH385"/>
      <c r="BI385"/>
      <c r="BJ385"/>
      <c r="BK385"/>
      <c r="BL385"/>
      <c r="BM385"/>
      <c r="BN385"/>
      <c r="BO385"/>
      <c r="BP385"/>
      <c r="BQ385"/>
      <c r="BR385"/>
      <c r="BS385"/>
      <c r="BT385"/>
      <c r="BU385"/>
      <c r="BV385"/>
      <c r="BW385"/>
      <c r="BX385"/>
      <c r="BY385"/>
      <c r="BZ385"/>
      <c r="CA385"/>
      <c r="CB385"/>
      <c r="CC385"/>
      <c r="CD385"/>
      <c r="CE385"/>
      <c r="CF385"/>
      <c r="CG385"/>
      <c r="CH385"/>
      <c r="CI385"/>
      <c r="CJ385"/>
      <c r="CK385"/>
      <c r="CL385"/>
      <c r="CM385"/>
      <c r="CN385"/>
      <c r="CO385"/>
      <c r="CP385"/>
      <c r="CQ385"/>
      <c r="CR385"/>
      <c r="CS385"/>
      <c r="CT385"/>
      <c r="CU385"/>
      <c r="CV385"/>
      <c r="CW385"/>
      <c r="CX385"/>
      <c r="CY385"/>
      <c r="CZ385"/>
      <c r="DA385"/>
      <c r="DB385"/>
      <c r="DC385"/>
      <c r="DD385"/>
      <c r="DE385"/>
      <c r="DF385"/>
      <c r="DG385"/>
      <c r="DH385"/>
      <c r="DI385"/>
      <c r="DJ385"/>
      <c r="DK385"/>
      <c r="DL385"/>
      <c r="DM385"/>
      <c r="DN385"/>
      <c r="DO385"/>
      <c r="DP385"/>
      <c r="DQ385"/>
      <c r="DR385"/>
      <c r="DS385"/>
      <c r="DT385"/>
      <c r="DU385"/>
      <c r="DV385"/>
      <c r="DW385"/>
      <c r="DX385"/>
      <c r="DY385"/>
      <c r="DZ385"/>
      <c r="EA385"/>
      <c r="EB385"/>
      <c r="EC385"/>
      <c r="ED385"/>
      <c r="EE385"/>
      <c r="EF385"/>
      <c r="EG385"/>
      <c r="EH385"/>
      <c r="EI385"/>
      <c r="EJ385"/>
      <c r="EK385"/>
      <c r="EL385"/>
      <c r="EM385"/>
      <c r="EN385"/>
      <c r="EO385"/>
      <c r="EP385"/>
      <c r="EQ385"/>
      <c r="ER385"/>
      <c r="ES385"/>
      <c r="ET385"/>
      <c r="EU385"/>
      <c r="EV385"/>
      <c r="EW385"/>
      <c r="EX385"/>
      <c r="EY385"/>
      <c r="EZ385"/>
      <c r="FA385"/>
      <c r="FB385"/>
      <c r="FC385"/>
      <c r="FD385"/>
      <c r="FE385"/>
      <c r="FF385"/>
      <c r="FG385"/>
      <c r="FH385"/>
      <c r="FI385"/>
      <c r="FJ385"/>
      <c r="FK385"/>
      <c r="FL385"/>
      <c r="FM385"/>
      <c r="FN385"/>
      <c r="FO385"/>
      <c r="FP385"/>
      <c r="FQ385"/>
      <c r="FR385"/>
      <c r="FS385"/>
      <c r="FT385"/>
      <c r="FU385"/>
      <c r="FV385"/>
      <c r="FW385"/>
      <c r="FX385"/>
      <c r="FY385"/>
      <c r="FZ385"/>
      <c r="GA385"/>
      <c r="GB385"/>
      <c r="GC385"/>
      <c r="GD385"/>
      <c r="GE385"/>
      <c r="GF385"/>
      <c r="GG385"/>
      <c r="GH385"/>
      <c r="GI385"/>
      <c r="GJ385"/>
      <c r="GK385"/>
      <c r="GL385"/>
      <c r="GM385"/>
      <c r="GN385"/>
      <c r="GO385"/>
      <c r="GP385"/>
      <c r="GQ385"/>
      <c r="GR385"/>
      <c r="GS385"/>
      <c r="GT385"/>
      <c r="GU385"/>
      <c r="GV385"/>
      <c r="GW385"/>
      <c r="GX385"/>
      <c r="GY385"/>
      <c r="GZ385"/>
      <c r="HA385"/>
      <c r="HB385"/>
      <c r="HC385"/>
      <c r="HD385"/>
      <c r="HE385"/>
      <c r="HF385"/>
      <c r="HG385"/>
      <c r="HH385"/>
      <c r="HI385"/>
      <c r="HJ385"/>
      <c r="HK385"/>
      <c r="HL385"/>
      <c r="HM385"/>
      <c r="HN385"/>
      <c r="HO385"/>
      <c r="HP385"/>
      <c r="HQ385"/>
      <c r="HR385"/>
      <c r="HS385"/>
      <c r="HT385"/>
      <c r="HU385"/>
      <c r="HV385"/>
      <c r="HW385"/>
      <c r="HX385"/>
      <c r="HY385"/>
      <c r="HZ385"/>
      <c r="IA385"/>
      <c r="IB385"/>
      <c r="IC385"/>
      <c r="ID385"/>
      <c r="IE385"/>
      <c r="IF385"/>
      <c r="IG385"/>
      <c r="IH385"/>
      <c r="II385"/>
      <c r="IJ385"/>
      <c r="IK385"/>
      <c r="IL385"/>
      <c r="IM385"/>
      <c r="IN385"/>
      <c r="IO385"/>
      <c r="IP385"/>
      <c r="IQ385"/>
      <c r="IR385"/>
      <c r="IS385"/>
      <c r="IT385"/>
      <c r="IU385"/>
      <c r="IV385"/>
      <c r="IW385"/>
      <c r="IX385"/>
      <c r="IY385"/>
      <c r="IZ385"/>
      <c r="JA385"/>
      <c r="JB385"/>
      <c r="JC385"/>
      <c r="JD385"/>
      <c r="JE385"/>
      <c r="JF385"/>
      <c r="JG385"/>
      <c r="JH385"/>
      <c r="JI385"/>
      <c r="JJ385"/>
      <c r="JK385"/>
      <c r="JL385"/>
      <c r="JM385"/>
      <c r="JN385"/>
      <c r="JO385"/>
      <c r="JP385"/>
      <c r="JQ385"/>
      <c r="JR385"/>
      <c r="JS385"/>
      <c r="JT385"/>
      <c r="JU385"/>
      <c r="JV385"/>
      <c r="JW385"/>
      <c r="JX385"/>
      <c r="JY385"/>
      <c r="JZ385"/>
      <c r="KA385"/>
      <c r="KB385"/>
      <c r="KC385"/>
      <c r="KD385"/>
      <c r="KE385"/>
      <c r="KF385"/>
      <c r="KG385"/>
      <c r="KH385"/>
      <c r="KI385"/>
      <c r="KJ385"/>
      <c r="KK385"/>
      <c r="KL385"/>
      <c r="KM385"/>
      <c r="KN385"/>
      <c r="KO385"/>
      <c r="KP385"/>
      <c r="KQ385"/>
      <c r="KR385"/>
      <c r="KS385"/>
      <c r="KT385"/>
      <c r="KU385"/>
      <c r="KV385"/>
      <c r="KW385"/>
      <c r="KX385"/>
      <c r="KY385"/>
      <c r="KZ385"/>
      <c r="LA385"/>
      <c r="LB385"/>
      <c r="LC385"/>
      <c r="LD385"/>
      <c r="LE385"/>
      <c r="LF385"/>
      <c r="LG385"/>
      <c r="LH385"/>
      <c r="LI385"/>
      <c r="LJ385"/>
      <c r="LK385"/>
      <c r="LL385"/>
      <c r="LM385"/>
      <c r="LN385"/>
      <c r="LO385"/>
      <c r="LP385"/>
      <c r="LQ385"/>
      <c r="LR385"/>
      <c r="LS385"/>
      <c r="LT385"/>
      <c r="LU385"/>
      <c r="LV385"/>
      <c r="LW385"/>
      <c r="LX385"/>
      <c r="LY385"/>
      <c r="LZ385"/>
      <c r="MA385"/>
      <c r="MB385"/>
      <c r="MC385"/>
      <c r="MD385"/>
      <c r="ME385"/>
      <c r="MF385"/>
      <c r="MG385"/>
      <c r="MH385"/>
      <c r="MI385"/>
      <c r="MJ385"/>
      <c r="MK385"/>
      <c r="ML385"/>
      <c r="MM385"/>
      <c r="MN385"/>
      <c r="MO385"/>
      <c r="MP385"/>
      <c r="MQ385"/>
      <c r="MR385"/>
      <c r="MS385"/>
      <c r="MT385"/>
      <c r="MU385"/>
      <c r="MV385"/>
      <c r="MW385"/>
      <c r="MX385"/>
      <c r="MY385"/>
      <c r="MZ385"/>
      <c r="NA385"/>
      <c r="NB385"/>
      <c r="NC385"/>
      <c r="ND385"/>
      <c r="NE385"/>
      <c r="NF385"/>
      <c r="NG385"/>
      <c r="NH385"/>
      <c r="NI385"/>
      <c r="NJ385"/>
      <c r="NK385"/>
      <c r="NL385"/>
      <c r="NM385"/>
      <c r="NN385"/>
      <c r="NO385"/>
      <c r="NP385"/>
      <c r="NQ385"/>
      <c r="NR385"/>
      <c r="NS385"/>
      <c r="NT385"/>
      <c r="NU385"/>
      <c r="NV385"/>
      <c r="NW385"/>
      <c r="NX385"/>
      <c r="NY385"/>
      <c r="NZ385"/>
      <c r="OA385"/>
      <c r="OB385"/>
      <c r="OC385"/>
      <c r="OD385"/>
      <c r="OE385"/>
      <c r="OF385"/>
      <c r="OG385"/>
      <c r="OH385"/>
      <c r="OI385"/>
      <c r="OJ385"/>
      <c r="OK385"/>
      <c r="OL385"/>
      <c r="OM385"/>
      <c r="ON385"/>
      <c r="OO385"/>
      <c r="OP385"/>
      <c r="OQ385"/>
      <c r="OR385"/>
      <c r="OS385"/>
      <c r="OT385"/>
      <c r="OU385"/>
      <c r="OV385"/>
      <c r="OW385"/>
      <c r="OX385"/>
      <c r="OY385"/>
      <c r="OZ385"/>
      <c r="PA385"/>
      <c r="PB385"/>
      <c r="PC385"/>
      <c r="PD385"/>
      <c r="PE385"/>
      <c r="PF385"/>
      <c r="PG385"/>
      <c r="PH385"/>
      <c r="PI385"/>
      <c r="PJ385"/>
      <c r="PK385"/>
      <c r="PL385"/>
      <c r="PM385"/>
      <c r="PN385"/>
      <c r="PO385"/>
      <c r="PP385"/>
      <c r="PQ385"/>
      <c r="PR385"/>
      <c r="PS385"/>
      <c r="PT385"/>
      <c r="PU385"/>
      <c r="PV385"/>
      <c r="PW385"/>
      <c r="PX385"/>
      <c r="PY385"/>
      <c r="PZ385"/>
      <c r="QA385"/>
      <c r="QB385"/>
      <c r="QC385"/>
      <c r="QD385"/>
      <c r="QE385"/>
      <c r="QF385"/>
      <c r="QG385"/>
      <c r="QH385"/>
      <c r="QI385"/>
      <c r="QJ385"/>
      <c r="QK385"/>
      <c r="QL385"/>
      <c r="QM385"/>
      <c r="QN385"/>
      <c r="QO385"/>
      <c r="QP385"/>
      <c r="QQ385"/>
      <c r="QR385"/>
      <c r="QS385"/>
      <c r="QT385"/>
      <c r="QU385"/>
      <c r="QV385"/>
      <c r="QW385"/>
      <c r="QX385"/>
      <c r="QY385"/>
      <c r="QZ385"/>
      <c r="RA385"/>
      <c r="RB385"/>
      <c r="RC385"/>
      <c r="RD385"/>
      <c r="RE385"/>
      <c r="RF385"/>
      <c r="RG385"/>
      <c r="RH385"/>
      <c r="RI385"/>
      <c r="RJ385"/>
      <c r="RK385"/>
      <c r="RL385"/>
      <c r="RM385"/>
      <c r="RN385"/>
      <c r="RO385"/>
      <c r="RP385"/>
      <c r="RQ385"/>
      <c r="RR385"/>
      <c r="RS385"/>
    </row>
    <row r="386" spans="19:487" x14ac:dyDescent="0.25">
      <c r="S386"/>
      <c r="T386"/>
      <c r="U386"/>
      <c r="V386"/>
      <c r="W386"/>
      <c r="X386"/>
      <c r="Y386"/>
      <c r="Z386"/>
      <c r="AA386"/>
      <c r="AB386"/>
      <c r="AC386"/>
      <c r="AD386"/>
      <c r="AE386"/>
      <c r="AF386"/>
      <c r="AG386"/>
      <c r="AH386"/>
      <c r="AI386"/>
      <c r="AJ386"/>
      <c r="AK386"/>
      <c r="AL386"/>
      <c r="AM386"/>
      <c r="AN386"/>
      <c r="AO386"/>
      <c r="AP386"/>
      <c r="AQ386"/>
      <c r="AR386"/>
      <c r="AS386"/>
      <c r="AT386"/>
      <c r="AU386"/>
      <c r="AV386"/>
      <c r="AW386"/>
      <c r="AX386"/>
      <c r="AY386"/>
      <c r="AZ386"/>
      <c r="BA386"/>
      <c r="BB386"/>
      <c r="BC386"/>
      <c r="BD386"/>
      <c r="BE386"/>
      <c r="BF386"/>
      <c r="BG386"/>
      <c r="BH386"/>
      <c r="BI386"/>
      <c r="BJ386"/>
      <c r="BK386"/>
      <c r="BL386"/>
      <c r="BM386"/>
      <c r="BN386"/>
      <c r="BO386"/>
      <c r="BP386"/>
      <c r="BQ386"/>
      <c r="BR386"/>
      <c r="BS386"/>
      <c r="BT386"/>
      <c r="BU386"/>
      <c r="BV386"/>
      <c r="BW386"/>
      <c r="BX386"/>
      <c r="BY386"/>
      <c r="BZ386"/>
      <c r="CA386"/>
      <c r="CB386"/>
      <c r="CC386"/>
      <c r="CD386"/>
      <c r="CE386"/>
      <c r="CF386"/>
      <c r="CG386"/>
      <c r="CH386"/>
      <c r="CI386"/>
      <c r="CJ386"/>
      <c r="CK386"/>
      <c r="CL386"/>
      <c r="CM386"/>
      <c r="CN386"/>
      <c r="CO386"/>
      <c r="CP386"/>
      <c r="CQ386"/>
      <c r="CR386"/>
      <c r="CS386"/>
      <c r="CT386"/>
      <c r="CU386"/>
      <c r="CV386"/>
      <c r="CW386"/>
      <c r="CX386"/>
      <c r="CY386"/>
      <c r="CZ386"/>
      <c r="DA386"/>
      <c r="DB386"/>
      <c r="DC386"/>
      <c r="DD386"/>
      <c r="DE386"/>
      <c r="DF386"/>
      <c r="DG386"/>
      <c r="DH386"/>
      <c r="DI386"/>
      <c r="DJ386"/>
      <c r="DK386"/>
      <c r="DL386"/>
      <c r="DM386"/>
      <c r="DN386"/>
      <c r="DO386"/>
      <c r="DP386"/>
      <c r="DQ386"/>
      <c r="DR386"/>
      <c r="DS386"/>
      <c r="DT386"/>
      <c r="DU386"/>
      <c r="DV386"/>
      <c r="DW386"/>
      <c r="DX386"/>
      <c r="DY386"/>
      <c r="DZ386"/>
      <c r="EA386"/>
      <c r="EB386"/>
      <c r="EC386"/>
      <c r="ED386"/>
      <c r="EE386"/>
      <c r="EF386"/>
      <c r="EG386"/>
      <c r="EH386"/>
      <c r="EI386"/>
      <c r="EJ386"/>
      <c r="EK386"/>
      <c r="EL386"/>
      <c r="EM386"/>
      <c r="EN386"/>
      <c r="EO386"/>
      <c r="EP386"/>
      <c r="EQ386"/>
      <c r="ER386"/>
      <c r="ES386"/>
      <c r="ET386"/>
      <c r="EU386"/>
      <c r="EV386"/>
      <c r="EW386"/>
      <c r="EX386"/>
      <c r="EY386"/>
      <c r="EZ386"/>
      <c r="FA386"/>
      <c r="FB386"/>
      <c r="FC386"/>
      <c r="FD386"/>
      <c r="FE386"/>
      <c r="FF386"/>
      <c r="FG386"/>
      <c r="FH386"/>
      <c r="FI386"/>
      <c r="FJ386"/>
      <c r="FK386"/>
      <c r="FL386"/>
      <c r="FM386"/>
      <c r="FN386"/>
      <c r="FO386"/>
      <c r="FP386"/>
      <c r="FQ386"/>
      <c r="FR386"/>
      <c r="FS386"/>
      <c r="FT386"/>
      <c r="FU386"/>
      <c r="FV386"/>
      <c r="FW386"/>
      <c r="FX386"/>
      <c r="FY386"/>
      <c r="FZ386"/>
      <c r="GA386"/>
      <c r="GB386"/>
      <c r="GC386"/>
      <c r="GD386"/>
      <c r="GE386"/>
      <c r="GF386"/>
      <c r="GG386"/>
      <c r="GH386"/>
      <c r="GI386"/>
      <c r="GJ386"/>
      <c r="GK386"/>
      <c r="GL386"/>
      <c r="GM386"/>
      <c r="GN386"/>
      <c r="GO386"/>
      <c r="GP386"/>
      <c r="GQ386"/>
      <c r="GR386"/>
      <c r="GS386"/>
      <c r="GT386"/>
      <c r="GU386"/>
      <c r="GV386"/>
      <c r="GW386"/>
      <c r="GX386"/>
      <c r="GY386"/>
      <c r="GZ386"/>
      <c r="HA386"/>
      <c r="HB386"/>
      <c r="HC386"/>
      <c r="HD386"/>
      <c r="HE386"/>
      <c r="HF386"/>
      <c r="HG386"/>
      <c r="HH386"/>
      <c r="HI386"/>
      <c r="HJ386"/>
      <c r="HK386"/>
      <c r="HL386"/>
      <c r="HM386"/>
      <c r="HN386"/>
      <c r="HO386"/>
      <c r="HP386"/>
      <c r="HQ386"/>
      <c r="HR386"/>
      <c r="HS386"/>
      <c r="HT386"/>
      <c r="HU386"/>
      <c r="HV386"/>
      <c r="HW386"/>
      <c r="HX386"/>
      <c r="HY386"/>
      <c r="HZ386"/>
      <c r="IA386"/>
      <c r="IB386"/>
      <c r="IC386"/>
      <c r="ID386"/>
      <c r="IE386"/>
      <c r="IF386"/>
      <c r="IG386"/>
      <c r="IH386"/>
      <c r="II386"/>
      <c r="IJ386"/>
      <c r="IK386"/>
      <c r="IL386"/>
      <c r="IM386"/>
      <c r="IN386"/>
      <c r="IO386"/>
      <c r="IP386"/>
      <c r="IQ386"/>
      <c r="IR386"/>
      <c r="IS386"/>
      <c r="IT386"/>
      <c r="IU386"/>
      <c r="IV386"/>
      <c r="IW386"/>
      <c r="IX386"/>
      <c r="IY386"/>
      <c r="IZ386"/>
      <c r="JA386"/>
      <c r="JB386"/>
      <c r="JC386"/>
      <c r="JD386"/>
      <c r="JE386"/>
      <c r="JF386"/>
      <c r="JG386"/>
      <c r="JH386"/>
      <c r="JI386"/>
      <c r="JJ386"/>
      <c r="JK386"/>
      <c r="JL386"/>
      <c r="JM386"/>
      <c r="JN386"/>
      <c r="JO386"/>
      <c r="JP386"/>
      <c r="JQ386"/>
      <c r="JR386"/>
      <c r="JS386"/>
      <c r="JT386"/>
      <c r="JU386"/>
      <c r="JV386"/>
      <c r="JW386"/>
      <c r="JX386"/>
      <c r="JY386"/>
      <c r="JZ386"/>
      <c r="KA386"/>
      <c r="KB386"/>
      <c r="KC386"/>
      <c r="KD386"/>
      <c r="KE386"/>
      <c r="KF386"/>
      <c r="KG386"/>
      <c r="KH386"/>
      <c r="KI386"/>
      <c r="KJ386"/>
      <c r="KK386"/>
      <c r="KL386"/>
      <c r="KM386"/>
      <c r="KN386"/>
      <c r="KO386"/>
      <c r="KP386"/>
      <c r="KQ386"/>
      <c r="KR386"/>
      <c r="KS386"/>
      <c r="KT386"/>
      <c r="KU386"/>
      <c r="KV386"/>
      <c r="KW386"/>
      <c r="KX386"/>
      <c r="KY386"/>
      <c r="KZ386"/>
      <c r="LA386"/>
      <c r="LB386"/>
      <c r="LC386"/>
      <c r="LD386"/>
      <c r="LE386"/>
      <c r="LF386"/>
      <c r="LG386"/>
      <c r="LH386"/>
      <c r="LI386"/>
      <c r="LJ386"/>
      <c r="LK386"/>
      <c r="LL386"/>
      <c r="LM386"/>
      <c r="LN386"/>
      <c r="LO386"/>
      <c r="LP386"/>
      <c r="LQ386"/>
      <c r="LR386"/>
      <c r="LS386"/>
      <c r="LT386"/>
      <c r="LU386"/>
      <c r="LV386"/>
      <c r="LW386"/>
      <c r="LX386"/>
      <c r="LY386"/>
      <c r="LZ386"/>
      <c r="MA386"/>
      <c r="MB386"/>
      <c r="MC386"/>
      <c r="MD386"/>
      <c r="ME386"/>
      <c r="MF386"/>
      <c r="MG386"/>
      <c r="MH386"/>
      <c r="MI386"/>
      <c r="MJ386"/>
      <c r="MK386"/>
      <c r="ML386"/>
      <c r="MM386"/>
      <c r="MN386"/>
      <c r="MO386"/>
      <c r="MP386"/>
      <c r="MQ386"/>
      <c r="MR386"/>
      <c r="MS386"/>
      <c r="MT386"/>
      <c r="MU386"/>
      <c r="MV386"/>
      <c r="MW386"/>
      <c r="MX386"/>
      <c r="MY386"/>
      <c r="MZ386"/>
      <c r="NA386"/>
      <c r="NB386"/>
      <c r="NC386"/>
      <c r="ND386"/>
      <c r="NE386"/>
      <c r="NF386"/>
      <c r="NG386"/>
      <c r="NH386"/>
      <c r="NI386"/>
      <c r="NJ386"/>
      <c r="NK386"/>
      <c r="NL386"/>
      <c r="NM386"/>
      <c r="NN386"/>
      <c r="NO386"/>
      <c r="NP386"/>
      <c r="NQ386"/>
      <c r="NR386"/>
      <c r="NS386"/>
      <c r="NT386"/>
      <c r="NU386"/>
      <c r="NV386"/>
      <c r="NW386"/>
      <c r="NX386"/>
      <c r="NY386"/>
      <c r="NZ386"/>
      <c r="OA386"/>
      <c r="OB386"/>
      <c r="OC386"/>
      <c r="OD386"/>
      <c r="OE386"/>
      <c r="OF386"/>
      <c r="OG386"/>
      <c r="OH386"/>
      <c r="OI386"/>
      <c r="OJ386"/>
      <c r="OK386"/>
      <c r="OL386"/>
      <c r="OM386"/>
      <c r="ON386"/>
      <c r="OO386"/>
      <c r="OP386"/>
      <c r="OQ386"/>
      <c r="OR386"/>
      <c r="OS386"/>
      <c r="OT386"/>
      <c r="OU386"/>
      <c r="OV386"/>
      <c r="OW386"/>
      <c r="OX386"/>
      <c r="OY386"/>
      <c r="OZ386"/>
      <c r="PA386"/>
      <c r="PB386"/>
      <c r="PC386"/>
      <c r="PD386"/>
      <c r="PE386"/>
      <c r="PF386"/>
      <c r="PG386"/>
      <c r="PH386"/>
      <c r="PI386"/>
      <c r="PJ386"/>
      <c r="PK386"/>
      <c r="PL386"/>
      <c r="PM386"/>
      <c r="PN386"/>
      <c r="PO386"/>
      <c r="PP386"/>
      <c r="PQ386"/>
      <c r="PR386"/>
      <c r="PS386"/>
      <c r="PT386"/>
      <c r="PU386"/>
      <c r="PV386"/>
      <c r="PW386"/>
      <c r="PX386"/>
      <c r="PY386"/>
      <c r="PZ386"/>
      <c r="QA386"/>
      <c r="QB386"/>
      <c r="QC386"/>
      <c r="QD386"/>
      <c r="QE386"/>
      <c r="QF386"/>
      <c r="QG386"/>
      <c r="QH386"/>
      <c r="QI386"/>
      <c r="QJ386"/>
      <c r="QK386"/>
      <c r="QL386"/>
      <c r="QM386"/>
      <c r="QN386"/>
      <c r="QO386"/>
      <c r="QP386"/>
      <c r="QQ386"/>
      <c r="QR386"/>
      <c r="QS386"/>
      <c r="QT386"/>
      <c r="QU386"/>
      <c r="QV386"/>
      <c r="QW386"/>
      <c r="QX386"/>
      <c r="QY386"/>
      <c r="QZ386"/>
      <c r="RA386"/>
      <c r="RB386"/>
      <c r="RC386"/>
      <c r="RD386"/>
      <c r="RE386"/>
      <c r="RF386"/>
      <c r="RG386"/>
      <c r="RH386"/>
      <c r="RI386"/>
      <c r="RJ386"/>
      <c r="RK386"/>
      <c r="RL386"/>
      <c r="RM386"/>
      <c r="RN386"/>
      <c r="RO386"/>
      <c r="RP386"/>
      <c r="RQ386"/>
      <c r="RR386"/>
      <c r="RS386"/>
    </row>
    <row r="387" spans="19:487" x14ac:dyDescent="0.25">
      <c r="S387"/>
      <c r="T387"/>
      <c r="U387"/>
      <c r="V387"/>
      <c r="W387"/>
      <c r="X387"/>
      <c r="Y387"/>
      <c r="Z387"/>
      <c r="AA387"/>
      <c r="AB387"/>
      <c r="AC387"/>
      <c r="AD387"/>
      <c r="AE387"/>
      <c r="AF387"/>
      <c r="AG387"/>
      <c r="AH387"/>
      <c r="AI387"/>
      <c r="AJ387"/>
      <c r="AK387"/>
      <c r="AL387"/>
      <c r="AM387"/>
      <c r="AN387"/>
      <c r="AO387"/>
      <c r="AP387"/>
      <c r="AQ387"/>
      <c r="AR387"/>
      <c r="AS387"/>
      <c r="AT387"/>
      <c r="AU387"/>
      <c r="AV387"/>
      <c r="AW387"/>
      <c r="AX387"/>
      <c r="AY387"/>
      <c r="AZ387"/>
      <c r="BA387"/>
      <c r="BB387"/>
      <c r="BC387"/>
      <c r="BD387"/>
      <c r="BE387"/>
      <c r="BF387"/>
      <c r="BG387"/>
      <c r="BH387"/>
      <c r="BI387"/>
      <c r="BJ387"/>
      <c r="BK387"/>
      <c r="BL387"/>
      <c r="BM387"/>
      <c r="BN387"/>
      <c r="BO387"/>
      <c r="BP387"/>
      <c r="BQ387"/>
      <c r="BR387"/>
      <c r="BS387"/>
      <c r="BT387"/>
      <c r="BU387"/>
      <c r="BV387"/>
      <c r="BW387"/>
      <c r="BX387"/>
      <c r="BY387"/>
      <c r="BZ387"/>
      <c r="CA387"/>
      <c r="CB387"/>
      <c r="CC387"/>
      <c r="CD387"/>
      <c r="CE387"/>
      <c r="CF387"/>
      <c r="CG387"/>
      <c r="CH387"/>
      <c r="CI387"/>
      <c r="CJ387"/>
      <c r="CK387"/>
      <c r="CL387"/>
      <c r="CM387"/>
      <c r="CN387"/>
      <c r="CO387"/>
      <c r="CP387"/>
      <c r="CQ387"/>
      <c r="CR387"/>
      <c r="CS387"/>
      <c r="CT387"/>
      <c r="CU387"/>
      <c r="CV387"/>
      <c r="CW387"/>
      <c r="CX387"/>
      <c r="CY387"/>
      <c r="CZ387"/>
      <c r="DA387"/>
      <c r="DB387"/>
      <c r="DC387"/>
      <c r="DD387"/>
      <c r="DE387"/>
      <c r="DF387"/>
      <c r="DG387"/>
      <c r="DH387"/>
      <c r="DI387"/>
      <c r="DJ387"/>
      <c r="DK387"/>
      <c r="DL387"/>
      <c r="DM387"/>
      <c r="DN387"/>
      <c r="DO387"/>
      <c r="DP387"/>
      <c r="DQ387"/>
      <c r="DR387"/>
      <c r="DS387"/>
      <c r="DT387"/>
      <c r="DU387"/>
      <c r="DV387"/>
      <c r="DW387"/>
      <c r="DX387"/>
      <c r="DY387"/>
      <c r="DZ387"/>
      <c r="EA387"/>
      <c r="EB387"/>
      <c r="EC387"/>
      <c r="ED387"/>
      <c r="EE387"/>
      <c r="EF387"/>
      <c r="EG387"/>
      <c r="EH387"/>
      <c r="EI387"/>
      <c r="EJ387"/>
      <c r="EK387"/>
      <c r="EL387"/>
      <c r="EM387"/>
      <c r="EN387"/>
      <c r="EO387"/>
      <c r="EP387"/>
      <c r="EQ387"/>
      <c r="ER387"/>
      <c r="ES387"/>
      <c r="ET387"/>
      <c r="EU387"/>
      <c r="EV387"/>
      <c r="EW387"/>
      <c r="EX387"/>
      <c r="EY387"/>
      <c r="EZ387"/>
      <c r="FA387"/>
      <c r="FB387"/>
      <c r="FC387"/>
      <c r="FD387"/>
      <c r="FE387"/>
      <c r="FF387"/>
      <c r="FG387"/>
      <c r="FH387"/>
      <c r="FI387"/>
      <c r="FJ387"/>
      <c r="FK387"/>
      <c r="FL387"/>
      <c r="FM387"/>
      <c r="FN387"/>
      <c r="FO387"/>
      <c r="FP387"/>
      <c r="FQ387"/>
      <c r="FR387"/>
      <c r="FS387"/>
      <c r="FT387"/>
      <c r="FU387"/>
      <c r="FV387"/>
      <c r="FW387"/>
      <c r="FX387"/>
      <c r="FY387"/>
      <c r="FZ387"/>
      <c r="GA387"/>
      <c r="GB387"/>
      <c r="GC387"/>
      <c r="GD387"/>
      <c r="GE387"/>
      <c r="GF387"/>
      <c r="GG387"/>
      <c r="GH387"/>
      <c r="GI387"/>
      <c r="GJ387"/>
      <c r="GK387"/>
      <c r="GL387"/>
      <c r="GM387"/>
      <c r="GN387"/>
      <c r="GO387"/>
      <c r="GP387"/>
      <c r="GQ387"/>
      <c r="GR387"/>
      <c r="GS387"/>
      <c r="GT387"/>
      <c r="GU387"/>
      <c r="GV387"/>
      <c r="GW387"/>
      <c r="GX387"/>
      <c r="GY387"/>
      <c r="GZ387"/>
      <c r="HA387"/>
      <c r="HB387"/>
      <c r="HC387"/>
      <c r="HD387"/>
      <c r="HE387"/>
      <c r="HF387"/>
      <c r="HG387"/>
      <c r="HH387"/>
      <c r="HI387"/>
      <c r="HJ387"/>
      <c r="HK387"/>
      <c r="HL387"/>
      <c r="HM387"/>
      <c r="HN387"/>
      <c r="HO387"/>
      <c r="HP387"/>
      <c r="HQ387"/>
      <c r="HR387"/>
      <c r="HS387"/>
      <c r="HT387"/>
      <c r="HU387"/>
      <c r="HV387"/>
      <c r="HW387"/>
      <c r="HX387"/>
      <c r="HY387"/>
      <c r="HZ387"/>
      <c r="IA387"/>
      <c r="IB387"/>
      <c r="IC387"/>
      <c r="ID387"/>
      <c r="IE387"/>
      <c r="IF387"/>
      <c r="IG387"/>
      <c r="IH387"/>
      <c r="II387"/>
      <c r="IJ387"/>
      <c r="IK387"/>
      <c r="IL387"/>
      <c r="IM387"/>
      <c r="IN387"/>
      <c r="IO387"/>
      <c r="IP387"/>
      <c r="IQ387"/>
      <c r="IR387"/>
      <c r="IS387"/>
      <c r="IT387"/>
      <c r="IU387"/>
      <c r="IV387"/>
      <c r="IW387"/>
      <c r="IX387"/>
      <c r="IY387"/>
      <c r="IZ387"/>
      <c r="JA387"/>
      <c r="JB387"/>
      <c r="JC387"/>
      <c r="JD387"/>
      <c r="JE387"/>
      <c r="JF387"/>
      <c r="JG387"/>
      <c r="JH387"/>
      <c r="JI387"/>
      <c r="JJ387"/>
      <c r="JK387"/>
      <c r="JL387"/>
      <c r="JM387"/>
      <c r="JN387"/>
      <c r="JO387"/>
      <c r="JP387"/>
      <c r="JQ387"/>
      <c r="JR387"/>
      <c r="JS387"/>
      <c r="JT387"/>
      <c r="JU387"/>
      <c r="JV387"/>
      <c r="JW387"/>
      <c r="JX387"/>
      <c r="JY387"/>
      <c r="JZ387"/>
      <c r="KA387"/>
      <c r="KB387"/>
      <c r="KC387"/>
      <c r="KD387"/>
      <c r="KE387"/>
      <c r="KF387"/>
      <c r="KG387"/>
      <c r="KH387"/>
      <c r="KI387"/>
      <c r="KJ387"/>
      <c r="KK387"/>
      <c r="KL387"/>
      <c r="KM387"/>
      <c r="KN387"/>
      <c r="KO387"/>
      <c r="KP387"/>
      <c r="KQ387"/>
      <c r="KR387"/>
      <c r="KS387"/>
      <c r="KT387"/>
      <c r="KU387"/>
      <c r="KV387"/>
      <c r="KW387"/>
      <c r="KX387"/>
      <c r="KY387"/>
      <c r="KZ387"/>
      <c r="LA387"/>
      <c r="LB387"/>
      <c r="LC387"/>
      <c r="LD387"/>
      <c r="LE387"/>
      <c r="LF387"/>
      <c r="LG387"/>
      <c r="LH387"/>
      <c r="LI387"/>
      <c r="LJ387"/>
      <c r="LK387"/>
      <c r="LL387"/>
      <c r="LM387"/>
      <c r="LN387"/>
      <c r="LO387"/>
      <c r="LP387"/>
      <c r="LQ387"/>
      <c r="LR387"/>
      <c r="LS387"/>
      <c r="LT387"/>
      <c r="LU387"/>
      <c r="LV387"/>
      <c r="LW387"/>
      <c r="LX387"/>
      <c r="LY387"/>
      <c r="LZ387"/>
      <c r="MA387"/>
      <c r="MB387"/>
      <c r="MC387"/>
      <c r="MD387"/>
      <c r="ME387"/>
      <c r="MF387"/>
      <c r="MG387"/>
      <c r="MH387"/>
      <c r="MI387"/>
      <c r="MJ387"/>
      <c r="MK387"/>
      <c r="ML387"/>
      <c r="MM387"/>
      <c r="MN387"/>
      <c r="MO387"/>
      <c r="MP387"/>
      <c r="MQ387"/>
      <c r="MR387"/>
      <c r="MS387"/>
      <c r="MT387"/>
      <c r="MU387"/>
      <c r="MV387"/>
      <c r="MW387"/>
      <c r="MX387"/>
      <c r="MY387"/>
      <c r="MZ387"/>
      <c r="NA387"/>
      <c r="NB387"/>
      <c r="NC387"/>
      <c r="ND387"/>
      <c r="NE387"/>
      <c r="NF387"/>
      <c r="NG387"/>
      <c r="NH387"/>
      <c r="NI387"/>
      <c r="NJ387"/>
      <c r="NK387"/>
      <c r="NL387"/>
      <c r="NM387"/>
      <c r="NN387"/>
      <c r="NO387"/>
      <c r="NP387"/>
      <c r="NQ387"/>
      <c r="NR387"/>
      <c r="NS387"/>
      <c r="NT387"/>
      <c r="NU387"/>
      <c r="NV387"/>
      <c r="NW387"/>
      <c r="NX387"/>
      <c r="NY387"/>
      <c r="NZ387"/>
      <c r="OA387"/>
      <c r="OB387"/>
      <c r="OC387"/>
      <c r="OD387"/>
      <c r="OE387"/>
      <c r="OF387"/>
      <c r="OG387"/>
      <c r="OH387"/>
      <c r="OI387"/>
      <c r="OJ387"/>
      <c r="OK387"/>
      <c r="OL387"/>
      <c r="OM387"/>
      <c r="ON387"/>
      <c r="OO387"/>
      <c r="OP387"/>
      <c r="OQ387"/>
      <c r="OR387"/>
      <c r="OS387"/>
      <c r="OT387"/>
      <c r="OU387"/>
      <c r="OV387"/>
      <c r="OW387"/>
      <c r="OX387"/>
      <c r="OY387"/>
      <c r="OZ387"/>
      <c r="PA387"/>
      <c r="PB387"/>
      <c r="PC387"/>
      <c r="PD387"/>
      <c r="PE387"/>
      <c r="PF387"/>
      <c r="PG387"/>
      <c r="PH387"/>
      <c r="PI387"/>
      <c r="PJ387"/>
      <c r="PK387"/>
      <c r="PL387"/>
      <c r="PM387"/>
      <c r="PN387"/>
      <c r="PO387"/>
      <c r="PP387"/>
      <c r="PQ387"/>
      <c r="PR387"/>
      <c r="PS387"/>
      <c r="PT387"/>
      <c r="PU387"/>
      <c r="PV387"/>
      <c r="PW387"/>
      <c r="PX387"/>
      <c r="PY387"/>
      <c r="PZ387"/>
      <c r="QA387"/>
      <c r="QB387"/>
      <c r="QC387"/>
      <c r="QD387"/>
      <c r="QE387"/>
      <c r="QF387"/>
      <c r="QG387"/>
      <c r="QH387"/>
      <c r="QI387"/>
      <c r="QJ387"/>
      <c r="QK387"/>
      <c r="QL387"/>
      <c r="QM387"/>
      <c r="QN387"/>
      <c r="QO387"/>
      <c r="QP387"/>
      <c r="QQ387"/>
      <c r="QR387"/>
      <c r="QS387"/>
      <c r="QT387"/>
      <c r="QU387"/>
      <c r="QV387"/>
      <c r="QW387"/>
      <c r="QX387"/>
      <c r="QY387"/>
      <c r="QZ387"/>
      <c r="RA387"/>
      <c r="RB387"/>
      <c r="RC387"/>
      <c r="RD387"/>
      <c r="RE387"/>
      <c r="RF387"/>
      <c r="RG387"/>
      <c r="RH387"/>
      <c r="RI387"/>
      <c r="RJ387"/>
      <c r="RK387"/>
      <c r="RL387"/>
      <c r="RM387"/>
      <c r="RN387"/>
      <c r="RO387"/>
      <c r="RP387"/>
      <c r="RQ387"/>
      <c r="RR387"/>
      <c r="RS387"/>
    </row>
    <row r="388" spans="19:487" x14ac:dyDescent="0.25"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  <c r="BL388"/>
      <c r="BM388"/>
      <c r="BN388"/>
      <c r="BO388"/>
      <c r="BP388"/>
      <c r="BQ388"/>
      <c r="BR388"/>
      <c r="BS388"/>
      <c r="BT388"/>
      <c r="BU388"/>
      <c r="BV388"/>
      <c r="BW388"/>
      <c r="BX388"/>
      <c r="BY388"/>
      <c r="BZ388"/>
      <c r="CA388"/>
      <c r="CB388"/>
      <c r="CC388"/>
      <c r="CD388"/>
      <c r="CE388"/>
      <c r="CF388"/>
      <c r="CG388"/>
      <c r="CH388"/>
      <c r="CI388"/>
      <c r="CJ388"/>
      <c r="CK388"/>
      <c r="CL388"/>
      <c r="CM388"/>
      <c r="CN388"/>
      <c r="CO388"/>
      <c r="CP388"/>
      <c r="CQ388"/>
      <c r="CR388"/>
      <c r="CS388"/>
      <c r="CT388"/>
      <c r="CU388"/>
      <c r="CV388"/>
      <c r="CW388"/>
      <c r="CX388"/>
      <c r="CY388"/>
      <c r="CZ388"/>
      <c r="DA388"/>
      <c r="DB388"/>
      <c r="DC388"/>
      <c r="DD388"/>
      <c r="DE388"/>
      <c r="DF388"/>
      <c r="DG388"/>
      <c r="DH388"/>
      <c r="DI388"/>
      <c r="DJ388"/>
      <c r="DK388"/>
      <c r="DL388"/>
      <c r="DM388"/>
      <c r="DN388"/>
      <c r="DO388"/>
      <c r="DP388"/>
      <c r="DQ388"/>
      <c r="DR388"/>
      <c r="DS388"/>
      <c r="DT388"/>
      <c r="DU388"/>
      <c r="DV388"/>
      <c r="DW388"/>
      <c r="DX388"/>
      <c r="DY388"/>
      <c r="DZ388"/>
      <c r="EA388"/>
      <c r="EB388"/>
      <c r="EC388"/>
      <c r="ED388"/>
      <c r="EE388"/>
      <c r="EF388"/>
      <c r="EG388"/>
      <c r="EH388"/>
      <c r="EI388"/>
      <c r="EJ388"/>
      <c r="EK388"/>
      <c r="EL388"/>
      <c r="EM388"/>
      <c r="EN388"/>
      <c r="EO388"/>
      <c r="EP388"/>
      <c r="EQ388"/>
      <c r="ER388"/>
      <c r="ES388"/>
      <c r="ET388"/>
      <c r="EU388"/>
      <c r="EV388"/>
      <c r="EW388"/>
      <c r="EX388"/>
      <c r="EY388"/>
      <c r="EZ388"/>
      <c r="FA388"/>
      <c r="FB388"/>
      <c r="FC388"/>
      <c r="FD388"/>
      <c r="FE388"/>
      <c r="FF388"/>
      <c r="FG388"/>
      <c r="FH388"/>
      <c r="FI388"/>
      <c r="FJ388"/>
      <c r="FK388"/>
      <c r="FL388"/>
      <c r="FM388"/>
      <c r="FN388"/>
      <c r="FO388"/>
      <c r="FP388"/>
      <c r="FQ388"/>
      <c r="FR388"/>
      <c r="FS388"/>
      <c r="FT388"/>
      <c r="FU388"/>
      <c r="FV388"/>
      <c r="FW388"/>
      <c r="FX388"/>
      <c r="FY388"/>
      <c r="FZ388"/>
      <c r="GA388"/>
      <c r="GB388"/>
      <c r="GC388"/>
      <c r="GD388"/>
      <c r="GE388"/>
      <c r="GF388"/>
      <c r="GG388"/>
      <c r="GH388"/>
      <c r="GI388"/>
      <c r="GJ388"/>
      <c r="GK388"/>
      <c r="GL388"/>
      <c r="GM388"/>
      <c r="GN388"/>
      <c r="GO388"/>
      <c r="GP388"/>
      <c r="GQ388"/>
      <c r="GR388"/>
      <c r="GS388"/>
      <c r="GT388"/>
      <c r="GU388"/>
      <c r="GV388"/>
      <c r="GW388"/>
      <c r="GX388"/>
      <c r="GY388"/>
      <c r="GZ388"/>
      <c r="HA388"/>
      <c r="HB388"/>
      <c r="HC388"/>
      <c r="HD388"/>
      <c r="HE388"/>
      <c r="HF388"/>
      <c r="HG388"/>
      <c r="HH388"/>
      <c r="HI388"/>
      <c r="HJ388"/>
      <c r="HK388"/>
      <c r="HL388"/>
      <c r="HM388"/>
      <c r="HN388"/>
      <c r="HO388"/>
      <c r="HP388"/>
      <c r="HQ388"/>
      <c r="HR388"/>
      <c r="HS388"/>
      <c r="HT388"/>
      <c r="HU388"/>
      <c r="HV388"/>
      <c r="HW388"/>
      <c r="HX388"/>
      <c r="HY388"/>
      <c r="HZ388"/>
      <c r="IA388"/>
      <c r="IB388"/>
      <c r="IC388"/>
      <c r="ID388"/>
      <c r="IE388"/>
      <c r="IF388"/>
      <c r="IG388"/>
      <c r="IH388"/>
      <c r="II388"/>
      <c r="IJ388"/>
      <c r="IK388"/>
      <c r="IL388"/>
      <c r="IM388"/>
      <c r="IN388"/>
      <c r="IO388"/>
      <c r="IP388"/>
      <c r="IQ388"/>
      <c r="IR388"/>
      <c r="IS388"/>
      <c r="IT388"/>
      <c r="IU388"/>
      <c r="IV388"/>
      <c r="IW388"/>
      <c r="IX388"/>
      <c r="IY388"/>
      <c r="IZ388"/>
      <c r="JA388"/>
      <c r="JB388"/>
      <c r="JC388"/>
      <c r="JD388"/>
      <c r="JE388"/>
      <c r="JF388"/>
      <c r="JG388"/>
      <c r="JH388"/>
      <c r="JI388"/>
      <c r="JJ388"/>
      <c r="JK388"/>
      <c r="JL388"/>
      <c r="JM388"/>
      <c r="JN388"/>
      <c r="JO388"/>
      <c r="JP388"/>
      <c r="JQ388"/>
      <c r="JR388"/>
      <c r="JS388"/>
      <c r="JT388"/>
      <c r="JU388"/>
      <c r="JV388"/>
      <c r="JW388"/>
      <c r="JX388"/>
      <c r="JY388"/>
      <c r="JZ388"/>
      <c r="KA388"/>
      <c r="KB388"/>
      <c r="KC388"/>
      <c r="KD388"/>
      <c r="KE388"/>
      <c r="KF388"/>
      <c r="KG388"/>
      <c r="KH388"/>
      <c r="KI388"/>
      <c r="KJ388"/>
      <c r="KK388"/>
      <c r="KL388"/>
      <c r="KM388"/>
      <c r="KN388"/>
      <c r="KO388"/>
      <c r="KP388"/>
      <c r="KQ388"/>
      <c r="KR388"/>
      <c r="KS388"/>
      <c r="KT388"/>
      <c r="KU388"/>
      <c r="KV388"/>
      <c r="KW388"/>
      <c r="KX388"/>
      <c r="KY388"/>
      <c r="KZ388"/>
      <c r="LA388"/>
      <c r="LB388"/>
      <c r="LC388"/>
      <c r="LD388"/>
      <c r="LE388"/>
      <c r="LF388"/>
      <c r="LG388"/>
      <c r="LH388"/>
      <c r="LI388"/>
      <c r="LJ388"/>
      <c r="LK388"/>
      <c r="LL388"/>
      <c r="LM388"/>
      <c r="LN388"/>
      <c r="LO388"/>
      <c r="LP388"/>
      <c r="LQ388"/>
      <c r="LR388"/>
      <c r="LS388"/>
      <c r="LT388"/>
      <c r="LU388"/>
      <c r="LV388"/>
      <c r="LW388"/>
      <c r="LX388"/>
      <c r="LY388"/>
      <c r="LZ388"/>
      <c r="MA388"/>
      <c r="MB388"/>
      <c r="MC388"/>
      <c r="MD388"/>
      <c r="ME388"/>
      <c r="MF388"/>
      <c r="MG388"/>
      <c r="MH388"/>
      <c r="MI388"/>
      <c r="MJ388"/>
      <c r="MK388"/>
      <c r="ML388"/>
      <c r="MM388"/>
      <c r="MN388"/>
      <c r="MO388"/>
      <c r="MP388"/>
      <c r="MQ388"/>
      <c r="MR388"/>
      <c r="MS388"/>
      <c r="MT388"/>
      <c r="MU388"/>
      <c r="MV388"/>
      <c r="MW388"/>
      <c r="MX388"/>
      <c r="MY388"/>
      <c r="MZ388"/>
      <c r="NA388"/>
      <c r="NB388"/>
      <c r="NC388"/>
      <c r="ND388"/>
      <c r="NE388"/>
      <c r="NF388"/>
      <c r="NG388"/>
      <c r="NH388"/>
      <c r="NI388"/>
      <c r="NJ388"/>
      <c r="NK388"/>
      <c r="NL388"/>
      <c r="NM388"/>
      <c r="NN388"/>
      <c r="NO388"/>
      <c r="NP388"/>
      <c r="NQ388"/>
      <c r="NR388"/>
      <c r="NS388"/>
      <c r="NT388"/>
      <c r="NU388"/>
      <c r="NV388"/>
      <c r="NW388"/>
      <c r="NX388"/>
      <c r="NY388"/>
      <c r="NZ388"/>
      <c r="OA388"/>
      <c r="OB388"/>
      <c r="OC388"/>
      <c r="OD388"/>
      <c r="OE388"/>
      <c r="OF388"/>
      <c r="OG388"/>
      <c r="OH388"/>
      <c r="OI388"/>
      <c r="OJ388"/>
      <c r="OK388"/>
      <c r="OL388"/>
      <c r="OM388"/>
      <c r="ON388"/>
      <c r="OO388"/>
      <c r="OP388"/>
      <c r="OQ388"/>
      <c r="OR388"/>
      <c r="OS388"/>
      <c r="OT388"/>
      <c r="OU388"/>
      <c r="OV388"/>
      <c r="OW388"/>
      <c r="OX388"/>
      <c r="OY388"/>
      <c r="OZ388"/>
      <c r="PA388"/>
      <c r="PB388"/>
      <c r="PC388"/>
      <c r="PD388"/>
      <c r="PE388"/>
      <c r="PF388"/>
      <c r="PG388"/>
      <c r="PH388"/>
      <c r="PI388"/>
      <c r="PJ388"/>
      <c r="PK388"/>
      <c r="PL388"/>
      <c r="PM388"/>
      <c r="PN388"/>
      <c r="PO388"/>
      <c r="PP388"/>
      <c r="PQ388"/>
      <c r="PR388"/>
      <c r="PS388"/>
      <c r="PT388"/>
      <c r="PU388"/>
      <c r="PV388"/>
      <c r="PW388"/>
      <c r="PX388"/>
      <c r="PY388"/>
      <c r="PZ388"/>
      <c r="QA388"/>
      <c r="QB388"/>
      <c r="QC388"/>
      <c r="QD388"/>
      <c r="QE388"/>
      <c r="QF388"/>
      <c r="QG388"/>
      <c r="QH388"/>
      <c r="QI388"/>
      <c r="QJ388"/>
      <c r="QK388"/>
      <c r="QL388"/>
      <c r="QM388"/>
      <c r="QN388"/>
      <c r="QO388"/>
      <c r="QP388"/>
      <c r="QQ388"/>
      <c r="QR388"/>
      <c r="QS388"/>
      <c r="QT388"/>
      <c r="QU388"/>
      <c r="QV388"/>
      <c r="QW388"/>
      <c r="QX388"/>
      <c r="QY388"/>
      <c r="QZ388"/>
      <c r="RA388"/>
      <c r="RB388"/>
      <c r="RC388"/>
      <c r="RD388"/>
      <c r="RE388"/>
      <c r="RF388"/>
      <c r="RG388"/>
      <c r="RH388"/>
      <c r="RI388"/>
      <c r="RJ388"/>
      <c r="RK388"/>
      <c r="RL388"/>
      <c r="RM388"/>
      <c r="RN388"/>
      <c r="RO388"/>
      <c r="RP388"/>
      <c r="RQ388"/>
      <c r="RR388"/>
      <c r="RS388"/>
    </row>
    <row r="389" spans="19:487" x14ac:dyDescent="0.25">
      <c r="S389"/>
      <c r="T389"/>
      <c r="U389"/>
      <c r="V389"/>
      <c r="W389"/>
      <c r="X389"/>
      <c r="Y389"/>
      <c r="Z389"/>
      <c r="AA389"/>
      <c r="AB389"/>
      <c r="AC389"/>
      <c r="AD389"/>
      <c r="AE389"/>
      <c r="AF389"/>
      <c r="AG389"/>
      <c r="AH389"/>
      <c r="AI389"/>
      <c r="AJ389"/>
      <c r="AK389"/>
      <c r="AL389"/>
      <c r="AM389"/>
      <c r="AN389"/>
      <c r="AO389"/>
      <c r="AP389"/>
      <c r="AQ389"/>
      <c r="AR389"/>
      <c r="AS389"/>
      <c r="AT389"/>
      <c r="AU389"/>
      <c r="AV389"/>
      <c r="AW389"/>
      <c r="AX389"/>
      <c r="AY389"/>
      <c r="AZ389"/>
      <c r="BA389"/>
      <c r="BB389"/>
      <c r="BC389"/>
      <c r="BD389"/>
      <c r="BE389"/>
      <c r="BF389"/>
      <c r="BG389"/>
      <c r="BH389"/>
      <c r="BI389"/>
      <c r="BJ389"/>
      <c r="BK389"/>
      <c r="BL389"/>
      <c r="BM389"/>
      <c r="BN389"/>
      <c r="BO389"/>
      <c r="BP389"/>
      <c r="BQ389"/>
      <c r="BR389"/>
      <c r="BS389"/>
      <c r="BT389"/>
      <c r="BU389"/>
      <c r="BV389"/>
      <c r="BW389"/>
      <c r="BX389"/>
      <c r="BY389"/>
      <c r="BZ389"/>
      <c r="CA389"/>
      <c r="CB389"/>
      <c r="CC389"/>
      <c r="CD389"/>
      <c r="CE389"/>
      <c r="CF389"/>
      <c r="CG389"/>
      <c r="CH389"/>
      <c r="CI389"/>
      <c r="CJ389"/>
      <c r="CK389"/>
      <c r="CL389"/>
      <c r="CM389"/>
      <c r="CN389"/>
      <c r="CO389"/>
      <c r="CP389"/>
      <c r="CQ389"/>
      <c r="CR389"/>
      <c r="CS389"/>
      <c r="CT389"/>
      <c r="CU389"/>
      <c r="CV389"/>
      <c r="CW389"/>
      <c r="CX389"/>
      <c r="CY389"/>
      <c r="CZ389"/>
      <c r="DA389"/>
      <c r="DB389"/>
      <c r="DC389"/>
      <c r="DD389"/>
      <c r="DE389"/>
      <c r="DF389"/>
      <c r="DG389"/>
      <c r="DH389"/>
      <c r="DI389"/>
      <c r="DJ389"/>
      <c r="DK389"/>
      <c r="DL389"/>
      <c r="DM389"/>
      <c r="DN389"/>
      <c r="DO389"/>
      <c r="DP389"/>
      <c r="DQ389"/>
      <c r="DR389"/>
      <c r="DS389"/>
      <c r="DT389"/>
      <c r="DU389"/>
      <c r="DV389"/>
      <c r="DW389"/>
      <c r="DX389"/>
      <c r="DY389"/>
      <c r="DZ389"/>
      <c r="EA389"/>
      <c r="EB389"/>
      <c r="EC389"/>
      <c r="ED389"/>
      <c r="EE389"/>
      <c r="EF389"/>
      <c r="EG389"/>
      <c r="EH389"/>
      <c r="EI389"/>
      <c r="EJ389"/>
      <c r="EK389"/>
      <c r="EL389"/>
      <c r="EM389"/>
      <c r="EN389"/>
      <c r="EO389"/>
      <c r="EP389"/>
      <c r="EQ389"/>
      <c r="ER389"/>
      <c r="ES389"/>
      <c r="ET389"/>
      <c r="EU389"/>
      <c r="EV389"/>
      <c r="EW389"/>
      <c r="EX389"/>
      <c r="EY389"/>
      <c r="EZ389"/>
      <c r="FA389"/>
      <c r="FB389"/>
      <c r="FC389"/>
      <c r="FD389"/>
      <c r="FE389"/>
      <c r="FF389"/>
      <c r="FG389"/>
      <c r="FH389"/>
      <c r="FI389"/>
      <c r="FJ389"/>
      <c r="FK389"/>
      <c r="FL389"/>
      <c r="FM389"/>
      <c r="FN389"/>
      <c r="FO389"/>
      <c r="FP389"/>
      <c r="FQ389"/>
      <c r="FR389"/>
      <c r="FS389"/>
      <c r="FT389"/>
      <c r="FU389"/>
      <c r="FV389"/>
      <c r="FW389"/>
      <c r="FX389"/>
      <c r="FY389"/>
      <c r="FZ389"/>
      <c r="GA389"/>
      <c r="GB389"/>
      <c r="GC389"/>
      <c r="GD389"/>
      <c r="GE389"/>
      <c r="GF389"/>
      <c r="GG389"/>
      <c r="GH389"/>
      <c r="GI389"/>
      <c r="GJ389"/>
      <c r="GK389"/>
      <c r="GL389"/>
      <c r="GM389"/>
      <c r="GN389"/>
      <c r="GO389"/>
      <c r="GP389"/>
      <c r="GQ389"/>
      <c r="GR389"/>
      <c r="GS389"/>
      <c r="GT389"/>
      <c r="GU389"/>
      <c r="GV389"/>
      <c r="GW389"/>
      <c r="GX389"/>
      <c r="GY389"/>
      <c r="GZ389"/>
      <c r="HA389"/>
      <c r="HB389"/>
      <c r="HC389"/>
      <c r="HD389"/>
      <c r="HE389"/>
      <c r="HF389"/>
      <c r="HG389"/>
      <c r="HH389"/>
      <c r="HI389"/>
      <c r="HJ389"/>
      <c r="HK389"/>
      <c r="HL389"/>
      <c r="HM389"/>
      <c r="HN389"/>
      <c r="HO389"/>
      <c r="HP389"/>
      <c r="HQ389"/>
      <c r="HR389"/>
      <c r="HS389"/>
      <c r="HT389"/>
      <c r="HU389"/>
      <c r="HV389"/>
      <c r="HW389"/>
      <c r="HX389"/>
      <c r="HY389"/>
      <c r="HZ389"/>
      <c r="IA389"/>
      <c r="IB389"/>
      <c r="IC389"/>
      <c r="ID389"/>
      <c r="IE389"/>
      <c r="IF389"/>
      <c r="IG389"/>
      <c r="IH389"/>
      <c r="II389"/>
      <c r="IJ389"/>
      <c r="IK389"/>
      <c r="IL389"/>
      <c r="IM389"/>
      <c r="IN389"/>
      <c r="IO389"/>
      <c r="IP389"/>
      <c r="IQ389"/>
      <c r="IR389"/>
      <c r="IS389"/>
      <c r="IT389"/>
      <c r="IU389"/>
      <c r="IV389"/>
      <c r="IW389"/>
      <c r="IX389"/>
      <c r="IY389"/>
      <c r="IZ389"/>
      <c r="JA389"/>
      <c r="JB389"/>
      <c r="JC389"/>
      <c r="JD389"/>
      <c r="JE389"/>
      <c r="JF389"/>
      <c r="JG389"/>
      <c r="JH389"/>
      <c r="JI389"/>
      <c r="JJ389"/>
      <c r="JK389"/>
      <c r="JL389"/>
      <c r="JM389"/>
      <c r="JN389"/>
      <c r="JO389"/>
      <c r="JP389"/>
      <c r="JQ389"/>
      <c r="JR389"/>
      <c r="JS389"/>
      <c r="JT389"/>
      <c r="JU389"/>
      <c r="JV389"/>
      <c r="JW389"/>
      <c r="JX389"/>
      <c r="JY389"/>
      <c r="JZ389"/>
      <c r="KA389"/>
      <c r="KB389"/>
      <c r="KC389"/>
      <c r="KD389"/>
      <c r="KE389"/>
      <c r="KF389"/>
      <c r="KG389"/>
      <c r="KH389"/>
      <c r="KI389"/>
      <c r="KJ389"/>
      <c r="KK389"/>
      <c r="KL389"/>
      <c r="KM389"/>
      <c r="KN389"/>
      <c r="KO389"/>
      <c r="KP389"/>
      <c r="KQ389"/>
      <c r="KR389"/>
      <c r="KS389"/>
      <c r="KT389"/>
      <c r="KU389"/>
      <c r="KV389"/>
      <c r="KW389"/>
      <c r="KX389"/>
      <c r="KY389"/>
      <c r="KZ389"/>
      <c r="LA389"/>
      <c r="LB389"/>
      <c r="LC389"/>
      <c r="LD389"/>
      <c r="LE389"/>
      <c r="LF389"/>
      <c r="LG389"/>
      <c r="LH389"/>
      <c r="LI389"/>
      <c r="LJ389"/>
      <c r="LK389"/>
      <c r="LL389"/>
      <c r="LM389"/>
      <c r="LN389"/>
      <c r="LO389"/>
      <c r="LP389"/>
      <c r="LQ389"/>
      <c r="LR389"/>
      <c r="LS389"/>
      <c r="LT389"/>
      <c r="LU389"/>
      <c r="LV389"/>
      <c r="LW389"/>
      <c r="LX389"/>
      <c r="LY389"/>
      <c r="LZ389"/>
      <c r="MA389"/>
      <c r="MB389"/>
      <c r="MC389"/>
      <c r="MD389"/>
      <c r="ME389"/>
      <c r="MF389"/>
      <c r="MG389"/>
      <c r="MH389"/>
      <c r="MI389"/>
      <c r="MJ389"/>
      <c r="MK389"/>
      <c r="ML389"/>
      <c r="MM389"/>
      <c r="MN389"/>
      <c r="MO389"/>
      <c r="MP389"/>
      <c r="MQ389"/>
      <c r="MR389"/>
      <c r="MS389"/>
      <c r="MT389"/>
      <c r="MU389"/>
      <c r="MV389"/>
      <c r="MW389"/>
      <c r="MX389"/>
      <c r="MY389"/>
      <c r="MZ389"/>
      <c r="NA389"/>
      <c r="NB389"/>
      <c r="NC389"/>
      <c r="ND389"/>
      <c r="NE389"/>
      <c r="NF389"/>
      <c r="NG389"/>
      <c r="NH389"/>
      <c r="NI389"/>
      <c r="NJ389"/>
      <c r="NK389"/>
      <c r="NL389"/>
      <c r="NM389"/>
      <c r="NN389"/>
      <c r="NO389"/>
      <c r="NP389"/>
      <c r="NQ389"/>
      <c r="NR389"/>
      <c r="NS389"/>
      <c r="NT389"/>
      <c r="NU389"/>
      <c r="NV389"/>
      <c r="NW389"/>
      <c r="NX389"/>
      <c r="NY389"/>
      <c r="NZ389"/>
      <c r="OA389"/>
      <c r="OB389"/>
      <c r="OC389"/>
      <c r="OD389"/>
      <c r="OE389"/>
      <c r="OF389"/>
      <c r="OG389"/>
      <c r="OH389"/>
      <c r="OI389"/>
      <c r="OJ389"/>
      <c r="OK389"/>
      <c r="OL389"/>
      <c r="OM389"/>
      <c r="ON389"/>
      <c r="OO389"/>
      <c r="OP389"/>
      <c r="OQ389"/>
      <c r="OR389"/>
      <c r="OS389"/>
      <c r="OT389"/>
      <c r="OU389"/>
      <c r="OV389"/>
      <c r="OW389"/>
      <c r="OX389"/>
      <c r="OY389"/>
      <c r="OZ389"/>
      <c r="PA389"/>
      <c r="PB389"/>
      <c r="PC389"/>
      <c r="PD389"/>
      <c r="PE389"/>
      <c r="PF389"/>
      <c r="PG389"/>
      <c r="PH389"/>
      <c r="PI389"/>
      <c r="PJ389"/>
      <c r="PK389"/>
      <c r="PL389"/>
      <c r="PM389"/>
      <c r="PN389"/>
      <c r="PO389"/>
      <c r="PP389"/>
      <c r="PQ389"/>
      <c r="PR389"/>
      <c r="PS389"/>
      <c r="PT389"/>
      <c r="PU389"/>
      <c r="PV389"/>
      <c r="PW389"/>
      <c r="PX389"/>
      <c r="PY389"/>
      <c r="PZ389"/>
      <c r="QA389"/>
      <c r="QB389"/>
      <c r="QC389"/>
      <c r="QD389"/>
      <c r="QE389"/>
      <c r="QF389"/>
      <c r="QG389"/>
      <c r="QH389"/>
      <c r="QI389"/>
      <c r="QJ389"/>
      <c r="QK389"/>
      <c r="QL389"/>
      <c r="QM389"/>
      <c r="QN389"/>
      <c r="QO389"/>
      <c r="QP389"/>
      <c r="QQ389"/>
      <c r="QR389"/>
      <c r="QS389"/>
      <c r="QT389"/>
      <c r="QU389"/>
      <c r="QV389"/>
      <c r="QW389"/>
      <c r="QX389"/>
      <c r="QY389"/>
      <c r="QZ389"/>
      <c r="RA389"/>
      <c r="RB389"/>
      <c r="RC389"/>
      <c r="RD389"/>
      <c r="RE389"/>
      <c r="RF389"/>
      <c r="RG389"/>
      <c r="RH389"/>
      <c r="RI389"/>
      <c r="RJ389"/>
      <c r="RK389"/>
      <c r="RL389"/>
      <c r="RM389"/>
      <c r="RN389"/>
      <c r="RO389"/>
      <c r="RP389"/>
      <c r="RQ389"/>
      <c r="RR389"/>
      <c r="RS389"/>
    </row>
    <row r="390" spans="19:487" x14ac:dyDescent="0.25"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  <c r="AH390"/>
      <c r="AI390"/>
      <c r="AJ390"/>
      <c r="AK390"/>
      <c r="AL390"/>
      <c r="AM390"/>
      <c r="AN390"/>
      <c r="AO390"/>
      <c r="AP390"/>
      <c r="AQ390"/>
      <c r="AR390"/>
      <c r="AS390"/>
      <c r="AT390"/>
      <c r="AU390"/>
      <c r="AV390"/>
      <c r="AW390"/>
      <c r="AX390"/>
      <c r="AY390"/>
      <c r="AZ390"/>
      <c r="BA390"/>
      <c r="BB390"/>
      <c r="BC390"/>
      <c r="BD390"/>
      <c r="BE390"/>
      <c r="BF390"/>
      <c r="BG390"/>
      <c r="BH390"/>
      <c r="BI390"/>
      <c r="BJ390"/>
      <c r="BK390"/>
      <c r="BL390"/>
      <c r="BM390"/>
      <c r="BN390"/>
      <c r="BO390"/>
      <c r="BP390"/>
      <c r="BQ390"/>
      <c r="BR390"/>
      <c r="BS390"/>
      <c r="BT390"/>
      <c r="BU390"/>
      <c r="BV390"/>
      <c r="BW390"/>
      <c r="BX390"/>
      <c r="BY390"/>
      <c r="BZ390"/>
      <c r="CA390"/>
      <c r="CB390"/>
      <c r="CC390"/>
      <c r="CD390"/>
      <c r="CE390"/>
      <c r="CF390"/>
      <c r="CG390"/>
      <c r="CH390"/>
      <c r="CI390"/>
      <c r="CJ390"/>
      <c r="CK390"/>
      <c r="CL390"/>
      <c r="CM390"/>
      <c r="CN390"/>
      <c r="CO390"/>
      <c r="CP390"/>
      <c r="CQ390"/>
      <c r="CR390"/>
      <c r="CS390"/>
      <c r="CT390"/>
      <c r="CU390"/>
      <c r="CV390"/>
      <c r="CW390"/>
      <c r="CX390"/>
      <c r="CY390"/>
      <c r="CZ390"/>
      <c r="DA390"/>
      <c r="DB390"/>
      <c r="DC390"/>
      <c r="DD390"/>
      <c r="DE390"/>
      <c r="DF390"/>
      <c r="DG390"/>
      <c r="DH390"/>
      <c r="DI390"/>
      <c r="DJ390"/>
      <c r="DK390"/>
      <c r="DL390"/>
      <c r="DM390"/>
      <c r="DN390"/>
      <c r="DO390"/>
      <c r="DP390"/>
      <c r="DQ390"/>
      <c r="DR390"/>
      <c r="DS390"/>
      <c r="DT390"/>
      <c r="DU390"/>
      <c r="DV390"/>
      <c r="DW390"/>
      <c r="DX390"/>
      <c r="DY390"/>
      <c r="DZ390"/>
      <c r="EA390"/>
      <c r="EB390"/>
      <c r="EC390"/>
      <c r="ED390"/>
      <c r="EE390"/>
      <c r="EF390"/>
      <c r="EG390"/>
      <c r="EH390"/>
      <c r="EI390"/>
      <c r="EJ390"/>
      <c r="EK390"/>
      <c r="EL390"/>
      <c r="EM390"/>
      <c r="EN390"/>
      <c r="EO390"/>
      <c r="EP390"/>
      <c r="EQ390"/>
      <c r="ER390"/>
      <c r="ES390"/>
      <c r="ET390"/>
      <c r="EU390"/>
      <c r="EV390"/>
      <c r="EW390"/>
      <c r="EX390"/>
      <c r="EY390"/>
      <c r="EZ390"/>
      <c r="FA390"/>
      <c r="FB390"/>
      <c r="FC390"/>
      <c r="FD390"/>
      <c r="FE390"/>
      <c r="FF390"/>
      <c r="FG390"/>
      <c r="FH390"/>
      <c r="FI390"/>
      <c r="FJ390"/>
      <c r="FK390"/>
      <c r="FL390"/>
      <c r="FM390"/>
      <c r="FN390"/>
      <c r="FO390"/>
      <c r="FP390"/>
      <c r="FQ390"/>
      <c r="FR390"/>
      <c r="FS390"/>
      <c r="FT390"/>
      <c r="FU390"/>
      <c r="FV390"/>
      <c r="FW390"/>
      <c r="FX390"/>
      <c r="FY390"/>
      <c r="FZ390"/>
      <c r="GA390"/>
      <c r="GB390"/>
      <c r="GC390"/>
      <c r="GD390"/>
      <c r="GE390"/>
      <c r="GF390"/>
      <c r="GG390"/>
      <c r="GH390"/>
      <c r="GI390"/>
      <c r="GJ390"/>
      <c r="GK390"/>
      <c r="GL390"/>
      <c r="GM390"/>
      <c r="GN390"/>
      <c r="GO390"/>
      <c r="GP390"/>
      <c r="GQ390"/>
      <c r="GR390"/>
      <c r="GS390"/>
      <c r="GT390"/>
      <c r="GU390"/>
      <c r="GV390"/>
      <c r="GW390"/>
      <c r="GX390"/>
      <c r="GY390"/>
      <c r="GZ390"/>
      <c r="HA390"/>
      <c r="HB390"/>
      <c r="HC390"/>
      <c r="HD390"/>
      <c r="HE390"/>
      <c r="HF390"/>
      <c r="HG390"/>
      <c r="HH390"/>
      <c r="HI390"/>
      <c r="HJ390"/>
      <c r="HK390"/>
      <c r="HL390"/>
      <c r="HM390"/>
      <c r="HN390"/>
      <c r="HO390"/>
      <c r="HP390"/>
      <c r="HQ390"/>
      <c r="HR390"/>
      <c r="HS390"/>
      <c r="HT390"/>
      <c r="HU390"/>
      <c r="HV390"/>
      <c r="HW390"/>
      <c r="HX390"/>
      <c r="HY390"/>
      <c r="HZ390"/>
      <c r="IA390"/>
      <c r="IB390"/>
      <c r="IC390"/>
      <c r="ID390"/>
      <c r="IE390"/>
      <c r="IF390"/>
      <c r="IG390"/>
      <c r="IH390"/>
      <c r="II390"/>
      <c r="IJ390"/>
      <c r="IK390"/>
      <c r="IL390"/>
      <c r="IM390"/>
      <c r="IN390"/>
      <c r="IO390"/>
      <c r="IP390"/>
      <c r="IQ390"/>
      <c r="IR390"/>
      <c r="IS390"/>
      <c r="IT390"/>
      <c r="IU390"/>
      <c r="IV390"/>
      <c r="IW390"/>
      <c r="IX390"/>
      <c r="IY390"/>
      <c r="IZ390"/>
      <c r="JA390"/>
      <c r="JB390"/>
      <c r="JC390"/>
      <c r="JD390"/>
      <c r="JE390"/>
      <c r="JF390"/>
      <c r="JG390"/>
      <c r="JH390"/>
      <c r="JI390"/>
      <c r="JJ390"/>
      <c r="JK390"/>
      <c r="JL390"/>
      <c r="JM390"/>
      <c r="JN390"/>
      <c r="JO390"/>
      <c r="JP390"/>
      <c r="JQ390"/>
      <c r="JR390"/>
      <c r="JS390"/>
      <c r="JT390"/>
      <c r="JU390"/>
      <c r="JV390"/>
      <c r="JW390"/>
      <c r="JX390"/>
      <c r="JY390"/>
      <c r="JZ390"/>
      <c r="KA390"/>
      <c r="KB390"/>
      <c r="KC390"/>
      <c r="KD390"/>
      <c r="KE390"/>
      <c r="KF390"/>
      <c r="KG390"/>
      <c r="KH390"/>
      <c r="KI390"/>
      <c r="KJ390"/>
      <c r="KK390"/>
      <c r="KL390"/>
      <c r="KM390"/>
      <c r="KN390"/>
      <c r="KO390"/>
      <c r="KP390"/>
      <c r="KQ390"/>
      <c r="KR390"/>
      <c r="KS390"/>
      <c r="KT390"/>
      <c r="KU390"/>
      <c r="KV390"/>
      <c r="KW390"/>
      <c r="KX390"/>
      <c r="KY390"/>
      <c r="KZ390"/>
      <c r="LA390"/>
      <c r="LB390"/>
      <c r="LC390"/>
      <c r="LD390"/>
      <c r="LE390"/>
      <c r="LF390"/>
      <c r="LG390"/>
      <c r="LH390"/>
      <c r="LI390"/>
      <c r="LJ390"/>
      <c r="LK390"/>
      <c r="LL390"/>
      <c r="LM390"/>
      <c r="LN390"/>
      <c r="LO390"/>
      <c r="LP390"/>
      <c r="LQ390"/>
      <c r="LR390"/>
      <c r="LS390"/>
      <c r="LT390"/>
      <c r="LU390"/>
      <c r="LV390"/>
      <c r="LW390"/>
      <c r="LX390"/>
      <c r="LY390"/>
      <c r="LZ390"/>
      <c r="MA390"/>
      <c r="MB390"/>
      <c r="MC390"/>
      <c r="MD390"/>
      <c r="ME390"/>
      <c r="MF390"/>
      <c r="MG390"/>
      <c r="MH390"/>
      <c r="MI390"/>
      <c r="MJ390"/>
      <c r="MK390"/>
      <c r="ML390"/>
      <c r="MM390"/>
      <c r="MN390"/>
      <c r="MO390"/>
      <c r="MP390"/>
      <c r="MQ390"/>
      <c r="MR390"/>
      <c r="MS390"/>
      <c r="MT390"/>
      <c r="MU390"/>
      <c r="MV390"/>
      <c r="MW390"/>
      <c r="MX390"/>
      <c r="MY390"/>
      <c r="MZ390"/>
      <c r="NA390"/>
      <c r="NB390"/>
      <c r="NC390"/>
      <c r="ND390"/>
      <c r="NE390"/>
      <c r="NF390"/>
      <c r="NG390"/>
      <c r="NH390"/>
      <c r="NI390"/>
      <c r="NJ390"/>
      <c r="NK390"/>
      <c r="NL390"/>
      <c r="NM390"/>
      <c r="NN390"/>
      <c r="NO390"/>
      <c r="NP390"/>
      <c r="NQ390"/>
      <c r="NR390"/>
      <c r="NS390"/>
      <c r="NT390"/>
      <c r="NU390"/>
      <c r="NV390"/>
      <c r="NW390"/>
      <c r="NX390"/>
      <c r="NY390"/>
      <c r="NZ390"/>
      <c r="OA390"/>
      <c r="OB390"/>
      <c r="OC390"/>
      <c r="OD390"/>
      <c r="OE390"/>
      <c r="OF390"/>
      <c r="OG390"/>
      <c r="OH390"/>
      <c r="OI390"/>
      <c r="OJ390"/>
      <c r="OK390"/>
      <c r="OL390"/>
      <c r="OM390"/>
      <c r="ON390"/>
      <c r="OO390"/>
      <c r="OP390"/>
      <c r="OQ390"/>
      <c r="OR390"/>
      <c r="OS390"/>
      <c r="OT390"/>
      <c r="OU390"/>
      <c r="OV390"/>
      <c r="OW390"/>
      <c r="OX390"/>
      <c r="OY390"/>
      <c r="OZ390"/>
      <c r="PA390"/>
      <c r="PB390"/>
      <c r="PC390"/>
      <c r="PD390"/>
      <c r="PE390"/>
      <c r="PF390"/>
      <c r="PG390"/>
      <c r="PH390"/>
      <c r="PI390"/>
      <c r="PJ390"/>
      <c r="PK390"/>
      <c r="PL390"/>
      <c r="PM390"/>
      <c r="PN390"/>
      <c r="PO390"/>
      <c r="PP390"/>
      <c r="PQ390"/>
      <c r="PR390"/>
      <c r="PS390"/>
      <c r="PT390"/>
      <c r="PU390"/>
      <c r="PV390"/>
      <c r="PW390"/>
      <c r="PX390"/>
      <c r="PY390"/>
      <c r="PZ390"/>
      <c r="QA390"/>
      <c r="QB390"/>
      <c r="QC390"/>
      <c r="QD390"/>
      <c r="QE390"/>
      <c r="QF390"/>
      <c r="QG390"/>
      <c r="QH390"/>
      <c r="QI390"/>
      <c r="QJ390"/>
      <c r="QK390"/>
      <c r="QL390"/>
      <c r="QM390"/>
      <c r="QN390"/>
      <c r="QO390"/>
      <c r="QP390"/>
      <c r="QQ390"/>
      <c r="QR390"/>
      <c r="QS390"/>
      <c r="QT390"/>
      <c r="QU390"/>
      <c r="QV390"/>
      <c r="QW390"/>
      <c r="QX390"/>
      <c r="QY390"/>
      <c r="QZ390"/>
      <c r="RA390"/>
      <c r="RB390"/>
      <c r="RC390"/>
      <c r="RD390"/>
      <c r="RE390"/>
      <c r="RF390"/>
      <c r="RG390"/>
      <c r="RH390"/>
      <c r="RI390"/>
      <c r="RJ390"/>
      <c r="RK390"/>
      <c r="RL390"/>
      <c r="RM390"/>
      <c r="RN390"/>
      <c r="RO390"/>
      <c r="RP390"/>
      <c r="RQ390"/>
      <c r="RR390"/>
      <c r="RS390"/>
    </row>
    <row r="391" spans="19:487" x14ac:dyDescent="0.25">
      <c r="S391"/>
      <c r="T391"/>
      <c r="U391"/>
      <c r="V391"/>
      <c r="W391"/>
      <c r="X391"/>
      <c r="Y391"/>
      <c r="Z391"/>
      <c r="AA391"/>
      <c r="AB391"/>
      <c r="AC391"/>
      <c r="AD391"/>
      <c r="AE391"/>
      <c r="AF391"/>
      <c r="AG391"/>
      <c r="AH391"/>
      <c r="AI391"/>
      <c r="AJ391"/>
      <c r="AK391"/>
      <c r="AL391"/>
      <c r="AM391"/>
      <c r="AN391"/>
      <c r="AO391"/>
      <c r="AP391"/>
      <c r="AQ391"/>
      <c r="AR391"/>
      <c r="AS391"/>
      <c r="AT391"/>
      <c r="AU391"/>
      <c r="AV391"/>
      <c r="AW391"/>
      <c r="AX391"/>
      <c r="AY391"/>
      <c r="AZ391"/>
      <c r="BA391"/>
      <c r="BB391"/>
      <c r="BC391"/>
      <c r="BD391"/>
      <c r="BE391"/>
      <c r="BF391"/>
      <c r="BG391"/>
      <c r="BH391"/>
      <c r="BI391"/>
      <c r="BJ391"/>
      <c r="BK391"/>
      <c r="BL391"/>
      <c r="BM391"/>
      <c r="BN391"/>
      <c r="BO391"/>
      <c r="BP391"/>
      <c r="BQ391"/>
      <c r="BR391"/>
      <c r="BS391"/>
      <c r="BT391"/>
      <c r="BU391"/>
      <c r="BV391"/>
      <c r="BW391"/>
      <c r="BX391"/>
      <c r="BY391"/>
      <c r="BZ391"/>
      <c r="CA391"/>
      <c r="CB391"/>
      <c r="CC391"/>
      <c r="CD391"/>
      <c r="CE391"/>
      <c r="CF391"/>
      <c r="CG391"/>
      <c r="CH391"/>
      <c r="CI391"/>
      <c r="CJ391"/>
      <c r="CK391"/>
      <c r="CL391"/>
      <c r="CM391"/>
      <c r="CN391"/>
      <c r="CO391"/>
      <c r="CP391"/>
      <c r="CQ391"/>
      <c r="CR391"/>
      <c r="CS391"/>
      <c r="CT391"/>
      <c r="CU391"/>
      <c r="CV391"/>
      <c r="CW391"/>
      <c r="CX391"/>
      <c r="CY391"/>
      <c r="CZ391"/>
      <c r="DA391"/>
      <c r="DB391"/>
      <c r="DC391"/>
      <c r="DD391"/>
      <c r="DE391"/>
      <c r="DF391"/>
      <c r="DG391"/>
      <c r="DH391"/>
      <c r="DI391"/>
      <c r="DJ391"/>
      <c r="DK391"/>
      <c r="DL391"/>
      <c r="DM391"/>
      <c r="DN391"/>
      <c r="DO391"/>
      <c r="DP391"/>
      <c r="DQ391"/>
      <c r="DR391"/>
      <c r="DS391"/>
      <c r="DT391"/>
      <c r="DU391"/>
      <c r="DV391"/>
      <c r="DW391"/>
      <c r="DX391"/>
      <c r="DY391"/>
      <c r="DZ391"/>
      <c r="EA391"/>
      <c r="EB391"/>
      <c r="EC391"/>
      <c r="ED391"/>
      <c r="EE391"/>
      <c r="EF391"/>
      <c r="EG391"/>
      <c r="EH391"/>
      <c r="EI391"/>
      <c r="EJ391"/>
      <c r="EK391"/>
      <c r="EL391"/>
      <c r="EM391"/>
      <c r="EN391"/>
      <c r="EO391"/>
      <c r="EP391"/>
      <c r="EQ391"/>
      <c r="ER391"/>
      <c r="ES391"/>
      <c r="ET391"/>
      <c r="EU391"/>
      <c r="EV391"/>
      <c r="EW391"/>
      <c r="EX391"/>
      <c r="EY391"/>
      <c r="EZ391"/>
      <c r="FA391"/>
      <c r="FB391"/>
      <c r="FC391"/>
      <c r="FD391"/>
      <c r="FE391"/>
      <c r="FF391"/>
      <c r="FG391"/>
      <c r="FH391"/>
      <c r="FI391"/>
      <c r="FJ391"/>
      <c r="FK391"/>
      <c r="FL391"/>
      <c r="FM391"/>
      <c r="FN391"/>
      <c r="FO391"/>
      <c r="FP391"/>
      <c r="FQ391"/>
      <c r="FR391"/>
      <c r="FS391"/>
      <c r="FT391"/>
      <c r="FU391"/>
      <c r="FV391"/>
      <c r="FW391"/>
      <c r="FX391"/>
      <c r="FY391"/>
      <c r="FZ391"/>
      <c r="GA391"/>
      <c r="GB391"/>
      <c r="GC391"/>
      <c r="GD391"/>
      <c r="GE391"/>
      <c r="GF391"/>
      <c r="GG391"/>
      <c r="GH391"/>
      <c r="GI391"/>
      <c r="GJ391"/>
      <c r="GK391"/>
      <c r="GL391"/>
      <c r="GM391"/>
      <c r="GN391"/>
      <c r="GO391"/>
      <c r="GP391"/>
      <c r="GQ391"/>
      <c r="GR391"/>
      <c r="GS391"/>
      <c r="GT391"/>
      <c r="GU391"/>
      <c r="GV391"/>
      <c r="GW391"/>
      <c r="GX391"/>
      <c r="GY391"/>
      <c r="GZ391"/>
      <c r="HA391"/>
      <c r="HB391"/>
      <c r="HC391"/>
      <c r="HD391"/>
      <c r="HE391"/>
      <c r="HF391"/>
      <c r="HG391"/>
      <c r="HH391"/>
      <c r="HI391"/>
      <c r="HJ391"/>
      <c r="HK391"/>
      <c r="HL391"/>
      <c r="HM391"/>
      <c r="HN391"/>
      <c r="HO391"/>
      <c r="HP391"/>
      <c r="HQ391"/>
      <c r="HR391"/>
      <c r="HS391"/>
      <c r="HT391"/>
      <c r="HU391"/>
      <c r="HV391"/>
      <c r="HW391"/>
      <c r="HX391"/>
      <c r="HY391"/>
      <c r="HZ391"/>
      <c r="IA391"/>
      <c r="IB391"/>
      <c r="IC391"/>
      <c r="ID391"/>
      <c r="IE391"/>
      <c r="IF391"/>
      <c r="IG391"/>
      <c r="IH391"/>
      <c r="II391"/>
      <c r="IJ391"/>
      <c r="IK391"/>
      <c r="IL391"/>
      <c r="IM391"/>
      <c r="IN391"/>
      <c r="IO391"/>
      <c r="IP391"/>
      <c r="IQ391"/>
      <c r="IR391"/>
      <c r="IS391"/>
      <c r="IT391"/>
      <c r="IU391"/>
      <c r="IV391"/>
      <c r="IW391"/>
      <c r="IX391"/>
      <c r="IY391"/>
      <c r="IZ391"/>
      <c r="JA391"/>
      <c r="JB391"/>
      <c r="JC391"/>
      <c r="JD391"/>
      <c r="JE391"/>
      <c r="JF391"/>
      <c r="JG391"/>
      <c r="JH391"/>
      <c r="JI391"/>
      <c r="JJ391"/>
      <c r="JK391"/>
      <c r="JL391"/>
      <c r="JM391"/>
      <c r="JN391"/>
      <c r="JO391"/>
      <c r="JP391"/>
      <c r="JQ391"/>
      <c r="JR391"/>
      <c r="JS391"/>
      <c r="JT391"/>
      <c r="JU391"/>
      <c r="JV391"/>
      <c r="JW391"/>
      <c r="JX391"/>
      <c r="JY391"/>
      <c r="JZ391"/>
      <c r="KA391"/>
      <c r="KB391"/>
      <c r="KC391"/>
      <c r="KD391"/>
      <c r="KE391"/>
      <c r="KF391"/>
      <c r="KG391"/>
      <c r="KH391"/>
      <c r="KI391"/>
      <c r="KJ391"/>
      <c r="KK391"/>
      <c r="KL391"/>
      <c r="KM391"/>
      <c r="KN391"/>
      <c r="KO391"/>
      <c r="KP391"/>
      <c r="KQ391"/>
      <c r="KR391"/>
      <c r="KS391"/>
      <c r="KT391"/>
      <c r="KU391"/>
      <c r="KV391"/>
      <c r="KW391"/>
      <c r="KX391"/>
      <c r="KY391"/>
      <c r="KZ391"/>
      <c r="LA391"/>
      <c r="LB391"/>
      <c r="LC391"/>
      <c r="LD391"/>
      <c r="LE391"/>
      <c r="LF391"/>
      <c r="LG391"/>
      <c r="LH391"/>
      <c r="LI391"/>
      <c r="LJ391"/>
      <c r="LK391"/>
      <c r="LL391"/>
      <c r="LM391"/>
      <c r="LN391"/>
      <c r="LO391"/>
      <c r="LP391"/>
      <c r="LQ391"/>
      <c r="LR391"/>
      <c r="LS391"/>
      <c r="LT391"/>
      <c r="LU391"/>
      <c r="LV391"/>
      <c r="LW391"/>
      <c r="LX391"/>
      <c r="LY391"/>
      <c r="LZ391"/>
      <c r="MA391"/>
      <c r="MB391"/>
      <c r="MC391"/>
      <c r="MD391"/>
      <c r="ME391"/>
      <c r="MF391"/>
      <c r="MG391"/>
      <c r="MH391"/>
      <c r="MI391"/>
      <c r="MJ391"/>
      <c r="MK391"/>
      <c r="ML391"/>
      <c r="MM391"/>
      <c r="MN391"/>
      <c r="MO391"/>
      <c r="MP391"/>
      <c r="MQ391"/>
      <c r="MR391"/>
      <c r="MS391"/>
      <c r="MT391"/>
      <c r="MU391"/>
      <c r="MV391"/>
      <c r="MW391"/>
      <c r="MX391"/>
      <c r="MY391"/>
      <c r="MZ391"/>
      <c r="NA391"/>
      <c r="NB391"/>
      <c r="NC391"/>
      <c r="ND391"/>
      <c r="NE391"/>
      <c r="NF391"/>
      <c r="NG391"/>
      <c r="NH391"/>
      <c r="NI391"/>
      <c r="NJ391"/>
      <c r="NK391"/>
      <c r="NL391"/>
      <c r="NM391"/>
      <c r="NN391"/>
      <c r="NO391"/>
      <c r="NP391"/>
      <c r="NQ391"/>
      <c r="NR391"/>
      <c r="NS391"/>
      <c r="NT391"/>
      <c r="NU391"/>
      <c r="NV391"/>
      <c r="NW391"/>
      <c r="NX391"/>
      <c r="NY391"/>
      <c r="NZ391"/>
      <c r="OA391"/>
      <c r="OB391"/>
      <c r="OC391"/>
      <c r="OD391"/>
      <c r="OE391"/>
      <c r="OF391"/>
      <c r="OG391"/>
      <c r="OH391"/>
      <c r="OI391"/>
      <c r="OJ391"/>
      <c r="OK391"/>
      <c r="OL391"/>
      <c r="OM391"/>
      <c r="ON391"/>
      <c r="OO391"/>
      <c r="OP391"/>
      <c r="OQ391"/>
      <c r="OR391"/>
      <c r="OS391"/>
      <c r="OT391"/>
      <c r="OU391"/>
      <c r="OV391"/>
      <c r="OW391"/>
      <c r="OX391"/>
      <c r="OY391"/>
      <c r="OZ391"/>
      <c r="PA391"/>
      <c r="PB391"/>
      <c r="PC391"/>
      <c r="PD391"/>
      <c r="PE391"/>
      <c r="PF391"/>
      <c r="PG391"/>
      <c r="PH391"/>
      <c r="PI391"/>
      <c r="PJ391"/>
      <c r="PK391"/>
      <c r="PL391"/>
      <c r="PM391"/>
      <c r="PN391"/>
      <c r="PO391"/>
      <c r="PP391"/>
      <c r="PQ391"/>
      <c r="PR391"/>
      <c r="PS391"/>
      <c r="PT391"/>
      <c r="PU391"/>
      <c r="PV391"/>
      <c r="PW391"/>
      <c r="PX391"/>
      <c r="PY391"/>
      <c r="PZ391"/>
      <c r="QA391"/>
      <c r="QB391"/>
      <c r="QC391"/>
      <c r="QD391"/>
      <c r="QE391"/>
      <c r="QF391"/>
      <c r="QG391"/>
      <c r="QH391"/>
      <c r="QI391"/>
      <c r="QJ391"/>
      <c r="QK391"/>
      <c r="QL391"/>
      <c r="QM391"/>
      <c r="QN391"/>
      <c r="QO391"/>
      <c r="QP391"/>
      <c r="QQ391"/>
      <c r="QR391"/>
      <c r="QS391"/>
      <c r="QT391"/>
      <c r="QU391"/>
      <c r="QV391"/>
      <c r="QW391"/>
      <c r="QX391"/>
      <c r="QY391"/>
      <c r="QZ391"/>
      <c r="RA391"/>
      <c r="RB391"/>
      <c r="RC391"/>
      <c r="RD391"/>
      <c r="RE391"/>
      <c r="RF391"/>
      <c r="RG391"/>
      <c r="RH391"/>
      <c r="RI391"/>
      <c r="RJ391"/>
      <c r="RK391"/>
      <c r="RL391"/>
      <c r="RM391"/>
      <c r="RN391"/>
      <c r="RO391"/>
      <c r="RP391"/>
      <c r="RQ391"/>
      <c r="RR391"/>
      <c r="RS391"/>
    </row>
    <row r="392" spans="19:487" x14ac:dyDescent="0.25">
      <c r="S392"/>
      <c r="T392"/>
      <c r="U392"/>
      <c r="V392"/>
      <c r="W392"/>
      <c r="X392"/>
      <c r="Y392"/>
      <c r="Z392"/>
      <c r="AA392"/>
      <c r="AB392"/>
      <c r="AC392"/>
      <c r="AD392"/>
      <c r="AE392"/>
      <c r="AF392"/>
      <c r="AG392"/>
      <c r="AH392"/>
      <c r="AI392"/>
      <c r="AJ392"/>
      <c r="AK392"/>
      <c r="AL392"/>
      <c r="AM392"/>
      <c r="AN392"/>
      <c r="AO392"/>
      <c r="AP392"/>
      <c r="AQ392"/>
      <c r="AR392"/>
      <c r="AS392"/>
      <c r="AT392"/>
      <c r="AU392"/>
      <c r="AV392"/>
      <c r="AW392"/>
      <c r="AX392"/>
      <c r="AY392"/>
      <c r="AZ392"/>
      <c r="BA392"/>
      <c r="BB392"/>
      <c r="BC392"/>
      <c r="BD392"/>
      <c r="BE392"/>
      <c r="BF392"/>
      <c r="BG392"/>
      <c r="BH392"/>
      <c r="BI392"/>
      <c r="BJ392"/>
      <c r="BK392"/>
      <c r="BL392"/>
      <c r="BM392"/>
      <c r="BN392"/>
      <c r="BO392"/>
      <c r="BP392"/>
      <c r="BQ392"/>
      <c r="BR392"/>
      <c r="BS392"/>
      <c r="BT392"/>
      <c r="BU392"/>
      <c r="BV392"/>
      <c r="BW392"/>
      <c r="BX392"/>
      <c r="BY392"/>
      <c r="BZ392"/>
      <c r="CA392"/>
      <c r="CB392"/>
      <c r="CC392"/>
      <c r="CD392"/>
      <c r="CE392"/>
      <c r="CF392"/>
      <c r="CG392"/>
      <c r="CH392"/>
      <c r="CI392"/>
      <c r="CJ392"/>
      <c r="CK392"/>
      <c r="CL392"/>
      <c r="CM392"/>
      <c r="CN392"/>
      <c r="CO392"/>
      <c r="CP392"/>
      <c r="CQ392"/>
      <c r="CR392"/>
      <c r="CS392"/>
      <c r="CT392"/>
      <c r="CU392"/>
      <c r="CV392"/>
      <c r="CW392"/>
      <c r="CX392"/>
      <c r="CY392"/>
      <c r="CZ392"/>
      <c r="DA392"/>
      <c r="DB392"/>
      <c r="DC392"/>
      <c r="DD392"/>
      <c r="DE392"/>
      <c r="DF392"/>
      <c r="DG392"/>
      <c r="DH392"/>
      <c r="DI392"/>
      <c r="DJ392"/>
      <c r="DK392"/>
      <c r="DL392"/>
      <c r="DM392"/>
      <c r="DN392"/>
      <c r="DO392"/>
      <c r="DP392"/>
      <c r="DQ392"/>
      <c r="DR392"/>
      <c r="DS392"/>
      <c r="DT392"/>
      <c r="DU392"/>
      <c r="DV392"/>
      <c r="DW392"/>
      <c r="DX392"/>
      <c r="DY392"/>
      <c r="DZ392"/>
      <c r="EA392"/>
      <c r="EB392"/>
      <c r="EC392"/>
      <c r="ED392"/>
      <c r="EE392"/>
      <c r="EF392"/>
      <c r="EG392"/>
      <c r="EH392"/>
      <c r="EI392"/>
      <c r="EJ392"/>
      <c r="EK392"/>
      <c r="EL392"/>
      <c r="EM392"/>
      <c r="EN392"/>
      <c r="EO392"/>
      <c r="EP392"/>
      <c r="EQ392"/>
      <c r="ER392"/>
      <c r="ES392"/>
      <c r="ET392"/>
      <c r="EU392"/>
      <c r="EV392"/>
      <c r="EW392"/>
      <c r="EX392"/>
      <c r="EY392"/>
      <c r="EZ392"/>
      <c r="FA392"/>
      <c r="FB392"/>
      <c r="FC392"/>
      <c r="FD392"/>
      <c r="FE392"/>
      <c r="FF392"/>
      <c r="FG392"/>
      <c r="FH392"/>
      <c r="FI392"/>
      <c r="FJ392"/>
      <c r="FK392"/>
      <c r="FL392"/>
      <c r="FM392"/>
      <c r="FN392"/>
      <c r="FO392"/>
      <c r="FP392"/>
      <c r="FQ392"/>
      <c r="FR392"/>
      <c r="FS392"/>
      <c r="FT392"/>
      <c r="FU392"/>
      <c r="FV392"/>
      <c r="FW392"/>
      <c r="FX392"/>
      <c r="FY392"/>
      <c r="FZ392"/>
      <c r="GA392"/>
      <c r="GB392"/>
      <c r="GC392"/>
      <c r="GD392"/>
      <c r="GE392"/>
      <c r="GF392"/>
      <c r="GG392"/>
      <c r="GH392"/>
      <c r="GI392"/>
      <c r="GJ392"/>
      <c r="GK392"/>
      <c r="GL392"/>
      <c r="GM392"/>
      <c r="GN392"/>
      <c r="GO392"/>
      <c r="GP392"/>
      <c r="GQ392"/>
      <c r="GR392"/>
      <c r="GS392"/>
      <c r="GT392"/>
      <c r="GU392"/>
      <c r="GV392"/>
      <c r="GW392"/>
      <c r="GX392"/>
      <c r="GY392"/>
      <c r="GZ392"/>
      <c r="HA392"/>
      <c r="HB392"/>
      <c r="HC392"/>
      <c r="HD392"/>
      <c r="HE392"/>
      <c r="HF392"/>
      <c r="HG392"/>
      <c r="HH392"/>
      <c r="HI392"/>
      <c r="HJ392"/>
      <c r="HK392"/>
      <c r="HL392"/>
      <c r="HM392"/>
      <c r="HN392"/>
      <c r="HO392"/>
      <c r="HP392"/>
      <c r="HQ392"/>
      <c r="HR392"/>
      <c r="HS392"/>
      <c r="HT392"/>
      <c r="HU392"/>
      <c r="HV392"/>
      <c r="HW392"/>
      <c r="HX392"/>
      <c r="HY392"/>
      <c r="HZ392"/>
      <c r="IA392"/>
      <c r="IB392"/>
      <c r="IC392"/>
      <c r="ID392"/>
      <c r="IE392"/>
      <c r="IF392"/>
      <c r="IG392"/>
      <c r="IH392"/>
      <c r="II392"/>
      <c r="IJ392"/>
      <c r="IK392"/>
      <c r="IL392"/>
      <c r="IM392"/>
      <c r="IN392"/>
      <c r="IO392"/>
      <c r="IP392"/>
      <c r="IQ392"/>
      <c r="IR392"/>
      <c r="IS392"/>
      <c r="IT392"/>
      <c r="IU392"/>
      <c r="IV392"/>
      <c r="IW392"/>
      <c r="IX392"/>
      <c r="IY392"/>
      <c r="IZ392"/>
      <c r="JA392"/>
      <c r="JB392"/>
      <c r="JC392"/>
      <c r="JD392"/>
      <c r="JE392"/>
      <c r="JF392"/>
      <c r="JG392"/>
      <c r="JH392"/>
      <c r="JI392"/>
      <c r="JJ392"/>
      <c r="JK392"/>
      <c r="JL392"/>
      <c r="JM392"/>
      <c r="JN392"/>
      <c r="JO392"/>
      <c r="JP392"/>
      <c r="JQ392"/>
      <c r="JR392"/>
      <c r="JS392"/>
      <c r="JT392"/>
      <c r="JU392"/>
      <c r="JV392"/>
      <c r="JW392"/>
      <c r="JX392"/>
      <c r="JY392"/>
      <c r="JZ392"/>
      <c r="KA392"/>
      <c r="KB392"/>
      <c r="KC392"/>
      <c r="KD392"/>
      <c r="KE392"/>
      <c r="KF392"/>
      <c r="KG392"/>
      <c r="KH392"/>
      <c r="KI392"/>
      <c r="KJ392"/>
      <c r="KK392"/>
      <c r="KL392"/>
      <c r="KM392"/>
      <c r="KN392"/>
      <c r="KO392"/>
      <c r="KP392"/>
      <c r="KQ392"/>
      <c r="KR392"/>
      <c r="KS392"/>
      <c r="KT392"/>
      <c r="KU392"/>
      <c r="KV392"/>
      <c r="KW392"/>
      <c r="KX392"/>
      <c r="KY392"/>
      <c r="KZ392"/>
      <c r="LA392"/>
      <c r="LB392"/>
      <c r="LC392"/>
      <c r="LD392"/>
      <c r="LE392"/>
      <c r="LF392"/>
      <c r="LG392"/>
      <c r="LH392"/>
      <c r="LI392"/>
      <c r="LJ392"/>
      <c r="LK392"/>
      <c r="LL392"/>
      <c r="LM392"/>
      <c r="LN392"/>
      <c r="LO392"/>
      <c r="LP392"/>
      <c r="LQ392"/>
      <c r="LR392"/>
      <c r="LS392"/>
      <c r="LT392"/>
      <c r="LU392"/>
      <c r="LV392"/>
      <c r="LW392"/>
      <c r="LX392"/>
      <c r="LY392"/>
      <c r="LZ392"/>
      <c r="MA392"/>
      <c r="MB392"/>
      <c r="MC392"/>
      <c r="MD392"/>
      <c r="ME392"/>
      <c r="MF392"/>
      <c r="MG392"/>
      <c r="MH392"/>
      <c r="MI392"/>
      <c r="MJ392"/>
      <c r="MK392"/>
      <c r="ML392"/>
      <c r="MM392"/>
      <c r="MN392"/>
      <c r="MO392"/>
      <c r="MP392"/>
      <c r="MQ392"/>
      <c r="MR392"/>
      <c r="MS392"/>
      <c r="MT392"/>
      <c r="MU392"/>
      <c r="MV392"/>
      <c r="MW392"/>
      <c r="MX392"/>
      <c r="MY392"/>
      <c r="MZ392"/>
      <c r="NA392"/>
      <c r="NB392"/>
      <c r="NC392"/>
      <c r="ND392"/>
      <c r="NE392"/>
      <c r="NF392"/>
      <c r="NG392"/>
      <c r="NH392"/>
      <c r="NI392"/>
      <c r="NJ392"/>
      <c r="NK392"/>
      <c r="NL392"/>
      <c r="NM392"/>
      <c r="NN392"/>
      <c r="NO392"/>
      <c r="NP392"/>
      <c r="NQ392"/>
      <c r="NR392"/>
      <c r="NS392"/>
      <c r="NT392"/>
      <c r="NU392"/>
      <c r="NV392"/>
      <c r="NW392"/>
      <c r="NX392"/>
      <c r="NY392"/>
      <c r="NZ392"/>
      <c r="OA392"/>
      <c r="OB392"/>
      <c r="OC392"/>
      <c r="OD392"/>
      <c r="OE392"/>
      <c r="OF392"/>
      <c r="OG392"/>
      <c r="OH392"/>
      <c r="OI392"/>
      <c r="OJ392"/>
      <c r="OK392"/>
      <c r="OL392"/>
      <c r="OM392"/>
      <c r="ON392"/>
      <c r="OO392"/>
      <c r="OP392"/>
      <c r="OQ392"/>
      <c r="OR392"/>
      <c r="OS392"/>
      <c r="OT392"/>
      <c r="OU392"/>
      <c r="OV392"/>
      <c r="OW392"/>
      <c r="OX392"/>
      <c r="OY392"/>
      <c r="OZ392"/>
      <c r="PA392"/>
      <c r="PB392"/>
      <c r="PC392"/>
      <c r="PD392"/>
      <c r="PE392"/>
      <c r="PF392"/>
      <c r="PG392"/>
      <c r="PH392"/>
      <c r="PI392"/>
      <c r="PJ392"/>
      <c r="PK392"/>
      <c r="PL392"/>
      <c r="PM392"/>
      <c r="PN392"/>
      <c r="PO392"/>
      <c r="PP392"/>
      <c r="PQ392"/>
      <c r="PR392"/>
      <c r="PS392"/>
      <c r="PT392"/>
      <c r="PU392"/>
      <c r="PV392"/>
      <c r="PW392"/>
      <c r="PX392"/>
      <c r="PY392"/>
      <c r="PZ392"/>
      <c r="QA392"/>
      <c r="QB392"/>
      <c r="QC392"/>
      <c r="QD392"/>
      <c r="QE392"/>
      <c r="QF392"/>
      <c r="QG392"/>
      <c r="QH392"/>
      <c r="QI392"/>
      <c r="QJ392"/>
      <c r="QK392"/>
      <c r="QL392"/>
      <c r="QM392"/>
      <c r="QN392"/>
      <c r="QO392"/>
      <c r="QP392"/>
      <c r="QQ392"/>
      <c r="QR392"/>
      <c r="QS392"/>
      <c r="QT392"/>
      <c r="QU392"/>
      <c r="QV392"/>
      <c r="QW392"/>
      <c r="QX392"/>
      <c r="QY392"/>
      <c r="QZ392"/>
      <c r="RA392"/>
      <c r="RB392"/>
      <c r="RC392"/>
      <c r="RD392"/>
      <c r="RE392"/>
      <c r="RF392"/>
      <c r="RG392"/>
      <c r="RH392"/>
      <c r="RI392"/>
      <c r="RJ392"/>
      <c r="RK392"/>
      <c r="RL392"/>
      <c r="RM392"/>
      <c r="RN392"/>
      <c r="RO392"/>
      <c r="RP392"/>
      <c r="RQ392"/>
      <c r="RR392"/>
      <c r="RS392"/>
    </row>
    <row r="393" spans="19:487" x14ac:dyDescent="0.25">
      <c r="S393"/>
      <c r="T393"/>
      <c r="U393"/>
      <c r="V393"/>
      <c r="W393"/>
      <c r="X393"/>
      <c r="Y393"/>
      <c r="Z393"/>
      <c r="AA393"/>
      <c r="AB393"/>
      <c r="AC393"/>
      <c r="AD393"/>
      <c r="AE393"/>
      <c r="AF393"/>
      <c r="AG393"/>
      <c r="AH393"/>
      <c r="AI393"/>
      <c r="AJ393"/>
      <c r="AK393"/>
      <c r="AL393"/>
      <c r="AM393"/>
      <c r="AN393"/>
      <c r="AO393"/>
      <c r="AP393"/>
      <c r="AQ393"/>
      <c r="AR393"/>
      <c r="AS393"/>
      <c r="AT393"/>
      <c r="AU393"/>
      <c r="AV393"/>
      <c r="AW393"/>
      <c r="AX393"/>
      <c r="AY393"/>
      <c r="AZ393"/>
      <c r="BA393"/>
      <c r="BB393"/>
      <c r="BC393"/>
      <c r="BD393"/>
      <c r="BE393"/>
      <c r="BF393"/>
      <c r="BG393"/>
      <c r="BH393"/>
      <c r="BI393"/>
      <c r="BJ393"/>
      <c r="BK393"/>
      <c r="BL393"/>
      <c r="BM393"/>
      <c r="BN393"/>
      <c r="BO393"/>
      <c r="BP393"/>
      <c r="BQ393"/>
      <c r="BR393"/>
      <c r="BS393"/>
      <c r="BT393"/>
      <c r="BU393"/>
      <c r="BV393"/>
      <c r="BW393"/>
      <c r="BX393"/>
      <c r="BY393"/>
      <c r="BZ393"/>
      <c r="CA393"/>
      <c r="CB393"/>
      <c r="CC393"/>
      <c r="CD393"/>
      <c r="CE393"/>
      <c r="CF393"/>
      <c r="CG393"/>
      <c r="CH393"/>
      <c r="CI393"/>
      <c r="CJ393"/>
      <c r="CK393"/>
      <c r="CL393"/>
      <c r="CM393"/>
      <c r="CN393"/>
      <c r="CO393"/>
      <c r="CP393"/>
      <c r="CQ393"/>
      <c r="CR393"/>
      <c r="CS393"/>
      <c r="CT393"/>
      <c r="CU393"/>
      <c r="CV393"/>
      <c r="CW393"/>
      <c r="CX393"/>
      <c r="CY393"/>
      <c r="CZ393"/>
      <c r="DA393"/>
      <c r="DB393"/>
      <c r="DC393"/>
      <c r="DD393"/>
      <c r="DE393"/>
      <c r="DF393"/>
      <c r="DG393"/>
      <c r="DH393"/>
      <c r="DI393"/>
      <c r="DJ393"/>
      <c r="DK393"/>
      <c r="DL393"/>
      <c r="DM393"/>
      <c r="DN393"/>
      <c r="DO393"/>
      <c r="DP393"/>
      <c r="DQ393"/>
      <c r="DR393"/>
      <c r="DS393"/>
      <c r="DT393"/>
      <c r="DU393"/>
      <c r="DV393"/>
      <c r="DW393"/>
      <c r="DX393"/>
      <c r="DY393"/>
      <c r="DZ393"/>
      <c r="EA393"/>
      <c r="EB393"/>
      <c r="EC393"/>
      <c r="ED393"/>
      <c r="EE393"/>
      <c r="EF393"/>
      <c r="EG393"/>
      <c r="EH393"/>
      <c r="EI393"/>
      <c r="EJ393"/>
      <c r="EK393"/>
      <c r="EL393"/>
      <c r="EM393"/>
      <c r="EN393"/>
      <c r="EO393"/>
      <c r="EP393"/>
      <c r="EQ393"/>
      <c r="ER393"/>
      <c r="ES393"/>
      <c r="ET393"/>
      <c r="EU393"/>
      <c r="EV393"/>
      <c r="EW393"/>
      <c r="EX393"/>
      <c r="EY393"/>
      <c r="EZ393"/>
      <c r="FA393"/>
      <c r="FB393"/>
      <c r="FC393"/>
      <c r="FD393"/>
      <c r="FE393"/>
      <c r="FF393"/>
      <c r="FG393"/>
      <c r="FH393"/>
      <c r="FI393"/>
      <c r="FJ393"/>
      <c r="FK393"/>
      <c r="FL393"/>
      <c r="FM393"/>
      <c r="FN393"/>
      <c r="FO393"/>
      <c r="FP393"/>
      <c r="FQ393"/>
      <c r="FR393"/>
      <c r="FS393"/>
      <c r="FT393"/>
      <c r="FU393"/>
      <c r="FV393"/>
      <c r="FW393"/>
      <c r="FX393"/>
      <c r="FY393"/>
      <c r="FZ393"/>
      <c r="GA393"/>
      <c r="GB393"/>
      <c r="GC393"/>
      <c r="GD393"/>
      <c r="GE393"/>
      <c r="GF393"/>
      <c r="GG393"/>
      <c r="GH393"/>
      <c r="GI393"/>
      <c r="GJ393"/>
      <c r="GK393"/>
      <c r="GL393"/>
      <c r="GM393"/>
      <c r="GN393"/>
      <c r="GO393"/>
      <c r="GP393"/>
      <c r="GQ393"/>
      <c r="GR393"/>
      <c r="GS393"/>
      <c r="GT393"/>
      <c r="GU393"/>
      <c r="GV393"/>
      <c r="GW393"/>
      <c r="GX393"/>
      <c r="GY393"/>
      <c r="GZ393"/>
      <c r="HA393"/>
      <c r="HB393"/>
      <c r="HC393"/>
      <c r="HD393"/>
      <c r="HE393"/>
      <c r="HF393"/>
      <c r="HG393"/>
      <c r="HH393"/>
      <c r="HI393"/>
      <c r="HJ393"/>
      <c r="HK393"/>
      <c r="HL393"/>
      <c r="HM393"/>
      <c r="HN393"/>
      <c r="HO393"/>
      <c r="HP393"/>
      <c r="HQ393"/>
      <c r="HR393"/>
      <c r="HS393"/>
      <c r="HT393"/>
      <c r="HU393"/>
      <c r="HV393"/>
      <c r="HW393"/>
      <c r="HX393"/>
      <c r="HY393"/>
      <c r="HZ393"/>
      <c r="IA393"/>
      <c r="IB393"/>
      <c r="IC393"/>
      <c r="ID393"/>
      <c r="IE393"/>
      <c r="IF393"/>
      <c r="IG393"/>
      <c r="IH393"/>
      <c r="II393"/>
      <c r="IJ393"/>
      <c r="IK393"/>
      <c r="IL393"/>
      <c r="IM393"/>
      <c r="IN393"/>
      <c r="IO393"/>
      <c r="IP393"/>
      <c r="IQ393"/>
      <c r="IR393"/>
      <c r="IS393"/>
      <c r="IT393"/>
      <c r="IU393"/>
      <c r="IV393"/>
      <c r="IW393"/>
      <c r="IX393"/>
      <c r="IY393"/>
      <c r="IZ393"/>
      <c r="JA393"/>
      <c r="JB393"/>
      <c r="JC393"/>
      <c r="JD393"/>
      <c r="JE393"/>
      <c r="JF393"/>
      <c r="JG393"/>
      <c r="JH393"/>
      <c r="JI393"/>
      <c r="JJ393"/>
      <c r="JK393"/>
      <c r="JL393"/>
      <c r="JM393"/>
      <c r="JN393"/>
      <c r="JO393"/>
      <c r="JP393"/>
      <c r="JQ393"/>
      <c r="JR393"/>
      <c r="JS393"/>
      <c r="JT393"/>
      <c r="JU393"/>
      <c r="JV393"/>
      <c r="JW393"/>
      <c r="JX393"/>
      <c r="JY393"/>
      <c r="JZ393"/>
      <c r="KA393"/>
      <c r="KB393"/>
      <c r="KC393"/>
      <c r="KD393"/>
      <c r="KE393"/>
      <c r="KF393"/>
      <c r="KG393"/>
      <c r="KH393"/>
      <c r="KI393"/>
      <c r="KJ393"/>
      <c r="KK393"/>
      <c r="KL393"/>
      <c r="KM393"/>
      <c r="KN393"/>
      <c r="KO393"/>
      <c r="KP393"/>
      <c r="KQ393"/>
      <c r="KR393"/>
      <c r="KS393"/>
      <c r="KT393"/>
      <c r="KU393"/>
      <c r="KV393"/>
      <c r="KW393"/>
      <c r="KX393"/>
      <c r="KY393"/>
      <c r="KZ393"/>
      <c r="LA393"/>
      <c r="LB393"/>
      <c r="LC393"/>
      <c r="LD393"/>
      <c r="LE393"/>
      <c r="LF393"/>
      <c r="LG393"/>
      <c r="LH393"/>
      <c r="LI393"/>
      <c r="LJ393"/>
      <c r="LK393"/>
      <c r="LL393"/>
      <c r="LM393"/>
      <c r="LN393"/>
      <c r="LO393"/>
      <c r="LP393"/>
      <c r="LQ393"/>
      <c r="LR393"/>
      <c r="LS393"/>
      <c r="LT393"/>
      <c r="LU393"/>
      <c r="LV393"/>
      <c r="LW393"/>
      <c r="LX393"/>
      <c r="LY393"/>
      <c r="LZ393"/>
      <c r="MA393"/>
      <c r="MB393"/>
      <c r="MC393"/>
      <c r="MD393"/>
      <c r="ME393"/>
      <c r="MF393"/>
      <c r="MG393"/>
      <c r="MH393"/>
      <c r="MI393"/>
      <c r="MJ393"/>
      <c r="MK393"/>
      <c r="ML393"/>
      <c r="MM393"/>
      <c r="MN393"/>
      <c r="MO393"/>
      <c r="MP393"/>
      <c r="MQ393"/>
      <c r="MR393"/>
      <c r="MS393"/>
      <c r="MT393"/>
      <c r="MU393"/>
      <c r="MV393"/>
      <c r="MW393"/>
      <c r="MX393"/>
      <c r="MY393"/>
      <c r="MZ393"/>
      <c r="NA393"/>
      <c r="NB393"/>
      <c r="NC393"/>
      <c r="ND393"/>
      <c r="NE393"/>
      <c r="NF393"/>
      <c r="NG393"/>
      <c r="NH393"/>
      <c r="NI393"/>
      <c r="NJ393"/>
      <c r="NK393"/>
      <c r="NL393"/>
      <c r="NM393"/>
      <c r="NN393"/>
      <c r="NO393"/>
      <c r="NP393"/>
      <c r="NQ393"/>
      <c r="NR393"/>
      <c r="NS393"/>
      <c r="NT393"/>
      <c r="NU393"/>
      <c r="NV393"/>
      <c r="NW393"/>
      <c r="NX393"/>
      <c r="NY393"/>
      <c r="NZ393"/>
      <c r="OA393"/>
      <c r="OB393"/>
      <c r="OC393"/>
      <c r="OD393"/>
      <c r="OE393"/>
      <c r="OF393"/>
      <c r="OG393"/>
      <c r="OH393"/>
      <c r="OI393"/>
      <c r="OJ393"/>
      <c r="OK393"/>
      <c r="OL393"/>
      <c r="OM393"/>
      <c r="ON393"/>
      <c r="OO393"/>
      <c r="OP393"/>
      <c r="OQ393"/>
      <c r="OR393"/>
      <c r="OS393"/>
      <c r="OT393"/>
      <c r="OU393"/>
      <c r="OV393"/>
      <c r="OW393"/>
      <c r="OX393"/>
      <c r="OY393"/>
      <c r="OZ393"/>
      <c r="PA393"/>
      <c r="PB393"/>
      <c r="PC393"/>
      <c r="PD393"/>
      <c r="PE393"/>
      <c r="PF393"/>
      <c r="PG393"/>
      <c r="PH393"/>
      <c r="PI393"/>
      <c r="PJ393"/>
      <c r="PK393"/>
      <c r="PL393"/>
      <c r="PM393"/>
      <c r="PN393"/>
      <c r="PO393"/>
      <c r="PP393"/>
      <c r="PQ393"/>
      <c r="PR393"/>
      <c r="PS393"/>
      <c r="PT393"/>
      <c r="PU393"/>
      <c r="PV393"/>
      <c r="PW393"/>
      <c r="PX393"/>
      <c r="PY393"/>
      <c r="PZ393"/>
      <c r="QA393"/>
      <c r="QB393"/>
      <c r="QC393"/>
      <c r="QD393"/>
      <c r="QE393"/>
      <c r="QF393"/>
      <c r="QG393"/>
      <c r="QH393"/>
      <c r="QI393"/>
      <c r="QJ393"/>
      <c r="QK393"/>
      <c r="QL393"/>
      <c r="QM393"/>
      <c r="QN393"/>
      <c r="QO393"/>
      <c r="QP393"/>
      <c r="QQ393"/>
      <c r="QR393"/>
      <c r="QS393"/>
      <c r="QT393"/>
      <c r="QU393"/>
      <c r="QV393"/>
      <c r="QW393"/>
      <c r="QX393"/>
      <c r="QY393"/>
      <c r="QZ393"/>
      <c r="RA393"/>
      <c r="RB393"/>
      <c r="RC393"/>
      <c r="RD393"/>
      <c r="RE393"/>
      <c r="RF393"/>
      <c r="RG393"/>
      <c r="RH393"/>
      <c r="RI393"/>
      <c r="RJ393"/>
      <c r="RK393"/>
      <c r="RL393"/>
      <c r="RM393"/>
      <c r="RN393"/>
      <c r="RO393"/>
      <c r="RP393"/>
      <c r="RQ393"/>
      <c r="RR393"/>
      <c r="RS393"/>
    </row>
    <row r="394" spans="19:487" x14ac:dyDescent="0.25">
      <c r="S394"/>
      <c r="T394"/>
      <c r="U394"/>
      <c r="V394"/>
      <c r="W394"/>
      <c r="X394"/>
      <c r="Y394"/>
      <c r="Z394"/>
      <c r="AA394"/>
      <c r="AB394"/>
      <c r="AC394"/>
      <c r="AD394"/>
      <c r="AE394"/>
      <c r="AF394"/>
      <c r="AG394"/>
      <c r="AH394"/>
      <c r="AI394"/>
      <c r="AJ394"/>
      <c r="AK394"/>
      <c r="AL394"/>
      <c r="AM394"/>
      <c r="AN394"/>
      <c r="AO394"/>
      <c r="AP394"/>
      <c r="AQ394"/>
      <c r="AR394"/>
      <c r="AS394"/>
      <c r="AT394"/>
      <c r="AU394"/>
      <c r="AV394"/>
      <c r="AW394"/>
      <c r="AX394"/>
      <c r="AY394"/>
      <c r="AZ394"/>
      <c r="BA394"/>
      <c r="BB394"/>
      <c r="BC394"/>
      <c r="BD394"/>
      <c r="BE394"/>
      <c r="BF394"/>
      <c r="BG394"/>
      <c r="BH394"/>
      <c r="BI394"/>
      <c r="BJ394"/>
      <c r="BK394"/>
      <c r="BL394"/>
      <c r="BM394"/>
      <c r="BN394"/>
      <c r="BO394"/>
      <c r="BP394"/>
      <c r="BQ394"/>
      <c r="BR394"/>
      <c r="BS394"/>
      <c r="BT394"/>
      <c r="BU394"/>
      <c r="BV394"/>
      <c r="BW394"/>
      <c r="BX394"/>
      <c r="BY394"/>
      <c r="BZ394"/>
      <c r="CA394"/>
      <c r="CB394"/>
      <c r="CC394"/>
      <c r="CD394"/>
      <c r="CE394"/>
      <c r="CF394"/>
      <c r="CG394"/>
      <c r="CH394"/>
      <c r="CI394"/>
      <c r="CJ394"/>
      <c r="CK394"/>
      <c r="CL394"/>
      <c r="CM394"/>
      <c r="CN394"/>
      <c r="CO394"/>
      <c r="CP394"/>
      <c r="CQ394"/>
      <c r="CR394"/>
      <c r="CS394"/>
      <c r="CT394"/>
      <c r="CU394"/>
      <c r="CV394"/>
      <c r="CW394"/>
      <c r="CX394"/>
      <c r="CY394"/>
      <c r="CZ394"/>
      <c r="DA394"/>
      <c r="DB394"/>
      <c r="DC394"/>
      <c r="DD394"/>
      <c r="DE394"/>
      <c r="DF394"/>
      <c r="DG394"/>
      <c r="DH394"/>
      <c r="DI394"/>
      <c r="DJ394"/>
      <c r="DK394"/>
      <c r="DL394"/>
      <c r="DM394"/>
      <c r="DN394"/>
      <c r="DO394"/>
      <c r="DP394"/>
      <c r="DQ394"/>
      <c r="DR394"/>
      <c r="DS394"/>
      <c r="DT394"/>
      <c r="DU394"/>
      <c r="DV394"/>
      <c r="DW394"/>
      <c r="DX394"/>
      <c r="DY394"/>
      <c r="DZ394"/>
      <c r="EA394"/>
      <c r="EB394"/>
      <c r="EC394"/>
      <c r="ED394"/>
      <c r="EE394"/>
      <c r="EF394"/>
      <c r="EG394"/>
      <c r="EH394"/>
      <c r="EI394"/>
      <c r="EJ394"/>
      <c r="EK394"/>
      <c r="EL394"/>
      <c r="EM394"/>
      <c r="EN394"/>
      <c r="EO394"/>
      <c r="EP394"/>
      <c r="EQ394"/>
      <c r="ER394"/>
      <c r="ES394"/>
      <c r="ET394"/>
      <c r="EU394"/>
      <c r="EV394"/>
      <c r="EW394"/>
      <c r="EX394"/>
      <c r="EY394"/>
      <c r="EZ394"/>
      <c r="FA394"/>
      <c r="FB394"/>
      <c r="FC394"/>
      <c r="FD394"/>
      <c r="FE394"/>
      <c r="FF394"/>
      <c r="FG394"/>
      <c r="FH394"/>
      <c r="FI394"/>
      <c r="FJ394"/>
      <c r="FK394"/>
      <c r="FL394"/>
      <c r="FM394"/>
      <c r="FN394"/>
      <c r="FO394"/>
      <c r="FP394"/>
      <c r="FQ394"/>
      <c r="FR394"/>
      <c r="FS394"/>
      <c r="FT394"/>
      <c r="FU394"/>
      <c r="FV394"/>
      <c r="FW394"/>
      <c r="FX394"/>
      <c r="FY394"/>
      <c r="FZ394"/>
      <c r="GA394"/>
      <c r="GB394"/>
      <c r="GC394"/>
      <c r="GD394"/>
      <c r="GE394"/>
      <c r="GF394"/>
      <c r="GG394"/>
      <c r="GH394"/>
      <c r="GI394"/>
      <c r="GJ394"/>
      <c r="GK394"/>
      <c r="GL394"/>
      <c r="GM394"/>
      <c r="GN394"/>
      <c r="GO394"/>
      <c r="GP394"/>
      <c r="GQ394"/>
      <c r="GR394"/>
      <c r="GS394"/>
      <c r="GT394"/>
      <c r="GU394"/>
      <c r="GV394"/>
      <c r="GW394"/>
      <c r="GX394"/>
      <c r="GY394"/>
      <c r="GZ394"/>
      <c r="HA394"/>
      <c r="HB394"/>
      <c r="HC394"/>
      <c r="HD394"/>
      <c r="HE394"/>
      <c r="HF394"/>
      <c r="HG394"/>
      <c r="HH394"/>
      <c r="HI394"/>
      <c r="HJ394"/>
      <c r="HK394"/>
      <c r="HL394"/>
      <c r="HM394"/>
      <c r="HN394"/>
      <c r="HO394"/>
      <c r="HP394"/>
      <c r="HQ394"/>
      <c r="HR394"/>
      <c r="HS394"/>
      <c r="HT394"/>
      <c r="HU394"/>
      <c r="HV394"/>
      <c r="HW394"/>
      <c r="HX394"/>
      <c r="HY394"/>
      <c r="HZ394"/>
      <c r="IA394"/>
      <c r="IB394"/>
      <c r="IC394"/>
      <c r="ID394"/>
      <c r="IE394"/>
      <c r="IF394"/>
      <c r="IG394"/>
      <c r="IH394"/>
      <c r="II394"/>
      <c r="IJ394"/>
      <c r="IK394"/>
      <c r="IL394"/>
      <c r="IM394"/>
      <c r="IN394"/>
      <c r="IO394"/>
      <c r="IP394"/>
      <c r="IQ394"/>
      <c r="IR394"/>
      <c r="IS394"/>
      <c r="IT394"/>
      <c r="IU394"/>
      <c r="IV394"/>
      <c r="IW394"/>
      <c r="IX394"/>
      <c r="IY394"/>
      <c r="IZ394"/>
      <c r="JA394"/>
      <c r="JB394"/>
      <c r="JC394"/>
      <c r="JD394"/>
      <c r="JE394"/>
      <c r="JF394"/>
      <c r="JG394"/>
      <c r="JH394"/>
      <c r="JI394"/>
      <c r="JJ394"/>
      <c r="JK394"/>
      <c r="JL394"/>
      <c r="JM394"/>
      <c r="JN394"/>
      <c r="JO394"/>
      <c r="JP394"/>
      <c r="JQ394"/>
      <c r="JR394"/>
      <c r="JS394"/>
      <c r="JT394"/>
      <c r="JU394"/>
      <c r="JV394"/>
      <c r="JW394"/>
      <c r="JX394"/>
      <c r="JY394"/>
      <c r="JZ394"/>
      <c r="KA394"/>
      <c r="KB394"/>
      <c r="KC394"/>
      <c r="KD394"/>
      <c r="KE394"/>
      <c r="KF394"/>
      <c r="KG394"/>
      <c r="KH394"/>
      <c r="KI394"/>
      <c r="KJ394"/>
      <c r="KK394"/>
      <c r="KL394"/>
      <c r="KM394"/>
      <c r="KN394"/>
      <c r="KO394"/>
      <c r="KP394"/>
      <c r="KQ394"/>
      <c r="KR394"/>
      <c r="KS394"/>
      <c r="KT394"/>
      <c r="KU394"/>
      <c r="KV394"/>
      <c r="KW394"/>
      <c r="KX394"/>
      <c r="KY394"/>
      <c r="KZ394"/>
      <c r="LA394"/>
      <c r="LB394"/>
      <c r="LC394"/>
      <c r="LD394"/>
      <c r="LE394"/>
      <c r="LF394"/>
      <c r="LG394"/>
      <c r="LH394"/>
      <c r="LI394"/>
      <c r="LJ394"/>
      <c r="LK394"/>
      <c r="LL394"/>
      <c r="LM394"/>
      <c r="LN394"/>
      <c r="LO394"/>
      <c r="LP394"/>
      <c r="LQ394"/>
      <c r="LR394"/>
      <c r="LS394"/>
      <c r="LT394"/>
      <c r="LU394"/>
      <c r="LV394"/>
      <c r="LW394"/>
      <c r="LX394"/>
      <c r="LY394"/>
      <c r="LZ394"/>
      <c r="MA394"/>
      <c r="MB394"/>
      <c r="MC394"/>
      <c r="MD394"/>
      <c r="ME394"/>
      <c r="MF394"/>
      <c r="MG394"/>
      <c r="MH394"/>
      <c r="MI394"/>
      <c r="MJ394"/>
      <c r="MK394"/>
      <c r="ML394"/>
      <c r="MM394"/>
      <c r="MN394"/>
      <c r="MO394"/>
      <c r="MP394"/>
      <c r="MQ394"/>
      <c r="MR394"/>
      <c r="MS394"/>
      <c r="MT394"/>
      <c r="MU394"/>
      <c r="MV394"/>
      <c r="MW394"/>
      <c r="MX394"/>
      <c r="MY394"/>
      <c r="MZ394"/>
      <c r="NA394"/>
      <c r="NB394"/>
      <c r="NC394"/>
      <c r="ND394"/>
      <c r="NE394"/>
      <c r="NF394"/>
      <c r="NG394"/>
      <c r="NH394"/>
      <c r="NI394"/>
      <c r="NJ394"/>
      <c r="NK394"/>
      <c r="NL394"/>
      <c r="NM394"/>
      <c r="NN394"/>
      <c r="NO394"/>
      <c r="NP394"/>
      <c r="NQ394"/>
      <c r="NR394"/>
      <c r="NS394"/>
      <c r="NT394"/>
      <c r="NU394"/>
      <c r="NV394"/>
      <c r="NW394"/>
      <c r="NX394"/>
      <c r="NY394"/>
      <c r="NZ394"/>
      <c r="OA394"/>
      <c r="OB394"/>
      <c r="OC394"/>
      <c r="OD394"/>
      <c r="OE394"/>
      <c r="OF394"/>
      <c r="OG394"/>
      <c r="OH394"/>
      <c r="OI394"/>
      <c r="OJ394"/>
      <c r="OK394"/>
      <c r="OL394"/>
      <c r="OM394"/>
      <c r="ON394"/>
      <c r="OO394"/>
      <c r="OP394"/>
      <c r="OQ394"/>
      <c r="OR394"/>
      <c r="OS394"/>
      <c r="OT394"/>
      <c r="OU394"/>
      <c r="OV394"/>
      <c r="OW394"/>
      <c r="OX394"/>
      <c r="OY394"/>
      <c r="OZ394"/>
      <c r="PA394"/>
      <c r="PB394"/>
      <c r="PC394"/>
      <c r="PD394"/>
      <c r="PE394"/>
      <c r="PF394"/>
      <c r="PG394"/>
      <c r="PH394"/>
      <c r="PI394"/>
      <c r="PJ394"/>
      <c r="PK394"/>
      <c r="PL394"/>
      <c r="PM394"/>
      <c r="PN394"/>
      <c r="PO394"/>
      <c r="PP394"/>
      <c r="PQ394"/>
      <c r="PR394"/>
      <c r="PS394"/>
      <c r="PT394"/>
      <c r="PU394"/>
      <c r="PV394"/>
      <c r="PW394"/>
      <c r="PX394"/>
      <c r="PY394"/>
      <c r="PZ394"/>
      <c r="QA394"/>
      <c r="QB394"/>
      <c r="QC394"/>
      <c r="QD394"/>
      <c r="QE394"/>
      <c r="QF394"/>
      <c r="QG394"/>
      <c r="QH394"/>
      <c r="QI394"/>
      <c r="QJ394"/>
      <c r="QK394"/>
      <c r="QL394"/>
      <c r="QM394"/>
      <c r="QN394"/>
      <c r="QO394"/>
      <c r="QP394"/>
      <c r="QQ394"/>
      <c r="QR394"/>
      <c r="QS394"/>
      <c r="QT394"/>
      <c r="QU394"/>
      <c r="QV394"/>
      <c r="QW394"/>
      <c r="QX394"/>
      <c r="QY394"/>
      <c r="QZ394"/>
      <c r="RA394"/>
      <c r="RB394"/>
      <c r="RC394"/>
      <c r="RD394"/>
      <c r="RE394"/>
      <c r="RF394"/>
      <c r="RG394"/>
      <c r="RH394"/>
      <c r="RI394"/>
      <c r="RJ394"/>
      <c r="RK394"/>
      <c r="RL394"/>
      <c r="RM394"/>
      <c r="RN394"/>
      <c r="RO394"/>
      <c r="RP394"/>
      <c r="RQ394"/>
      <c r="RR394"/>
      <c r="RS394"/>
    </row>
    <row r="395" spans="19:487" x14ac:dyDescent="0.25">
      <c r="S395"/>
      <c r="T395"/>
      <c r="U395"/>
      <c r="V395"/>
      <c r="W395"/>
      <c r="X395"/>
      <c r="Y395"/>
      <c r="Z395"/>
      <c r="AA395"/>
      <c r="AB395"/>
      <c r="AC395"/>
      <c r="AD395"/>
      <c r="AE395"/>
      <c r="AF395"/>
      <c r="AG395"/>
      <c r="AH395"/>
      <c r="AI395"/>
      <c r="AJ395"/>
      <c r="AK395"/>
      <c r="AL395"/>
      <c r="AM395"/>
      <c r="AN395"/>
      <c r="AO395"/>
      <c r="AP395"/>
      <c r="AQ395"/>
      <c r="AR395"/>
      <c r="AS395"/>
      <c r="AT395"/>
      <c r="AU395"/>
      <c r="AV395"/>
      <c r="AW395"/>
      <c r="AX395"/>
      <c r="AY395"/>
      <c r="AZ395"/>
      <c r="BA395"/>
      <c r="BB395"/>
      <c r="BC395"/>
      <c r="BD395"/>
      <c r="BE395"/>
      <c r="BF395"/>
      <c r="BG395"/>
      <c r="BH395"/>
      <c r="BI395"/>
      <c r="BJ395"/>
      <c r="BK395"/>
      <c r="BL395"/>
      <c r="BM395"/>
      <c r="BN395"/>
      <c r="BO395"/>
      <c r="BP395"/>
      <c r="BQ395"/>
      <c r="BR395"/>
      <c r="BS395"/>
      <c r="BT395"/>
      <c r="BU395"/>
      <c r="BV395"/>
      <c r="BW395"/>
      <c r="BX395"/>
      <c r="BY395"/>
      <c r="BZ395"/>
      <c r="CA395"/>
      <c r="CB395"/>
      <c r="CC395"/>
      <c r="CD395"/>
      <c r="CE395"/>
      <c r="CF395"/>
      <c r="CG395"/>
      <c r="CH395"/>
      <c r="CI395"/>
      <c r="CJ395"/>
      <c r="CK395"/>
      <c r="CL395"/>
      <c r="CM395"/>
      <c r="CN395"/>
      <c r="CO395"/>
      <c r="CP395"/>
      <c r="CQ395"/>
      <c r="CR395"/>
      <c r="CS395"/>
      <c r="CT395"/>
      <c r="CU395"/>
      <c r="CV395"/>
      <c r="CW395"/>
      <c r="CX395"/>
      <c r="CY395"/>
      <c r="CZ395"/>
      <c r="DA395"/>
      <c r="DB395"/>
      <c r="DC395"/>
      <c r="DD395"/>
      <c r="DE395"/>
      <c r="DF395"/>
      <c r="DG395"/>
      <c r="DH395"/>
      <c r="DI395"/>
      <c r="DJ395"/>
      <c r="DK395"/>
      <c r="DL395"/>
      <c r="DM395"/>
      <c r="DN395"/>
      <c r="DO395"/>
      <c r="DP395"/>
      <c r="DQ395"/>
      <c r="DR395"/>
      <c r="DS395"/>
      <c r="DT395"/>
      <c r="DU395"/>
      <c r="DV395"/>
      <c r="DW395"/>
      <c r="DX395"/>
      <c r="DY395"/>
      <c r="DZ395"/>
      <c r="EA395"/>
      <c r="EB395"/>
      <c r="EC395"/>
      <c r="ED395"/>
      <c r="EE395"/>
      <c r="EF395"/>
      <c r="EG395"/>
      <c r="EH395"/>
      <c r="EI395"/>
      <c r="EJ395"/>
      <c r="EK395"/>
      <c r="EL395"/>
      <c r="EM395"/>
      <c r="EN395"/>
      <c r="EO395"/>
      <c r="EP395"/>
      <c r="EQ395"/>
      <c r="ER395"/>
      <c r="ES395"/>
      <c r="ET395"/>
      <c r="EU395"/>
      <c r="EV395"/>
      <c r="EW395"/>
      <c r="EX395"/>
      <c r="EY395"/>
      <c r="EZ395"/>
      <c r="FA395"/>
      <c r="FB395"/>
      <c r="FC395"/>
      <c r="FD395"/>
      <c r="FE395"/>
      <c r="FF395"/>
      <c r="FG395"/>
      <c r="FH395"/>
      <c r="FI395"/>
      <c r="FJ395"/>
      <c r="FK395"/>
      <c r="FL395"/>
      <c r="FM395"/>
      <c r="FN395"/>
      <c r="FO395"/>
      <c r="FP395"/>
      <c r="FQ395"/>
      <c r="FR395"/>
      <c r="FS395"/>
      <c r="FT395"/>
      <c r="FU395"/>
      <c r="FV395"/>
      <c r="FW395"/>
      <c r="FX395"/>
      <c r="FY395"/>
      <c r="FZ395"/>
      <c r="GA395"/>
      <c r="GB395"/>
      <c r="GC395"/>
      <c r="GD395"/>
      <c r="GE395"/>
      <c r="GF395"/>
      <c r="GG395"/>
      <c r="GH395"/>
      <c r="GI395"/>
      <c r="GJ395"/>
      <c r="GK395"/>
      <c r="GL395"/>
      <c r="GM395"/>
      <c r="GN395"/>
      <c r="GO395"/>
      <c r="GP395"/>
      <c r="GQ395"/>
      <c r="GR395"/>
      <c r="GS395"/>
      <c r="GT395"/>
      <c r="GU395"/>
      <c r="GV395"/>
      <c r="GW395"/>
      <c r="GX395"/>
      <c r="GY395"/>
      <c r="GZ395"/>
      <c r="HA395"/>
      <c r="HB395"/>
      <c r="HC395"/>
      <c r="HD395"/>
      <c r="HE395"/>
      <c r="HF395"/>
      <c r="HG395"/>
      <c r="HH395"/>
      <c r="HI395"/>
      <c r="HJ395"/>
      <c r="HK395"/>
      <c r="HL395"/>
      <c r="HM395"/>
      <c r="HN395"/>
      <c r="HO395"/>
      <c r="HP395"/>
      <c r="HQ395"/>
      <c r="HR395"/>
      <c r="HS395"/>
      <c r="HT395"/>
      <c r="HU395"/>
      <c r="HV395"/>
      <c r="HW395"/>
      <c r="HX395"/>
      <c r="HY395"/>
      <c r="HZ395"/>
      <c r="IA395"/>
      <c r="IB395"/>
      <c r="IC395"/>
      <c r="ID395"/>
      <c r="IE395"/>
      <c r="IF395"/>
      <c r="IG395"/>
      <c r="IH395"/>
      <c r="II395"/>
      <c r="IJ395"/>
      <c r="IK395"/>
      <c r="IL395"/>
      <c r="IM395"/>
      <c r="IN395"/>
      <c r="IO395"/>
      <c r="IP395"/>
      <c r="IQ395"/>
      <c r="IR395"/>
      <c r="IS395"/>
      <c r="IT395"/>
      <c r="IU395"/>
      <c r="IV395"/>
      <c r="IW395"/>
      <c r="IX395"/>
      <c r="IY395"/>
      <c r="IZ395"/>
      <c r="JA395"/>
      <c r="JB395"/>
      <c r="JC395"/>
      <c r="JD395"/>
      <c r="JE395"/>
      <c r="JF395"/>
      <c r="JG395"/>
      <c r="JH395"/>
      <c r="JI395"/>
      <c r="JJ395"/>
      <c r="JK395"/>
      <c r="JL395"/>
      <c r="JM395"/>
      <c r="JN395"/>
      <c r="JO395"/>
      <c r="JP395"/>
      <c r="JQ395"/>
      <c r="JR395"/>
      <c r="JS395"/>
      <c r="JT395"/>
      <c r="JU395"/>
      <c r="JV395"/>
      <c r="JW395"/>
      <c r="JX395"/>
      <c r="JY395"/>
      <c r="JZ395"/>
      <c r="KA395"/>
      <c r="KB395"/>
      <c r="KC395"/>
      <c r="KD395"/>
      <c r="KE395"/>
      <c r="KF395"/>
      <c r="KG395"/>
      <c r="KH395"/>
      <c r="KI395"/>
      <c r="KJ395"/>
      <c r="KK395"/>
      <c r="KL395"/>
      <c r="KM395"/>
      <c r="KN395"/>
      <c r="KO395"/>
      <c r="KP395"/>
      <c r="KQ395"/>
      <c r="KR395"/>
      <c r="KS395"/>
      <c r="KT395"/>
      <c r="KU395"/>
      <c r="KV395"/>
      <c r="KW395"/>
      <c r="KX395"/>
      <c r="KY395"/>
      <c r="KZ395"/>
      <c r="LA395"/>
      <c r="LB395"/>
      <c r="LC395"/>
      <c r="LD395"/>
      <c r="LE395"/>
      <c r="LF395"/>
      <c r="LG395"/>
      <c r="LH395"/>
      <c r="LI395"/>
      <c r="LJ395"/>
      <c r="LK395"/>
      <c r="LL395"/>
      <c r="LM395"/>
      <c r="LN395"/>
      <c r="LO395"/>
      <c r="LP395"/>
      <c r="LQ395"/>
      <c r="LR395"/>
      <c r="LS395"/>
      <c r="LT395"/>
      <c r="LU395"/>
      <c r="LV395"/>
      <c r="LW395"/>
      <c r="LX395"/>
      <c r="LY395"/>
      <c r="LZ395"/>
      <c r="MA395"/>
      <c r="MB395"/>
      <c r="MC395"/>
      <c r="MD395"/>
      <c r="ME395"/>
      <c r="MF395"/>
      <c r="MG395"/>
      <c r="MH395"/>
      <c r="MI395"/>
      <c r="MJ395"/>
      <c r="MK395"/>
      <c r="ML395"/>
      <c r="MM395"/>
      <c r="MN395"/>
      <c r="MO395"/>
      <c r="MP395"/>
      <c r="MQ395"/>
      <c r="MR395"/>
      <c r="MS395"/>
      <c r="MT395"/>
      <c r="MU395"/>
      <c r="MV395"/>
      <c r="MW395"/>
      <c r="MX395"/>
      <c r="MY395"/>
      <c r="MZ395"/>
      <c r="NA395"/>
      <c r="NB395"/>
      <c r="NC395"/>
      <c r="ND395"/>
      <c r="NE395"/>
      <c r="NF395"/>
      <c r="NG395"/>
      <c r="NH395"/>
      <c r="NI395"/>
      <c r="NJ395"/>
      <c r="NK395"/>
      <c r="NL395"/>
      <c r="NM395"/>
      <c r="NN395"/>
      <c r="NO395"/>
      <c r="NP395"/>
      <c r="NQ395"/>
      <c r="NR395"/>
      <c r="NS395"/>
      <c r="NT395"/>
      <c r="NU395"/>
      <c r="NV395"/>
      <c r="NW395"/>
      <c r="NX395"/>
      <c r="NY395"/>
      <c r="NZ395"/>
      <c r="OA395"/>
      <c r="OB395"/>
      <c r="OC395"/>
      <c r="OD395"/>
      <c r="OE395"/>
      <c r="OF395"/>
      <c r="OG395"/>
      <c r="OH395"/>
      <c r="OI395"/>
      <c r="OJ395"/>
      <c r="OK395"/>
      <c r="OL395"/>
      <c r="OM395"/>
      <c r="ON395"/>
      <c r="OO395"/>
      <c r="OP395"/>
      <c r="OQ395"/>
      <c r="OR395"/>
      <c r="OS395"/>
      <c r="OT395"/>
      <c r="OU395"/>
      <c r="OV395"/>
      <c r="OW395"/>
      <c r="OX395"/>
      <c r="OY395"/>
      <c r="OZ395"/>
      <c r="PA395"/>
      <c r="PB395"/>
      <c r="PC395"/>
      <c r="PD395"/>
      <c r="PE395"/>
      <c r="PF395"/>
      <c r="PG395"/>
      <c r="PH395"/>
      <c r="PI395"/>
      <c r="PJ395"/>
      <c r="PK395"/>
      <c r="PL395"/>
      <c r="PM395"/>
      <c r="PN395"/>
      <c r="PO395"/>
      <c r="PP395"/>
      <c r="PQ395"/>
      <c r="PR395"/>
      <c r="PS395"/>
      <c r="PT395"/>
      <c r="PU395"/>
      <c r="PV395"/>
      <c r="PW395"/>
      <c r="PX395"/>
      <c r="PY395"/>
      <c r="PZ395"/>
      <c r="QA395"/>
      <c r="QB395"/>
      <c r="QC395"/>
      <c r="QD395"/>
      <c r="QE395"/>
      <c r="QF395"/>
      <c r="QG395"/>
      <c r="QH395"/>
      <c r="QI395"/>
      <c r="QJ395"/>
      <c r="QK395"/>
      <c r="QL395"/>
      <c r="QM395"/>
      <c r="QN395"/>
      <c r="QO395"/>
      <c r="QP395"/>
      <c r="QQ395"/>
      <c r="QR395"/>
      <c r="QS395"/>
      <c r="QT395"/>
      <c r="QU395"/>
      <c r="QV395"/>
      <c r="QW395"/>
      <c r="QX395"/>
      <c r="QY395"/>
      <c r="QZ395"/>
      <c r="RA395"/>
      <c r="RB395"/>
      <c r="RC395"/>
      <c r="RD395"/>
      <c r="RE395"/>
      <c r="RF395"/>
      <c r="RG395"/>
      <c r="RH395"/>
      <c r="RI395"/>
      <c r="RJ395"/>
      <c r="RK395"/>
      <c r="RL395"/>
      <c r="RM395"/>
      <c r="RN395"/>
      <c r="RO395"/>
      <c r="RP395"/>
      <c r="RQ395"/>
      <c r="RR395"/>
      <c r="RS395"/>
    </row>
    <row r="396" spans="19:487" x14ac:dyDescent="0.25">
      <c r="S396"/>
      <c r="T396"/>
      <c r="U396"/>
      <c r="V396"/>
      <c r="W396"/>
      <c r="X396"/>
      <c r="Y396"/>
      <c r="Z396"/>
      <c r="AA396"/>
      <c r="AB396"/>
      <c r="AC396"/>
      <c r="AD396"/>
      <c r="AE396"/>
      <c r="AF396"/>
      <c r="AG396"/>
      <c r="AH396"/>
      <c r="AI396"/>
      <c r="AJ396"/>
      <c r="AK396"/>
      <c r="AL396"/>
      <c r="AM396"/>
      <c r="AN396"/>
      <c r="AO396"/>
      <c r="AP396"/>
      <c r="AQ396"/>
      <c r="AR396"/>
      <c r="AS396"/>
      <c r="AT396"/>
      <c r="AU396"/>
      <c r="AV396"/>
      <c r="AW396"/>
      <c r="AX396"/>
      <c r="AY396"/>
      <c r="AZ396"/>
      <c r="BA396"/>
      <c r="BB396"/>
      <c r="BC396"/>
      <c r="BD396"/>
      <c r="BE396"/>
      <c r="BF396"/>
      <c r="BG396"/>
      <c r="BH396"/>
      <c r="BI396"/>
      <c r="BJ396"/>
      <c r="BK396"/>
      <c r="BL396"/>
      <c r="BM396"/>
      <c r="BN396"/>
      <c r="BO396"/>
      <c r="BP396"/>
      <c r="BQ396"/>
      <c r="BR396"/>
      <c r="BS396"/>
      <c r="BT396"/>
      <c r="BU396"/>
      <c r="BV396"/>
      <c r="BW396"/>
      <c r="BX396"/>
      <c r="BY396"/>
      <c r="BZ396"/>
      <c r="CA396"/>
      <c r="CB396"/>
      <c r="CC396"/>
      <c r="CD396"/>
      <c r="CE396"/>
      <c r="CF396"/>
      <c r="CG396"/>
      <c r="CH396"/>
      <c r="CI396"/>
      <c r="CJ396"/>
      <c r="CK396"/>
      <c r="CL396"/>
      <c r="CM396"/>
      <c r="CN396"/>
      <c r="CO396"/>
      <c r="CP396"/>
      <c r="CQ396"/>
      <c r="CR396"/>
      <c r="CS396"/>
      <c r="CT396"/>
      <c r="CU396"/>
      <c r="CV396"/>
      <c r="CW396"/>
      <c r="CX396"/>
      <c r="CY396"/>
      <c r="CZ396"/>
      <c r="DA396"/>
      <c r="DB396"/>
      <c r="DC396"/>
      <c r="DD396"/>
      <c r="DE396"/>
      <c r="DF396"/>
      <c r="DG396"/>
      <c r="DH396"/>
      <c r="DI396"/>
      <c r="DJ396"/>
      <c r="DK396"/>
      <c r="DL396"/>
      <c r="DM396"/>
      <c r="DN396"/>
      <c r="DO396"/>
      <c r="DP396"/>
      <c r="DQ396"/>
      <c r="DR396"/>
      <c r="DS396"/>
      <c r="DT396"/>
      <c r="DU396"/>
      <c r="DV396"/>
      <c r="DW396"/>
      <c r="DX396"/>
      <c r="DY396"/>
      <c r="DZ396"/>
      <c r="EA396"/>
      <c r="EB396"/>
      <c r="EC396"/>
      <c r="ED396"/>
      <c r="EE396"/>
      <c r="EF396"/>
      <c r="EG396"/>
      <c r="EH396"/>
      <c r="EI396"/>
      <c r="EJ396"/>
      <c r="EK396"/>
      <c r="EL396"/>
      <c r="EM396"/>
      <c r="EN396"/>
      <c r="EO396"/>
      <c r="EP396"/>
      <c r="EQ396"/>
      <c r="ER396"/>
      <c r="ES396"/>
      <c r="ET396"/>
      <c r="EU396"/>
      <c r="EV396"/>
      <c r="EW396"/>
      <c r="EX396"/>
      <c r="EY396"/>
      <c r="EZ396"/>
      <c r="FA396"/>
      <c r="FB396"/>
      <c r="FC396"/>
      <c r="FD396"/>
      <c r="FE396"/>
      <c r="FF396"/>
      <c r="FG396"/>
      <c r="FH396"/>
      <c r="FI396"/>
      <c r="FJ396"/>
      <c r="FK396"/>
      <c r="FL396"/>
      <c r="FM396"/>
      <c r="FN396"/>
      <c r="FO396"/>
      <c r="FP396"/>
      <c r="FQ396"/>
      <c r="FR396"/>
      <c r="FS396"/>
      <c r="FT396"/>
      <c r="FU396"/>
      <c r="FV396"/>
      <c r="FW396"/>
      <c r="FX396"/>
      <c r="FY396"/>
      <c r="FZ396"/>
      <c r="GA396"/>
      <c r="GB396"/>
      <c r="GC396"/>
      <c r="GD396"/>
      <c r="GE396"/>
      <c r="GF396"/>
      <c r="GG396"/>
      <c r="GH396"/>
      <c r="GI396"/>
      <c r="GJ396"/>
      <c r="GK396"/>
      <c r="GL396"/>
      <c r="GM396"/>
      <c r="GN396"/>
      <c r="GO396"/>
      <c r="GP396"/>
      <c r="GQ396"/>
      <c r="GR396"/>
      <c r="GS396"/>
      <c r="GT396"/>
      <c r="GU396"/>
      <c r="GV396"/>
      <c r="GW396"/>
      <c r="GX396"/>
      <c r="GY396"/>
      <c r="GZ396"/>
      <c r="HA396"/>
      <c r="HB396"/>
      <c r="HC396"/>
      <c r="HD396"/>
      <c r="HE396"/>
      <c r="HF396"/>
      <c r="HG396"/>
      <c r="HH396"/>
      <c r="HI396"/>
      <c r="HJ396"/>
      <c r="HK396"/>
      <c r="HL396"/>
      <c r="HM396"/>
      <c r="HN396"/>
      <c r="HO396"/>
      <c r="HP396"/>
      <c r="HQ396"/>
      <c r="HR396"/>
      <c r="HS396"/>
      <c r="HT396"/>
      <c r="HU396"/>
      <c r="HV396"/>
      <c r="HW396"/>
      <c r="HX396"/>
      <c r="HY396"/>
      <c r="HZ396"/>
      <c r="IA396"/>
      <c r="IB396"/>
      <c r="IC396"/>
      <c r="ID396"/>
      <c r="IE396"/>
      <c r="IF396"/>
      <c r="IG396"/>
      <c r="IH396"/>
      <c r="II396"/>
      <c r="IJ396"/>
      <c r="IK396"/>
      <c r="IL396"/>
      <c r="IM396"/>
      <c r="IN396"/>
      <c r="IO396"/>
      <c r="IP396"/>
      <c r="IQ396"/>
      <c r="IR396"/>
      <c r="IS396"/>
      <c r="IT396"/>
      <c r="IU396"/>
      <c r="IV396"/>
      <c r="IW396"/>
      <c r="IX396"/>
      <c r="IY396"/>
      <c r="IZ396"/>
      <c r="JA396"/>
      <c r="JB396"/>
      <c r="JC396"/>
      <c r="JD396"/>
      <c r="JE396"/>
      <c r="JF396"/>
      <c r="JG396"/>
      <c r="JH396"/>
      <c r="JI396"/>
      <c r="JJ396"/>
      <c r="JK396"/>
      <c r="JL396"/>
      <c r="JM396"/>
      <c r="JN396"/>
      <c r="JO396"/>
      <c r="JP396"/>
      <c r="JQ396"/>
      <c r="JR396"/>
      <c r="JS396"/>
      <c r="JT396"/>
      <c r="JU396"/>
      <c r="JV396"/>
      <c r="JW396"/>
      <c r="JX396"/>
      <c r="JY396"/>
      <c r="JZ396"/>
      <c r="KA396"/>
      <c r="KB396"/>
      <c r="KC396"/>
      <c r="KD396"/>
      <c r="KE396"/>
      <c r="KF396"/>
      <c r="KG396"/>
      <c r="KH396"/>
      <c r="KI396"/>
      <c r="KJ396"/>
      <c r="KK396"/>
      <c r="KL396"/>
      <c r="KM396"/>
      <c r="KN396"/>
      <c r="KO396"/>
      <c r="KP396"/>
      <c r="KQ396"/>
      <c r="KR396"/>
      <c r="KS396"/>
      <c r="KT396"/>
      <c r="KU396"/>
      <c r="KV396"/>
      <c r="KW396"/>
      <c r="KX396"/>
      <c r="KY396"/>
      <c r="KZ396"/>
      <c r="LA396"/>
      <c r="LB396"/>
      <c r="LC396"/>
      <c r="LD396"/>
      <c r="LE396"/>
      <c r="LF396"/>
      <c r="LG396"/>
      <c r="LH396"/>
      <c r="LI396"/>
      <c r="LJ396"/>
      <c r="LK396"/>
      <c r="LL396"/>
      <c r="LM396"/>
      <c r="LN396"/>
      <c r="LO396"/>
      <c r="LP396"/>
      <c r="LQ396"/>
      <c r="LR396"/>
      <c r="LS396"/>
      <c r="LT396"/>
      <c r="LU396"/>
      <c r="LV396"/>
      <c r="LW396"/>
      <c r="LX396"/>
      <c r="LY396"/>
      <c r="LZ396"/>
      <c r="MA396"/>
      <c r="MB396"/>
      <c r="MC396"/>
      <c r="MD396"/>
      <c r="ME396"/>
      <c r="MF396"/>
      <c r="MG396"/>
      <c r="MH396"/>
      <c r="MI396"/>
      <c r="MJ396"/>
      <c r="MK396"/>
      <c r="ML396"/>
      <c r="MM396"/>
      <c r="MN396"/>
      <c r="MO396"/>
      <c r="MP396"/>
      <c r="MQ396"/>
      <c r="MR396"/>
      <c r="MS396"/>
      <c r="MT396"/>
      <c r="MU396"/>
      <c r="MV396"/>
      <c r="MW396"/>
      <c r="MX396"/>
      <c r="MY396"/>
      <c r="MZ396"/>
      <c r="NA396"/>
      <c r="NB396"/>
      <c r="NC396"/>
      <c r="ND396"/>
      <c r="NE396"/>
      <c r="NF396"/>
      <c r="NG396"/>
      <c r="NH396"/>
      <c r="NI396"/>
      <c r="NJ396"/>
      <c r="NK396"/>
      <c r="NL396"/>
      <c r="NM396"/>
      <c r="NN396"/>
      <c r="NO396"/>
      <c r="NP396"/>
      <c r="NQ396"/>
      <c r="NR396"/>
      <c r="NS396"/>
      <c r="NT396"/>
      <c r="NU396"/>
      <c r="NV396"/>
      <c r="NW396"/>
      <c r="NX396"/>
      <c r="NY396"/>
      <c r="NZ396"/>
      <c r="OA396"/>
      <c r="OB396"/>
      <c r="OC396"/>
      <c r="OD396"/>
      <c r="OE396"/>
      <c r="OF396"/>
      <c r="OG396"/>
      <c r="OH396"/>
      <c r="OI396"/>
      <c r="OJ396"/>
      <c r="OK396"/>
      <c r="OL396"/>
      <c r="OM396"/>
      <c r="ON396"/>
      <c r="OO396"/>
      <c r="OP396"/>
      <c r="OQ396"/>
      <c r="OR396"/>
      <c r="OS396"/>
      <c r="OT396"/>
      <c r="OU396"/>
      <c r="OV396"/>
      <c r="OW396"/>
      <c r="OX396"/>
      <c r="OY396"/>
      <c r="OZ396"/>
      <c r="PA396"/>
      <c r="PB396"/>
      <c r="PC396"/>
      <c r="PD396"/>
      <c r="PE396"/>
      <c r="PF396"/>
      <c r="PG396"/>
      <c r="PH396"/>
      <c r="PI396"/>
      <c r="PJ396"/>
      <c r="PK396"/>
      <c r="PL396"/>
      <c r="PM396"/>
      <c r="PN396"/>
      <c r="PO396"/>
      <c r="PP396"/>
      <c r="PQ396"/>
      <c r="PR396"/>
      <c r="PS396"/>
      <c r="PT396"/>
      <c r="PU396"/>
      <c r="PV396"/>
      <c r="PW396"/>
      <c r="PX396"/>
      <c r="PY396"/>
      <c r="PZ396"/>
      <c r="QA396"/>
      <c r="QB396"/>
      <c r="QC396"/>
      <c r="QD396"/>
      <c r="QE396"/>
      <c r="QF396"/>
      <c r="QG396"/>
      <c r="QH396"/>
      <c r="QI396"/>
      <c r="QJ396"/>
      <c r="QK396"/>
      <c r="QL396"/>
      <c r="QM396"/>
      <c r="QN396"/>
      <c r="QO396"/>
      <c r="QP396"/>
      <c r="QQ396"/>
      <c r="QR396"/>
      <c r="QS396"/>
      <c r="QT396"/>
      <c r="QU396"/>
      <c r="QV396"/>
      <c r="QW396"/>
      <c r="QX396"/>
      <c r="QY396"/>
      <c r="QZ396"/>
      <c r="RA396"/>
      <c r="RB396"/>
      <c r="RC396"/>
      <c r="RD396"/>
      <c r="RE396"/>
      <c r="RF396"/>
      <c r="RG396"/>
      <c r="RH396"/>
      <c r="RI396"/>
      <c r="RJ396"/>
      <c r="RK396"/>
      <c r="RL396"/>
      <c r="RM396"/>
      <c r="RN396"/>
      <c r="RO396"/>
      <c r="RP396"/>
      <c r="RQ396"/>
      <c r="RR396"/>
      <c r="RS396"/>
    </row>
    <row r="397" spans="19:487" x14ac:dyDescent="0.25">
      <c r="S397"/>
      <c r="T397"/>
      <c r="U397"/>
      <c r="V397"/>
      <c r="W397"/>
      <c r="X397"/>
      <c r="Y397"/>
      <c r="Z397"/>
      <c r="AA397"/>
      <c r="AB397"/>
      <c r="AC397"/>
      <c r="AD397"/>
      <c r="AE397"/>
      <c r="AF397"/>
      <c r="AG397"/>
      <c r="AH397"/>
      <c r="AI397"/>
      <c r="AJ397"/>
      <c r="AK397"/>
      <c r="AL397"/>
      <c r="AM397"/>
      <c r="AN397"/>
      <c r="AO397"/>
      <c r="AP397"/>
      <c r="AQ397"/>
      <c r="AR397"/>
      <c r="AS397"/>
      <c r="AT397"/>
      <c r="AU397"/>
      <c r="AV397"/>
      <c r="AW397"/>
      <c r="AX397"/>
      <c r="AY397"/>
      <c r="AZ397"/>
      <c r="BA397"/>
      <c r="BB397"/>
      <c r="BC397"/>
      <c r="BD397"/>
      <c r="BE397"/>
      <c r="BF397"/>
      <c r="BG397"/>
      <c r="BH397"/>
      <c r="BI397"/>
      <c r="BJ397"/>
      <c r="BK397"/>
      <c r="BL397"/>
      <c r="BM397"/>
      <c r="BN397"/>
      <c r="BO397"/>
      <c r="BP397"/>
      <c r="BQ397"/>
      <c r="BR397"/>
      <c r="BS397"/>
      <c r="BT397"/>
      <c r="BU397"/>
      <c r="BV397"/>
      <c r="BW397"/>
      <c r="BX397"/>
      <c r="BY397"/>
      <c r="BZ397"/>
      <c r="CA397"/>
      <c r="CB397"/>
      <c r="CC397"/>
      <c r="CD397"/>
      <c r="CE397"/>
      <c r="CF397"/>
      <c r="CG397"/>
      <c r="CH397"/>
      <c r="CI397"/>
      <c r="CJ397"/>
      <c r="CK397"/>
      <c r="CL397"/>
      <c r="CM397"/>
      <c r="CN397"/>
      <c r="CO397"/>
      <c r="CP397"/>
      <c r="CQ397"/>
      <c r="CR397"/>
      <c r="CS397"/>
      <c r="CT397"/>
      <c r="CU397"/>
      <c r="CV397"/>
      <c r="CW397"/>
      <c r="CX397"/>
      <c r="CY397"/>
      <c r="CZ397"/>
      <c r="DA397"/>
      <c r="DB397"/>
      <c r="DC397"/>
      <c r="DD397"/>
      <c r="DE397"/>
      <c r="DF397"/>
      <c r="DG397"/>
      <c r="DH397"/>
      <c r="DI397"/>
      <c r="DJ397"/>
      <c r="DK397"/>
      <c r="DL397"/>
      <c r="DM397"/>
      <c r="DN397"/>
      <c r="DO397"/>
      <c r="DP397"/>
      <c r="DQ397"/>
      <c r="DR397"/>
      <c r="DS397"/>
      <c r="DT397"/>
      <c r="DU397"/>
      <c r="DV397"/>
      <c r="DW397"/>
      <c r="DX397"/>
      <c r="DY397"/>
      <c r="DZ397"/>
      <c r="EA397"/>
      <c r="EB397"/>
      <c r="EC397"/>
      <c r="ED397"/>
      <c r="EE397"/>
      <c r="EF397"/>
      <c r="EG397"/>
      <c r="EH397"/>
      <c r="EI397"/>
      <c r="EJ397"/>
      <c r="EK397"/>
      <c r="EL397"/>
      <c r="EM397"/>
      <c r="EN397"/>
      <c r="EO397"/>
      <c r="EP397"/>
      <c r="EQ397"/>
      <c r="ER397"/>
      <c r="ES397"/>
      <c r="ET397"/>
      <c r="EU397"/>
      <c r="EV397"/>
      <c r="EW397"/>
      <c r="EX397"/>
      <c r="EY397"/>
      <c r="EZ397"/>
      <c r="FA397"/>
      <c r="FB397"/>
      <c r="FC397"/>
      <c r="FD397"/>
      <c r="FE397"/>
      <c r="FF397"/>
      <c r="FG397"/>
      <c r="FH397"/>
      <c r="FI397"/>
      <c r="FJ397"/>
      <c r="FK397"/>
      <c r="FL397"/>
      <c r="FM397"/>
      <c r="FN397"/>
      <c r="FO397"/>
      <c r="FP397"/>
      <c r="FQ397"/>
      <c r="FR397"/>
      <c r="FS397"/>
      <c r="FT397"/>
      <c r="FU397"/>
      <c r="FV397"/>
      <c r="FW397"/>
      <c r="FX397"/>
      <c r="FY397"/>
      <c r="FZ397"/>
      <c r="GA397"/>
      <c r="GB397"/>
      <c r="GC397"/>
      <c r="GD397"/>
      <c r="GE397"/>
      <c r="GF397"/>
      <c r="GG397"/>
      <c r="GH397"/>
      <c r="GI397"/>
      <c r="GJ397"/>
      <c r="GK397"/>
      <c r="GL397"/>
      <c r="GM397"/>
      <c r="GN397"/>
      <c r="GO397"/>
      <c r="GP397"/>
      <c r="GQ397"/>
      <c r="GR397"/>
      <c r="GS397"/>
      <c r="GT397"/>
      <c r="GU397"/>
      <c r="GV397"/>
      <c r="GW397"/>
      <c r="GX397"/>
      <c r="GY397"/>
      <c r="GZ397"/>
      <c r="HA397"/>
      <c r="HB397"/>
      <c r="HC397"/>
      <c r="HD397"/>
      <c r="HE397"/>
      <c r="HF397"/>
      <c r="HG397"/>
      <c r="HH397"/>
      <c r="HI397"/>
      <c r="HJ397"/>
      <c r="HK397"/>
      <c r="HL397"/>
      <c r="HM397"/>
      <c r="HN397"/>
      <c r="HO397"/>
      <c r="HP397"/>
      <c r="HQ397"/>
      <c r="HR397"/>
      <c r="HS397"/>
      <c r="HT397"/>
      <c r="HU397"/>
      <c r="HV397"/>
      <c r="HW397"/>
      <c r="HX397"/>
      <c r="HY397"/>
      <c r="HZ397"/>
      <c r="IA397"/>
      <c r="IB397"/>
      <c r="IC397"/>
      <c r="ID397"/>
      <c r="IE397"/>
      <c r="IF397"/>
      <c r="IG397"/>
      <c r="IH397"/>
      <c r="II397"/>
      <c r="IJ397"/>
      <c r="IK397"/>
      <c r="IL397"/>
      <c r="IM397"/>
      <c r="IN397"/>
      <c r="IO397"/>
      <c r="IP397"/>
      <c r="IQ397"/>
      <c r="IR397"/>
      <c r="IS397"/>
      <c r="IT397"/>
      <c r="IU397"/>
      <c r="IV397"/>
      <c r="IW397"/>
      <c r="IX397"/>
      <c r="IY397"/>
      <c r="IZ397"/>
      <c r="JA397"/>
      <c r="JB397"/>
      <c r="JC397"/>
      <c r="JD397"/>
      <c r="JE397"/>
      <c r="JF397"/>
      <c r="JG397"/>
      <c r="JH397"/>
      <c r="JI397"/>
      <c r="JJ397"/>
      <c r="JK397"/>
      <c r="JL397"/>
      <c r="JM397"/>
      <c r="JN397"/>
      <c r="JO397"/>
      <c r="JP397"/>
      <c r="JQ397"/>
      <c r="JR397"/>
      <c r="JS397"/>
      <c r="JT397"/>
      <c r="JU397"/>
      <c r="JV397"/>
      <c r="JW397"/>
      <c r="JX397"/>
      <c r="JY397"/>
      <c r="JZ397"/>
      <c r="KA397"/>
      <c r="KB397"/>
      <c r="KC397"/>
      <c r="KD397"/>
      <c r="KE397"/>
      <c r="KF397"/>
      <c r="KG397"/>
      <c r="KH397"/>
      <c r="KI397"/>
      <c r="KJ397"/>
      <c r="KK397"/>
      <c r="KL397"/>
      <c r="KM397"/>
      <c r="KN397"/>
      <c r="KO397"/>
      <c r="KP397"/>
      <c r="KQ397"/>
      <c r="KR397"/>
      <c r="KS397"/>
      <c r="KT397"/>
      <c r="KU397"/>
      <c r="KV397"/>
      <c r="KW397"/>
      <c r="KX397"/>
      <c r="KY397"/>
      <c r="KZ397"/>
      <c r="LA397"/>
      <c r="LB397"/>
      <c r="LC397"/>
      <c r="LD397"/>
      <c r="LE397"/>
      <c r="LF397"/>
      <c r="LG397"/>
      <c r="LH397"/>
      <c r="LI397"/>
      <c r="LJ397"/>
      <c r="LK397"/>
      <c r="LL397"/>
      <c r="LM397"/>
      <c r="LN397"/>
      <c r="LO397"/>
      <c r="LP397"/>
      <c r="LQ397"/>
      <c r="LR397"/>
      <c r="LS397"/>
      <c r="LT397"/>
      <c r="LU397"/>
      <c r="LV397"/>
      <c r="LW397"/>
      <c r="LX397"/>
      <c r="LY397"/>
      <c r="LZ397"/>
      <c r="MA397"/>
      <c r="MB397"/>
      <c r="MC397"/>
      <c r="MD397"/>
      <c r="ME397"/>
      <c r="MF397"/>
      <c r="MG397"/>
      <c r="MH397"/>
      <c r="MI397"/>
      <c r="MJ397"/>
      <c r="MK397"/>
      <c r="ML397"/>
      <c r="MM397"/>
      <c r="MN397"/>
      <c r="MO397"/>
      <c r="MP397"/>
      <c r="MQ397"/>
      <c r="MR397"/>
      <c r="MS397"/>
      <c r="MT397"/>
      <c r="MU397"/>
      <c r="MV397"/>
      <c r="MW397"/>
      <c r="MX397"/>
      <c r="MY397"/>
      <c r="MZ397"/>
      <c r="NA397"/>
      <c r="NB397"/>
      <c r="NC397"/>
      <c r="ND397"/>
      <c r="NE397"/>
      <c r="NF397"/>
      <c r="NG397"/>
      <c r="NH397"/>
      <c r="NI397"/>
      <c r="NJ397"/>
      <c r="NK397"/>
      <c r="NL397"/>
      <c r="NM397"/>
      <c r="NN397"/>
      <c r="NO397"/>
      <c r="NP397"/>
      <c r="NQ397"/>
      <c r="NR397"/>
      <c r="NS397"/>
      <c r="NT397"/>
      <c r="NU397"/>
      <c r="NV397"/>
      <c r="NW397"/>
      <c r="NX397"/>
      <c r="NY397"/>
      <c r="NZ397"/>
      <c r="OA397"/>
      <c r="OB397"/>
      <c r="OC397"/>
      <c r="OD397"/>
      <c r="OE397"/>
      <c r="OF397"/>
      <c r="OG397"/>
      <c r="OH397"/>
      <c r="OI397"/>
      <c r="OJ397"/>
      <c r="OK397"/>
      <c r="OL397"/>
      <c r="OM397"/>
      <c r="ON397"/>
      <c r="OO397"/>
      <c r="OP397"/>
      <c r="OQ397"/>
      <c r="OR397"/>
      <c r="OS397"/>
      <c r="OT397"/>
      <c r="OU397"/>
      <c r="OV397"/>
      <c r="OW397"/>
      <c r="OX397"/>
      <c r="OY397"/>
      <c r="OZ397"/>
      <c r="PA397"/>
      <c r="PB397"/>
      <c r="PC397"/>
      <c r="PD397"/>
      <c r="PE397"/>
      <c r="PF397"/>
      <c r="PG397"/>
      <c r="PH397"/>
      <c r="PI397"/>
      <c r="PJ397"/>
      <c r="PK397"/>
      <c r="PL397"/>
      <c r="PM397"/>
      <c r="PN397"/>
      <c r="PO397"/>
      <c r="PP397"/>
      <c r="PQ397"/>
      <c r="PR397"/>
      <c r="PS397"/>
      <c r="PT397"/>
      <c r="PU397"/>
      <c r="PV397"/>
      <c r="PW397"/>
      <c r="PX397"/>
      <c r="PY397"/>
      <c r="PZ397"/>
      <c r="QA397"/>
      <c r="QB397"/>
      <c r="QC397"/>
      <c r="QD397"/>
      <c r="QE397"/>
      <c r="QF397"/>
      <c r="QG397"/>
      <c r="QH397"/>
      <c r="QI397"/>
      <c r="QJ397"/>
      <c r="QK397"/>
      <c r="QL397"/>
      <c r="QM397"/>
      <c r="QN397"/>
      <c r="QO397"/>
      <c r="QP397"/>
      <c r="QQ397"/>
      <c r="QR397"/>
      <c r="QS397"/>
      <c r="QT397"/>
      <c r="QU397"/>
      <c r="QV397"/>
      <c r="QW397"/>
      <c r="QX397"/>
      <c r="QY397"/>
      <c r="QZ397"/>
      <c r="RA397"/>
      <c r="RB397"/>
      <c r="RC397"/>
      <c r="RD397"/>
      <c r="RE397"/>
      <c r="RF397"/>
      <c r="RG397"/>
      <c r="RH397"/>
      <c r="RI397"/>
      <c r="RJ397"/>
      <c r="RK397"/>
      <c r="RL397"/>
      <c r="RM397"/>
      <c r="RN397"/>
      <c r="RO397"/>
      <c r="RP397"/>
      <c r="RQ397"/>
      <c r="RR397"/>
      <c r="RS397"/>
    </row>
    <row r="398" spans="19:487" x14ac:dyDescent="0.25">
      <c r="S398"/>
      <c r="T398"/>
      <c r="U398"/>
      <c r="V398"/>
      <c r="W398"/>
      <c r="X398"/>
      <c r="Y398"/>
      <c r="Z398"/>
      <c r="AA398"/>
      <c r="AB398"/>
      <c r="AC398"/>
      <c r="AD398"/>
      <c r="AE398"/>
      <c r="AF398"/>
      <c r="AG398"/>
      <c r="AH398"/>
      <c r="AI398"/>
      <c r="AJ398"/>
      <c r="AK398"/>
      <c r="AL398"/>
      <c r="AM398"/>
      <c r="AN398"/>
      <c r="AO398"/>
      <c r="AP398"/>
      <c r="AQ398"/>
      <c r="AR398"/>
      <c r="AS398"/>
      <c r="AT398"/>
      <c r="AU398"/>
      <c r="AV398"/>
      <c r="AW398"/>
      <c r="AX398"/>
      <c r="AY398"/>
      <c r="AZ398"/>
      <c r="BA398"/>
      <c r="BB398"/>
      <c r="BC398"/>
      <c r="BD398"/>
      <c r="BE398"/>
      <c r="BF398"/>
      <c r="BG398"/>
      <c r="BH398"/>
      <c r="BI398"/>
      <c r="BJ398"/>
      <c r="BK398"/>
      <c r="BL398"/>
      <c r="BM398"/>
      <c r="BN398"/>
      <c r="BO398"/>
      <c r="BP398"/>
      <c r="BQ398"/>
      <c r="BR398"/>
      <c r="BS398"/>
      <c r="BT398"/>
      <c r="BU398"/>
      <c r="BV398"/>
      <c r="BW398"/>
      <c r="BX398"/>
      <c r="BY398"/>
      <c r="BZ398"/>
      <c r="CA398"/>
      <c r="CB398"/>
      <c r="CC398"/>
      <c r="CD398"/>
      <c r="CE398"/>
      <c r="CF398"/>
      <c r="CG398"/>
      <c r="CH398"/>
      <c r="CI398"/>
      <c r="CJ398"/>
      <c r="CK398"/>
      <c r="CL398"/>
      <c r="CM398"/>
      <c r="CN398"/>
      <c r="CO398"/>
      <c r="CP398"/>
      <c r="CQ398"/>
      <c r="CR398"/>
      <c r="CS398"/>
      <c r="CT398"/>
      <c r="CU398"/>
      <c r="CV398"/>
      <c r="CW398"/>
      <c r="CX398"/>
      <c r="CY398"/>
      <c r="CZ398"/>
      <c r="DA398"/>
      <c r="DB398"/>
      <c r="DC398"/>
      <c r="DD398"/>
      <c r="DE398"/>
      <c r="DF398"/>
      <c r="DG398"/>
      <c r="DH398"/>
      <c r="DI398"/>
      <c r="DJ398"/>
      <c r="DK398"/>
      <c r="DL398"/>
      <c r="DM398"/>
      <c r="DN398"/>
      <c r="DO398"/>
      <c r="DP398"/>
      <c r="DQ398"/>
      <c r="DR398"/>
      <c r="DS398"/>
      <c r="DT398"/>
      <c r="DU398"/>
      <c r="DV398"/>
      <c r="DW398"/>
      <c r="DX398"/>
      <c r="DY398"/>
      <c r="DZ398"/>
      <c r="EA398"/>
      <c r="EB398"/>
      <c r="EC398"/>
      <c r="ED398"/>
      <c r="EE398"/>
      <c r="EF398"/>
      <c r="EG398"/>
      <c r="EH398"/>
      <c r="EI398"/>
      <c r="EJ398"/>
      <c r="EK398"/>
      <c r="EL398"/>
      <c r="EM398"/>
      <c r="EN398"/>
      <c r="EO398"/>
      <c r="EP398"/>
      <c r="EQ398"/>
      <c r="ER398"/>
      <c r="ES398"/>
      <c r="ET398"/>
      <c r="EU398"/>
      <c r="EV398"/>
      <c r="EW398"/>
      <c r="EX398"/>
      <c r="EY398"/>
      <c r="EZ398"/>
      <c r="FA398"/>
      <c r="FB398"/>
      <c r="FC398"/>
      <c r="FD398"/>
      <c r="FE398"/>
      <c r="FF398"/>
      <c r="FG398"/>
      <c r="FH398"/>
      <c r="FI398"/>
      <c r="FJ398"/>
      <c r="FK398"/>
      <c r="FL398"/>
      <c r="FM398"/>
      <c r="FN398"/>
      <c r="FO398"/>
      <c r="FP398"/>
      <c r="FQ398"/>
      <c r="FR398"/>
      <c r="FS398"/>
      <c r="FT398"/>
      <c r="FU398"/>
      <c r="FV398"/>
      <c r="FW398"/>
      <c r="FX398"/>
      <c r="FY398"/>
      <c r="FZ398"/>
      <c r="GA398"/>
      <c r="GB398"/>
      <c r="GC398"/>
      <c r="GD398"/>
      <c r="GE398"/>
      <c r="GF398"/>
      <c r="GG398"/>
      <c r="GH398"/>
      <c r="GI398"/>
      <c r="GJ398"/>
      <c r="GK398"/>
      <c r="GL398"/>
      <c r="GM398"/>
      <c r="GN398"/>
      <c r="GO398"/>
      <c r="GP398"/>
      <c r="GQ398"/>
      <c r="GR398"/>
      <c r="GS398"/>
      <c r="GT398"/>
      <c r="GU398"/>
      <c r="GV398"/>
      <c r="GW398"/>
      <c r="GX398"/>
      <c r="GY398"/>
      <c r="GZ398"/>
      <c r="HA398"/>
      <c r="HB398"/>
      <c r="HC398"/>
      <c r="HD398"/>
      <c r="HE398"/>
      <c r="HF398"/>
      <c r="HG398"/>
      <c r="HH398"/>
      <c r="HI398"/>
      <c r="HJ398"/>
      <c r="HK398"/>
      <c r="HL398"/>
      <c r="HM398"/>
      <c r="HN398"/>
      <c r="HO398"/>
      <c r="HP398"/>
      <c r="HQ398"/>
      <c r="HR398"/>
      <c r="HS398"/>
      <c r="HT398"/>
      <c r="HU398"/>
      <c r="HV398"/>
      <c r="HW398"/>
      <c r="HX398"/>
      <c r="HY398"/>
      <c r="HZ398"/>
      <c r="IA398"/>
      <c r="IB398"/>
      <c r="IC398"/>
      <c r="ID398"/>
      <c r="IE398"/>
      <c r="IF398"/>
      <c r="IG398"/>
      <c r="IH398"/>
      <c r="II398"/>
      <c r="IJ398"/>
      <c r="IK398"/>
      <c r="IL398"/>
      <c r="IM398"/>
      <c r="IN398"/>
      <c r="IO398"/>
      <c r="IP398"/>
      <c r="IQ398"/>
      <c r="IR398"/>
      <c r="IS398"/>
      <c r="IT398"/>
      <c r="IU398"/>
      <c r="IV398"/>
      <c r="IW398"/>
      <c r="IX398"/>
      <c r="IY398"/>
      <c r="IZ398"/>
      <c r="JA398"/>
      <c r="JB398"/>
      <c r="JC398"/>
      <c r="JD398"/>
      <c r="JE398"/>
      <c r="JF398"/>
      <c r="JG398"/>
      <c r="JH398"/>
      <c r="JI398"/>
      <c r="JJ398"/>
      <c r="JK398"/>
      <c r="JL398"/>
      <c r="JM398"/>
      <c r="JN398"/>
      <c r="JO398"/>
      <c r="JP398"/>
      <c r="JQ398"/>
      <c r="JR398"/>
      <c r="JS398"/>
      <c r="JT398"/>
      <c r="JU398"/>
      <c r="JV398"/>
      <c r="JW398"/>
      <c r="JX398"/>
      <c r="JY398"/>
      <c r="JZ398"/>
      <c r="KA398"/>
      <c r="KB398"/>
      <c r="KC398"/>
      <c r="KD398"/>
      <c r="KE398"/>
      <c r="KF398"/>
      <c r="KG398"/>
      <c r="KH398"/>
      <c r="KI398"/>
      <c r="KJ398"/>
      <c r="KK398"/>
      <c r="KL398"/>
      <c r="KM398"/>
      <c r="KN398"/>
      <c r="KO398"/>
      <c r="KP398"/>
      <c r="KQ398"/>
      <c r="KR398"/>
      <c r="KS398"/>
      <c r="KT398"/>
      <c r="KU398"/>
      <c r="KV398"/>
      <c r="KW398"/>
      <c r="KX398"/>
      <c r="KY398"/>
      <c r="KZ398"/>
      <c r="LA398"/>
      <c r="LB398"/>
      <c r="LC398"/>
      <c r="LD398"/>
      <c r="LE398"/>
      <c r="LF398"/>
      <c r="LG398"/>
      <c r="LH398"/>
      <c r="LI398"/>
      <c r="LJ398"/>
      <c r="LK398"/>
      <c r="LL398"/>
      <c r="LM398"/>
      <c r="LN398"/>
      <c r="LO398"/>
      <c r="LP398"/>
      <c r="LQ398"/>
      <c r="LR398"/>
      <c r="LS398"/>
      <c r="LT398"/>
      <c r="LU398"/>
      <c r="LV398"/>
      <c r="LW398"/>
      <c r="LX398"/>
      <c r="LY398"/>
      <c r="LZ398"/>
      <c r="MA398"/>
      <c r="MB398"/>
      <c r="MC398"/>
      <c r="MD398"/>
      <c r="ME398"/>
      <c r="MF398"/>
      <c r="MG398"/>
      <c r="MH398"/>
      <c r="MI398"/>
      <c r="MJ398"/>
      <c r="MK398"/>
      <c r="ML398"/>
      <c r="MM398"/>
      <c r="MN398"/>
      <c r="MO398"/>
      <c r="MP398"/>
      <c r="MQ398"/>
      <c r="MR398"/>
      <c r="MS398"/>
      <c r="MT398"/>
      <c r="MU398"/>
      <c r="MV398"/>
      <c r="MW398"/>
      <c r="MX398"/>
      <c r="MY398"/>
      <c r="MZ398"/>
      <c r="NA398"/>
      <c r="NB398"/>
      <c r="NC398"/>
      <c r="ND398"/>
      <c r="NE398"/>
      <c r="NF398"/>
      <c r="NG398"/>
      <c r="NH398"/>
      <c r="NI398"/>
      <c r="NJ398"/>
      <c r="NK398"/>
      <c r="NL398"/>
      <c r="NM398"/>
      <c r="NN398"/>
      <c r="NO398"/>
      <c r="NP398"/>
      <c r="NQ398"/>
      <c r="NR398"/>
      <c r="NS398"/>
      <c r="NT398"/>
      <c r="NU398"/>
      <c r="NV398"/>
      <c r="NW398"/>
      <c r="NX398"/>
      <c r="NY398"/>
      <c r="NZ398"/>
      <c r="OA398"/>
      <c r="OB398"/>
      <c r="OC398"/>
      <c r="OD398"/>
      <c r="OE398"/>
      <c r="OF398"/>
      <c r="OG398"/>
      <c r="OH398"/>
      <c r="OI398"/>
      <c r="OJ398"/>
      <c r="OK398"/>
      <c r="OL398"/>
      <c r="OM398"/>
      <c r="ON398"/>
      <c r="OO398"/>
      <c r="OP398"/>
      <c r="OQ398"/>
      <c r="OR398"/>
      <c r="OS398"/>
      <c r="OT398"/>
      <c r="OU398"/>
      <c r="OV398"/>
      <c r="OW398"/>
      <c r="OX398"/>
      <c r="OY398"/>
      <c r="OZ398"/>
      <c r="PA398"/>
      <c r="PB398"/>
      <c r="PC398"/>
      <c r="PD398"/>
      <c r="PE398"/>
      <c r="PF398"/>
      <c r="PG398"/>
      <c r="PH398"/>
      <c r="PI398"/>
      <c r="PJ398"/>
      <c r="PK398"/>
      <c r="PL398"/>
      <c r="PM398"/>
      <c r="PN398"/>
      <c r="PO398"/>
      <c r="PP398"/>
      <c r="PQ398"/>
      <c r="PR398"/>
      <c r="PS398"/>
      <c r="PT398"/>
      <c r="PU398"/>
      <c r="PV398"/>
      <c r="PW398"/>
      <c r="PX398"/>
      <c r="PY398"/>
      <c r="PZ398"/>
      <c r="QA398"/>
      <c r="QB398"/>
      <c r="QC398"/>
      <c r="QD398"/>
      <c r="QE398"/>
      <c r="QF398"/>
      <c r="QG398"/>
      <c r="QH398"/>
      <c r="QI398"/>
      <c r="QJ398"/>
      <c r="QK398"/>
      <c r="QL398"/>
      <c r="QM398"/>
      <c r="QN398"/>
      <c r="QO398"/>
      <c r="QP398"/>
      <c r="QQ398"/>
      <c r="QR398"/>
      <c r="QS398"/>
      <c r="QT398"/>
      <c r="QU398"/>
      <c r="QV398"/>
      <c r="QW398"/>
      <c r="QX398"/>
      <c r="QY398"/>
      <c r="QZ398"/>
      <c r="RA398"/>
      <c r="RB398"/>
      <c r="RC398"/>
      <c r="RD398"/>
      <c r="RE398"/>
      <c r="RF398"/>
      <c r="RG398"/>
      <c r="RH398"/>
      <c r="RI398"/>
      <c r="RJ398"/>
      <c r="RK398"/>
      <c r="RL398"/>
      <c r="RM398"/>
      <c r="RN398"/>
      <c r="RO398"/>
      <c r="RP398"/>
      <c r="RQ398"/>
      <c r="RR398"/>
      <c r="RS398"/>
    </row>
    <row r="399" spans="19:487" x14ac:dyDescent="0.25">
      <c r="S399"/>
      <c r="T399"/>
      <c r="U399"/>
      <c r="V399"/>
      <c r="W399"/>
      <c r="X399"/>
      <c r="Y399"/>
      <c r="Z399"/>
      <c r="AA399"/>
      <c r="AB399"/>
      <c r="AC399"/>
      <c r="AD399"/>
      <c r="AE399"/>
      <c r="AF399"/>
      <c r="AG399"/>
      <c r="AH399"/>
      <c r="AI399"/>
      <c r="AJ399"/>
      <c r="AK399"/>
      <c r="AL399"/>
      <c r="AM399"/>
      <c r="AN399"/>
      <c r="AO399"/>
      <c r="AP399"/>
      <c r="AQ399"/>
      <c r="AR399"/>
      <c r="AS399"/>
      <c r="AT399"/>
      <c r="AU399"/>
      <c r="AV399"/>
      <c r="AW399"/>
      <c r="AX399"/>
      <c r="AY399"/>
      <c r="AZ399"/>
      <c r="BA399"/>
      <c r="BB399"/>
      <c r="BC399"/>
      <c r="BD399"/>
      <c r="BE399"/>
      <c r="BF399"/>
      <c r="BG399"/>
      <c r="BH399"/>
      <c r="BI399"/>
      <c r="BJ399"/>
      <c r="BK399"/>
      <c r="BL399"/>
      <c r="BM399"/>
      <c r="BN399"/>
      <c r="BO399"/>
      <c r="BP399"/>
      <c r="BQ399"/>
      <c r="BR399"/>
      <c r="BS399"/>
      <c r="BT399"/>
      <c r="BU399"/>
      <c r="BV399"/>
      <c r="BW399"/>
      <c r="BX399"/>
      <c r="BY399"/>
      <c r="BZ399"/>
      <c r="CA399"/>
      <c r="CB399"/>
      <c r="CC399"/>
      <c r="CD399"/>
      <c r="CE399"/>
      <c r="CF399"/>
      <c r="CG399"/>
      <c r="CH399"/>
      <c r="CI399"/>
      <c r="CJ399"/>
      <c r="CK399"/>
      <c r="CL399"/>
      <c r="CM399"/>
      <c r="CN399"/>
      <c r="CO399"/>
      <c r="CP399"/>
      <c r="CQ399"/>
      <c r="CR399"/>
      <c r="CS399"/>
      <c r="CT399"/>
      <c r="CU399"/>
      <c r="CV399"/>
      <c r="CW399"/>
      <c r="CX399"/>
      <c r="CY399"/>
      <c r="CZ399"/>
      <c r="DA399"/>
      <c r="DB399"/>
      <c r="DC399"/>
      <c r="DD399"/>
      <c r="DE399"/>
      <c r="DF399"/>
      <c r="DG399"/>
      <c r="DH399"/>
      <c r="DI399"/>
      <c r="DJ399"/>
      <c r="DK399"/>
      <c r="DL399"/>
      <c r="DM399"/>
      <c r="DN399"/>
      <c r="DO399"/>
      <c r="DP399"/>
      <c r="DQ399"/>
      <c r="DR399"/>
      <c r="DS399"/>
      <c r="DT399"/>
      <c r="DU399"/>
      <c r="DV399"/>
      <c r="DW399"/>
      <c r="DX399"/>
      <c r="DY399"/>
      <c r="DZ399"/>
      <c r="EA399"/>
      <c r="EB399"/>
      <c r="EC399"/>
      <c r="ED399"/>
      <c r="EE399"/>
      <c r="EF399"/>
      <c r="EG399"/>
      <c r="EH399"/>
      <c r="EI399"/>
      <c r="EJ399"/>
      <c r="EK399"/>
      <c r="EL399"/>
      <c r="EM399"/>
      <c r="EN399"/>
      <c r="EO399"/>
      <c r="EP399"/>
      <c r="EQ399"/>
      <c r="ER399"/>
      <c r="ES399"/>
      <c r="ET399"/>
      <c r="EU399"/>
      <c r="EV399"/>
      <c r="EW399"/>
      <c r="EX399"/>
      <c r="EY399"/>
      <c r="EZ399"/>
      <c r="FA399"/>
      <c r="FB399"/>
      <c r="FC399"/>
      <c r="FD399"/>
      <c r="FE399"/>
      <c r="FF399"/>
      <c r="FG399"/>
      <c r="FH399"/>
      <c r="FI399"/>
      <c r="FJ399"/>
      <c r="FK399"/>
      <c r="FL399"/>
      <c r="FM399"/>
      <c r="FN399"/>
      <c r="FO399"/>
      <c r="FP399"/>
      <c r="FQ399"/>
      <c r="FR399"/>
      <c r="FS399"/>
      <c r="FT399"/>
      <c r="FU399"/>
      <c r="FV399"/>
      <c r="FW399"/>
      <c r="FX399"/>
      <c r="FY399"/>
      <c r="FZ399"/>
      <c r="GA399"/>
      <c r="GB399"/>
      <c r="GC399"/>
      <c r="GD399"/>
      <c r="GE399"/>
      <c r="GF399"/>
      <c r="GG399"/>
      <c r="GH399"/>
      <c r="GI399"/>
      <c r="GJ399"/>
      <c r="GK399"/>
      <c r="GL399"/>
      <c r="GM399"/>
      <c r="GN399"/>
      <c r="GO399"/>
      <c r="GP399"/>
      <c r="GQ399"/>
      <c r="GR399"/>
      <c r="GS399"/>
      <c r="GT399"/>
      <c r="GU399"/>
      <c r="GV399"/>
      <c r="GW399"/>
      <c r="GX399"/>
      <c r="GY399"/>
      <c r="GZ399"/>
      <c r="HA399"/>
      <c r="HB399"/>
      <c r="HC399"/>
      <c r="HD399"/>
      <c r="HE399"/>
      <c r="HF399"/>
      <c r="HG399"/>
      <c r="HH399"/>
      <c r="HI399"/>
      <c r="HJ399"/>
      <c r="HK399"/>
      <c r="HL399"/>
      <c r="HM399"/>
      <c r="HN399"/>
      <c r="HO399"/>
      <c r="HP399"/>
      <c r="HQ399"/>
      <c r="HR399"/>
      <c r="HS399"/>
      <c r="HT399"/>
      <c r="HU399"/>
      <c r="HV399"/>
      <c r="HW399"/>
      <c r="HX399"/>
      <c r="HY399"/>
      <c r="HZ399"/>
      <c r="IA399"/>
      <c r="IB399"/>
      <c r="IC399"/>
      <c r="ID399"/>
      <c r="IE399"/>
      <c r="IF399"/>
      <c r="IG399"/>
      <c r="IH399"/>
      <c r="II399"/>
      <c r="IJ399"/>
      <c r="IK399"/>
      <c r="IL399"/>
      <c r="IM399"/>
      <c r="IN399"/>
      <c r="IO399"/>
      <c r="IP399"/>
      <c r="IQ399"/>
      <c r="IR399"/>
      <c r="IS399"/>
      <c r="IT399"/>
      <c r="IU399"/>
      <c r="IV399"/>
      <c r="IW399"/>
      <c r="IX399"/>
      <c r="IY399"/>
      <c r="IZ399"/>
      <c r="JA399"/>
      <c r="JB399"/>
      <c r="JC399"/>
      <c r="JD399"/>
      <c r="JE399"/>
      <c r="JF399"/>
      <c r="JG399"/>
      <c r="JH399"/>
      <c r="JI399"/>
      <c r="JJ399"/>
      <c r="JK399"/>
      <c r="JL399"/>
      <c r="JM399"/>
      <c r="JN399"/>
      <c r="JO399"/>
      <c r="JP399"/>
      <c r="JQ399"/>
      <c r="JR399"/>
      <c r="JS399"/>
      <c r="JT399"/>
      <c r="JU399"/>
      <c r="JV399"/>
      <c r="JW399"/>
      <c r="JX399"/>
      <c r="JY399"/>
      <c r="JZ399"/>
      <c r="KA399"/>
      <c r="KB399"/>
      <c r="KC399"/>
      <c r="KD399"/>
      <c r="KE399"/>
      <c r="KF399"/>
      <c r="KG399"/>
      <c r="KH399"/>
      <c r="KI399"/>
      <c r="KJ399"/>
      <c r="KK399"/>
      <c r="KL399"/>
      <c r="KM399"/>
      <c r="KN399"/>
      <c r="KO399"/>
      <c r="KP399"/>
      <c r="KQ399"/>
      <c r="KR399"/>
      <c r="KS399"/>
      <c r="KT399"/>
      <c r="KU399"/>
      <c r="KV399"/>
      <c r="KW399"/>
      <c r="KX399"/>
      <c r="KY399"/>
      <c r="KZ399"/>
      <c r="LA399"/>
      <c r="LB399"/>
      <c r="LC399"/>
      <c r="LD399"/>
      <c r="LE399"/>
      <c r="LF399"/>
      <c r="LG399"/>
      <c r="LH399"/>
      <c r="LI399"/>
      <c r="LJ399"/>
      <c r="LK399"/>
      <c r="LL399"/>
      <c r="LM399"/>
      <c r="LN399"/>
      <c r="LO399"/>
      <c r="LP399"/>
      <c r="LQ399"/>
      <c r="LR399"/>
      <c r="LS399"/>
      <c r="LT399"/>
      <c r="LU399"/>
      <c r="LV399"/>
      <c r="LW399"/>
      <c r="LX399"/>
      <c r="LY399"/>
      <c r="LZ399"/>
      <c r="MA399"/>
      <c r="MB399"/>
      <c r="MC399"/>
      <c r="MD399"/>
      <c r="ME399"/>
      <c r="MF399"/>
      <c r="MG399"/>
      <c r="MH399"/>
      <c r="MI399"/>
      <c r="MJ399"/>
      <c r="MK399"/>
      <c r="ML399"/>
      <c r="MM399"/>
      <c r="MN399"/>
      <c r="MO399"/>
      <c r="MP399"/>
      <c r="MQ399"/>
      <c r="MR399"/>
      <c r="MS399"/>
      <c r="MT399"/>
      <c r="MU399"/>
      <c r="MV399"/>
      <c r="MW399"/>
      <c r="MX399"/>
      <c r="MY399"/>
      <c r="MZ399"/>
      <c r="NA399"/>
      <c r="NB399"/>
      <c r="NC399"/>
      <c r="ND399"/>
      <c r="NE399"/>
      <c r="NF399"/>
      <c r="NG399"/>
      <c r="NH399"/>
      <c r="NI399"/>
      <c r="NJ399"/>
      <c r="NK399"/>
      <c r="NL399"/>
      <c r="NM399"/>
      <c r="NN399"/>
      <c r="NO399"/>
      <c r="NP399"/>
      <c r="NQ399"/>
      <c r="NR399"/>
      <c r="NS399"/>
      <c r="NT399"/>
      <c r="NU399"/>
      <c r="NV399"/>
      <c r="NW399"/>
      <c r="NX399"/>
      <c r="NY399"/>
      <c r="NZ399"/>
      <c r="OA399"/>
      <c r="OB399"/>
      <c r="OC399"/>
      <c r="OD399"/>
      <c r="OE399"/>
      <c r="OF399"/>
      <c r="OG399"/>
      <c r="OH399"/>
      <c r="OI399"/>
      <c r="OJ399"/>
      <c r="OK399"/>
      <c r="OL399"/>
      <c r="OM399"/>
      <c r="ON399"/>
      <c r="OO399"/>
      <c r="OP399"/>
      <c r="OQ399"/>
      <c r="OR399"/>
      <c r="OS399"/>
      <c r="OT399"/>
      <c r="OU399"/>
      <c r="OV399"/>
      <c r="OW399"/>
      <c r="OX399"/>
      <c r="OY399"/>
      <c r="OZ399"/>
      <c r="PA399"/>
      <c r="PB399"/>
      <c r="PC399"/>
      <c r="PD399"/>
      <c r="PE399"/>
      <c r="PF399"/>
      <c r="PG399"/>
      <c r="PH399"/>
      <c r="PI399"/>
      <c r="PJ399"/>
      <c r="PK399"/>
      <c r="PL399"/>
      <c r="PM399"/>
      <c r="PN399"/>
      <c r="PO399"/>
      <c r="PP399"/>
      <c r="PQ399"/>
      <c r="PR399"/>
      <c r="PS399"/>
      <c r="PT399"/>
      <c r="PU399"/>
      <c r="PV399"/>
      <c r="PW399"/>
      <c r="PX399"/>
      <c r="PY399"/>
      <c r="PZ399"/>
      <c r="QA399"/>
      <c r="QB399"/>
      <c r="QC399"/>
      <c r="QD399"/>
      <c r="QE399"/>
      <c r="QF399"/>
      <c r="QG399"/>
      <c r="QH399"/>
      <c r="QI399"/>
      <c r="QJ399"/>
      <c r="QK399"/>
      <c r="QL399"/>
      <c r="QM399"/>
      <c r="QN399"/>
      <c r="QO399"/>
      <c r="QP399"/>
      <c r="QQ399"/>
      <c r="QR399"/>
      <c r="QS399"/>
      <c r="QT399"/>
      <c r="QU399"/>
      <c r="QV399"/>
      <c r="QW399"/>
      <c r="QX399"/>
      <c r="QY399"/>
      <c r="QZ399"/>
      <c r="RA399"/>
      <c r="RB399"/>
      <c r="RC399"/>
      <c r="RD399"/>
      <c r="RE399"/>
      <c r="RF399"/>
      <c r="RG399"/>
      <c r="RH399"/>
      <c r="RI399"/>
      <c r="RJ399"/>
      <c r="RK399"/>
      <c r="RL399"/>
      <c r="RM399"/>
      <c r="RN399"/>
      <c r="RO399"/>
      <c r="RP399"/>
      <c r="RQ399"/>
      <c r="RR399"/>
      <c r="RS399"/>
    </row>
    <row r="400" spans="19:487" x14ac:dyDescent="0.25">
      <c r="S400"/>
      <c r="T400"/>
      <c r="U400"/>
      <c r="V400"/>
      <c r="W400"/>
      <c r="X400"/>
      <c r="Y400"/>
      <c r="Z400"/>
      <c r="AA400"/>
      <c r="AB400"/>
      <c r="AC400"/>
      <c r="AD400"/>
      <c r="AE400"/>
      <c r="AF400"/>
      <c r="AG400"/>
      <c r="AH400"/>
      <c r="AI400"/>
      <c r="AJ400"/>
      <c r="AK400"/>
      <c r="AL400"/>
      <c r="AM400"/>
      <c r="AN400"/>
      <c r="AO400"/>
      <c r="AP400"/>
      <c r="AQ400"/>
      <c r="AR400"/>
      <c r="AS400"/>
      <c r="AT400"/>
      <c r="AU400"/>
      <c r="AV400"/>
      <c r="AW400"/>
      <c r="AX400"/>
      <c r="AY400"/>
      <c r="AZ400"/>
      <c r="BA400"/>
      <c r="BB400"/>
      <c r="BC400"/>
      <c r="BD400"/>
      <c r="BE400"/>
      <c r="BF400"/>
      <c r="BG400"/>
      <c r="BH400"/>
      <c r="BI400"/>
      <c r="BJ400"/>
      <c r="BK400"/>
      <c r="BL400"/>
      <c r="BM400"/>
      <c r="BN400"/>
      <c r="BO400"/>
      <c r="BP400"/>
      <c r="BQ400"/>
      <c r="BR400"/>
      <c r="BS400"/>
      <c r="BT400"/>
      <c r="BU400"/>
      <c r="BV400"/>
      <c r="BW400"/>
      <c r="BX400"/>
      <c r="BY400"/>
      <c r="BZ400"/>
      <c r="CA400"/>
      <c r="CB400"/>
      <c r="CC400"/>
      <c r="CD400"/>
      <c r="CE400"/>
      <c r="CF400"/>
      <c r="CG400"/>
      <c r="CH400"/>
      <c r="CI400"/>
      <c r="CJ400"/>
      <c r="CK400"/>
      <c r="CL400"/>
      <c r="CM400"/>
      <c r="CN400"/>
      <c r="CO400"/>
      <c r="CP400"/>
      <c r="CQ400"/>
      <c r="CR400"/>
      <c r="CS400"/>
      <c r="CT400"/>
      <c r="CU400"/>
      <c r="CV400"/>
      <c r="CW400"/>
      <c r="CX400"/>
      <c r="CY400"/>
      <c r="CZ400"/>
      <c r="DA400"/>
      <c r="DB400"/>
      <c r="DC400"/>
      <c r="DD400"/>
      <c r="DE400"/>
      <c r="DF400"/>
      <c r="DG400"/>
      <c r="DH400"/>
      <c r="DI400"/>
      <c r="DJ400"/>
      <c r="DK400"/>
      <c r="DL400"/>
      <c r="DM400"/>
      <c r="DN400"/>
      <c r="DO400"/>
      <c r="DP400"/>
      <c r="DQ400"/>
      <c r="DR400"/>
      <c r="DS400"/>
      <c r="DT400"/>
      <c r="DU400"/>
      <c r="DV400"/>
      <c r="DW400"/>
      <c r="DX400"/>
      <c r="DY400"/>
      <c r="DZ400"/>
      <c r="EA400"/>
      <c r="EB400"/>
      <c r="EC400"/>
      <c r="ED400"/>
      <c r="EE400"/>
      <c r="EF400"/>
      <c r="EG400"/>
      <c r="EH400"/>
      <c r="EI400"/>
      <c r="EJ400"/>
      <c r="EK400"/>
      <c r="EL400"/>
      <c r="EM400"/>
      <c r="EN400"/>
      <c r="EO400"/>
      <c r="EP400"/>
      <c r="EQ400"/>
      <c r="ER400"/>
      <c r="ES400"/>
      <c r="ET400"/>
      <c r="EU400"/>
      <c r="EV400"/>
      <c r="EW400"/>
      <c r="EX400"/>
      <c r="EY400"/>
      <c r="EZ400"/>
      <c r="FA400"/>
      <c r="FB400"/>
      <c r="FC400"/>
      <c r="FD400"/>
      <c r="FE400"/>
      <c r="FF400"/>
      <c r="FG400"/>
      <c r="FH400"/>
      <c r="FI400"/>
      <c r="FJ400"/>
      <c r="FK400"/>
      <c r="FL400"/>
      <c r="FM400"/>
      <c r="FN400"/>
      <c r="FO400"/>
      <c r="FP400"/>
      <c r="FQ400"/>
      <c r="FR400"/>
      <c r="FS400"/>
      <c r="FT400"/>
      <c r="FU400"/>
      <c r="FV400"/>
      <c r="FW400"/>
      <c r="FX400"/>
      <c r="FY400"/>
      <c r="FZ400"/>
      <c r="GA400"/>
      <c r="GB400"/>
      <c r="GC400"/>
      <c r="GD400"/>
      <c r="GE400"/>
      <c r="GF400"/>
      <c r="GG400"/>
      <c r="GH400"/>
      <c r="GI400"/>
      <c r="GJ400"/>
      <c r="GK400"/>
      <c r="GL400"/>
      <c r="GM400"/>
      <c r="GN400"/>
      <c r="GO400"/>
      <c r="GP400"/>
      <c r="GQ400"/>
      <c r="GR400"/>
      <c r="GS400"/>
      <c r="GT400"/>
      <c r="GU400"/>
      <c r="GV400"/>
      <c r="GW400"/>
      <c r="GX400"/>
      <c r="GY400"/>
      <c r="GZ400"/>
      <c r="HA400"/>
      <c r="HB400"/>
      <c r="HC400"/>
      <c r="HD400"/>
      <c r="HE400"/>
      <c r="HF400"/>
      <c r="HG400"/>
      <c r="HH400"/>
      <c r="HI400"/>
      <c r="HJ400"/>
      <c r="HK400"/>
      <c r="HL400"/>
      <c r="HM400"/>
      <c r="HN400"/>
      <c r="HO400"/>
      <c r="HP400"/>
      <c r="HQ400"/>
      <c r="HR400"/>
      <c r="HS400"/>
      <c r="HT400"/>
      <c r="HU400"/>
      <c r="HV400"/>
      <c r="HW400"/>
      <c r="HX400"/>
      <c r="HY400"/>
      <c r="HZ400"/>
      <c r="IA400"/>
      <c r="IB400"/>
      <c r="IC400"/>
      <c r="ID400"/>
      <c r="IE400"/>
      <c r="IF400"/>
      <c r="IG400"/>
      <c r="IH400"/>
      <c r="II400"/>
      <c r="IJ400"/>
      <c r="IK400"/>
      <c r="IL400"/>
      <c r="IM400"/>
      <c r="IN400"/>
      <c r="IO400"/>
      <c r="IP400"/>
      <c r="IQ400"/>
      <c r="IR400"/>
      <c r="IS400"/>
      <c r="IT400"/>
      <c r="IU400"/>
      <c r="IV400"/>
      <c r="IW400"/>
      <c r="IX400"/>
      <c r="IY400"/>
      <c r="IZ400"/>
      <c r="JA400"/>
      <c r="JB400"/>
      <c r="JC400"/>
      <c r="JD400"/>
      <c r="JE400"/>
      <c r="JF400"/>
      <c r="JG400"/>
      <c r="JH400"/>
      <c r="JI400"/>
      <c r="JJ400"/>
      <c r="JK400"/>
      <c r="JL400"/>
      <c r="JM400"/>
      <c r="JN400"/>
      <c r="JO400"/>
      <c r="JP400"/>
      <c r="JQ400"/>
      <c r="JR400"/>
      <c r="JS400"/>
      <c r="JT400"/>
      <c r="JU400"/>
      <c r="JV400"/>
      <c r="JW400"/>
      <c r="JX400"/>
      <c r="JY400"/>
      <c r="JZ400"/>
      <c r="KA400"/>
      <c r="KB400"/>
      <c r="KC400"/>
      <c r="KD400"/>
      <c r="KE400"/>
      <c r="KF400"/>
      <c r="KG400"/>
      <c r="KH400"/>
      <c r="KI400"/>
      <c r="KJ400"/>
      <c r="KK400"/>
      <c r="KL400"/>
      <c r="KM400"/>
      <c r="KN400"/>
      <c r="KO400"/>
      <c r="KP400"/>
      <c r="KQ400"/>
      <c r="KR400"/>
      <c r="KS400"/>
      <c r="KT400"/>
      <c r="KU400"/>
      <c r="KV400"/>
      <c r="KW400"/>
      <c r="KX400"/>
      <c r="KY400"/>
      <c r="KZ400"/>
      <c r="LA400"/>
      <c r="LB400"/>
      <c r="LC400"/>
      <c r="LD400"/>
      <c r="LE400"/>
      <c r="LF400"/>
      <c r="LG400"/>
      <c r="LH400"/>
      <c r="LI400"/>
      <c r="LJ400"/>
      <c r="LK400"/>
      <c r="LL400"/>
      <c r="LM400"/>
      <c r="LN400"/>
      <c r="LO400"/>
      <c r="LP400"/>
      <c r="LQ400"/>
      <c r="LR400"/>
      <c r="LS400"/>
      <c r="LT400"/>
      <c r="LU400"/>
      <c r="LV400"/>
      <c r="LW400"/>
      <c r="LX400"/>
      <c r="LY400"/>
      <c r="LZ400"/>
      <c r="MA400"/>
      <c r="MB400"/>
      <c r="MC400"/>
      <c r="MD400"/>
      <c r="ME400"/>
      <c r="MF400"/>
      <c r="MG400"/>
      <c r="MH400"/>
      <c r="MI400"/>
      <c r="MJ400"/>
      <c r="MK400"/>
      <c r="ML400"/>
      <c r="MM400"/>
      <c r="MN400"/>
      <c r="MO400"/>
      <c r="MP400"/>
      <c r="MQ400"/>
      <c r="MR400"/>
      <c r="MS400"/>
      <c r="MT400"/>
      <c r="MU400"/>
      <c r="MV400"/>
      <c r="MW400"/>
      <c r="MX400"/>
      <c r="MY400"/>
      <c r="MZ400"/>
      <c r="NA400"/>
      <c r="NB400"/>
      <c r="NC400"/>
      <c r="ND400"/>
      <c r="NE400"/>
      <c r="NF400"/>
      <c r="NG400"/>
      <c r="NH400"/>
      <c r="NI400"/>
      <c r="NJ400"/>
      <c r="NK400"/>
      <c r="NL400"/>
      <c r="NM400"/>
      <c r="NN400"/>
      <c r="NO400"/>
      <c r="NP400"/>
      <c r="NQ400"/>
      <c r="NR400"/>
      <c r="NS400"/>
      <c r="NT400"/>
      <c r="NU400"/>
      <c r="NV400"/>
      <c r="NW400"/>
      <c r="NX400"/>
      <c r="NY400"/>
      <c r="NZ400"/>
      <c r="OA400"/>
      <c r="OB400"/>
      <c r="OC400"/>
      <c r="OD400"/>
      <c r="OE400"/>
      <c r="OF400"/>
      <c r="OG400"/>
      <c r="OH400"/>
      <c r="OI400"/>
      <c r="OJ400"/>
      <c r="OK400"/>
      <c r="OL400"/>
      <c r="OM400"/>
      <c r="ON400"/>
      <c r="OO400"/>
      <c r="OP400"/>
      <c r="OQ400"/>
      <c r="OR400"/>
      <c r="OS400"/>
      <c r="OT400"/>
      <c r="OU400"/>
      <c r="OV400"/>
      <c r="OW400"/>
      <c r="OX400"/>
      <c r="OY400"/>
      <c r="OZ400"/>
      <c r="PA400"/>
      <c r="PB400"/>
      <c r="PC400"/>
      <c r="PD400"/>
      <c r="PE400"/>
      <c r="PF400"/>
      <c r="PG400"/>
      <c r="PH400"/>
      <c r="PI400"/>
      <c r="PJ400"/>
      <c r="PK400"/>
      <c r="PL400"/>
      <c r="PM400"/>
      <c r="PN400"/>
      <c r="PO400"/>
      <c r="PP400"/>
      <c r="PQ400"/>
      <c r="PR400"/>
      <c r="PS400"/>
      <c r="PT400"/>
      <c r="PU400"/>
      <c r="PV400"/>
      <c r="PW400"/>
      <c r="PX400"/>
      <c r="PY400"/>
      <c r="PZ400"/>
      <c r="QA400"/>
      <c r="QB400"/>
      <c r="QC400"/>
      <c r="QD400"/>
      <c r="QE400"/>
      <c r="QF400"/>
      <c r="QG400"/>
      <c r="QH400"/>
      <c r="QI400"/>
      <c r="QJ400"/>
      <c r="QK400"/>
      <c r="QL400"/>
      <c r="QM400"/>
      <c r="QN400"/>
      <c r="QO400"/>
      <c r="QP400"/>
      <c r="QQ400"/>
      <c r="QR400"/>
      <c r="QS400"/>
      <c r="QT400"/>
      <c r="QU400"/>
      <c r="QV400"/>
      <c r="QW400"/>
      <c r="QX400"/>
      <c r="QY400"/>
      <c r="QZ400"/>
      <c r="RA400"/>
      <c r="RB400"/>
      <c r="RC400"/>
      <c r="RD400"/>
      <c r="RE400"/>
      <c r="RF400"/>
      <c r="RG400"/>
      <c r="RH400"/>
      <c r="RI400"/>
      <c r="RJ400"/>
      <c r="RK400"/>
      <c r="RL400"/>
      <c r="RM400"/>
      <c r="RN400"/>
      <c r="RO400"/>
      <c r="RP400"/>
      <c r="RQ400"/>
      <c r="RR400"/>
      <c r="RS400"/>
    </row>
    <row r="401" spans="19:487" x14ac:dyDescent="0.25">
      <c r="S401"/>
      <c r="T401"/>
      <c r="U401"/>
      <c r="V401"/>
      <c r="W401"/>
      <c r="X401"/>
      <c r="Y401"/>
      <c r="Z401"/>
      <c r="AA401"/>
      <c r="AB401"/>
      <c r="AC401"/>
      <c r="AD401"/>
      <c r="AE401"/>
      <c r="AF401"/>
      <c r="AG401"/>
      <c r="AH401"/>
      <c r="AI401"/>
      <c r="AJ401"/>
      <c r="AK401"/>
      <c r="AL401"/>
      <c r="AM401"/>
      <c r="AN401"/>
      <c r="AO401"/>
      <c r="AP401"/>
      <c r="AQ401"/>
      <c r="AR401"/>
      <c r="AS401"/>
      <c r="AT401"/>
      <c r="AU401"/>
      <c r="AV401"/>
      <c r="AW401"/>
      <c r="AX401"/>
      <c r="AY401"/>
      <c r="AZ401"/>
      <c r="BA401"/>
      <c r="BB401"/>
      <c r="BC401"/>
      <c r="BD401"/>
      <c r="BE401"/>
      <c r="BF401"/>
      <c r="BG401"/>
      <c r="BH401"/>
      <c r="BI401"/>
      <c r="BJ401"/>
      <c r="BK401"/>
      <c r="BL401"/>
      <c r="BM401"/>
      <c r="BN401"/>
      <c r="BO401"/>
      <c r="BP401"/>
      <c r="BQ401"/>
      <c r="BR401"/>
      <c r="BS401"/>
      <c r="BT401"/>
      <c r="BU401"/>
      <c r="BV401"/>
      <c r="BW401"/>
      <c r="BX401"/>
      <c r="BY401"/>
      <c r="BZ401"/>
      <c r="CA401"/>
      <c r="CB401"/>
      <c r="CC401"/>
      <c r="CD401"/>
      <c r="CE401"/>
      <c r="CF401"/>
      <c r="CG401"/>
      <c r="CH401"/>
      <c r="CI401"/>
      <c r="CJ401"/>
      <c r="CK401"/>
      <c r="CL401"/>
      <c r="CM401"/>
      <c r="CN401"/>
      <c r="CO401"/>
      <c r="CP401"/>
      <c r="CQ401"/>
      <c r="CR401"/>
      <c r="CS401"/>
      <c r="CT401"/>
      <c r="CU401"/>
      <c r="CV401"/>
      <c r="CW401"/>
      <c r="CX401"/>
      <c r="CY401"/>
      <c r="CZ401"/>
      <c r="DA401"/>
      <c r="DB401"/>
      <c r="DC401"/>
      <c r="DD401"/>
      <c r="DE401"/>
      <c r="DF401"/>
      <c r="DG401"/>
      <c r="DH401"/>
      <c r="DI401"/>
      <c r="DJ401"/>
      <c r="DK401"/>
      <c r="DL401"/>
      <c r="DM401"/>
      <c r="DN401"/>
      <c r="DO401"/>
      <c r="DP401"/>
      <c r="DQ401"/>
      <c r="DR401"/>
      <c r="DS401"/>
      <c r="DT401"/>
      <c r="DU401"/>
      <c r="DV401"/>
      <c r="DW401"/>
      <c r="DX401"/>
      <c r="DY401"/>
      <c r="DZ401"/>
      <c r="EA401"/>
      <c r="EB401"/>
      <c r="EC401"/>
      <c r="ED401"/>
      <c r="EE401"/>
      <c r="EF401"/>
      <c r="EG401"/>
      <c r="EH401"/>
      <c r="EI401"/>
      <c r="EJ401"/>
      <c r="EK401"/>
      <c r="EL401"/>
      <c r="EM401"/>
      <c r="EN401"/>
      <c r="EO401"/>
      <c r="EP401"/>
      <c r="EQ401"/>
      <c r="ER401"/>
      <c r="ES401"/>
      <c r="ET401"/>
      <c r="EU401"/>
      <c r="EV401"/>
      <c r="EW401"/>
      <c r="EX401"/>
      <c r="EY401"/>
      <c r="EZ401"/>
      <c r="FA401"/>
      <c r="FB401"/>
      <c r="FC401"/>
      <c r="FD401"/>
      <c r="FE401"/>
      <c r="FF401"/>
      <c r="FG401"/>
      <c r="FH401"/>
      <c r="FI401"/>
      <c r="FJ401"/>
      <c r="FK401"/>
      <c r="FL401"/>
      <c r="FM401"/>
      <c r="FN401"/>
      <c r="FO401"/>
      <c r="FP401"/>
      <c r="FQ401"/>
      <c r="FR401"/>
      <c r="FS401"/>
      <c r="FT401"/>
      <c r="FU401"/>
      <c r="FV401"/>
      <c r="FW401"/>
      <c r="FX401"/>
      <c r="FY401"/>
      <c r="FZ401"/>
      <c r="GA401"/>
      <c r="GB401"/>
      <c r="GC401"/>
      <c r="GD401"/>
      <c r="GE401"/>
      <c r="GF401"/>
      <c r="GG401"/>
      <c r="GH401"/>
      <c r="GI401"/>
      <c r="GJ401"/>
      <c r="GK401"/>
      <c r="GL401"/>
      <c r="GM401"/>
      <c r="GN401"/>
      <c r="GO401"/>
      <c r="GP401"/>
      <c r="GQ401"/>
      <c r="GR401"/>
      <c r="GS401"/>
      <c r="GT401"/>
      <c r="GU401"/>
      <c r="GV401"/>
      <c r="GW401"/>
      <c r="GX401"/>
      <c r="GY401"/>
      <c r="GZ401"/>
      <c r="HA401"/>
      <c r="HB401"/>
      <c r="HC401"/>
      <c r="HD401"/>
      <c r="HE401"/>
      <c r="HF401"/>
      <c r="HG401"/>
      <c r="HH401"/>
      <c r="HI401"/>
      <c r="HJ401"/>
      <c r="HK401"/>
      <c r="HL401"/>
      <c r="HM401"/>
      <c r="HN401"/>
      <c r="HO401"/>
      <c r="HP401"/>
      <c r="HQ401"/>
      <c r="HR401"/>
      <c r="HS401"/>
      <c r="HT401"/>
      <c r="HU401"/>
      <c r="HV401"/>
      <c r="HW401"/>
      <c r="HX401"/>
      <c r="HY401"/>
      <c r="HZ401"/>
      <c r="IA401"/>
      <c r="IB401"/>
      <c r="IC401"/>
      <c r="ID401"/>
      <c r="IE401"/>
      <c r="IF401"/>
      <c r="IG401"/>
      <c r="IH401"/>
      <c r="II401"/>
      <c r="IJ401"/>
      <c r="IK401"/>
      <c r="IL401"/>
      <c r="IM401"/>
      <c r="IN401"/>
      <c r="IO401"/>
      <c r="IP401"/>
      <c r="IQ401"/>
      <c r="IR401"/>
      <c r="IS401"/>
      <c r="IT401"/>
      <c r="IU401"/>
      <c r="IV401"/>
      <c r="IW401"/>
      <c r="IX401"/>
      <c r="IY401"/>
      <c r="IZ401"/>
      <c r="JA401"/>
      <c r="JB401"/>
      <c r="JC401"/>
      <c r="JD401"/>
      <c r="JE401"/>
      <c r="JF401"/>
      <c r="JG401"/>
      <c r="JH401"/>
      <c r="JI401"/>
      <c r="JJ401"/>
      <c r="JK401"/>
      <c r="JL401"/>
      <c r="JM401"/>
      <c r="JN401"/>
      <c r="JO401"/>
      <c r="JP401"/>
      <c r="JQ401"/>
      <c r="JR401"/>
      <c r="JS401"/>
      <c r="JT401"/>
      <c r="JU401"/>
      <c r="JV401"/>
      <c r="JW401"/>
      <c r="JX401"/>
      <c r="JY401"/>
      <c r="JZ401"/>
      <c r="KA401"/>
      <c r="KB401"/>
      <c r="KC401"/>
      <c r="KD401"/>
      <c r="KE401"/>
      <c r="KF401"/>
      <c r="KG401"/>
      <c r="KH401"/>
      <c r="KI401"/>
      <c r="KJ401"/>
      <c r="KK401"/>
      <c r="KL401"/>
      <c r="KM401"/>
      <c r="KN401"/>
      <c r="KO401"/>
      <c r="KP401"/>
      <c r="KQ401"/>
      <c r="KR401"/>
      <c r="KS401"/>
      <c r="KT401"/>
      <c r="KU401"/>
      <c r="KV401"/>
      <c r="KW401"/>
      <c r="KX401"/>
      <c r="KY401"/>
      <c r="KZ401"/>
      <c r="LA401"/>
      <c r="LB401"/>
      <c r="LC401"/>
      <c r="LD401"/>
      <c r="LE401"/>
      <c r="LF401"/>
      <c r="LG401"/>
      <c r="LH401"/>
      <c r="LI401"/>
      <c r="LJ401"/>
      <c r="LK401"/>
      <c r="LL401"/>
      <c r="LM401"/>
      <c r="LN401"/>
      <c r="LO401"/>
      <c r="LP401"/>
      <c r="LQ401"/>
      <c r="LR401"/>
      <c r="LS401"/>
      <c r="LT401"/>
      <c r="LU401"/>
      <c r="LV401"/>
      <c r="LW401"/>
      <c r="LX401"/>
      <c r="LY401"/>
      <c r="LZ401"/>
      <c r="MA401"/>
      <c r="MB401"/>
      <c r="MC401"/>
      <c r="MD401"/>
      <c r="ME401"/>
      <c r="MF401"/>
      <c r="MG401"/>
      <c r="MH401"/>
      <c r="MI401"/>
      <c r="MJ401"/>
      <c r="MK401"/>
      <c r="ML401"/>
      <c r="MM401"/>
      <c r="MN401"/>
      <c r="MO401"/>
      <c r="MP401"/>
      <c r="MQ401"/>
      <c r="MR401"/>
      <c r="MS401"/>
      <c r="MT401"/>
      <c r="MU401"/>
      <c r="MV401"/>
      <c r="MW401"/>
      <c r="MX401"/>
      <c r="MY401"/>
      <c r="MZ401"/>
      <c r="NA401"/>
      <c r="NB401"/>
      <c r="NC401"/>
      <c r="ND401"/>
      <c r="NE401"/>
      <c r="NF401"/>
      <c r="NG401"/>
      <c r="NH401"/>
      <c r="NI401"/>
      <c r="NJ401"/>
      <c r="NK401"/>
      <c r="NL401"/>
      <c r="NM401"/>
      <c r="NN401"/>
      <c r="NO401"/>
      <c r="NP401"/>
      <c r="NQ401"/>
      <c r="NR401"/>
      <c r="NS401"/>
      <c r="NT401"/>
      <c r="NU401"/>
      <c r="NV401"/>
      <c r="NW401"/>
      <c r="NX401"/>
      <c r="NY401"/>
      <c r="NZ401"/>
      <c r="OA401"/>
      <c r="OB401"/>
      <c r="OC401"/>
      <c r="OD401"/>
      <c r="OE401"/>
      <c r="OF401"/>
      <c r="OG401"/>
      <c r="OH401"/>
      <c r="OI401"/>
      <c r="OJ401"/>
      <c r="OK401"/>
      <c r="OL401"/>
      <c r="OM401"/>
      <c r="ON401"/>
      <c r="OO401"/>
      <c r="OP401"/>
      <c r="OQ401"/>
      <c r="OR401"/>
      <c r="OS401"/>
      <c r="OT401"/>
      <c r="OU401"/>
      <c r="OV401"/>
      <c r="OW401"/>
      <c r="OX401"/>
      <c r="OY401"/>
      <c r="OZ401"/>
      <c r="PA401"/>
      <c r="PB401"/>
      <c r="PC401"/>
      <c r="PD401"/>
      <c r="PE401"/>
      <c r="PF401"/>
      <c r="PG401"/>
      <c r="PH401"/>
      <c r="PI401"/>
      <c r="PJ401"/>
      <c r="PK401"/>
      <c r="PL401"/>
      <c r="PM401"/>
      <c r="PN401"/>
      <c r="PO401"/>
      <c r="PP401"/>
      <c r="PQ401"/>
      <c r="PR401"/>
      <c r="PS401"/>
      <c r="PT401"/>
      <c r="PU401"/>
      <c r="PV401"/>
      <c r="PW401"/>
      <c r="PX401"/>
      <c r="PY401"/>
      <c r="PZ401"/>
      <c r="QA401"/>
      <c r="QB401"/>
      <c r="QC401"/>
      <c r="QD401"/>
      <c r="QE401"/>
      <c r="QF401"/>
      <c r="QG401"/>
      <c r="QH401"/>
      <c r="QI401"/>
      <c r="QJ401"/>
      <c r="QK401"/>
      <c r="QL401"/>
      <c r="QM401"/>
      <c r="QN401"/>
      <c r="QO401"/>
      <c r="QP401"/>
      <c r="QQ401"/>
      <c r="QR401"/>
      <c r="QS401"/>
      <c r="QT401"/>
      <c r="QU401"/>
      <c r="QV401"/>
      <c r="QW401"/>
      <c r="QX401"/>
      <c r="QY401"/>
      <c r="QZ401"/>
      <c r="RA401"/>
      <c r="RB401"/>
      <c r="RC401"/>
      <c r="RD401"/>
      <c r="RE401"/>
      <c r="RF401"/>
      <c r="RG401"/>
      <c r="RH401"/>
      <c r="RI401"/>
      <c r="RJ401"/>
      <c r="RK401"/>
      <c r="RL401"/>
      <c r="RM401"/>
      <c r="RN401"/>
      <c r="RO401"/>
      <c r="RP401"/>
      <c r="RQ401"/>
      <c r="RR401"/>
      <c r="RS401"/>
    </row>
    <row r="402" spans="19:487" x14ac:dyDescent="0.25">
      <c r="S402"/>
      <c r="T402"/>
      <c r="U402"/>
      <c r="V402"/>
      <c r="W402"/>
      <c r="X402"/>
      <c r="Y402"/>
      <c r="Z402"/>
      <c r="AA402"/>
      <c r="AB402"/>
      <c r="AC402"/>
      <c r="AD402"/>
      <c r="AE402"/>
      <c r="AF402"/>
      <c r="AG402"/>
      <c r="AH402"/>
      <c r="AI402"/>
      <c r="AJ402"/>
      <c r="AK402"/>
      <c r="AL402"/>
      <c r="AM402"/>
      <c r="AN402"/>
      <c r="AO402"/>
      <c r="AP402"/>
      <c r="AQ402"/>
      <c r="AR402"/>
      <c r="AS402"/>
      <c r="AT402"/>
      <c r="AU402"/>
      <c r="AV402"/>
      <c r="AW402"/>
      <c r="AX402"/>
      <c r="AY402"/>
      <c r="AZ402"/>
      <c r="BA402"/>
      <c r="BB402"/>
      <c r="BC402"/>
      <c r="BD402"/>
      <c r="BE402"/>
      <c r="BF402"/>
      <c r="BG402"/>
      <c r="BH402"/>
      <c r="BI402"/>
      <c r="BJ402"/>
      <c r="BK402"/>
      <c r="BL402"/>
      <c r="BM402"/>
      <c r="BN402"/>
      <c r="BO402"/>
      <c r="BP402"/>
      <c r="BQ402"/>
      <c r="BR402"/>
      <c r="BS402"/>
      <c r="BT402"/>
      <c r="BU402"/>
      <c r="BV402"/>
      <c r="BW402"/>
      <c r="BX402"/>
      <c r="BY402"/>
      <c r="BZ402"/>
      <c r="CA402"/>
      <c r="CB402"/>
      <c r="CC402"/>
      <c r="CD402"/>
      <c r="CE402"/>
      <c r="CF402"/>
      <c r="CG402"/>
      <c r="CH402"/>
      <c r="CI402"/>
      <c r="CJ402"/>
      <c r="CK402"/>
      <c r="CL402"/>
      <c r="CM402"/>
      <c r="CN402"/>
      <c r="CO402"/>
      <c r="CP402"/>
      <c r="CQ402"/>
      <c r="CR402"/>
      <c r="CS402"/>
      <c r="CT402"/>
      <c r="CU402"/>
      <c r="CV402"/>
      <c r="CW402"/>
      <c r="CX402"/>
      <c r="CY402"/>
      <c r="CZ402"/>
      <c r="DA402"/>
      <c r="DB402"/>
      <c r="DC402"/>
      <c r="DD402"/>
      <c r="DE402"/>
      <c r="DF402"/>
      <c r="DG402"/>
      <c r="DH402"/>
      <c r="DI402"/>
      <c r="DJ402"/>
      <c r="DK402"/>
      <c r="DL402"/>
      <c r="DM402"/>
      <c r="DN402"/>
      <c r="DO402"/>
      <c r="DP402"/>
      <c r="DQ402"/>
      <c r="DR402"/>
      <c r="DS402"/>
      <c r="DT402"/>
      <c r="DU402"/>
      <c r="DV402"/>
      <c r="DW402"/>
      <c r="DX402"/>
      <c r="DY402"/>
      <c r="DZ402"/>
      <c r="EA402"/>
      <c r="EB402"/>
      <c r="EC402"/>
      <c r="ED402"/>
      <c r="EE402"/>
      <c r="EF402"/>
      <c r="EG402"/>
      <c r="EH402"/>
      <c r="EI402"/>
      <c r="EJ402"/>
      <c r="EK402"/>
      <c r="EL402"/>
      <c r="EM402"/>
      <c r="EN402"/>
      <c r="EO402"/>
      <c r="EP402"/>
      <c r="EQ402"/>
      <c r="ER402"/>
      <c r="ES402"/>
      <c r="ET402"/>
      <c r="EU402"/>
      <c r="EV402"/>
      <c r="EW402"/>
      <c r="EX402"/>
      <c r="EY402"/>
      <c r="EZ402"/>
      <c r="FA402"/>
      <c r="FB402"/>
      <c r="FC402"/>
      <c r="FD402"/>
      <c r="FE402"/>
      <c r="FF402"/>
      <c r="FG402"/>
      <c r="FH402"/>
      <c r="FI402"/>
      <c r="FJ402"/>
      <c r="FK402"/>
      <c r="FL402"/>
      <c r="FM402"/>
      <c r="FN402"/>
      <c r="FO402"/>
      <c r="FP402"/>
      <c r="FQ402"/>
      <c r="FR402"/>
      <c r="FS402"/>
      <c r="FT402"/>
      <c r="FU402"/>
      <c r="FV402"/>
      <c r="FW402"/>
      <c r="FX402"/>
      <c r="FY402"/>
      <c r="FZ402"/>
      <c r="GA402"/>
      <c r="GB402"/>
      <c r="GC402"/>
      <c r="GD402"/>
      <c r="GE402"/>
      <c r="GF402"/>
      <c r="GG402"/>
      <c r="GH402"/>
      <c r="GI402"/>
      <c r="GJ402"/>
      <c r="GK402"/>
      <c r="GL402"/>
      <c r="GM402"/>
      <c r="GN402"/>
      <c r="GO402"/>
      <c r="GP402"/>
      <c r="GQ402"/>
      <c r="GR402"/>
      <c r="GS402"/>
      <c r="GT402"/>
      <c r="GU402"/>
      <c r="GV402"/>
      <c r="GW402"/>
      <c r="GX402"/>
      <c r="GY402"/>
      <c r="GZ402"/>
      <c r="HA402"/>
      <c r="HB402"/>
      <c r="HC402"/>
      <c r="HD402"/>
      <c r="HE402"/>
      <c r="HF402"/>
      <c r="HG402"/>
      <c r="HH402"/>
      <c r="HI402"/>
      <c r="HJ402"/>
      <c r="HK402"/>
      <c r="HL402"/>
      <c r="HM402"/>
      <c r="HN402"/>
      <c r="HO402"/>
      <c r="HP402"/>
      <c r="HQ402"/>
      <c r="HR402"/>
      <c r="HS402"/>
      <c r="HT402"/>
      <c r="HU402"/>
      <c r="HV402"/>
      <c r="HW402"/>
      <c r="HX402"/>
      <c r="HY402"/>
      <c r="HZ402"/>
      <c r="IA402"/>
      <c r="IB402"/>
      <c r="IC402"/>
      <c r="ID402"/>
      <c r="IE402"/>
      <c r="IF402"/>
      <c r="IG402"/>
      <c r="IH402"/>
      <c r="II402"/>
      <c r="IJ402"/>
      <c r="IK402"/>
      <c r="IL402"/>
      <c r="IM402"/>
      <c r="IN402"/>
      <c r="IO402"/>
      <c r="IP402"/>
      <c r="IQ402"/>
      <c r="IR402"/>
      <c r="IS402"/>
      <c r="IT402"/>
      <c r="IU402"/>
      <c r="IV402"/>
      <c r="IW402"/>
      <c r="IX402"/>
      <c r="IY402"/>
      <c r="IZ402"/>
      <c r="JA402"/>
      <c r="JB402"/>
      <c r="JC402"/>
      <c r="JD402"/>
      <c r="JE402"/>
      <c r="JF402"/>
      <c r="JG402"/>
      <c r="JH402"/>
      <c r="JI402"/>
      <c r="JJ402"/>
      <c r="JK402"/>
      <c r="JL402"/>
      <c r="JM402"/>
      <c r="JN402"/>
      <c r="JO402"/>
      <c r="JP402"/>
      <c r="JQ402"/>
      <c r="JR402"/>
      <c r="JS402"/>
      <c r="JT402"/>
      <c r="JU402"/>
      <c r="JV402"/>
      <c r="JW402"/>
      <c r="JX402"/>
      <c r="JY402"/>
      <c r="JZ402"/>
      <c r="KA402"/>
      <c r="KB402"/>
      <c r="KC402"/>
      <c r="KD402"/>
      <c r="KE402"/>
      <c r="KF402"/>
      <c r="KG402"/>
      <c r="KH402"/>
      <c r="KI402"/>
      <c r="KJ402"/>
      <c r="KK402"/>
      <c r="KL402"/>
      <c r="KM402"/>
      <c r="KN402"/>
      <c r="KO402"/>
      <c r="KP402"/>
      <c r="KQ402"/>
      <c r="KR402"/>
      <c r="KS402"/>
      <c r="KT402"/>
      <c r="KU402"/>
      <c r="KV402"/>
      <c r="KW402"/>
      <c r="KX402"/>
      <c r="KY402"/>
      <c r="KZ402"/>
      <c r="LA402"/>
      <c r="LB402"/>
      <c r="LC402"/>
      <c r="LD402"/>
      <c r="LE402"/>
      <c r="LF402"/>
      <c r="LG402"/>
      <c r="LH402"/>
      <c r="LI402"/>
      <c r="LJ402"/>
      <c r="LK402"/>
      <c r="LL402"/>
      <c r="LM402"/>
      <c r="LN402"/>
      <c r="LO402"/>
      <c r="LP402"/>
      <c r="LQ402"/>
      <c r="LR402"/>
      <c r="LS402"/>
      <c r="LT402"/>
      <c r="LU402"/>
      <c r="LV402"/>
      <c r="LW402"/>
      <c r="LX402"/>
      <c r="LY402"/>
      <c r="LZ402"/>
      <c r="MA402"/>
      <c r="MB402"/>
      <c r="MC402"/>
      <c r="MD402"/>
      <c r="ME402"/>
      <c r="MF402"/>
      <c r="MG402"/>
      <c r="MH402"/>
      <c r="MI402"/>
      <c r="MJ402"/>
      <c r="MK402"/>
      <c r="ML402"/>
      <c r="MM402"/>
      <c r="MN402"/>
      <c r="MO402"/>
      <c r="MP402"/>
      <c r="MQ402"/>
      <c r="MR402"/>
      <c r="MS402"/>
      <c r="MT402"/>
      <c r="MU402"/>
      <c r="MV402"/>
      <c r="MW402"/>
      <c r="MX402"/>
      <c r="MY402"/>
      <c r="MZ402"/>
      <c r="NA402"/>
      <c r="NB402"/>
      <c r="NC402"/>
      <c r="ND402"/>
      <c r="NE402"/>
      <c r="NF402"/>
      <c r="NG402"/>
      <c r="NH402"/>
      <c r="NI402"/>
      <c r="NJ402"/>
      <c r="NK402"/>
      <c r="NL402"/>
      <c r="NM402"/>
      <c r="NN402"/>
      <c r="NO402"/>
      <c r="NP402"/>
      <c r="NQ402"/>
      <c r="NR402"/>
      <c r="NS402"/>
      <c r="NT402"/>
      <c r="NU402"/>
      <c r="NV402"/>
      <c r="NW402"/>
      <c r="NX402"/>
      <c r="NY402"/>
      <c r="NZ402"/>
      <c r="OA402"/>
      <c r="OB402"/>
      <c r="OC402"/>
      <c r="OD402"/>
      <c r="OE402"/>
      <c r="OF402"/>
      <c r="OG402"/>
      <c r="OH402"/>
      <c r="OI402"/>
      <c r="OJ402"/>
      <c r="OK402"/>
      <c r="OL402"/>
      <c r="OM402"/>
      <c r="ON402"/>
      <c r="OO402"/>
      <c r="OP402"/>
      <c r="OQ402"/>
      <c r="OR402"/>
      <c r="OS402"/>
      <c r="OT402"/>
      <c r="OU402"/>
      <c r="OV402"/>
      <c r="OW402"/>
      <c r="OX402"/>
      <c r="OY402"/>
      <c r="OZ402"/>
      <c r="PA402"/>
      <c r="PB402"/>
      <c r="PC402"/>
      <c r="PD402"/>
      <c r="PE402"/>
      <c r="PF402"/>
      <c r="PG402"/>
      <c r="PH402"/>
      <c r="PI402"/>
      <c r="PJ402"/>
      <c r="PK402"/>
      <c r="PL402"/>
      <c r="PM402"/>
      <c r="PN402"/>
      <c r="PO402"/>
      <c r="PP402"/>
      <c r="PQ402"/>
      <c r="PR402"/>
      <c r="PS402"/>
      <c r="PT402"/>
      <c r="PU402"/>
      <c r="PV402"/>
      <c r="PW402"/>
      <c r="PX402"/>
      <c r="PY402"/>
      <c r="PZ402"/>
      <c r="QA402"/>
      <c r="QB402"/>
      <c r="QC402"/>
      <c r="QD402"/>
      <c r="QE402"/>
      <c r="QF402"/>
      <c r="QG402"/>
      <c r="QH402"/>
      <c r="QI402"/>
      <c r="QJ402"/>
      <c r="QK402"/>
      <c r="QL402"/>
      <c r="QM402"/>
      <c r="QN402"/>
      <c r="QO402"/>
      <c r="QP402"/>
      <c r="QQ402"/>
      <c r="QR402"/>
      <c r="QS402"/>
      <c r="QT402"/>
      <c r="QU402"/>
      <c r="QV402"/>
      <c r="QW402"/>
      <c r="QX402"/>
      <c r="QY402"/>
      <c r="QZ402"/>
      <c r="RA402"/>
      <c r="RB402"/>
      <c r="RC402"/>
      <c r="RD402"/>
      <c r="RE402"/>
      <c r="RF402"/>
      <c r="RG402"/>
      <c r="RH402"/>
      <c r="RI402"/>
      <c r="RJ402"/>
      <c r="RK402"/>
      <c r="RL402"/>
      <c r="RM402"/>
      <c r="RN402"/>
      <c r="RO402"/>
      <c r="RP402"/>
      <c r="RQ402"/>
      <c r="RR402"/>
      <c r="RS402"/>
    </row>
    <row r="403" spans="19:487" x14ac:dyDescent="0.25">
      <c r="S403"/>
      <c r="T403"/>
      <c r="U403"/>
      <c r="V403"/>
      <c r="W403"/>
      <c r="X403"/>
      <c r="Y403"/>
      <c r="Z403"/>
      <c r="AA403"/>
      <c r="AB403"/>
      <c r="AC403"/>
      <c r="AD403"/>
      <c r="AE403"/>
      <c r="AF403"/>
      <c r="AG403"/>
      <c r="AH403"/>
      <c r="AI403"/>
      <c r="AJ403"/>
      <c r="AK403"/>
      <c r="AL403"/>
      <c r="AM403"/>
      <c r="AN403"/>
      <c r="AO403"/>
      <c r="AP403"/>
      <c r="AQ403"/>
      <c r="AR403"/>
      <c r="AS403"/>
      <c r="AT403"/>
      <c r="AU403"/>
      <c r="AV403"/>
      <c r="AW403"/>
      <c r="AX403"/>
      <c r="AY403"/>
      <c r="AZ403"/>
      <c r="BA403"/>
      <c r="BB403"/>
      <c r="BC403"/>
      <c r="BD403"/>
      <c r="BE403"/>
      <c r="BF403"/>
      <c r="BG403"/>
      <c r="BH403"/>
      <c r="BI403"/>
      <c r="BJ403"/>
      <c r="BK403"/>
      <c r="BL403"/>
      <c r="BM403"/>
      <c r="BN403"/>
      <c r="BO403"/>
      <c r="BP403"/>
      <c r="BQ403"/>
      <c r="BR403"/>
      <c r="BS403"/>
      <c r="BT403"/>
      <c r="BU403"/>
      <c r="BV403"/>
      <c r="BW403"/>
      <c r="BX403"/>
      <c r="BY403"/>
      <c r="BZ403"/>
      <c r="CA403"/>
      <c r="CB403"/>
      <c r="CC403"/>
      <c r="CD403"/>
      <c r="CE403"/>
      <c r="CF403"/>
      <c r="CG403"/>
      <c r="CH403"/>
      <c r="CI403"/>
      <c r="CJ403"/>
      <c r="CK403"/>
      <c r="CL403"/>
      <c r="CM403"/>
      <c r="CN403"/>
      <c r="CO403"/>
      <c r="CP403"/>
      <c r="CQ403"/>
      <c r="CR403"/>
      <c r="CS403"/>
      <c r="CT403"/>
      <c r="CU403"/>
      <c r="CV403"/>
      <c r="CW403"/>
      <c r="CX403"/>
      <c r="CY403"/>
      <c r="CZ403"/>
      <c r="DA403"/>
      <c r="DB403"/>
      <c r="DC403"/>
      <c r="DD403"/>
      <c r="DE403"/>
      <c r="DF403"/>
      <c r="DG403"/>
      <c r="DH403"/>
      <c r="DI403"/>
      <c r="DJ403"/>
      <c r="DK403"/>
      <c r="DL403"/>
      <c r="DM403"/>
      <c r="DN403"/>
      <c r="DO403"/>
      <c r="DP403"/>
      <c r="DQ403"/>
      <c r="DR403"/>
      <c r="DS403"/>
      <c r="DT403"/>
      <c r="DU403"/>
      <c r="DV403"/>
      <c r="DW403"/>
      <c r="DX403"/>
      <c r="DY403"/>
      <c r="DZ403"/>
      <c r="EA403"/>
      <c r="EB403"/>
      <c r="EC403"/>
      <c r="ED403"/>
      <c r="EE403"/>
      <c r="EF403"/>
      <c r="EG403"/>
      <c r="EH403"/>
      <c r="EI403"/>
      <c r="EJ403"/>
      <c r="EK403"/>
      <c r="EL403"/>
      <c r="EM403"/>
      <c r="EN403"/>
      <c r="EO403"/>
      <c r="EP403"/>
      <c r="EQ403"/>
      <c r="ER403"/>
      <c r="ES403"/>
      <c r="ET403"/>
      <c r="EU403"/>
      <c r="EV403"/>
      <c r="EW403"/>
      <c r="EX403"/>
      <c r="EY403"/>
      <c r="EZ403"/>
      <c r="FA403"/>
      <c r="FB403"/>
      <c r="FC403"/>
      <c r="FD403"/>
      <c r="FE403"/>
      <c r="FF403"/>
      <c r="FG403"/>
      <c r="FH403"/>
      <c r="FI403"/>
      <c r="FJ403"/>
      <c r="FK403"/>
      <c r="FL403"/>
      <c r="FM403"/>
      <c r="FN403"/>
      <c r="FO403"/>
      <c r="FP403"/>
      <c r="FQ403"/>
      <c r="FR403"/>
      <c r="FS403"/>
      <c r="FT403"/>
      <c r="FU403"/>
      <c r="FV403"/>
      <c r="FW403"/>
      <c r="FX403"/>
      <c r="FY403"/>
      <c r="FZ403"/>
      <c r="GA403"/>
      <c r="GB403"/>
      <c r="GC403"/>
      <c r="GD403"/>
      <c r="GE403"/>
      <c r="GF403"/>
      <c r="GG403"/>
      <c r="GH403"/>
      <c r="GI403"/>
      <c r="GJ403"/>
      <c r="GK403"/>
      <c r="GL403"/>
      <c r="GM403"/>
      <c r="GN403"/>
      <c r="GO403"/>
      <c r="GP403"/>
      <c r="GQ403"/>
      <c r="GR403"/>
      <c r="GS403"/>
      <c r="GT403"/>
      <c r="GU403"/>
      <c r="GV403"/>
      <c r="GW403"/>
      <c r="GX403"/>
      <c r="GY403"/>
      <c r="GZ403"/>
      <c r="HA403"/>
      <c r="HB403"/>
      <c r="HC403"/>
      <c r="HD403"/>
      <c r="HE403"/>
      <c r="HF403"/>
      <c r="HG403"/>
      <c r="HH403"/>
      <c r="HI403"/>
      <c r="HJ403"/>
      <c r="HK403"/>
      <c r="HL403"/>
      <c r="HM403"/>
      <c r="HN403"/>
      <c r="HO403"/>
      <c r="HP403"/>
      <c r="HQ403"/>
      <c r="HR403"/>
      <c r="HS403"/>
      <c r="HT403"/>
      <c r="HU403"/>
      <c r="HV403"/>
      <c r="HW403"/>
      <c r="HX403"/>
      <c r="HY403"/>
      <c r="HZ403"/>
      <c r="IA403"/>
      <c r="IB403"/>
      <c r="IC403"/>
      <c r="ID403"/>
      <c r="IE403"/>
      <c r="IF403"/>
      <c r="IG403"/>
      <c r="IH403"/>
      <c r="II403"/>
      <c r="IJ403"/>
      <c r="IK403"/>
      <c r="IL403"/>
      <c r="IM403"/>
      <c r="IN403"/>
      <c r="IO403"/>
      <c r="IP403"/>
      <c r="IQ403"/>
      <c r="IR403"/>
      <c r="IS403"/>
      <c r="IT403"/>
      <c r="IU403"/>
      <c r="IV403"/>
      <c r="IW403"/>
      <c r="IX403"/>
      <c r="IY403"/>
      <c r="IZ403"/>
      <c r="JA403"/>
      <c r="JB403"/>
      <c r="JC403"/>
      <c r="JD403"/>
      <c r="JE403"/>
      <c r="JF403"/>
      <c r="JG403"/>
      <c r="JH403"/>
      <c r="JI403"/>
      <c r="JJ403"/>
      <c r="JK403"/>
      <c r="JL403"/>
      <c r="JM403"/>
      <c r="JN403"/>
      <c r="JO403"/>
      <c r="JP403"/>
      <c r="JQ403"/>
      <c r="JR403"/>
      <c r="JS403"/>
      <c r="JT403"/>
      <c r="JU403"/>
      <c r="JV403"/>
      <c r="JW403"/>
      <c r="JX403"/>
      <c r="JY403"/>
      <c r="JZ403"/>
      <c r="KA403"/>
      <c r="KB403"/>
      <c r="KC403"/>
      <c r="KD403"/>
      <c r="KE403"/>
      <c r="KF403"/>
      <c r="KG403"/>
      <c r="KH403"/>
      <c r="KI403"/>
      <c r="KJ403"/>
      <c r="KK403"/>
      <c r="KL403"/>
      <c r="KM403"/>
      <c r="KN403"/>
      <c r="KO403"/>
      <c r="KP403"/>
      <c r="KQ403"/>
      <c r="KR403"/>
      <c r="KS403"/>
      <c r="KT403"/>
      <c r="KU403"/>
      <c r="KV403"/>
      <c r="KW403"/>
      <c r="KX403"/>
      <c r="KY403"/>
      <c r="KZ403"/>
      <c r="LA403"/>
      <c r="LB403"/>
      <c r="LC403"/>
      <c r="LD403"/>
      <c r="LE403"/>
      <c r="LF403"/>
      <c r="LG403"/>
      <c r="LH403"/>
      <c r="LI403"/>
      <c r="LJ403"/>
      <c r="LK403"/>
      <c r="LL403"/>
      <c r="LM403"/>
      <c r="LN403"/>
      <c r="LO403"/>
      <c r="LP403"/>
      <c r="LQ403"/>
      <c r="LR403"/>
      <c r="LS403"/>
      <c r="LT403"/>
      <c r="LU403"/>
      <c r="LV403"/>
      <c r="LW403"/>
      <c r="LX403"/>
      <c r="LY403"/>
      <c r="LZ403"/>
      <c r="MA403"/>
      <c r="MB403"/>
      <c r="MC403"/>
      <c r="MD403"/>
      <c r="ME403"/>
      <c r="MF403"/>
      <c r="MG403"/>
      <c r="MH403"/>
      <c r="MI403"/>
      <c r="MJ403"/>
      <c r="MK403"/>
      <c r="ML403"/>
      <c r="MM403"/>
      <c r="MN403"/>
      <c r="MO403"/>
      <c r="MP403"/>
      <c r="MQ403"/>
      <c r="MR403"/>
      <c r="MS403"/>
      <c r="MT403"/>
      <c r="MU403"/>
      <c r="MV403"/>
      <c r="MW403"/>
      <c r="MX403"/>
      <c r="MY403"/>
      <c r="MZ403"/>
      <c r="NA403"/>
      <c r="NB403"/>
      <c r="NC403"/>
      <c r="ND403"/>
      <c r="NE403"/>
      <c r="NF403"/>
      <c r="NG403"/>
      <c r="NH403"/>
      <c r="NI403"/>
      <c r="NJ403"/>
      <c r="NK403"/>
      <c r="NL403"/>
      <c r="NM403"/>
      <c r="NN403"/>
      <c r="NO403"/>
      <c r="NP403"/>
      <c r="NQ403"/>
      <c r="NR403"/>
      <c r="NS403"/>
      <c r="NT403"/>
      <c r="NU403"/>
      <c r="NV403"/>
      <c r="NW403"/>
      <c r="NX403"/>
      <c r="NY403"/>
      <c r="NZ403"/>
      <c r="OA403"/>
      <c r="OB403"/>
      <c r="OC403"/>
      <c r="OD403"/>
      <c r="OE403"/>
      <c r="OF403"/>
      <c r="OG403"/>
      <c r="OH403"/>
      <c r="OI403"/>
      <c r="OJ403"/>
      <c r="OK403"/>
      <c r="OL403"/>
      <c r="OM403"/>
      <c r="ON403"/>
      <c r="OO403"/>
      <c r="OP403"/>
      <c r="OQ403"/>
      <c r="OR403"/>
      <c r="OS403"/>
      <c r="OT403"/>
      <c r="OU403"/>
      <c r="OV403"/>
      <c r="OW403"/>
      <c r="OX403"/>
      <c r="OY403"/>
      <c r="OZ403"/>
      <c r="PA403"/>
      <c r="PB403"/>
      <c r="PC403"/>
      <c r="PD403"/>
      <c r="PE403"/>
      <c r="PF403"/>
      <c r="PG403"/>
      <c r="PH403"/>
      <c r="PI403"/>
      <c r="PJ403"/>
      <c r="PK403"/>
      <c r="PL403"/>
      <c r="PM403"/>
      <c r="PN403"/>
      <c r="PO403"/>
      <c r="PP403"/>
      <c r="PQ403"/>
      <c r="PR403"/>
      <c r="PS403"/>
      <c r="PT403"/>
      <c r="PU403"/>
      <c r="PV403"/>
      <c r="PW403"/>
      <c r="PX403"/>
      <c r="PY403"/>
      <c r="PZ403"/>
      <c r="QA403"/>
      <c r="QB403"/>
      <c r="QC403"/>
      <c r="QD403"/>
      <c r="QE403"/>
      <c r="QF403"/>
      <c r="QG403"/>
      <c r="QH403"/>
      <c r="QI403"/>
      <c r="QJ403"/>
      <c r="QK403"/>
      <c r="QL403"/>
      <c r="QM403"/>
      <c r="QN403"/>
      <c r="QO403"/>
      <c r="QP403"/>
      <c r="QQ403"/>
      <c r="QR403"/>
      <c r="QS403"/>
      <c r="QT403"/>
      <c r="QU403"/>
      <c r="QV403"/>
      <c r="QW403"/>
      <c r="QX403"/>
      <c r="QY403"/>
      <c r="QZ403"/>
      <c r="RA403"/>
      <c r="RB403"/>
      <c r="RC403"/>
      <c r="RD403"/>
      <c r="RE403"/>
      <c r="RF403"/>
      <c r="RG403"/>
      <c r="RH403"/>
      <c r="RI403"/>
      <c r="RJ403"/>
      <c r="RK403"/>
      <c r="RL403"/>
      <c r="RM403"/>
      <c r="RN403"/>
      <c r="RO403"/>
      <c r="RP403"/>
      <c r="RQ403"/>
      <c r="RR403"/>
      <c r="RS403"/>
    </row>
    <row r="404" spans="19:487" x14ac:dyDescent="0.25">
      <c r="S404"/>
      <c r="T404"/>
      <c r="U404"/>
      <c r="V404"/>
      <c r="W404"/>
      <c r="X404"/>
      <c r="Y404"/>
      <c r="Z404"/>
      <c r="AA404"/>
      <c r="AB404"/>
      <c r="AC404"/>
      <c r="AD404"/>
      <c r="AE404"/>
      <c r="AF404"/>
      <c r="AG404"/>
      <c r="AH404"/>
      <c r="AI404"/>
      <c r="AJ404"/>
      <c r="AK404"/>
      <c r="AL404"/>
      <c r="AM404"/>
      <c r="AN404"/>
      <c r="AO404"/>
      <c r="AP404"/>
      <c r="AQ404"/>
      <c r="AR404"/>
      <c r="AS404"/>
      <c r="AT404"/>
      <c r="AU404"/>
      <c r="AV404"/>
      <c r="AW404"/>
      <c r="AX404"/>
      <c r="AY404"/>
      <c r="AZ404"/>
      <c r="BA404"/>
      <c r="BB404"/>
      <c r="BC404"/>
      <c r="BD404"/>
      <c r="BE404"/>
      <c r="BF404"/>
      <c r="BG404"/>
      <c r="BH404"/>
      <c r="BI404"/>
      <c r="BJ404"/>
      <c r="BK404"/>
      <c r="BL404"/>
      <c r="BM404"/>
      <c r="BN404"/>
      <c r="BO404"/>
      <c r="BP404"/>
      <c r="BQ404"/>
      <c r="BR404"/>
      <c r="BS404"/>
      <c r="BT404"/>
      <c r="BU404"/>
      <c r="BV404"/>
      <c r="BW404"/>
      <c r="BX404"/>
      <c r="BY404"/>
      <c r="BZ404"/>
      <c r="CA404"/>
      <c r="CB404"/>
      <c r="CC404"/>
      <c r="CD404"/>
      <c r="CE404"/>
      <c r="CF404"/>
      <c r="CG404"/>
      <c r="CH404"/>
      <c r="CI404"/>
      <c r="CJ404"/>
      <c r="CK404"/>
      <c r="CL404"/>
      <c r="CM404"/>
      <c r="CN404"/>
      <c r="CO404"/>
      <c r="CP404"/>
      <c r="CQ404"/>
      <c r="CR404"/>
      <c r="CS404"/>
      <c r="CT404"/>
      <c r="CU404"/>
      <c r="CV404"/>
      <c r="CW404"/>
      <c r="CX404"/>
      <c r="CY404"/>
      <c r="CZ404"/>
      <c r="DA404"/>
      <c r="DB404"/>
      <c r="DC404"/>
      <c r="DD404"/>
      <c r="DE404"/>
      <c r="DF404"/>
      <c r="DG404"/>
      <c r="DH404"/>
      <c r="DI404"/>
      <c r="DJ404"/>
      <c r="DK404"/>
      <c r="DL404"/>
      <c r="DM404"/>
      <c r="DN404"/>
      <c r="DO404"/>
      <c r="DP404"/>
      <c r="DQ404"/>
      <c r="DR404"/>
      <c r="DS404"/>
      <c r="DT404"/>
      <c r="DU404"/>
      <c r="DV404"/>
      <c r="DW404"/>
      <c r="DX404"/>
      <c r="DY404"/>
      <c r="DZ404"/>
      <c r="EA404"/>
      <c r="EB404"/>
      <c r="EC404"/>
      <c r="ED404"/>
      <c r="EE404"/>
      <c r="EF404"/>
      <c r="EG404"/>
      <c r="EH404"/>
      <c r="EI404"/>
      <c r="EJ404"/>
      <c r="EK404"/>
      <c r="EL404"/>
      <c r="EM404"/>
      <c r="EN404"/>
      <c r="EO404"/>
      <c r="EP404"/>
      <c r="EQ404"/>
      <c r="ER404"/>
      <c r="ES404"/>
      <c r="ET404"/>
      <c r="EU404"/>
      <c r="EV404"/>
      <c r="EW404"/>
      <c r="EX404"/>
      <c r="EY404"/>
      <c r="EZ404"/>
      <c r="FA404"/>
      <c r="FB404"/>
      <c r="FC404"/>
      <c r="FD404"/>
      <c r="FE404"/>
      <c r="FF404"/>
      <c r="FG404"/>
      <c r="FH404"/>
      <c r="FI404"/>
      <c r="FJ404"/>
      <c r="FK404"/>
      <c r="FL404"/>
      <c r="FM404"/>
      <c r="FN404"/>
      <c r="FO404"/>
      <c r="FP404"/>
      <c r="FQ404"/>
      <c r="FR404"/>
      <c r="FS404"/>
      <c r="FT404"/>
      <c r="FU404"/>
      <c r="FV404"/>
      <c r="FW404"/>
      <c r="FX404"/>
      <c r="FY404"/>
      <c r="FZ404"/>
      <c r="GA404"/>
      <c r="GB404"/>
      <c r="GC404"/>
      <c r="GD404"/>
      <c r="GE404"/>
      <c r="GF404"/>
      <c r="GG404"/>
      <c r="GH404"/>
      <c r="GI404"/>
      <c r="GJ404"/>
      <c r="GK404"/>
      <c r="GL404"/>
      <c r="GM404"/>
      <c r="GN404"/>
      <c r="GO404"/>
      <c r="GP404"/>
      <c r="GQ404"/>
      <c r="GR404"/>
      <c r="GS404"/>
      <c r="GT404"/>
      <c r="GU404"/>
      <c r="GV404"/>
      <c r="GW404"/>
      <c r="GX404"/>
      <c r="GY404"/>
      <c r="GZ404"/>
      <c r="HA404"/>
      <c r="HB404"/>
      <c r="HC404"/>
      <c r="HD404"/>
      <c r="HE404"/>
      <c r="HF404"/>
      <c r="HG404"/>
      <c r="HH404"/>
      <c r="HI404"/>
      <c r="HJ404"/>
      <c r="HK404"/>
      <c r="HL404"/>
      <c r="HM404"/>
      <c r="HN404"/>
      <c r="HO404"/>
      <c r="HP404"/>
      <c r="HQ404"/>
      <c r="HR404"/>
      <c r="HS404"/>
      <c r="HT404"/>
      <c r="HU404"/>
      <c r="HV404"/>
      <c r="HW404"/>
      <c r="HX404"/>
      <c r="HY404"/>
      <c r="HZ404"/>
      <c r="IA404"/>
      <c r="IB404"/>
      <c r="IC404"/>
      <c r="ID404"/>
      <c r="IE404"/>
      <c r="IF404"/>
      <c r="IG404"/>
      <c r="IH404"/>
      <c r="II404"/>
      <c r="IJ404"/>
      <c r="IK404"/>
      <c r="IL404"/>
      <c r="IM404"/>
      <c r="IN404"/>
      <c r="IO404"/>
      <c r="IP404"/>
      <c r="IQ404"/>
      <c r="IR404"/>
      <c r="IS404"/>
      <c r="IT404"/>
      <c r="IU404"/>
      <c r="IV404"/>
      <c r="IW404"/>
      <c r="IX404"/>
      <c r="IY404"/>
      <c r="IZ404"/>
      <c r="JA404"/>
      <c r="JB404"/>
      <c r="JC404"/>
      <c r="JD404"/>
      <c r="JE404"/>
      <c r="JF404"/>
      <c r="JG404"/>
      <c r="JH404"/>
      <c r="JI404"/>
      <c r="JJ404"/>
      <c r="JK404"/>
      <c r="JL404"/>
      <c r="JM404"/>
      <c r="JN404"/>
      <c r="JO404"/>
      <c r="JP404"/>
      <c r="JQ404"/>
      <c r="JR404"/>
      <c r="JS404"/>
      <c r="JT404"/>
      <c r="JU404"/>
      <c r="JV404"/>
      <c r="JW404"/>
      <c r="JX404"/>
      <c r="JY404"/>
      <c r="JZ404"/>
      <c r="KA404"/>
      <c r="KB404"/>
      <c r="KC404"/>
      <c r="KD404"/>
      <c r="KE404"/>
      <c r="KF404"/>
      <c r="KG404"/>
      <c r="KH404"/>
      <c r="KI404"/>
      <c r="KJ404"/>
      <c r="KK404"/>
      <c r="KL404"/>
      <c r="KM404"/>
      <c r="KN404"/>
      <c r="KO404"/>
      <c r="KP404"/>
      <c r="KQ404"/>
      <c r="KR404"/>
      <c r="KS404"/>
      <c r="KT404"/>
      <c r="KU404"/>
      <c r="KV404"/>
      <c r="KW404"/>
      <c r="KX404"/>
      <c r="KY404"/>
      <c r="KZ404"/>
      <c r="LA404"/>
      <c r="LB404"/>
      <c r="LC404"/>
      <c r="LD404"/>
      <c r="LE404"/>
      <c r="LF404"/>
      <c r="LG404"/>
      <c r="LH404"/>
      <c r="LI404"/>
      <c r="LJ404"/>
      <c r="LK404"/>
      <c r="LL404"/>
      <c r="LM404"/>
      <c r="LN404"/>
      <c r="LO404"/>
      <c r="LP404"/>
      <c r="LQ404"/>
      <c r="LR404"/>
      <c r="LS404"/>
      <c r="LT404"/>
      <c r="LU404"/>
      <c r="LV404"/>
      <c r="LW404"/>
      <c r="LX404"/>
      <c r="LY404"/>
      <c r="LZ404"/>
      <c r="MA404"/>
      <c r="MB404"/>
      <c r="MC404"/>
      <c r="MD404"/>
      <c r="ME404"/>
      <c r="MF404"/>
      <c r="MG404"/>
      <c r="MH404"/>
      <c r="MI404"/>
      <c r="MJ404"/>
      <c r="MK404"/>
      <c r="ML404"/>
      <c r="MM404"/>
      <c r="MN404"/>
      <c r="MO404"/>
      <c r="MP404"/>
      <c r="MQ404"/>
      <c r="MR404"/>
      <c r="MS404"/>
      <c r="MT404"/>
      <c r="MU404"/>
      <c r="MV404"/>
      <c r="MW404"/>
      <c r="MX404"/>
      <c r="MY404"/>
      <c r="MZ404"/>
      <c r="NA404"/>
      <c r="NB404"/>
      <c r="NC404"/>
      <c r="ND404"/>
      <c r="NE404"/>
      <c r="NF404"/>
      <c r="NG404"/>
      <c r="NH404"/>
      <c r="NI404"/>
      <c r="NJ404"/>
      <c r="NK404"/>
      <c r="NL404"/>
      <c r="NM404"/>
      <c r="NN404"/>
      <c r="NO404"/>
      <c r="NP404"/>
      <c r="NQ404"/>
      <c r="NR404"/>
      <c r="NS404"/>
      <c r="NT404"/>
      <c r="NU404"/>
      <c r="NV404"/>
      <c r="NW404"/>
      <c r="NX404"/>
      <c r="NY404"/>
      <c r="NZ404"/>
      <c r="OA404"/>
      <c r="OB404"/>
      <c r="OC404"/>
      <c r="OD404"/>
      <c r="OE404"/>
      <c r="OF404"/>
      <c r="OG404"/>
      <c r="OH404"/>
      <c r="OI404"/>
      <c r="OJ404"/>
      <c r="OK404"/>
      <c r="OL404"/>
      <c r="OM404"/>
      <c r="ON404"/>
      <c r="OO404"/>
      <c r="OP404"/>
      <c r="OQ404"/>
      <c r="OR404"/>
      <c r="OS404"/>
      <c r="OT404"/>
      <c r="OU404"/>
      <c r="OV404"/>
      <c r="OW404"/>
      <c r="OX404"/>
      <c r="OY404"/>
      <c r="OZ404"/>
      <c r="PA404"/>
      <c r="PB404"/>
      <c r="PC404"/>
      <c r="PD404"/>
      <c r="PE404"/>
      <c r="PF404"/>
      <c r="PG404"/>
      <c r="PH404"/>
      <c r="PI404"/>
      <c r="PJ404"/>
      <c r="PK404"/>
      <c r="PL404"/>
      <c r="PM404"/>
      <c r="PN404"/>
      <c r="PO404"/>
      <c r="PP404"/>
      <c r="PQ404"/>
      <c r="PR404"/>
      <c r="PS404"/>
      <c r="PT404"/>
      <c r="PU404"/>
      <c r="PV404"/>
      <c r="PW404"/>
      <c r="PX404"/>
      <c r="PY404"/>
      <c r="PZ404"/>
      <c r="QA404"/>
      <c r="QB404"/>
      <c r="QC404"/>
      <c r="QD404"/>
      <c r="QE404"/>
      <c r="QF404"/>
      <c r="QG404"/>
      <c r="QH404"/>
      <c r="QI404"/>
      <c r="QJ404"/>
      <c r="QK404"/>
      <c r="QL404"/>
      <c r="QM404"/>
      <c r="QN404"/>
      <c r="QO404"/>
      <c r="QP404"/>
      <c r="QQ404"/>
      <c r="QR404"/>
      <c r="QS404"/>
      <c r="QT404"/>
      <c r="QU404"/>
      <c r="QV404"/>
      <c r="QW404"/>
      <c r="QX404"/>
      <c r="QY404"/>
      <c r="QZ404"/>
      <c r="RA404"/>
      <c r="RB404"/>
      <c r="RC404"/>
      <c r="RD404"/>
      <c r="RE404"/>
      <c r="RF404"/>
      <c r="RG404"/>
      <c r="RH404"/>
      <c r="RI404"/>
      <c r="RJ404"/>
      <c r="RK404"/>
      <c r="RL404"/>
      <c r="RM404"/>
      <c r="RN404"/>
      <c r="RO404"/>
      <c r="RP404"/>
      <c r="RQ404"/>
      <c r="RR404"/>
      <c r="RS404"/>
    </row>
    <row r="405" spans="19:487" x14ac:dyDescent="0.25">
      <c r="S405"/>
      <c r="T405"/>
      <c r="U405"/>
      <c r="V405"/>
      <c r="W405"/>
      <c r="X405"/>
      <c r="Y405"/>
      <c r="Z405"/>
      <c r="AA405"/>
      <c r="AB405"/>
      <c r="AC405"/>
      <c r="AD405"/>
      <c r="AE405"/>
      <c r="AF405"/>
      <c r="AG405"/>
      <c r="AH405"/>
      <c r="AI405"/>
      <c r="AJ405"/>
      <c r="AK405"/>
      <c r="AL405"/>
      <c r="AM405"/>
      <c r="AN405"/>
      <c r="AO405"/>
      <c r="AP405"/>
      <c r="AQ405"/>
      <c r="AR405"/>
      <c r="AS405"/>
      <c r="AT405"/>
      <c r="AU405"/>
      <c r="AV405"/>
      <c r="AW405"/>
      <c r="AX405"/>
      <c r="AY405"/>
      <c r="AZ405"/>
      <c r="BA405"/>
      <c r="BB405"/>
      <c r="BC405"/>
      <c r="BD405"/>
      <c r="BE405"/>
      <c r="BF405"/>
      <c r="BG405"/>
      <c r="BH405"/>
      <c r="BI405"/>
      <c r="BJ405"/>
      <c r="BK405"/>
      <c r="BL405"/>
      <c r="BM405"/>
      <c r="BN405"/>
      <c r="BO405"/>
      <c r="BP405"/>
      <c r="BQ405"/>
      <c r="BR405"/>
      <c r="BS405"/>
      <c r="BT405"/>
      <c r="BU405"/>
      <c r="BV405"/>
      <c r="BW405"/>
      <c r="BX405"/>
      <c r="BY405"/>
      <c r="BZ405"/>
      <c r="CA405"/>
      <c r="CB405"/>
      <c r="CC405"/>
      <c r="CD405"/>
      <c r="CE405"/>
      <c r="CF405"/>
      <c r="CG405"/>
      <c r="CH405"/>
      <c r="CI405"/>
      <c r="CJ405"/>
      <c r="CK405"/>
      <c r="CL405"/>
      <c r="CM405"/>
      <c r="CN405"/>
      <c r="CO405"/>
      <c r="CP405"/>
      <c r="CQ405"/>
      <c r="CR405"/>
      <c r="CS405"/>
      <c r="CT405"/>
      <c r="CU405"/>
      <c r="CV405"/>
      <c r="CW405"/>
      <c r="CX405"/>
      <c r="CY405"/>
      <c r="CZ405"/>
      <c r="DA405"/>
      <c r="DB405"/>
      <c r="DC405"/>
      <c r="DD405"/>
      <c r="DE405"/>
      <c r="DF405"/>
      <c r="DG405"/>
      <c r="DH405"/>
      <c r="DI405"/>
      <c r="DJ405"/>
      <c r="DK405"/>
      <c r="DL405"/>
      <c r="DM405"/>
      <c r="DN405"/>
      <c r="DO405"/>
      <c r="DP405"/>
      <c r="DQ405"/>
      <c r="DR405"/>
      <c r="DS405"/>
      <c r="DT405"/>
      <c r="DU405"/>
      <c r="DV405"/>
      <c r="DW405"/>
      <c r="DX405"/>
      <c r="DY405"/>
      <c r="DZ405"/>
      <c r="EA405"/>
      <c r="EB405"/>
      <c r="EC405"/>
      <c r="ED405"/>
      <c r="EE405"/>
      <c r="EF405"/>
      <c r="EG405"/>
      <c r="EH405"/>
      <c r="EI405"/>
      <c r="EJ405"/>
      <c r="EK405"/>
      <c r="EL405"/>
      <c r="EM405"/>
      <c r="EN405"/>
      <c r="EO405"/>
      <c r="EP405"/>
      <c r="EQ405"/>
      <c r="ER405"/>
      <c r="ES405"/>
      <c r="ET405"/>
      <c r="EU405"/>
      <c r="EV405"/>
      <c r="EW405"/>
      <c r="EX405"/>
      <c r="EY405"/>
      <c r="EZ405"/>
      <c r="FA405"/>
      <c r="FB405"/>
      <c r="FC405"/>
      <c r="FD405"/>
      <c r="FE405"/>
      <c r="FF405"/>
      <c r="FG405"/>
      <c r="FH405"/>
      <c r="FI405"/>
      <c r="FJ405"/>
      <c r="FK405"/>
      <c r="FL405"/>
      <c r="FM405"/>
      <c r="FN405"/>
      <c r="FO405"/>
      <c r="FP405"/>
      <c r="FQ405"/>
      <c r="FR405"/>
      <c r="FS405"/>
      <c r="FT405"/>
      <c r="FU405"/>
      <c r="FV405"/>
      <c r="FW405"/>
      <c r="FX405"/>
      <c r="FY405"/>
      <c r="FZ405"/>
      <c r="GA405"/>
      <c r="GB405"/>
      <c r="GC405"/>
      <c r="GD405"/>
      <c r="GE405"/>
      <c r="GF405"/>
      <c r="GG405"/>
      <c r="GH405"/>
      <c r="GI405"/>
      <c r="GJ405"/>
      <c r="GK405"/>
      <c r="GL405"/>
      <c r="GM405"/>
      <c r="GN405"/>
      <c r="GO405"/>
      <c r="GP405"/>
      <c r="GQ405"/>
      <c r="GR405"/>
      <c r="GS405"/>
      <c r="GT405"/>
      <c r="GU405"/>
      <c r="GV405"/>
      <c r="GW405"/>
      <c r="GX405"/>
      <c r="GY405"/>
      <c r="GZ405"/>
      <c r="HA405"/>
      <c r="HB405"/>
      <c r="HC405"/>
      <c r="HD405"/>
      <c r="HE405"/>
      <c r="HF405"/>
      <c r="HG405"/>
      <c r="HH405"/>
      <c r="HI405"/>
      <c r="HJ405"/>
      <c r="HK405"/>
      <c r="HL405"/>
      <c r="HM405"/>
      <c r="HN405"/>
      <c r="HO405"/>
      <c r="HP405"/>
      <c r="HQ405"/>
      <c r="HR405"/>
      <c r="HS405"/>
      <c r="HT405"/>
      <c r="HU405"/>
      <c r="HV405"/>
      <c r="HW405"/>
      <c r="HX405"/>
      <c r="HY405"/>
      <c r="HZ405"/>
      <c r="IA405"/>
      <c r="IB405"/>
      <c r="IC405"/>
      <c r="ID405"/>
      <c r="IE405"/>
      <c r="IF405"/>
      <c r="IG405"/>
      <c r="IH405"/>
      <c r="II405"/>
      <c r="IJ405"/>
      <c r="IK405"/>
      <c r="IL405"/>
      <c r="IM405"/>
      <c r="IN405"/>
      <c r="IO405"/>
      <c r="IP405"/>
      <c r="IQ405"/>
      <c r="IR405"/>
      <c r="IS405"/>
      <c r="IT405"/>
      <c r="IU405"/>
      <c r="IV405"/>
      <c r="IW405"/>
      <c r="IX405"/>
      <c r="IY405"/>
      <c r="IZ405"/>
      <c r="JA405"/>
      <c r="JB405"/>
      <c r="JC405"/>
      <c r="JD405"/>
      <c r="JE405"/>
      <c r="JF405"/>
      <c r="JG405"/>
      <c r="JH405"/>
      <c r="JI405"/>
      <c r="JJ405"/>
      <c r="JK405"/>
      <c r="JL405"/>
      <c r="JM405"/>
      <c r="JN405"/>
      <c r="JO405"/>
      <c r="JP405"/>
      <c r="JQ405"/>
      <c r="JR405"/>
      <c r="JS405"/>
      <c r="JT405"/>
      <c r="JU405"/>
      <c r="JV405"/>
      <c r="JW405"/>
      <c r="JX405"/>
      <c r="JY405"/>
      <c r="JZ405"/>
      <c r="KA405"/>
      <c r="KB405"/>
      <c r="KC405"/>
      <c r="KD405"/>
      <c r="KE405"/>
      <c r="KF405"/>
      <c r="KG405"/>
      <c r="KH405"/>
      <c r="KI405"/>
      <c r="KJ405"/>
      <c r="KK405"/>
      <c r="KL405"/>
      <c r="KM405"/>
      <c r="KN405"/>
      <c r="KO405"/>
      <c r="KP405"/>
      <c r="KQ405"/>
      <c r="KR405"/>
      <c r="KS405"/>
      <c r="KT405"/>
      <c r="KU405"/>
      <c r="KV405"/>
      <c r="KW405"/>
      <c r="KX405"/>
      <c r="KY405"/>
      <c r="KZ405"/>
      <c r="LA405"/>
      <c r="LB405"/>
      <c r="LC405"/>
      <c r="LD405"/>
      <c r="LE405"/>
      <c r="LF405"/>
      <c r="LG405"/>
      <c r="LH405"/>
      <c r="LI405"/>
      <c r="LJ405"/>
      <c r="LK405"/>
      <c r="LL405"/>
      <c r="LM405"/>
      <c r="LN405"/>
      <c r="LO405"/>
      <c r="LP405"/>
      <c r="LQ405"/>
      <c r="LR405"/>
      <c r="LS405"/>
      <c r="LT405"/>
      <c r="LU405"/>
      <c r="LV405"/>
      <c r="LW405"/>
      <c r="LX405"/>
      <c r="LY405"/>
      <c r="LZ405"/>
      <c r="MA405"/>
      <c r="MB405"/>
      <c r="MC405"/>
      <c r="MD405"/>
      <c r="ME405"/>
      <c r="MF405"/>
      <c r="MG405"/>
      <c r="MH405"/>
      <c r="MI405"/>
      <c r="MJ405"/>
      <c r="MK405"/>
      <c r="ML405"/>
      <c r="MM405"/>
      <c r="MN405"/>
      <c r="MO405"/>
      <c r="MP405"/>
      <c r="MQ405"/>
      <c r="MR405"/>
      <c r="MS405"/>
      <c r="MT405"/>
      <c r="MU405"/>
      <c r="MV405"/>
      <c r="MW405"/>
      <c r="MX405"/>
      <c r="MY405"/>
      <c r="MZ405"/>
      <c r="NA405"/>
      <c r="NB405"/>
      <c r="NC405"/>
      <c r="ND405"/>
      <c r="NE405"/>
      <c r="NF405"/>
      <c r="NG405"/>
      <c r="NH405"/>
      <c r="NI405"/>
      <c r="NJ405"/>
      <c r="NK405"/>
      <c r="NL405"/>
      <c r="NM405"/>
      <c r="NN405"/>
      <c r="NO405"/>
      <c r="NP405"/>
      <c r="NQ405"/>
      <c r="NR405"/>
      <c r="NS405"/>
      <c r="NT405"/>
      <c r="NU405"/>
      <c r="NV405"/>
      <c r="NW405"/>
      <c r="NX405"/>
      <c r="NY405"/>
      <c r="NZ405"/>
      <c r="OA405"/>
      <c r="OB405"/>
      <c r="OC405"/>
      <c r="OD405"/>
      <c r="OE405"/>
      <c r="OF405"/>
      <c r="OG405"/>
      <c r="OH405"/>
      <c r="OI405"/>
      <c r="OJ405"/>
      <c r="OK405"/>
      <c r="OL405"/>
      <c r="OM405"/>
      <c r="ON405"/>
      <c r="OO405"/>
      <c r="OP405"/>
      <c r="OQ405"/>
      <c r="OR405"/>
      <c r="OS405"/>
      <c r="OT405"/>
      <c r="OU405"/>
      <c r="OV405"/>
      <c r="OW405"/>
      <c r="OX405"/>
      <c r="OY405"/>
      <c r="OZ405"/>
      <c r="PA405"/>
      <c r="PB405"/>
      <c r="PC405"/>
      <c r="PD405"/>
      <c r="PE405"/>
      <c r="PF405"/>
      <c r="PG405"/>
      <c r="PH405"/>
      <c r="PI405"/>
      <c r="PJ405"/>
      <c r="PK405"/>
      <c r="PL405"/>
      <c r="PM405"/>
      <c r="PN405"/>
      <c r="PO405"/>
      <c r="PP405"/>
      <c r="PQ405"/>
      <c r="PR405"/>
      <c r="PS405"/>
      <c r="PT405"/>
      <c r="PU405"/>
      <c r="PV405"/>
      <c r="PW405"/>
      <c r="PX405"/>
      <c r="PY405"/>
      <c r="PZ405"/>
      <c r="QA405"/>
      <c r="QB405"/>
      <c r="QC405"/>
      <c r="QD405"/>
      <c r="QE405"/>
      <c r="QF405"/>
      <c r="QG405"/>
      <c r="QH405"/>
      <c r="QI405"/>
      <c r="QJ405"/>
      <c r="QK405"/>
      <c r="QL405"/>
      <c r="QM405"/>
      <c r="QN405"/>
      <c r="QO405"/>
      <c r="QP405"/>
      <c r="QQ405"/>
      <c r="QR405"/>
      <c r="QS405"/>
      <c r="QT405"/>
      <c r="QU405"/>
      <c r="QV405"/>
      <c r="QW405"/>
      <c r="QX405"/>
      <c r="QY405"/>
      <c r="QZ405"/>
      <c r="RA405"/>
      <c r="RB405"/>
      <c r="RC405"/>
      <c r="RD405"/>
      <c r="RE405"/>
      <c r="RF405"/>
      <c r="RG405"/>
      <c r="RH405"/>
      <c r="RI405"/>
      <c r="RJ405"/>
      <c r="RK405"/>
      <c r="RL405"/>
      <c r="RM405"/>
      <c r="RN405"/>
      <c r="RO405"/>
      <c r="RP405"/>
      <c r="RQ405"/>
      <c r="RR405"/>
      <c r="RS405"/>
    </row>
    <row r="406" spans="19:487" x14ac:dyDescent="0.25">
      <c r="S406"/>
      <c r="T406"/>
      <c r="U406"/>
      <c r="V406"/>
      <c r="W406"/>
      <c r="X406"/>
      <c r="Y406"/>
      <c r="Z406"/>
      <c r="AA406"/>
      <c r="AB406"/>
      <c r="AC406"/>
      <c r="AD406"/>
      <c r="AE406"/>
      <c r="AF406"/>
      <c r="AG406"/>
      <c r="AH406"/>
      <c r="AI406"/>
      <c r="AJ406"/>
      <c r="AK406"/>
      <c r="AL406"/>
      <c r="AM406"/>
      <c r="AN406"/>
      <c r="AO406"/>
      <c r="AP406"/>
      <c r="AQ406"/>
      <c r="AR406"/>
      <c r="AS406"/>
      <c r="AT406"/>
      <c r="AU406"/>
      <c r="AV406"/>
      <c r="AW406"/>
      <c r="AX406"/>
      <c r="AY406"/>
      <c r="AZ406"/>
      <c r="BA406"/>
      <c r="BB406"/>
      <c r="BC406"/>
      <c r="BD406"/>
      <c r="BE406"/>
      <c r="BF406"/>
      <c r="BG406"/>
      <c r="BH406"/>
      <c r="BI406"/>
      <c r="BJ406"/>
      <c r="BK406"/>
      <c r="BL406"/>
      <c r="BM406"/>
      <c r="BN406"/>
      <c r="BO406"/>
      <c r="BP406"/>
      <c r="BQ406"/>
      <c r="BR406"/>
      <c r="BS406"/>
      <c r="BT406"/>
      <c r="BU406"/>
      <c r="BV406"/>
      <c r="BW406"/>
      <c r="BX406"/>
      <c r="BY406"/>
      <c r="BZ406"/>
      <c r="CA406"/>
      <c r="CB406"/>
      <c r="CC406"/>
      <c r="CD406"/>
      <c r="CE406"/>
      <c r="CF406"/>
      <c r="CG406"/>
      <c r="CH406"/>
      <c r="CI406"/>
      <c r="CJ406"/>
      <c r="CK406"/>
      <c r="CL406"/>
      <c r="CM406"/>
      <c r="CN406"/>
      <c r="CO406"/>
      <c r="CP406"/>
      <c r="CQ406"/>
      <c r="CR406"/>
      <c r="CS406"/>
      <c r="CT406"/>
      <c r="CU406"/>
      <c r="CV406"/>
      <c r="CW406"/>
      <c r="CX406"/>
      <c r="CY406"/>
      <c r="CZ406"/>
      <c r="DA406"/>
      <c r="DB406"/>
      <c r="DC406"/>
      <c r="DD406"/>
      <c r="DE406"/>
      <c r="DF406"/>
      <c r="DG406"/>
      <c r="DH406"/>
      <c r="DI406"/>
      <c r="DJ406"/>
      <c r="DK406"/>
      <c r="DL406"/>
      <c r="DM406"/>
      <c r="DN406"/>
      <c r="DO406"/>
      <c r="DP406"/>
      <c r="DQ406"/>
      <c r="DR406"/>
      <c r="DS406"/>
      <c r="DT406"/>
      <c r="DU406"/>
      <c r="DV406"/>
      <c r="DW406"/>
      <c r="DX406"/>
      <c r="DY406"/>
      <c r="DZ406"/>
      <c r="EA406"/>
      <c r="EB406"/>
      <c r="EC406"/>
      <c r="ED406"/>
      <c r="EE406"/>
      <c r="EF406"/>
      <c r="EG406"/>
      <c r="EH406"/>
      <c r="EI406"/>
      <c r="EJ406"/>
      <c r="EK406"/>
      <c r="EL406"/>
      <c r="EM406"/>
      <c r="EN406"/>
      <c r="EO406"/>
      <c r="EP406"/>
      <c r="EQ406"/>
      <c r="ER406"/>
      <c r="ES406"/>
      <c r="ET406"/>
      <c r="EU406"/>
      <c r="EV406"/>
      <c r="EW406"/>
      <c r="EX406"/>
      <c r="EY406"/>
      <c r="EZ406"/>
      <c r="FA406"/>
      <c r="FB406"/>
      <c r="FC406"/>
      <c r="FD406"/>
      <c r="FE406"/>
      <c r="FF406"/>
      <c r="FG406"/>
      <c r="FH406"/>
      <c r="FI406"/>
      <c r="FJ406"/>
      <c r="FK406"/>
      <c r="FL406"/>
      <c r="FM406"/>
      <c r="FN406"/>
      <c r="FO406"/>
      <c r="FP406"/>
      <c r="FQ406"/>
      <c r="FR406"/>
      <c r="FS406"/>
      <c r="FT406"/>
      <c r="FU406"/>
      <c r="FV406"/>
      <c r="FW406"/>
      <c r="FX406"/>
      <c r="FY406"/>
      <c r="FZ406"/>
      <c r="GA406"/>
      <c r="GB406"/>
      <c r="GC406"/>
      <c r="GD406"/>
      <c r="GE406"/>
      <c r="GF406"/>
      <c r="GG406"/>
      <c r="GH406"/>
      <c r="GI406"/>
      <c r="GJ406"/>
      <c r="GK406"/>
      <c r="GL406"/>
      <c r="GM406"/>
      <c r="GN406"/>
      <c r="GO406"/>
      <c r="GP406"/>
      <c r="GQ406"/>
      <c r="GR406"/>
      <c r="GS406"/>
      <c r="GT406"/>
      <c r="GU406"/>
      <c r="GV406"/>
      <c r="GW406"/>
      <c r="GX406"/>
      <c r="GY406"/>
      <c r="GZ406"/>
      <c r="HA406"/>
      <c r="HB406"/>
      <c r="HC406"/>
      <c r="HD406"/>
      <c r="HE406"/>
      <c r="HF406"/>
      <c r="HG406"/>
      <c r="HH406"/>
      <c r="HI406"/>
      <c r="HJ406"/>
      <c r="HK406"/>
      <c r="HL406"/>
      <c r="HM406"/>
      <c r="HN406"/>
      <c r="HO406"/>
      <c r="HP406"/>
      <c r="HQ406"/>
      <c r="HR406"/>
      <c r="HS406"/>
      <c r="HT406"/>
      <c r="HU406"/>
      <c r="HV406"/>
      <c r="HW406"/>
      <c r="HX406"/>
      <c r="HY406"/>
      <c r="HZ406"/>
      <c r="IA406"/>
      <c r="IB406"/>
      <c r="IC406"/>
      <c r="ID406"/>
      <c r="IE406"/>
      <c r="IF406"/>
      <c r="IG406"/>
      <c r="IH406"/>
      <c r="II406"/>
      <c r="IJ406"/>
      <c r="IK406"/>
      <c r="IL406"/>
      <c r="IM406"/>
      <c r="IN406"/>
      <c r="IO406"/>
      <c r="IP406"/>
      <c r="IQ406"/>
      <c r="IR406"/>
      <c r="IS406"/>
      <c r="IT406"/>
      <c r="IU406"/>
      <c r="IV406"/>
      <c r="IW406"/>
      <c r="IX406"/>
      <c r="IY406"/>
      <c r="IZ406"/>
      <c r="JA406"/>
      <c r="JB406"/>
      <c r="JC406"/>
      <c r="JD406"/>
      <c r="JE406"/>
      <c r="JF406"/>
      <c r="JG406"/>
      <c r="JH406"/>
      <c r="JI406"/>
      <c r="JJ406"/>
      <c r="JK406"/>
      <c r="JL406"/>
      <c r="JM406"/>
      <c r="JN406"/>
      <c r="JO406"/>
      <c r="JP406"/>
      <c r="JQ406"/>
      <c r="JR406"/>
      <c r="JS406"/>
      <c r="JT406"/>
      <c r="JU406"/>
      <c r="JV406"/>
      <c r="JW406"/>
      <c r="JX406"/>
      <c r="JY406"/>
      <c r="JZ406"/>
      <c r="KA406"/>
      <c r="KB406"/>
      <c r="KC406"/>
      <c r="KD406"/>
      <c r="KE406"/>
      <c r="KF406"/>
      <c r="KG406"/>
      <c r="KH406"/>
      <c r="KI406"/>
      <c r="KJ406"/>
      <c r="KK406"/>
      <c r="KL406"/>
      <c r="KM406"/>
      <c r="KN406"/>
      <c r="KO406"/>
      <c r="KP406"/>
      <c r="KQ406"/>
      <c r="KR406"/>
      <c r="KS406"/>
      <c r="KT406"/>
      <c r="KU406"/>
      <c r="KV406"/>
      <c r="KW406"/>
      <c r="KX406"/>
      <c r="KY406"/>
      <c r="KZ406"/>
      <c r="LA406"/>
      <c r="LB406"/>
      <c r="LC406"/>
      <c r="LD406"/>
      <c r="LE406"/>
      <c r="LF406"/>
      <c r="LG406"/>
      <c r="LH406"/>
      <c r="LI406"/>
      <c r="LJ406"/>
      <c r="LK406"/>
      <c r="LL406"/>
      <c r="LM406"/>
      <c r="LN406"/>
      <c r="LO406"/>
      <c r="LP406"/>
      <c r="LQ406"/>
      <c r="LR406"/>
      <c r="LS406"/>
      <c r="LT406"/>
      <c r="LU406"/>
      <c r="LV406"/>
      <c r="LW406"/>
      <c r="LX406"/>
      <c r="LY406"/>
      <c r="LZ406"/>
      <c r="MA406"/>
      <c r="MB406"/>
      <c r="MC406"/>
      <c r="MD406"/>
      <c r="ME406"/>
      <c r="MF406"/>
      <c r="MG406"/>
      <c r="MH406"/>
      <c r="MI406"/>
      <c r="MJ406"/>
      <c r="MK406"/>
      <c r="ML406"/>
      <c r="MM406"/>
      <c r="MN406"/>
      <c r="MO406"/>
      <c r="MP406"/>
      <c r="MQ406"/>
      <c r="MR406"/>
      <c r="MS406"/>
      <c r="MT406"/>
      <c r="MU406"/>
      <c r="MV406"/>
      <c r="MW406"/>
      <c r="MX406"/>
      <c r="MY406"/>
      <c r="MZ406"/>
      <c r="NA406"/>
      <c r="NB406"/>
      <c r="NC406"/>
      <c r="ND406"/>
      <c r="NE406"/>
      <c r="NF406"/>
      <c r="NG406"/>
      <c r="NH406"/>
      <c r="NI406"/>
      <c r="NJ406"/>
      <c r="NK406"/>
      <c r="NL406"/>
      <c r="NM406"/>
      <c r="NN406"/>
      <c r="NO406"/>
      <c r="NP406"/>
      <c r="NQ406"/>
      <c r="NR406"/>
      <c r="NS406"/>
      <c r="NT406"/>
      <c r="NU406"/>
      <c r="NV406"/>
      <c r="NW406"/>
      <c r="NX406"/>
      <c r="NY406"/>
      <c r="NZ406"/>
      <c r="OA406"/>
      <c r="OB406"/>
      <c r="OC406"/>
      <c r="OD406"/>
      <c r="OE406"/>
      <c r="OF406"/>
      <c r="OG406"/>
      <c r="OH406"/>
      <c r="OI406"/>
      <c r="OJ406"/>
      <c r="OK406"/>
      <c r="OL406"/>
      <c r="OM406"/>
      <c r="ON406"/>
      <c r="OO406"/>
      <c r="OP406"/>
      <c r="OQ406"/>
      <c r="OR406"/>
      <c r="OS406"/>
      <c r="OT406"/>
      <c r="OU406"/>
      <c r="OV406"/>
      <c r="OW406"/>
      <c r="OX406"/>
      <c r="OY406"/>
      <c r="OZ406"/>
      <c r="PA406"/>
      <c r="PB406"/>
      <c r="PC406"/>
      <c r="PD406"/>
      <c r="PE406"/>
      <c r="PF406"/>
      <c r="PG406"/>
      <c r="PH406"/>
      <c r="PI406"/>
      <c r="PJ406"/>
      <c r="PK406"/>
      <c r="PL406"/>
      <c r="PM406"/>
      <c r="PN406"/>
      <c r="PO406"/>
      <c r="PP406"/>
      <c r="PQ406"/>
      <c r="PR406"/>
      <c r="PS406"/>
      <c r="PT406"/>
      <c r="PU406"/>
      <c r="PV406"/>
      <c r="PW406"/>
      <c r="PX406"/>
      <c r="PY406"/>
      <c r="PZ406"/>
      <c r="QA406"/>
      <c r="QB406"/>
      <c r="QC406"/>
      <c r="QD406"/>
      <c r="QE406"/>
      <c r="QF406"/>
      <c r="QG406"/>
      <c r="QH406"/>
      <c r="QI406"/>
      <c r="QJ406"/>
      <c r="QK406"/>
      <c r="QL406"/>
      <c r="QM406"/>
      <c r="QN406"/>
      <c r="QO406"/>
      <c r="QP406"/>
      <c r="QQ406"/>
      <c r="QR406"/>
      <c r="QS406"/>
      <c r="QT406"/>
      <c r="QU406"/>
      <c r="QV406"/>
      <c r="QW406"/>
      <c r="QX406"/>
      <c r="QY406"/>
      <c r="QZ406"/>
      <c r="RA406"/>
      <c r="RB406"/>
      <c r="RC406"/>
      <c r="RD406"/>
      <c r="RE406"/>
      <c r="RF406"/>
      <c r="RG406"/>
      <c r="RH406"/>
      <c r="RI406"/>
      <c r="RJ406"/>
      <c r="RK406"/>
      <c r="RL406"/>
      <c r="RM406"/>
      <c r="RN406"/>
      <c r="RO406"/>
      <c r="RP406"/>
      <c r="RQ406"/>
      <c r="RR406"/>
      <c r="RS406"/>
    </row>
    <row r="407" spans="19:487" x14ac:dyDescent="0.25">
      <c r="S407"/>
      <c r="T407"/>
      <c r="U407"/>
      <c r="V407"/>
      <c r="W407"/>
      <c r="X407"/>
      <c r="Y407"/>
      <c r="Z407"/>
      <c r="AA407"/>
      <c r="AB407"/>
      <c r="AC407"/>
      <c r="AD407"/>
      <c r="AE407"/>
      <c r="AF407"/>
      <c r="AG407"/>
      <c r="AH407"/>
      <c r="AI407"/>
      <c r="AJ407"/>
      <c r="AK407"/>
      <c r="AL407"/>
      <c r="AM407"/>
      <c r="AN407"/>
      <c r="AO407"/>
      <c r="AP407"/>
      <c r="AQ407"/>
      <c r="AR407"/>
      <c r="AS407"/>
      <c r="AT407"/>
      <c r="AU407"/>
      <c r="AV407"/>
      <c r="AW407"/>
      <c r="AX407"/>
      <c r="AY407"/>
      <c r="AZ407"/>
      <c r="BA407"/>
      <c r="BB407"/>
      <c r="BC407"/>
      <c r="BD407"/>
      <c r="BE407"/>
      <c r="BF407"/>
      <c r="BG407"/>
      <c r="BH407"/>
      <c r="BI407"/>
      <c r="BJ407"/>
      <c r="BK407"/>
      <c r="BL407"/>
      <c r="BM407"/>
      <c r="BN407"/>
      <c r="BO407"/>
      <c r="BP407"/>
      <c r="BQ407"/>
      <c r="BR407"/>
      <c r="BS407"/>
      <c r="BT407"/>
      <c r="BU407"/>
      <c r="BV407"/>
      <c r="BW407"/>
      <c r="BX407"/>
      <c r="BY407"/>
      <c r="BZ407"/>
      <c r="CA407"/>
      <c r="CB407"/>
      <c r="CC407"/>
      <c r="CD407"/>
      <c r="CE407"/>
      <c r="CF407"/>
      <c r="CG407"/>
      <c r="CH407"/>
      <c r="CI407"/>
      <c r="CJ407"/>
      <c r="CK407"/>
      <c r="CL407"/>
      <c r="CM407"/>
      <c r="CN407"/>
      <c r="CO407"/>
      <c r="CP407"/>
      <c r="CQ407"/>
      <c r="CR407"/>
      <c r="CS407"/>
      <c r="CT407"/>
      <c r="CU407"/>
      <c r="CV407"/>
      <c r="CW407"/>
      <c r="CX407"/>
      <c r="CY407"/>
      <c r="CZ407"/>
      <c r="DA407"/>
      <c r="DB407"/>
      <c r="DC407"/>
      <c r="DD407"/>
      <c r="DE407"/>
      <c r="DF407"/>
      <c r="DG407"/>
      <c r="DH407"/>
      <c r="DI407"/>
      <c r="DJ407"/>
      <c r="DK407"/>
      <c r="DL407"/>
      <c r="DM407"/>
      <c r="DN407"/>
      <c r="DO407"/>
      <c r="DP407"/>
      <c r="DQ407"/>
      <c r="DR407"/>
      <c r="DS407"/>
      <c r="DT407"/>
      <c r="DU407"/>
      <c r="DV407"/>
      <c r="DW407"/>
      <c r="DX407"/>
      <c r="DY407"/>
      <c r="DZ407"/>
      <c r="EA407"/>
      <c r="EB407"/>
      <c r="EC407"/>
      <c r="ED407"/>
      <c r="EE407"/>
      <c r="EF407"/>
      <c r="EG407"/>
      <c r="EH407"/>
      <c r="EI407"/>
      <c r="EJ407"/>
      <c r="EK407"/>
      <c r="EL407"/>
      <c r="EM407"/>
      <c r="EN407"/>
      <c r="EO407"/>
      <c r="EP407"/>
      <c r="EQ407"/>
      <c r="ER407"/>
      <c r="ES407"/>
      <c r="ET407"/>
      <c r="EU407"/>
      <c r="EV407"/>
      <c r="EW407"/>
      <c r="EX407"/>
      <c r="EY407"/>
      <c r="EZ407"/>
      <c r="FA407"/>
      <c r="FB407"/>
      <c r="FC407"/>
      <c r="FD407"/>
      <c r="FE407"/>
      <c r="FF407"/>
      <c r="FG407"/>
      <c r="FH407"/>
      <c r="FI407"/>
      <c r="FJ407"/>
      <c r="FK407"/>
      <c r="FL407"/>
      <c r="FM407"/>
      <c r="FN407"/>
      <c r="FO407"/>
      <c r="FP407"/>
      <c r="FQ407"/>
      <c r="FR407"/>
      <c r="FS407"/>
      <c r="FT407"/>
      <c r="FU407"/>
      <c r="FV407"/>
      <c r="FW407"/>
      <c r="FX407"/>
      <c r="FY407"/>
      <c r="FZ407"/>
      <c r="GA407"/>
      <c r="GB407"/>
      <c r="GC407"/>
      <c r="GD407"/>
      <c r="GE407"/>
      <c r="GF407"/>
      <c r="GG407"/>
      <c r="GH407"/>
      <c r="GI407"/>
      <c r="GJ407"/>
      <c r="GK407"/>
      <c r="GL407"/>
      <c r="GM407"/>
      <c r="GN407"/>
      <c r="GO407"/>
      <c r="GP407"/>
      <c r="GQ407"/>
      <c r="GR407"/>
      <c r="GS407"/>
      <c r="GT407"/>
      <c r="GU407"/>
      <c r="GV407"/>
      <c r="GW407"/>
      <c r="GX407"/>
      <c r="GY407"/>
      <c r="GZ407"/>
      <c r="HA407"/>
      <c r="HB407"/>
      <c r="HC407"/>
      <c r="HD407"/>
      <c r="HE407"/>
      <c r="HF407"/>
      <c r="HG407"/>
      <c r="HH407"/>
      <c r="HI407"/>
      <c r="HJ407"/>
      <c r="HK407"/>
      <c r="HL407"/>
      <c r="HM407"/>
      <c r="HN407"/>
      <c r="HO407"/>
      <c r="HP407"/>
      <c r="HQ407"/>
      <c r="HR407"/>
      <c r="HS407"/>
      <c r="HT407"/>
      <c r="HU407"/>
      <c r="HV407"/>
      <c r="HW407"/>
      <c r="HX407"/>
      <c r="HY407"/>
      <c r="HZ407"/>
      <c r="IA407"/>
      <c r="IB407"/>
      <c r="IC407"/>
      <c r="ID407"/>
      <c r="IE407"/>
      <c r="IF407"/>
      <c r="IG407"/>
      <c r="IH407"/>
      <c r="II407"/>
      <c r="IJ407"/>
      <c r="IK407"/>
      <c r="IL407"/>
      <c r="IM407"/>
      <c r="IN407"/>
      <c r="IO407"/>
      <c r="IP407"/>
      <c r="IQ407"/>
      <c r="IR407"/>
      <c r="IS407"/>
      <c r="IT407"/>
      <c r="IU407"/>
      <c r="IV407"/>
      <c r="IW407"/>
      <c r="IX407"/>
      <c r="IY407"/>
      <c r="IZ407"/>
      <c r="JA407"/>
      <c r="JB407"/>
      <c r="JC407"/>
      <c r="JD407"/>
      <c r="JE407"/>
      <c r="JF407"/>
      <c r="JG407"/>
      <c r="JH407"/>
      <c r="JI407"/>
      <c r="JJ407"/>
      <c r="JK407"/>
      <c r="JL407"/>
      <c r="JM407"/>
      <c r="JN407"/>
      <c r="JO407"/>
      <c r="JP407"/>
      <c r="JQ407"/>
      <c r="JR407"/>
      <c r="JS407"/>
      <c r="JT407"/>
      <c r="JU407"/>
      <c r="JV407"/>
      <c r="JW407"/>
      <c r="JX407"/>
      <c r="JY407"/>
      <c r="JZ407"/>
      <c r="KA407"/>
      <c r="KB407"/>
      <c r="KC407"/>
      <c r="KD407"/>
      <c r="KE407"/>
      <c r="KF407"/>
      <c r="KG407"/>
      <c r="KH407"/>
      <c r="KI407"/>
      <c r="KJ407"/>
      <c r="KK407"/>
      <c r="KL407"/>
      <c r="KM407"/>
      <c r="KN407"/>
      <c r="KO407"/>
      <c r="KP407"/>
      <c r="KQ407"/>
      <c r="KR407"/>
      <c r="KS407"/>
      <c r="KT407"/>
      <c r="KU407"/>
      <c r="KV407"/>
      <c r="KW407"/>
      <c r="KX407"/>
      <c r="KY407"/>
      <c r="KZ407"/>
      <c r="LA407"/>
      <c r="LB407"/>
      <c r="LC407"/>
      <c r="LD407"/>
      <c r="LE407"/>
      <c r="LF407"/>
      <c r="LG407"/>
      <c r="LH407"/>
      <c r="LI407"/>
      <c r="LJ407"/>
      <c r="LK407"/>
      <c r="LL407"/>
      <c r="LM407"/>
      <c r="LN407"/>
      <c r="LO407"/>
      <c r="LP407"/>
      <c r="LQ407"/>
      <c r="LR407"/>
      <c r="LS407"/>
      <c r="LT407"/>
      <c r="LU407"/>
      <c r="LV407"/>
      <c r="LW407"/>
      <c r="LX407"/>
      <c r="LY407"/>
      <c r="LZ407"/>
      <c r="MA407"/>
      <c r="MB407"/>
      <c r="MC407"/>
      <c r="MD407"/>
      <c r="ME407"/>
      <c r="MF407"/>
      <c r="MG407"/>
      <c r="MH407"/>
      <c r="MI407"/>
      <c r="MJ407"/>
      <c r="MK407"/>
      <c r="ML407"/>
      <c r="MM407"/>
      <c r="MN407"/>
      <c r="MO407"/>
      <c r="MP407"/>
      <c r="MQ407"/>
      <c r="MR407"/>
      <c r="MS407"/>
      <c r="MT407"/>
      <c r="MU407"/>
      <c r="MV407"/>
      <c r="MW407"/>
      <c r="MX407"/>
      <c r="MY407"/>
      <c r="MZ407"/>
      <c r="NA407"/>
      <c r="NB407"/>
      <c r="NC407"/>
      <c r="ND407"/>
      <c r="NE407"/>
      <c r="NF407"/>
      <c r="NG407"/>
      <c r="NH407"/>
      <c r="NI407"/>
      <c r="NJ407"/>
      <c r="NK407"/>
      <c r="NL407"/>
      <c r="NM407"/>
      <c r="NN407"/>
      <c r="NO407"/>
      <c r="NP407"/>
      <c r="NQ407"/>
      <c r="NR407"/>
      <c r="NS407"/>
      <c r="NT407"/>
      <c r="NU407"/>
      <c r="NV407"/>
      <c r="NW407"/>
      <c r="NX407"/>
      <c r="NY407"/>
      <c r="NZ407"/>
      <c r="OA407"/>
      <c r="OB407"/>
      <c r="OC407"/>
      <c r="OD407"/>
      <c r="OE407"/>
      <c r="OF407"/>
      <c r="OG407"/>
      <c r="OH407"/>
      <c r="OI407"/>
      <c r="OJ407"/>
      <c r="OK407"/>
      <c r="OL407"/>
      <c r="OM407"/>
      <c r="ON407"/>
      <c r="OO407"/>
      <c r="OP407"/>
      <c r="OQ407"/>
      <c r="OR407"/>
      <c r="OS407"/>
      <c r="OT407"/>
      <c r="OU407"/>
      <c r="OV407"/>
      <c r="OW407"/>
      <c r="OX407"/>
      <c r="OY407"/>
      <c r="OZ407"/>
      <c r="PA407"/>
      <c r="PB407"/>
      <c r="PC407"/>
      <c r="PD407"/>
      <c r="PE407"/>
      <c r="PF407"/>
      <c r="PG407"/>
      <c r="PH407"/>
      <c r="PI407"/>
      <c r="PJ407"/>
      <c r="PK407"/>
      <c r="PL407"/>
      <c r="PM407"/>
      <c r="PN407"/>
      <c r="PO407"/>
      <c r="PP407"/>
      <c r="PQ407"/>
      <c r="PR407"/>
      <c r="PS407"/>
      <c r="PT407"/>
      <c r="PU407"/>
      <c r="PV407"/>
      <c r="PW407"/>
      <c r="PX407"/>
      <c r="PY407"/>
      <c r="PZ407"/>
      <c r="QA407"/>
      <c r="QB407"/>
      <c r="QC407"/>
      <c r="QD407"/>
      <c r="QE407"/>
      <c r="QF407"/>
      <c r="QG407"/>
      <c r="QH407"/>
      <c r="QI407"/>
      <c r="QJ407"/>
      <c r="QK407"/>
      <c r="QL407"/>
      <c r="QM407"/>
      <c r="QN407"/>
      <c r="QO407"/>
      <c r="QP407"/>
      <c r="QQ407"/>
      <c r="QR407"/>
      <c r="QS407"/>
      <c r="QT407"/>
      <c r="QU407"/>
      <c r="QV407"/>
      <c r="QW407"/>
      <c r="QX407"/>
      <c r="QY407"/>
      <c r="QZ407"/>
      <c r="RA407"/>
      <c r="RB407"/>
      <c r="RC407"/>
      <c r="RD407"/>
      <c r="RE407"/>
      <c r="RF407"/>
      <c r="RG407"/>
      <c r="RH407"/>
      <c r="RI407"/>
      <c r="RJ407"/>
      <c r="RK407"/>
      <c r="RL407"/>
      <c r="RM407"/>
      <c r="RN407"/>
      <c r="RO407"/>
      <c r="RP407"/>
      <c r="RQ407"/>
      <c r="RR407"/>
      <c r="RS407"/>
    </row>
    <row r="408" spans="19:487" x14ac:dyDescent="0.25">
      <c r="S408"/>
      <c r="T408"/>
      <c r="U408"/>
      <c r="V408"/>
      <c r="W408"/>
      <c r="X408"/>
      <c r="Y408"/>
      <c r="Z408"/>
      <c r="AA408"/>
      <c r="AB408"/>
      <c r="AC408"/>
      <c r="AD408"/>
      <c r="AE408"/>
      <c r="AF408"/>
      <c r="AG408"/>
      <c r="AH408"/>
      <c r="AI408"/>
      <c r="AJ408"/>
      <c r="AK408"/>
      <c r="AL408"/>
      <c r="AM408"/>
      <c r="AN408"/>
      <c r="AO408"/>
      <c r="AP408"/>
      <c r="AQ408"/>
      <c r="AR408"/>
      <c r="AS408"/>
      <c r="AT408"/>
      <c r="AU408"/>
      <c r="AV408"/>
      <c r="AW408"/>
      <c r="AX408"/>
      <c r="AY408"/>
      <c r="AZ408"/>
      <c r="BA408"/>
      <c r="BB408"/>
      <c r="BC408"/>
      <c r="BD408"/>
      <c r="BE408"/>
      <c r="BF408"/>
      <c r="BG408"/>
      <c r="BH408"/>
      <c r="BI408"/>
      <c r="BJ408"/>
      <c r="BK408"/>
      <c r="BL408"/>
      <c r="BM408"/>
      <c r="BN408"/>
      <c r="BO408"/>
      <c r="BP408"/>
      <c r="BQ408"/>
      <c r="BR408"/>
      <c r="BS408"/>
      <c r="BT408"/>
      <c r="BU408"/>
      <c r="BV408"/>
      <c r="BW408"/>
      <c r="BX408"/>
      <c r="BY408"/>
      <c r="BZ408"/>
      <c r="CA408"/>
      <c r="CB408"/>
      <c r="CC408"/>
      <c r="CD408"/>
      <c r="CE408"/>
      <c r="CF408"/>
      <c r="CG408"/>
      <c r="CH408"/>
      <c r="CI408"/>
      <c r="CJ408"/>
      <c r="CK408"/>
      <c r="CL408"/>
      <c r="CM408"/>
      <c r="CN408"/>
      <c r="CO408"/>
      <c r="CP408"/>
      <c r="CQ408"/>
      <c r="CR408"/>
      <c r="CS408"/>
      <c r="CT408"/>
      <c r="CU408"/>
      <c r="CV408"/>
      <c r="CW408"/>
      <c r="CX408"/>
      <c r="CY408"/>
      <c r="CZ408"/>
      <c r="DA408"/>
      <c r="DB408"/>
      <c r="DC408"/>
      <c r="DD408"/>
      <c r="DE408"/>
      <c r="DF408"/>
      <c r="DG408"/>
      <c r="DH408"/>
      <c r="DI408"/>
      <c r="DJ408"/>
      <c r="DK408"/>
      <c r="DL408"/>
      <c r="DM408"/>
      <c r="DN408"/>
      <c r="DO408"/>
      <c r="DP408"/>
      <c r="DQ408"/>
      <c r="DR408"/>
      <c r="DS408"/>
      <c r="DT408"/>
      <c r="DU408"/>
      <c r="DV408"/>
      <c r="DW408"/>
      <c r="DX408"/>
      <c r="DY408"/>
      <c r="DZ408"/>
      <c r="EA408"/>
      <c r="EB408"/>
      <c r="EC408"/>
      <c r="ED408"/>
      <c r="EE408"/>
      <c r="EF408"/>
      <c r="EG408"/>
      <c r="EH408"/>
      <c r="EI408"/>
      <c r="EJ408"/>
      <c r="EK408"/>
      <c r="EL408"/>
      <c r="EM408"/>
      <c r="EN408"/>
      <c r="EO408"/>
      <c r="EP408"/>
      <c r="EQ408"/>
      <c r="ER408"/>
      <c r="ES408"/>
      <c r="ET408"/>
      <c r="EU408"/>
      <c r="EV408"/>
      <c r="EW408"/>
      <c r="EX408"/>
      <c r="EY408"/>
      <c r="EZ408"/>
      <c r="FA408"/>
      <c r="FB408"/>
      <c r="FC408"/>
      <c r="FD408"/>
      <c r="FE408"/>
      <c r="FF408"/>
      <c r="FG408"/>
      <c r="FH408"/>
      <c r="FI408"/>
      <c r="FJ408"/>
      <c r="FK408"/>
      <c r="FL408"/>
      <c r="FM408"/>
      <c r="FN408"/>
      <c r="FO408"/>
      <c r="FP408"/>
      <c r="FQ408"/>
      <c r="FR408"/>
      <c r="FS408"/>
      <c r="FT408"/>
      <c r="FU408"/>
      <c r="FV408"/>
      <c r="FW408"/>
      <c r="FX408"/>
      <c r="FY408"/>
      <c r="FZ408"/>
      <c r="GA408"/>
      <c r="GB408"/>
      <c r="GC408"/>
      <c r="GD408"/>
      <c r="GE408"/>
      <c r="GF408"/>
      <c r="GG408"/>
      <c r="GH408"/>
      <c r="GI408"/>
      <c r="GJ408"/>
      <c r="GK408"/>
      <c r="GL408"/>
      <c r="GM408"/>
      <c r="GN408"/>
      <c r="GO408"/>
      <c r="GP408"/>
      <c r="GQ408"/>
      <c r="GR408"/>
      <c r="GS408"/>
      <c r="GT408"/>
      <c r="GU408"/>
      <c r="GV408"/>
      <c r="GW408"/>
      <c r="GX408"/>
      <c r="GY408"/>
      <c r="GZ408"/>
      <c r="HA408"/>
      <c r="HB408"/>
      <c r="HC408"/>
      <c r="HD408"/>
      <c r="HE408"/>
      <c r="HF408"/>
      <c r="HG408"/>
      <c r="HH408"/>
      <c r="HI408"/>
      <c r="HJ408"/>
      <c r="HK408"/>
      <c r="HL408"/>
      <c r="HM408"/>
      <c r="HN408"/>
      <c r="HO408"/>
      <c r="HP408"/>
      <c r="HQ408"/>
      <c r="HR408"/>
      <c r="HS408"/>
      <c r="HT408"/>
      <c r="HU408"/>
      <c r="HV408"/>
      <c r="HW408"/>
      <c r="HX408"/>
      <c r="HY408"/>
      <c r="HZ408"/>
      <c r="IA408"/>
      <c r="IB408"/>
      <c r="IC408"/>
      <c r="ID408"/>
      <c r="IE408"/>
      <c r="IF408"/>
      <c r="IG408"/>
      <c r="IH408"/>
      <c r="II408"/>
      <c r="IJ408"/>
      <c r="IK408"/>
      <c r="IL408"/>
      <c r="IM408"/>
      <c r="IN408"/>
      <c r="IO408"/>
      <c r="IP408"/>
      <c r="IQ408"/>
      <c r="IR408"/>
      <c r="IS408"/>
      <c r="IT408"/>
      <c r="IU408"/>
      <c r="IV408"/>
      <c r="IW408"/>
      <c r="IX408"/>
      <c r="IY408"/>
      <c r="IZ408"/>
      <c r="JA408"/>
      <c r="JB408"/>
      <c r="JC408"/>
      <c r="JD408"/>
      <c r="JE408"/>
      <c r="JF408"/>
      <c r="JG408"/>
      <c r="JH408"/>
      <c r="JI408"/>
      <c r="JJ408"/>
      <c r="JK408"/>
      <c r="JL408"/>
      <c r="JM408"/>
      <c r="JN408"/>
      <c r="JO408"/>
      <c r="JP408"/>
      <c r="JQ408"/>
      <c r="JR408"/>
      <c r="JS408"/>
      <c r="JT408"/>
      <c r="JU408"/>
      <c r="JV408"/>
      <c r="JW408"/>
      <c r="JX408"/>
      <c r="JY408"/>
      <c r="JZ408"/>
      <c r="KA408"/>
      <c r="KB408"/>
      <c r="KC408"/>
      <c r="KD408"/>
      <c r="KE408"/>
      <c r="KF408"/>
      <c r="KG408"/>
      <c r="KH408"/>
      <c r="KI408"/>
      <c r="KJ408"/>
      <c r="KK408"/>
      <c r="KL408"/>
      <c r="KM408"/>
      <c r="KN408"/>
      <c r="KO408"/>
      <c r="KP408"/>
      <c r="KQ408"/>
      <c r="KR408"/>
      <c r="KS408"/>
      <c r="KT408"/>
      <c r="KU408"/>
      <c r="KV408"/>
      <c r="KW408"/>
      <c r="KX408"/>
      <c r="KY408"/>
      <c r="KZ408"/>
      <c r="LA408"/>
      <c r="LB408"/>
      <c r="LC408"/>
      <c r="LD408"/>
      <c r="LE408"/>
      <c r="LF408"/>
      <c r="LG408"/>
      <c r="LH408"/>
      <c r="LI408"/>
      <c r="LJ408"/>
      <c r="LK408"/>
      <c r="LL408"/>
      <c r="LM408"/>
      <c r="LN408"/>
      <c r="LO408"/>
      <c r="LP408"/>
      <c r="LQ408"/>
      <c r="LR408"/>
      <c r="LS408"/>
      <c r="LT408"/>
      <c r="LU408"/>
      <c r="LV408"/>
      <c r="LW408"/>
      <c r="LX408"/>
      <c r="LY408"/>
      <c r="LZ408"/>
      <c r="MA408"/>
      <c r="MB408"/>
      <c r="MC408"/>
      <c r="MD408"/>
      <c r="ME408"/>
      <c r="MF408"/>
      <c r="MG408"/>
      <c r="MH408"/>
      <c r="MI408"/>
      <c r="MJ408"/>
      <c r="MK408"/>
      <c r="ML408"/>
      <c r="MM408"/>
      <c r="MN408"/>
      <c r="MO408"/>
      <c r="MP408"/>
      <c r="MQ408"/>
      <c r="MR408"/>
      <c r="MS408"/>
      <c r="MT408"/>
      <c r="MU408"/>
      <c r="MV408"/>
      <c r="MW408"/>
      <c r="MX408"/>
      <c r="MY408"/>
      <c r="MZ408"/>
      <c r="NA408"/>
      <c r="NB408"/>
      <c r="NC408"/>
      <c r="ND408"/>
      <c r="NE408"/>
      <c r="NF408"/>
      <c r="NG408"/>
      <c r="NH408"/>
      <c r="NI408"/>
      <c r="NJ408"/>
      <c r="NK408"/>
      <c r="NL408"/>
      <c r="NM408"/>
      <c r="NN408"/>
      <c r="NO408"/>
      <c r="NP408"/>
      <c r="NQ408"/>
      <c r="NR408"/>
      <c r="NS408"/>
      <c r="NT408"/>
      <c r="NU408"/>
      <c r="NV408"/>
      <c r="NW408"/>
      <c r="NX408"/>
      <c r="NY408"/>
      <c r="NZ408"/>
      <c r="OA408"/>
      <c r="OB408"/>
      <c r="OC408"/>
      <c r="OD408"/>
      <c r="OE408"/>
      <c r="OF408"/>
      <c r="OG408"/>
      <c r="OH408"/>
      <c r="OI408"/>
      <c r="OJ408"/>
      <c r="OK408"/>
      <c r="OL408"/>
      <c r="OM408"/>
      <c r="ON408"/>
      <c r="OO408"/>
      <c r="OP408"/>
      <c r="OQ408"/>
      <c r="OR408"/>
      <c r="OS408"/>
      <c r="OT408"/>
      <c r="OU408"/>
      <c r="OV408"/>
      <c r="OW408"/>
      <c r="OX408"/>
      <c r="OY408"/>
      <c r="OZ408"/>
      <c r="PA408"/>
      <c r="PB408"/>
      <c r="PC408"/>
      <c r="PD408"/>
      <c r="PE408"/>
      <c r="PF408"/>
      <c r="PG408"/>
      <c r="PH408"/>
      <c r="PI408"/>
      <c r="PJ408"/>
      <c r="PK408"/>
      <c r="PL408"/>
      <c r="PM408"/>
      <c r="PN408"/>
      <c r="PO408"/>
      <c r="PP408"/>
      <c r="PQ408"/>
      <c r="PR408"/>
      <c r="PS408"/>
      <c r="PT408"/>
      <c r="PU408"/>
      <c r="PV408"/>
      <c r="PW408"/>
      <c r="PX408"/>
      <c r="PY408"/>
      <c r="PZ408"/>
      <c r="QA408"/>
      <c r="QB408"/>
      <c r="QC408"/>
      <c r="QD408"/>
      <c r="QE408"/>
      <c r="QF408"/>
      <c r="QG408"/>
      <c r="QH408"/>
      <c r="QI408"/>
      <c r="QJ408"/>
      <c r="QK408"/>
      <c r="QL408"/>
      <c r="QM408"/>
      <c r="QN408"/>
      <c r="QO408"/>
      <c r="QP408"/>
      <c r="QQ408"/>
      <c r="QR408"/>
      <c r="QS408"/>
      <c r="QT408"/>
      <c r="QU408"/>
      <c r="QV408"/>
      <c r="QW408"/>
      <c r="QX408"/>
      <c r="QY408"/>
      <c r="QZ408"/>
      <c r="RA408"/>
      <c r="RB408"/>
      <c r="RC408"/>
      <c r="RD408"/>
      <c r="RE408"/>
      <c r="RF408"/>
      <c r="RG408"/>
      <c r="RH408"/>
      <c r="RI408"/>
      <c r="RJ408"/>
      <c r="RK408"/>
      <c r="RL408"/>
      <c r="RM408"/>
      <c r="RN408"/>
      <c r="RO408"/>
      <c r="RP408"/>
      <c r="RQ408"/>
      <c r="RR408"/>
      <c r="RS408"/>
    </row>
    <row r="409" spans="19:487" x14ac:dyDescent="0.25">
      <c r="S409"/>
      <c r="T409"/>
      <c r="U409"/>
      <c r="V409"/>
      <c r="W409"/>
      <c r="X409"/>
      <c r="Y409"/>
      <c r="Z409"/>
      <c r="AA409"/>
      <c r="AB409"/>
      <c r="AC409"/>
      <c r="AD409"/>
      <c r="AE409"/>
      <c r="AF409"/>
      <c r="AG409"/>
      <c r="AH409"/>
      <c r="AI409"/>
      <c r="AJ409"/>
      <c r="AK409"/>
      <c r="AL409"/>
      <c r="AM409"/>
      <c r="AN409"/>
      <c r="AO409"/>
      <c r="AP409"/>
      <c r="AQ409"/>
      <c r="AR409"/>
      <c r="AS409"/>
      <c r="AT409"/>
      <c r="AU409"/>
      <c r="AV409"/>
      <c r="AW409"/>
      <c r="AX409"/>
      <c r="AY409"/>
      <c r="AZ409"/>
      <c r="BA409"/>
      <c r="BB409"/>
      <c r="BC409"/>
      <c r="BD409"/>
      <c r="BE409"/>
      <c r="BF409"/>
      <c r="BG409"/>
      <c r="BH409"/>
      <c r="BI409"/>
      <c r="BJ409"/>
      <c r="BK409"/>
      <c r="BL409"/>
      <c r="BM409"/>
      <c r="BN409"/>
      <c r="BO409"/>
      <c r="BP409"/>
      <c r="BQ409"/>
      <c r="BR409"/>
      <c r="BS409"/>
      <c r="BT409"/>
      <c r="BU409"/>
      <c r="BV409"/>
      <c r="BW409"/>
      <c r="BX409"/>
      <c r="BY409"/>
      <c r="BZ409"/>
      <c r="CA409"/>
      <c r="CB409"/>
      <c r="CC409"/>
      <c r="CD409"/>
      <c r="CE409"/>
      <c r="CF409"/>
      <c r="CG409"/>
      <c r="CH409"/>
      <c r="CI409"/>
      <c r="CJ409"/>
      <c r="CK409"/>
      <c r="CL409"/>
      <c r="CM409"/>
      <c r="CN409"/>
      <c r="CO409"/>
      <c r="CP409"/>
      <c r="CQ409"/>
      <c r="CR409"/>
      <c r="CS409"/>
      <c r="CT409"/>
      <c r="CU409"/>
      <c r="CV409"/>
      <c r="CW409"/>
      <c r="CX409"/>
      <c r="CY409"/>
      <c r="CZ409"/>
      <c r="DA409"/>
      <c r="DB409"/>
      <c r="DC409"/>
      <c r="DD409"/>
      <c r="DE409"/>
      <c r="DF409"/>
      <c r="DG409"/>
      <c r="DH409"/>
      <c r="DI409"/>
      <c r="DJ409"/>
      <c r="DK409"/>
      <c r="DL409"/>
      <c r="DM409"/>
      <c r="DN409"/>
      <c r="DO409"/>
      <c r="DP409"/>
      <c r="DQ409"/>
      <c r="DR409"/>
      <c r="DS409"/>
      <c r="DT409"/>
      <c r="DU409"/>
      <c r="DV409"/>
      <c r="DW409"/>
      <c r="DX409"/>
      <c r="DY409"/>
      <c r="DZ409"/>
      <c r="EA409"/>
      <c r="EB409"/>
      <c r="EC409"/>
      <c r="ED409"/>
      <c r="EE409"/>
      <c r="EF409"/>
      <c r="EG409"/>
      <c r="EH409"/>
      <c r="EI409"/>
      <c r="EJ409"/>
      <c r="EK409"/>
      <c r="EL409"/>
      <c r="EM409"/>
      <c r="EN409"/>
      <c r="EO409"/>
      <c r="EP409"/>
      <c r="EQ409"/>
      <c r="ER409"/>
      <c r="ES409"/>
      <c r="ET409"/>
      <c r="EU409"/>
      <c r="EV409"/>
      <c r="EW409"/>
      <c r="EX409"/>
      <c r="EY409"/>
      <c r="EZ409"/>
      <c r="FA409"/>
      <c r="FB409"/>
      <c r="FC409"/>
      <c r="FD409"/>
      <c r="FE409"/>
      <c r="FF409"/>
      <c r="FG409"/>
      <c r="FH409"/>
      <c r="FI409"/>
      <c r="FJ409"/>
      <c r="FK409"/>
      <c r="FL409"/>
      <c r="FM409"/>
      <c r="FN409"/>
      <c r="FO409"/>
      <c r="FP409"/>
      <c r="FQ409"/>
      <c r="FR409"/>
      <c r="FS409"/>
      <c r="FT409"/>
      <c r="FU409"/>
      <c r="FV409"/>
      <c r="FW409"/>
      <c r="FX409"/>
      <c r="FY409"/>
      <c r="FZ409"/>
      <c r="GA409"/>
      <c r="GB409"/>
      <c r="GC409"/>
      <c r="GD409"/>
      <c r="GE409"/>
      <c r="GF409"/>
      <c r="GG409"/>
      <c r="GH409"/>
      <c r="GI409"/>
      <c r="GJ409"/>
      <c r="GK409"/>
      <c r="GL409"/>
      <c r="GM409"/>
      <c r="GN409"/>
      <c r="GO409"/>
      <c r="GP409"/>
      <c r="GQ409"/>
      <c r="GR409"/>
      <c r="GS409"/>
      <c r="GT409"/>
      <c r="GU409"/>
      <c r="GV409"/>
      <c r="GW409"/>
      <c r="GX409"/>
      <c r="GY409"/>
      <c r="GZ409"/>
      <c r="HA409"/>
      <c r="HB409"/>
      <c r="HC409"/>
      <c r="HD409"/>
      <c r="HE409"/>
      <c r="HF409"/>
      <c r="HG409"/>
      <c r="HH409"/>
      <c r="HI409"/>
      <c r="HJ409"/>
      <c r="HK409"/>
      <c r="HL409"/>
      <c r="HM409"/>
      <c r="HN409"/>
      <c r="HO409"/>
      <c r="HP409"/>
      <c r="HQ409"/>
      <c r="HR409"/>
      <c r="HS409"/>
      <c r="HT409"/>
      <c r="HU409"/>
      <c r="HV409"/>
      <c r="HW409"/>
      <c r="HX409"/>
      <c r="HY409"/>
      <c r="HZ409"/>
      <c r="IA409"/>
      <c r="IB409"/>
      <c r="IC409"/>
      <c r="ID409"/>
      <c r="IE409"/>
      <c r="IF409"/>
      <c r="IG409"/>
      <c r="IH409"/>
      <c r="II409"/>
      <c r="IJ409"/>
      <c r="IK409"/>
      <c r="IL409"/>
      <c r="IM409"/>
      <c r="IN409"/>
      <c r="IO409"/>
      <c r="IP409"/>
      <c r="IQ409"/>
      <c r="IR409"/>
      <c r="IS409"/>
      <c r="IT409"/>
      <c r="IU409"/>
      <c r="IV409"/>
      <c r="IW409"/>
      <c r="IX409"/>
      <c r="IY409"/>
      <c r="IZ409"/>
      <c r="JA409"/>
      <c r="JB409"/>
      <c r="JC409"/>
      <c r="JD409"/>
      <c r="JE409"/>
      <c r="JF409"/>
      <c r="JG409"/>
      <c r="JH409"/>
      <c r="JI409"/>
      <c r="JJ409"/>
      <c r="JK409"/>
      <c r="JL409"/>
      <c r="JM409"/>
      <c r="JN409"/>
      <c r="JO409"/>
      <c r="JP409"/>
      <c r="JQ409"/>
      <c r="JR409"/>
      <c r="JS409"/>
      <c r="JT409"/>
      <c r="JU409"/>
      <c r="JV409"/>
      <c r="JW409"/>
      <c r="JX409"/>
      <c r="JY409"/>
      <c r="JZ409"/>
      <c r="KA409"/>
      <c r="KB409"/>
      <c r="KC409"/>
      <c r="KD409"/>
      <c r="KE409"/>
      <c r="KF409"/>
      <c r="KG409"/>
      <c r="KH409"/>
      <c r="KI409"/>
      <c r="KJ409"/>
      <c r="KK409"/>
      <c r="KL409"/>
      <c r="KM409"/>
      <c r="KN409"/>
      <c r="KO409"/>
      <c r="KP409"/>
      <c r="KQ409"/>
      <c r="KR409"/>
      <c r="KS409"/>
      <c r="KT409"/>
      <c r="KU409"/>
      <c r="KV409"/>
      <c r="KW409"/>
      <c r="KX409"/>
      <c r="KY409"/>
      <c r="KZ409"/>
      <c r="LA409"/>
      <c r="LB409"/>
      <c r="LC409"/>
      <c r="LD409"/>
      <c r="LE409"/>
      <c r="LF409"/>
      <c r="LG409"/>
      <c r="LH409"/>
      <c r="LI409"/>
      <c r="LJ409"/>
      <c r="LK409"/>
      <c r="LL409"/>
      <c r="LM409"/>
      <c r="LN409"/>
      <c r="LO409"/>
      <c r="LP409"/>
      <c r="LQ409"/>
      <c r="LR409"/>
      <c r="LS409"/>
      <c r="LT409"/>
      <c r="LU409"/>
      <c r="LV409"/>
      <c r="LW409"/>
      <c r="LX409"/>
      <c r="LY409"/>
      <c r="LZ409"/>
      <c r="MA409"/>
      <c r="MB409"/>
      <c r="MC409"/>
      <c r="MD409"/>
      <c r="ME409"/>
      <c r="MF409"/>
      <c r="MG409"/>
      <c r="MH409"/>
      <c r="MI409"/>
      <c r="MJ409"/>
      <c r="MK409"/>
      <c r="ML409"/>
      <c r="MM409"/>
      <c r="MN409"/>
      <c r="MO409"/>
      <c r="MP409"/>
      <c r="MQ409"/>
      <c r="MR409"/>
      <c r="MS409"/>
      <c r="MT409"/>
      <c r="MU409"/>
      <c r="MV409"/>
      <c r="MW409"/>
      <c r="MX409"/>
      <c r="MY409"/>
      <c r="MZ409"/>
      <c r="NA409"/>
      <c r="NB409"/>
      <c r="NC409"/>
      <c r="ND409"/>
      <c r="NE409"/>
      <c r="NF409"/>
      <c r="NG409"/>
      <c r="NH409"/>
      <c r="NI409"/>
      <c r="NJ409"/>
      <c r="NK409"/>
      <c r="NL409"/>
      <c r="NM409"/>
      <c r="NN409"/>
      <c r="NO409"/>
      <c r="NP409"/>
      <c r="NQ409"/>
      <c r="NR409"/>
      <c r="NS409"/>
      <c r="NT409"/>
      <c r="NU409"/>
      <c r="NV409"/>
      <c r="NW409"/>
      <c r="NX409"/>
      <c r="NY409"/>
      <c r="NZ409"/>
      <c r="OA409"/>
      <c r="OB409"/>
      <c r="OC409"/>
      <c r="OD409"/>
      <c r="OE409"/>
      <c r="OF409"/>
      <c r="OG409"/>
      <c r="OH409"/>
      <c r="OI409"/>
      <c r="OJ409"/>
      <c r="OK409"/>
      <c r="OL409"/>
      <c r="OM409"/>
      <c r="ON409"/>
      <c r="OO409"/>
      <c r="OP409"/>
      <c r="OQ409"/>
      <c r="OR409"/>
      <c r="OS409"/>
      <c r="OT409"/>
      <c r="OU409"/>
      <c r="OV409"/>
      <c r="OW409"/>
      <c r="OX409"/>
      <c r="OY409"/>
      <c r="OZ409"/>
      <c r="PA409"/>
      <c r="PB409"/>
      <c r="PC409"/>
      <c r="PD409"/>
      <c r="PE409"/>
      <c r="PF409"/>
      <c r="PG409"/>
      <c r="PH409"/>
      <c r="PI409"/>
      <c r="PJ409"/>
      <c r="PK409"/>
      <c r="PL409"/>
      <c r="PM409"/>
      <c r="PN409"/>
      <c r="PO409"/>
      <c r="PP409"/>
      <c r="PQ409"/>
      <c r="PR409"/>
      <c r="PS409"/>
      <c r="PT409"/>
      <c r="PU409"/>
      <c r="PV409"/>
      <c r="PW409"/>
      <c r="PX409"/>
      <c r="PY409"/>
      <c r="PZ409"/>
      <c r="QA409"/>
      <c r="QB409"/>
      <c r="QC409"/>
      <c r="QD409"/>
      <c r="QE409"/>
      <c r="QF409"/>
      <c r="QG409"/>
      <c r="QH409"/>
      <c r="QI409"/>
      <c r="QJ409"/>
      <c r="QK409"/>
      <c r="QL409"/>
      <c r="QM409"/>
      <c r="QN409"/>
      <c r="QO409"/>
      <c r="QP409"/>
      <c r="QQ409"/>
      <c r="QR409"/>
      <c r="QS409"/>
      <c r="QT409"/>
      <c r="QU409"/>
      <c r="QV409"/>
      <c r="QW409"/>
      <c r="QX409"/>
      <c r="QY409"/>
      <c r="QZ409"/>
      <c r="RA409"/>
      <c r="RB409"/>
      <c r="RC409"/>
      <c r="RD409"/>
      <c r="RE409"/>
      <c r="RF409"/>
      <c r="RG409"/>
      <c r="RH409"/>
      <c r="RI409"/>
      <c r="RJ409"/>
      <c r="RK409"/>
      <c r="RL409"/>
      <c r="RM409"/>
      <c r="RN409"/>
      <c r="RO409"/>
      <c r="RP409"/>
      <c r="RQ409"/>
      <c r="RR409"/>
      <c r="RS409"/>
    </row>
    <row r="410" spans="19:487" x14ac:dyDescent="0.25">
      <c r="S410"/>
      <c r="T410"/>
      <c r="U410"/>
      <c r="V410"/>
      <c r="W410"/>
      <c r="X410"/>
      <c r="Y410"/>
      <c r="Z410"/>
      <c r="AA410"/>
      <c r="AB410"/>
      <c r="AC410"/>
      <c r="AD410"/>
      <c r="AE410"/>
      <c r="AF410"/>
      <c r="AG410"/>
      <c r="AH410"/>
      <c r="AI410"/>
      <c r="AJ410"/>
      <c r="AK410"/>
      <c r="AL410"/>
      <c r="AM410"/>
      <c r="AN410"/>
      <c r="AO410"/>
      <c r="AP410"/>
      <c r="AQ410"/>
      <c r="AR410"/>
      <c r="AS410"/>
      <c r="AT410"/>
      <c r="AU410"/>
      <c r="AV410"/>
      <c r="AW410"/>
      <c r="AX410"/>
      <c r="AY410"/>
      <c r="AZ410"/>
      <c r="BA410"/>
      <c r="BB410"/>
      <c r="BC410"/>
      <c r="BD410"/>
      <c r="BE410"/>
      <c r="BF410"/>
      <c r="BG410"/>
      <c r="BH410"/>
      <c r="BI410"/>
      <c r="BJ410"/>
      <c r="BK410"/>
      <c r="BL410"/>
      <c r="BM410"/>
      <c r="BN410"/>
      <c r="BO410"/>
      <c r="BP410"/>
      <c r="BQ410"/>
      <c r="BR410"/>
      <c r="BS410"/>
      <c r="BT410"/>
      <c r="BU410"/>
      <c r="BV410"/>
      <c r="BW410"/>
      <c r="BX410"/>
      <c r="BY410"/>
      <c r="BZ410"/>
      <c r="CA410"/>
      <c r="CB410"/>
      <c r="CC410"/>
      <c r="CD410"/>
      <c r="CE410"/>
      <c r="CF410"/>
      <c r="CG410"/>
      <c r="CH410"/>
      <c r="CI410"/>
      <c r="CJ410"/>
      <c r="CK410"/>
      <c r="CL410"/>
      <c r="CM410"/>
      <c r="CN410"/>
      <c r="CO410"/>
      <c r="CP410"/>
      <c r="CQ410"/>
      <c r="CR410"/>
      <c r="CS410"/>
      <c r="CT410"/>
      <c r="CU410"/>
      <c r="CV410"/>
      <c r="CW410"/>
      <c r="CX410"/>
      <c r="CY410"/>
      <c r="CZ410"/>
      <c r="DA410"/>
      <c r="DB410"/>
      <c r="DC410"/>
      <c r="DD410"/>
      <c r="DE410"/>
      <c r="DF410"/>
      <c r="DG410"/>
      <c r="DH410"/>
      <c r="DI410"/>
      <c r="DJ410"/>
      <c r="DK410"/>
      <c r="DL410"/>
      <c r="DM410"/>
      <c r="DN410"/>
      <c r="DO410"/>
      <c r="DP410"/>
      <c r="DQ410"/>
      <c r="DR410"/>
      <c r="DS410"/>
      <c r="DT410"/>
      <c r="DU410"/>
      <c r="DV410"/>
      <c r="DW410"/>
      <c r="DX410"/>
      <c r="DY410"/>
      <c r="DZ410"/>
      <c r="EA410"/>
      <c r="EB410"/>
      <c r="EC410"/>
      <c r="ED410"/>
      <c r="EE410"/>
      <c r="EF410"/>
      <c r="EG410"/>
      <c r="EH410"/>
      <c r="EI410"/>
      <c r="EJ410"/>
      <c r="EK410"/>
      <c r="EL410"/>
      <c r="EM410"/>
      <c r="EN410"/>
      <c r="EO410"/>
      <c r="EP410"/>
      <c r="EQ410"/>
      <c r="ER410"/>
      <c r="ES410"/>
      <c r="ET410"/>
      <c r="EU410"/>
      <c r="EV410"/>
      <c r="EW410"/>
      <c r="EX410"/>
      <c r="EY410"/>
      <c r="EZ410"/>
      <c r="FA410"/>
      <c r="FB410"/>
      <c r="FC410"/>
      <c r="FD410"/>
      <c r="FE410"/>
      <c r="FF410"/>
      <c r="FG410"/>
      <c r="FH410"/>
      <c r="FI410"/>
      <c r="FJ410"/>
      <c r="FK410"/>
      <c r="FL410"/>
      <c r="FM410"/>
      <c r="FN410"/>
      <c r="FO410"/>
      <c r="FP410"/>
      <c r="FQ410"/>
      <c r="FR410"/>
      <c r="FS410"/>
      <c r="FT410"/>
      <c r="FU410"/>
      <c r="FV410"/>
      <c r="FW410"/>
      <c r="FX410"/>
      <c r="FY410"/>
      <c r="FZ410"/>
      <c r="GA410"/>
      <c r="GB410"/>
      <c r="GC410"/>
      <c r="GD410"/>
      <c r="GE410"/>
      <c r="GF410"/>
      <c r="GG410"/>
      <c r="GH410"/>
      <c r="GI410"/>
      <c r="GJ410"/>
      <c r="GK410"/>
      <c r="GL410"/>
      <c r="GM410"/>
      <c r="GN410"/>
      <c r="GO410"/>
      <c r="GP410"/>
      <c r="GQ410"/>
      <c r="GR410"/>
      <c r="GS410"/>
      <c r="GT410"/>
      <c r="GU410"/>
      <c r="GV410"/>
      <c r="GW410"/>
      <c r="GX410"/>
      <c r="GY410"/>
      <c r="GZ410"/>
      <c r="HA410"/>
      <c r="HB410"/>
      <c r="HC410"/>
      <c r="HD410"/>
      <c r="HE410"/>
      <c r="HF410"/>
      <c r="HG410"/>
      <c r="HH410"/>
      <c r="HI410"/>
      <c r="HJ410"/>
      <c r="HK410"/>
      <c r="HL410"/>
      <c r="HM410"/>
      <c r="HN410"/>
      <c r="HO410"/>
      <c r="HP410"/>
      <c r="HQ410"/>
      <c r="HR410"/>
      <c r="HS410"/>
      <c r="HT410"/>
      <c r="HU410"/>
      <c r="HV410"/>
      <c r="HW410"/>
      <c r="HX410"/>
      <c r="HY410"/>
      <c r="HZ410"/>
      <c r="IA410"/>
      <c r="IB410"/>
      <c r="IC410"/>
      <c r="ID410"/>
      <c r="IE410"/>
      <c r="IF410"/>
      <c r="IG410"/>
      <c r="IH410"/>
      <c r="II410"/>
      <c r="IJ410"/>
      <c r="IK410"/>
      <c r="IL410"/>
      <c r="IM410"/>
      <c r="IN410"/>
      <c r="IO410"/>
      <c r="IP410"/>
      <c r="IQ410"/>
      <c r="IR410"/>
      <c r="IS410"/>
      <c r="IT410"/>
      <c r="IU410"/>
      <c r="IV410"/>
      <c r="IW410"/>
      <c r="IX410"/>
      <c r="IY410"/>
      <c r="IZ410"/>
      <c r="JA410"/>
      <c r="JB410"/>
      <c r="JC410"/>
      <c r="JD410"/>
      <c r="JE410"/>
      <c r="JF410"/>
      <c r="JG410"/>
      <c r="JH410"/>
      <c r="JI410"/>
      <c r="JJ410"/>
      <c r="JK410"/>
      <c r="JL410"/>
      <c r="JM410"/>
      <c r="JN410"/>
      <c r="JO410"/>
      <c r="JP410"/>
      <c r="JQ410"/>
      <c r="JR410"/>
      <c r="JS410"/>
      <c r="JT410"/>
      <c r="JU410"/>
      <c r="JV410"/>
      <c r="JW410"/>
      <c r="JX410"/>
      <c r="JY410"/>
      <c r="JZ410"/>
      <c r="KA410"/>
      <c r="KB410"/>
      <c r="KC410"/>
      <c r="KD410"/>
      <c r="KE410"/>
      <c r="KF410"/>
      <c r="KG410"/>
      <c r="KH410"/>
      <c r="KI410"/>
      <c r="KJ410"/>
      <c r="KK410"/>
      <c r="KL410"/>
      <c r="KM410"/>
      <c r="KN410"/>
      <c r="KO410"/>
      <c r="KP410"/>
      <c r="KQ410"/>
      <c r="KR410"/>
      <c r="KS410"/>
      <c r="KT410"/>
      <c r="KU410"/>
      <c r="KV410"/>
      <c r="KW410"/>
      <c r="KX410"/>
      <c r="KY410"/>
      <c r="KZ410"/>
      <c r="LA410"/>
      <c r="LB410"/>
      <c r="LC410"/>
      <c r="LD410"/>
      <c r="LE410"/>
      <c r="LF410"/>
      <c r="LG410"/>
      <c r="LH410"/>
      <c r="LI410"/>
      <c r="LJ410"/>
      <c r="LK410"/>
      <c r="LL410"/>
      <c r="LM410"/>
      <c r="LN410"/>
      <c r="LO410"/>
      <c r="LP410"/>
      <c r="LQ410"/>
      <c r="LR410"/>
      <c r="LS410"/>
      <c r="LT410"/>
      <c r="LU410"/>
      <c r="LV410"/>
      <c r="LW410"/>
      <c r="LX410"/>
      <c r="LY410"/>
      <c r="LZ410"/>
      <c r="MA410"/>
      <c r="MB410"/>
      <c r="MC410"/>
      <c r="MD410"/>
      <c r="ME410"/>
      <c r="MF410"/>
      <c r="MG410"/>
      <c r="MH410"/>
      <c r="MI410"/>
      <c r="MJ410"/>
      <c r="MK410"/>
      <c r="ML410"/>
      <c r="MM410"/>
      <c r="MN410"/>
      <c r="MO410"/>
      <c r="MP410"/>
      <c r="MQ410"/>
      <c r="MR410"/>
      <c r="MS410"/>
      <c r="MT410"/>
      <c r="MU410"/>
      <c r="MV410"/>
      <c r="MW410"/>
      <c r="MX410"/>
      <c r="MY410"/>
      <c r="MZ410"/>
      <c r="NA410"/>
      <c r="NB410"/>
      <c r="NC410"/>
      <c r="ND410"/>
      <c r="NE410"/>
      <c r="NF410"/>
      <c r="NG410"/>
      <c r="NH410"/>
      <c r="NI410"/>
      <c r="NJ410"/>
      <c r="NK410"/>
      <c r="NL410"/>
      <c r="NM410"/>
      <c r="NN410"/>
      <c r="NO410"/>
      <c r="NP410"/>
      <c r="NQ410"/>
      <c r="NR410"/>
      <c r="NS410"/>
      <c r="NT410"/>
      <c r="NU410"/>
      <c r="NV410"/>
      <c r="NW410"/>
      <c r="NX410"/>
      <c r="NY410"/>
      <c r="NZ410"/>
      <c r="OA410"/>
      <c r="OB410"/>
      <c r="OC410"/>
      <c r="OD410"/>
      <c r="OE410"/>
      <c r="OF410"/>
      <c r="OG410"/>
      <c r="OH410"/>
      <c r="OI410"/>
      <c r="OJ410"/>
      <c r="OK410"/>
      <c r="OL410"/>
      <c r="OM410"/>
      <c r="ON410"/>
      <c r="OO410"/>
      <c r="OP410"/>
      <c r="OQ410"/>
      <c r="OR410"/>
      <c r="OS410"/>
      <c r="OT410"/>
      <c r="OU410"/>
      <c r="OV410"/>
      <c r="OW410"/>
      <c r="OX410"/>
      <c r="OY410"/>
      <c r="OZ410"/>
      <c r="PA410"/>
      <c r="PB410"/>
      <c r="PC410"/>
      <c r="PD410"/>
      <c r="PE410"/>
      <c r="PF410"/>
      <c r="PG410"/>
      <c r="PH410"/>
      <c r="PI410"/>
      <c r="PJ410"/>
      <c r="PK410"/>
      <c r="PL410"/>
      <c r="PM410"/>
      <c r="PN410"/>
      <c r="PO410"/>
      <c r="PP410"/>
      <c r="PQ410"/>
      <c r="PR410"/>
      <c r="PS410"/>
      <c r="PT410"/>
      <c r="PU410"/>
      <c r="PV410"/>
      <c r="PW410"/>
      <c r="PX410"/>
      <c r="PY410"/>
      <c r="PZ410"/>
      <c r="QA410"/>
      <c r="QB410"/>
      <c r="QC410"/>
      <c r="QD410"/>
      <c r="QE410"/>
      <c r="QF410"/>
      <c r="QG410"/>
      <c r="QH410"/>
      <c r="QI410"/>
      <c r="QJ410"/>
      <c r="QK410"/>
      <c r="QL410"/>
      <c r="QM410"/>
      <c r="QN410"/>
      <c r="QO410"/>
      <c r="QP410"/>
      <c r="QQ410"/>
      <c r="QR410"/>
      <c r="QS410"/>
      <c r="QT410"/>
      <c r="QU410"/>
      <c r="QV410"/>
      <c r="QW410"/>
      <c r="QX410"/>
      <c r="QY410"/>
      <c r="QZ410"/>
      <c r="RA410"/>
      <c r="RB410"/>
      <c r="RC410"/>
      <c r="RD410"/>
      <c r="RE410"/>
      <c r="RF410"/>
      <c r="RG410"/>
      <c r="RH410"/>
      <c r="RI410"/>
      <c r="RJ410"/>
      <c r="RK410"/>
      <c r="RL410"/>
      <c r="RM410"/>
      <c r="RN410"/>
      <c r="RO410"/>
      <c r="RP410"/>
      <c r="RQ410"/>
      <c r="RR410"/>
      <c r="RS410"/>
    </row>
    <row r="411" spans="19:487" x14ac:dyDescent="0.25">
      <c r="S411"/>
      <c r="T411"/>
      <c r="U411"/>
      <c r="V411"/>
      <c r="W411"/>
      <c r="X411"/>
      <c r="Y411"/>
      <c r="Z411"/>
      <c r="AA411"/>
      <c r="AB411"/>
      <c r="AC411"/>
      <c r="AD411"/>
      <c r="AE411"/>
      <c r="AF411"/>
      <c r="AG411"/>
      <c r="AH411"/>
      <c r="AI411"/>
      <c r="AJ411"/>
      <c r="AK411"/>
      <c r="AL411"/>
      <c r="AM411"/>
      <c r="AN411"/>
      <c r="AO411"/>
      <c r="AP411"/>
      <c r="AQ411"/>
      <c r="AR411"/>
      <c r="AS411"/>
      <c r="AT411"/>
      <c r="AU411"/>
      <c r="AV411"/>
      <c r="AW411"/>
      <c r="AX411"/>
      <c r="AY411"/>
      <c r="AZ411"/>
      <c r="BA411"/>
      <c r="BB411"/>
      <c r="BC411"/>
      <c r="BD411"/>
      <c r="BE411"/>
      <c r="BF411"/>
      <c r="BG411"/>
      <c r="BH411"/>
      <c r="BI411"/>
      <c r="BJ411"/>
      <c r="BK411"/>
      <c r="BL411"/>
      <c r="BM411"/>
      <c r="BN411"/>
      <c r="BO411"/>
      <c r="BP411"/>
      <c r="BQ411"/>
      <c r="BR411"/>
      <c r="BS411"/>
      <c r="BT411"/>
      <c r="BU411"/>
      <c r="BV411"/>
      <c r="BW411"/>
      <c r="BX411"/>
      <c r="BY411"/>
      <c r="BZ411"/>
      <c r="CA411"/>
      <c r="CB411"/>
      <c r="CC411"/>
      <c r="CD411"/>
      <c r="CE411"/>
      <c r="CF411"/>
      <c r="CG411"/>
      <c r="CH411"/>
      <c r="CI411"/>
      <c r="CJ411"/>
      <c r="CK411"/>
      <c r="CL411"/>
      <c r="CM411"/>
      <c r="CN411"/>
      <c r="CO411"/>
      <c r="CP411"/>
      <c r="CQ411"/>
      <c r="CR411"/>
      <c r="CS411"/>
      <c r="CT411"/>
      <c r="CU411"/>
      <c r="CV411"/>
      <c r="CW411"/>
      <c r="CX411"/>
      <c r="CY411"/>
      <c r="CZ411"/>
      <c r="DA411"/>
      <c r="DB411"/>
      <c r="DC411"/>
      <c r="DD411"/>
      <c r="DE411"/>
      <c r="DF411"/>
      <c r="DG411"/>
      <c r="DH411"/>
      <c r="DI411"/>
      <c r="DJ411"/>
      <c r="DK411"/>
      <c r="DL411"/>
      <c r="DM411"/>
      <c r="DN411"/>
      <c r="DO411"/>
      <c r="DP411"/>
      <c r="DQ411"/>
      <c r="DR411"/>
      <c r="DS411"/>
      <c r="DT411"/>
      <c r="DU411"/>
      <c r="DV411"/>
      <c r="DW411"/>
      <c r="DX411"/>
      <c r="DY411"/>
      <c r="DZ411"/>
      <c r="EA411"/>
      <c r="EB411"/>
      <c r="EC411"/>
      <c r="ED411"/>
      <c r="EE411"/>
      <c r="EF411"/>
      <c r="EG411"/>
      <c r="EH411"/>
      <c r="EI411"/>
      <c r="EJ411"/>
      <c r="EK411"/>
      <c r="EL411"/>
      <c r="EM411"/>
      <c r="EN411"/>
      <c r="EO411"/>
      <c r="EP411"/>
      <c r="EQ411"/>
      <c r="ER411"/>
      <c r="ES411"/>
      <c r="ET411"/>
      <c r="EU411"/>
      <c r="EV411"/>
      <c r="EW411"/>
      <c r="EX411"/>
      <c r="EY411"/>
      <c r="EZ411"/>
      <c r="FA411"/>
      <c r="FB411"/>
      <c r="FC411"/>
      <c r="FD411"/>
      <c r="FE411"/>
      <c r="FF411"/>
      <c r="FG411"/>
      <c r="FH411"/>
      <c r="FI411"/>
      <c r="FJ411"/>
      <c r="FK411"/>
      <c r="FL411"/>
      <c r="FM411"/>
      <c r="FN411"/>
      <c r="FO411"/>
      <c r="FP411"/>
      <c r="FQ411"/>
      <c r="FR411"/>
      <c r="FS411"/>
      <c r="FT411"/>
      <c r="FU411"/>
      <c r="FV411"/>
      <c r="FW411"/>
      <c r="FX411"/>
      <c r="FY411"/>
      <c r="FZ411"/>
      <c r="GA411"/>
      <c r="GB411"/>
      <c r="GC411"/>
      <c r="GD411"/>
      <c r="GE411"/>
      <c r="GF411"/>
      <c r="GG411"/>
      <c r="GH411"/>
      <c r="GI411"/>
      <c r="GJ411"/>
      <c r="GK411"/>
      <c r="GL411"/>
      <c r="GM411"/>
      <c r="GN411"/>
      <c r="GO411"/>
      <c r="GP411"/>
      <c r="GQ411"/>
      <c r="GR411"/>
      <c r="GS411"/>
      <c r="GT411"/>
      <c r="GU411"/>
      <c r="GV411"/>
      <c r="GW411"/>
      <c r="GX411"/>
      <c r="GY411"/>
      <c r="GZ411"/>
      <c r="HA411"/>
      <c r="HB411"/>
      <c r="HC411"/>
      <c r="HD411"/>
      <c r="HE411"/>
      <c r="HF411"/>
      <c r="HG411"/>
      <c r="HH411"/>
      <c r="HI411"/>
      <c r="HJ411"/>
      <c r="HK411"/>
      <c r="HL411"/>
      <c r="HM411"/>
      <c r="HN411"/>
      <c r="HO411"/>
      <c r="HP411"/>
      <c r="HQ411"/>
      <c r="HR411"/>
      <c r="HS411"/>
      <c r="HT411"/>
      <c r="HU411"/>
      <c r="HV411"/>
      <c r="HW411"/>
      <c r="HX411"/>
      <c r="HY411"/>
      <c r="HZ411"/>
      <c r="IA411"/>
      <c r="IB411"/>
      <c r="IC411"/>
      <c r="ID411"/>
      <c r="IE411"/>
      <c r="IF411"/>
      <c r="IG411"/>
      <c r="IH411"/>
      <c r="II411"/>
      <c r="IJ411"/>
      <c r="IK411"/>
      <c r="IL411"/>
      <c r="IM411"/>
      <c r="IN411"/>
      <c r="IO411"/>
      <c r="IP411"/>
      <c r="IQ411"/>
      <c r="IR411"/>
      <c r="IS411"/>
      <c r="IT411"/>
      <c r="IU411"/>
      <c r="IV411"/>
      <c r="IW411"/>
      <c r="IX411"/>
      <c r="IY411"/>
      <c r="IZ411"/>
      <c r="JA411"/>
      <c r="JB411"/>
      <c r="JC411"/>
      <c r="JD411"/>
      <c r="JE411"/>
      <c r="JF411"/>
      <c r="JG411"/>
      <c r="JH411"/>
      <c r="JI411"/>
      <c r="JJ411"/>
      <c r="JK411"/>
      <c r="JL411"/>
      <c r="JM411"/>
      <c r="JN411"/>
      <c r="JO411"/>
      <c r="JP411"/>
      <c r="JQ411"/>
      <c r="JR411"/>
      <c r="JS411"/>
      <c r="JT411"/>
      <c r="JU411"/>
      <c r="JV411"/>
      <c r="JW411"/>
      <c r="JX411"/>
      <c r="JY411"/>
      <c r="JZ411"/>
      <c r="KA411"/>
      <c r="KB411"/>
      <c r="KC411"/>
      <c r="KD411"/>
      <c r="KE411"/>
      <c r="KF411"/>
      <c r="KG411"/>
      <c r="KH411"/>
      <c r="KI411"/>
      <c r="KJ411"/>
      <c r="KK411"/>
      <c r="KL411"/>
      <c r="KM411"/>
      <c r="KN411"/>
      <c r="KO411"/>
      <c r="KP411"/>
      <c r="KQ411"/>
      <c r="KR411"/>
      <c r="KS411"/>
      <c r="KT411"/>
      <c r="KU411"/>
      <c r="KV411"/>
      <c r="KW411"/>
      <c r="KX411"/>
      <c r="KY411"/>
      <c r="KZ411"/>
      <c r="LA411"/>
      <c r="LB411"/>
      <c r="LC411"/>
      <c r="LD411"/>
      <c r="LE411"/>
      <c r="LF411"/>
      <c r="LG411"/>
      <c r="LH411"/>
      <c r="LI411"/>
      <c r="LJ411"/>
      <c r="LK411"/>
      <c r="LL411"/>
      <c r="LM411"/>
      <c r="LN411"/>
      <c r="LO411"/>
      <c r="LP411"/>
      <c r="LQ411"/>
      <c r="LR411"/>
      <c r="LS411"/>
      <c r="LT411"/>
      <c r="LU411"/>
      <c r="LV411"/>
      <c r="LW411"/>
      <c r="LX411"/>
      <c r="LY411"/>
      <c r="LZ411"/>
      <c r="MA411"/>
      <c r="MB411"/>
      <c r="MC411"/>
      <c r="MD411"/>
      <c r="ME411"/>
      <c r="MF411"/>
      <c r="MG411"/>
      <c r="MH411"/>
      <c r="MI411"/>
      <c r="MJ411"/>
      <c r="MK411"/>
      <c r="ML411"/>
      <c r="MM411"/>
      <c r="MN411"/>
      <c r="MO411"/>
      <c r="MP411"/>
      <c r="MQ411"/>
      <c r="MR411"/>
      <c r="MS411"/>
      <c r="MT411"/>
      <c r="MU411"/>
      <c r="MV411"/>
      <c r="MW411"/>
      <c r="MX411"/>
      <c r="MY411"/>
      <c r="MZ411"/>
      <c r="NA411"/>
      <c r="NB411"/>
      <c r="NC411"/>
      <c r="ND411"/>
      <c r="NE411"/>
      <c r="NF411"/>
      <c r="NG411"/>
      <c r="NH411"/>
      <c r="NI411"/>
      <c r="NJ411"/>
      <c r="NK411"/>
      <c r="NL411"/>
      <c r="NM411"/>
      <c r="NN411"/>
      <c r="NO411"/>
      <c r="NP411"/>
      <c r="NQ411"/>
      <c r="NR411"/>
      <c r="NS411"/>
      <c r="NT411"/>
      <c r="NU411"/>
      <c r="NV411"/>
      <c r="NW411"/>
      <c r="NX411"/>
      <c r="NY411"/>
      <c r="NZ411"/>
      <c r="OA411"/>
      <c r="OB411"/>
      <c r="OC411"/>
      <c r="OD411"/>
      <c r="OE411"/>
      <c r="OF411"/>
      <c r="OG411"/>
      <c r="OH411"/>
      <c r="OI411"/>
      <c r="OJ411"/>
      <c r="OK411"/>
      <c r="OL411"/>
      <c r="OM411"/>
      <c r="ON411"/>
      <c r="OO411"/>
      <c r="OP411"/>
      <c r="OQ411"/>
      <c r="OR411"/>
      <c r="OS411"/>
      <c r="OT411"/>
      <c r="OU411"/>
      <c r="OV411"/>
      <c r="OW411"/>
      <c r="OX411"/>
      <c r="OY411"/>
      <c r="OZ411"/>
      <c r="PA411"/>
      <c r="PB411"/>
      <c r="PC411"/>
      <c r="PD411"/>
      <c r="PE411"/>
      <c r="PF411"/>
      <c r="PG411"/>
      <c r="PH411"/>
      <c r="PI411"/>
      <c r="PJ411"/>
      <c r="PK411"/>
      <c r="PL411"/>
      <c r="PM411"/>
      <c r="PN411"/>
      <c r="PO411"/>
      <c r="PP411"/>
      <c r="PQ411"/>
      <c r="PR411"/>
      <c r="PS411"/>
      <c r="PT411"/>
      <c r="PU411"/>
      <c r="PV411"/>
      <c r="PW411"/>
      <c r="PX411"/>
      <c r="PY411"/>
      <c r="PZ411"/>
      <c r="QA411"/>
      <c r="QB411"/>
      <c r="QC411"/>
      <c r="QD411"/>
      <c r="QE411"/>
      <c r="QF411"/>
      <c r="QG411"/>
      <c r="QH411"/>
      <c r="QI411"/>
      <c r="QJ411"/>
      <c r="QK411"/>
      <c r="QL411"/>
      <c r="QM411"/>
      <c r="QN411"/>
      <c r="QO411"/>
      <c r="QP411"/>
      <c r="QQ411"/>
      <c r="QR411"/>
      <c r="QS411"/>
      <c r="QT411"/>
      <c r="QU411"/>
      <c r="QV411"/>
      <c r="QW411"/>
      <c r="QX411"/>
      <c r="QY411"/>
      <c r="QZ411"/>
      <c r="RA411"/>
      <c r="RB411"/>
      <c r="RC411"/>
      <c r="RD411"/>
      <c r="RE411"/>
      <c r="RF411"/>
      <c r="RG411"/>
      <c r="RH411"/>
      <c r="RI411"/>
      <c r="RJ411"/>
      <c r="RK411"/>
      <c r="RL411"/>
      <c r="RM411"/>
      <c r="RN411"/>
      <c r="RO411"/>
      <c r="RP411"/>
      <c r="RQ411"/>
      <c r="RR411"/>
      <c r="RS411"/>
    </row>
    <row r="412" spans="19:487" x14ac:dyDescent="0.25">
      <c r="S412"/>
      <c r="T412"/>
      <c r="U412"/>
      <c r="V412"/>
      <c r="W412"/>
      <c r="X412"/>
      <c r="Y412"/>
      <c r="Z412"/>
      <c r="AA412"/>
      <c r="AB412"/>
      <c r="AC412"/>
      <c r="AD412"/>
      <c r="AE412"/>
      <c r="AF412"/>
      <c r="AG412"/>
      <c r="AH412"/>
      <c r="AI412"/>
      <c r="AJ412"/>
      <c r="AK412"/>
      <c r="AL412"/>
      <c r="AM412"/>
      <c r="AN412"/>
      <c r="AO412"/>
      <c r="AP412"/>
      <c r="AQ412"/>
      <c r="AR412"/>
      <c r="AS412"/>
      <c r="AT412"/>
      <c r="AU412"/>
      <c r="AV412"/>
      <c r="AW412"/>
      <c r="AX412"/>
      <c r="AY412"/>
      <c r="AZ412"/>
      <c r="BA412"/>
      <c r="BB412"/>
      <c r="BC412"/>
      <c r="BD412"/>
      <c r="BE412"/>
      <c r="BF412"/>
      <c r="BG412"/>
      <c r="BH412"/>
      <c r="BI412"/>
      <c r="BJ412"/>
      <c r="BK412"/>
      <c r="BL412"/>
      <c r="BM412"/>
      <c r="BN412"/>
      <c r="BO412"/>
      <c r="BP412"/>
      <c r="BQ412"/>
      <c r="BR412"/>
      <c r="BS412"/>
      <c r="BT412"/>
      <c r="BU412"/>
      <c r="BV412"/>
      <c r="BW412"/>
      <c r="BX412"/>
      <c r="BY412"/>
      <c r="BZ412"/>
      <c r="CA412"/>
      <c r="CB412"/>
      <c r="CC412"/>
      <c r="CD412"/>
      <c r="CE412"/>
      <c r="CF412"/>
      <c r="CG412"/>
      <c r="CH412"/>
      <c r="CI412"/>
      <c r="CJ412"/>
      <c r="CK412"/>
      <c r="CL412"/>
      <c r="CM412"/>
      <c r="CN412"/>
      <c r="CO412"/>
      <c r="CP412"/>
      <c r="CQ412"/>
      <c r="CR412"/>
      <c r="CS412"/>
      <c r="CT412"/>
      <c r="CU412"/>
      <c r="CV412"/>
      <c r="CW412"/>
      <c r="CX412"/>
      <c r="CY412"/>
      <c r="CZ412"/>
      <c r="DA412"/>
      <c r="DB412"/>
      <c r="DC412"/>
      <c r="DD412"/>
      <c r="DE412"/>
      <c r="DF412"/>
      <c r="DG412"/>
      <c r="DH412"/>
      <c r="DI412"/>
      <c r="DJ412"/>
      <c r="DK412"/>
      <c r="DL412"/>
      <c r="DM412"/>
      <c r="DN412"/>
      <c r="DO412"/>
      <c r="DP412"/>
      <c r="DQ412"/>
      <c r="DR412"/>
      <c r="DS412"/>
      <c r="DT412"/>
      <c r="DU412"/>
      <c r="DV412"/>
      <c r="DW412"/>
      <c r="DX412"/>
      <c r="DY412"/>
      <c r="DZ412"/>
      <c r="EA412"/>
      <c r="EB412"/>
      <c r="EC412"/>
      <c r="ED412"/>
      <c r="EE412"/>
      <c r="EF412"/>
      <c r="EG412"/>
      <c r="EH412"/>
      <c r="EI412"/>
      <c r="EJ412"/>
      <c r="EK412"/>
      <c r="EL412"/>
      <c r="EM412"/>
      <c r="EN412"/>
      <c r="EO412"/>
      <c r="EP412"/>
      <c r="EQ412"/>
      <c r="ER412"/>
      <c r="ES412"/>
      <c r="ET412"/>
      <c r="EU412"/>
      <c r="EV412"/>
      <c r="EW412"/>
      <c r="EX412"/>
      <c r="EY412"/>
      <c r="EZ412"/>
      <c r="FA412"/>
      <c r="FB412"/>
      <c r="FC412"/>
      <c r="FD412"/>
      <c r="FE412"/>
      <c r="FF412"/>
      <c r="FG412"/>
      <c r="FH412"/>
      <c r="FI412"/>
      <c r="FJ412"/>
      <c r="FK412"/>
      <c r="FL412"/>
      <c r="FM412"/>
      <c r="FN412"/>
      <c r="FO412"/>
      <c r="FP412"/>
      <c r="FQ412"/>
      <c r="FR412"/>
      <c r="FS412"/>
      <c r="FT412"/>
      <c r="FU412"/>
      <c r="FV412"/>
      <c r="FW412"/>
      <c r="FX412"/>
      <c r="FY412"/>
      <c r="FZ412"/>
      <c r="GA412"/>
      <c r="GB412"/>
      <c r="GC412"/>
      <c r="GD412"/>
      <c r="GE412"/>
      <c r="GF412"/>
      <c r="GG412"/>
      <c r="GH412"/>
      <c r="GI412"/>
      <c r="GJ412"/>
      <c r="GK412"/>
      <c r="GL412"/>
      <c r="GM412"/>
      <c r="GN412"/>
      <c r="GO412"/>
      <c r="GP412"/>
      <c r="GQ412"/>
      <c r="GR412"/>
      <c r="GS412"/>
      <c r="GT412"/>
      <c r="GU412"/>
      <c r="GV412"/>
      <c r="GW412"/>
      <c r="GX412"/>
      <c r="GY412"/>
      <c r="GZ412"/>
      <c r="HA412"/>
      <c r="HB412"/>
      <c r="HC412"/>
      <c r="HD412"/>
      <c r="HE412"/>
      <c r="HF412"/>
      <c r="HG412"/>
      <c r="HH412"/>
      <c r="HI412"/>
      <c r="HJ412"/>
      <c r="HK412"/>
      <c r="HL412"/>
      <c r="HM412"/>
      <c r="HN412"/>
      <c r="HO412"/>
      <c r="HP412"/>
      <c r="HQ412"/>
      <c r="HR412"/>
      <c r="HS412"/>
      <c r="HT412"/>
      <c r="HU412"/>
      <c r="HV412"/>
      <c r="HW412"/>
      <c r="HX412"/>
      <c r="HY412"/>
      <c r="HZ412"/>
      <c r="IA412"/>
      <c r="IB412"/>
      <c r="IC412"/>
      <c r="ID412"/>
      <c r="IE412"/>
      <c r="IF412"/>
      <c r="IG412"/>
      <c r="IH412"/>
      <c r="II412"/>
      <c r="IJ412"/>
      <c r="IK412"/>
      <c r="IL412"/>
      <c r="IM412"/>
      <c r="IN412"/>
      <c r="IO412"/>
      <c r="IP412"/>
      <c r="IQ412"/>
      <c r="IR412"/>
      <c r="IS412"/>
      <c r="IT412"/>
      <c r="IU412"/>
      <c r="IV412"/>
      <c r="IW412"/>
      <c r="IX412"/>
      <c r="IY412"/>
      <c r="IZ412"/>
      <c r="JA412"/>
      <c r="JB412"/>
      <c r="JC412"/>
      <c r="JD412"/>
      <c r="JE412"/>
      <c r="JF412"/>
      <c r="JG412"/>
      <c r="JH412"/>
      <c r="JI412"/>
      <c r="JJ412"/>
      <c r="JK412"/>
      <c r="JL412"/>
      <c r="JM412"/>
      <c r="JN412"/>
      <c r="JO412"/>
      <c r="JP412"/>
      <c r="JQ412"/>
      <c r="JR412"/>
      <c r="JS412"/>
      <c r="JT412"/>
      <c r="JU412"/>
      <c r="JV412"/>
      <c r="JW412"/>
      <c r="JX412"/>
      <c r="JY412"/>
      <c r="JZ412"/>
      <c r="KA412"/>
      <c r="KB412"/>
      <c r="KC412"/>
      <c r="KD412"/>
      <c r="KE412"/>
      <c r="KF412"/>
      <c r="KG412"/>
      <c r="KH412"/>
      <c r="KI412"/>
      <c r="KJ412"/>
      <c r="KK412"/>
      <c r="KL412"/>
      <c r="KM412"/>
      <c r="KN412"/>
      <c r="KO412"/>
      <c r="KP412"/>
      <c r="KQ412"/>
      <c r="KR412"/>
      <c r="KS412"/>
      <c r="KT412"/>
      <c r="KU412"/>
      <c r="KV412"/>
      <c r="KW412"/>
      <c r="KX412"/>
      <c r="KY412"/>
      <c r="KZ412"/>
      <c r="LA412"/>
      <c r="LB412"/>
      <c r="LC412"/>
      <c r="LD412"/>
      <c r="LE412"/>
      <c r="LF412"/>
      <c r="LG412"/>
      <c r="LH412"/>
      <c r="LI412"/>
      <c r="LJ412"/>
      <c r="LK412"/>
      <c r="LL412"/>
      <c r="LM412"/>
      <c r="LN412"/>
      <c r="LO412"/>
      <c r="LP412"/>
      <c r="LQ412"/>
      <c r="LR412"/>
      <c r="LS412"/>
      <c r="LT412"/>
      <c r="LU412"/>
      <c r="LV412"/>
      <c r="LW412"/>
      <c r="LX412"/>
      <c r="LY412"/>
      <c r="LZ412"/>
      <c r="MA412"/>
      <c r="MB412"/>
      <c r="MC412"/>
      <c r="MD412"/>
      <c r="ME412"/>
      <c r="MF412"/>
      <c r="MG412"/>
      <c r="MH412"/>
      <c r="MI412"/>
      <c r="MJ412"/>
      <c r="MK412"/>
      <c r="ML412"/>
      <c r="MM412"/>
      <c r="MN412"/>
      <c r="MO412"/>
      <c r="MP412"/>
      <c r="MQ412"/>
      <c r="MR412"/>
      <c r="MS412"/>
      <c r="MT412"/>
      <c r="MU412"/>
      <c r="MV412"/>
      <c r="MW412"/>
      <c r="MX412"/>
      <c r="MY412"/>
      <c r="MZ412"/>
      <c r="NA412"/>
      <c r="NB412"/>
      <c r="NC412"/>
      <c r="ND412"/>
      <c r="NE412"/>
      <c r="NF412"/>
      <c r="NG412"/>
      <c r="NH412"/>
      <c r="NI412"/>
      <c r="NJ412"/>
      <c r="NK412"/>
      <c r="NL412"/>
      <c r="NM412"/>
      <c r="NN412"/>
      <c r="NO412"/>
      <c r="NP412"/>
      <c r="NQ412"/>
      <c r="NR412"/>
      <c r="NS412"/>
      <c r="NT412"/>
      <c r="NU412"/>
      <c r="NV412"/>
      <c r="NW412"/>
      <c r="NX412"/>
      <c r="NY412"/>
      <c r="NZ412"/>
      <c r="OA412"/>
      <c r="OB412"/>
      <c r="OC412"/>
      <c r="OD412"/>
      <c r="OE412"/>
      <c r="OF412"/>
      <c r="OG412"/>
      <c r="OH412"/>
      <c r="OI412"/>
      <c r="OJ412"/>
      <c r="OK412"/>
      <c r="OL412"/>
      <c r="OM412"/>
      <c r="ON412"/>
      <c r="OO412"/>
      <c r="OP412"/>
      <c r="OQ412"/>
      <c r="OR412"/>
      <c r="OS412"/>
      <c r="OT412"/>
      <c r="OU412"/>
      <c r="OV412"/>
      <c r="OW412"/>
      <c r="OX412"/>
      <c r="OY412"/>
      <c r="OZ412"/>
      <c r="PA412"/>
      <c r="PB412"/>
      <c r="PC412"/>
      <c r="PD412"/>
      <c r="PE412"/>
      <c r="PF412"/>
      <c r="PG412"/>
      <c r="PH412"/>
      <c r="PI412"/>
      <c r="PJ412"/>
      <c r="PK412"/>
      <c r="PL412"/>
      <c r="PM412"/>
      <c r="PN412"/>
      <c r="PO412"/>
      <c r="PP412"/>
      <c r="PQ412"/>
      <c r="PR412"/>
      <c r="PS412"/>
      <c r="PT412"/>
      <c r="PU412"/>
      <c r="PV412"/>
      <c r="PW412"/>
      <c r="PX412"/>
      <c r="PY412"/>
      <c r="PZ412"/>
      <c r="QA412"/>
      <c r="QB412"/>
      <c r="QC412"/>
      <c r="QD412"/>
      <c r="QE412"/>
      <c r="QF412"/>
      <c r="QG412"/>
      <c r="QH412"/>
      <c r="QI412"/>
      <c r="QJ412"/>
      <c r="QK412"/>
      <c r="QL412"/>
      <c r="QM412"/>
      <c r="QN412"/>
      <c r="QO412"/>
      <c r="QP412"/>
      <c r="QQ412"/>
      <c r="QR412"/>
      <c r="QS412"/>
      <c r="QT412"/>
      <c r="QU412"/>
      <c r="QV412"/>
      <c r="QW412"/>
      <c r="QX412"/>
      <c r="QY412"/>
      <c r="QZ412"/>
      <c r="RA412"/>
      <c r="RB412"/>
      <c r="RC412"/>
      <c r="RD412"/>
      <c r="RE412"/>
      <c r="RF412"/>
      <c r="RG412"/>
      <c r="RH412"/>
      <c r="RI412"/>
      <c r="RJ412"/>
      <c r="RK412"/>
      <c r="RL412"/>
      <c r="RM412"/>
      <c r="RN412"/>
      <c r="RO412"/>
      <c r="RP412"/>
      <c r="RQ412"/>
      <c r="RR412"/>
      <c r="RS412"/>
    </row>
    <row r="413" spans="19:487" x14ac:dyDescent="0.25">
      <c r="S413"/>
      <c r="T413"/>
      <c r="U413"/>
      <c r="V413"/>
      <c r="W413"/>
      <c r="X413"/>
      <c r="Y413"/>
      <c r="Z413"/>
      <c r="AA413"/>
      <c r="AB413"/>
      <c r="AC413"/>
      <c r="AD413"/>
      <c r="AE413"/>
      <c r="AF413"/>
      <c r="AG413"/>
      <c r="AH413"/>
      <c r="AI413"/>
      <c r="AJ413"/>
      <c r="AK413"/>
      <c r="AL413"/>
      <c r="AM413"/>
      <c r="AN413"/>
      <c r="AO413"/>
      <c r="AP413"/>
      <c r="AQ413"/>
      <c r="AR413"/>
      <c r="AS413"/>
      <c r="AT413"/>
      <c r="AU413"/>
      <c r="AV413"/>
      <c r="AW413"/>
      <c r="AX413"/>
      <c r="AY413"/>
      <c r="AZ413"/>
      <c r="BA413"/>
      <c r="BB413"/>
      <c r="BC413"/>
      <c r="BD413"/>
      <c r="BE413"/>
      <c r="BF413"/>
      <c r="BG413"/>
      <c r="BH413"/>
      <c r="BI413"/>
      <c r="BJ413"/>
      <c r="BK413"/>
      <c r="BL413"/>
      <c r="BM413"/>
      <c r="BN413"/>
      <c r="BO413"/>
      <c r="BP413"/>
      <c r="BQ413"/>
      <c r="BR413"/>
      <c r="BS413"/>
      <c r="BT413"/>
      <c r="BU413"/>
      <c r="BV413"/>
      <c r="BW413"/>
      <c r="BX413"/>
      <c r="BY413"/>
      <c r="BZ413"/>
      <c r="CA413"/>
      <c r="CB413"/>
      <c r="CC413"/>
      <c r="CD413"/>
      <c r="CE413"/>
      <c r="CF413"/>
      <c r="CG413"/>
      <c r="CH413"/>
      <c r="CI413"/>
      <c r="CJ413"/>
      <c r="CK413"/>
      <c r="CL413"/>
      <c r="CM413"/>
      <c r="CN413"/>
      <c r="CO413"/>
      <c r="CP413"/>
      <c r="CQ413"/>
      <c r="CR413"/>
      <c r="CS413"/>
      <c r="CT413"/>
      <c r="CU413"/>
      <c r="CV413"/>
      <c r="CW413"/>
      <c r="CX413"/>
      <c r="CY413"/>
      <c r="CZ413"/>
      <c r="DA413"/>
      <c r="DB413"/>
      <c r="DC413"/>
      <c r="DD413"/>
      <c r="DE413"/>
      <c r="DF413"/>
      <c r="DG413"/>
      <c r="DH413"/>
      <c r="DI413"/>
      <c r="DJ413"/>
      <c r="DK413"/>
      <c r="DL413"/>
      <c r="DM413"/>
      <c r="DN413"/>
      <c r="DO413"/>
      <c r="DP413"/>
      <c r="DQ413"/>
      <c r="DR413"/>
      <c r="DS413"/>
      <c r="DT413"/>
      <c r="DU413"/>
      <c r="DV413"/>
      <c r="DW413"/>
      <c r="DX413"/>
      <c r="DY413"/>
      <c r="DZ413"/>
      <c r="EA413"/>
      <c r="EB413"/>
      <c r="EC413"/>
      <c r="ED413"/>
      <c r="EE413"/>
      <c r="EF413"/>
      <c r="EG413"/>
      <c r="EH413"/>
      <c r="EI413"/>
      <c r="EJ413"/>
      <c r="EK413"/>
      <c r="EL413"/>
      <c r="EM413"/>
      <c r="EN413"/>
      <c r="EO413"/>
      <c r="EP413"/>
      <c r="EQ413"/>
      <c r="ER413"/>
      <c r="ES413"/>
      <c r="ET413"/>
      <c r="EU413"/>
      <c r="EV413"/>
      <c r="EW413"/>
      <c r="EX413"/>
      <c r="EY413"/>
      <c r="EZ413"/>
      <c r="FA413"/>
      <c r="FB413"/>
      <c r="FC413"/>
      <c r="FD413"/>
      <c r="FE413"/>
      <c r="FF413"/>
      <c r="FG413"/>
      <c r="FH413"/>
      <c r="FI413"/>
      <c r="FJ413"/>
      <c r="FK413"/>
      <c r="FL413"/>
      <c r="FM413"/>
      <c r="FN413"/>
      <c r="FO413"/>
      <c r="FP413"/>
      <c r="FQ413"/>
      <c r="FR413"/>
      <c r="FS413"/>
      <c r="FT413"/>
      <c r="FU413"/>
      <c r="FV413"/>
      <c r="FW413"/>
      <c r="FX413"/>
      <c r="FY413"/>
      <c r="FZ413"/>
      <c r="GA413"/>
      <c r="GB413"/>
      <c r="GC413"/>
      <c r="GD413"/>
      <c r="GE413"/>
      <c r="GF413"/>
      <c r="GG413"/>
      <c r="GH413"/>
      <c r="GI413"/>
      <c r="GJ413"/>
      <c r="GK413"/>
      <c r="GL413"/>
      <c r="GM413"/>
      <c r="GN413"/>
      <c r="GO413"/>
      <c r="GP413"/>
      <c r="GQ413"/>
      <c r="GR413"/>
      <c r="GS413"/>
      <c r="GT413"/>
      <c r="GU413"/>
      <c r="GV413"/>
      <c r="GW413"/>
      <c r="GX413"/>
      <c r="GY413"/>
      <c r="GZ413"/>
      <c r="HA413"/>
      <c r="HB413"/>
      <c r="HC413"/>
      <c r="HD413"/>
      <c r="HE413"/>
      <c r="HF413"/>
      <c r="HG413"/>
      <c r="HH413"/>
      <c r="HI413"/>
      <c r="HJ413"/>
      <c r="HK413"/>
      <c r="HL413"/>
      <c r="HM413"/>
      <c r="HN413"/>
      <c r="HO413"/>
      <c r="HP413"/>
      <c r="HQ413"/>
      <c r="HR413"/>
      <c r="HS413"/>
      <c r="HT413"/>
      <c r="HU413"/>
      <c r="HV413"/>
      <c r="HW413"/>
      <c r="HX413"/>
      <c r="HY413"/>
      <c r="HZ413"/>
      <c r="IA413"/>
      <c r="IB413"/>
      <c r="IC413"/>
      <c r="ID413"/>
      <c r="IE413"/>
      <c r="IF413"/>
      <c r="IG413"/>
      <c r="IH413"/>
      <c r="II413"/>
      <c r="IJ413"/>
      <c r="IK413"/>
      <c r="IL413"/>
      <c r="IM413"/>
      <c r="IN413"/>
      <c r="IO413"/>
      <c r="IP413"/>
      <c r="IQ413"/>
      <c r="IR413"/>
      <c r="IS413"/>
      <c r="IT413"/>
      <c r="IU413"/>
      <c r="IV413"/>
      <c r="IW413"/>
      <c r="IX413"/>
      <c r="IY413"/>
      <c r="IZ413"/>
      <c r="JA413"/>
      <c r="JB413"/>
      <c r="JC413"/>
      <c r="JD413"/>
      <c r="JE413"/>
      <c r="JF413"/>
      <c r="JG413"/>
      <c r="JH413"/>
      <c r="JI413"/>
      <c r="JJ413"/>
      <c r="JK413"/>
      <c r="JL413"/>
      <c r="JM413"/>
      <c r="JN413"/>
      <c r="JO413"/>
      <c r="JP413"/>
      <c r="JQ413"/>
      <c r="JR413"/>
      <c r="JS413"/>
      <c r="JT413"/>
      <c r="JU413"/>
      <c r="JV413"/>
      <c r="JW413"/>
      <c r="JX413"/>
      <c r="JY413"/>
      <c r="JZ413"/>
      <c r="KA413"/>
      <c r="KB413"/>
      <c r="KC413"/>
      <c r="KD413"/>
      <c r="KE413"/>
      <c r="KF413"/>
      <c r="KG413"/>
      <c r="KH413"/>
      <c r="KI413"/>
      <c r="KJ413"/>
      <c r="KK413"/>
      <c r="KL413"/>
      <c r="KM413"/>
      <c r="KN413"/>
      <c r="KO413"/>
      <c r="KP413"/>
      <c r="KQ413"/>
      <c r="KR413"/>
      <c r="KS413"/>
      <c r="KT413"/>
      <c r="KU413"/>
      <c r="KV413"/>
      <c r="KW413"/>
      <c r="KX413"/>
      <c r="KY413"/>
      <c r="KZ413"/>
      <c r="LA413"/>
      <c r="LB413"/>
      <c r="LC413"/>
      <c r="LD413"/>
      <c r="LE413"/>
      <c r="LF413"/>
      <c r="LG413"/>
      <c r="LH413"/>
      <c r="LI413"/>
      <c r="LJ413"/>
      <c r="LK413"/>
      <c r="LL413"/>
      <c r="LM413"/>
      <c r="LN413"/>
      <c r="LO413"/>
      <c r="LP413"/>
      <c r="LQ413"/>
      <c r="LR413"/>
      <c r="LS413"/>
      <c r="LT413"/>
      <c r="LU413"/>
      <c r="LV413"/>
      <c r="LW413"/>
      <c r="LX413"/>
      <c r="LY413"/>
      <c r="LZ413"/>
      <c r="MA413"/>
      <c r="MB413"/>
      <c r="MC413"/>
      <c r="MD413"/>
      <c r="ME413"/>
      <c r="MF413"/>
      <c r="MG413"/>
      <c r="MH413"/>
      <c r="MI413"/>
      <c r="MJ413"/>
      <c r="MK413"/>
      <c r="ML413"/>
      <c r="MM413"/>
      <c r="MN413"/>
      <c r="MO413"/>
      <c r="MP413"/>
      <c r="MQ413"/>
      <c r="MR413"/>
      <c r="MS413"/>
      <c r="MT413"/>
      <c r="MU413"/>
      <c r="MV413"/>
      <c r="MW413"/>
      <c r="MX413"/>
      <c r="MY413"/>
      <c r="MZ413"/>
      <c r="NA413"/>
      <c r="NB413"/>
      <c r="NC413"/>
      <c r="ND413"/>
      <c r="NE413"/>
      <c r="NF413"/>
      <c r="NG413"/>
      <c r="NH413"/>
      <c r="NI413"/>
      <c r="NJ413"/>
      <c r="NK413"/>
      <c r="NL413"/>
      <c r="NM413"/>
      <c r="NN413"/>
      <c r="NO413"/>
      <c r="NP413"/>
      <c r="NQ413"/>
      <c r="NR413"/>
      <c r="NS413"/>
      <c r="NT413"/>
      <c r="NU413"/>
      <c r="NV413"/>
      <c r="NW413"/>
      <c r="NX413"/>
      <c r="NY413"/>
      <c r="NZ413"/>
      <c r="OA413"/>
      <c r="OB413"/>
      <c r="OC413"/>
      <c r="OD413"/>
      <c r="OE413"/>
      <c r="OF413"/>
      <c r="OG413"/>
      <c r="OH413"/>
      <c r="OI413"/>
      <c r="OJ413"/>
      <c r="OK413"/>
      <c r="OL413"/>
      <c r="OM413"/>
      <c r="ON413"/>
      <c r="OO413"/>
      <c r="OP413"/>
      <c r="OQ413"/>
      <c r="OR413"/>
      <c r="OS413"/>
      <c r="OT413"/>
      <c r="OU413"/>
      <c r="OV413"/>
      <c r="OW413"/>
      <c r="OX413"/>
      <c r="OY413"/>
      <c r="OZ413"/>
      <c r="PA413"/>
      <c r="PB413"/>
      <c r="PC413"/>
      <c r="PD413"/>
      <c r="PE413"/>
      <c r="PF413"/>
      <c r="PG413"/>
      <c r="PH413"/>
      <c r="PI413"/>
      <c r="PJ413"/>
      <c r="PK413"/>
      <c r="PL413"/>
      <c r="PM413"/>
      <c r="PN413"/>
      <c r="PO413"/>
      <c r="PP413"/>
      <c r="PQ413"/>
      <c r="PR413"/>
      <c r="PS413"/>
      <c r="PT413"/>
      <c r="PU413"/>
      <c r="PV413"/>
      <c r="PW413"/>
      <c r="PX413"/>
      <c r="PY413"/>
      <c r="PZ413"/>
      <c r="QA413"/>
      <c r="QB413"/>
      <c r="QC413"/>
      <c r="QD413"/>
      <c r="QE413"/>
      <c r="QF413"/>
      <c r="QG413"/>
      <c r="QH413"/>
      <c r="QI413"/>
      <c r="QJ413"/>
      <c r="QK413"/>
      <c r="QL413"/>
      <c r="QM413"/>
      <c r="QN413"/>
      <c r="QO413"/>
      <c r="QP413"/>
      <c r="QQ413"/>
      <c r="QR413"/>
      <c r="QS413"/>
      <c r="QT413"/>
      <c r="QU413"/>
      <c r="QV413"/>
      <c r="QW413"/>
      <c r="QX413"/>
      <c r="QY413"/>
      <c r="QZ413"/>
      <c r="RA413"/>
      <c r="RB413"/>
      <c r="RC413"/>
      <c r="RD413"/>
      <c r="RE413"/>
      <c r="RF413"/>
      <c r="RG413"/>
      <c r="RH413"/>
      <c r="RI413"/>
      <c r="RJ413"/>
      <c r="RK413"/>
      <c r="RL413"/>
      <c r="RM413"/>
      <c r="RN413"/>
      <c r="RO413"/>
      <c r="RP413"/>
      <c r="RQ413"/>
      <c r="RR413"/>
      <c r="RS413"/>
    </row>
    <row r="414" spans="19:487" x14ac:dyDescent="0.25">
      <c r="S414"/>
      <c r="T414"/>
      <c r="U414"/>
      <c r="V414"/>
      <c r="W414"/>
      <c r="X414"/>
      <c r="Y414"/>
      <c r="Z414"/>
      <c r="AA414"/>
      <c r="AB414"/>
      <c r="AC414"/>
      <c r="AD414"/>
      <c r="AE414"/>
      <c r="AF414"/>
      <c r="AG414"/>
      <c r="AH414"/>
      <c r="AI414"/>
      <c r="AJ414"/>
      <c r="AK414"/>
      <c r="AL414"/>
      <c r="AM414"/>
      <c r="AN414"/>
      <c r="AO414"/>
      <c r="AP414"/>
      <c r="AQ414"/>
      <c r="AR414"/>
      <c r="AS414"/>
      <c r="AT414"/>
      <c r="AU414"/>
      <c r="AV414"/>
      <c r="AW414"/>
      <c r="AX414"/>
      <c r="AY414"/>
      <c r="AZ414"/>
      <c r="BA414"/>
      <c r="BB414"/>
      <c r="BC414"/>
      <c r="BD414"/>
      <c r="BE414"/>
      <c r="BF414"/>
      <c r="BG414"/>
      <c r="BH414"/>
      <c r="BI414"/>
      <c r="BJ414"/>
      <c r="BK414"/>
      <c r="BL414"/>
      <c r="BM414"/>
      <c r="BN414"/>
      <c r="BO414"/>
      <c r="BP414"/>
      <c r="BQ414"/>
      <c r="BR414"/>
      <c r="BS414"/>
      <c r="BT414"/>
      <c r="BU414"/>
      <c r="BV414"/>
      <c r="BW414"/>
      <c r="BX414"/>
      <c r="BY414"/>
      <c r="BZ414"/>
      <c r="CA414"/>
      <c r="CB414"/>
      <c r="CC414"/>
      <c r="CD414"/>
      <c r="CE414"/>
      <c r="CF414"/>
      <c r="CG414"/>
      <c r="CH414"/>
      <c r="CI414"/>
      <c r="CJ414"/>
      <c r="CK414"/>
      <c r="CL414"/>
      <c r="CM414"/>
      <c r="CN414"/>
      <c r="CO414"/>
      <c r="CP414"/>
      <c r="CQ414"/>
      <c r="CR414"/>
      <c r="CS414"/>
      <c r="CT414"/>
      <c r="CU414"/>
      <c r="CV414"/>
      <c r="CW414"/>
      <c r="CX414"/>
      <c r="CY414"/>
      <c r="CZ414"/>
      <c r="DA414"/>
      <c r="DB414"/>
      <c r="DC414"/>
      <c r="DD414"/>
      <c r="DE414"/>
      <c r="DF414"/>
      <c r="DG414"/>
      <c r="DH414"/>
      <c r="DI414"/>
      <c r="DJ414"/>
      <c r="DK414"/>
      <c r="DL414"/>
      <c r="DM414"/>
      <c r="DN414"/>
      <c r="DO414"/>
      <c r="DP414"/>
      <c r="DQ414"/>
      <c r="DR414"/>
      <c r="DS414"/>
      <c r="DT414"/>
      <c r="DU414"/>
      <c r="DV414"/>
      <c r="DW414"/>
      <c r="DX414"/>
      <c r="DY414"/>
      <c r="DZ414"/>
      <c r="EA414"/>
      <c r="EB414"/>
      <c r="EC414"/>
      <c r="ED414"/>
      <c r="EE414"/>
      <c r="EF414"/>
      <c r="EG414"/>
      <c r="EH414"/>
      <c r="EI414"/>
      <c r="EJ414"/>
      <c r="EK414"/>
      <c r="EL414"/>
      <c r="EM414"/>
      <c r="EN414"/>
      <c r="EO414"/>
      <c r="EP414"/>
      <c r="EQ414"/>
      <c r="ER414"/>
      <c r="ES414"/>
      <c r="ET414"/>
      <c r="EU414"/>
      <c r="EV414"/>
      <c r="EW414"/>
      <c r="EX414"/>
      <c r="EY414"/>
      <c r="EZ414"/>
      <c r="FA414"/>
      <c r="FB414"/>
      <c r="FC414"/>
      <c r="FD414"/>
      <c r="FE414"/>
      <c r="FF414"/>
      <c r="FG414"/>
      <c r="FH414"/>
      <c r="FI414"/>
      <c r="FJ414"/>
      <c r="FK414"/>
      <c r="FL414"/>
      <c r="FM414"/>
      <c r="FN414"/>
      <c r="FO414"/>
      <c r="FP414"/>
      <c r="FQ414"/>
      <c r="FR414"/>
      <c r="FS414"/>
      <c r="FT414"/>
      <c r="FU414"/>
      <c r="FV414"/>
      <c r="FW414"/>
      <c r="FX414"/>
      <c r="FY414"/>
      <c r="FZ414"/>
      <c r="GA414"/>
      <c r="GB414"/>
      <c r="GC414"/>
      <c r="GD414"/>
      <c r="GE414"/>
      <c r="GF414"/>
      <c r="GG414"/>
      <c r="GH414"/>
      <c r="GI414"/>
      <c r="GJ414"/>
      <c r="GK414"/>
      <c r="GL414"/>
      <c r="GM414"/>
      <c r="GN414"/>
      <c r="GO414"/>
      <c r="GP414"/>
      <c r="GQ414"/>
      <c r="GR414"/>
      <c r="GS414"/>
      <c r="GT414"/>
      <c r="GU414"/>
      <c r="GV414"/>
      <c r="GW414"/>
      <c r="GX414"/>
      <c r="GY414"/>
      <c r="GZ414"/>
      <c r="HA414"/>
      <c r="HB414"/>
      <c r="HC414"/>
      <c r="HD414"/>
      <c r="HE414"/>
      <c r="HF414"/>
      <c r="HG414"/>
      <c r="HH414"/>
      <c r="HI414"/>
      <c r="HJ414"/>
      <c r="HK414"/>
      <c r="HL414"/>
      <c r="HM414"/>
      <c r="HN414"/>
      <c r="HO414"/>
      <c r="HP414"/>
      <c r="HQ414"/>
      <c r="HR414"/>
      <c r="HS414"/>
      <c r="HT414"/>
      <c r="HU414"/>
      <c r="HV414"/>
      <c r="HW414"/>
      <c r="HX414"/>
      <c r="HY414"/>
      <c r="HZ414"/>
      <c r="IA414"/>
      <c r="IB414"/>
      <c r="IC414"/>
      <c r="ID414"/>
      <c r="IE414"/>
      <c r="IF414"/>
      <c r="IG414"/>
      <c r="IH414"/>
      <c r="II414"/>
      <c r="IJ414"/>
      <c r="IK414"/>
      <c r="IL414"/>
      <c r="IM414"/>
      <c r="IN414"/>
      <c r="IO414"/>
      <c r="IP414"/>
      <c r="IQ414"/>
      <c r="IR414"/>
      <c r="IS414"/>
      <c r="IT414"/>
      <c r="IU414"/>
      <c r="IV414"/>
      <c r="IW414"/>
      <c r="IX414"/>
      <c r="IY414"/>
      <c r="IZ414"/>
      <c r="JA414"/>
      <c r="JB414"/>
      <c r="JC414"/>
      <c r="JD414"/>
      <c r="JE414"/>
      <c r="JF414"/>
      <c r="JG414"/>
      <c r="JH414"/>
      <c r="JI414"/>
      <c r="JJ414"/>
      <c r="JK414"/>
      <c r="JL414"/>
      <c r="JM414"/>
      <c r="JN414"/>
      <c r="JO414"/>
      <c r="JP414"/>
      <c r="JQ414"/>
      <c r="JR414"/>
      <c r="JS414"/>
      <c r="JT414"/>
      <c r="JU414"/>
      <c r="JV414"/>
      <c r="JW414"/>
      <c r="JX414"/>
      <c r="JY414"/>
      <c r="JZ414"/>
      <c r="KA414"/>
      <c r="KB414"/>
      <c r="KC414"/>
      <c r="KD414"/>
      <c r="KE414"/>
      <c r="KF414"/>
      <c r="KG414"/>
      <c r="KH414"/>
      <c r="KI414"/>
      <c r="KJ414"/>
      <c r="KK414"/>
      <c r="KL414"/>
      <c r="KM414"/>
      <c r="KN414"/>
      <c r="KO414"/>
      <c r="KP414"/>
      <c r="KQ414"/>
      <c r="KR414"/>
      <c r="KS414"/>
      <c r="KT414"/>
      <c r="KU414"/>
      <c r="KV414"/>
      <c r="KW414"/>
      <c r="KX414"/>
      <c r="KY414"/>
      <c r="KZ414"/>
      <c r="LA414"/>
      <c r="LB414"/>
      <c r="LC414"/>
      <c r="LD414"/>
      <c r="LE414"/>
      <c r="LF414"/>
      <c r="LG414"/>
      <c r="LH414"/>
      <c r="LI414"/>
      <c r="LJ414"/>
      <c r="LK414"/>
      <c r="LL414"/>
      <c r="LM414"/>
      <c r="LN414"/>
      <c r="LO414"/>
      <c r="LP414"/>
      <c r="LQ414"/>
      <c r="LR414"/>
      <c r="LS414"/>
      <c r="LT414"/>
      <c r="LU414"/>
      <c r="LV414"/>
      <c r="LW414"/>
      <c r="LX414"/>
      <c r="LY414"/>
      <c r="LZ414"/>
      <c r="MA414"/>
      <c r="MB414"/>
      <c r="MC414"/>
      <c r="MD414"/>
      <c r="ME414"/>
      <c r="MF414"/>
      <c r="MG414"/>
      <c r="MH414"/>
      <c r="MI414"/>
      <c r="MJ414"/>
      <c r="MK414"/>
      <c r="ML414"/>
      <c r="MM414"/>
      <c r="MN414"/>
      <c r="MO414"/>
      <c r="MP414"/>
      <c r="MQ414"/>
      <c r="MR414"/>
      <c r="MS414"/>
      <c r="MT414"/>
      <c r="MU414"/>
      <c r="MV414"/>
      <c r="MW414"/>
      <c r="MX414"/>
      <c r="MY414"/>
      <c r="MZ414"/>
      <c r="NA414"/>
      <c r="NB414"/>
      <c r="NC414"/>
      <c r="ND414"/>
      <c r="NE414"/>
      <c r="NF414"/>
      <c r="NG414"/>
      <c r="NH414"/>
      <c r="NI414"/>
      <c r="NJ414"/>
      <c r="NK414"/>
      <c r="NL414"/>
      <c r="NM414"/>
      <c r="NN414"/>
      <c r="NO414"/>
      <c r="NP414"/>
      <c r="NQ414"/>
      <c r="NR414"/>
      <c r="NS414"/>
      <c r="NT414"/>
      <c r="NU414"/>
      <c r="NV414"/>
      <c r="NW414"/>
      <c r="NX414"/>
      <c r="NY414"/>
      <c r="NZ414"/>
      <c r="OA414"/>
      <c r="OB414"/>
      <c r="OC414"/>
      <c r="OD414"/>
      <c r="OE414"/>
      <c r="OF414"/>
      <c r="OG414"/>
      <c r="OH414"/>
      <c r="OI414"/>
      <c r="OJ414"/>
      <c r="OK414"/>
      <c r="OL414"/>
      <c r="OM414"/>
      <c r="ON414"/>
      <c r="OO414"/>
      <c r="OP414"/>
      <c r="OQ414"/>
      <c r="OR414"/>
      <c r="OS414"/>
      <c r="OT414"/>
      <c r="OU414"/>
      <c r="OV414"/>
      <c r="OW414"/>
      <c r="OX414"/>
      <c r="OY414"/>
      <c r="OZ414"/>
      <c r="PA414"/>
      <c r="PB414"/>
      <c r="PC414"/>
      <c r="PD414"/>
      <c r="PE414"/>
      <c r="PF414"/>
      <c r="PG414"/>
      <c r="PH414"/>
      <c r="PI414"/>
      <c r="PJ414"/>
      <c r="PK414"/>
      <c r="PL414"/>
      <c r="PM414"/>
      <c r="PN414"/>
      <c r="PO414"/>
      <c r="PP414"/>
      <c r="PQ414"/>
      <c r="PR414"/>
      <c r="PS414"/>
      <c r="PT414"/>
      <c r="PU414"/>
      <c r="PV414"/>
      <c r="PW414"/>
      <c r="PX414"/>
      <c r="PY414"/>
      <c r="PZ414"/>
      <c r="QA414"/>
      <c r="QB414"/>
      <c r="QC414"/>
      <c r="QD414"/>
      <c r="QE414"/>
      <c r="QF414"/>
      <c r="QG414"/>
      <c r="QH414"/>
      <c r="QI414"/>
      <c r="QJ414"/>
      <c r="QK414"/>
      <c r="QL414"/>
      <c r="QM414"/>
      <c r="QN414"/>
      <c r="QO414"/>
      <c r="QP414"/>
      <c r="QQ414"/>
      <c r="QR414"/>
      <c r="QS414"/>
      <c r="QT414"/>
      <c r="QU414"/>
      <c r="QV414"/>
      <c r="QW414"/>
      <c r="QX414"/>
      <c r="QY414"/>
      <c r="QZ414"/>
      <c r="RA414"/>
      <c r="RB414"/>
      <c r="RC414"/>
      <c r="RD414"/>
      <c r="RE414"/>
      <c r="RF414"/>
      <c r="RG414"/>
      <c r="RH414"/>
      <c r="RI414"/>
      <c r="RJ414"/>
      <c r="RK414"/>
      <c r="RL414"/>
      <c r="RM414"/>
      <c r="RN414"/>
      <c r="RO414"/>
      <c r="RP414"/>
      <c r="RQ414"/>
      <c r="RR414"/>
      <c r="RS414"/>
    </row>
    <row r="415" spans="19:487" x14ac:dyDescent="0.25">
      <c r="S415"/>
      <c r="T415"/>
      <c r="U415"/>
      <c r="V415"/>
      <c r="W415"/>
      <c r="X415"/>
      <c r="Y415"/>
      <c r="Z415"/>
      <c r="AA415"/>
      <c r="AB415"/>
      <c r="AC415"/>
      <c r="AD415"/>
      <c r="AE415"/>
      <c r="AF415"/>
      <c r="AG415"/>
      <c r="AH415"/>
      <c r="AI415"/>
      <c r="AJ415"/>
      <c r="AK415"/>
      <c r="AL415"/>
      <c r="AM415"/>
      <c r="AN415"/>
      <c r="AO415"/>
      <c r="AP415"/>
      <c r="AQ415"/>
      <c r="AR415"/>
      <c r="AS415"/>
      <c r="AT415"/>
      <c r="AU415"/>
      <c r="AV415"/>
      <c r="AW415"/>
      <c r="AX415"/>
      <c r="AY415"/>
      <c r="AZ415"/>
      <c r="BA415"/>
      <c r="BB415"/>
      <c r="BC415"/>
      <c r="BD415"/>
      <c r="BE415"/>
      <c r="BF415"/>
      <c r="BG415"/>
      <c r="BH415"/>
      <c r="BI415"/>
      <c r="BJ415"/>
      <c r="BK415"/>
      <c r="BL415"/>
      <c r="BM415"/>
      <c r="BN415"/>
      <c r="BO415"/>
      <c r="BP415"/>
      <c r="BQ415"/>
      <c r="BR415"/>
      <c r="BS415"/>
      <c r="BT415"/>
      <c r="BU415"/>
      <c r="BV415"/>
      <c r="BW415"/>
      <c r="BX415"/>
      <c r="BY415"/>
      <c r="BZ415"/>
      <c r="CA415"/>
      <c r="CB415"/>
      <c r="CC415"/>
      <c r="CD415"/>
      <c r="CE415"/>
      <c r="CF415"/>
      <c r="CG415"/>
      <c r="CH415"/>
      <c r="CI415"/>
      <c r="CJ415"/>
      <c r="CK415"/>
      <c r="CL415"/>
      <c r="CM415"/>
      <c r="CN415"/>
      <c r="CO415"/>
      <c r="CP415"/>
      <c r="CQ415"/>
      <c r="CR415"/>
      <c r="CS415"/>
      <c r="CT415"/>
      <c r="CU415"/>
      <c r="CV415"/>
      <c r="CW415"/>
      <c r="CX415"/>
      <c r="CY415"/>
      <c r="CZ415"/>
      <c r="DA415"/>
      <c r="DB415"/>
      <c r="DC415"/>
      <c r="DD415"/>
      <c r="DE415"/>
      <c r="DF415"/>
      <c r="DG415"/>
      <c r="DH415"/>
      <c r="DI415"/>
      <c r="DJ415"/>
      <c r="DK415"/>
      <c r="DL415"/>
      <c r="DM415"/>
      <c r="DN415"/>
      <c r="DO415"/>
      <c r="DP415"/>
      <c r="DQ415"/>
      <c r="DR415"/>
      <c r="DS415"/>
      <c r="DT415"/>
      <c r="DU415"/>
      <c r="DV415"/>
      <c r="DW415"/>
      <c r="DX415"/>
      <c r="DY415"/>
      <c r="DZ415"/>
      <c r="EA415"/>
      <c r="EB415"/>
      <c r="EC415"/>
      <c r="ED415"/>
      <c r="EE415"/>
      <c r="EF415"/>
      <c r="EG415"/>
      <c r="EH415"/>
      <c r="EI415"/>
      <c r="EJ415"/>
      <c r="EK415"/>
      <c r="EL415"/>
      <c r="EM415"/>
      <c r="EN415"/>
      <c r="EO415"/>
      <c r="EP415"/>
      <c r="EQ415"/>
      <c r="ER415"/>
      <c r="ES415"/>
      <c r="ET415"/>
      <c r="EU415"/>
      <c r="EV415"/>
      <c r="EW415"/>
      <c r="EX415"/>
      <c r="EY415"/>
      <c r="EZ415"/>
      <c r="FA415"/>
      <c r="FB415"/>
      <c r="FC415"/>
      <c r="FD415"/>
      <c r="FE415"/>
      <c r="FF415"/>
      <c r="FG415"/>
      <c r="FH415"/>
      <c r="FI415"/>
      <c r="FJ415"/>
      <c r="FK415"/>
      <c r="FL415"/>
      <c r="FM415"/>
      <c r="FN415"/>
      <c r="FO415"/>
      <c r="FP415"/>
      <c r="FQ415"/>
      <c r="FR415"/>
      <c r="FS415"/>
      <c r="FT415"/>
      <c r="FU415"/>
      <c r="FV415"/>
      <c r="FW415"/>
      <c r="FX415"/>
      <c r="FY415"/>
      <c r="FZ415"/>
      <c r="GA415"/>
      <c r="GB415"/>
      <c r="GC415"/>
      <c r="GD415"/>
      <c r="GE415"/>
      <c r="GF415"/>
      <c r="GG415"/>
      <c r="GH415"/>
      <c r="GI415"/>
      <c r="GJ415"/>
      <c r="GK415"/>
      <c r="GL415"/>
      <c r="GM415"/>
      <c r="GN415"/>
      <c r="GO415"/>
      <c r="GP415"/>
      <c r="GQ415"/>
      <c r="GR415"/>
      <c r="GS415"/>
      <c r="GT415"/>
      <c r="GU415"/>
      <c r="GV415"/>
      <c r="GW415"/>
      <c r="GX415"/>
      <c r="GY415"/>
      <c r="GZ415"/>
      <c r="HA415"/>
      <c r="HB415"/>
      <c r="HC415"/>
      <c r="HD415"/>
      <c r="HE415"/>
      <c r="HF415"/>
      <c r="HG415"/>
      <c r="HH415"/>
      <c r="HI415"/>
      <c r="HJ415"/>
      <c r="HK415"/>
      <c r="HL415"/>
      <c r="HM415"/>
      <c r="HN415"/>
      <c r="HO415"/>
      <c r="HP415"/>
      <c r="HQ415"/>
      <c r="HR415"/>
      <c r="HS415"/>
      <c r="HT415"/>
      <c r="HU415"/>
      <c r="HV415"/>
      <c r="HW415"/>
      <c r="HX415"/>
      <c r="HY415"/>
      <c r="HZ415"/>
      <c r="IA415"/>
      <c r="IB415"/>
      <c r="IC415"/>
      <c r="ID415"/>
      <c r="IE415"/>
      <c r="IF415"/>
      <c r="IG415"/>
      <c r="IH415"/>
      <c r="II415"/>
      <c r="IJ415"/>
      <c r="IK415"/>
      <c r="IL415"/>
      <c r="IM415"/>
      <c r="IN415"/>
      <c r="IO415"/>
      <c r="IP415"/>
      <c r="IQ415"/>
      <c r="IR415"/>
      <c r="IS415"/>
      <c r="IT415"/>
      <c r="IU415"/>
      <c r="IV415"/>
      <c r="IW415"/>
      <c r="IX415"/>
      <c r="IY415"/>
      <c r="IZ415"/>
      <c r="JA415"/>
      <c r="JB415"/>
      <c r="JC415"/>
      <c r="JD415"/>
      <c r="JE415"/>
      <c r="JF415"/>
      <c r="JG415"/>
      <c r="JH415"/>
      <c r="JI415"/>
      <c r="JJ415"/>
      <c r="JK415"/>
      <c r="JL415"/>
      <c r="JM415"/>
      <c r="JN415"/>
      <c r="JO415"/>
      <c r="JP415"/>
      <c r="JQ415"/>
      <c r="JR415"/>
      <c r="JS415"/>
      <c r="JT415"/>
      <c r="JU415"/>
      <c r="JV415"/>
      <c r="JW415"/>
      <c r="JX415"/>
      <c r="JY415"/>
      <c r="JZ415"/>
      <c r="KA415"/>
      <c r="KB415"/>
      <c r="KC415"/>
      <c r="KD415"/>
      <c r="KE415"/>
      <c r="KF415"/>
      <c r="KG415"/>
      <c r="KH415"/>
      <c r="KI415"/>
      <c r="KJ415"/>
      <c r="KK415"/>
      <c r="KL415"/>
      <c r="KM415"/>
      <c r="KN415"/>
      <c r="KO415"/>
      <c r="KP415"/>
      <c r="KQ415"/>
      <c r="KR415"/>
      <c r="KS415"/>
      <c r="KT415"/>
      <c r="KU415"/>
      <c r="KV415"/>
      <c r="KW415"/>
      <c r="KX415"/>
      <c r="KY415"/>
      <c r="KZ415"/>
      <c r="LA415"/>
      <c r="LB415"/>
      <c r="LC415"/>
      <c r="LD415"/>
      <c r="LE415"/>
      <c r="LF415"/>
      <c r="LG415"/>
      <c r="LH415"/>
      <c r="LI415"/>
      <c r="LJ415"/>
      <c r="LK415"/>
      <c r="LL415"/>
      <c r="LM415"/>
      <c r="LN415"/>
      <c r="LO415"/>
      <c r="LP415"/>
      <c r="LQ415"/>
      <c r="LR415"/>
      <c r="LS415"/>
      <c r="LT415"/>
      <c r="LU415"/>
      <c r="LV415"/>
      <c r="LW415"/>
      <c r="LX415"/>
      <c r="LY415"/>
      <c r="LZ415"/>
      <c r="MA415"/>
      <c r="MB415"/>
      <c r="MC415"/>
      <c r="MD415"/>
      <c r="ME415"/>
      <c r="MF415"/>
      <c r="MG415"/>
      <c r="MH415"/>
      <c r="MI415"/>
      <c r="MJ415"/>
      <c r="MK415"/>
      <c r="ML415"/>
      <c r="MM415"/>
      <c r="MN415"/>
      <c r="MO415"/>
      <c r="MP415"/>
      <c r="MQ415"/>
      <c r="MR415"/>
      <c r="MS415"/>
      <c r="MT415"/>
      <c r="MU415"/>
      <c r="MV415"/>
      <c r="MW415"/>
      <c r="MX415"/>
      <c r="MY415"/>
      <c r="MZ415"/>
      <c r="NA415"/>
      <c r="NB415"/>
      <c r="NC415"/>
      <c r="ND415"/>
      <c r="NE415"/>
      <c r="NF415"/>
      <c r="NG415"/>
      <c r="NH415"/>
      <c r="NI415"/>
      <c r="NJ415"/>
      <c r="NK415"/>
      <c r="NL415"/>
      <c r="NM415"/>
      <c r="NN415"/>
      <c r="NO415"/>
      <c r="NP415"/>
      <c r="NQ415"/>
      <c r="NR415"/>
      <c r="NS415"/>
      <c r="NT415"/>
      <c r="NU415"/>
      <c r="NV415"/>
      <c r="NW415"/>
      <c r="NX415"/>
      <c r="NY415"/>
      <c r="NZ415"/>
      <c r="OA415"/>
      <c r="OB415"/>
      <c r="OC415"/>
      <c r="OD415"/>
      <c r="OE415"/>
      <c r="OF415"/>
      <c r="OG415"/>
      <c r="OH415"/>
      <c r="OI415"/>
      <c r="OJ415"/>
      <c r="OK415"/>
      <c r="OL415"/>
      <c r="OM415"/>
      <c r="ON415"/>
      <c r="OO415"/>
      <c r="OP415"/>
      <c r="OQ415"/>
      <c r="OR415"/>
      <c r="OS415"/>
      <c r="OT415"/>
      <c r="OU415"/>
      <c r="OV415"/>
      <c r="OW415"/>
      <c r="OX415"/>
      <c r="OY415"/>
      <c r="OZ415"/>
      <c r="PA415"/>
      <c r="PB415"/>
      <c r="PC415"/>
      <c r="PD415"/>
      <c r="PE415"/>
      <c r="PF415"/>
      <c r="PG415"/>
      <c r="PH415"/>
      <c r="PI415"/>
      <c r="PJ415"/>
      <c r="PK415"/>
      <c r="PL415"/>
      <c r="PM415"/>
      <c r="PN415"/>
      <c r="PO415"/>
      <c r="PP415"/>
      <c r="PQ415"/>
      <c r="PR415"/>
      <c r="PS415"/>
      <c r="PT415"/>
      <c r="PU415"/>
      <c r="PV415"/>
      <c r="PW415"/>
      <c r="PX415"/>
      <c r="PY415"/>
      <c r="PZ415"/>
      <c r="QA415"/>
      <c r="QB415"/>
      <c r="QC415"/>
      <c r="QD415"/>
      <c r="QE415"/>
      <c r="QF415"/>
      <c r="QG415"/>
      <c r="QH415"/>
      <c r="QI415"/>
      <c r="QJ415"/>
      <c r="QK415"/>
      <c r="QL415"/>
      <c r="QM415"/>
      <c r="QN415"/>
      <c r="QO415"/>
      <c r="QP415"/>
      <c r="QQ415"/>
      <c r="QR415"/>
      <c r="QS415"/>
      <c r="QT415"/>
      <c r="QU415"/>
      <c r="QV415"/>
      <c r="QW415"/>
      <c r="QX415"/>
      <c r="QY415"/>
      <c r="QZ415"/>
      <c r="RA415"/>
      <c r="RB415"/>
      <c r="RC415"/>
      <c r="RD415"/>
      <c r="RE415"/>
      <c r="RF415"/>
      <c r="RG415"/>
      <c r="RH415"/>
      <c r="RI415"/>
      <c r="RJ415"/>
      <c r="RK415"/>
      <c r="RL415"/>
      <c r="RM415"/>
      <c r="RN415"/>
      <c r="RO415"/>
      <c r="RP415"/>
      <c r="RQ415"/>
      <c r="RR415"/>
      <c r="RS415"/>
    </row>
    <row r="416" spans="19:487" x14ac:dyDescent="0.25">
      <c r="S416"/>
      <c r="T416"/>
      <c r="U416"/>
      <c r="V416"/>
      <c r="W416"/>
      <c r="X416"/>
      <c r="Y416"/>
      <c r="Z416"/>
      <c r="AA416"/>
      <c r="AB416"/>
      <c r="AC416"/>
      <c r="AD416"/>
      <c r="AE416"/>
      <c r="AF416"/>
      <c r="AG416"/>
      <c r="AH416"/>
      <c r="AI416"/>
      <c r="AJ416"/>
      <c r="AK416"/>
      <c r="AL416"/>
      <c r="AM416"/>
      <c r="AN416"/>
      <c r="AO416"/>
      <c r="AP416"/>
      <c r="AQ416"/>
      <c r="AR416"/>
      <c r="AS416"/>
      <c r="AT416"/>
      <c r="AU416"/>
      <c r="AV416"/>
      <c r="AW416"/>
      <c r="AX416"/>
      <c r="AY416"/>
      <c r="AZ416"/>
      <c r="BA416"/>
      <c r="BB416"/>
      <c r="BC416"/>
      <c r="BD416"/>
      <c r="BE416"/>
      <c r="BF416"/>
      <c r="BG416"/>
      <c r="BH416"/>
      <c r="BI416"/>
      <c r="BJ416"/>
      <c r="BK416"/>
      <c r="BL416"/>
      <c r="BM416"/>
      <c r="BN416"/>
      <c r="BO416"/>
      <c r="BP416"/>
      <c r="BQ416"/>
      <c r="BR416"/>
      <c r="BS416"/>
      <c r="BT416"/>
      <c r="BU416"/>
      <c r="BV416"/>
      <c r="BW416"/>
      <c r="BX416"/>
      <c r="BY416"/>
      <c r="BZ416"/>
      <c r="CA416"/>
      <c r="CB416"/>
      <c r="CC416"/>
      <c r="CD416"/>
      <c r="CE416"/>
      <c r="CF416"/>
      <c r="CG416"/>
      <c r="CH416"/>
      <c r="CI416"/>
      <c r="CJ416"/>
      <c r="CK416"/>
      <c r="CL416"/>
      <c r="CM416"/>
      <c r="CN416"/>
      <c r="CO416"/>
      <c r="CP416"/>
      <c r="CQ416"/>
      <c r="CR416"/>
      <c r="CS416"/>
      <c r="CT416"/>
      <c r="CU416"/>
      <c r="CV416"/>
      <c r="CW416"/>
      <c r="CX416"/>
      <c r="CY416"/>
      <c r="CZ416"/>
      <c r="DA416"/>
      <c r="DB416"/>
      <c r="DC416"/>
      <c r="DD416"/>
      <c r="DE416"/>
      <c r="DF416"/>
      <c r="DG416"/>
      <c r="DH416"/>
      <c r="DI416"/>
      <c r="DJ416"/>
      <c r="DK416"/>
      <c r="DL416"/>
      <c r="DM416"/>
      <c r="DN416"/>
      <c r="DO416"/>
      <c r="DP416"/>
      <c r="DQ416"/>
      <c r="DR416"/>
      <c r="DS416"/>
      <c r="DT416"/>
      <c r="DU416"/>
      <c r="DV416"/>
      <c r="DW416"/>
      <c r="DX416"/>
      <c r="DY416"/>
      <c r="DZ416"/>
      <c r="EA416"/>
      <c r="EB416"/>
      <c r="EC416"/>
      <c r="ED416"/>
      <c r="EE416"/>
      <c r="EF416"/>
      <c r="EG416"/>
      <c r="EH416"/>
      <c r="EI416"/>
      <c r="EJ416"/>
      <c r="EK416"/>
      <c r="EL416"/>
      <c r="EM416"/>
      <c r="EN416"/>
      <c r="EO416"/>
      <c r="EP416"/>
      <c r="EQ416"/>
      <c r="ER416"/>
      <c r="ES416"/>
      <c r="ET416"/>
      <c r="EU416"/>
      <c r="EV416"/>
      <c r="EW416"/>
      <c r="EX416"/>
      <c r="EY416"/>
      <c r="EZ416"/>
      <c r="FA416"/>
      <c r="FB416"/>
      <c r="FC416"/>
      <c r="FD416"/>
      <c r="FE416"/>
      <c r="FF416"/>
      <c r="FG416"/>
      <c r="FH416"/>
      <c r="FI416"/>
      <c r="FJ416"/>
      <c r="FK416"/>
      <c r="FL416"/>
      <c r="FM416"/>
      <c r="FN416"/>
      <c r="FO416"/>
      <c r="FP416"/>
      <c r="FQ416"/>
      <c r="FR416"/>
      <c r="FS416"/>
      <c r="FT416"/>
      <c r="FU416"/>
      <c r="FV416"/>
      <c r="FW416"/>
      <c r="FX416"/>
      <c r="FY416"/>
      <c r="FZ416"/>
      <c r="GA416"/>
      <c r="GB416"/>
      <c r="GC416"/>
      <c r="GD416"/>
      <c r="GE416"/>
      <c r="GF416"/>
      <c r="GG416"/>
      <c r="GH416"/>
      <c r="GI416"/>
      <c r="GJ416"/>
      <c r="GK416"/>
      <c r="GL416"/>
      <c r="GM416"/>
      <c r="GN416"/>
      <c r="GO416"/>
      <c r="GP416"/>
      <c r="GQ416"/>
      <c r="GR416"/>
      <c r="GS416"/>
      <c r="GT416"/>
      <c r="GU416"/>
      <c r="GV416"/>
      <c r="GW416"/>
      <c r="GX416"/>
      <c r="GY416"/>
      <c r="GZ416"/>
      <c r="HA416"/>
      <c r="HB416"/>
      <c r="HC416"/>
      <c r="HD416"/>
      <c r="HE416"/>
      <c r="HF416"/>
      <c r="HG416"/>
      <c r="HH416"/>
      <c r="HI416"/>
      <c r="HJ416"/>
      <c r="HK416"/>
      <c r="HL416"/>
      <c r="HM416"/>
      <c r="HN416"/>
      <c r="HO416"/>
      <c r="HP416"/>
      <c r="HQ416"/>
      <c r="HR416"/>
      <c r="HS416"/>
      <c r="HT416"/>
      <c r="HU416"/>
      <c r="HV416"/>
      <c r="HW416"/>
      <c r="HX416"/>
      <c r="HY416"/>
      <c r="HZ416"/>
      <c r="IA416"/>
      <c r="IB416"/>
      <c r="IC416"/>
      <c r="ID416"/>
      <c r="IE416"/>
      <c r="IF416"/>
      <c r="IG416"/>
      <c r="IH416"/>
      <c r="II416"/>
      <c r="IJ416"/>
      <c r="IK416"/>
      <c r="IL416"/>
      <c r="IM416"/>
      <c r="IN416"/>
      <c r="IO416"/>
      <c r="IP416"/>
      <c r="IQ416"/>
      <c r="IR416"/>
      <c r="IS416"/>
      <c r="IT416"/>
      <c r="IU416"/>
      <c r="IV416"/>
      <c r="IW416"/>
      <c r="IX416"/>
      <c r="IY416"/>
      <c r="IZ416"/>
      <c r="JA416"/>
      <c r="JB416"/>
      <c r="JC416"/>
      <c r="JD416"/>
      <c r="JE416"/>
      <c r="JF416"/>
      <c r="JG416"/>
      <c r="JH416"/>
      <c r="JI416"/>
      <c r="JJ416"/>
      <c r="JK416"/>
      <c r="JL416"/>
      <c r="JM416"/>
      <c r="JN416"/>
      <c r="JO416"/>
      <c r="JP416"/>
      <c r="JQ416"/>
      <c r="JR416"/>
      <c r="JS416"/>
      <c r="JT416"/>
      <c r="JU416"/>
      <c r="JV416"/>
      <c r="JW416"/>
      <c r="JX416"/>
      <c r="JY416"/>
      <c r="JZ416"/>
      <c r="KA416"/>
      <c r="KB416"/>
      <c r="KC416"/>
      <c r="KD416"/>
      <c r="KE416"/>
      <c r="KF416"/>
      <c r="KG416"/>
      <c r="KH416"/>
      <c r="KI416"/>
      <c r="KJ416"/>
      <c r="KK416"/>
      <c r="KL416"/>
      <c r="KM416"/>
      <c r="KN416"/>
      <c r="KO416"/>
      <c r="KP416"/>
      <c r="KQ416"/>
      <c r="KR416"/>
      <c r="KS416"/>
      <c r="KT416"/>
      <c r="KU416"/>
      <c r="KV416"/>
      <c r="KW416"/>
      <c r="KX416"/>
      <c r="KY416"/>
      <c r="KZ416"/>
      <c r="LA416"/>
      <c r="LB416"/>
      <c r="LC416"/>
      <c r="LD416"/>
      <c r="LE416"/>
      <c r="LF416"/>
      <c r="LG416"/>
      <c r="LH416"/>
      <c r="LI416"/>
      <c r="LJ416"/>
      <c r="LK416"/>
      <c r="LL416"/>
      <c r="LM416"/>
      <c r="LN416"/>
      <c r="LO416"/>
      <c r="LP416"/>
      <c r="LQ416"/>
      <c r="LR416"/>
      <c r="LS416"/>
      <c r="LT416"/>
      <c r="LU416"/>
      <c r="LV416"/>
      <c r="LW416"/>
      <c r="LX416"/>
      <c r="LY416"/>
      <c r="LZ416"/>
      <c r="MA416"/>
      <c r="MB416"/>
      <c r="MC416"/>
      <c r="MD416"/>
      <c r="ME416"/>
      <c r="MF416"/>
      <c r="MG416"/>
      <c r="MH416"/>
      <c r="MI416"/>
      <c r="MJ416"/>
      <c r="MK416"/>
      <c r="ML416"/>
      <c r="MM416"/>
      <c r="MN416"/>
      <c r="MO416"/>
      <c r="MP416"/>
      <c r="MQ416"/>
      <c r="MR416"/>
      <c r="MS416"/>
      <c r="MT416"/>
      <c r="MU416"/>
      <c r="MV416"/>
      <c r="MW416"/>
      <c r="MX416"/>
      <c r="MY416"/>
      <c r="MZ416"/>
      <c r="NA416"/>
      <c r="NB416"/>
      <c r="NC416"/>
      <c r="ND416"/>
      <c r="NE416"/>
      <c r="NF416"/>
      <c r="NG416"/>
      <c r="NH416"/>
      <c r="NI416"/>
      <c r="NJ416"/>
      <c r="NK416"/>
      <c r="NL416"/>
      <c r="NM416"/>
      <c r="NN416"/>
      <c r="NO416"/>
      <c r="NP416"/>
      <c r="NQ416"/>
      <c r="NR416"/>
      <c r="NS416"/>
      <c r="NT416"/>
      <c r="NU416"/>
      <c r="NV416"/>
      <c r="NW416"/>
      <c r="NX416"/>
      <c r="NY416"/>
      <c r="NZ416"/>
      <c r="OA416"/>
      <c r="OB416"/>
      <c r="OC416"/>
      <c r="OD416"/>
      <c r="OE416"/>
      <c r="OF416"/>
      <c r="OG416"/>
      <c r="OH416"/>
      <c r="OI416"/>
      <c r="OJ416"/>
      <c r="OK416"/>
      <c r="OL416"/>
      <c r="OM416"/>
      <c r="ON416"/>
      <c r="OO416"/>
      <c r="OP416"/>
      <c r="OQ416"/>
      <c r="OR416"/>
      <c r="OS416"/>
      <c r="OT416"/>
      <c r="OU416"/>
      <c r="OV416"/>
      <c r="OW416"/>
      <c r="OX416"/>
      <c r="OY416"/>
      <c r="OZ416"/>
      <c r="PA416"/>
      <c r="PB416"/>
      <c r="PC416"/>
      <c r="PD416"/>
      <c r="PE416"/>
      <c r="PF416"/>
      <c r="PG416"/>
      <c r="PH416"/>
      <c r="PI416"/>
      <c r="PJ416"/>
      <c r="PK416"/>
      <c r="PL416"/>
      <c r="PM416"/>
      <c r="PN416"/>
      <c r="PO416"/>
      <c r="PP416"/>
      <c r="PQ416"/>
      <c r="PR416"/>
      <c r="PS416"/>
      <c r="PT416"/>
      <c r="PU416"/>
      <c r="PV416"/>
      <c r="PW416"/>
      <c r="PX416"/>
      <c r="PY416"/>
      <c r="PZ416"/>
      <c r="QA416"/>
      <c r="QB416"/>
      <c r="QC416"/>
      <c r="QD416"/>
      <c r="QE416"/>
      <c r="QF416"/>
      <c r="QG416"/>
      <c r="QH416"/>
      <c r="QI416"/>
      <c r="QJ416"/>
      <c r="QK416"/>
      <c r="QL416"/>
      <c r="QM416"/>
      <c r="QN416"/>
      <c r="QO416"/>
      <c r="QP416"/>
      <c r="QQ416"/>
      <c r="QR416"/>
      <c r="QS416"/>
      <c r="QT416"/>
      <c r="QU416"/>
      <c r="QV416"/>
      <c r="QW416"/>
      <c r="QX416"/>
      <c r="QY416"/>
      <c r="QZ416"/>
      <c r="RA416"/>
      <c r="RB416"/>
      <c r="RC416"/>
      <c r="RD416"/>
      <c r="RE416"/>
      <c r="RF416"/>
      <c r="RG416"/>
      <c r="RH416"/>
      <c r="RI416"/>
      <c r="RJ416"/>
      <c r="RK416"/>
      <c r="RL416"/>
      <c r="RM416"/>
      <c r="RN416"/>
      <c r="RO416"/>
      <c r="RP416"/>
      <c r="RQ416"/>
      <c r="RR416"/>
      <c r="RS416"/>
    </row>
    <row r="1020" spans="3:4" x14ac:dyDescent="0.25">
      <c r="C1020"/>
      <c r="D1020"/>
    </row>
    <row r="1021" spans="3:4" x14ac:dyDescent="0.25">
      <c r="C1021"/>
      <c r="D1021"/>
    </row>
    <row r="1022" spans="3:4" x14ac:dyDescent="0.25">
      <c r="C1022"/>
      <c r="D1022"/>
    </row>
    <row r="1023" spans="3:4" x14ac:dyDescent="0.25">
      <c r="C1023"/>
      <c r="D1023"/>
    </row>
    <row r="1024" spans="3:4" x14ac:dyDescent="0.25">
      <c r="C1024"/>
      <c r="D1024"/>
    </row>
    <row r="1025" spans="3:4" x14ac:dyDescent="0.25">
      <c r="C1025"/>
      <c r="D1025"/>
    </row>
    <row r="1026" spans="3:4" x14ac:dyDescent="0.25">
      <c r="C1026"/>
      <c r="D1026"/>
    </row>
    <row r="1027" spans="3:4" x14ac:dyDescent="0.25">
      <c r="C1027"/>
      <c r="D1027"/>
    </row>
    <row r="1028" spans="3:4" x14ac:dyDescent="0.25">
      <c r="C1028"/>
      <c r="D1028"/>
    </row>
    <row r="1029" spans="3:4" x14ac:dyDescent="0.25">
      <c r="C1029"/>
      <c r="D1029"/>
    </row>
    <row r="1030" spans="3:4" x14ac:dyDescent="0.25">
      <c r="C1030"/>
      <c r="D1030"/>
    </row>
    <row r="1031" spans="3:4" x14ac:dyDescent="0.25">
      <c r="C1031"/>
      <c r="D1031"/>
    </row>
    <row r="1032" spans="3:4" x14ac:dyDescent="0.25">
      <c r="C1032"/>
      <c r="D1032"/>
    </row>
    <row r="1033" spans="3:4" x14ac:dyDescent="0.25">
      <c r="C1033"/>
      <c r="D1033"/>
    </row>
    <row r="1034" spans="3:4" x14ac:dyDescent="0.25">
      <c r="C1034"/>
      <c r="D1034"/>
    </row>
    <row r="1035" spans="3:4" x14ac:dyDescent="0.25">
      <c r="C1035"/>
      <c r="D1035"/>
    </row>
    <row r="1036" spans="3:4" x14ac:dyDescent="0.25">
      <c r="C1036"/>
      <c r="D1036"/>
    </row>
    <row r="1037" spans="3:4" x14ac:dyDescent="0.25">
      <c r="C1037"/>
      <c r="D1037"/>
    </row>
    <row r="1038" spans="3:4" x14ac:dyDescent="0.25">
      <c r="C1038"/>
      <c r="D1038"/>
    </row>
    <row r="1039" spans="3:4" x14ac:dyDescent="0.25">
      <c r="C1039"/>
      <c r="D1039"/>
    </row>
    <row r="1040" spans="3:4" x14ac:dyDescent="0.25">
      <c r="C1040"/>
      <c r="D1040"/>
    </row>
    <row r="1041" spans="3:4" x14ac:dyDescent="0.25">
      <c r="C1041"/>
      <c r="D1041"/>
    </row>
    <row r="1042" spans="3:4" x14ac:dyDescent="0.25">
      <c r="C1042"/>
      <c r="D1042"/>
    </row>
    <row r="1043" spans="3:4" x14ac:dyDescent="0.25">
      <c r="C1043"/>
      <c r="D1043"/>
    </row>
    <row r="1044" spans="3:4" x14ac:dyDescent="0.25">
      <c r="C1044"/>
      <c r="D1044"/>
    </row>
    <row r="1045" spans="3:4" x14ac:dyDescent="0.25">
      <c r="C1045"/>
      <c r="D1045"/>
    </row>
    <row r="1046" spans="3:4" x14ac:dyDescent="0.25">
      <c r="C1046"/>
      <c r="D1046"/>
    </row>
    <row r="1047" spans="3:4" x14ac:dyDescent="0.25">
      <c r="C1047"/>
      <c r="D1047"/>
    </row>
    <row r="1048" spans="3:4" x14ac:dyDescent="0.25">
      <c r="C1048"/>
      <c r="D1048"/>
    </row>
    <row r="1049" spans="3:4" x14ac:dyDescent="0.25">
      <c r="C1049"/>
      <c r="D1049"/>
    </row>
    <row r="1050" spans="3:4" x14ac:dyDescent="0.25">
      <c r="C1050"/>
      <c r="D1050"/>
    </row>
    <row r="1051" spans="3:4" x14ac:dyDescent="0.25">
      <c r="C1051"/>
      <c r="D1051"/>
    </row>
    <row r="1052" spans="3:4" x14ac:dyDescent="0.25">
      <c r="C1052"/>
      <c r="D1052"/>
    </row>
    <row r="1053" spans="3:4" x14ac:dyDescent="0.25">
      <c r="C1053"/>
      <c r="D1053"/>
    </row>
    <row r="1054" spans="3:4" x14ac:dyDescent="0.25">
      <c r="C1054"/>
      <c r="D1054"/>
    </row>
    <row r="1055" spans="3:4" x14ac:dyDescent="0.25">
      <c r="C1055"/>
      <c r="D1055"/>
    </row>
    <row r="1056" spans="3:4" x14ac:dyDescent="0.25">
      <c r="C1056"/>
      <c r="D1056"/>
    </row>
    <row r="1057" spans="3:4" x14ac:dyDescent="0.25">
      <c r="C1057"/>
      <c r="D1057"/>
    </row>
    <row r="1058" spans="3:4" x14ac:dyDescent="0.25">
      <c r="C1058"/>
      <c r="D1058"/>
    </row>
    <row r="1059" spans="3:4" x14ac:dyDescent="0.25">
      <c r="C1059"/>
      <c r="D1059"/>
    </row>
    <row r="1060" spans="3:4" x14ac:dyDescent="0.25">
      <c r="C1060"/>
      <c r="D1060"/>
    </row>
    <row r="1061" spans="3:4" x14ac:dyDescent="0.25">
      <c r="C1061"/>
      <c r="D1061"/>
    </row>
    <row r="1062" spans="3:4" x14ac:dyDescent="0.25">
      <c r="C1062"/>
      <c r="D1062"/>
    </row>
    <row r="1063" spans="3:4" x14ac:dyDescent="0.25">
      <c r="C1063"/>
      <c r="D1063"/>
    </row>
    <row r="1064" spans="3:4" x14ac:dyDescent="0.25">
      <c r="C1064"/>
      <c r="D1064"/>
    </row>
    <row r="1065" spans="3:4" x14ac:dyDescent="0.25">
      <c r="C1065"/>
      <c r="D1065"/>
    </row>
    <row r="1066" spans="3:4" x14ac:dyDescent="0.25">
      <c r="C1066"/>
      <c r="D1066"/>
    </row>
    <row r="1067" spans="3:4" x14ac:dyDescent="0.25">
      <c r="C1067"/>
      <c r="D1067"/>
    </row>
    <row r="1068" spans="3:4" x14ac:dyDescent="0.25">
      <c r="C1068"/>
      <c r="D1068"/>
    </row>
    <row r="1069" spans="3:4" x14ac:dyDescent="0.25">
      <c r="C1069"/>
      <c r="D1069"/>
    </row>
    <row r="1070" spans="3:4" x14ac:dyDescent="0.25">
      <c r="C1070"/>
      <c r="D1070"/>
    </row>
    <row r="1071" spans="3:4" x14ac:dyDescent="0.25">
      <c r="C1071"/>
      <c r="D1071"/>
    </row>
    <row r="1072" spans="3:4" x14ac:dyDescent="0.25">
      <c r="C1072"/>
      <c r="D1072"/>
    </row>
    <row r="1073" spans="3:4" x14ac:dyDescent="0.25">
      <c r="C1073"/>
      <c r="D1073"/>
    </row>
    <row r="1074" spans="3:4" x14ac:dyDescent="0.25">
      <c r="C1074"/>
      <c r="D1074"/>
    </row>
    <row r="1075" spans="3:4" x14ac:dyDescent="0.25">
      <c r="C1075"/>
      <c r="D1075"/>
    </row>
    <row r="1076" spans="3:4" x14ac:dyDescent="0.25">
      <c r="C1076"/>
      <c r="D1076"/>
    </row>
    <row r="1077" spans="3:4" x14ac:dyDescent="0.25">
      <c r="C1077"/>
      <c r="D1077"/>
    </row>
    <row r="1078" spans="3:4" x14ac:dyDescent="0.25">
      <c r="C1078"/>
      <c r="D1078"/>
    </row>
    <row r="1079" spans="3:4" x14ac:dyDescent="0.25">
      <c r="C1079"/>
      <c r="D1079"/>
    </row>
    <row r="1080" spans="3:4" x14ac:dyDescent="0.25">
      <c r="C1080"/>
      <c r="D1080"/>
    </row>
    <row r="1081" spans="3:4" x14ac:dyDescent="0.25">
      <c r="C1081"/>
      <c r="D1081"/>
    </row>
    <row r="1082" spans="3:4" x14ac:dyDescent="0.25">
      <c r="C1082"/>
      <c r="D1082"/>
    </row>
    <row r="1083" spans="3:4" x14ac:dyDescent="0.25">
      <c r="C1083"/>
      <c r="D1083"/>
    </row>
    <row r="1084" spans="3:4" x14ac:dyDescent="0.25">
      <c r="C1084"/>
      <c r="D1084"/>
    </row>
    <row r="1085" spans="3:4" x14ac:dyDescent="0.25">
      <c r="C1085"/>
      <c r="D1085"/>
    </row>
    <row r="1086" spans="3:4" x14ac:dyDescent="0.25">
      <c r="C1086"/>
      <c r="D1086"/>
    </row>
    <row r="1087" spans="3:4" x14ac:dyDescent="0.25">
      <c r="C1087"/>
      <c r="D1087"/>
    </row>
    <row r="1088" spans="3:4" x14ac:dyDescent="0.25">
      <c r="C1088"/>
      <c r="D1088"/>
    </row>
    <row r="1089" spans="3:4" x14ac:dyDescent="0.25">
      <c r="C1089"/>
      <c r="D1089"/>
    </row>
    <row r="1090" spans="3:4" x14ac:dyDescent="0.25">
      <c r="C1090"/>
      <c r="D1090"/>
    </row>
    <row r="1091" spans="3:4" x14ac:dyDescent="0.25">
      <c r="C1091"/>
      <c r="D1091"/>
    </row>
    <row r="1092" spans="3:4" x14ac:dyDescent="0.25">
      <c r="C1092"/>
      <c r="D1092"/>
    </row>
    <row r="1093" spans="3:4" x14ac:dyDescent="0.25">
      <c r="C1093"/>
      <c r="D1093"/>
    </row>
    <row r="1094" spans="3:4" x14ac:dyDescent="0.25">
      <c r="C1094"/>
      <c r="D1094"/>
    </row>
    <row r="1095" spans="3:4" x14ac:dyDescent="0.25">
      <c r="C1095"/>
      <c r="D1095"/>
    </row>
    <row r="1096" spans="3:4" x14ac:dyDescent="0.25">
      <c r="C1096"/>
      <c r="D1096"/>
    </row>
    <row r="1097" spans="3:4" x14ac:dyDescent="0.25">
      <c r="C1097"/>
      <c r="D1097"/>
    </row>
    <row r="1098" spans="3:4" x14ac:dyDescent="0.25">
      <c r="C1098"/>
      <c r="D1098"/>
    </row>
    <row r="1099" spans="3:4" x14ac:dyDescent="0.25">
      <c r="C1099"/>
      <c r="D1099"/>
    </row>
    <row r="1100" spans="3:4" x14ac:dyDescent="0.25">
      <c r="C1100"/>
      <c r="D1100"/>
    </row>
    <row r="1101" spans="3:4" x14ac:dyDescent="0.25">
      <c r="C1101"/>
      <c r="D1101"/>
    </row>
    <row r="1102" spans="3:4" x14ac:dyDescent="0.25">
      <c r="C1102"/>
      <c r="D1102"/>
    </row>
    <row r="1103" spans="3:4" x14ac:dyDescent="0.25">
      <c r="C1103"/>
      <c r="D1103"/>
    </row>
    <row r="1104" spans="3:4" x14ac:dyDescent="0.25">
      <c r="C1104"/>
      <c r="D1104"/>
    </row>
    <row r="1105" spans="3:4" x14ac:dyDescent="0.25">
      <c r="C1105"/>
      <c r="D1105"/>
    </row>
    <row r="1106" spans="3:4" x14ac:dyDescent="0.25">
      <c r="C1106"/>
      <c r="D1106"/>
    </row>
    <row r="1107" spans="3:4" x14ac:dyDescent="0.25">
      <c r="C1107"/>
      <c r="D1107"/>
    </row>
    <row r="1108" spans="3:4" x14ac:dyDescent="0.25">
      <c r="C1108"/>
      <c r="D1108"/>
    </row>
    <row r="1109" spans="3:4" x14ac:dyDescent="0.25">
      <c r="C1109"/>
      <c r="D1109"/>
    </row>
    <row r="1110" spans="3:4" x14ac:dyDescent="0.25">
      <c r="C1110"/>
      <c r="D1110"/>
    </row>
    <row r="1111" spans="3:4" x14ac:dyDescent="0.25">
      <c r="C1111"/>
      <c r="D1111"/>
    </row>
    <row r="1112" spans="3:4" x14ac:dyDescent="0.25">
      <c r="C1112"/>
      <c r="D1112"/>
    </row>
    <row r="1113" spans="3:4" x14ac:dyDescent="0.25">
      <c r="C1113"/>
      <c r="D1113"/>
    </row>
    <row r="1114" spans="3:4" x14ac:dyDescent="0.25">
      <c r="C1114"/>
      <c r="D1114"/>
    </row>
    <row r="1115" spans="3:4" x14ac:dyDescent="0.25">
      <c r="C1115"/>
      <c r="D1115"/>
    </row>
    <row r="1116" spans="3:4" x14ac:dyDescent="0.25">
      <c r="C1116"/>
      <c r="D1116"/>
    </row>
    <row r="1117" spans="3:4" x14ac:dyDescent="0.25">
      <c r="C1117"/>
      <c r="D1117"/>
    </row>
    <row r="1118" spans="3:4" x14ac:dyDescent="0.25">
      <c r="C1118"/>
      <c r="D1118"/>
    </row>
    <row r="1119" spans="3:4" x14ac:dyDescent="0.25">
      <c r="C1119"/>
      <c r="D1119"/>
    </row>
    <row r="1120" spans="3:4" x14ac:dyDescent="0.25">
      <c r="C1120"/>
      <c r="D1120"/>
    </row>
    <row r="1121" spans="3:4" x14ac:dyDescent="0.25">
      <c r="C1121"/>
      <c r="D1121"/>
    </row>
    <row r="1122" spans="3:4" x14ac:dyDescent="0.25">
      <c r="C1122"/>
      <c r="D1122"/>
    </row>
    <row r="1123" spans="3:4" x14ac:dyDescent="0.25">
      <c r="C1123"/>
      <c r="D1123"/>
    </row>
    <row r="1124" spans="3:4" x14ac:dyDescent="0.25">
      <c r="C1124"/>
      <c r="D1124"/>
    </row>
    <row r="1125" spans="3:4" x14ac:dyDescent="0.25">
      <c r="C1125"/>
      <c r="D1125"/>
    </row>
    <row r="1126" spans="3:4" x14ac:dyDescent="0.25">
      <c r="C1126"/>
      <c r="D1126"/>
    </row>
    <row r="1127" spans="3:4" x14ac:dyDescent="0.25">
      <c r="C1127"/>
      <c r="D1127"/>
    </row>
    <row r="1128" spans="3:4" x14ac:dyDescent="0.25">
      <c r="C1128"/>
      <c r="D1128"/>
    </row>
    <row r="1129" spans="3:4" x14ac:dyDescent="0.25">
      <c r="C1129"/>
      <c r="D1129"/>
    </row>
    <row r="1130" spans="3:4" x14ac:dyDescent="0.25">
      <c r="C1130"/>
      <c r="D1130"/>
    </row>
    <row r="1131" spans="3:4" x14ac:dyDescent="0.25">
      <c r="C1131"/>
      <c r="D1131"/>
    </row>
    <row r="1132" spans="3:4" x14ac:dyDescent="0.25">
      <c r="C1132"/>
      <c r="D1132"/>
    </row>
    <row r="1133" spans="3:4" x14ac:dyDescent="0.25">
      <c r="C1133"/>
      <c r="D1133"/>
    </row>
    <row r="1134" spans="3:4" x14ac:dyDescent="0.25">
      <c r="C1134"/>
      <c r="D1134"/>
    </row>
    <row r="1135" spans="3:4" x14ac:dyDescent="0.25">
      <c r="C1135"/>
      <c r="D1135"/>
    </row>
    <row r="1136" spans="3:4" x14ac:dyDescent="0.25">
      <c r="C1136"/>
      <c r="D1136"/>
    </row>
    <row r="1137" spans="3:4" x14ac:dyDescent="0.25">
      <c r="C1137"/>
      <c r="D1137"/>
    </row>
    <row r="1138" spans="3:4" x14ac:dyDescent="0.25">
      <c r="C1138"/>
      <c r="D1138"/>
    </row>
    <row r="1139" spans="3:4" x14ac:dyDescent="0.25">
      <c r="C1139"/>
      <c r="D1139"/>
    </row>
    <row r="1140" spans="3:4" x14ac:dyDescent="0.25">
      <c r="C1140"/>
      <c r="D1140"/>
    </row>
    <row r="1141" spans="3:4" x14ac:dyDescent="0.25">
      <c r="C1141"/>
      <c r="D1141"/>
    </row>
    <row r="1142" spans="3:4" x14ac:dyDescent="0.25">
      <c r="C1142"/>
      <c r="D1142"/>
    </row>
    <row r="1143" spans="3:4" x14ac:dyDescent="0.25">
      <c r="C1143"/>
      <c r="D1143"/>
    </row>
    <row r="1144" spans="3:4" x14ac:dyDescent="0.25">
      <c r="C1144"/>
      <c r="D1144"/>
    </row>
    <row r="1145" spans="3:4" x14ac:dyDescent="0.25">
      <c r="C1145"/>
      <c r="D1145"/>
    </row>
    <row r="1146" spans="3:4" x14ac:dyDescent="0.25">
      <c r="C1146"/>
      <c r="D1146"/>
    </row>
    <row r="1147" spans="3:4" x14ac:dyDescent="0.25">
      <c r="C1147"/>
      <c r="D1147"/>
    </row>
    <row r="1148" spans="3:4" x14ac:dyDescent="0.25">
      <c r="C1148"/>
      <c r="D1148"/>
    </row>
    <row r="1149" spans="3:4" x14ac:dyDescent="0.25">
      <c r="C1149"/>
      <c r="D1149"/>
    </row>
    <row r="1150" spans="3:4" x14ac:dyDescent="0.25">
      <c r="C1150"/>
      <c r="D1150"/>
    </row>
    <row r="1151" spans="3:4" x14ac:dyDescent="0.25">
      <c r="C1151"/>
      <c r="D1151"/>
    </row>
    <row r="1152" spans="3:4" x14ac:dyDescent="0.25">
      <c r="C1152"/>
      <c r="D1152"/>
    </row>
    <row r="1153" spans="3:4" x14ac:dyDescent="0.25">
      <c r="C1153"/>
      <c r="D1153"/>
    </row>
    <row r="1154" spans="3:4" x14ac:dyDescent="0.25">
      <c r="C1154"/>
      <c r="D1154"/>
    </row>
    <row r="1155" spans="3:4" x14ac:dyDescent="0.25">
      <c r="C1155"/>
      <c r="D1155"/>
    </row>
    <row r="1156" spans="3:4" x14ac:dyDescent="0.25">
      <c r="C1156"/>
      <c r="D1156"/>
    </row>
    <row r="1157" spans="3:4" x14ac:dyDescent="0.25">
      <c r="C1157"/>
      <c r="D1157"/>
    </row>
    <row r="1158" spans="3:4" x14ac:dyDescent="0.25">
      <c r="C1158"/>
      <c r="D1158"/>
    </row>
    <row r="1159" spans="3:4" x14ac:dyDescent="0.25">
      <c r="C1159"/>
      <c r="D1159"/>
    </row>
    <row r="1160" spans="3:4" x14ac:dyDescent="0.25">
      <c r="C1160"/>
      <c r="D1160"/>
    </row>
    <row r="1161" spans="3:4" x14ac:dyDescent="0.25">
      <c r="C1161"/>
      <c r="D1161"/>
    </row>
    <row r="1162" spans="3:4" x14ac:dyDescent="0.25">
      <c r="C1162"/>
      <c r="D1162"/>
    </row>
    <row r="1163" spans="3:4" x14ac:dyDescent="0.25">
      <c r="C1163"/>
      <c r="D1163"/>
    </row>
    <row r="1164" spans="3:4" x14ac:dyDescent="0.25">
      <c r="C1164"/>
      <c r="D1164"/>
    </row>
    <row r="1165" spans="3:4" x14ac:dyDescent="0.25">
      <c r="C1165"/>
      <c r="D1165"/>
    </row>
    <row r="1166" spans="3:4" x14ac:dyDescent="0.25">
      <c r="C1166"/>
      <c r="D1166"/>
    </row>
    <row r="1167" spans="3:4" x14ac:dyDescent="0.25">
      <c r="C1167"/>
      <c r="D1167"/>
    </row>
    <row r="1168" spans="3:4" x14ac:dyDescent="0.25">
      <c r="C1168"/>
      <c r="D1168"/>
    </row>
    <row r="1169" spans="3:4" x14ac:dyDescent="0.25">
      <c r="C1169"/>
      <c r="D1169"/>
    </row>
    <row r="1170" spans="3:4" x14ac:dyDescent="0.25">
      <c r="C1170"/>
      <c r="D1170"/>
    </row>
    <row r="1171" spans="3:4" x14ac:dyDescent="0.25">
      <c r="C1171"/>
      <c r="D1171"/>
    </row>
    <row r="1172" spans="3:4" x14ac:dyDescent="0.25">
      <c r="C1172"/>
      <c r="D1172"/>
    </row>
    <row r="1173" spans="3:4" x14ac:dyDescent="0.25">
      <c r="C1173"/>
      <c r="D1173"/>
    </row>
    <row r="1174" spans="3:4" x14ac:dyDescent="0.25">
      <c r="C1174"/>
      <c r="D1174"/>
    </row>
    <row r="1175" spans="3:4" x14ac:dyDescent="0.25">
      <c r="C1175"/>
      <c r="D1175"/>
    </row>
    <row r="1176" spans="3:4" x14ac:dyDescent="0.25">
      <c r="C1176"/>
      <c r="D1176"/>
    </row>
    <row r="1177" spans="3:4" x14ac:dyDescent="0.25">
      <c r="C1177"/>
      <c r="D1177"/>
    </row>
    <row r="1178" spans="3:4" x14ac:dyDescent="0.25">
      <c r="C1178"/>
      <c r="D1178"/>
    </row>
    <row r="1179" spans="3:4" x14ac:dyDescent="0.25">
      <c r="C1179"/>
      <c r="D1179"/>
    </row>
    <row r="1180" spans="3:4" x14ac:dyDescent="0.25">
      <c r="C1180"/>
      <c r="D1180"/>
    </row>
    <row r="1181" spans="3:4" x14ac:dyDescent="0.25">
      <c r="C1181"/>
      <c r="D1181"/>
    </row>
    <row r="1182" spans="3:4" x14ac:dyDescent="0.25">
      <c r="C1182"/>
      <c r="D1182"/>
    </row>
    <row r="1183" spans="3:4" x14ac:dyDescent="0.25">
      <c r="C1183"/>
      <c r="D1183"/>
    </row>
    <row r="1184" spans="3:4" x14ac:dyDescent="0.25">
      <c r="C1184"/>
      <c r="D1184"/>
    </row>
    <row r="1185" spans="3:4" x14ac:dyDescent="0.25">
      <c r="C1185"/>
      <c r="D1185"/>
    </row>
    <row r="1186" spans="3:4" x14ac:dyDescent="0.25">
      <c r="C1186"/>
      <c r="D1186"/>
    </row>
    <row r="1187" spans="3:4" x14ac:dyDescent="0.25">
      <c r="C1187"/>
      <c r="D1187"/>
    </row>
    <row r="1188" spans="3:4" x14ac:dyDescent="0.25">
      <c r="C1188"/>
      <c r="D1188"/>
    </row>
    <row r="1189" spans="3:4" x14ac:dyDescent="0.25">
      <c r="C1189"/>
      <c r="D1189"/>
    </row>
    <row r="1190" spans="3:4" x14ac:dyDescent="0.25">
      <c r="C1190"/>
      <c r="D1190"/>
    </row>
    <row r="1191" spans="3:4" x14ac:dyDescent="0.25">
      <c r="C1191"/>
      <c r="D1191"/>
    </row>
    <row r="1192" spans="3:4" x14ac:dyDescent="0.25">
      <c r="C1192"/>
      <c r="D1192"/>
    </row>
    <row r="1193" spans="3:4" x14ac:dyDescent="0.25">
      <c r="C1193"/>
      <c r="D1193"/>
    </row>
    <row r="1194" spans="3:4" x14ac:dyDescent="0.25">
      <c r="C1194"/>
      <c r="D1194"/>
    </row>
    <row r="1195" spans="3:4" x14ac:dyDescent="0.25">
      <c r="C1195"/>
      <c r="D1195"/>
    </row>
    <row r="1196" spans="3:4" x14ac:dyDescent="0.25">
      <c r="C1196"/>
      <c r="D1196"/>
    </row>
    <row r="1197" spans="3:4" x14ac:dyDescent="0.25">
      <c r="C1197"/>
      <c r="D1197"/>
    </row>
    <row r="1198" spans="3:4" x14ac:dyDescent="0.25">
      <c r="C1198"/>
      <c r="D1198"/>
    </row>
    <row r="1199" spans="3:4" x14ac:dyDescent="0.25">
      <c r="C1199"/>
      <c r="D1199"/>
    </row>
    <row r="1200" spans="3:4" x14ac:dyDescent="0.25">
      <c r="C1200"/>
      <c r="D1200"/>
    </row>
    <row r="1201" spans="3:4" x14ac:dyDescent="0.25">
      <c r="C1201"/>
      <c r="D1201"/>
    </row>
    <row r="1202" spans="3:4" x14ac:dyDescent="0.25">
      <c r="C1202"/>
      <c r="D1202"/>
    </row>
    <row r="1203" spans="3:4" x14ac:dyDescent="0.25">
      <c r="C1203"/>
      <c r="D1203"/>
    </row>
    <row r="1204" spans="3:4" x14ac:dyDescent="0.25">
      <c r="C1204"/>
      <c r="D1204"/>
    </row>
    <row r="1205" spans="3:4" x14ac:dyDescent="0.25">
      <c r="C1205"/>
      <c r="D1205"/>
    </row>
    <row r="1206" spans="3:4" x14ac:dyDescent="0.25">
      <c r="C1206"/>
      <c r="D1206"/>
    </row>
    <row r="1207" spans="3:4" x14ac:dyDescent="0.25">
      <c r="C1207"/>
      <c r="D1207"/>
    </row>
    <row r="1208" spans="3:4" x14ac:dyDescent="0.25">
      <c r="C1208"/>
      <c r="D1208"/>
    </row>
    <row r="1209" spans="3:4" x14ac:dyDescent="0.25">
      <c r="C1209"/>
      <c r="D1209"/>
    </row>
    <row r="1210" spans="3:4" x14ac:dyDescent="0.25">
      <c r="C1210"/>
      <c r="D1210"/>
    </row>
    <row r="1211" spans="3:4" x14ac:dyDescent="0.25">
      <c r="C1211"/>
      <c r="D1211"/>
    </row>
    <row r="1212" spans="3:4" x14ac:dyDescent="0.25">
      <c r="C1212"/>
      <c r="D1212"/>
    </row>
    <row r="1213" spans="3:4" x14ac:dyDescent="0.25">
      <c r="C1213"/>
      <c r="D1213"/>
    </row>
    <row r="1214" spans="3:4" x14ac:dyDescent="0.25">
      <c r="C1214"/>
      <c r="D1214"/>
    </row>
    <row r="1215" spans="3:4" x14ac:dyDescent="0.25">
      <c r="C1215"/>
      <c r="D1215"/>
    </row>
    <row r="1216" spans="3:4" x14ac:dyDescent="0.25">
      <c r="C1216"/>
      <c r="D1216"/>
    </row>
    <row r="1217" spans="3:4" x14ac:dyDescent="0.25">
      <c r="C1217"/>
      <c r="D1217"/>
    </row>
    <row r="1218" spans="3:4" x14ac:dyDescent="0.25">
      <c r="C1218"/>
      <c r="D1218"/>
    </row>
    <row r="1219" spans="3:4" x14ac:dyDescent="0.25">
      <c r="C1219"/>
      <c r="D1219"/>
    </row>
    <row r="1220" spans="3:4" x14ac:dyDescent="0.25">
      <c r="C1220"/>
      <c r="D1220"/>
    </row>
    <row r="1221" spans="3:4" x14ac:dyDescent="0.25">
      <c r="C1221"/>
      <c r="D1221"/>
    </row>
    <row r="1222" spans="3:4" x14ac:dyDescent="0.25">
      <c r="C1222"/>
      <c r="D1222"/>
    </row>
    <row r="1223" spans="3:4" x14ac:dyDescent="0.25">
      <c r="C1223"/>
      <c r="D1223"/>
    </row>
    <row r="1224" spans="3:4" x14ac:dyDescent="0.25">
      <c r="C1224"/>
      <c r="D1224"/>
    </row>
    <row r="1225" spans="3:4" x14ac:dyDescent="0.25">
      <c r="C1225"/>
      <c r="D1225"/>
    </row>
    <row r="1226" spans="3:4" x14ac:dyDescent="0.25">
      <c r="C1226"/>
      <c r="D1226"/>
    </row>
    <row r="1227" spans="3:4" x14ac:dyDescent="0.25">
      <c r="C1227"/>
      <c r="D1227"/>
    </row>
    <row r="1228" spans="3:4" x14ac:dyDescent="0.25">
      <c r="C1228"/>
      <c r="D1228"/>
    </row>
    <row r="1229" spans="3:4" x14ac:dyDescent="0.25">
      <c r="C1229"/>
      <c r="D1229"/>
    </row>
    <row r="1230" spans="3:4" x14ac:dyDescent="0.25">
      <c r="C1230"/>
      <c r="D1230"/>
    </row>
    <row r="1231" spans="3:4" x14ac:dyDescent="0.25">
      <c r="C1231"/>
      <c r="D1231"/>
    </row>
    <row r="1232" spans="3:4" x14ac:dyDescent="0.25">
      <c r="C1232"/>
      <c r="D1232"/>
    </row>
    <row r="1233" spans="3:4" x14ac:dyDescent="0.25">
      <c r="C1233"/>
      <c r="D1233"/>
    </row>
    <row r="1234" spans="3:4" x14ac:dyDescent="0.25">
      <c r="C1234"/>
      <c r="D1234"/>
    </row>
    <row r="1235" spans="3:4" x14ac:dyDescent="0.25">
      <c r="C1235"/>
      <c r="D1235"/>
    </row>
    <row r="1236" spans="3:4" x14ac:dyDescent="0.25">
      <c r="C1236"/>
      <c r="D1236"/>
    </row>
    <row r="1237" spans="3:4" x14ac:dyDescent="0.25">
      <c r="C1237"/>
      <c r="D1237"/>
    </row>
    <row r="1238" spans="3:4" x14ac:dyDescent="0.25">
      <c r="C1238"/>
      <c r="D1238"/>
    </row>
    <row r="1239" spans="3:4" x14ac:dyDescent="0.25">
      <c r="C1239"/>
      <c r="D1239"/>
    </row>
    <row r="1240" spans="3:4" x14ac:dyDescent="0.25">
      <c r="C1240"/>
      <c r="D1240"/>
    </row>
    <row r="1241" spans="3:4" x14ac:dyDescent="0.25">
      <c r="C1241"/>
      <c r="D1241"/>
    </row>
    <row r="1242" spans="3:4" x14ac:dyDescent="0.25">
      <c r="C1242"/>
      <c r="D1242"/>
    </row>
    <row r="1243" spans="3:4" x14ac:dyDescent="0.25">
      <c r="C1243"/>
      <c r="D1243"/>
    </row>
    <row r="1244" spans="3:4" x14ac:dyDescent="0.25">
      <c r="C1244"/>
      <c r="D1244"/>
    </row>
    <row r="1245" spans="3:4" x14ac:dyDescent="0.25">
      <c r="C1245"/>
      <c r="D1245"/>
    </row>
    <row r="1246" spans="3:4" x14ac:dyDescent="0.25">
      <c r="C1246"/>
      <c r="D1246"/>
    </row>
    <row r="1247" spans="3:4" x14ac:dyDescent="0.25">
      <c r="C1247"/>
      <c r="D1247"/>
    </row>
    <row r="1248" spans="3:4" x14ac:dyDescent="0.25">
      <c r="C1248"/>
      <c r="D1248"/>
    </row>
    <row r="1249" spans="3:4" x14ac:dyDescent="0.25">
      <c r="C1249"/>
      <c r="D1249"/>
    </row>
    <row r="1250" spans="3:4" x14ac:dyDescent="0.25">
      <c r="C1250"/>
      <c r="D1250"/>
    </row>
    <row r="1251" spans="3:4" x14ac:dyDescent="0.25">
      <c r="C1251"/>
      <c r="D1251"/>
    </row>
    <row r="1252" spans="3:4" x14ac:dyDescent="0.25">
      <c r="C1252"/>
      <c r="D1252"/>
    </row>
    <row r="1253" spans="3:4" x14ac:dyDescent="0.25">
      <c r="C1253"/>
      <c r="D1253"/>
    </row>
    <row r="1254" spans="3:4" x14ac:dyDescent="0.25">
      <c r="C1254"/>
      <c r="D1254"/>
    </row>
    <row r="1255" spans="3:4" x14ac:dyDescent="0.25">
      <c r="C1255"/>
      <c r="D1255"/>
    </row>
    <row r="1256" spans="3:4" x14ac:dyDescent="0.25">
      <c r="C1256"/>
      <c r="D1256"/>
    </row>
    <row r="1257" spans="3:4" x14ac:dyDescent="0.25">
      <c r="C1257"/>
      <c r="D1257"/>
    </row>
    <row r="1258" spans="3:4" x14ac:dyDescent="0.25">
      <c r="C1258"/>
      <c r="D1258"/>
    </row>
    <row r="1259" spans="3:4" x14ac:dyDescent="0.25">
      <c r="C1259"/>
      <c r="D1259"/>
    </row>
    <row r="1260" spans="3:4" x14ac:dyDescent="0.25">
      <c r="C1260"/>
      <c r="D1260"/>
    </row>
    <row r="1261" spans="3:4" x14ac:dyDescent="0.25">
      <c r="C1261"/>
      <c r="D1261"/>
    </row>
    <row r="1262" spans="3:4" x14ac:dyDescent="0.25">
      <c r="C1262"/>
      <c r="D1262"/>
    </row>
    <row r="1263" spans="3:4" x14ac:dyDescent="0.25">
      <c r="C1263"/>
      <c r="D1263"/>
    </row>
    <row r="1264" spans="3:4" x14ac:dyDescent="0.25">
      <c r="C1264"/>
      <c r="D1264"/>
    </row>
    <row r="1265" spans="3:4" x14ac:dyDescent="0.25">
      <c r="C1265"/>
      <c r="D1265"/>
    </row>
    <row r="1266" spans="3:4" x14ac:dyDescent="0.25">
      <c r="C1266"/>
      <c r="D1266"/>
    </row>
    <row r="1267" spans="3:4" x14ac:dyDescent="0.25">
      <c r="C1267"/>
      <c r="D1267"/>
    </row>
    <row r="1268" spans="3:4" x14ac:dyDescent="0.25">
      <c r="C1268"/>
      <c r="D1268"/>
    </row>
    <row r="1269" spans="3:4" x14ac:dyDescent="0.25">
      <c r="C1269"/>
      <c r="D1269"/>
    </row>
    <row r="1270" spans="3:4" x14ac:dyDescent="0.25">
      <c r="C1270"/>
      <c r="D1270"/>
    </row>
    <row r="1271" spans="3:4" x14ac:dyDescent="0.25">
      <c r="C1271"/>
      <c r="D1271"/>
    </row>
    <row r="1272" spans="3:4" x14ac:dyDescent="0.25">
      <c r="C1272"/>
      <c r="D1272"/>
    </row>
    <row r="1273" spans="3:4" x14ac:dyDescent="0.25">
      <c r="C1273"/>
      <c r="D1273"/>
    </row>
    <row r="1274" spans="3:4" x14ac:dyDescent="0.25">
      <c r="C1274"/>
      <c r="D1274"/>
    </row>
    <row r="1275" spans="3:4" x14ac:dyDescent="0.25">
      <c r="C1275"/>
      <c r="D1275"/>
    </row>
    <row r="1276" spans="3:4" x14ac:dyDescent="0.25">
      <c r="C1276"/>
      <c r="D1276"/>
    </row>
    <row r="1277" spans="3:4" x14ac:dyDescent="0.25">
      <c r="C1277"/>
      <c r="D1277"/>
    </row>
    <row r="1278" spans="3:4" x14ac:dyDescent="0.25">
      <c r="C1278"/>
      <c r="D1278"/>
    </row>
    <row r="1279" spans="3:4" x14ac:dyDescent="0.25">
      <c r="C1279"/>
      <c r="D1279"/>
    </row>
    <row r="1280" spans="3:4" x14ac:dyDescent="0.25">
      <c r="C1280"/>
      <c r="D1280"/>
    </row>
    <row r="1281" spans="3:4" x14ac:dyDescent="0.25">
      <c r="C1281"/>
      <c r="D1281"/>
    </row>
    <row r="1282" spans="3:4" x14ac:dyDescent="0.25">
      <c r="C1282"/>
      <c r="D1282"/>
    </row>
    <row r="1283" spans="3:4" x14ac:dyDescent="0.25">
      <c r="C1283"/>
      <c r="D1283"/>
    </row>
    <row r="1284" spans="3:4" x14ac:dyDescent="0.25">
      <c r="C1284"/>
      <c r="D1284"/>
    </row>
    <row r="1285" spans="3:4" x14ac:dyDescent="0.25">
      <c r="C1285"/>
      <c r="D1285"/>
    </row>
    <row r="1286" spans="3:4" x14ac:dyDescent="0.25">
      <c r="C1286"/>
      <c r="D1286"/>
    </row>
    <row r="1287" spans="3:4" x14ac:dyDescent="0.25">
      <c r="C1287"/>
      <c r="D1287"/>
    </row>
    <row r="1288" spans="3:4" x14ac:dyDescent="0.25">
      <c r="C1288"/>
      <c r="D1288"/>
    </row>
    <row r="1289" spans="3:4" x14ac:dyDescent="0.25">
      <c r="C1289"/>
      <c r="D1289"/>
    </row>
    <row r="1290" spans="3:4" x14ac:dyDescent="0.25">
      <c r="C1290"/>
      <c r="D1290"/>
    </row>
    <row r="1291" spans="3:4" x14ac:dyDescent="0.25">
      <c r="C1291"/>
      <c r="D1291"/>
    </row>
    <row r="1292" spans="3:4" x14ac:dyDescent="0.25">
      <c r="C1292"/>
      <c r="D1292"/>
    </row>
    <row r="1293" spans="3:4" x14ac:dyDescent="0.25">
      <c r="C1293"/>
      <c r="D1293"/>
    </row>
    <row r="1294" spans="3:4" x14ac:dyDescent="0.25">
      <c r="C1294"/>
      <c r="D1294"/>
    </row>
    <row r="1295" spans="3:4" x14ac:dyDescent="0.25">
      <c r="C1295"/>
      <c r="D1295"/>
    </row>
    <row r="1296" spans="3:4" x14ac:dyDescent="0.25">
      <c r="C1296"/>
      <c r="D1296"/>
    </row>
    <row r="1297" spans="3:4" x14ac:dyDescent="0.25">
      <c r="C1297"/>
      <c r="D1297"/>
    </row>
    <row r="1298" spans="3:4" x14ac:dyDescent="0.25">
      <c r="C1298"/>
      <c r="D1298"/>
    </row>
    <row r="1299" spans="3:4" x14ac:dyDescent="0.25">
      <c r="C1299"/>
      <c r="D1299"/>
    </row>
    <row r="1300" spans="3:4" x14ac:dyDescent="0.25">
      <c r="C1300"/>
      <c r="D1300"/>
    </row>
    <row r="1301" spans="3:4" x14ac:dyDescent="0.25">
      <c r="C1301"/>
      <c r="D1301"/>
    </row>
    <row r="1302" spans="3:4" x14ac:dyDescent="0.25">
      <c r="C1302"/>
      <c r="D1302"/>
    </row>
    <row r="1303" spans="3:4" x14ac:dyDescent="0.25">
      <c r="C1303"/>
      <c r="D1303"/>
    </row>
    <row r="1304" spans="3:4" x14ac:dyDescent="0.25">
      <c r="C1304"/>
      <c r="D1304"/>
    </row>
    <row r="1305" spans="3:4" x14ac:dyDescent="0.25">
      <c r="C1305"/>
      <c r="D1305"/>
    </row>
    <row r="1306" spans="3:4" x14ac:dyDescent="0.25">
      <c r="C1306"/>
      <c r="D1306"/>
    </row>
    <row r="1307" spans="3:4" x14ac:dyDescent="0.25">
      <c r="C1307"/>
      <c r="D1307"/>
    </row>
    <row r="1308" spans="3:4" x14ac:dyDescent="0.25">
      <c r="C1308"/>
      <c r="D1308"/>
    </row>
    <row r="1309" spans="3:4" x14ac:dyDescent="0.25">
      <c r="C1309"/>
      <c r="D1309"/>
    </row>
    <row r="1310" spans="3:4" x14ac:dyDescent="0.25">
      <c r="C1310"/>
      <c r="D1310"/>
    </row>
    <row r="1311" spans="3:4" x14ac:dyDescent="0.25">
      <c r="C1311"/>
      <c r="D1311"/>
    </row>
    <row r="1312" spans="3:4" x14ac:dyDescent="0.25">
      <c r="C1312"/>
      <c r="D1312"/>
    </row>
    <row r="1313" spans="3:4" x14ac:dyDescent="0.25">
      <c r="C1313"/>
      <c r="D1313"/>
    </row>
    <row r="1314" spans="3:4" x14ac:dyDescent="0.25">
      <c r="C1314"/>
      <c r="D1314"/>
    </row>
    <row r="1315" spans="3:4" x14ac:dyDescent="0.25">
      <c r="C1315"/>
      <c r="D1315"/>
    </row>
    <row r="1316" spans="3:4" x14ac:dyDescent="0.25">
      <c r="C1316"/>
      <c r="D1316"/>
    </row>
    <row r="1317" spans="3:4" x14ac:dyDescent="0.25">
      <c r="C1317"/>
      <c r="D1317"/>
    </row>
    <row r="1318" spans="3:4" x14ac:dyDescent="0.25">
      <c r="C1318"/>
      <c r="D1318"/>
    </row>
    <row r="1319" spans="3:4" x14ac:dyDescent="0.25">
      <c r="C1319"/>
      <c r="D1319"/>
    </row>
    <row r="1320" spans="3:4" x14ac:dyDescent="0.25">
      <c r="C1320"/>
      <c r="D1320"/>
    </row>
    <row r="1321" spans="3:4" x14ac:dyDescent="0.25">
      <c r="C1321"/>
      <c r="D1321"/>
    </row>
    <row r="1322" spans="3:4" x14ac:dyDescent="0.25">
      <c r="C1322"/>
      <c r="D1322"/>
    </row>
    <row r="1323" spans="3:4" x14ac:dyDescent="0.25">
      <c r="C1323"/>
      <c r="D1323"/>
    </row>
    <row r="1324" spans="3:4" x14ac:dyDescent="0.25">
      <c r="C1324"/>
      <c r="D1324"/>
    </row>
    <row r="1325" spans="3:4" x14ac:dyDescent="0.25">
      <c r="C1325"/>
      <c r="D1325"/>
    </row>
    <row r="1326" spans="3:4" x14ac:dyDescent="0.25">
      <c r="C1326"/>
      <c r="D1326"/>
    </row>
    <row r="1327" spans="3:4" x14ac:dyDescent="0.25">
      <c r="C1327"/>
      <c r="D1327"/>
    </row>
    <row r="1328" spans="3:4" x14ac:dyDescent="0.25">
      <c r="C1328"/>
      <c r="D1328"/>
    </row>
    <row r="1329" spans="3:4" x14ac:dyDescent="0.25">
      <c r="C1329"/>
      <c r="D1329"/>
    </row>
    <row r="1330" spans="3:4" x14ac:dyDescent="0.25">
      <c r="C1330"/>
      <c r="D1330"/>
    </row>
    <row r="1331" spans="3:4" x14ac:dyDescent="0.25">
      <c r="C1331"/>
      <c r="D1331"/>
    </row>
    <row r="1332" spans="3:4" x14ac:dyDescent="0.25">
      <c r="C1332"/>
      <c r="D1332"/>
    </row>
    <row r="1333" spans="3:4" x14ac:dyDescent="0.25">
      <c r="C1333"/>
      <c r="D1333"/>
    </row>
    <row r="1334" spans="3:4" x14ac:dyDescent="0.25">
      <c r="C1334"/>
      <c r="D1334"/>
    </row>
    <row r="1335" spans="3:4" x14ac:dyDescent="0.25">
      <c r="C1335"/>
      <c r="D1335"/>
    </row>
    <row r="1336" spans="3:4" x14ac:dyDescent="0.25">
      <c r="C1336"/>
      <c r="D1336"/>
    </row>
    <row r="1337" spans="3:4" x14ac:dyDescent="0.25">
      <c r="C1337"/>
      <c r="D1337"/>
    </row>
    <row r="1338" spans="3:4" x14ac:dyDescent="0.25">
      <c r="C1338"/>
      <c r="D1338"/>
    </row>
    <row r="1339" spans="3:4" x14ac:dyDescent="0.25">
      <c r="C1339"/>
      <c r="D1339"/>
    </row>
    <row r="1340" spans="3:4" x14ac:dyDescent="0.25">
      <c r="C1340"/>
      <c r="D1340"/>
    </row>
    <row r="1341" spans="3:4" x14ac:dyDescent="0.25">
      <c r="C1341"/>
      <c r="D1341"/>
    </row>
    <row r="1342" spans="3:4" x14ac:dyDescent="0.25">
      <c r="C1342"/>
      <c r="D1342"/>
    </row>
    <row r="1343" spans="3:4" x14ac:dyDescent="0.25">
      <c r="C1343"/>
      <c r="D1343"/>
    </row>
    <row r="1344" spans="3:4" x14ac:dyDescent="0.25">
      <c r="C1344"/>
      <c r="D1344"/>
    </row>
    <row r="1345" spans="3:4" x14ac:dyDescent="0.25">
      <c r="C1345"/>
      <c r="D1345"/>
    </row>
    <row r="1346" spans="3:4" x14ac:dyDescent="0.25">
      <c r="C1346"/>
      <c r="D1346"/>
    </row>
    <row r="1347" spans="3:4" x14ac:dyDescent="0.25">
      <c r="C1347"/>
      <c r="D1347"/>
    </row>
    <row r="1348" spans="3:4" x14ac:dyDescent="0.25">
      <c r="C1348"/>
      <c r="D1348"/>
    </row>
    <row r="1349" spans="3:4" x14ac:dyDescent="0.25">
      <c r="C1349"/>
      <c r="D1349"/>
    </row>
    <row r="1350" spans="3:4" x14ac:dyDescent="0.25">
      <c r="C1350"/>
      <c r="D1350"/>
    </row>
    <row r="1351" spans="3:4" x14ac:dyDescent="0.25">
      <c r="C1351"/>
      <c r="D1351"/>
    </row>
    <row r="1352" spans="3:4" x14ac:dyDescent="0.25">
      <c r="C1352"/>
      <c r="D1352"/>
    </row>
    <row r="1353" spans="3:4" x14ac:dyDescent="0.25">
      <c r="C1353"/>
      <c r="D1353"/>
    </row>
    <row r="1354" spans="3:4" x14ac:dyDescent="0.25">
      <c r="C1354"/>
      <c r="D1354"/>
    </row>
    <row r="1355" spans="3:4" x14ac:dyDescent="0.25">
      <c r="C1355"/>
      <c r="D1355"/>
    </row>
    <row r="1356" spans="3:4" x14ac:dyDescent="0.25">
      <c r="C1356"/>
      <c r="D1356"/>
    </row>
    <row r="1357" spans="3:4" x14ac:dyDescent="0.25">
      <c r="C1357"/>
      <c r="D1357"/>
    </row>
    <row r="1358" spans="3:4" x14ac:dyDescent="0.25">
      <c r="C1358"/>
      <c r="D1358"/>
    </row>
    <row r="1359" spans="3:4" x14ac:dyDescent="0.25">
      <c r="C1359"/>
      <c r="D1359"/>
    </row>
    <row r="1360" spans="3:4" x14ac:dyDescent="0.25">
      <c r="C1360"/>
      <c r="D1360"/>
    </row>
    <row r="1361" spans="3:4" x14ac:dyDescent="0.25">
      <c r="C1361"/>
      <c r="D1361"/>
    </row>
    <row r="1362" spans="3:4" x14ac:dyDescent="0.25">
      <c r="C1362"/>
      <c r="D1362"/>
    </row>
  </sheetData>
  <pageMargins left="0.7" right="0.7" top="0.75" bottom="0.75" header="0.3" footer="0.3"/>
  <drawing r:id="rId5"/>
  <extLst>
    <ext xmlns:x15="http://schemas.microsoft.com/office/spreadsheetml/2010/11/main" uri="{7E03D99C-DC04-49d9-9315-930204A7B6E9}">
      <x15:timelineRefs>
        <x15:timelineRef r:id="rId6"/>
      </x15:timelineRef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42"/>
  <sheetViews>
    <sheetView topLeftCell="A10" workbookViewId="0">
      <selection activeCell="C43" sqref="C43"/>
    </sheetView>
  </sheetViews>
  <sheetFormatPr defaultRowHeight="15" x14ac:dyDescent="0.25"/>
  <cols>
    <col min="1" max="1" width="19.5703125" bestFit="1" customWidth="1"/>
    <col min="2" max="2" width="10.140625" bestFit="1" customWidth="1"/>
    <col min="3" max="3" width="22.5703125" bestFit="1" customWidth="1"/>
  </cols>
  <sheetData>
    <row r="1" spans="1:3" x14ac:dyDescent="0.25">
      <c r="A1" t="s">
        <v>1321</v>
      </c>
      <c r="B1" t="s">
        <v>1322</v>
      </c>
      <c r="C1" t="s">
        <v>1323</v>
      </c>
    </row>
    <row r="2" spans="1:3" x14ac:dyDescent="0.25">
      <c r="A2">
        <v>29076</v>
      </c>
      <c r="B2" t="s">
        <v>1324</v>
      </c>
      <c r="C2" s="8" t="s">
        <v>1325</v>
      </c>
    </row>
    <row r="3" spans="1:3" x14ac:dyDescent="0.25">
      <c r="A3">
        <v>35348</v>
      </c>
      <c r="B3" t="s">
        <v>1326</v>
      </c>
      <c r="C3" s="8" t="s">
        <v>1327</v>
      </c>
    </row>
    <row r="4" spans="1:3" x14ac:dyDescent="0.25">
      <c r="A4">
        <v>10170</v>
      </c>
      <c r="B4" t="s">
        <v>1328</v>
      </c>
      <c r="C4" s="8" t="s">
        <v>1329</v>
      </c>
    </row>
    <row r="5" spans="1:3" x14ac:dyDescent="0.25">
      <c r="A5">
        <v>5579</v>
      </c>
      <c r="B5" t="s">
        <v>1330</v>
      </c>
      <c r="C5" s="8" t="s">
        <v>1331</v>
      </c>
    </row>
    <row r="6" spans="1:3" x14ac:dyDescent="0.25">
      <c r="A6">
        <v>4597</v>
      </c>
      <c r="B6" t="s">
        <v>1332</v>
      </c>
      <c r="C6" s="8" t="s">
        <v>1333</v>
      </c>
    </row>
    <row r="7" spans="1:3" x14ac:dyDescent="0.25">
      <c r="A7">
        <v>26268</v>
      </c>
      <c r="B7" t="s">
        <v>1334</v>
      </c>
      <c r="C7" s="8" t="s">
        <v>1335</v>
      </c>
    </row>
    <row r="8" spans="1:3" x14ac:dyDescent="0.25">
      <c r="A8">
        <v>23897</v>
      </c>
      <c r="B8" t="s">
        <v>1336</v>
      </c>
      <c r="C8" s="8" t="s">
        <v>1337</v>
      </c>
    </row>
    <row r="9" spans="1:3" x14ac:dyDescent="0.25">
      <c r="A9">
        <v>30456</v>
      </c>
      <c r="B9" t="s">
        <v>1338</v>
      </c>
      <c r="C9" s="8" t="s">
        <v>1339</v>
      </c>
    </row>
    <row r="10" spans="1:3" x14ac:dyDescent="0.25">
      <c r="A10">
        <v>7839</v>
      </c>
      <c r="B10" t="s">
        <v>1330</v>
      </c>
      <c r="C10" s="8" t="s">
        <v>1340</v>
      </c>
    </row>
    <row r="11" spans="1:3" x14ac:dyDescent="0.25">
      <c r="A11">
        <v>28740</v>
      </c>
      <c r="B11" t="s">
        <v>1341</v>
      </c>
      <c r="C11" s="8" t="s">
        <v>1342</v>
      </c>
    </row>
    <row r="12" spans="1:3" x14ac:dyDescent="0.25">
      <c r="A12">
        <v>32219</v>
      </c>
      <c r="B12" t="s">
        <v>1343</v>
      </c>
      <c r="C12" s="8" t="s">
        <v>1344</v>
      </c>
    </row>
    <row r="13" spans="1:3" x14ac:dyDescent="0.25">
      <c r="A13">
        <v>33531</v>
      </c>
      <c r="B13" t="s">
        <v>1345</v>
      </c>
      <c r="C13" s="8" t="s">
        <v>1346</v>
      </c>
    </row>
    <row r="14" spans="1:3" x14ac:dyDescent="0.25">
      <c r="A14">
        <v>10072</v>
      </c>
      <c r="B14" t="s">
        <v>1347</v>
      </c>
      <c r="C14" s="8" t="s">
        <v>1348</v>
      </c>
    </row>
    <row r="15" spans="1:3" x14ac:dyDescent="0.25">
      <c r="A15">
        <v>33429</v>
      </c>
      <c r="B15" t="s">
        <v>1349</v>
      </c>
      <c r="C15" s="8" t="s">
        <v>1350</v>
      </c>
    </row>
    <row r="16" spans="1:3" x14ac:dyDescent="0.25">
      <c r="A16">
        <v>15673</v>
      </c>
      <c r="B16" t="s">
        <v>1351</v>
      </c>
      <c r="C16" s="8" t="s">
        <v>1352</v>
      </c>
    </row>
    <row r="17" spans="1:3" x14ac:dyDescent="0.25">
      <c r="A17">
        <v>6046</v>
      </c>
      <c r="B17" t="s">
        <v>3495</v>
      </c>
      <c r="C17" s="8" t="s">
        <v>3496</v>
      </c>
    </row>
    <row r="18" spans="1:3" x14ac:dyDescent="0.25">
      <c r="A18">
        <v>4691</v>
      </c>
      <c r="B18" t="s">
        <v>1453</v>
      </c>
      <c r="C18" s="8" t="s">
        <v>3497</v>
      </c>
    </row>
    <row r="19" spans="1:3" x14ac:dyDescent="0.25">
      <c r="A19">
        <v>22812</v>
      </c>
      <c r="B19" t="s">
        <v>1551</v>
      </c>
      <c r="C19" s="8" t="s">
        <v>3498</v>
      </c>
    </row>
    <row r="20" spans="1:3" x14ac:dyDescent="0.25">
      <c r="A20">
        <v>25875</v>
      </c>
      <c r="B20" t="s">
        <v>3499</v>
      </c>
      <c r="C20" s="8" t="s">
        <v>3500</v>
      </c>
    </row>
    <row r="21" spans="1:3" x14ac:dyDescent="0.25">
      <c r="A21">
        <v>10905</v>
      </c>
      <c r="B21" t="s">
        <v>3501</v>
      </c>
      <c r="C21" s="8" t="s">
        <v>3502</v>
      </c>
    </row>
    <row r="22" spans="1:3" x14ac:dyDescent="0.25">
      <c r="A22">
        <v>17552</v>
      </c>
      <c r="B22" t="s">
        <v>3503</v>
      </c>
      <c r="C22" s="8" t="s">
        <v>3504</v>
      </c>
    </row>
    <row r="23" spans="1:3" x14ac:dyDescent="0.25">
      <c r="A23">
        <v>29544</v>
      </c>
      <c r="B23" t="s">
        <v>3505</v>
      </c>
      <c r="C23" s="8" t="s">
        <v>3506</v>
      </c>
    </row>
    <row r="24" spans="1:3" x14ac:dyDescent="0.25">
      <c r="A24">
        <v>14537</v>
      </c>
      <c r="B24" t="s">
        <v>3348</v>
      </c>
      <c r="C24" s="8" t="s">
        <v>3507</v>
      </c>
    </row>
    <row r="25" spans="1:3" x14ac:dyDescent="0.25">
      <c r="A25">
        <v>16707</v>
      </c>
      <c r="B25" t="s">
        <v>1453</v>
      </c>
      <c r="C25" s="8" t="s">
        <v>3508</v>
      </c>
    </row>
    <row r="26" spans="1:3" x14ac:dyDescent="0.25">
      <c r="A26">
        <v>7848</v>
      </c>
      <c r="B26" t="s">
        <v>2503</v>
      </c>
      <c r="C26" s="8" t="s">
        <v>3509</v>
      </c>
    </row>
    <row r="27" spans="1:3" x14ac:dyDescent="0.25">
      <c r="A27">
        <v>32710</v>
      </c>
      <c r="B27" t="s">
        <v>3016</v>
      </c>
      <c r="C27" s="8" t="s">
        <v>3510</v>
      </c>
    </row>
    <row r="28" spans="1:3" x14ac:dyDescent="0.25">
      <c r="A28">
        <v>20541</v>
      </c>
      <c r="B28" t="s">
        <v>1813</v>
      </c>
      <c r="C28" s="8" t="s">
        <v>3511</v>
      </c>
    </row>
    <row r="29" spans="1:3" x14ac:dyDescent="0.25">
      <c r="A29">
        <v>26202</v>
      </c>
      <c r="B29" t="s">
        <v>3512</v>
      </c>
      <c r="C29" s="8" t="s">
        <v>3513</v>
      </c>
    </row>
    <row r="30" spans="1:3" x14ac:dyDescent="0.25">
      <c r="A30">
        <v>27081</v>
      </c>
      <c r="B30" t="s">
        <v>3514</v>
      </c>
      <c r="C30" s="8" t="s">
        <v>3515</v>
      </c>
    </row>
    <row r="31" spans="1:3" x14ac:dyDescent="0.25">
      <c r="A31">
        <v>24577</v>
      </c>
      <c r="B31" t="s">
        <v>3516</v>
      </c>
      <c r="C31" s="8" t="s">
        <v>3517</v>
      </c>
    </row>
    <row r="32" spans="1:3" x14ac:dyDescent="0.25">
      <c r="A32">
        <v>29909</v>
      </c>
      <c r="B32" t="s">
        <v>3518</v>
      </c>
      <c r="C32" s="8" t="s">
        <v>3519</v>
      </c>
    </row>
    <row r="33" spans="1:3" x14ac:dyDescent="0.25">
      <c r="A33">
        <v>31154</v>
      </c>
      <c r="B33" t="s">
        <v>3520</v>
      </c>
      <c r="C33" s="8" t="s">
        <v>3521</v>
      </c>
    </row>
    <row r="34" spans="1:3" x14ac:dyDescent="0.25">
      <c r="A34">
        <v>4707</v>
      </c>
      <c r="B34" t="s">
        <v>1930</v>
      </c>
      <c r="C34" s="8" t="s">
        <v>3522</v>
      </c>
    </row>
    <row r="35" spans="1:3" x14ac:dyDescent="0.25">
      <c r="A35">
        <v>8538</v>
      </c>
      <c r="B35" t="s">
        <v>1912</v>
      </c>
      <c r="C35" s="8" t="s">
        <v>3523</v>
      </c>
    </row>
    <row r="36" spans="1:3" x14ac:dyDescent="0.25">
      <c r="A36">
        <v>27105</v>
      </c>
      <c r="B36" t="s">
        <v>3524</v>
      </c>
      <c r="C36" s="8" t="s">
        <v>3525</v>
      </c>
    </row>
    <row r="37" spans="1:3" x14ac:dyDescent="0.25">
      <c r="A37">
        <v>4692</v>
      </c>
      <c r="B37" t="s">
        <v>3016</v>
      </c>
      <c r="C37" s="8" t="s">
        <v>3526</v>
      </c>
    </row>
    <row r="38" spans="1:3" x14ac:dyDescent="0.25">
      <c r="A38">
        <v>90649</v>
      </c>
      <c r="B38" t="s">
        <v>2582</v>
      </c>
      <c r="C38" s="8" t="s">
        <v>3545</v>
      </c>
    </row>
    <row r="39" spans="1:3" x14ac:dyDescent="0.25">
      <c r="A39">
        <v>23079</v>
      </c>
      <c r="B39" t="s">
        <v>3524</v>
      </c>
      <c r="C39" s="8" t="s">
        <v>3546</v>
      </c>
    </row>
    <row r="40" spans="1:3" x14ac:dyDescent="0.25">
      <c r="A40">
        <v>40152</v>
      </c>
      <c r="B40" t="s">
        <v>3602</v>
      </c>
      <c r="C40" s="8" t="s">
        <v>3603</v>
      </c>
    </row>
    <row r="41" spans="1:3" x14ac:dyDescent="0.25">
      <c r="A41">
        <v>10865</v>
      </c>
      <c r="B41" t="s">
        <v>3631</v>
      </c>
      <c r="C41" s="8" t="s">
        <v>3632</v>
      </c>
    </row>
    <row r="42" spans="1:3" x14ac:dyDescent="0.25">
      <c r="A42">
        <v>35714</v>
      </c>
      <c r="B42" t="s">
        <v>2628</v>
      </c>
      <c r="C42" s="8" t="s">
        <v>3684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  <hyperlink ref="C38" r:id="rId36" xr:uid="{1EC91D76-E28E-44C4-A0AB-56DE0720DE5F}"/>
    <hyperlink ref="C39" r:id="rId37" xr:uid="{7BD672D3-318C-4C51-8F91-0A2A6A7C2DBE}"/>
    <hyperlink ref="C40" r:id="rId38" xr:uid="{C85B6CD9-89A1-4694-8DB6-504615E01A55}"/>
    <hyperlink ref="C41" r:id="rId39" xr:uid="{6EAD5545-EC11-49AE-B94B-734DBAF39EC8}"/>
    <hyperlink ref="C42" r:id="rId40" xr:uid="{C858D26F-A0FF-487F-9551-7790CE72972C}"/>
  </hyperlinks>
  <pageMargins left="0.7" right="0.7" top="0.75" bottom="0.75" header="0.3" footer="0.3"/>
  <tableParts count="1">
    <tablePart r:id="rId4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5" x14ac:dyDescent="0.25"/>
  <cols>
    <col min="1" max="1" width="15" customWidth="1"/>
    <col min="2" max="2" width="37.5703125" hidden="1" customWidth="1"/>
    <col min="3" max="3" width="13.7109375" customWidth="1"/>
    <col min="4" max="4" width="20.42578125" customWidth="1"/>
    <col min="5" max="5" width="19.5703125" bestFit="1" customWidth="1"/>
    <col min="6" max="6" width="9.42578125" bestFit="1" customWidth="1"/>
  </cols>
  <sheetData>
    <row r="1" spans="1:6" x14ac:dyDescent="0.25">
      <c r="A1" t="s">
        <v>349</v>
      </c>
      <c r="B1" t="s">
        <v>350</v>
      </c>
      <c r="C1" t="s">
        <v>347</v>
      </c>
      <c r="D1" t="s">
        <v>346</v>
      </c>
      <c r="E1" t="s">
        <v>351</v>
      </c>
      <c r="F1" t="s">
        <v>1353</v>
      </c>
    </row>
    <row r="2" spans="1:6" x14ac:dyDescent="0.25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25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25">
      <c r="A4">
        <v>99999</v>
      </c>
      <c r="B4" t="s">
        <v>1354</v>
      </c>
      <c r="C4" t="s">
        <v>1355</v>
      </c>
      <c r="D4" t="s">
        <v>1355</v>
      </c>
      <c r="E4" t="s">
        <v>62</v>
      </c>
      <c r="F4">
        <v>7</v>
      </c>
    </row>
    <row r="5" spans="1:6" x14ac:dyDescent="0.25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25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25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25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25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25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25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25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25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25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25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25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25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25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25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25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25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25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25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25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25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25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25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25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25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25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25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25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25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25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25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25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25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25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25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25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25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25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25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25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25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25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25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25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25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25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25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25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25">
      <c r="A53">
        <v>36635</v>
      </c>
      <c r="B53" t="e">
        <f>_xlfn.CONCAT(bron[[#This Row],[personeelsnr]]," ",C53," ",D53)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>
        <v>2</v>
      </c>
    </row>
    <row r="54" spans="1:6" x14ac:dyDescent="0.25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25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25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25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25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25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25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25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25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25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25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25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25">
      <c r="A66">
        <v>16897</v>
      </c>
      <c r="B66" t="e">
        <f>_xlfn.CONCAT(bron[[#This Row],[personeelsnr]]," ",C66," ",D66)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>
        <v>1</v>
      </c>
    </row>
    <row r="67" spans="1:6" x14ac:dyDescent="0.25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25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25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25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25">
      <c r="A71">
        <v>38529</v>
      </c>
      <c r="B71" t="e">
        <f>_xlfn.CONCAT(bron[[#This Row],[personeelsnr]]," ",C71," ",D71)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>
        <v>2</v>
      </c>
    </row>
    <row r="72" spans="1:6" x14ac:dyDescent="0.25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25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25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25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25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25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25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25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25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25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25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25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25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25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25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25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25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25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25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25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25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25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25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25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25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25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25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25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25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25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25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25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25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25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25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25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25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25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25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25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25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25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25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25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25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25">
      <c r="A117">
        <v>36426</v>
      </c>
      <c r="B117" t="e">
        <f>_xlfn.CONCAT(bron[[#This Row],[personeelsnr]]," ",C117," ",D117)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>
        <v>1</v>
      </c>
    </row>
    <row r="118" spans="1:6" x14ac:dyDescent="0.25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25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25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25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25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25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25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25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25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25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25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25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25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25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25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25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25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25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25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25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25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25">
      <c r="A139">
        <v>99999</v>
      </c>
      <c r="B139" t="str">
        <f>_xlfn.CONCAT(bron[[#This Row],[personeelsnr]]," ",C139," ",D139)</f>
        <v>31600 leeg leeg</v>
      </c>
      <c r="C139" t="s">
        <v>1355</v>
      </c>
      <c r="D139" t="s">
        <v>1355</v>
      </c>
      <c r="E139" t="s">
        <v>62</v>
      </c>
      <c r="F139">
        <v>0</v>
      </c>
    </row>
    <row r="140" spans="1:6" x14ac:dyDescent="0.25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25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25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25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25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25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25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25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25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25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25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25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25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25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25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25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25">
      <c r="A156">
        <v>99999</v>
      </c>
      <c r="B156" t="str">
        <f>_xlfn.CONCAT(bron[[#This Row],[personeelsnr]]," ",C156," ",D156)</f>
        <v>31733 leeg leeg</v>
      </c>
      <c r="C156" t="s">
        <v>1355</v>
      </c>
      <c r="D156" t="s">
        <v>1355</v>
      </c>
      <c r="E156" t="s">
        <v>62</v>
      </c>
    </row>
    <row r="157" spans="1:6" x14ac:dyDescent="0.25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25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25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25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25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25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25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25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25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25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25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25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25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25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25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25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25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25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25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25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25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25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25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25">
      <c r="A180">
        <v>36289</v>
      </c>
      <c r="B180" t="e">
        <f>_xlfn.CONCAT(bron[[#This Row],[personeelsnr]]," ",C180," ",D180)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</row>
    <row r="181" spans="1:6" x14ac:dyDescent="0.25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25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25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25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25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25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25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25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25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25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25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25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25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25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25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25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25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25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25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25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25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25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25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25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25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25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25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25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25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25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25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25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25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25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25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25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25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25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25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25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25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25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25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25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25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25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25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25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25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25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25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25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25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25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25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25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25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25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25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25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25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25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25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25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25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25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25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25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25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25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25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25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25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25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25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25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25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25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25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25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25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25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25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25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25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25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25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25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25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25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25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25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25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25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25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25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25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25">
      <c r="A278">
        <v>11866</v>
      </c>
      <c r="B278" t="e">
        <f>_xlfn.CONCAT(bron[[#This Row],[personeelsnr]]," ",C278," ",D278)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>
        <v>1</v>
      </c>
    </row>
    <row r="279" spans="1:6" x14ac:dyDescent="0.25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25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25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25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25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25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25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25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25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25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25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25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25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25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25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25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25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25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25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25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25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25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25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25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25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25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25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25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25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25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25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25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25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25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25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25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25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25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25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25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25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25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25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25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25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25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25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25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25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25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25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25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25">
      <c r="A331">
        <v>39358</v>
      </c>
      <c r="B331" t="e">
        <f>_xlfn.CONCAT(bron[[#This Row],[personeelsnr]]," ",C331," ",D331)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</row>
    <row r="332" spans="1:6" x14ac:dyDescent="0.25">
      <c r="A332">
        <v>99999</v>
      </c>
      <c r="B332" t="str">
        <f>_xlfn.CONCAT(bron[[#This Row],[personeelsnr]]," ",C332," ",D332)</f>
        <v>40521 leeg leeg</v>
      </c>
      <c r="C332" t="s">
        <v>1355</v>
      </c>
      <c r="D332" t="s">
        <v>1355</v>
      </c>
      <c r="E332" t="s">
        <v>62</v>
      </c>
    </row>
    <row r="333" spans="1:6" x14ac:dyDescent="0.25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25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25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25">
      <c r="A336">
        <v>39972</v>
      </c>
      <c r="B336" t="str">
        <f>_xlfn.CONCAT(bron[[#This Row],[personeelsnr]]," ",C336," ",D336)</f>
        <v>39858 Repaj Ramazav</v>
      </c>
      <c r="C336" t="s">
        <v>1048</v>
      </c>
      <c r="D336" t="s">
        <v>1049</v>
      </c>
      <c r="E336" t="s">
        <v>38</v>
      </c>
    </row>
    <row r="337" spans="1:6" x14ac:dyDescent="0.25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25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25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25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25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25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25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25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25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25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25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25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25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25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25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25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25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25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25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25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25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25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25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25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25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25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25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25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25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25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25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25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25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25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25">
      <c r="A371">
        <v>99999</v>
      </c>
      <c r="B371" t="str">
        <f>_xlfn.CONCAT(bron[[#This Row],[personeelsnr]]," ",C371," ",D371)</f>
        <v>27635 leeg leeg</v>
      </c>
      <c r="C371" t="s">
        <v>1355</v>
      </c>
      <c r="D371" t="s">
        <v>1355</v>
      </c>
      <c r="E371" t="s">
        <v>62</v>
      </c>
    </row>
    <row r="372" spans="1:6" x14ac:dyDescent="0.25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25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25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25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25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25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25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25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25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25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25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25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25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25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25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25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25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25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25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25">
      <c r="A391">
        <v>31490</v>
      </c>
      <c r="B391" t="str">
        <f>_xlfn.CONCAT(bron[[#This Row],[personeelsnr]]," ",C391," ",D391)</f>
        <v>37683 De Weirdt Steph</v>
      </c>
      <c r="C391" t="s">
        <v>979</v>
      </c>
      <c r="D391" t="s">
        <v>980</v>
      </c>
      <c r="E391" t="s">
        <v>1356</v>
      </c>
    </row>
    <row r="392" spans="1:6" x14ac:dyDescent="0.25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25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25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25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25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25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25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25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25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25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25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25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25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25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25">
      <c r="A406">
        <v>26960</v>
      </c>
      <c r="B406" t="e">
        <f>_xlfn.CONCAT(bron[[#This Row],[personeelsnr]]," ",C406," ",D406)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</row>
    <row r="407" spans="1:5" x14ac:dyDescent="0.25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25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601"/>
  <sheetViews>
    <sheetView workbookViewId="0">
      <selection activeCell="M29" sqref="M29"/>
    </sheetView>
  </sheetViews>
  <sheetFormatPr defaultRowHeight="15" x14ac:dyDescent="0.25"/>
  <sheetData>
    <row r="1" spans="1:20" x14ac:dyDescent="0.25">
      <c r="A1" t="s">
        <v>1357</v>
      </c>
      <c r="B1" t="s">
        <v>1358</v>
      </c>
      <c r="C1" t="s">
        <v>1359</v>
      </c>
      <c r="D1" t="s">
        <v>1360</v>
      </c>
      <c r="E1" t="s">
        <v>1361</v>
      </c>
      <c r="F1" t="s">
        <v>1362</v>
      </c>
      <c r="G1" t="s">
        <v>1363</v>
      </c>
      <c r="H1" t="s">
        <v>1364</v>
      </c>
      <c r="I1" t="s">
        <v>1365</v>
      </c>
      <c r="J1" t="s">
        <v>1366</v>
      </c>
      <c r="K1" t="s">
        <v>1367</v>
      </c>
      <c r="L1" t="s">
        <v>1368</v>
      </c>
      <c r="M1" t="s">
        <v>1369</v>
      </c>
      <c r="N1" t="s">
        <v>1370</v>
      </c>
      <c r="O1" t="s">
        <v>1371</v>
      </c>
      <c r="P1" t="s">
        <v>1372</v>
      </c>
      <c r="Q1" t="s">
        <v>1373</v>
      </c>
      <c r="R1" t="s">
        <v>1374</v>
      </c>
      <c r="S1" t="s">
        <v>1375</v>
      </c>
      <c r="T1" t="s">
        <v>1376</v>
      </c>
    </row>
    <row r="2" spans="1:20" x14ac:dyDescent="0.25">
      <c r="A2">
        <v>9979</v>
      </c>
      <c r="B2" t="s">
        <v>1457</v>
      </c>
      <c r="C2" t="s">
        <v>1453</v>
      </c>
      <c r="D2" s="3">
        <v>28053</v>
      </c>
      <c r="E2" t="s">
        <v>1379</v>
      </c>
      <c r="F2">
        <v>222</v>
      </c>
      <c r="G2" s="3">
        <v>35796</v>
      </c>
      <c r="H2" t="s">
        <v>1458</v>
      </c>
      <c r="J2" t="s">
        <v>1459</v>
      </c>
      <c r="K2" t="s">
        <v>38</v>
      </c>
      <c r="L2" s="3">
        <v>72686</v>
      </c>
      <c r="M2" s="3">
        <v>46434</v>
      </c>
      <c r="N2" t="s">
        <v>1460</v>
      </c>
      <c r="O2" s="4">
        <v>0.8</v>
      </c>
      <c r="P2">
        <v>0</v>
      </c>
      <c r="Q2">
        <v>0</v>
      </c>
    </row>
    <row r="3" spans="1:20" x14ac:dyDescent="0.25">
      <c r="A3">
        <v>9824</v>
      </c>
      <c r="B3" t="s">
        <v>2398</v>
      </c>
      <c r="C3" t="s">
        <v>2932</v>
      </c>
      <c r="D3" s="3">
        <v>23784</v>
      </c>
      <c r="E3" t="s">
        <v>1379</v>
      </c>
      <c r="F3">
        <v>192</v>
      </c>
      <c r="G3" s="3">
        <v>35723</v>
      </c>
      <c r="H3" t="s">
        <v>2933</v>
      </c>
      <c r="J3" t="s">
        <v>1485</v>
      </c>
      <c r="K3" t="s">
        <v>50</v>
      </c>
      <c r="L3" s="3">
        <v>72686</v>
      </c>
      <c r="M3" s="3">
        <v>46236</v>
      </c>
      <c r="N3" t="s">
        <v>2934</v>
      </c>
      <c r="O3" s="4">
        <v>1</v>
      </c>
      <c r="P3">
        <v>0</v>
      </c>
      <c r="Q3">
        <v>1</v>
      </c>
    </row>
    <row r="4" spans="1:20" x14ac:dyDescent="0.25">
      <c r="A4">
        <v>9667</v>
      </c>
      <c r="B4" t="s">
        <v>3002</v>
      </c>
      <c r="C4" t="s">
        <v>3003</v>
      </c>
      <c r="D4" s="3">
        <v>26311</v>
      </c>
      <c r="E4" t="s">
        <v>1379</v>
      </c>
      <c r="F4">
        <v>608</v>
      </c>
      <c r="G4" s="3">
        <v>35667</v>
      </c>
      <c r="H4" t="s">
        <v>3004</v>
      </c>
      <c r="J4" t="s">
        <v>1680</v>
      </c>
      <c r="K4" t="s">
        <v>47</v>
      </c>
      <c r="L4" s="3">
        <v>47558</v>
      </c>
      <c r="M4" s="3">
        <v>46369</v>
      </c>
      <c r="N4" t="s">
        <v>3005</v>
      </c>
      <c r="O4" s="4">
        <v>1</v>
      </c>
      <c r="P4">
        <v>0</v>
      </c>
      <c r="Q4">
        <v>0</v>
      </c>
    </row>
    <row r="5" spans="1:20" x14ac:dyDescent="0.25">
      <c r="A5">
        <v>9158</v>
      </c>
      <c r="B5" t="s">
        <v>979</v>
      </c>
      <c r="C5" t="s">
        <v>1825</v>
      </c>
      <c r="D5" s="3">
        <v>26119</v>
      </c>
      <c r="E5" t="s">
        <v>1379</v>
      </c>
      <c r="F5">
        <v>180</v>
      </c>
      <c r="G5" s="3">
        <v>35513</v>
      </c>
      <c r="I5">
        <v>93572444</v>
      </c>
      <c r="J5" t="s">
        <v>1485</v>
      </c>
      <c r="K5" t="s">
        <v>50</v>
      </c>
      <c r="L5" s="3">
        <v>72686</v>
      </c>
      <c r="M5" s="3">
        <v>46834</v>
      </c>
      <c r="N5" t="s">
        <v>1826</v>
      </c>
      <c r="O5" s="4">
        <v>1</v>
      </c>
      <c r="P5">
        <v>0</v>
      </c>
      <c r="Q5">
        <v>0</v>
      </c>
    </row>
    <row r="6" spans="1:20" x14ac:dyDescent="0.25">
      <c r="A6">
        <v>9065</v>
      </c>
      <c r="B6" t="s">
        <v>3092</v>
      </c>
      <c r="C6" t="s">
        <v>3093</v>
      </c>
      <c r="D6" s="3">
        <v>24694</v>
      </c>
      <c r="E6" t="s">
        <v>1379</v>
      </c>
      <c r="F6">
        <v>398</v>
      </c>
      <c r="G6" s="3">
        <v>35478</v>
      </c>
      <c r="H6" t="s">
        <v>3094</v>
      </c>
      <c r="J6" t="s">
        <v>1680</v>
      </c>
      <c r="K6" t="s">
        <v>41</v>
      </c>
      <c r="L6" s="3">
        <v>72686</v>
      </c>
      <c r="M6" s="3">
        <v>46194</v>
      </c>
      <c r="N6" t="s">
        <v>3095</v>
      </c>
      <c r="O6" s="4">
        <v>0.5</v>
      </c>
      <c r="P6">
        <v>0</v>
      </c>
      <c r="Q6">
        <v>0</v>
      </c>
    </row>
    <row r="7" spans="1:20" x14ac:dyDescent="0.25">
      <c r="A7">
        <v>9062</v>
      </c>
      <c r="B7" t="s">
        <v>3055</v>
      </c>
      <c r="C7" t="s">
        <v>3056</v>
      </c>
      <c r="D7" s="3">
        <v>26633</v>
      </c>
      <c r="E7" t="s">
        <v>1379</v>
      </c>
      <c r="F7">
        <v>382</v>
      </c>
      <c r="G7" s="3">
        <v>35478</v>
      </c>
      <c r="H7" t="s">
        <v>3057</v>
      </c>
      <c r="J7" t="s">
        <v>1553</v>
      </c>
      <c r="K7" t="s">
        <v>47</v>
      </c>
      <c r="L7" s="3">
        <v>45955</v>
      </c>
      <c r="M7" s="3">
        <v>46273</v>
      </c>
      <c r="N7" t="s">
        <v>3058</v>
      </c>
      <c r="O7" s="4">
        <v>0.8</v>
      </c>
      <c r="P7">
        <v>0</v>
      </c>
      <c r="Q7">
        <v>0</v>
      </c>
    </row>
    <row r="8" spans="1:20" x14ac:dyDescent="0.25">
      <c r="A8">
        <v>8918</v>
      </c>
      <c r="B8" t="s">
        <v>2296</v>
      </c>
      <c r="C8" t="s">
        <v>2297</v>
      </c>
      <c r="D8" s="3">
        <v>23172</v>
      </c>
      <c r="E8" t="s">
        <v>1379</v>
      </c>
      <c r="F8">
        <v>429</v>
      </c>
      <c r="G8" s="3">
        <v>35394</v>
      </c>
      <c r="H8" t="s">
        <v>2298</v>
      </c>
      <c r="J8" t="s">
        <v>1700</v>
      </c>
      <c r="K8" t="s">
        <v>47</v>
      </c>
      <c r="L8" s="3">
        <v>46000</v>
      </c>
      <c r="M8" s="3">
        <v>46019</v>
      </c>
      <c r="N8" t="s">
        <v>2299</v>
      </c>
      <c r="O8" s="4">
        <v>0.8</v>
      </c>
      <c r="P8">
        <v>0</v>
      </c>
      <c r="Q8">
        <v>0</v>
      </c>
    </row>
    <row r="9" spans="1:20" x14ac:dyDescent="0.25">
      <c r="A9">
        <v>8792</v>
      </c>
      <c r="B9" t="s">
        <v>3088</v>
      </c>
      <c r="C9" t="s">
        <v>3089</v>
      </c>
      <c r="D9" s="3">
        <v>27910</v>
      </c>
      <c r="E9" t="s">
        <v>1379</v>
      </c>
      <c r="F9">
        <v>466</v>
      </c>
      <c r="G9" s="3">
        <v>35338</v>
      </c>
      <c r="H9" t="s">
        <v>3090</v>
      </c>
      <c r="I9">
        <v>93244163</v>
      </c>
      <c r="J9" t="s">
        <v>1485</v>
      </c>
      <c r="K9" t="s">
        <v>38</v>
      </c>
      <c r="L9" s="3">
        <v>47614</v>
      </c>
      <c r="M9" s="3">
        <v>46820</v>
      </c>
      <c r="N9" t="s">
        <v>3091</v>
      </c>
      <c r="O9" s="4">
        <v>1</v>
      </c>
      <c r="P9">
        <v>0</v>
      </c>
      <c r="Q9">
        <v>1</v>
      </c>
    </row>
    <row r="10" spans="1:20" x14ac:dyDescent="0.25">
      <c r="A10">
        <v>8708</v>
      </c>
      <c r="B10" t="s">
        <v>3347</v>
      </c>
      <c r="C10" t="s">
        <v>3348</v>
      </c>
      <c r="D10" s="3">
        <v>27571</v>
      </c>
      <c r="E10" t="s">
        <v>1379</v>
      </c>
      <c r="F10">
        <v>2</v>
      </c>
      <c r="G10" s="3">
        <v>35303</v>
      </c>
      <c r="I10">
        <v>93568611</v>
      </c>
      <c r="J10" t="s">
        <v>1507</v>
      </c>
      <c r="K10" t="s">
        <v>56</v>
      </c>
      <c r="L10" s="3">
        <v>47576</v>
      </c>
      <c r="M10" s="3">
        <v>47573</v>
      </c>
      <c r="N10" t="s">
        <v>3349</v>
      </c>
      <c r="O10" s="4">
        <v>0.8</v>
      </c>
      <c r="P10">
        <v>0</v>
      </c>
      <c r="Q10">
        <v>0</v>
      </c>
    </row>
    <row r="11" spans="1:20" x14ac:dyDescent="0.25">
      <c r="A11">
        <v>8394</v>
      </c>
      <c r="B11" t="s">
        <v>3329</v>
      </c>
      <c r="C11" t="s">
        <v>3330</v>
      </c>
      <c r="D11" s="3">
        <v>26996</v>
      </c>
      <c r="E11" t="s">
        <v>1379</v>
      </c>
      <c r="F11">
        <v>71</v>
      </c>
      <c r="G11" s="3">
        <v>35219</v>
      </c>
      <c r="H11" t="s">
        <v>3331</v>
      </c>
      <c r="J11" t="s">
        <v>1507</v>
      </c>
      <c r="K11" t="s">
        <v>56</v>
      </c>
      <c r="L11" s="3">
        <v>45880</v>
      </c>
      <c r="M11" s="3">
        <v>46014</v>
      </c>
      <c r="N11" t="s">
        <v>3332</v>
      </c>
      <c r="O11" s="4">
        <v>1</v>
      </c>
      <c r="P11">
        <v>0</v>
      </c>
      <c r="Q11">
        <v>1</v>
      </c>
    </row>
    <row r="12" spans="1:20" x14ac:dyDescent="0.25">
      <c r="A12">
        <v>8393</v>
      </c>
      <c r="B12" t="s">
        <v>1733</v>
      </c>
      <c r="C12" t="s">
        <v>1734</v>
      </c>
      <c r="D12" s="3">
        <v>26380</v>
      </c>
      <c r="E12" t="s">
        <v>1379</v>
      </c>
      <c r="F12">
        <v>272</v>
      </c>
      <c r="G12" s="3">
        <v>35219</v>
      </c>
      <c r="J12" t="s">
        <v>1485</v>
      </c>
      <c r="K12" t="s">
        <v>50</v>
      </c>
      <c r="L12" s="3">
        <v>73050</v>
      </c>
      <c r="M12" s="3">
        <v>45909</v>
      </c>
      <c r="N12" t="s">
        <v>1735</v>
      </c>
      <c r="O12" s="4">
        <v>0.8</v>
      </c>
      <c r="P12">
        <v>0</v>
      </c>
      <c r="Q12">
        <v>0</v>
      </c>
    </row>
    <row r="13" spans="1:20" x14ac:dyDescent="0.25">
      <c r="A13">
        <v>8391</v>
      </c>
      <c r="B13" t="s">
        <v>2579</v>
      </c>
      <c r="C13" t="s">
        <v>2580</v>
      </c>
      <c r="D13" s="3">
        <v>25627</v>
      </c>
      <c r="E13" t="s">
        <v>1379</v>
      </c>
      <c r="F13">
        <v>508</v>
      </c>
      <c r="G13" s="3">
        <v>35219</v>
      </c>
      <c r="I13">
        <v>474276343</v>
      </c>
      <c r="J13" t="s">
        <v>1502</v>
      </c>
      <c r="K13" t="s">
        <v>41</v>
      </c>
      <c r="L13" s="3">
        <v>47566</v>
      </c>
      <c r="M13" s="3">
        <v>47561</v>
      </c>
      <c r="N13" t="s">
        <v>2581</v>
      </c>
      <c r="O13" s="4">
        <v>0.8</v>
      </c>
      <c r="P13">
        <v>0</v>
      </c>
      <c r="Q13">
        <v>1</v>
      </c>
    </row>
    <row r="14" spans="1:20" x14ac:dyDescent="0.25">
      <c r="A14">
        <v>8196</v>
      </c>
      <c r="B14" t="s">
        <v>1461</v>
      </c>
      <c r="C14" t="s">
        <v>1453</v>
      </c>
      <c r="D14" s="3">
        <v>25922</v>
      </c>
      <c r="E14" t="s">
        <v>1379</v>
      </c>
      <c r="F14">
        <v>473</v>
      </c>
      <c r="G14" s="3">
        <v>35177</v>
      </c>
      <c r="H14" t="s">
        <v>1462</v>
      </c>
      <c r="J14" t="s">
        <v>1463</v>
      </c>
      <c r="K14" t="s">
        <v>44</v>
      </c>
      <c r="L14" s="3">
        <v>47607</v>
      </c>
      <c r="M14" s="3">
        <v>47573</v>
      </c>
      <c r="N14" t="s">
        <v>1464</v>
      </c>
      <c r="O14" s="4">
        <v>1</v>
      </c>
      <c r="P14">
        <v>0</v>
      </c>
      <c r="Q14">
        <v>0</v>
      </c>
    </row>
    <row r="15" spans="1:20" x14ac:dyDescent="0.25">
      <c r="A15">
        <v>8016</v>
      </c>
      <c r="B15" t="s">
        <v>1842</v>
      </c>
      <c r="C15" t="s">
        <v>1843</v>
      </c>
      <c r="D15" s="3">
        <v>24555</v>
      </c>
      <c r="E15" t="s">
        <v>1634</v>
      </c>
      <c r="F15">
        <v>100</v>
      </c>
      <c r="G15" s="3">
        <v>35065</v>
      </c>
      <c r="H15" t="s">
        <v>1844</v>
      </c>
      <c r="J15" t="s">
        <v>1680</v>
      </c>
      <c r="K15" t="s">
        <v>35</v>
      </c>
      <c r="L15" s="3">
        <v>72686</v>
      </c>
      <c r="M15" s="3">
        <v>46146</v>
      </c>
      <c r="N15" t="s">
        <v>1845</v>
      </c>
      <c r="O15" s="4">
        <v>0.8</v>
      </c>
      <c r="P15">
        <v>0</v>
      </c>
      <c r="Q15">
        <v>0</v>
      </c>
    </row>
    <row r="16" spans="1:20" x14ac:dyDescent="0.25">
      <c r="A16">
        <v>7748</v>
      </c>
      <c r="B16" t="s">
        <v>1659</v>
      </c>
      <c r="C16" t="s">
        <v>1660</v>
      </c>
      <c r="D16" s="3">
        <v>25262</v>
      </c>
      <c r="E16" t="s">
        <v>1379</v>
      </c>
      <c r="F16">
        <v>164</v>
      </c>
      <c r="G16" s="3">
        <v>34932</v>
      </c>
      <c r="I16">
        <v>32496401543</v>
      </c>
      <c r="J16" t="s">
        <v>1433</v>
      </c>
      <c r="K16" t="s">
        <v>56</v>
      </c>
      <c r="L16" s="3">
        <v>73050</v>
      </c>
      <c r="M16" s="3">
        <v>47170</v>
      </c>
      <c r="N16" t="s">
        <v>1661</v>
      </c>
      <c r="O16" s="4">
        <v>0.8</v>
      </c>
      <c r="P16">
        <v>0</v>
      </c>
      <c r="Q16">
        <v>0</v>
      </c>
    </row>
    <row r="17" spans="1:17" x14ac:dyDescent="0.25">
      <c r="A17">
        <v>7746</v>
      </c>
      <c r="B17" t="s">
        <v>2351</v>
      </c>
      <c r="C17" t="s">
        <v>3046</v>
      </c>
      <c r="D17" s="3">
        <v>23497</v>
      </c>
      <c r="E17" t="s">
        <v>1379</v>
      </c>
      <c r="F17">
        <v>356</v>
      </c>
      <c r="G17" s="3">
        <v>34932</v>
      </c>
      <c r="I17">
        <v>93293469</v>
      </c>
      <c r="J17" t="s">
        <v>1498</v>
      </c>
      <c r="K17" t="s">
        <v>44</v>
      </c>
      <c r="L17" s="3">
        <v>47671</v>
      </c>
      <c r="M17" s="3">
        <v>47369</v>
      </c>
      <c r="N17" t="s">
        <v>3047</v>
      </c>
      <c r="O17" s="4">
        <v>1</v>
      </c>
      <c r="P17">
        <v>0</v>
      </c>
      <c r="Q17">
        <v>0</v>
      </c>
    </row>
    <row r="18" spans="1:17" x14ac:dyDescent="0.25">
      <c r="A18">
        <v>7422</v>
      </c>
      <c r="B18" t="s">
        <v>2816</v>
      </c>
      <c r="C18" t="s">
        <v>1326</v>
      </c>
      <c r="D18" s="3">
        <v>26956</v>
      </c>
      <c r="E18" t="s">
        <v>1379</v>
      </c>
      <c r="F18">
        <v>557</v>
      </c>
      <c r="G18" s="3">
        <v>34834</v>
      </c>
      <c r="H18" t="s">
        <v>2991</v>
      </c>
      <c r="J18" t="s">
        <v>1502</v>
      </c>
      <c r="K18" t="s">
        <v>38</v>
      </c>
      <c r="L18" s="3">
        <v>47702</v>
      </c>
      <c r="M18" s="3">
        <v>45993</v>
      </c>
      <c r="N18" t="s">
        <v>2992</v>
      </c>
      <c r="O18" s="4">
        <v>1</v>
      </c>
      <c r="P18">
        <v>0</v>
      </c>
      <c r="Q18">
        <v>1</v>
      </c>
    </row>
    <row r="19" spans="1:17" x14ac:dyDescent="0.25">
      <c r="A19">
        <v>6310</v>
      </c>
      <c r="B19" t="s">
        <v>1929</v>
      </c>
      <c r="C19" t="s">
        <v>1930</v>
      </c>
      <c r="D19" s="3">
        <v>23504</v>
      </c>
      <c r="E19" t="s">
        <v>1379</v>
      </c>
      <c r="F19">
        <v>289</v>
      </c>
      <c r="G19" s="3">
        <v>34078</v>
      </c>
      <c r="J19" t="s">
        <v>1553</v>
      </c>
      <c r="K19" t="s">
        <v>53</v>
      </c>
      <c r="L19" s="3">
        <v>72686</v>
      </c>
      <c r="M19" s="3">
        <v>46140</v>
      </c>
      <c r="N19" t="s">
        <v>1931</v>
      </c>
      <c r="O19" s="4">
        <v>1</v>
      </c>
      <c r="P19">
        <v>0</v>
      </c>
      <c r="Q19">
        <v>0</v>
      </c>
    </row>
    <row r="20" spans="1:17" x14ac:dyDescent="0.25">
      <c r="A20">
        <v>6309</v>
      </c>
      <c r="B20" t="s">
        <v>3015</v>
      </c>
      <c r="C20" t="s">
        <v>3016</v>
      </c>
      <c r="D20" s="3">
        <v>26147</v>
      </c>
      <c r="E20" t="s">
        <v>1379</v>
      </c>
      <c r="F20">
        <v>413</v>
      </c>
      <c r="G20" s="3">
        <v>34078</v>
      </c>
      <c r="H20" t="s">
        <v>3017</v>
      </c>
      <c r="J20" t="s">
        <v>1548</v>
      </c>
      <c r="K20" t="s">
        <v>47</v>
      </c>
      <c r="L20" s="3">
        <v>47594</v>
      </c>
      <c r="M20" s="3">
        <v>46497</v>
      </c>
      <c r="N20" t="s">
        <v>3018</v>
      </c>
      <c r="O20" s="4">
        <v>1</v>
      </c>
      <c r="P20">
        <v>0</v>
      </c>
      <c r="Q20">
        <v>0</v>
      </c>
    </row>
    <row r="21" spans="1:17" x14ac:dyDescent="0.25">
      <c r="A21">
        <v>6229</v>
      </c>
      <c r="B21" t="s">
        <v>1255</v>
      </c>
      <c r="C21" t="s">
        <v>3330</v>
      </c>
      <c r="D21" s="3">
        <v>20773</v>
      </c>
      <c r="E21" t="s">
        <v>1379</v>
      </c>
      <c r="F21">
        <v>628</v>
      </c>
      <c r="G21" s="3">
        <v>34008</v>
      </c>
      <c r="H21" t="s">
        <v>3333</v>
      </c>
      <c r="J21" t="s">
        <v>1516</v>
      </c>
      <c r="K21" t="s">
        <v>41</v>
      </c>
      <c r="L21" s="3">
        <v>47481</v>
      </c>
      <c r="M21" s="3">
        <v>47456</v>
      </c>
      <c r="N21" t="s">
        <v>3334</v>
      </c>
      <c r="O21" s="4">
        <v>0.5</v>
      </c>
      <c r="P21">
        <v>0</v>
      </c>
      <c r="Q21">
        <v>0</v>
      </c>
    </row>
    <row r="22" spans="1:17" x14ac:dyDescent="0.25">
      <c r="A22">
        <v>6092</v>
      </c>
      <c r="B22" t="s">
        <v>1995</v>
      </c>
      <c r="C22" t="s">
        <v>1992</v>
      </c>
      <c r="D22" s="3">
        <v>23986</v>
      </c>
      <c r="E22" t="s">
        <v>1379</v>
      </c>
      <c r="F22">
        <v>216</v>
      </c>
      <c r="G22" s="3">
        <v>33868</v>
      </c>
      <c r="H22" t="s">
        <v>1996</v>
      </c>
      <c r="I22">
        <v>93285775</v>
      </c>
      <c r="J22" t="s">
        <v>1553</v>
      </c>
      <c r="K22" t="s">
        <v>50</v>
      </c>
      <c r="L22" s="3">
        <v>72686</v>
      </c>
      <c r="M22" s="3">
        <v>72686</v>
      </c>
      <c r="N22" t="s">
        <v>1997</v>
      </c>
      <c r="O22" s="4">
        <v>0.8</v>
      </c>
      <c r="P22">
        <v>0</v>
      </c>
      <c r="Q22">
        <v>0</v>
      </c>
    </row>
    <row r="23" spans="1:17" x14ac:dyDescent="0.25">
      <c r="A23">
        <v>6067</v>
      </c>
      <c r="B23" t="s">
        <v>2905</v>
      </c>
      <c r="C23" t="s">
        <v>2906</v>
      </c>
      <c r="D23" s="3">
        <v>25610</v>
      </c>
      <c r="E23" t="s">
        <v>1379</v>
      </c>
      <c r="F23">
        <v>467</v>
      </c>
      <c r="G23" s="3">
        <v>33848</v>
      </c>
      <c r="H23" t="s">
        <v>2907</v>
      </c>
      <c r="J23" t="s">
        <v>1507</v>
      </c>
      <c r="K23" t="s">
        <v>56</v>
      </c>
      <c r="L23" s="3">
        <v>47698</v>
      </c>
      <c r="M23" s="3">
        <v>46152</v>
      </c>
      <c r="N23" t="s">
        <v>2908</v>
      </c>
      <c r="O23" s="4">
        <v>0.5</v>
      </c>
      <c r="P23">
        <v>0</v>
      </c>
      <c r="Q23">
        <v>0</v>
      </c>
    </row>
    <row r="24" spans="1:17" x14ac:dyDescent="0.25">
      <c r="A24">
        <v>6049</v>
      </c>
      <c r="B24" t="s">
        <v>3404</v>
      </c>
      <c r="C24" t="s">
        <v>3405</v>
      </c>
      <c r="D24" s="3">
        <v>23942</v>
      </c>
      <c r="E24" t="s">
        <v>1379</v>
      </c>
      <c r="F24">
        <v>193</v>
      </c>
      <c r="G24" s="3">
        <v>33819</v>
      </c>
      <c r="H24" t="s">
        <v>3406</v>
      </c>
      <c r="J24" t="s">
        <v>1507</v>
      </c>
      <c r="K24" t="s">
        <v>56</v>
      </c>
      <c r="L24" s="3">
        <v>47636</v>
      </c>
      <c r="M24" s="3">
        <v>46364</v>
      </c>
      <c r="N24" t="s">
        <v>3407</v>
      </c>
      <c r="O24" s="4">
        <v>0.8</v>
      </c>
      <c r="P24">
        <v>0</v>
      </c>
      <c r="Q24">
        <v>1</v>
      </c>
    </row>
    <row r="25" spans="1:17" x14ac:dyDescent="0.25">
      <c r="A25">
        <v>5813</v>
      </c>
      <c r="B25" t="s">
        <v>1782</v>
      </c>
      <c r="C25" t="s">
        <v>1783</v>
      </c>
      <c r="D25" s="3">
        <v>24961</v>
      </c>
      <c r="E25" t="s">
        <v>1379</v>
      </c>
      <c r="F25">
        <v>19</v>
      </c>
      <c r="G25" s="3">
        <v>33742</v>
      </c>
      <c r="H25" t="s">
        <v>1784</v>
      </c>
      <c r="J25" t="s">
        <v>1680</v>
      </c>
      <c r="K25" t="s">
        <v>56</v>
      </c>
      <c r="L25" s="3">
        <v>72686</v>
      </c>
      <c r="M25" s="3">
        <v>46308</v>
      </c>
      <c r="N25" t="s">
        <v>1785</v>
      </c>
      <c r="O25" s="4">
        <v>0.8</v>
      </c>
      <c r="P25">
        <v>0</v>
      </c>
      <c r="Q25">
        <v>1</v>
      </c>
    </row>
    <row r="26" spans="1:17" x14ac:dyDescent="0.25">
      <c r="A26">
        <v>5718</v>
      </c>
      <c r="B26" t="s">
        <v>2675</v>
      </c>
      <c r="C26" t="s">
        <v>2676</v>
      </c>
      <c r="D26" s="3">
        <v>25098</v>
      </c>
      <c r="E26" t="s">
        <v>1379</v>
      </c>
      <c r="F26">
        <v>189</v>
      </c>
      <c r="G26" s="3">
        <v>33707</v>
      </c>
      <c r="H26" t="s">
        <v>2677</v>
      </c>
      <c r="I26">
        <v>93848830</v>
      </c>
      <c r="J26" t="s">
        <v>1700</v>
      </c>
      <c r="K26" t="s">
        <v>47</v>
      </c>
      <c r="L26" s="3">
        <v>47705</v>
      </c>
      <c r="M26" s="3">
        <v>46318</v>
      </c>
      <c r="N26" t="s">
        <v>2678</v>
      </c>
      <c r="O26" s="4">
        <v>1</v>
      </c>
      <c r="P26">
        <v>0</v>
      </c>
      <c r="Q26">
        <v>0</v>
      </c>
    </row>
    <row r="27" spans="1:17" x14ac:dyDescent="0.25">
      <c r="A27">
        <v>5599</v>
      </c>
      <c r="B27" t="s">
        <v>1911</v>
      </c>
      <c r="C27" t="s">
        <v>1912</v>
      </c>
      <c r="D27" s="3">
        <v>24551</v>
      </c>
      <c r="E27" t="s">
        <v>1379</v>
      </c>
      <c r="F27">
        <v>386</v>
      </c>
      <c r="G27" s="3">
        <v>33609</v>
      </c>
      <c r="H27" t="s">
        <v>1913</v>
      </c>
      <c r="I27">
        <v>93572595</v>
      </c>
      <c r="J27" t="s">
        <v>1485</v>
      </c>
      <c r="K27" t="s">
        <v>50</v>
      </c>
      <c r="L27" s="3">
        <v>73050</v>
      </c>
      <c r="M27" s="3">
        <v>46853</v>
      </c>
      <c r="N27" t="s">
        <v>1914</v>
      </c>
      <c r="O27" s="4">
        <v>1</v>
      </c>
      <c r="P27">
        <v>0</v>
      </c>
      <c r="Q27">
        <v>0</v>
      </c>
    </row>
    <row r="28" spans="1:17" x14ac:dyDescent="0.25">
      <c r="A28">
        <v>5559</v>
      </c>
      <c r="B28" t="s">
        <v>1561</v>
      </c>
      <c r="C28" t="s">
        <v>1606</v>
      </c>
      <c r="D28" s="3">
        <v>24869</v>
      </c>
      <c r="E28" t="s">
        <v>1379</v>
      </c>
      <c r="F28">
        <v>331</v>
      </c>
      <c r="G28" s="3">
        <v>33546</v>
      </c>
      <c r="H28" t="s">
        <v>1607</v>
      </c>
      <c r="J28" t="s">
        <v>1485</v>
      </c>
      <c r="K28" t="s">
        <v>50</v>
      </c>
      <c r="L28" s="3">
        <v>72686</v>
      </c>
      <c r="M28" s="3">
        <v>46985</v>
      </c>
      <c r="N28" t="s">
        <v>1608</v>
      </c>
      <c r="O28" s="4">
        <v>0.8</v>
      </c>
      <c r="P28">
        <v>0</v>
      </c>
      <c r="Q28">
        <v>0</v>
      </c>
    </row>
    <row r="29" spans="1:17" x14ac:dyDescent="0.25">
      <c r="A29">
        <v>5080</v>
      </c>
      <c r="B29" t="s">
        <v>1960</v>
      </c>
      <c r="C29" t="s">
        <v>2510</v>
      </c>
      <c r="D29" s="3">
        <v>24420</v>
      </c>
      <c r="E29" t="s">
        <v>1379</v>
      </c>
      <c r="F29">
        <v>313</v>
      </c>
      <c r="G29" s="3">
        <v>33308</v>
      </c>
      <c r="H29" t="s">
        <v>2511</v>
      </c>
      <c r="I29">
        <v>92370122</v>
      </c>
      <c r="J29" t="s">
        <v>1498</v>
      </c>
      <c r="K29" t="s">
        <v>41</v>
      </c>
      <c r="L29" s="3">
        <v>47635</v>
      </c>
      <c r="M29" s="3">
        <v>46882</v>
      </c>
      <c r="N29" t="s">
        <v>2512</v>
      </c>
      <c r="O29" s="4">
        <v>0.5</v>
      </c>
      <c r="P29">
        <v>0</v>
      </c>
      <c r="Q29">
        <v>0</v>
      </c>
    </row>
    <row r="30" spans="1:17" x14ac:dyDescent="0.25">
      <c r="A30">
        <v>5076</v>
      </c>
      <c r="B30" t="s">
        <v>3241</v>
      </c>
      <c r="C30" t="s">
        <v>3242</v>
      </c>
      <c r="D30" s="3">
        <v>23694</v>
      </c>
      <c r="E30" t="s">
        <v>1379</v>
      </c>
      <c r="F30">
        <v>630</v>
      </c>
      <c r="G30" s="3">
        <v>33308</v>
      </c>
      <c r="H30" t="s">
        <v>3243</v>
      </c>
      <c r="I30">
        <v>92277204</v>
      </c>
      <c r="J30" t="s">
        <v>1502</v>
      </c>
      <c r="K30" t="s">
        <v>38</v>
      </c>
      <c r="L30" s="3">
        <v>47653</v>
      </c>
      <c r="M30" s="3">
        <v>46834</v>
      </c>
      <c r="N30" t="s">
        <v>3244</v>
      </c>
      <c r="O30" s="4">
        <v>0.8</v>
      </c>
      <c r="P30">
        <v>0</v>
      </c>
      <c r="Q30">
        <v>0</v>
      </c>
    </row>
    <row r="31" spans="1:17" x14ac:dyDescent="0.25">
      <c r="A31">
        <v>5063</v>
      </c>
      <c r="B31" t="s">
        <v>3277</v>
      </c>
      <c r="C31" t="s">
        <v>1351</v>
      </c>
      <c r="D31" s="3">
        <v>25160</v>
      </c>
      <c r="E31" t="s">
        <v>1379</v>
      </c>
      <c r="F31">
        <v>232</v>
      </c>
      <c r="G31" s="3">
        <v>33287</v>
      </c>
      <c r="H31" t="s">
        <v>3278</v>
      </c>
      <c r="J31" t="s">
        <v>1680</v>
      </c>
      <c r="K31" t="s">
        <v>56</v>
      </c>
      <c r="L31" s="3">
        <v>45952</v>
      </c>
      <c r="M31" s="3">
        <v>46665</v>
      </c>
      <c r="N31" t="s">
        <v>3279</v>
      </c>
      <c r="O31" s="4">
        <v>0.8</v>
      </c>
      <c r="P31">
        <v>0</v>
      </c>
      <c r="Q31">
        <v>0</v>
      </c>
    </row>
    <row r="32" spans="1:17" x14ac:dyDescent="0.25">
      <c r="A32">
        <v>5061</v>
      </c>
      <c r="B32" t="s">
        <v>1496</v>
      </c>
      <c r="C32" t="s">
        <v>1930</v>
      </c>
      <c r="D32" s="3">
        <v>24557</v>
      </c>
      <c r="E32" t="s">
        <v>1379</v>
      </c>
      <c r="F32">
        <v>649</v>
      </c>
      <c r="G32" s="3">
        <v>33287</v>
      </c>
      <c r="I32">
        <v>93300995</v>
      </c>
      <c r="J32" t="s">
        <v>1494</v>
      </c>
      <c r="K32" t="s">
        <v>47</v>
      </c>
      <c r="L32" s="3">
        <v>47672</v>
      </c>
      <c r="M32" s="3">
        <v>46665</v>
      </c>
      <c r="N32" t="s">
        <v>1932</v>
      </c>
      <c r="O32" s="4">
        <v>1</v>
      </c>
      <c r="P32">
        <v>0</v>
      </c>
      <c r="Q32">
        <v>0</v>
      </c>
    </row>
    <row r="33" spans="1:17" x14ac:dyDescent="0.25">
      <c r="A33">
        <v>4943</v>
      </c>
      <c r="B33" t="s">
        <v>2785</v>
      </c>
      <c r="C33" t="s">
        <v>2786</v>
      </c>
      <c r="D33" s="3">
        <v>22990</v>
      </c>
      <c r="E33" t="s">
        <v>1379</v>
      </c>
      <c r="F33">
        <v>368</v>
      </c>
      <c r="G33" s="3">
        <v>33098</v>
      </c>
      <c r="H33" t="s">
        <v>2787</v>
      </c>
      <c r="I33">
        <v>93290244</v>
      </c>
      <c r="J33" t="s">
        <v>1553</v>
      </c>
      <c r="K33" t="s">
        <v>53</v>
      </c>
      <c r="L33" s="3">
        <v>72686</v>
      </c>
      <c r="M33" s="3">
        <v>47046</v>
      </c>
      <c r="N33" t="s">
        <v>2788</v>
      </c>
      <c r="O33" s="4">
        <v>0.8</v>
      </c>
      <c r="P33">
        <v>0</v>
      </c>
      <c r="Q33">
        <v>0</v>
      </c>
    </row>
    <row r="34" spans="1:17" x14ac:dyDescent="0.25">
      <c r="A34">
        <v>4793</v>
      </c>
      <c r="B34" t="s">
        <v>1736</v>
      </c>
      <c r="C34" t="s">
        <v>1734</v>
      </c>
      <c r="D34" s="3">
        <v>25160</v>
      </c>
      <c r="E34" t="s">
        <v>1379</v>
      </c>
      <c r="F34">
        <v>210</v>
      </c>
      <c r="G34" s="3">
        <v>32951</v>
      </c>
      <c r="H34" t="s">
        <v>1737</v>
      </c>
      <c r="J34" t="s">
        <v>1700</v>
      </c>
      <c r="K34" t="s">
        <v>56</v>
      </c>
      <c r="L34" s="3">
        <v>47588</v>
      </c>
      <c r="M34" s="3">
        <v>46453</v>
      </c>
      <c r="N34" t="s">
        <v>1738</v>
      </c>
      <c r="O34" s="4">
        <v>0.5</v>
      </c>
      <c r="P34">
        <v>0</v>
      </c>
      <c r="Q34">
        <v>1</v>
      </c>
    </row>
    <row r="35" spans="1:17" x14ac:dyDescent="0.25">
      <c r="A35">
        <v>4764</v>
      </c>
      <c r="B35" t="s">
        <v>2925</v>
      </c>
      <c r="C35" t="s">
        <v>2926</v>
      </c>
      <c r="D35" s="3">
        <v>24539</v>
      </c>
      <c r="E35" t="s">
        <v>1379</v>
      </c>
      <c r="F35">
        <v>539</v>
      </c>
      <c r="G35" s="3">
        <v>32924</v>
      </c>
      <c r="H35" t="s">
        <v>2927</v>
      </c>
      <c r="J35" t="s">
        <v>1502</v>
      </c>
      <c r="K35" t="s">
        <v>38</v>
      </c>
      <c r="L35" s="3">
        <v>45943</v>
      </c>
      <c r="M35" s="3">
        <v>46637</v>
      </c>
      <c r="N35" t="s">
        <v>2928</v>
      </c>
      <c r="O35" s="4">
        <v>0.8</v>
      </c>
      <c r="P35">
        <v>0</v>
      </c>
      <c r="Q35">
        <v>0</v>
      </c>
    </row>
    <row r="36" spans="1:17" x14ac:dyDescent="0.25">
      <c r="A36">
        <v>4720</v>
      </c>
      <c r="B36" t="s">
        <v>1951</v>
      </c>
      <c r="C36" t="s">
        <v>2582</v>
      </c>
      <c r="D36" s="3">
        <v>24146</v>
      </c>
      <c r="E36" t="s">
        <v>1379</v>
      </c>
      <c r="F36">
        <v>509</v>
      </c>
      <c r="G36" s="3">
        <v>32797</v>
      </c>
      <c r="J36" t="s">
        <v>1502</v>
      </c>
      <c r="K36" t="s">
        <v>41</v>
      </c>
      <c r="L36" s="3">
        <v>47602</v>
      </c>
      <c r="M36" s="3">
        <v>46399</v>
      </c>
      <c r="N36" t="s">
        <v>2583</v>
      </c>
      <c r="O36" s="4">
        <v>0.8</v>
      </c>
      <c r="P36">
        <v>0</v>
      </c>
      <c r="Q36">
        <v>0</v>
      </c>
    </row>
    <row r="37" spans="1:17" x14ac:dyDescent="0.25">
      <c r="A37">
        <v>4608</v>
      </c>
      <c r="B37" t="s">
        <v>2562</v>
      </c>
      <c r="C37" t="s">
        <v>2563</v>
      </c>
      <c r="D37" s="3">
        <v>23029</v>
      </c>
      <c r="E37" t="s">
        <v>1379</v>
      </c>
      <c r="F37">
        <v>410</v>
      </c>
      <c r="G37" s="3">
        <v>32644</v>
      </c>
      <c r="H37" t="s">
        <v>2564</v>
      </c>
      <c r="J37" t="s">
        <v>1507</v>
      </c>
      <c r="K37" t="s">
        <v>56</v>
      </c>
      <c r="L37" s="3">
        <v>47573</v>
      </c>
      <c r="M37" s="3">
        <v>46306</v>
      </c>
      <c r="N37" t="s">
        <v>2565</v>
      </c>
      <c r="O37" s="4">
        <v>0.8</v>
      </c>
      <c r="P37">
        <v>0</v>
      </c>
      <c r="Q37">
        <v>0</v>
      </c>
    </row>
    <row r="38" spans="1:17" x14ac:dyDescent="0.25">
      <c r="A38">
        <v>4525</v>
      </c>
      <c r="B38" t="s">
        <v>2820</v>
      </c>
      <c r="C38" t="s">
        <v>2821</v>
      </c>
      <c r="D38" s="3">
        <v>24001</v>
      </c>
      <c r="E38" t="s">
        <v>1379</v>
      </c>
      <c r="F38">
        <v>16</v>
      </c>
      <c r="G38" s="3">
        <v>32489</v>
      </c>
      <c r="H38" t="s">
        <v>2822</v>
      </c>
      <c r="J38" t="s">
        <v>1700</v>
      </c>
      <c r="K38" t="s">
        <v>47</v>
      </c>
      <c r="L38" s="3">
        <v>47590</v>
      </c>
      <c r="M38" s="3">
        <v>46960</v>
      </c>
      <c r="N38" t="s">
        <v>2823</v>
      </c>
      <c r="O38" s="4">
        <v>0.8</v>
      </c>
      <c r="P38">
        <v>0</v>
      </c>
      <c r="Q38">
        <v>0</v>
      </c>
    </row>
    <row r="39" spans="1:17" x14ac:dyDescent="0.25">
      <c r="A39">
        <v>4419</v>
      </c>
      <c r="B39" t="s">
        <v>2968</v>
      </c>
      <c r="C39" t="s">
        <v>2969</v>
      </c>
      <c r="D39" s="3">
        <v>23958</v>
      </c>
      <c r="E39" t="s">
        <v>1379</v>
      </c>
      <c r="F39">
        <v>446</v>
      </c>
      <c r="G39" s="3">
        <v>32223</v>
      </c>
      <c r="H39" t="s">
        <v>2970</v>
      </c>
      <c r="I39">
        <v>93365628</v>
      </c>
      <c r="J39" t="s">
        <v>1507</v>
      </c>
      <c r="K39" t="s">
        <v>56</v>
      </c>
      <c r="L39" s="3">
        <v>46863</v>
      </c>
      <c r="M39" s="3">
        <v>46838</v>
      </c>
      <c r="N39" t="s">
        <v>2971</v>
      </c>
      <c r="O39" s="4">
        <v>0.8</v>
      </c>
      <c r="P39">
        <v>0</v>
      </c>
      <c r="Q39">
        <v>0</v>
      </c>
    </row>
    <row r="40" spans="1:17" x14ac:dyDescent="0.25">
      <c r="A40">
        <v>42336</v>
      </c>
      <c r="B40" t="s">
        <v>3548</v>
      </c>
      <c r="C40" t="s">
        <v>3549</v>
      </c>
      <c r="D40" s="3">
        <v>38253</v>
      </c>
      <c r="E40" t="s">
        <v>1379</v>
      </c>
      <c r="G40" s="3">
        <v>45918</v>
      </c>
      <c r="H40" t="s">
        <v>3550</v>
      </c>
      <c r="J40" t="s">
        <v>1836</v>
      </c>
      <c r="L40" s="3">
        <v>1</v>
      </c>
      <c r="M40" s="3">
        <v>1</v>
      </c>
      <c r="O40" s="4">
        <v>1</v>
      </c>
      <c r="P40">
        <v>0</v>
      </c>
      <c r="Q40">
        <v>0</v>
      </c>
    </row>
    <row r="41" spans="1:17" x14ac:dyDescent="0.25">
      <c r="A41">
        <v>42307</v>
      </c>
      <c r="B41" t="s">
        <v>1478</v>
      </c>
      <c r="C41" t="s">
        <v>2605</v>
      </c>
      <c r="D41" s="3">
        <v>36846</v>
      </c>
      <c r="E41" t="s">
        <v>1379</v>
      </c>
      <c r="G41" s="3">
        <v>45903</v>
      </c>
      <c r="H41" t="s">
        <v>3551</v>
      </c>
      <c r="J41" t="s">
        <v>1836</v>
      </c>
      <c r="K41" t="s">
        <v>44</v>
      </c>
      <c r="L41" s="3">
        <v>1</v>
      </c>
      <c r="M41" s="3">
        <v>1</v>
      </c>
      <c r="N41" t="s">
        <v>3552</v>
      </c>
      <c r="O41" s="4">
        <v>1</v>
      </c>
      <c r="P41">
        <v>0</v>
      </c>
      <c r="Q41">
        <v>0</v>
      </c>
    </row>
    <row r="42" spans="1:17" x14ac:dyDescent="0.25">
      <c r="A42">
        <v>42277</v>
      </c>
      <c r="B42" t="s">
        <v>3553</v>
      </c>
      <c r="C42" t="s">
        <v>3554</v>
      </c>
      <c r="D42" s="3">
        <v>30518</v>
      </c>
      <c r="E42" t="s">
        <v>1379</v>
      </c>
      <c r="G42" s="3">
        <v>45918</v>
      </c>
      <c r="H42" t="s">
        <v>3555</v>
      </c>
      <c r="J42" t="s">
        <v>1836</v>
      </c>
      <c r="L42" s="3">
        <v>1</v>
      </c>
      <c r="M42" s="3">
        <v>1</v>
      </c>
      <c r="O42" s="4">
        <v>1</v>
      </c>
      <c r="P42">
        <v>0</v>
      </c>
      <c r="Q42">
        <v>0</v>
      </c>
    </row>
    <row r="43" spans="1:17" x14ac:dyDescent="0.25">
      <c r="A43">
        <v>42269</v>
      </c>
      <c r="B43" t="s">
        <v>3424</v>
      </c>
      <c r="C43" t="s">
        <v>3556</v>
      </c>
      <c r="D43" s="3">
        <v>36642</v>
      </c>
      <c r="E43" t="s">
        <v>1379</v>
      </c>
      <c r="G43" s="3">
        <v>45903</v>
      </c>
      <c r="H43" t="s">
        <v>3557</v>
      </c>
      <c r="J43" t="s">
        <v>1836</v>
      </c>
      <c r="K43" t="s">
        <v>44</v>
      </c>
      <c r="L43" s="3">
        <v>1</v>
      </c>
      <c r="M43" s="3">
        <v>1</v>
      </c>
      <c r="N43" t="s">
        <v>3558</v>
      </c>
      <c r="O43" s="4">
        <v>1</v>
      </c>
      <c r="P43">
        <v>0</v>
      </c>
      <c r="Q43">
        <v>0</v>
      </c>
    </row>
    <row r="44" spans="1:17" x14ac:dyDescent="0.25">
      <c r="A44">
        <v>42252</v>
      </c>
      <c r="B44" t="s">
        <v>3559</v>
      </c>
      <c r="C44" t="s">
        <v>3439</v>
      </c>
      <c r="D44" s="3">
        <v>37782</v>
      </c>
      <c r="E44" t="s">
        <v>1379</v>
      </c>
      <c r="G44" s="3">
        <v>45903</v>
      </c>
      <c r="H44" t="s">
        <v>3560</v>
      </c>
      <c r="J44" t="s">
        <v>1836</v>
      </c>
      <c r="K44" t="s">
        <v>44</v>
      </c>
      <c r="L44" s="3">
        <v>1</v>
      </c>
      <c r="M44" s="3">
        <v>1</v>
      </c>
      <c r="N44" t="s">
        <v>3561</v>
      </c>
      <c r="O44" s="4">
        <v>1</v>
      </c>
      <c r="P44">
        <v>0</v>
      </c>
      <c r="Q44">
        <v>0</v>
      </c>
    </row>
    <row r="45" spans="1:17" x14ac:dyDescent="0.25">
      <c r="A45">
        <v>42249</v>
      </c>
      <c r="B45" t="s">
        <v>3562</v>
      </c>
      <c r="C45" t="s">
        <v>1663</v>
      </c>
      <c r="D45" s="3">
        <v>24857</v>
      </c>
      <c r="E45" t="s">
        <v>1379</v>
      </c>
      <c r="G45" s="3">
        <v>45903</v>
      </c>
      <c r="H45" t="s">
        <v>3563</v>
      </c>
      <c r="J45" t="s">
        <v>1836</v>
      </c>
      <c r="K45" t="s">
        <v>47</v>
      </c>
      <c r="L45" s="3">
        <v>1</v>
      </c>
      <c r="M45" s="3">
        <v>1</v>
      </c>
      <c r="N45" t="s">
        <v>3564</v>
      </c>
      <c r="O45" s="4">
        <v>1</v>
      </c>
      <c r="P45">
        <v>0</v>
      </c>
      <c r="Q45">
        <v>0</v>
      </c>
    </row>
    <row r="46" spans="1:17" x14ac:dyDescent="0.25">
      <c r="A46">
        <v>42218</v>
      </c>
      <c r="B46" t="s">
        <v>2007</v>
      </c>
      <c r="C46" t="s">
        <v>3565</v>
      </c>
      <c r="D46" s="3">
        <v>37215</v>
      </c>
      <c r="E46" t="s">
        <v>1379</v>
      </c>
      <c r="G46" s="3">
        <v>45903</v>
      </c>
      <c r="H46" t="s">
        <v>3566</v>
      </c>
      <c r="J46" t="s">
        <v>1836</v>
      </c>
      <c r="K46" t="s">
        <v>53</v>
      </c>
      <c r="L46" s="3">
        <v>1</v>
      </c>
      <c r="M46" s="3">
        <v>1</v>
      </c>
      <c r="N46" t="s">
        <v>3567</v>
      </c>
      <c r="O46" s="4">
        <v>1</v>
      </c>
      <c r="P46">
        <v>0</v>
      </c>
      <c r="Q46">
        <v>0</v>
      </c>
    </row>
    <row r="47" spans="1:17" x14ac:dyDescent="0.25">
      <c r="A47">
        <v>42211</v>
      </c>
      <c r="B47" t="s">
        <v>3568</v>
      </c>
      <c r="C47" t="s">
        <v>3569</v>
      </c>
      <c r="D47" s="3">
        <v>36604</v>
      </c>
      <c r="E47" t="s">
        <v>1379</v>
      </c>
      <c r="G47" s="3">
        <v>45889</v>
      </c>
      <c r="H47" t="s">
        <v>3570</v>
      </c>
      <c r="J47" t="s">
        <v>1836</v>
      </c>
      <c r="K47" t="s">
        <v>47</v>
      </c>
      <c r="L47" s="3">
        <v>1</v>
      </c>
      <c r="M47" s="3">
        <v>1</v>
      </c>
      <c r="N47" t="s">
        <v>3571</v>
      </c>
      <c r="O47" s="4">
        <v>1</v>
      </c>
      <c r="P47">
        <v>0</v>
      </c>
      <c r="Q47">
        <v>0</v>
      </c>
    </row>
    <row r="48" spans="1:17" x14ac:dyDescent="0.25">
      <c r="A48">
        <v>42196</v>
      </c>
      <c r="B48" t="s">
        <v>3572</v>
      </c>
      <c r="C48" t="s">
        <v>3573</v>
      </c>
      <c r="D48" s="3">
        <v>37251</v>
      </c>
      <c r="E48" t="s">
        <v>1379</v>
      </c>
      <c r="G48" s="3">
        <v>45903</v>
      </c>
      <c r="H48" t="s">
        <v>3574</v>
      </c>
      <c r="J48" t="s">
        <v>1387</v>
      </c>
      <c r="K48" t="s">
        <v>38</v>
      </c>
      <c r="L48" s="3">
        <v>1</v>
      </c>
      <c r="M48" s="3">
        <v>1</v>
      </c>
      <c r="N48" t="s">
        <v>3575</v>
      </c>
      <c r="O48" s="4">
        <v>1</v>
      </c>
      <c r="P48">
        <v>0</v>
      </c>
      <c r="Q48">
        <v>0</v>
      </c>
    </row>
    <row r="49" spans="1:17" x14ac:dyDescent="0.25">
      <c r="A49">
        <v>42195</v>
      </c>
      <c r="B49" t="s">
        <v>3576</v>
      </c>
      <c r="C49" t="s">
        <v>3577</v>
      </c>
      <c r="D49" s="3">
        <v>33465</v>
      </c>
      <c r="E49" t="s">
        <v>1379</v>
      </c>
      <c r="G49" s="3">
        <v>45889</v>
      </c>
      <c r="H49" t="s">
        <v>3578</v>
      </c>
      <c r="J49" t="s">
        <v>1387</v>
      </c>
      <c r="K49" t="s">
        <v>53</v>
      </c>
      <c r="L49" s="3">
        <v>1</v>
      </c>
      <c r="M49" s="3">
        <v>1</v>
      </c>
      <c r="N49" t="s">
        <v>3579</v>
      </c>
      <c r="O49" s="4">
        <v>1</v>
      </c>
      <c r="P49">
        <v>0</v>
      </c>
      <c r="Q49">
        <v>0</v>
      </c>
    </row>
    <row r="50" spans="1:17" x14ac:dyDescent="0.25">
      <c r="A50">
        <v>42164</v>
      </c>
      <c r="B50" t="s">
        <v>1833</v>
      </c>
      <c r="C50" t="s">
        <v>1834</v>
      </c>
      <c r="D50" s="3">
        <v>30767</v>
      </c>
      <c r="E50" t="s">
        <v>1379</v>
      </c>
      <c r="G50" s="3">
        <v>45870</v>
      </c>
      <c r="H50" t="s">
        <v>1835</v>
      </c>
      <c r="I50" t="s">
        <v>3580</v>
      </c>
      <c r="J50" t="s">
        <v>1836</v>
      </c>
      <c r="K50" t="s">
        <v>35</v>
      </c>
      <c r="L50" s="3">
        <v>46301</v>
      </c>
      <c r="M50" s="3">
        <v>47644</v>
      </c>
      <c r="N50" t="s">
        <v>1837</v>
      </c>
      <c r="O50" s="4">
        <v>1</v>
      </c>
      <c r="P50">
        <v>0</v>
      </c>
      <c r="Q50">
        <v>0</v>
      </c>
    </row>
    <row r="51" spans="1:17" x14ac:dyDescent="0.25">
      <c r="A51">
        <v>42146</v>
      </c>
      <c r="B51" t="s">
        <v>2520</v>
      </c>
      <c r="C51" t="s">
        <v>2521</v>
      </c>
      <c r="D51" s="3">
        <v>34251</v>
      </c>
      <c r="E51" t="s">
        <v>1379</v>
      </c>
      <c r="G51" s="3">
        <v>45874</v>
      </c>
      <c r="H51" t="s">
        <v>2522</v>
      </c>
      <c r="J51" t="s">
        <v>1392</v>
      </c>
      <c r="K51" t="s">
        <v>50</v>
      </c>
      <c r="L51" s="3">
        <v>47722</v>
      </c>
      <c r="M51" s="3">
        <v>47664</v>
      </c>
      <c r="N51" t="s">
        <v>2523</v>
      </c>
      <c r="O51" s="4">
        <v>1</v>
      </c>
      <c r="P51">
        <v>0</v>
      </c>
      <c r="Q51">
        <v>0</v>
      </c>
    </row>
    <row r="52" spans="1:17" x14ac:dyDescent="0.25">
      <c r="A52">
        <v>42145</v>
      </c>
      <c r="B52" t="s">
        <v>1682</v>
      </c>
      <c r="C52" t="s">
        <v>1683</v>
      </c>
      <c r="D52" s="3">
        <v>36894</v>
      </c>
      <c r="E52" t="s">
        <v>1379</v>
      </c>
      <c r="G52" s="3">
        <v>45874</v>
      </c>
      <c r="H52" t="s">
        <v>1684</v>
      </c>
      <c r="J52" t="s">
        <v>1392</v>
      </c>
      <c r="K52" t="s">
        <v>50</v>
      </c>
      <c r="L52" s="3">
        <v>47720</v>
      </c>
      <c r="M52" s="3">
        <v>47664</v>
      </c>
      <c r="N52" t="s">
        <v>1685</v>
      </c>
      <c r="O52" s="4">
        <v>1</v>
      </c>
      <c r="P52">
        <v>0</v>
      </c>
      <c r="Q52">
        <v>0</v>
      </c>
    </row>
    <row r="53" spans="1:17" x14ac:dyDescent="0.25">
      <c r="A53">
        <v>42144</v>
      </c>
      <c r="B53" t="s">
        <v>3581</v>
      </c>
      <c r="C53" t="s">
        <v>3582</v>
      </c>
      <c r="D53" s="3">
        <v>35367</v>
      </c>
      <c r="E53" t="s">
        <v>1379</v>
      </c>
      <c r="G53" s="3">
        <v>45889</v>
      </c>
      <c r="H53" t="s">
        <v>3583</v>
      </c>
      <c r="J53" t="s">
        <v>1387</v>
      </c>
      <c r="K53" t="s">
        <v>41</v>
      </c>
      <c r="L53" s="3">
        <v>1</v>
      </c>
      <c r="M53" s="3">
        <v>1</v>
      </c>
      <c r="N53" t="s">
        <v>3584</v>
      </c>
      <c r="O53" s="4">
        <v>1</v>
      </c>
      <c r="P53">
        <v>0</v>
      </c>
      <c r="Q53">
        <v>0</v>
      </c>
    </row>
    <row r="54" spans="1:17" x14ac:dyDescent="0.25">
      <c r="A54">
        <v>42143</v>
      </c>
      <c r="B54" t="s">
        <v>3585</v>
      </c>
      <c r="C54" t="s">
        <v>3586</v>
      </c>
      <c r="D54" s="3">
        <v>32154</v>
      </c>
      <c r="E54" t="s">
        <v>1379</v>
      </c>
      <c r="G54" s="3">
        <v>45889</v>
      </c>
      <c r="H54" t="s">
        <v>3587</v>
      </c>
      <c r="J54" t="s">
        <v>1387</v>
      </c>
      <c r="K54" t="s">
        <v>38</v>
      </c>
      <c r="L54" s="3">
        <v>1</v>
      </c>
      <c r="M54" s="3">
        <v>1</v>
      </c>
      <c r="N54" t="s">
        <v>3588</v>
      </c>
      <c r="O54" s="4">
        <v>1</v>
      </c>
      <c r="P54">
        <v>0</v>
      </c>
      <c r="Q54">
        <v>0</v>
      </c>
    </row>
    <row r="55" spans="1:17" x14ac:dyDescent="0.25">
      <c r="A55">
        <v>42141</v>
      </c>
      <c r="B55" t="s">
        <v>2174</v>
      </c>
      <c r="C55" t="s">
        <v>2175</v>
      </c>
      <c r="D55" s="3">
        <v>34485</v>
      </c>
      <c r="E55" t="s">
        <v>1379</v>
      </c>
      <c r="G55" s="3">
        <v>45868</v>
      </c>
      <c r="H55" t="s">
        <v>2176</v>
      </c>
      <c r="J55" t="s">
        <v>1387</v>
      </c>
      <c r="K55" t="s">
        <v>44</v>
      </c>
      <c r="L55" s="3">
        <v>47428</v>
      </c>
      <c r="M55" s="3">
        <v>47243</v>
      </c>
      <c r="N55" t="s">
        <v>2177</v>
      </c>
      <c r="O55" s="4">
        <v>1</v>
      </c>
      <c r="P55">
        <v>0</v>
      </c>
      <c r="Q55">
        <v>0</v>
      </c>
    </row>
    <row r="56" spans="1:17" x14ac:dyDescent="0.25">
      <c r="A56">
        <v>42120</v>
      </c>
      <c r="B56" t="s">
        <v>2972</v>
      </c>
      <c r="C56" t="s">
        <v>2973</v>
      </c>
      <c r="D56" s="3">
        <v>38832</v>
      </c>
      <c r="E56" t="s">
        <v>1379</v>
      </c>
      <c r="G56" s="3">
        <v>45860</v>
      </c>
      <c r="H56" t="s">
        <v>2974</v>
      </c>
      <c r="J56" t="s">
        <v>1387</v>
      </c>
      <c r="K56" t="s">
        <v>47</v>
      </c>
      <c r="L56" s="3">
        <v>47702</v>
      </c>
      <c r="M56" s="3">
        <v>47678</v>
      </c>
      <c r="N56" t="s">
        <v>2975</v>
      </c>
      <c r="O56" s="4">
        <v>1</v>
      </c>
      <c r="P56">
        <v>0</v>
      </c>
      <c r="Q56">
        <v>0</v>
      </c>
    </row>
    <row r="57" spans="1:17" x14ac:dyDescent="0.25">
      <c r="A57">
        <v>42105</v>
      </c>
      <c r="B57" t="s">
        <v>2627</v>
      </c>
      <c r="C57" t="s">
        <v>2628</v>
      </c>
      <c r="D57" s="3">
        <v>37799</v>
      </c>
      <c r="E57" t="s">
        <v>1379</v>
      </c>
      <c r="G57" s="3">
        <v>45860</v>
      </c>
      <c r="H57" t="s">
        <v>2629</v>
      </c>
      <c r="J57" t="s">
        <v>1387</v>
      </c>
      <c r="K57" t="s">
        <v>53</v>
      </c>
      <c r="L57" s="3">
        <v>47705</v>
      </c>
      <c r="M57" s="3">
        <v>47664</v>
      </c>
      <c r="N57" t="s">
        <v>2630</v>
      </c>
      <c r="O57" s="4">
        <v>1</v>
      </c>
      <c r="P57">
        <v>0</v>
      </c>
      <c r="Q57">
        <v>0</v>
      </c>
    </row>
    <row r="58" spans="1:17" x14ac:dyDescent="0.25">
      <c r="A58">
        <v>42082</v>
      </c>
      <c r="B58" t="s">
        <v>2015</v>
      </c>
      <c r="C58" t="s">
        <v>2016</v>
      </c>
      <c r="D58" s="3">
        <v>37796</v>
      </c>
      <c r="E58" t="s">
        <v>1379</v>
      </c>
      <c r="G58" s="3">
        <v>45853</v>
      </c>
      <c r="H58" t="s">
        <v>2017</v>
      </c>
      <c r="J58" t="s">
        <v>1387</v>
      </c>
      <c r="K58" t="s">
        <v>35</v>
      </c>
      <c r="L58" s="3">
        <v>1</v>
      </c>
      <c r="M58" s="3">
        <v>1</v>
      </c>
      <c r="N58" t="s">
        <v>2018</v>
      </c>
      <c r="O58" s="4">
        <v>1</v>
      </c>
      <c r="P58">
        <v>0</v>
      </c>
      <c r="Q58">
        <v>0</v>
      </c>
    </row>
    <row r="59" spans="1:17" x14ac:dyDescent="0.25">
      <c r="A59">
        <v>42044</v>
      </c>
      <c r="B59" t="s">
        <v>2513</v>
      </c>
      <c r="C59" t="s">
        <v>2514</v>
      </c>
      <c r="D59" s="3">
        <v>33500</v>
      </c>
      <c r="E59" t="s">
        <v>1379</v>
      </c>
      <c r="G59" s="3">
        <v>45854</v>
      </c>
      <c r="H59" t="s">
        <v>2515</v>
      </c>
      <c r="J59" t="s">
        <v>1387</v>
      </c>
      <c r="K59" t="s">
        <v>35</v>
      </c>
      <c r="L59" s="3">
        <v>46678</v>
      </c>
      <c r="M59" s="3">
        <v>46606</v>
      </c>
      <c r="N59" t="s">
        <v>2516</v>
      </c>
      <c r="O59" s="4">
        <v>1</v>
      </c>
      <c r="P59">
        <v>0</v>
      </c>
      <c r="Q59">
        <v>0</v>
      </c>
    </row>
    <row r="60" spans="1:17" x14ac:dyDescent="0.25">
      <c r="A60">
        <v>42022</v>
      </c>
      <c r="B60" t="s">
        <v>3366</v>
      </c>
      <c r="C60" t="s">
        <v>3367</v>
      </c>
      <c r="D60" s="3">
        <v>36225</v>
      </c>
      <c r="E60" t="s">
        <v>1379</v>
      </c>
      <c r="G60" s="3">
        <v>45840</v>
      </c>
      <c r="H60" t="s">
        <v>3368</v>
      </c>
      <c r="J60" t="s">
        <v>1387</v>
      </c>
      <c r="K60" t="s">
        <v>41</v>
      </c>
      <c r="L60" s="3">
        <v>47538</v>
      </c>
      <c r="M60" s="3">
        <v>47243</v>
      </c>
      <c r="N60" t="s">
        <v>3369</v>
      </c>
      <c r="O60" s="4">
        <v>1</v>
      </c>
      <c r="P60">
        <v>0</v>
      </c>
      <c r="Q60">
        <v>0</v>
      </c>
    </row>
    <row r="61" spans="1:17" x14ac:dyDescent="0.25">
      <c r="A61">
        <v>42015</v>
      </c>
      <c r="B61" t="s">
        <v>3388</v>
      </c>
      <c r="C61" t="s">
        <v>3389</v>
      </c>
      <c r="D61" s="3">
        <v>31325</v>
      </c>
      <c r="E61" t="s">
        <v>1379</v>
      </c>
      <c r="G61" s="3">
        <v>45831</v>
      </c>
      <c r="H61" t="s">
        <v>3390</v>
      </c>
      <c r="J61" t="s">
        <v>1387</v>
      </c>
      <c r="K61" t="s">
        <v>41</v>
      </c>
      <c r="L61" s="3">
        <v>47679</v>
      </c>
      <c r="M61" s="3">
        <v>47636</v>
      </c>
      <c r="N61" t="s">
        <v>3391</v>
      </c>
      <c r="O61" s="4">
        <v>1</v>
      </c>
      <c r="P61">
        <v>0</v>
      </c>
      <c r="Q61">
        <v>0</v>
      </c>
    </row>
    <row r="62" spans="1:17" x14ac:dyDescent="0.25">
      <c r="A62">
        <v>42002</v>
      </c>
      <c r="B62" t="s">
        <v>2453</v>
      </c>
      <c r="C62" t="s">
        <v>2454</v>
      </c>
      <c r="D62" s="3">
        <v>37670</v>
      </c>
      <c r="E62" t="s">
        <v>1379</v>
      </c>
      <c r="G62" s="3">
        <v>45814</v>
      </c>
      <c r="H62" t="s">
        <v>2455</v>
      </c>
      <c r="J62" t="s">
        <v>1387</v>
      </c>
      <c r="K62" t="s">
        <v>41</v>
      </c>
      <c r="L62" s="3">
        <v>47660</v>
      </c>
      <c r="M62" s="3">
        <v>47622</v>
      </c>
      <c r="N62" t="s">
        <v>2456</v>
      </c>
      <c r="O62" s="4">
        <v>1</v>
      </c>
      <c r="P62">
        <v>0</v>
      </c>
      <c r="Q62">
        <v>0</v>
      </c>
    </row>
    <row r="63" spans="1:17" x14ac:dyDescent="0.25">
      <c r="A63">
        <v>41949</v>
      </c>
      <c r="B63" t="s">
        <v>2178</v>
      </c>
      <c r="C63" t="s">
        <v>2175</v>
      </c>
      <c r="D63" s="3">
        <v>32049</v>
      </c>
      <c r="E63" t="s">
        <v>1379</v>
      </c>
      <c r="G63" s="3">
        <v>45845</v>
      </c>
      <c r="H63" t="s">
        <v>2179</v>
      </c>
      <c r="J63" t="s">
        <v>1387</v>
      </c>
      <c r="K63" t="s">
        <v>44</v>
      </c>
      <c r="L63" s="3">
        <v>47688</v>
      </c>
      <c r="M63" s="3">
        <v>47616</v>
      </c>
      <c r="N63" t="s">
        <v>2180</v>
      </c>
      <c r="O63" s="4">
        <v>1</v>
      </c>
      <c r="P63">
        <v>0</v>
      </c>
      <c r="Q63">
        <v>0</v>
      </c>
    </row>
    <row r="64" spans="1:17" x14ac:dyDescent="0.25">
      <c r="A64">
        <v>41948</v>
      </c>
      <c r="B64" t="s">
        <v>1465</v>
      </c>
      <c r="C64" t="s">
        <v>1453</v>
      </c>
      <c r="D64" s="3">
        <v>24230</v>
      </c>
      <c r="E64" t="s">
        <v>1379</v>
      </c>
      <c r="G64" s="3">
        <v>45831</v>
      </c>
      <c r="H64" t="s">
        <v>1466</v>
      </c>
      <c r="J64" t="s">
        <v>1387</v>
      </c>
      <c r="K64" t="s">
        <v>53</v>
      </c>
      <c r="L64" s="3">
        <v>47677</v>
      </c>
      <c r="M64" s="3">
        <v>47610</v>
      </c>
      <c r="N64" t="s">
        <v>1467</v>
      </c>
      <c r="O64" s="4">
        <v>1</v>
      </c>
      <c r="P64">
        <v>0</v>
      </c>
      <c r="Q64">
        <v>0</v>
      </c>
    </row>
    <row r="65" spans="1:17" x14ac:dyDescent="0.25">
      <c r="A65">
        <v>41944</v>
      </c>
      <c r="B65" t="s">
        <v>2758</v>
      </c>
      <c r="C65" t="s">
        <v>2759</v>
      </c>
      <c r="D65" s="3">
        <v>36537</v>
      </c>
      <c r="E65" t="s">
        <v>1379</v>
      </c>
      <c r="G65" s="3">
        <v>45798</v>
      </c>
      <c r="H65" t="s">
        <v>2760</v>
      </c>
      <c r="J65" t="s">
        <v>1387</v>
      </c>
      <c r="K65" t="s">
        <v>35</v>
      </c>
      <c r="L65" s="3">
        <v>47645</v>
      </c>
      <c r="M65" s="3">
        <v>47615</v>
      </c>
      <c r="N65" t="s">
        <v>2761</v>
      </c>
      <c r="O65" s="4">
        <v>1</v>
      </c>
      <c r="P65">
        <v>0</v>
      </c>
      <c r="Q65">
        <v>0</v>
      </c>
    </row>
    <row r="66" spans="1:17" x14ac:dyDescent="0.25">
      <c r="A66">
        <v>41918</v>
      </c>
      <c r="B66" t="s">
        <v>1793</v>
      </c>
      <c r="C66" t="s">
        <v>1794</v>
      </c>
      <c r="D66" s="3">
        <v>30683</v>
      </c>
      <c r="E66" t="s">
        <v>1379</v>
      </c>
      <c r="G66" s="3">
        <v>45831</v>
      </c>
      <c r="H66" t="s">
        <v>1795</v>
      </c>
      <c r="J66" t="s">
        <v>1387</v>
      </c>
      <c r="K66" t="s">
        <v>44</v>
      </c>
      <c r="L66" s="3">
        <v>47673</v>
      </c>
      <c r="M66" s="3">
        <v>47608</v>
      </c>
      <c r="N66" t="s">
        <v>1796</v>
      </c>
      <c r="O66" s="4">
        <v>1</v>
      </c>
      <c r="P66">
        <v>0</v>
      </c>
      <c r="Q66">
        <v>0</v>
      </c>
    </row>
    <row r="67" spans="1:17" x14ac:dyDescent="0.25">
      <c r="A67">
        <v>41888</v>
      </c>
      <c r="B67" t="s">
        <v>3207</v>
      </c>
      <c r="C67" t="s">
        <v>1334</v>
      </c>
      <c r="D67" s="3">
        <v>28560</v>
      </c>
      <c r="E67" t="s">
        <v>1379</v>
      </c>
      <c r="G67" s="3">
        <v>45831</v>
      </c>
      <c r="H67" t="s">
        <v>3208</v>
      </c>
      <c r="J67" t="s">
        <v>1387</v>
      </c>
      <c r="K67" t="s">
        <v>47</v>
      </c>
      <c r="L67" s="3">
        <v>47678</v>
      </c>
      <c r="M67" s="3">
        <v>47594</v>
      </c>
      <c r="N67" t="s">
        <v>3209</v>
      </c>
      <c r="O67" s="4">
        <v>1</v>
      </c>
      <c r="P67">
        <v>0</v>
      </c>
      <c r="Q67">
        <v>0</v>
      </c>
    </row>
    <row r="68" spans="1:17" x14ac:dyDescent="0.25">
      <c r="A68">
        <v>41882</v>
      </c>
      <c r="B68" t="s">
        <v>3259</v>
      </c>
      <c r="C68" t="s">
        <v>3260</v>
      </c>
      <c r="D68" s="3">
        <v>32479</v>
      </c>
      <c r="E68" t="s">
        <v>1379</v>
      </c>
      <c r="G68" s="3">
        <v>45831</v>
      </c>
      <c r="H68" t="s">
        <v>3261</v>
      </c>
      <c r="J68" t="s">
        <v>1387</v>
      </c>
      <c r="K68" t="s">
        <v>41</v>
      </c>
      <c r="L68" s="3">
        <v>47673</v>
      </c>
      <c r="M68" s="3">
        <v>47568</v>
      </c>
      <c r="N68" t="s">
        <v>3262</v>
      </c>
      <c r="O68" s="4">
        <v>1</v>
      </c>
      <c r="P68">
        <v>0</v>
      </c>
      <c r="Q68">
        <v>0</v>
      </c>
    </row>
    <row r="69" spans="1:17" x14ac:dyDescent="0.25">
      <c r="A69">
        <v>41874</v>
      </c>
      <c r="B69" t="s">
        <v>3181</v>
      </c>
      <c r="C69" t="s">
        <v>3182</v>
      </c>
      <c r="D69" s="3">
        <v>26143</v>
      </c>
      <c r="E69" t="s">
        <v>1379</v>
      </c>
      <c r="G69" s="3">
        <v>45814</v>
      </c>
      <c r="H69" t="s">
        <v>3183</v>
      </c>
      <c r="J69" t="s">
        <v>1387</v>
      </c>
      <c r="K69" t="s">
        <v>35</v>
      </c>
      <c r="L69" s="3">
        <v>47659</v>
      </c>
      <c r="M69" s="3">
        <v>47596</v>
      </c>
      <c r="N69" t="s">
        <v>3184</v>
      </c>
      <c r="O69" s="4">
        <v>1</v>
      </c>
      <c r="P69">
        <v>0</v>
      </c>
      <c r="Q69">
        <v>0</v>
      </c>
    </row>
    <row r="70" spans="1:17" x14ac:dyDescent="0.25">
      <c r="A70">
        <v>41871</v>
      </c>
      <c r="B70" t="s">
        <v>2691</v>
      </c>
      <c r="C70" t="s">
        <v>2692</v>
      </c>
      <c r="D70" s="3">
        <v>36357</v>
      </c>
      <c r="E70" t="s">
        <v>1379</v>
      </c>
      <c r="G70" s="3">
        <v>45798</v>
      </c>
      <c r="H70" t="s">
        <v>2693</v>
      </c>
      <c r="J70" t="s">
        <v>1387</v>
      </c>
      <c r="K70" t="s">
        <v>35</v>
      </c>
      <c r="L70" s="3">
        <v>47645</v>
      </c>
      <c r="M70" s="3">
        <v>47538</v>
      </c>
      <c r="N70" t="s">
        <v>2694</v>
      </c>
      <c r="O70" s="4">
        <v>1</v>
      </c>
      <c r="P70">
        <v>0</v>
      </c>
      <c r="Q70">
        <v>0</v>
      </c>
    </row>
    <row r="71" spans="1:17" x14ac:dyDescent="0.25">
      <c r="A71">
        <v>41870</v>
      </c>
      <c r="B71" t="s">
        <v>1440</v>
      </c>
      <c r="C71" t="s">
        <v>1441</v>
      </c>
      <c r="D71" s="3">
        <v>36390</v>
      </c>
      <c r="E71" t="s">
        <v>1379</v>
      </c>
      <c r="G71" s="3">
        <v>45798</v>
      </c>
      <c r="H71" t="s">
        <v>1442</v>
      </c>
      <c r="J71" t="s">
        <v>1387</v>
      </c>
      <c r="K71" t="s">
        <v>50</v>
      </c>
      <c r="L71" s="3">
        <v>47645</v>
      </c>
      <c r="M71" s="3">
        <v>46831</v>
      </c>
      <c r="N71" t="s">
        <v>1443</v>
      </c>
      <c r="O71" s="4">
        <v>1</v>
      </c>
      <c r="P71">
        <v>0</v>
      </c>
      <c r="Q71">
        <v>0</v>
      </c>
    </row>
    <row r="72" spans="1:17" x14ac:dyDescent="0.25">
      <c r="A72">
        <v>41838</v>
      </c>
      <c r="B72" t="s">
        <v>2167</v>
      </c>
      <c r="C72" t="s">
        <v>2168</v>
      </c>
      <c r="D72" s="3">
        <v>37565</v>
      </c>
      <c r="E72" t="s">
        <v>1379</v>
      </c>
      <c r="G72" s="3">
        <v>45783</v>
      </c>
      <c r="H72" t="s">
        <v>2169</v>
      </c>
      <c r="J72" t="s">
        <v>1387</v>
      </c>
      <c r="K72" t="s">
        <v>50</v>
      </c>
      <c r="L72" s="3">
        <v>47629</v>
      </c>
      <c r="M72" s="3">
        <v>47596</v>
      </c>
      <c r="N72" t="s">
        <v>2170</v>
      </c>
      <c r="O72" s="4">
        <v>1</v>
      </c>
      <c r="P72">
        <v>0</v>
      </c>
      <c r="Q72">
        <v>0</v>
      </c>
    </row>
    <row r="73" spans="1:17" x14ac:dyDescent="0.25">
      <c r="A73">
        <v>41821</v>
      </c>
      <c r="B73" t="s">
        <v>3457</v>
      </c>
      <c r="C73" t="s">
        <v>3458</v>
      </c>
      <c r="D73" s="3">
        <v>37792</v>
      </c>
      <c r="E73" t="s">
        <v>1379</v>
      </c>
      <c r="G73" s="3">
        <v>45783</v>
      </c>
      <c r="H73" t="s">
        <v>3459</v>
      </c>
      <c r="J73" t="s">
        <v>1387</v>
      </c>
      <c r="K73" t="s">
        <v>44</v>
      </c>
      <c r="L73" s="3">
        <v>47629</v>
      </c>
      <c r="M73" s="3">
        <v>47538</v>
      </c>
      <c r="N73" t="s">
        <v>3460</v>
      </c>
      <c r="O73" s="4">
        <v>1</v>
      </c>
      <c r="P73">
        <v>0</v>
      </c>
      <c r="Q73">
        <v>0</v>
      </c>
    </row>
    <row r="74" spans="1:17" x14ac:dyDescent="0.25">
      <c r="A74">
        <v>41786</v>
      </c>
      <c r="B74" t="s">
        <v>3589</v>
      </c>
      <c r="C74" t="s">
        <v>2075</v>
      </c>
      <c r="D74" s="3">
        <v>34724</v>
      </c>
      <c r="E74" t="s">
        <v>1379</v>
      </c>
      <c r="G74" s="3">
        <v>45763</v>
      </c>
      <c r="H74" t="s">
        <v>2076</v>
      </c>
      <c r="J74" t="s">
        <v>1387</v>
      </c>
      <c r="K74" t="s">
        <v>44</v>
      </c>
      <c r="L74" s="3">
        <v>47611</v>
      </c>
      <c r="M74" s="3">
        <v>47561</v>
      </c>
      <c r="N74" t="s">
        <v>2077</v>
      </c>
      <c r="O74" s="4">
        <v>1</v>
      </c>
      <c r="P74">
        <v>0</v>
      </c>
      <c r="Q74">
        <v>0</v>
      </c>
    </row>
    <row r="75" spans="1:17" x14ac:dyDescent="0.25">
      <c r="A75">
        <v>41721</v>
      </c>
      <c r="B75" t="s">
        <v>1915</v>
      </c>
      <c r="C75" t="s">
        <v>1912</v>
      </c>
      <c r="D75" s="3">
        <v>26073</v>
      </c>
      <c r="E75" t="s">
        <v>1379</v>
      </c>
      <c r="G75" s="3">
        <v>45749</v>
      </c>
      <c r="H75" t="s">
        <v>1916</v>
      </c>
      <c r="J75" t="s">
        <v>1387</v>
      </c>
      <c r="K75" t="s">
        <v>47</v>
      </c>
      <c r="L75" s="3">
        <v>47594</v>
      </c>
      <c r="M75" s="3">
        <v>47503</v>
      </c>
      <c r="N75" t="s">
        <v>1917</v>
      </c>
      <c r="O75" s="4">
        <v>1</v>
      </c>
      <c r="P75">
        <v>0</v>
      </c>
      <c r="Q75">
        <v>0</v>
      </c>
    </row>
    <row r="76" spans="1:17" x14ac:dyDescent="0.25">
      <c r="A76">
        <v>41710</v>
      </c>
      <c r="B76" t="s">
        <v>2141</v>
      </c>
      <c r="C76" t="s">
        <v>2888</v>
      </c>
      <c r="D76" s="3">
        <v>25405</v>
      </c>
      <c r="E76" t="s">
        <v>1379</v>
      </c>
      <c r="G76" s="3">
        <v>45735</v>
      </c>
      <c r="H76" t="s">
        <v>2889</v>
      </c>
      <c r="J76" t="s">
        <v>1387</v>
      </c>
      <c r="K76" t="s">
        <v>41</v>
      </c>
      <c r="L76" s="3">
        <v>47581</v>
      </c>
      <c r="M76" s="3">
        <v>46817</v>
      </c>
      <c r="N76" t="s">
        <v>2890</v>
      </c>
      <c r="O76" s="4">
        <v>1</v>
      </c>
      <c r="P76">
        <v>0</v>
      </c>
      <c r="Q76">
        <v>0</v>
      </c>
    </row>
    <row r="77" spans="1:17" x14ac:dyDescent="0.25">
      <c r="A77">
        <v>41690</v>
      </c>
      <c r="B77" t="s">
        <v>2483</v>
      </c>
      <c r="C77" t="s">
        <v>2484</v>
      </c>
      <c r="D77" s="3">
        <v>31471</v>
      </c>
      <c r="E77" t="s">
        <v>1379</v>
      </c>
      <c r="G77" s="3">
        <v>45783</v>
      </c>
      <c r="H77" t="s">
        <v>2485</v>
      </c>
      <c r="J77" t="s">
        <v>1387</v>
      </c>
      <c r="K77" t="s">
        <v>53</v>
      </c>
      <c r="L77" s="3">
        <v>47628</v>
      </c>
      <c r="M77" s="3">
        <v>47524</v>
      </c>
      <c r="N77" t="s">
        <v>2486</v>
      </c>
      <c r="O77" s="4">
        <v>1</v>
      </c>
      <c r="P77">
        <v>0</v>
      </c>
      <c r="Q77">
        <v>0</v>
      </c>
    </row>
    <row r="78" spans="1:17" x14ac:dyDescent="0.25">
      <c r="A78">
        <v>41685</v>
      </c>
      <c r="B78" t="s">
        <v>2695</v>
      </c>
      <c r="C78" t="s">
        <v>2696</v>
      </c>
      <c r="D78" s="3">
        <v>37767</v>
      </c>
      <c r="E78" t="s">
        <v>1379</v>
      </c>
      <c r="G78" s="3">
        <v>45735</v>
      </c>
      <c r="H78" t="s">
        <v>2697</v>
      </c>
      <c r="J78" t="s">
        <v>1387</v>
      </c>
      <c r="K78" t="s">
        <v>47</v>
      </c>
      <c r="L78" s="3">
        <v>47582</v>
      </c>
      <c r="M78" s="3">
        <v>47538</v>
      </c>
      <c r="N78" t="s">
        <v>2698</v>
      </c>
      <c r="O78" s="4">
        <v>1</v>
      </c>
      <c r="P78">
        <v>0</v>
      </c>
      <c r="Q78">
        <v>0</v>
      </c>
    </row>
    <row r="79" spans="1:17" x14ac:dyDescent="0.25">
      <c r="A79">
        <v>41671</v>
      </c>
      <c r="B79" t="s">
        <v>1770</v>
      </c>
      <c r="C79" t="s">
        <v>1771</v>
      </c>
      <c r="D79" s="3">
        <v>32357</v>
      </c>
      <c r="E79" t="s">
        <v>1379</v>
      </c>
      <c r="G79" s="3">
        <v>45783</v>
      </c>
      <c r="H79" t="s">
        <v>1772</v>
      </c>
      <c r="J79" t="s">
        <v>1387</v>
      </c>
      <c r="K79" t="s">
        <v>38</v>
      </c>
      <c r="L79" s="3">
        <v>47628</v>
      </c>
      <c r="M79" s="3">
        <v>47518</v>
      </c>
      <c r="N79" t="s">
        <v>1773</v>
      </c>
      <c r="O79" s="4">
        <v>1</v>
      </c>
      <c r="P79">
        <v>0</v>
      </c>
      <c r="Q79">
        <v>0</v>
      </c>
    </row>
    <row r="80" spans="1:17" x14ac:dyDescent="0.25">
      <c r="A80">
        <v>41632</v>
      </c>
      <c r="B80" t="s">
        <v>1808</v>
      </c>
      <c r="C80" t="s">
        <v>1809</v>
      </c>
      <c r="D80" s="3">
        <v>24767</v>
      </c>
      <c r="E80" t="s">
        <v>1379</v>
      </c>
      <c r="G80" s="3">
        <v>45720</v>
      </c>
      <c r="H80" t="s">
        <v>1810</v>
      </c>
      <c r="J80" t="s">
        <v>1387</v>
      </c>
      <c r="K80" t="s">
        <v>38</v>
      </c>
      <c r="L80" s="3">
        <v>47562</v>
      </c>
      <c r="M80" s="3">
        <v>47533</v>
      </c>
      <c r="N80" t="s">
        <v>1811</v>
      </c>
      <c r="O80" s="4">
        <v>1</v>
      </c>
      <c r="P80">
        <v>0</v>
      </c>
      <c r="Q80">
        <v>0</v>
      </c>
    </row>
    <row r="81" spans="1:17" x14ac:dyDescent="0.25">
      <c r="A81">
        <v>41619</v>
      </c>
      <c r="B81" t="s">
        <v>2011</v>
      </c>
      <c r="C81" t="s">
        <v>2012</v>
      </c>
      <c r="D81" s="3">
        <v>33204</v>
      </c>
      <c r="E81" t="s">
        <v>1379</v>
      </c>
      <c r="G81" s="3">
        <v>45770</v>
      </c>
      <c r="H81" t="s">
        <v>2013</v>
      </c>
      <c r="J81" t="s">
        <v>1387</v>
      </c>
      <c r="K81" t="s">
        <v>38</v>
      </c>
      <c r="L81" s="3">
        <v>47050</v>
      </c>
      <c r="M81" s="3">
        <v>47044</v>
      </c>
      <c r="N81" t="s">
        <v>2014</v>
      </c>
      <c r="O81" s="4">
        <v>1</v>
      </c>
      <c r="P81">
        <v>0</v>
      </c>
      <c r="Q81">
        <v>0</v>
      </c>
    </row>
    <row r="82" spans="1:17" x14ac:dyDescent="0.25">
      <c r="A82">
        <v>41588</v>
      </c>
      <c r="B82" t="s">
        <v>1399</v>
      </c>
      <c r="C82" t="s">
        <v>1400</v>
      </c>
      <c r="D82" s="3">
        <v>24023</v>
      </c>
      <c r="E82" t="s">
        <v>1379</v>
      </c>
      <c r="G82" s="3">
        <v>45749</v>
      </c>
      <c r="H82" t="s">
        <v>1401</v>
      </c>
      <c r="J82" t="s">
        <v>1387</v>
      </c>
      <c r="K82" t="s">
        <v>47</v>
      </c>
      <c r="L82" s="3">
        <v>47596</v>
      </c>
      <c r="M82" s="3">
        <v>47504</v>
      </c>
      <c r="N82" t="s">
        <v>1402</v>
      </c>
      <c r="O82" s="4">
        <v>0.8</v>
      </c>
      <c r="P82">
        <v>0</v>
      </c>
      <c r="Q82">
        <v>0</v>
      </c>
    </row>
    <row r="83" spans="1:17" x14ac:dyDescent="0.25">
      <c r="A83">
        <v>41550</v>
      </c>
      <c r="B83" t="s">
        <v>3210</v>
      </c>
      <c r="C83" t="s">
        <v>1334</v>
      </c>
      <c r="D83" s="3">
        <v>31677</v>
      </c>
      <c r="E83" t="s">
        <v>1379</v>
      </c>
      <c r="G83" s="3">
        <v>45735</v>
      </c>
      <c r="H83" t="s">
        <v>3211</v>
      </c>
      <c r="J83" t="s">
        <v>1921</v>
      </c>
      <c r="K83" t="s">
        <v>44</v>
      </c>
      <c r="L83" s="3">
        <v>47115</v>
      </c>
      <c r="M83" s="3">
        <v>47015</v>
      </c>
      <c r="N83" t="s">
        <v>3212</v>
      </c>
      <c r="O83" s="4">
        <v>1</v>
      </c>
      <c r="P83">
        <v>0</v>
      </c>
      <c r="Q83">
        <v>0</v>
      </c>
    </row>
    <row r="84" spans="1:17" x14ac:dyDescent="0.25">
      <c r="A84">
        <v>41521</v>
      </c>
      <c r="B84" t="s">
        <v>3265</v>
      </c>
      <c r="C84" t="s">
        <v>3266</v>
      </c>
      <c r="D84" s="3">
        <v>31115</v>
      </c>
      <c r="E84" t="s">
        <v>1379</v>
      </c>
      <c r="G84" s="3">
        <v>45720</v>
      </c>
      <c r="H84" t="s">
        <v>3267</v>
      </c>
      <c r="J84" t="s">
        <v>1387</v>
      </c>
      <c r="K84" t="s">
        <v>47</v>
      </c>
      <c r="L84" s="3">
        <v>1</v>
      </c>
      <c r="M84" s="3">
        <v>1</v>
      </c>
      <c r="N84" t="s">
        <v>3268</v>
      </c>
      <c r="O84" s="4">
        <v>1</v>
      </c>
      <c r="P84">
        <v>0</v>
      </c>
      <c r="Q84">
        <v>0</v>
      </c>
    </row>
    <row r="85" spans="1:17" x14ac:dyDescent="0.25">
      <c r="A85">
        <v>41520</v>
      </c>
      <c r="B85" t="s">
        <v>3306</v>
      </c>
      <c r="C85" t="s">
        <v>3307</v>
      </c>
      <c r="D85" s="3">
        <v>35076</v>
      </c>
      <c r="E85" t="s">
        <v>1379</v>
      </c>
      <c r="G85" s="3">
        <v>45720</v>
      </c>
      <c r="H85" t="s">
        <v>3308</v>
      </c>
      <c r="J85" t="s">
        <v>1387</v>
      </c>
      <c r="K85" t="s">
        <v>44</v>
      </c>
      <c r="L85" s="3">
        <v>47562</v>
      </c>
      <c r="M85" s="3">
        <v>47456</v>
      </c>
      <c r="N85" t="s">
        <v>3309</v>
      </c>
      <c r="O85" s="4">
        <v>1</v>
      </c>
      <c r="P85">
        <v>0</v>
      </c>
      <c r="Q85">
        <v>0</v>
      </c>
    </row>
    <row r="86" spans="1:17" x14ac:dyDescent="0.25">
      <c r="A86">
        <v>41482</v>
      </c>
      <c r="B86" t="s">
        <v>2023</v>
      </c>
      <c r="C86" t="s">
        <v>2024</v>
      </c>
      <c r="D86" s="3">
        <v>28837</v>
      </c>
      <c r="E86" t="s">
        <v>1379</v>
      </c>
      <c r="G86" s="3">
        <v>45735</v>
      </c>
      <c r="H86" t="s">
        <v>2025</v>
      </c>
      <c r="J86" t="s">
        <v>1387</v>
      </c>
      <c r="K86" t="s">
        <v>38</v>
      </c>
      <c r="L86" s="3">
        <v>47579</v>
      </c>
      <c r="M86" s="3">
        <v>47460</v>
      </c>
      <c r="N86" t="s">
        <v>2026</v>
      </c>
      <c r="O86" s="4">
        <v>1</v>
      </c>
      <c r="P86">
        <v>0</v>
      </c>
      <c r="Q86">
        <v>0</v>
      </c>
    </row>
    <row r="87" spans="1:17" x14ac:dyDescent="0.25">
      <c r="A87">
        <v>41384</v>
      </c>
      <c r="B87" t="s">
        <v>1590</v>
      </c>
      <c r="C87" t="s">
        <v>1591</v>
      </c>
      <c r="D87" s="3">
        <v>37981</v>
      </c>
      <c r="E87" t="s">
        <v>1379</v>
      </c>
      <c r="G87" s="3">
        <v>45677</v>
      </c>
      <c r="H87" t="s">
        <v>1592</v>
      </c>
      <c r="J87" t="s">
        <v>1387</v>
      </c>
      <c r="K87" t="s">
        <v>44</v>
      </c>
      <c r="L87" s="3">
        <v>47520</v>
      </c>
      <c r="M87" s="3">
        <v>47449</v>
      </c>
      <c r="N87" t="s">
        <v>1593</v>
      </c>
      <c r="O87" s="4">
        <v>1</v>
      </c>
      <c r="P87">
        <v>0</v>
      </c>
      <c r="Q87">
        <v>0</v>
      </c>
    </row>
    <row r="88" spans="1:17" x14ac:dyDescent="0.25">
      <c r="A88">
        <v>41383</v>
      </c>
      <c r="B88" t="s">
        <v>1540</v>
      </c>
      <c r="C88" t="s">
        <v>1537</v>
      </c>
      <c r="D88" s="3">
        <v>25272</v>
      </c>
      <c r="E88" t="s">
        <v>1379</v>
      </c>
      <c r="G88" s="3">
        <v>45663</v>
      </c>
      <c r="H88" t="s">
        <v>1541</v>
      </c>
      <c r="J88" t="s">
        <v>1387</v>
      </c>
      <c r="K88" t="s">
        <v>41</v>
      </c>
      <c r="L88" s="3">
        <v>47506</v>
      </c>
      <c r="M88" s="3">
        <v>47449</v>
      </c>
      <c r="N88" t="s">
        <v>1542</v>
      </c>
      <c r="O88" s="4">
        <v>1</v>
      </c>
      <c r="P88">
        <v>0</v>
      </c>
      <c r="Q88">
        <v>0</v>
      </c>
    </row>
    <row r="89" spans="1:17" x14ac:dyDescent="0.25">
      <c r="A89">
        <v>41357</v>
      </c>
      <c r="B89" t="s">
        <v>1888</v>
      </c>
      <c r="C89" t="s">
        <v>1210</v>
      </c>
      <c r="D89" s="3">
        <v>35947</v>
      </c>
      <c r="E89" t="s">
        <v>1379</v>
      </c>
      <c r="G89" s="3">
        <v>45692</v>
      </c>
      <c r="H89" t="s">
        <v>1889</v>
      </c>
      <c r="J89" t="s">
        <v>1387</v>
      </c>
      <c r="K89" t="s">
        <v>38</v>
      </c>
      <c r="L89" s="3">
        <v>47538</v>
      </c>
      <c r="M89" s="3">
        <v>47407</v>
      </c>
      <c r="N89" t="s">
        <v>1890</v>
      </c>
      <c r="O89" s="4">
        <v>1</v>
      </c>
      <c r="P89">
        <v>0</v>
      </c>
      <c r="Q89">
        <v>0</v>
      </c>
    </row>
    <row r="90" spans="1:17" x14ac:dyDescent="0.25">
      <c r="A90">
        <v>41348</v>
      </c>
      <c r="B90" t="s">
        <v>1583</v>
      </c>
      <c r="C90" t="s">
        <v>1584</v>
      </c>
      <c r="D90" s="3">
        <v>35443</v>
      </c>
      <c r="E90" t="s">
        <v>1379</v>
      </c>
      <c r="G90" s="3">
        <v>45673</v>
      </c>
      <c r="H90" t="s">
        <v>3590</v>
      </c>
      <c r="J90" t="s">
        <v>1387</v>
      </c>
      <c r="K90" t="s">
        <v>44</v>
      </c>
      <c r="L90" s="3">
        <v>47050</v>
      </c>
      <c r="M90" s="3">
        <v>46973</v>
      </c>
      <c r="N90" t="s">
        <v>1585</v>
      </c>
      <c r="O90" s="4">
        <v>1</v>
      </c>
      <c r="P90">
        <v>0</v>
      </c>
      <c r="Q90">
        <v>0</v>
      </c>
    </row>
    <row r="91" spans="1:17" x14ac:dyDescent="0.25">
      <c r="A91">
        <v>41344</v>
      </c>
      <c r="B91" t="s">
        <v>2550</v>
      </c>
      <c r="C91" t="s">
        <v>2551</v>
      </c>
      <c r="D91" s="3">
        <v>34983</v>
      </c>
      <c r="E91" t="s">
        <v>1379</v>
      </c>
      <c r="G91" s="3">
        <v>45663</v>
      </c>
      <c r="H91" t="s">
        <v>2552</v>
      </c>
      <c r="J91" t="s">
        <v>1387</v>
      </c>
      <c r="K91" t="s">
        <v>41</v>
      </c>
      <c r="L91" s="3">
        <v>46391</v>
      </c>
      <c r="M91" s="3">
        <v>46389</v>
      </c>
      <c r="N91" t="s">
        <v>2553</v>
      </c>
      <c r="O91" s="4">
        <v>1</v>
      </c>
      <c r="P91">
        <v>0</v>
      </c>
      <c r="Q91">
        <v>0</v>
      </c>
    </row>
    <row r="92" spans="1:17" x14ac:dyDescent="0.25">
      <c r="A92">
        <v>41296</v>
      </c>
      <c r="B92" t="s">
        <v>2053</v>
      </c>
      <c r="C92" t="s">
        <v>2054</v>
      </c>
      <c r="D92" s="3">
        <v>36719</v>
      </c>
      <c r="E92" t="s">
        <v>1379</v>
      </c>
      <c r="G92" s="3">
        <v>45618</v>
      </c>
      <c r="H92" t="s">
        <v>2055</v>
      </c>
      <c r="J92" t="s">
        <v>1387</v>
      </c>
      <c r="K92" t="s">
        <v>44</v>
      </c>
      <c r="L92" s="3">
        <v>47462</v>
      </c>
      <c r="M92" s="3">
        <v>47433</v>
      </c>
      <c r="N92" t="s">
        <v>2056</v>
      </c>
      <c r="O92" s="4">
        <v>1</v>
      </c>
      <c r="P92">
        <v>0</v>
      </c>
      <c r="Q92">
        <v>0</v>
      </c>
    </row>
    <row r="93" spans="1:17" x14ac:dyDescent="0.25">
      <c r="A93">
        <v>41246</v>
      </c>
      <c r="B93" t="s">
        <v>1444</v>
      </c>
      <c r="C93" t="s">
        <v>1445</v>
      </c>
      <c r="D93" s="3">
        <v>36623</v>
      </c>
      <c r="E93" t="s">
        <v>1379</v>
      </c>
      <c r="G93" s="3">
        <v>45663</v>
      </c>
      <c r="H93" t="s">
        <v>1446</v>
      </c>
      <c r="J93" t="s">
        <v>1387</v>
      </c>
      <c r="K93" t="s">
        <v>35</v>
      </c>
      <c r="L93" s="3">
        <v>47506</v>
      </c>
      <c r="M93" s="3">
        <v>47407</v>
      </c>
      <c r="N93" t="s">
        <v>1447</v>
      </c>
      <c r="O93" s="4">
        <v>1</v>
      </c>
      <c r="P93">
        <v>0</v>
      </c>
      <c r="Q93">
        <v>0</v>
      </c>
    </row>
    <row r="94" spans="1:17" x14ac:dyDescent="0.25">
      <c r="A94">
        <v>41230</v>
      </c>
      <c r="B94" t="s">
        <v>3280</v>
      </c>
      <c r="C94" t="s">
        <v>1351</v>
      </c>
      <c r="D94" s="3">
        <v>27424</v>
      </c>
      <c r="E94" t="s">
        <v>1379</v>
      </c>
      <c r="G94" s="3">
        <v>45603</v>
      </c>
      <c r="H94" t="s">
        <v>3281</v>
      </c>
      <c r="J94" t="s">
        <v>1387</v>
      </c>
      <c r="K94" t="s">
        <v>35</v>
      </c>
      <c r="L94" s="3">
        <v>47448</v>
      </c>
      <c r="M94" s="3">
        <v>47407</v>
      </c>
      <c r="N94" t="s">
        <v>3282</v>
      </c>
      <c r="O94" s="4">
        <v>1</v>
      </c>
      <c r="P94">
        <v>0</v>
      </c>
      <c r="Q94">
        <v>0</v>
      </c>
    </row>
    <row r="95" spans="1:17" x14ac:dyDescent="0.25">
      <c r="A95">
        <v>41162</v>
      </c>
      <c r="B95" t="s">
        <v>2596</v>
      </c>
      <c r="C95" t="s">
        <v>2597</v>
      </c>
      <c r="D95" s="3">
        <v>28323</v>
      </c>
      <c r="E95" t="s">
        <v>1379</v>
      </c>
      <c r="G95" s="3">
        <v>45603</v>
      </c>
      <c r="H95" t="s">
        <v>2598</v>
      </c>
      <c r="J95" t="s">
        <v>1387</v>
      </c>
      <c r="K95" t="s">
        <v>35</v>
      </c>
      <c r="L95" s="3">
        <v>47448</v>
      </c>
      <c r="M95" s="3">
        <v>47407</v>
      </c>
      <c r="N95" t="s">
        <v>2599</v>
      </c>
      <c r="O95" s="4">
        <v>1</v>
      </c>
      <c r="P95">
        <v>0</v>
      </c>
      <c r="Q95">
        <v>0</v>
      </c>
    </row>
    <row r="96" spans="1:17" x14ac:dyDescent="0.25">
      <c r="A96">
        <v>41137</v>
      </c>
      <c r="B96" t="s">
        <v>3019</v>
      </c>
      <c r="C96" t="s">
        <v>3016</v>
      </c>
      <c r="D96" s="3">
        <v>25087</v>
      </c>
      <c r="E96" t="s">
        <v>1379</v>
      </c>
      <c r="G96" s="3">
        <v>45616</v>
      </c>
      <c r="H96" t="s">
        <v>3020</v>
      </c>
      <c r="J96" t="s">
        <v>1387</v>
      </c>
      <c r="K96" t="s">
        <v>35</v>
      </c>
      <c r="L96" s="3">
        <v>46896</v>
      </c>
      <c r="M96" s="3">
        <v>46165</v>
      </c>
      <c r="N96" t="s">
        <v>3021</v>
      </c>
      <c r="O96" s="4">
        <v>1</v>
      </c>
      <c r="P96">
        <v>0</v>
      </c>
      <c r="Q96">
        <v>0</v>
      </c>
    </row>
    <row r="97" spans="1:17" x14ac:dyDescent="0.25">
      <c r="A97">
        <v>41101</v>
      </c>
      <c r="B97" t="s">
        <v>1710</v>
      </c>
      <c r="C97" t="s">
        <v>1711</v>
      </c>
      <c r="D97" s="3">
        <v>35419</v>
      </c>
      <c r="E97" t="s">
        <v>1379</v>
      </c>
      <c r="G97" s="3">
        <v>45618</v>
      </c>
      <c r="H97" t="s">
        <v>1712</v>
      </c>
      <c r="J97" t="s">
        <v>1387</v>
      </c>
      <c r="K97" t="s">
        <v>35</v>
      </c>
      <c r="L97" s="3">
        <v>47463</v>
      </c>
      <c r="M97" s="3">
        <v>47364</v>
      </c>
      <c r="N97" t="s">
        <v>1713</v>
      </c>
      <c r="O97" s="4">
        <v>1</v>
      </c>
      <c r="P97">
        <v>0</v>
      </c>
      <c r="Q97">
        <v>0</v>
      </c>
    </row>
    <row r="98" spans="1:17" x14ac:dyDescent="0.25">
      <c r="A98">
        <v>41092</v>
      </c>
      <c r="B98" t="s">
        <v>2987</v>
      </c>
      <c r="C98" t="s">
        <v>2988</v>
      </c>
      <c r="D98" s="3">
        <v>29089</v>
      </c>
      <c r="E98" t="s">
        <v>1379</v>
      </c>
      <c r="G98" s="3">
        <v>45574</v>
      </c>
      <c r="H98" t="s">
        <v>2989</v>
      </c>
      <c r="J98" t="s">
        <v>1387</v>
      </c>
      <c r="K98" t="s">
        <v>35</v>
      </c>
      <c r="L98" s="3">
        <v>47418</v>
      </c>
      <c r="M98" s="3">
        <v>47379</v>
      </c>
      <c r="N98" t="s">
        <v>2990</v>
      </c>
      <c r="O98" s="4">
        <v>1</v>
      </c>
      <c r="P98">
        <v>0</v>
      </c>
      <c r="Q98">
        <v>0</v>
      </c>
    </row>
    <row r="99" spans="1:17" x14ac:dyDescent="0.25">
      <c r="A99">
        <v>41091</v>
      </c>
      <c r="B99" t="s">
        <v>1612</v>
      </c>
      <c r="C99" t="s">
        <v>1613</v>
      </c>
      <c r="D99" s="3">
        <v>32903</v>
      </c>
      <c r="E99" t="s">
        <v>1379</v>
      </c>
      <c r="G99" s="3">
        <v>45603</v>
      </c>
      <c r="H99" t="s">
        <v>1614</v>
      </c>
      <c r="J99" t="s">
        <v>1387</v>
      </c>
      <c r="K99" t="s">
        <v>35</v>
      </c>
      <c r="L99" s="3">
        <v>47450</v>
      </c>
      <c r="M99" s="3">
        <v>47386</v>
      </c>
      <c r="N99" t="s">
        <v>1615</v>
      </c>
      <c r="O99" s="4">
        <v>1</v>
      </c>
      <c r="P99">
        <v>0</v>
      </c>
      <c r="Q99">
        <v>0</v>
      </c>
    </row>
    <row r="100" spans="1:17" x14ac:dyDescent="0.25">
      <c r="A100">
        <v>41064</v>
      </c>
      <c r="B100" t="s">
        <v>3314</v>
      </c>
      <c r="C100" t="s">
        <v>3315</v>
      </c>
      <c r="D100" s="3">
        <v>37647</v>
      </c>
      <c r="E100" t="s">
        <v>1379</v>
      </c>
      <c r="G100" s="3">
        <v>45588</v>
      </c>
      <c r="H100" t="s">
        <v>3316</v>
      </c>
      <c r="J100" t="s">
        <v>1387</v>
      </c>
      <c r="K100" t="s">
        <v>35</v>
      </c>
      <c r="L100" s="3">
        <v>47435</v>
      </c>
      <c r="M100" s="3">
        <v>47379</v>
      </c>
      <c r="N100" t="s">
        <v>3317</v>
      </c>
      <c r="O100" s="4">
        <v>1</v>
      </c>
      <c r="P100">
        <v>0</v>
      </c>
      <c r="Q100">
        <v>0</v>
      </c>
    </row>
    <row r="101" spans="1:17" x14ac:dyDescent="0.25">
      <c r="A101">
        <v>41032</v>
      </c>
      <c r="B101" t="s">
        <v>2343</v>
      </c>
      <c r="C101" t="s">
        <v>2344</v>
      </c>
      <c r="D101" s="3">
        <v>36725</v>
      </c>
      <c r="E101" t="s">
        <v>1379</v>
      </c>
      <c r="G101" s="3">
        <v>45559</v>
      </c>
      <c r="H101" t="s">
        <v>2345</v>
      </c>
      <c r="J101" t="s">
        <v>1387</v>
      </c>
      <c r="K101" t="s">
        <v>41</v>
      </c>
      <c r="L101" s="3">
        <v>47404</v>
      </c>
      <c r="M101" s="3">
        <v>47371</v>
      </c>
      <c r="N101" t="s">
        <v>2346</v>
      </c>
      <c r="O101" s="4">
        <v>1</v>
      </c>
      <c r="P101">
        <v>0</v>
      </c>
      <c r="Q101">
        <v>0</v>
      </c>
    </row>
    <row r="102" spans="1:17" x14ac:dyDescent="0.25">
      <c r="A102">
        <v>41012</v>
      </c>
      <c r="B102" t="s">
        <v>1413</v>
      </c>
      <c r="C102" t="s">
        <v>1414</v>
      </c>
      <c r="D102" s="3">
        <v>27187</v>
      </c>
      <c r="E102" t="s">
        <v>1379</v>
      </c>
      <c r="G102" s="3">
        <v>45574</v>
      </c>
      <c r="H102" t="s">
        <v>1415</v>
      </c>
      <c r="J102" t="s">
        <v>1387</v>
      </c>
      <c r="K102" t="s">
        <v>41</v>
      </c>
      <c r="L102" s="3">
        <v>47418</v>
      </c>
      <c r="M102" s="3">
        <v>47371</v>
      </c>
      <c r="N102" t="s">
        <v>1416</v>
      </c>
      <c r="O102" s="4">
        <v>1</v>
      </c>
      <c r="P102">
        <v>0</v>
      </c>
      <c r="Q102">
        <v>0</v>
      </c>
    </row>
    <row r="103" spans="1:17" x14ac:dyDescent="0.25">
      <c r="A103">
        <v>40969</v>
      </c>
      <c r="B103" t="s">
        <v>1857</v>
      </c>
      <c r="C103" t="s">
        <v>2217</v>
      </c>
      <c r="D103" s="3">
        <v>37138</v>
      </c>
      <c r="E103" t="s">
        <v>1379</v>
      </c>
      <c r="G103" s="3">
        <v>45544</v>
      </c>
      <c r="H103" t="s">
        <v>2218</v>
      </c>
      <c r="J103" t="s">
        <v>1387</v>
      </c>
      <c r="K103" t="s">
        <v>50</v>
      </c>
      <c r="L103" s="3">
        <v>47390</v>
      </c>
      <c r="M103" s="3">
        <v>47357</v>
      </c>
      <c r="N103" t="s">
        <v>2219</v>
      </c>
      <c r="O103" s="4">
        <v>1</v>
      </c>
      <c r="P103">
        <v>0</v>
      </c>
      <c r="Q103">
        <v>0</v>
      </c>
    </row>
    <row r="104" spans="1:17" x14ac:dyDescent="0.25">
      <c r="A104">
        <v>40939</v>
      </c>
      <c r="B104" t="s">
        <v>1722</v>
      </c>
      <c r="C104" t="s">
        <v>1723</v>
      </c>
      <c r="D104" s="3">
        <v>37866</v>
      </c>
      <c r="E104" t="s">
        <v>1379</v>
      </c>
      <c r="G104" s="3">
        <v>45530</v>
      </c>
      <c r="H104" t="s">
        <v>1724</v>
      </c>
      <c r="J104" t="s">
        <v>1387</v>
      </c>
      <c r="K104" t="s">
        <v>47</v>
      </c>
      <c r="L104" s="3">
        <v>47373</v>
      </c>
      <c r="M104" s="3">
        <v>47348</v>
      </c>
      <c r="N104" t="s">
        <v>1725</v>
      </c>
      <c r="O104" s="4">
        <v>1</v>
      </c>
      <c r="P104">
        <v>0</v>
      </c>
      <c r="Q104">
        <v>0</v>
      </c>
    </row>
    <row r="105" spans="1:17" x14ac:dyDescent="0.25">
      <c r="A105">
        <v>40938</v>
      </c>
      <c r="B105" t="s">
        <v>2081</v>
      </c>
      <c r="C105" t="s">
        <v>2082</v>
      </c>
      <c r="D105" s="3">
        <v>31961</v>
      </c>
      <c r="E105" t="s">
        <v>1379</v>
      </c>
      <c r="G105" s="3">
        <v>45530</v>
      </c>
      <c r="H105" t="s">
        <v>2083</v>
      </c>
      <c r="J105" t="s">
        <v>1387</v>
      </c>
      <c r="K105" t="s">
        <v>35</v>
      </c>
      <c r="L105" s="3">
        <v>47463</v>
      </c>
      <c r="M105" s="3">
        <v>46678</v>
      </c>
      <c r="N105" t="s">
        <v>2084</v>
      </c>
      <c r="O105" s="4">
        <v>1</v>
      </c>
      <c r="P105">
        <v>0</v>
      </c>
      <c r="Q105">
        <v>0</v>
      </c>
    </row>
    <row r="106" spans="1:17" x14ac:dyDescent="0.25">
      <c r="A106">
        <v>40890</v>
      </c>
      <c r="B106" t="s">
        <v>3248</v>
      </c>
      <c r="C106" t="s">
        <v>3249</v>
      </c>
      <c r="D106" s="3">
        <v>37705</v>
      </c>
      <c r="E106" t="s">
        <v>1379</v>
      </c>
      <c r="G106" s="3">
        <v>45530</v>
      </c>
      <c r="H106" t="s">
        <v>3250</v>
      </c>
      <c r="I106">
        <v>497579525</v>
      </c>
      <c r="J106" t="s">
        <v>1387</v>
      </c>
      <c r="K106" t="s">
        <v>35</v>
      </c>
      <c r="L106" s="3">
        <v>47372</v>
      </c>
      <c r="M106" s="3">
        <v>47303</v>
      </c>
      <c r="N106" t="s">
        <v>3251</v>
      </c>
      <c r="O106" s="4">
        <v>1</v>
      </c>
      <c r="P106">
        <v>0</v>
      </c>
      <c r="Q106">
        <v>0</v>
      </c>
    </row>
    <row r="107" spans="1:17" x14ac:dyDescent="0.25">
      <c r="A107">
        <v>40859</v>
      </c>
      <c r="B107" t="s">
        <v>3469</v>
      </c>
      <c r="C107" t="s">
        <v>3470</v>
      </c>
      <c r="D107" s="3">
        <v>29961</v>
      </c>
      <c r="E107" t="s">
        <v>1379</v>
      </c>
      <c r="G107" s="3">
        <v>45544</v>
      </c>
      <c r="H107" t="s">
        <v>3471</v>
      </c>
      <c r="J107" t="s">
        <v>1387</v>
      </c>
      <c r="K107" t="s">
        <v>41</v>
      </c>
      <c r="L107" s="3">
        <v>47391</v>
      </c>
      <c r="M107" s="3">
        <v>47294</v>
      </c>
      <c r="N107" t="s">
        <v>3472</v>
      </c>
      <c r="O107" s="4">
        <v>1</v>
      </c>
      <c r="P107">
        <v>0</v>
      </c>
      <c r="Q107">
        <v>0</v>
      </c>
    </row>
    <row r="108" spans="1:17" x14ac:dyDescent="0.25">
      <c r="A108">
        <v>40856</v>
      </c>
      <c r="B108" t="s">
        <v>1778</v>
      </c>
      <c r="C108" t="s">
        <v>1779</v>
      </c>
      <c r="D108" s="3">
        <v>31148</v>
      </c>
      <c r="E108" t="s">
        <v>1379</v>
      </c>
      <c r="G108" s="3">
        <v>45538</v>
      </c>
      <c r="H108" t="s">
        <v>1780</v>
      </c>
      <c r="J108" t="s">
        <v>1387</v>
      </c>
      <c r="K108" t="s">
        <v>47</v>
      </c>
      <c r="L108" s="3">
        <v>46847</v>
      </c>
      <c r="M108" s="3">
        <v>46684</v>
      </c>
      <c r="N108" t="s">
        <v>1781</v>
      </c>
      <c r="O108" s="4">
        <v>1</v>
      </c>
      <c r="P108">
        <v>0</v>
      </c>
      <c r="Q108">
        <v>0</v>
      </c>
    </row>
    <row r="109" spans="1:17" x14ac:dyDescent="0.25">
      <c r="A109">
        <v>40761</v>
      </c>
      <c r="B109" t="s">
        <v>1468</v>
      </c>
      <c r="C109" t="s">
        <v>1453</v>
      </c>
      <c r="D109" s="3">
        <v>27082</v>
      </c>
      <c r="E109" t="s">
        <v>1379</v>
      </c>
      <c r="G109" s="3">
        <v>45498</v>
      </c>
      <c r="H109" t="s">
        <v>1469</v>
      </c>
      <c r="J109" t="s">
        <v>1387</v>
      </c>
      <c r="K109" t="s">
        <v>47</v>
      </c>
      <c r="L109" s="3">
        <v>47342</v>
      </c>
      <c r="M109" s="3">
        <v>47303</v>
      </c>
      <c r="N109" t="s">
        <v>1470</v>
      </c>
      <c r="O109" s="4">
        <v>1</v>
      </c>
      <c r="P109">
        <v>0</v>
      </c>
      <c r="Q109">
        <v>0</v>
      </c>
    </row>
    <row r="110" spans="1:17" x14ac:dyDescent="0.25">
      <c r="A110">
        <v>40745</v>
      </c>
      <c r="B110" t="s">
        <v>2657</v>
      </c>
      <c r="C110" t="s">
        <v>2658</v>
      </c>
      <c r="D110" s="3">
        <v>33523</v>
      </c>
      <c r="E110" t="s">
        <v>1379</v>
      </c>
      <c r="G110" s="3">
        <v>45498</v>
      </c>
      <c r="H110" t="s">
        <v>3591</v>
      </c>
      <c r="J110" t="s">
        <v>1387</v>
      </c>
      <c r="K110" t="s">
        <v>38</v>
      </c>
      <c r="L110" s="3">
        <v>47342</v>
      </c>
      <c r="M110" s="3">
        <v>47594</v>
      </c>
      <c r="N110" t="s">
        <v>2659</v>
      </c>
      <c r="O110" s="4">
        <v>1</v>
      </c>
      <c r="P110">
        <v>0</v>
      </c>
      <c r="Q110">
        <v>0</v>
      </c>
    </row>
    <row r="111" spans="1:17" x14ac:dyDescent="0.25">
      <c r="A111">
        <v>40744</v>
      </c>
      <c r="B111" t="s">
        <v>1532</v>
      </c>
      <c r="C111" t="s">
        <v>1533</v>
      </c>
      <c r="D111" s="3">
        <v>34859</v>
      </c>
      <c r="E111" t="s">
        <v>1379</v>
      </c>
      <c r="G111" s="3">
        <v>45484</v>
      </c>
      <c r="H111" t="s">
        <v>1534</v>
      </c>
      <c r="J111" t="s">
        <v>1387</v>
      </c>
      <c r="K111" t="s">
        <v>38</v>
      </c>
      <c r="L111" s="3">
        <v>47329</v>
      </c>
      <c r="M111" s="3">
        <v>47300</v>
      </c>
      <c r="N111" t="s">
        <v>1535</v>
      </c>
      <c r="O111" s="4">
        <v>1</v>
      </c>
      <c r="P111">
        <v>0</v>
      </c>
      <c r="Q111">
        <v>0</v>
      </c>
    </row>
    <row r="112" spans="1:17" x14ac:dyDescent="0.25">
      <c r="A112">
        <v>40652</v>
      </c>
      <c r="B112" t="s">
        <v>1960</v>
      </c>
      <c r="C112" t="s">
        <v>2801</v>
      </c>
      <c r="D112" s="3">
        <v>36483</v>
      </c>
      <c r="E112" t="s">
        <v>1379</v>
      </c>
      <c r="G112" s="3">
        <v>45470</v>
      </c>
      <c r="H112" t="s">
        <v>2802</v>
      </c>
      <c r="J112" t="s">
        <v>1387</v>
      </c>
      <c r="K112" t="s">
        <v>41</v>
      </c>
      <c r="L112" s="3">
        <v>47314</v>
      </c>
      <c r="M112" s="3">
        <v>47314</v>
      </c>
      <c r="N112" t="s">
        <v>2803</v>
      </c>
      <c r="O112" s="4">
        <v>1</v>
      </c>
      <c r="P112">
        <v>0</v>
      </c>
      <c r="Q112">
        <v>0</v>
      </c>
    </row>
    <row r="113" spans="1:17" x14ac:dyDescent="0.25">
      <c r="A113">
        <v>40645</v>
      </c>
      <c r="B113" t="s">
        <v>2623</v>
      </c>
      <c r="C113" t="s">
        <v>2624</v>
      </c>
      <c r="D113" s="3">
        <v>34393</v>
      </c>
      <c r="E113" t="s">
        <v>1379</v>
      </c>
      <c r="G113" s="3">
        <v>45544</v>
      </c>
      <c r="H113" t="s">
        <v>2625</v>
      </c>
      <c r="J113" t="s">
        <v>1387</v>
      </c>
      <c r="K113" t="s">
        <v>53</v>
      </c>
      <c r="L113" s="3">
        <v>47390</v>
      </c>
      <c r="M113" s="3">
        <v>47267</v>
      </c>
      <c r="N113" t="s">
        <v>2626</v>
      </c>
      <c r="O113" s="4">
        <v>1</v>
      </c>
      <c r="P113">
        <v>0</v>
      </c>
      <c r="Q113">
        <v>0</v>
      </c>
    </row>
    <row r="114" spans="1:17" x14ac:dyDescent="0.25">
      <c r="A114">
        <v>40608</v>
      </c>
      <c r="B114" t="s">
        <v>3006</v>
      </c>
      <c r="C114" t="s">
        <v>3007</v>
      </c>
      <c r="D114" s="3">
        <v>34274</v>
      </c>
      <c r="E114" t="s">
        <v>1379</v>
      </c>
      <c r="G114" s="3">
        <v>45456</v>
      </c>
      <c r="H114" t="s">
        <v>3008</v>
      </c>
      <c r="J114" t="s">
        <v>1387</v>
      </c>
      <c r="K114" t="s">
        <v>56</v>
      </c>
      <c r="L114" s="3">
        <v>47300</v>
      </c>
      <c r="M114" s="3">
        <v>47272</v>
      </c>
      <c r="N114" t="s">
        <v>3009</v>
      </c>
      <c r="O114" s="4">
        <v>1</v>
      </c>
      <c r="P114">
        <v>0</v>
      </c>
      <c r="Q114">
        <v>0</v>
      </c>
    </row>
    <row r="115" spans="1:17" x14ac:dyDescent="0.25">
      <c r="A115">
        <v>40591</v>
      </c>
      <c r="B115" t="s">
        <v>2311</v>
      </c>
      <c r="C115" t="s">
        <v>2312</v>
      </c>
      <c r="D115" s="3">
        <v>27167</v>
      </c>
      <c r="E115" t="s">
        <v>1379</v>
      </c>
      <c r="G115" s="3">
        <v>45450</v>
      </c>
      <c r="H115" t="s">
        <v>2313</v>
      </c>
      <c r="J115" t="s">
        <v>1387</v>
      </c>
      <c r="K115" t="s">
        <v>35</v>
      </c>
      <c r="L115" s="3">
        <v>47286</v>
      </c>
      <c r="M115" s="3">
        <v>47267</v>
      </c>
      <c r="N115" t="s">
        <v>2314</v>
      </c>
      <c r="O115" s="4">
        <v>1</v>
      </c>
      <c r="P115">
        <v>0</v>
      </c>
      <c r="Q115">
        <v>0</v>
      </c>
    </row>
    <row r="116" spans="1:17" x14ac:dyDescent="0.25">
      <c r="A116">
        <v>40590</v>
      </c>
      <c r="B116" t="s">
        <v>2362</v>
      </c>
      <c r="C116" t="s">
        <v>2363</v>
      </c>
      <c r="D116" s="3">
        <v>31306</v>
      </c>
      <c r="E116" t="s">
        <v>1379</v>
      </c>
      <c r="G116" s="3">
        <v>45464</v>
      </c>
      <c r="H116" t="s">
        <v>2364</v>
      </c>
      <c r="J116" t="s">
        <v>1387</v>
      </c>
      <c r="K116" t="s">
        <v>38</v>
      </c>
      <c r="L116" s="3">
        <v>47300</v>
      </c>
      <c r="M116" s="3">
        <v>47243</v>
      </c>
      <c r="N116" t="s">
        <v>2365</v>
      </c>
      <c r="O116" s="4">
        <v>1</v>
      </c>
      <c r="P116">
        <v>0</v>
      </c>
      <c r="Q116">
        <v>0</v>
      </c>
    </row>
    <row r="117" spans="1:17" x14ac:dyDescent="0.25">
      <c r="A117">
        <v>40521</v>
      </c>
      <c r="B117" t="s">
        <v>3378</v>
      </c>
      <c r="C117" t="s">
        <v>3379</v>
      </c>
      <c r="D117" s="3">
        <v>31462</v>
      </c>
      <c r="E117" t="s">
        <v>1379</v>
      </c>
      <c r="G117" s="3">
        <v>45419</v>
      </c>
      <c r="H117" t="s">
        <v>3380</v>
      </c>
      <c r="J117" t="s">
        <v>1387</v>
      </c>
      <c r="K117" t="s">
        <v>56</v>
      </c>
      <c r="L117" s="3">
        <v>46281</v>
      </c>
      <c r="M117" s="3">
        <v>46244</v>
      </c>
      <c r="N117" t="s">
        <v>3381</v>
      </c>
      <c r="O117" s="4">
        <v>0.8</v>
      </c>
      <c r="P117">
        <v>0</v>
      </c>
      <c r="Q117">
        <v>0</v>
      </c>
    </row>
    <row r="118" spans="1:17" x14ac:dyDescent="0.25">
      <c r="A118">
        <v>40486</v>
      </c>
      <c r="B118" t="s">
        <v>2292</v>
      </c>
      <c r="C118" t="s">
        <v>2293</v>
      </c>
      <c r="D118" s="3">
        <v>36922</v>
      </c>
      <c r="E118" t="s">
        <v>1379</v>
      </c>
      <c r="G118" s="3">
        <v>45427</v>
      </c>
      <c r="H118" t="s">
        <v>2294</v>
      </c>
      <c r="J118" t="s">
        <v>1387</v>
      </c>
      <c r="K118" t="s">
        <v>44</v>
      </c>
      <c r="L118" s="3">
        <v>47273</v>
      </c>
      <c r="M118" s="3">
        <v>47230</v>
      </c>
      <c r="N118" t="s">
        <v>2295</v>
      </c>
      <c r="O118" s="4">
        <v>1</v>
      </c>
      <c r="P118">
        <v>0</v>
      </c>
      <c r="Q118">
        <v>0</v>
      </c>
    </row>
    <row r="119" spans="1:17" x14ac:dyDescent="0.25">
      <c r="A119">
        <v>40478</v>
      </c>
      <c r="B119" t="s">
        <v>3374</v>
      </c>
      <c r="C119" t="s">
        <v>3375</v>
      </c>
      <c r="D119" s="3">
        <v>36547</v>
      </c>
      <c r="E119" t="s">
        <v>1379</v>
      </c>
      <c r="G119" s="3">
        <v>45442</v>
      </c>
      <c r="H119" t="s">
        <v>3376</v>
      </c>
      <c r="J119" t="s">
        <v>1387</v>
      </c>
      <c r="K119" t="s">
        <v>38</v>
      </c>
      <c r="L119" s="3">
        <v>47286</v>
      </c>
      <c r="M119" s="3">
        <v>47222</v>
      </c>
      <c r="N119" t="s">
        <v>3377</v>
      </c>
      <c r="O119" s="4">
        <v>1</v>
      </c>
      <c r="P119">
        <v>0</v>
      </c>
      <c r="Q119">
        <v>0</v>
      </c>
    </row>
    <row r="120" spans="1:17" x14ac:dyDescent="0.25">
      <c r="A120">
        <v>40469</v>
      </c>
      <c r="B120" t="s">
        <v>2729</v>
      </c>
      <c r="C120" t="s">
        <v>2730</v>
      </c>
      <c r="D120" s="3">
        <v>29573</v>
      </c>
      <c r="E120" t="s">
        <v>1379</v>
      </c>
      <c r="G120" s="3">
        <v>45408</v>
      </c>
      <c r="H120" t="s">
        <v>2731</v>
      </c>
      <c r="J120" t="s">
        <v>1387</v>
      </c>
      <c r="K120" t="s">
        <v>53</v>
      </c>
      <c r="L120" s="3">
        <v>47258</v>
      </c>
      <c r="M120" s="3">
        <v>47225</v>
      </c>
      <c r="N120" t="s">
        <v>2732</v>
      </c>
      <c r="O120" s="4">
        <v>1</v>
      </c>
      <c r="P120">
        <v>0</v>
      </c>
      <c r="Q120">
        <v>0</v>
      </c>
    </row>
    <row r="121" spans="1:17" x14ac:dyDescent="0.25">
      <c r="A121">
        <v>40444</v>
      </c>
      <c r="B121" t="s">
        <v>1960</v>
      </c>
      <c r="C121" t="s">
        <v>2793</v>
      </c>
      <c r="D121" s="3">
        <v>34034</v>
      </c>
      <c r="E121" t="s">
        <v>1379</v>
      </c>
      <c r="G121" s="3">
        <v>45408</v>
      </c>
      <c r="H121" t="s">
        <v>2794</v>
      </c>
      <c r="J121" t="s">
        <v>1387</v>
      </c>
      <c r="K121" t="s">
        <v>53</v>
      </c>
      <c r="L121" s="3">
        <v>47253</v>
      </c>
      <c r="M121" s="3">
        <v>47225</v>
      </c>
      <c r="N121" t="s">
        <v>2795</v>
      </c>
      <c r="O121" s="4">
        <v>1</v>
      </c>
      <c r="P121">
        <v>0</v>
      </c>
      <c r="Q121">
        <v>0</v>
      </c>
    </row>
    <row r="122" spans="1:17" x14ac:dyDescent="0.25">
      <c r="A122">
        <v>40443</v>
      </c>
      <c r="B122" t="s">
        <v>2315</v>
      </c>
      <c r="C122" t="s">
        <v>2312</v>
      </c>
      <c r="D122" s="3">
        <v>37624</v>
      </c>
      <c r="E122" t="s">
        <v>1379</v>
      </c>
      <c r="G122" s="3">
        <v>45408</v>
      </c>
      <c r="H122" t="s">
        <v>2316</v>
      </c>
      <c r="J122" t="s">
        <v>1387</v>
      </c>
      <c r="K122" t="s">
        <v>38</v>
      </c>
      <c r="L122" s="3">
        <v>47245</v>
      </c>
      <c r="M122" s="3">
        <v>47225</v>
      </c>
      <c r="N122" t="s">
        <v>2317</v>
      </c>
      <c r="O122" s="4">
        <v>1</v>
      </c>
      <c r="P122">
        <v>0</v>
      </c>
      <c r="Q122">
        <v>0</v>
      </c>
    </row>
    <row r="123" spans="1:17" x14ac:dyDescent="0.25">
      <c r="A123">
        <v>40422</v>
      </c>
      <c r="B123" t="s">
        <v>1951</v>
      </c>
      <c r="C123" t="s">
        <v>1952</v>
      </c>
      <c r="D123" s="3">
        <v>20716</v>
      </c>
      <c r="E123" t="s">
        <v>1379</v>
      </c>
      <c r="G123" s="3">
        <v>45407</v>
      </c>
      <c r="H123" t="s">
        <v>1953</v>
      </c>
      <c r="J123" t="s">
        <v>1954</v>
      </c>
      <c r="K123" t="s">
        <v>56</v>
      </c>
      <c r="L123" s="3">
        <v>1</v>
      </c>
      <c r="M123" s="3">
        <v>1</v>
      </c>
      <c r="N123" t="s">
        <v>1955</v>
      </c>
      <c r="O123" s="4">
        <v>1</v>
      </c>
      <c r="P123">
        <v>0</v>
      </c>
      <c r="Q123">
        <v>0</v>
      </c>
    </row>
    <row r="124" spans="1:17" x14ac:dyDescent="0.25">
      <c r="A124">
        <v>40421</v>
      </c>
      <c r="B124" t="s">
        <v>2935</v>
      </c>
      <c r="C124" t="s">
        <v>2932</v>
      </c>
      <c r="D124" s="3">
        <v>20536</v>
      </c>
      <c r="E124" t="s">
        <v>1379</v>
      </c>
      <c r="G124" s="3">
        <v>45407</v>
      </c>
      <c r="J124" t="s">
        <v>1954</v>
      </c>
      <c r="K124" t="s">
        <v>56</v>
      </c>
      <c r="L124" s="3">
        <v>1</v>
      </c>
      <c r="M124" s="3">
        <v>1</v>
      </c>
      <c r="N124" t="s">
        <v>2936</v>
      </c>
      <c r="O124" s="4">
        <v>1</v>
      </c>
      <c r="P124">
        <v>0</v>
      </c>
      <c r="Q124">
        <v>0</v>
      </c>
    </row>
    <row r="125" spans="1:17" x14ac:dyDescent="0.25">
      <c r="A125">
        <v>40414</v>
      </c>
      <c r="B125" t="s">
        <v>2441</v>
      </c>
      <c r="C125" t="s">
        <v>2442</v>
      </c>
      <c r="D125" s="3">
        <v>37300</v>
      </c>
      <c r="E125" t="s">
        <v>1379</v>
      </c>
      <c r="G125" s="3">
        <v>45408</v>
      </c>
      <c r="H125" t="s">
        <v>2443</v>
      </c>
      <c r="J125" t="s">
        <v>1387</v>
      </c>
      <c r="K125" t="s">
        <v>50</v>
      </c>
      <c r="L125" s="3">
        <v>47259</v>
      </c>
      <c r="M125" s="3">
        <v>47216</v>
      </c>
      <c r="N125" t="s">
        <v>2444</v>
      </c>
      <c r="O125" s="4">
        <v>1</v>
      </c>
      <c r="P125">
        <v>0</v>
      </c>
      <c r="Q125">
        <v>0</v>
      </c>
    </row>
    <row r="126" spans="1:17" x14ac:dyDescent="0.25">
      <c r="A126">
        <v>40403</v>
      </c>
      <c r="B126" t="s">
        <v>2199</v>
      </c>
      <c r="C126" t="s">
        <v>2200</v>
      </c>
      <c r="D126" s="3">
        <v>28898</v>
      </c>
      <c r="E126" t="s">
        <v>1379</v>
      </c>
      <c r="G126" s="3">
        <v>45481</v>
      </c>
      <c r="H126" t="s">
        <v>2201</v>
      </c>
      <c r="J126" t="s">
        <v>1387</v>
      </c>
      <c r="K126" t="s">
        <v>35</v>
      </c>
      <c r="L126" s="3">
        <v>45959</v>
      </c>
      <c r="M126" s="3">
        <v>45923</v>
      </c>
      <c r="N126" t="s">
        <v>2202</v>
      </c>
      <c r="O126" s="4">
        <v>1</v>
      </c>
      <c r="P126">
        <v>0</v>
      </c>
      <c r="Q126">
        <v>0</v>
      </c>
    </row>
    <row r="127" spans="1:17" x14ac:dyDescent="0.25">
      <c r="A127">
        <v>40400</v>
      </c>
      <c r="B127" t="s">
        <v>2833</v>
      </c>
      <c r="C127" t="s">
        <v>2834</v>
      </c>
      <c r="D127" s="3">
        <v>25646</v>
      </c>
      <c r="E127" t="s">
        <v>1379</v>
      </c>
      <c r="G127" s="3">
        <v>45478</v>
      </c>
      <c r="H127" t="s">
        <v>2835</v>
      </c>
      <c r="J127" t="s">
        <v>1387</v>
      </c>
      <c r="K127" t="s">
        <v>35</v>
      </c>
      <c r="L127" s="3">
        <v>46733</v>
      </c>
      <c r="M127" s="3">
        <v>46040</v>
      </c>
      <c r="N127" t="s">
        <v>2836</v>
      </c>
      <c r="O127" s="4">
        <v>1</v>
      </c>
      <c r="P127">
        <v>0</v>
      </c>
      <c r="Q127">
        <v>0</v>
      </c>
    </row>
    <row r="128" spans="1:17" x14ac:dyDescent="0.25">
      <c r="A128">
        <v>40393</v>
      </c>
      <c r="B128" t="s">
        <v>2913</v>
      </c>
      <c r="C128" t="s">
        <v>2914</v>
      </c>
      <c r="D128" s="3">
        <v>35772</v>
      </c>
      <c r="E128" t="s">
        <v>1379</v>
      </c>
      <c r="G128" s="3">
        <v>45408</v>
      </c>
      <c r="H128" t="s">
        <v>2915</v>
      </c>
      <c r="J128" t="s">
        <v>1387</v>
      </c>
      <c r="K128" t="s">
        <v>35</v>
      </c>
      <c r="L128" s="3">
        <v>47258</v>
      </c>
      <c r="M128" s="3">
        <v>47204</v>
      </c>
      <c r="N128" t="s">
        <v>2916</v>
      </c>
      <c r="O128" s="4">
        <v>1</v>
      </c>
      <c r="P128">
        <v>0</v>
      </c>
      <c r="Q128">
        <v>0</v>
      </c>
    </row>
    <row r="129" spans="1:17" x14ac:dyDescent="0.25">
      <c r="A129">
        <v>40362</v>
      </c>
      <c r="B129" t="s">
        <v>3164</v>
      </c>
      <c r="C129" t="s">
        <v>1702</v>
      </c>
      <c r="D129" s="3">
        <v>28613</v>
      </c>
      <c r="E129" t="s">
        <v>1379</v>
      </c>
      <c r="G129" s="3">
        <v>45394</v>
      </c>
      <c r="H129" t="s">
        <v>3165</v>
      </c>
      <c r="J129" t="s">
        <v>1921</v>
      </c>
      <c r="K129" t="s">
        <v>47</v>
      </c>
      <c r="L129" s="3">
        <v>47239</v>
      </c>
      <c r="M129" s="3">
        <v>47201</v>
      </c>
      <c r="N129" t="s">
        <v>3166</v>
      </c>
      <c r="O129" s="4">
        <v>1</v>
      </c>
      <c r="P129">
        <v>0</v>
      </c>
      <c r="Q129">
        <v>0</v>
      </c>
    </row>
    <row r="130" spans="1:17" x14ac:dyDescent="0.25">
      <c r="A130">
        <v>40294</v>
      </c>
      <c r="B130" t="s">
        <v>3325</v>
      </c>
      <c r="C130" t="s">
        <v>3326</v>
      </c>
      <c r="D130" s="3">
        <v>33604</v>
      </c>
      <c r="E130" t="s">
        <v>1379</v>
      </c>
      <c r="G130" s="3">
        <v>45404</v>
      </c>
      <c r="H130" t="s">
        <v>3327</v>
      </c>
      <c r="J130" t="s">
        <v>1387</v>
      </c>
      <c r="K130" t="s">
        <v>44</v>
      </c>
      <c r="L130" s="3">
        <v>47504</v>
      </c>
      <c r="M130" s="3">
        <v>47498</v>
      </c>
      <c r="N130" t="s">
        <v>3328</v>
      </c>
      <c r="O130" s="4">
        <v>1</v>
      </c>
      <c r="P130">
        <v>0</v>
      </c>
      <c r="Q130">
        <v>0</v>
      </c>
    </row>
    <row r="131" spans="1:17" x14ac:dyDescent="0.25">
      <c r="A131">
        <v>40278</v>
      </c>
      <c r="B131" t="s">
        <v>2876</v>
      </c>
      <c r="C131" t="s">
        <v>2877</v>
      </c>
      <c r="D131" s="3">
        <v>30353</v>
      </c>
      <c r="E131" t="s">
        <v>1379</v>
      </c>
      <c r="G131" s="3">
        <v>45378</v>
      </c>
      <c r="H131" t="s">
        <v>2878</v>
      </c>
      <c r="J131" t="s">
        <v>1387</v>
      </c>
      <c r="K131" t="s">
        <v>44</v>
      </c>
      <c r="L131" s="3">
        <v>47229</v>
      </c>
      <c r="M131" s="3">
        <v>47167</v>
      </c>
      <c r="N131" t="s">
        <v>2879</v>
      </c>
      <c r="O131" s="4">
        <v>1</v>
      </c>
      <c r="P131">
        <v>0</v>
      </c>
      <c r="Q131">
        <v>0</v>
      </c>
    </row>
    <row r="132" spans="1:17" x14ac:dyDescent="0.25">
      <c r="A132">
        <v>40266</v>
      </c>
      <c r="B132" t="s">
        <v>1422</v>
      </c>
      <c r="C132" t="s">
        <v>1423</v>
      </c>
      <c r="D132" s="3">
        <v>35989</v>
      </c>
      <c r="E132" t="s">
        <v>1379</v>
      </c>
      <c r="G132" s="3">
        <v>45394</v>
      </c>
      <c r="H132" t="s">
        <v>1424</v>
      </c>
      <c r="J132" t="s">
        <v>1425</v>
      </c>
      <c r="K132" t="s">
        <v>44</v>
      </c>
      <c r="L132" s="3">
        <v>47239</v>
      </c>
      <c r="M132" s="3">
        <v>47143</v>
      </c>
      <c r="N132" t="s">
        <v>1426</v>
      </c>
      <c r="O132" s="4">
        <v>1</v>
      </c>
      <c r="P132">
        <v>0</v>
      </c>
      <c r="Q132">
        <v>0</v>
      </c>
    </row>
    <row r="133" spans="1:17" x14ac:dyDescent="0.25">
      <c r="A133">
        <v>40264</v>
      </c>
      <c r="B133" t="s">
        <v>2542</v>
      </c>
      <c r="C133" t="s">
        <v>2543</v>
      </c>
      <c r="D133" s="3">
        <v>32793</v>
      </c>
      <c r="E133" t="s">
        <v>1379</v>
      </c>
      <c r="G133" s="3">
        <v>45364</v>
      </c>
      <c r="H133" t="s">
        <v>2544</v>
      </c>
      <c r="J133" t="s">
        <v>1387</v>
      </c>
      <c r="K133" t="s">
        <v>44</v>
      </c>
      <c r="L133" s="3">
        <v>47224</v>
      </c>
      <c r="M133" s="3">
        <v>47167</v>
      </c>
      <c r="N133" t="s">
        <v>2545</v>
      </c>
      <c r="O133" s="4">
        <v>1</v>
      </c>
      <c r="P133">
        <v>0</v>
      </c>
      <c r="Q133">
        <v>0</v>
      </c>
    </row>
    <row r="134" spans="1:17" x14ac:dyDescent="0.25">
      <c r="A134">
        <v>40223</v>
      </c>
      <c r="B134" t="s">
        <v>3224</v>
      </c>
      <c r="C134" t="s">
        <v>3225</v>
      </c>
      <c r="D134" s="3">
        <v>35832</v>
      </c>
      <c r="E134" t="s">
        <v>1379</v>
      </c>
      <c r="G134" s="3">
        <v>45349</v>
      </c>
      <c r="H134" t="s">
        <v>3226</v>
      </c>
      <c r="J134" t="s">
        <v>1387</v>
      </c>
      <c r="K134" t="s">
        <v>35</v>
      </c>
      <c r="L134" s="3">
        <v>47194</v>
      </c>
      <c r="M134" s="3">
        <v>47168</v>
      </c>
      <c r="N134" t="s">
        <v>3227</v>
      </c>
      <c r="O134" s="4">
        <v>0.8</v>
      </c>
      <c r="P134">
        <v>0</v>
      </c>
      <c r="Q134">
        <v>0</v>
      </c>
    </row>
    <row r="135" spans="1:17" x14ac:dyDescent="0.25">
      <c r="A135">
        <v>40222</v>
      </c>
      <c r="B135" t="s">
        <v>1686</v>
      </c>
      <c r="C135" t="s">
        <v>1687</v>
      </c>
      <c r="D135" s="3">
        <v>35955</v>
      </c>
      <c r="E135" t="s">
        <v>1379</v>
      </c>
      <c r="G135" s="3">
        <v>45349</v>
      </c>
      <c r="H135" t="s">
        <v>1688</v>
      </c>
      <c r="J135" t="s">
        <v>1387</v>
      </c>
      <c r="K135" t="s">
        <v>35</v>
      </c>
      <c r="L135" s="3">
        <v>47194</v>
      </c>
      <c r="M135" s="3">
        <v>47161</v>
      </c>
      <c r="N135" t="s">
        <v>1689</v>
      </c>
      <c r="O135" s="4">
        <v>1</v>
      </c>
      <c r="P135">
        <v>0</v>
      </c>
      <c r="Q135">
        <v>0</v>
      </c>
    </row>
    <row r="136" spans="1:17" x14ac:dyDescent="0.25">
      <c r="A136">
        <v>40201</v>
      </c>
      <c r="B136" t="s">
        <v>3088</v>
      </c>
      <c r="C136" t="s">
        <v>3322</v>
      </c>
      <c r="D136" s="3">
        <v>37879</v>
      </c>
      <c r="E136" t="s">
        <v>1379</v>
      </c>
      <c r="G136" s="3">
        <v>45378</v>
      </c>
      <c r="H136" t="s">
        <v>3323</v>
      </c>
      <c r="J136" t="s">
        <v>1387</v>
      </c>
      <c r="K136" t="s">
        <v>35</v>
      </c>
      <c r="L136" s="3">
        <v>47224</v>
      </c>
      <c r="M136" s="3">
        <v>47150</v>
      </c>
      <c r="N136" t="s">
        <v>3324</v>
      </c>
      <c r="O136" s="4">
        <v>1</v>
      </c>
      <c r="P136">
        <v>0</v>
      </c>
      <c r="Q136">
        <v>0</v>
      </c>
    </row>
    <row r="137" spans="1:17" x14ac:dyDescent="0.25">
      <c r="A137">
        <v>40200</v>
      </c>
      <c r="B137" t="s">
        <v>2445</v>
      </c>
      <c r="C137" t="s">
        <v>2446</v>
      </c>
      <c r="D137" s="3">
        <v>33970</v>
      </c>
      <c r="E137" t="s">
        <v>1379</v>
      </c>
      <c r="G137" s="3">
        <v>45345</v>
      </c>
      <c r="H137" t="s">
        <v>2447</v>
      </c>
      <c r="J137" t="s">
        <v>1387</v>
      </c>
      <c r="K137" t="s">
        <v>35</v>
      </c>
      <c r="L137" s="3">
        <v>46719</v>
      </c>
      <c r="M137" s="3">
        <v>46616</v>
      </c>
      <c r="N137" t="s">
        <v>2448</v>
      </c>
      <c r="O137" s="4">
        <v>1</v>
      </c>
      <c r="P137">
        <v>0</v>
      </c>
      <c r="Q137">
        <v>0</v>
      </c>
    </row>
    <row r="138" spans="1:17" x14ac:dyDescent="0.25">
      <c r="A138">
        <v>40143</v>
      </c>
      <c r="B138" t="s">
        <v>2203</v>
      </c>
      <c r="C138" t="s">
        <v>2204</v>
      </c>
      <c r="D138" s="3">
        <v>33333</v>
      </c>
      <c r="E138" t="s">
        <v>1379</v>
      </c>
      <c r="G138" s="3">
        <v>45335</v>
      </c>
      <c r="H138" t="s">
        <v>2205</v>
      </c>
      <c r="J138" t="s">
        <v>1387</v>
      </c>
      <c r="K138" t="s">
        <v>44</v>
      </c>
      <c r="L138" s="3">
        <v>47181</v>
      </c>
      <c r="M138" s="3">
        <v>47143</v>
      </c>
      <c r="N138" t="s">
        <v>2206</v>
      </c>
      <c r="O138" s="4">
        <v>1</v>
      </c>
      <c r="P138">
        <v>0</v>
      </c>
      <c r="Q138">
        <v>0</v>
      </c>
    </row>
    <row r="139" spans="1:17" x14ac:dyDescent="0.25">
      <c r="A139">
        <v>40138</v>
      </c>
      <c r="B139" t="s">
        <v>1579</v>
      </c>
      <c r="C139" t="s">
        <v>1580</v>
      </c>
      <c r="D139" s="3">
        <v>37726</v>
      </c>
      <c r="E139" t="s">
        <v>1379</v>
      </c>
      <c r="G139" s="3">
        <v>45335</v>
      </c>
      <c r="H139" t="s">
        <v>1581</v>
      </c>
      <c r="J139" t="s">
        <v>1387</v>
      </c>
      <c r="K139" t="s">
        <v>44</v>
      </c>
      <c r="L139" s="3">
        <v>47181</v>
      </c>
      <c r="M139" s="3">
        <v>47139</v>
      </c>
      <c r="N139" t="s">
        <v>1582</v>
      </c>
      <c r="O139" s="4">
        <v>1</v>
      </c>
      <c r="P139">
        <v>0</v>
      </c>
      <c r="Q139">
        <v>0</v>
      </c>
    </row>
    <row r="140" spans="1:17" x14ac:dyDescent="0.25">
      <c r="A140">
        <v>40134</v>
      </c>
      <c r="B140" t="s">
        <v>1690</v>
      </c>
      <c r="C140" t="s">
        <v>1687</v>
      </c>
      <c r="D140" s="3">
        <v>34917</v>
      </c>
      <c r="E140" t="s">
        <v>1379</v>
      </c>
      <c r="G140" s="3">
        <v>45364</v>
      </c>
      <c r="H140" t="s">
        <v>1691</v>
      </c>
      <c r="J140" t="s">
        <v>1387</v>
      </c>
      <c r="K140" t="s">
        <v>35</v>
      </c>
      <c r="L140" s="3">
        <v>47210</v>
      </c>
      <c r="M140" s="3">
        <v>47141</v>
      </c>
      <c r="N140" t="s">
        <v>1692</v>
      </c>
      <c r="O140" s="4">
        <v>1</v>
      </c>
      <c r="P140">
        <v>0</v>
      </c>
      <c r="Q140">
        <v>0</v>
      </c>
    </row>
    <row r="141" spans="1:17" x14ac:dyDescent="0.25">
      <c r="A141">
        <v>40110</v>
      </c>
      <c r="B141" t="s">
        <v>1739</v>
      </c>
      <c r="C141" t="s">
        <v>1734</v>
      </c>
      <c r="D141" s="3">
        <v>26869</v>
      </c>
      <c r="E141" t="s">
        <v>1379</v>
      </c>
      <c r="G141" s="3">
        <v>45335</v>
      </c>
      <c r="H141" t="s">
        <v>1740</v>
      </c>
      <c r="I141">
        <v>93577730</v>
      </c>
      <c r="J141" t="s">
        <v>1387</v>
      </c>
      <c r="K141" t="s">
        <v>44</v>
      </c>
      <c r="L141" s="3">
        <v>47180</v>
      </c>
      <c r="M141" s="3">
        <v>47141</v>
      </c>
      <c r="N141" t="s">
        <v>1741</v>
      </c>
      <c r="O141" s="4">
        <v>0.6</v>
      </c>
      <c r="P141">
        <v>1</v>
      </c>
      <c r="Q141">
        <v>0</v>
      </c>
    </row>
    <row r="142" spans="1:17" x14ac:dyDescent="0.25">
      <c r="A142">
        <v>40058</v>
      </c>
      <c r="B142" t="s">
        <v>3177</v>
      </c>
      <c r="C142" t="s">
        <v>3178</v>
      </c>
      <c r="D142" s="3">
        <v>37636</v>
      </c>
      <c r="E142" t="s">
        <v>1379</v>
      </c>
      <c r="G142" s="3">
        <v>45321</v>
      </c>
      <c r="H142" t="s">
        <v>3179</v>
      </c>
      <c r="J142" t="s">
        <v>1387</v>
      </c>
      <c r="K142" t="s">
        <v>44</v>
      </c>
      <c r="L142" s="3">
        <v>47164</v>
      </c>
      <c r="M142" s="3">
        <v>47134</v>
      </c>
      <c r="N142" t="s">
        <v>3180</v>
      </c>
      <c r="O142" s="4">
        <v>1</v>
      </c>
      <c r="P142">
        <v>0</v>
      </c>
      <c r="Q142">
        <v>0</v>
      </c>
    </row>
    <row r="143" spans="1:17" x14ac:dyDescent="0.25">
      <c r="A143">
        <v>40055</v>
      </c>
      <c r="B143" t="s">
        <v>3370</v>
      </c>
      <c r="C143" t="s">
        <v>3371</v>
      </c>
      <c r="D143" s="3">
        <v>34746</v>
      </c>
      <c r="E143" t="s">
        <v>1379</v>
      </c>
      <c r="G143" s="3">
        <v>45321</v>
      </c>
      <c r="H143" t="s">
        <v>3372</v>
      </c>
      <c r="J143" t="s">
        <v>1387</v>
      </c>
      <c r="K143" t="s">
        <v>41</v>
      </c>
      <c r="L143" s="3">
        <v>47168</v>
      </c>
      <c r="M143" s="3">
        <v>47129</v>
      </c>
      <c r="N143" t="s">
        <v>3373</v>
      </c>
      <c r="O143" s="4">
        <v>1</v>
      </c>
      <c r="P143">
        <v>0</v>
      </c>
      <c r="Q143">
        <v>0</v>
      </c>
    </row>
    <row r="144" spans="1:17" x14ac:dyDescent="0.25">
      <c r="A144">
        <v>40036</v>
      </c>
      <c r="B144" t="s">
        <v>2049</v>
      </c>
      <c r="C144" t="s">
        <v>2050</v>
      </c>
      <c r="D144" s="3">
        <v>28723</v>
      </c>
      <c r="E144" t="s">
        <v>1379</v>
      </c>
      <c r="G144" s="3">
        <v>45364</v>
      </c>
      <c r="H144" t="s">
        <v>2051</v>
      </c>
      <c r="J144" t="s">
        <v>1387</v>
      </c>
      <c r="K144" t="s">
        <v>35</v>
      </c>
      <c r="L144" s="3">
        <v>47210</v>
      </c>
      <c r="M144" s="3">
        <v>47092</v>
      </c>
      <c r="N144" t="s">
        <v>2052</v>
      </c>
      <c r="O144" s="4">
        <v>1</v>
      </c>
      <c r="P144">
        <v>0</v>
      </c>
      <c r="Q144">
        <v>0</v>
      </c>
    </row>
    <row r="145" spans="1:18" x14ac:dyDescent="0.25">
      <c r="A145">
        <v>40006</v>
      </c>
      <c r="B145" t="s">
        <v>3102</v>
      </c>
      <c r="C145" t="s">
        <v>3252</v>
      </c>
      <c r="D145" s="3">
        <v>38314</v>
      </c>
      <c r="E145" t="s">
        <v>1379</v>
      </c>
      <c r="G145" s="3">
        <v>45307</v>
      </c>
      <c r="H145" t="s">
        <v>3253</v>
      </c>
      <c r="J145" t="s">
        <v>1387</v>
      </c>
      <c r="K145" t="s">
        <v>44</v>
      </c>
      <c r="L145" s="3">
        <v>47154</v>
      </c>
      <c r="M145" s="3">
        <v>47126</v>
      </c>
      <c r="N145" t="s">
        <v>3254</v>
      </c>
      <c r="O145" s="4">
        <v>1</v>
      </c>
      <c r="P145">
        <v>0</v>
      </c>
      <c r="Q145">
        <v>0</v>
      </c>
    </row>
    <row r="146" spans="1:18" x14ac:dyDescent="0.25">
      <c r="A146">
        <v>40005</v>
      </c>
      <c r="B146" t="s">
        <v>1918</v>
      </c>
      <c r="C146" t="s">
        <v>1919</v>
      </c>
      <c r="D146" s="3">
        <v>33365</v>
      </c>
      <c r="E146" t="s">
        <v>1379</v>
      </c>
      <c r="G146" s="3">
        <v>45307</v>
      </c>
      <c r="H146" t="s">
        <v>1920</v>
      </c>
      <c r="J146" t="s">
        <v>1387</v>
      </c>
      <c r="K146" t="s">
        <v>44</v>
      </c>
      <c r="L146" s="3">
        <v>47154</v>
      </c>
      <c r="M146" s="3">
        <v>47126</v>
      </c>
      <c r="N146" t="s">
        <v>1922</v>
      </c>
      <c r="O146" s="4">
        <v>1</v>
      </c>
      <c r="P146">
        <v>0</v>
      </c>
      <c r="Q146">
        <v>0</v>
      </c>
    </row>
    <row r="147" spans="1:18" x14ac:dyDescent="0.25">
      <c r="A147">
        <v>39988</v>
      </c>
      <c r="B147" t="s">
        <v>2318</v>
      </c>
      <c r="C147" t="s">
        <v>2312</v>
      </c>
      <c r="D147" s="3">
        <v>30468</v>
      </c>
      <c r="E147" t="s">
        <v>1379</v>
      </c>
      <c r="G147" s="3">
        <v>45321</v>
      </c>
      <c r="H147" t="s">
        <v>2319</v>
      </c>
      <c r="J147" t="s">
        <v>1387</v>
      </c>
      <c r="K147" t="s">
        <v>44</v>
      </c>
      <c r="L147" s="3">
        <v>47164</v>
      </c>
      <c r="M147" s="3">
        <v>47092</v>
      </c>
      <c r="N147" t="s">
        <v>2320</v>
      </c>
      <c r="O147" s="4">
        <v>1</v>
      </c>
      <c r="P147">
        <v>0</v>
      </c>
      <c r="Q147">
        <v>0</v>
      </c>
    </row>
    <row r="148" spans="1:18" x14ac:dyDescent="0.25">
      <c r="A148">
        <v>39985</v>
      </c>
      <c r="B148" t="s">
        <v>2331</v>
      </c>
      <c r="C148" t="s">
        <v>2332</v>
      </c>
      <c r="D148" s="3">
        <v>35670</v>
      </c>
      <c r="E148" t="s">
        <v>1379</v>
      </c>
      <c r="G148" s="3">
        <v>45321</v>
      </c>
      <c r="H148" t="s">
        <v>2333</v>
      </c>
      <c r="J148" t="s">
        <v>1387</v>
      </c>
      <c r="K148" t="s">
        <v>44</v>
      </c>
      <c r="L148" s="3">
        <v>47165</v>
      </c>
      <c r="M148" s="3">
        <v>47105</v>
      </c>
      <c r="N148" t="s">
        <v>2334</v>
      </c>
      <c r="O148" s="4">
        <v>1</v>
      </c>
      <c r="P148">
        <v>0</v>
      </c>
      <c r="Q148">
        <v>0</v>
      </c>
    </row>
    <row r="149" spans="1:18" x14ac:dyDescent="0.25">
      <c r="A149">
        <v>39930</v>
      </c>
      <c r="B149" t="s">
        <v>1895</v>
      </c>
      <c r="C149" t="s">
        <v>1896</v>
      </c>
      <c r="D149" s="3">
        <v>33604</v>
      </c>
      <c r="E149" t="s">
        <v>1379</v>
      </c>
      <c r="G149" s="3">
        <v>45307</v>
      </c>
      <c r="H149" t="s">
        <v>1897</v>
      </c>
      <c r="J149" t="s">
        <v>1387</v>
      </c>
      <c r="K149" t="s">
        <v>44</v>
      </c>
      <c r="L149" s="3">
        <v>47154</v>
      </c>
      <c r="M149" s="3">
        <v>47100</v>
      </c>
      <c r="N149" t="s">
        <v>1898</v>
      </c>
      <c r="O149" s="4">
        <v>1</v>
      </c>
      <c r="P149">
        <v>0</v>
      </c>
      <c r="Q149">
        <v>0</v>
      </c>
    </row>
    <row r="150" spans="1:18" x14ac:dyDescent="0.25">
      <c r="A150">
        <v>39929</v>
      </c>
      <c r="B150" t="s">
        <v>2269</v>
      </c>
      <c r="C150" t="s">
        <v>2270</v>
      </c>
      <c r="D150" s="3">
        <v>30553</v>
      </c>
      <c r="E150" t="s">
        <v>1379</v>
      </c>
      <c r="G150" s="3">
        <v>45299</v>
      </c>
      <c r="H150" t="s">
        <v>2271</v>
      </c>
      <c r="J150" t="s">
        <v>1387</v>
      </c>
      <c r="K150" t="s">
        <v>44</v>
      </c>
      <c r="L150" s="3">
        <v>46530</v>
      </c>
      <c r="M150" s="3">
        <v>45999</v>
      </c>
      <c r="N150" t="s">
        <v>2272</v>
      </c>
      <c r="O150" s="4">
        <v>1</v>
      </c>
      <c r="P150">
        <v>0</v>
      </c>
      <c r="Q150">
        <v>0</v>
      </c>
    </row>
    <row r="151" spans="1:18" x14ac:dyDescent="0.25">
      <c r="A151">
        <v>39928</v>
      </c>
      <c r="B151" t="s">
        <v>3592</v>
      </c>
      <c r="C151" t="s">
        <v>3439</v>
      </c>
      <c r="D151" s="3">
        <v>35796</v>
      </c>
      <c r="E151" t="s">
        <v>1379</v>
      </c>
      <c r="G151" s="3">
        <v>45293</v>
      </c>
      <c r="H151" t="s">
        <v>3593</v>
      </c>
      <c r="J151" t="s">
        <v>1836</v>
      </c>
      <c r="K151" t="s">
        <v>38</v>
      </c>
      <c r="L151" s="3">
        <v>47302</v>
      </c>
      <c r="M151" s="3">
        <v>47100</v>
      </c>
      <c r="N151" t="s">
        <v>3594</v>
      </c>
      <c r="O151" s="4">
        <v>1</v>
      </c>
      <c r="P151">
        <v>0</v>
      </c>
      <c r="Q151">
        <v>0</v>
      </c>
    </row>
    <row r="152" spans="1:18" x14ac:dyDescent="0.25">
      <c r="A152">
        <v>39927</v>
      </c>
      <c r="B152" t="s">
        <v>2546</v>
      </c>
      <c r="C152" t="s">
        <v>2547</v>
      </c>
      <c r="D152" s="3">
        <v>34161</v>
      </c>
      <c r="E152" t="s">
        <v>1379</v>
      </c>
      <c r="G152" s="3">
        <v>45307</v>
      </c>
      <c r="H152" t="s">
        <v>2548</v>
      </c>
      <c r="J152" t="s">
        <v>1387</v>
      </c>
      <c r="K152" t="s">
        <v>44</v>
      </c>
      <c r="L152" s="3">
        <v>47150</v>
      </c>
      <c r="M152" s="3">
        <v>47092</v>
      </c>
      <c r="N152" t="s">
        <v>2549</v>
      </c>
      <c r="O152" s="4">
        <v>1</v>
      </c>
      <c r="P152">
        <v>0</v>
      </c>
      <c r="Q152">
        <v>0</v>
      </c>
    </row>
    <row r="153" spans="1:18" x14ac:dyDescent="0.25">
      <c r="A153">
        <v>39907</v>
      </c>
      <c r="B153" t="s">
        <v>3216</v>
      </c>
      <c r="C153" t="s">
        <v>3217</v>
      </c>
      <c r="D153" s="3">
        <v>29982</v>
      </c>
      <c r="E153" t="s">
        <v>1379</v>
      </c>
      <c r="G153" s="3">
        <v>45299</v>
      </c>
      <c r="H153" t="s">
        <v>3218</v>
      </c>
      <c r="J153" t="s">
        <v>1387</v>
      </c>
      <c r="K153" t="s">
        <v>47</v>
      </c>
      <c r="L153" s="3">
        <v>47169</v>
      </c>
      <c r="M153" s="3">
        <v>47077</v>
      </c>
      <c r="N153" t="s">
        <v>3219</v>
      </c>
      <c r="O153" s="4">
        <v>1</v>
      </c>
      <c r="P153">
        <v>0</v>
      </c>
      <c r="Q153">
        <v>0</v>
      </c>
    </row>
    <row r="154" spans="1:18" x14ac:dyDescent="0.25">
      <c r="A154">
        <v>39901</v>
      </c>
      <c r="B154" t="s">
        <v>2646</v>
      </c>
      <c r="C154" t="s">
        <v>2647</v>
      </c>
      <c r="D154" s="3">
        <v>34727</v>
      </c>
      <c r="E154" t="s">
        <v>1379</v>
      </c>
      <c r="G154" s="3">
        <v>45307</v>
      </c>
      <c r="H154" t="s">
        <v>2648</v>
      </c>
      <c r="J154" t="s">
        <v>1387</v>
      </c>
      <c r="K154" t="s">
        <v>44</v>
      </c>
      <c r="L154" s="3">
        <v>46999</v>
      </c>
      <c r="M154" s="3">
        <v>46999</v>
      </c>
      <c r="N154" t="s">
        <v>2649</v>
      </c>
      <c r="O154" s="4">
        <v>1</v>
      </c>
      <c r="P154">
        <v>0</v>
      </c>
      <c r="Q154">
        <v>0</v>
      </c>
    </row>
    <row r="155" spans="1:18" x14ac:dyDescent="0.25">
      <c r="A155">
        <v>39899</v>
      </c>
      <c r="B155" t="s">
        <v>3265</v>
      </c>
      <c r="C155" t="s">
        <v>3454</v>
      </c>
      <c r="D155" s="3">
        <v>22796</v>
      </c>
      <c r="E155" t="s">
        <v>1379</v>
      </c>
      <c r="G155" s="3">
        <v>45315</v>
      </c>
      <c r="H155" t="s">
        <v>3455</v>
      </c>
      <c r="J155" t="s">
        <v>1387</v>
      </c>
      <c r="K155" t="s">
        <v>44</v>
      </c>
      <c r="L155" s="3">
        <v>46497</v>
      </c>
      <c r="M155" s="3">
        <v>46431</v>
      </c>
      <c r="N155" t="s">
        <v>3456</v>
      </c>
      <c r="O155" s="4">
        <v>1</v>
      </c>
      <c r="P155">
        <v>0</v>
      </c>
      <c r="Q155">
        <v>0</v>
      </c>
    </row>
    <row r="156" spans="1:18" x14ac:dyDescent="0.25">
      <c r="A156">
        <v>39889</v>
      </c>
      <c r="B156" t="s">
        <v>1853</v>
      </c>
      <c r="C156" t="s">
        <v>1854</v>
      </c>
      <c r="D156" s="3">
        <v>28307</v>
      </c>
      <c r="E156" t="s">
        <v>1379</v>
      </c>
      <c r="G156" s="3">
        <v>45293</v>
      </c>
      <c r="H156" t="s">
        <v>1855</v>
      </c>
      <c r="J156" t="s">
        <v>1387</v>
      </c>
      <c r="K156" t="s">
        <v>50</v>
      </c>
      <c r="L156" s="3">
        <v>47140</v>
      </c>
      <c r="M156" s="3">
        <v>47090</v>
      </c>
      <c r="N156" t="s">
        <v>1856</v>
      </c>
      <c r="O156" s="4">
        <v>1</v>
      </c>
      <c r="P156">
        <v>0</v>
      </c>
      <c r="Q156">
        <v>0</v>
      </c>
    </row>
    <row r="157" spans="1:18" x14ac:dyDescent="0.25">
      <c r="A157">
        <v>39859</v>
      </c>
      <c r="B157" t="s">
        <v>2487</v>
      </c>
      <c r="C157" t="s">
        <v>2484</v>
      </c>
      <c r="D157" s="3">
        <v>29906</v>
      </c>
      <c r="E157" t="s">
        <v>1379</v>
      </c>
      <c r="G157" s="3">
        <v>45264</v>
      </c>
      <c r="H157" t="s">
        <v>2488</v>
      </c>
      <c r="J157" t="s">
        <v>1387</v>
      </c>
      <c r="K157" t="s">
        <v>38</v>
      </c>
      <c r="L157" s="3">
        <v>47106</v>
      </c>
      <c r="M157" s="3">
        <v>47083</v>
      </c>
      <c r="N157" t="s">
        <v>2489</v>
      </c>
      <c r="O157" s="4">
        <v>1</v>
      </c>
      <c r="P157">
        <v>0</v>
      </c>
      <c r="Q157">
        <v>0</v>
      </c>
    </row>
    <row r="158" spans="1:18" x14ac:dyDescent="0.25">
      <c r="A158">
        <v>39858</v>
      </c>
      <c r="B158" t="s">
        <v>2953</v>
      </c>
      <c r="C158" t="s">
        <v>2954</v>
      </c>
      <c r="D158" s="3">
        <v>36686</v>
      </c>
      <c r="E158" t="s">
        <v>1379</v>
      </c>
      <c r="G158" s="3">
        <v>45264</v>
      </c>
      <c r="H158" t="s">
        <v>2955</v>
      </c>
      <c r="J158" t="s">
        <v>1387</v>
      </c>
      <c r="K158" t="s">
        <v>53</v>
      </c>
      <c r="L158" s="3">
        <v>47107</v>
      </c>
      <c r="M158" s="3">
        <v>47072</v>
      </c>
      <c r="N158" t="s">
        <v>2956</v>
      </c>
      <c r="O158" s="4">
        <v>1</v>
      </c>
      <c r="P158">
        <v>0</v>
      </c>
      <c r="Q158">
        <v>0</v>
      </c>
    </row>
    <row r="159" spans="1:18" x14ac:dyDescent="0.25">
      <c r="A159">
        <v>39856</v>
      </c>
      <c r="B159" t="s">
        <v>3269</v>
      </c>
      <c r="C159" t="s">
        <v>3270</v>
      </c>
      <c r="D159" s="3">
        <v>33698</v>
      </c>
      <c r="E159" t="s">
        <v>1379</v>
      </c>
      <c r="G159" s="3">
        <v>45264</v>
      </c>
      <c r="H159" t="s">
        <v>3271</v>
      </c>
      <c r="J159" t="s">
        <v>1387</v>
      </c>
      <c r="K159" t="s">
        <v>47</v>
      </c>
      <c r="L159" s="3">
        <v>47108</v>
      </c>
      <c r="M159" s="3">
        <v>47072</v>
      </c>
      <c r="N159" t="s">
        <v>3272</v>
      </c>
      <c r="O159" s="4">
        <v>1</v>
      </c>
      <c r="P159">
        <v>0</v>
      </c>
      <c r="Q159">
        <v>0</v>
      </c>
    </row>
    <row r="160" spans="1:18" x14ac:dyDescent="0.25">
      <c r="A160">
        <v>39850</v>
      </c>
      <c r="B160" t="s">
        <v>1478</v>
      </c>
      <c r="C160" t="s">
        <v>1479</v>
      </c>
      <c r="D160" s="3">
        <v>26488</v>
      </c>
      <c r="E160" t="s">
        <v>1379</v>
      </c>
      <c r="G160" s="3">
        <v>45264</v>
      </c>
      <c r="H160" t="s">
        <v>1480</v>
      </c>
      <c r="J160" t="s">
        <v>1387</v>
      </c>
      <c r="K160" t="s">
        <v>35</v>
      </c>
      <c r="L160" s="3">
        <v>47106</v>
      </c>
      <c r="M160" s="3">
        <v>47077</v>
      </c>
      <c r="N160" t="s">
        <v>1481</v>
      </c>
      <c r="O160" s="4">
        <v>1</v>
      </c>
      <c r="P160">
        <v>0</v>
      </c>
      <c r="Q160">
        <v>0</v>
      </c>
      <c r="R160" t="s">
        <v>1482</v>
      </c>
    </row>
    <row r="161" spans="1:17" x14ac:dyDescent="0.25">
      <c r="A161">
        <v>39831</v>
      </c>
      <c r="B161" t="s">
        <v>2121</v>
      </c>
      <c r="C161" t="s">
        <v>2122</v>
      </c>
      <c r="D161" s="3">
        <v>35158</v>
      </c>
      <c r="E161" t="s">
        <v>1379</v>
      </c>
      <c r="G161" s="3">
        <v>45264</v>
      </c>
      <c r="H161" t="s">
        <v>2123</v>
      </c>
      <c r="J161" t="s">
        <v>1387</v>
      </c>
      <c r="K161" t="s">
        <v>53</v>
      </c>
      <c r="L161" s="3">
        <v>47106</v>
      </c>
      <c r="M161" s="3">
        <v>47072</v>
      </c>
      <c r="N161" t="s">
        <v>2124</v>
      </c>
      <c r="O161" s="4">
        <v>0.5</v>
      </c>
      <c r="P161">
        <v>0</v>
      </c>
      <c r="Q161">
        <v>0</v>
      </c>
    </row>
    <row r="162" spans="1:17" x14ac:dyDescent="0.25">
      <c r="A162">
        <v>39829</v>
      </c>
      <c r="B162" t="s">
        <v>1693</v>
      </c>
      <c r="C162" t="s">
        <v>1694</v>
      </c>
      <c r="D162" s="3">
        <v>32321</v>
      </c>
      <c r="E162" t="s">
        <v>1379</v>
      </c>
      <c r="G162" s="3">
        <v>45264</v>
      </c>
      <c r="H162" t="s">
        <v>1695</v>
      </c>
      <c r="J162" t="s">
        <v>1387</v>
      </c>
      <c r="K162" t="s">
        <v>56</v>
      </c>
      <c r="L162" s="3">
        <v>47107</v>
      </c>
      <c r="M162" s="3">
        <v>47072</v>
      </c>
      <c r="N162" t="s">
        <v>1696</v>
      </c>
      <c r="O162" s="4">
        <v>1</v>
      </c>
      <c r="P162">
        <v>0</v>
      </c>
      <c r="Q162">
        <v>0</v>
      </c>
    </row>
    <row r="163" spans="1:17" x14ac:dyDescent="0.25">
      <c r="A163">
        <v>39779</v>
      </c>
      <c r="B163" t="s">
        <v>2133</v>
      </c>
      <c r="C163" t="s">
        <v>2134</v>
      </c>
      <c r="D163" s="3">
        <v>33855</v>
      </c>
      <c r="E163" t="s">
        <v>1379</v>
      </c>
      <c r="G163" s="3">
        <v>45250</v>
      </c>
      <c r="H163" t="s">
        <v>2135</v>
      </c>
      <c r="J163" t="s">
        <v>1387</v>
      </c>
      <c r="K163" t="s">
        <v>38</v>
      </c>
      <c r="L163" s="3">
        <v>47093</v>
      </c>
      <c r="M163" s="3">
        <v>47051</v>
      </c>
      <c r="N163" t="s">
        <v>2136</v>
      </c>
      <c r="O163" s="4">
        <v>1</v>
      </c>
      <c r="P163">
        <v>0</v>
      </c>
      <c r="Q163">
        <v>0</v>
      </c>
    </row>
    <row r="164" spans="1:17" x14ac:dyDescent="0.25">
      <c r="A164">
        <v>39728</v>
      </c>
      <c r="B164" t="s">
        <v>3295</v>
      </c>
      <c r="C164" t="s">
        <v>3296</v>
      </c>
      <c r="D164" s="3">
        <v>36347</v>
      </c>
      <c r="E164" t="s">
        <v>1379</v>
      </c>
      <c r="G164" s="3">
        <v>45250</v>
      </c>
      <c r="H164" t="s">
        <v>3297</v>
      </c>
      <c r="J164" t="s">
        <v>1387</v>
      </c>
      <c r="K164" t="s">
        <v>56</v>
      </c>
      <c r="L164" s="3">
        <v>47092</v>
      </c>
      <c r="M164" s="3">
        <v>47027</v>
      </c>
      <c r="N164" t="s">
        <v>3298</v>
      </c>
      <c r="O164" s="4">
        <v>1</v>
      </c>
      <c r="P164">
        <v>0</v>
      </c>
      <c r="Q164">
        <v>0</v>
      </c>
    </row>
    <row r="165" spans="1:17" x14ac:dyDescent="0.25">
      <c r="A165">
        <v>39715</v>
      </c>
      <c r="B165" t="s">
        <v>2642</v>
      </c>
      <c r="C165" t="s">
        <v>2643</v>
      </c>
      <c r="D165" s="3">
        <v>29587</v>
      </c>
      <c r="E165" t="s">
        <v>1379</v>
      </c>
      <c r="G165" s="3">
        <v>45313</v>
      </c>
      <c r="H165" t="s">
        <v>2644</v>
      </c>
      <c r="J165" t="s">
        <v>1387</v>
      </c>
      <c r="K165" t="s">
        <v>47</v>
      </c>
      <c r="L165" s="3">
        <v>47608</v>
      </c>
      <c r="M165" s="3">
        <v>47594</v>
      </c>
      <c r="N165" t="s">
        <v>2645</v>
      </c>
      <c r="O165" s="4">
        <v>1</v>
      </c>
      <c r="P165">
        <v>0</v>
      </c>
      <c r="Q165">
        <v>0</v>
      </c>
    </row>
    <row r="166" spans="1:17" x14ac:dyDescent="0.25">
      <c r="A166">
        <v>39712</v>
      </c>
      <c r="B166" t="s">
        <v>1048</v>
      </c>
      <c r="C166" t="s">
        <v>1210</v>
      </c>
      <c r="D166" s="3">
        <v>35461</v>
      </c>
      <c r="E166" t="s">
        <v>1379</v>
      </c>
      <c r="G166" s="3">
        <v>45236</v>
      </c>
      <c r="H166" t="s">
        <v>1891</v>
      </c>
      <c r="J166" t="s">
        <v>1387</v>
      </c>
      <c r="K166" t="s">
        <v>38</v>
      </c>
      <c r="L166" s="3">
        <v>47077</v>
      </c>
      <c r="M166" s="3">
        <v>47034</v>
      </c>
      <c r="N166" t="s">
        <v>1892</v>
      </c>
      <c r="O166" s="4">
        <v>1</v>
      </c>
      <c r="P166">
        <v>0</v>
      </c>
      <c r="Q166">
        <v>0</v>
      </c>
    </row>
    <row r="167" spans="1:17" x14ac:dyDescent="0.25">
      <c r="A167">
        <v>39677</v>
      </c>
      <c r="B167" t="s">
        <v>2575</v>
      </c>
      <c r="C167" t="s">
        <v>2576</v>
      </c>
      <c r="D167" s="3">
        <v>36222</v>
      </c>
      <c r="E167" t="s">
        <v>1379</v>
      </c>
      <c r="G167" s="3">
        <v>45222</v>
      </c>
      <c r="H167" t="s">
        <v>2577</v>
      </c>
      <c r="J167" t="s">
        <v>1387</v>
      </c>
      <c r="K167" t="s">
        <v>47</v>
      </c>
      <c r="L167" s="3">
        <v>47064</v>
      </c>
      <c r="M167" s="3">
        <v>47030</v>
      </c>
      <c r="N167" t="s">
        <v>2578</v>
      </c>
      <c r="O167" s="4">
        <v>1</v>
      </c>
      <c r="P167">
        <v>0</v>
      </c>
      <c r="Q167">
        <v>0</v>
      </c>
    </row>
    <row r="168" spans="1:17" x14ac:dyDescent="0.25">
      <c r="A168">
        <v>39673</v>
      </c>
      <c r="B168" t="s">
        <v>2733</v>
      </c>
      <c r="C168" t="s">
        <v>2734</v>
      </c>
      <c r="D168" s="3">
        <v>25391</v>
      </c>
      <c r="E168" t="s">
        <v>1379</v>
      </c>
      <c r="G168" s="3">
        <v>45236</v>
      </c>
      <c r="H168" t="s">
        <v>2735</v>
      </c>
      <c r="J168" t="s">
        <v>1387</v>
      </c>
      <c r="K168" t="s">
        <v>41</v>
      </c>
      <c r="L168" s="3">
        <v>47110</v>
      </c>
      <c r="M168" s="3">
        <v>47030</v>
      </c>
      <c r="N168" t="s">
        <v>2736</v>
      </c>
      <c r="O168" s="4">
        <v>1</v>
      </c>
      <c r="P168">
        <v>0</v>
      </c>
      <c r="Q168">
        <v>0</v>
      </c>
    </row>
    <row r="169" spans="1:17" x14ac:dyDescent="0.25">
      <c r="A169">
        <v>39660</v>
      </c>
      <c r="B169" t="s">
        <v>2796</v>
      </c>
      <c r="C169" t="s">
        <v>2793</v>
      </c>
      <c r="D169" s="3">
        <v>32368</v>
      </c>
      <c r="E169" t="s">
        <v>1379</v>
      </c>
      <c r="G169" s="3">
        <v>45222</v>
      </c>
      <c r="H169" t="s">
        <v>2797</v>
      </c>
      <c r="J169" t="s">
        <v>1387</v>
      </c>
      <c r="K169" t="s">
        <v>38</v>
      </c>
      <c r="L169" s="3">
        <v>47064</v>
      </c>
      <c r="M169" s="3">
        <v>47027</v>
      </c>
      <c r="N169" t="s">
        <v>2798</v>
      </c>
      <c r="O169" s="4">
        <v>1</v>
      </c>
      <c r="P169">
        <v>0</v>
      </c>
      <c r="Q169">
        <v>0</v>
      </c>
    </row>
    <row r="170" spans="1:17" x14ac:dyDescent="0.25">
      <c r="A170">
        <v>39654</v>
      </c>
      <c r="B170" t="s">
        <v>2366</v>
      </c>
      <c r="C170" t="s">
        <v>2367</v>
      </c>
      <c r="D170" s="3">
        <v>35555</v>
      </c>
      <c r="E170" t="s">
        <v>1379</v>
      </c>
      <c r="G170" s="3">
        <v>45222</v>
      </c>
      <c r="H170" t="s">
        <v>2368</v>
      </c>
      <c r="J170" t="s">
        <v>1387</v>
      </c>
      <c r="K170" t="s">
        <v>47</v>
      </c>
      <c r="L170" s="3">
        <v>47065</v>
      </c>
      <c r="M170" s="3">
        <v>47016</v>
      </c>
      <c r="N170" t="s">
        <v>2369</v>
      </c>
      <c r="O170" s="4">
        <v>1</v>
      </c>
      <c r="P170">
        <v>0</v>
      </c>
      <c r="Q170">
        <v>0</v>
      </c>
    </row>
    <row r="171" spans="1:17" x14ac:dyDescent="0.25">
      <c r="A171">
        <v>39651</v>
      </c>
      <c r="B171" t="s">
        <v>1622</v>
      </c>
      <c r="C171" t="s">
        <v>1623</v>
      </c>
      <c r="D171" s="3">
        <v>32321</v>
      </c>
      <c r="E171" t="s">
        <v>1379</v>
      </c>
      <c r="G171" s="3">
        <v>45208</v>
      </c>
      <c r="H171" t="s">
        <v>1624</v>
      </c>
      <c r="J171" t="s">
        <v>1387</v>
      </c>
      <c r="K171" t="s">
        <v>47</v>
      </c>
      <c r="L171" s="3">
        <v>47051</v>
      </c>
      <c r="M171" s="3">
        <v>47027</v>
      </c>
      <c r="N171" t="s">
        <v>1625</v>
      </c>
      <c r="O171" s="4">
        <v>1</v>
      </c>
      <c r="P171">
        <v>0</v>
      </c>
      <c r="Q171">
        <v>0</v>
      </c>
    </row>
    <row r="172" spans="1:17" x14ac:dyDescent="0.25">
      <c r="A172">
        <v>39633</v>
      </c>
      <c r="B172" t="s">
        <v>2437</v>
      </c>
      <c r="C172" t="s">
        <v>2438</v>
      </c>
      <c r="D172" s="3">
        <v>36852</v>
      </c>
      <c r="E172" t="s">
        <v>1379</v>
      </c>
      <c r="G172" s="3">
        <v>45236</v>
      </c>
      <c r="H172" t="s">
        <v>2439</v>
      </c>
      <c r="J172" t="s">
        <v>1387</v>
      </c>
      <c r="K172" t="s">
        <v>56</v>
      </c>
      <c r="L172" s="3">
        <v>47077</v>
      </c>
      <c r="M172" s="3">
        <v>47016</v>
      </c>
      <c r="N172" t="s">
        <v>2440</v>
      </c>
      <c r="O172" s="4">
        <v>0.9</v>
      </c>
      <c r="P172">
        <v>0</v>
      </c>
      <c r="Q172">
        <v>0</v>
      </c>
    </row>
    <row r="173" spans="1:17" x14ac:dyDescent="0.25">
      <c r="A173">
        <v>39610</v>
      </c>
      <c r="B173" t="s">
        <v>3273</v>
      </c>
      <c r="C173" t="s">
        <v>3274</v>
      </c>
      <c r="D173" s="3">
        <v>35615</v>
      </c>
      <c r="E173" t="s">
        <v>1379</v>
      </c>
      <c r="G173" s="3">
        <v>45208</v>
      </c>
      <c r="H173" t="s">
        <v>3275</v>
      </c>
      <c r="J173" t="s">
        <v>1387</v>
      </c>
      <c r="K173" t="s">
        <v>38</v>
      </c>
      <c r="L173" s="3">
        <v>47049</v>
      </c>
      <c r="M173" s="3">
        <v>47009</v>
      </c>
      <c r="N173" t="s">
        <v>3276</v>
      </c>
      <c r="O173" s="4">
        <v>1</v>
      </c>
      <c r="P173">
        <v>0</v>
      </c>
      <c r="Q173">
        <v>0</v>
      </c>
    </row>
    <row r="174" spans="1:17" x14ac:dyDescent="0.25">
      <c r="A174">
        <v>39581</v>
      </c>
      <c r="B174" t="s">
        <v>2370</v>
      </c>
      <c r="C174" t="s">
        <v>2371</v>
      </c>
      <c r="D174" s="3">
        <v>36481</v>
      </c>
      <c r="E174" t="s">
        <v>1379</v>
      </c>
      <c r="G174" s="3">
        <v>45194</v>
      </c>
      <c r="H174" t="s">
        <v>2372</v>
      </c>
      <c r="J174" t="s">
        <v>1425</v>
      </c>
      <c r="K174" t="s">
        <v>53</v>
      </c>
      <c r="L174" s="3">
        <v>47036</v>
      </c>
      <c r="M174" s="3">
        <v>47009</v>
      </c>
      <c r="N174" t="s">
        <v>2373</v>
      </c>
      <c r="O174" s="4">
        <v>0.5</v>
      </c>
      <c r="P174">
        <v>0</v>
      </c>
      <c r="Q174">
        <v>0</v>
      </c>
    </row>
    <row r="175" spans="1:17" x14ac:dyDescent="0.25">
      <c r="A175">
        <v>39575</v>
      </c>
      <c r="B175" t="s">
        <v>2653</v>
      </c>
      <c r="C175" t="s">
        <v>2654</v>
      </c>
      <c r="D175" s="3">
        <v>35965</v>
      </c>
      <c r="E175" t="s">
        <v>1379</v>
      </c>
      <c r="G175" s="3">
        <v>45222</v>
      </c>
      <c r="H175" t="s">
        <v>2655</v>
      </c>
      <c r="J175" t="s">
        <v>1387</v>
      </c>
      <c r="K175" t="s">
        <v>53</v>
      </c>
      <c r="L175" s="3">
        <v>47064</v>
      </c>
      <c r="M175" s="3">
        <v>47009</v>
      </c>
      <c r="N175" t="s">
        <v>2656</v>
      </c>
      <c r="O175" s="4">
        <v>1</v>
      </c>
      <c r="P175">
        <v>0</v>
      </c>
      <c r="Q175">
        <v>0</v>
      </c>
    </row>
    <row r="176" spans="1:17" x14ac:dyDescent="0.25">
      <c r="A176">
        <v>39558</v>
      </c>
      <c r="B176" t="s">
        <v>2976</v>
      </c>
      <c r="C176" t="s">
        <v>3170</v>
      </c>
      <c r="D176" s="3">
        <v>31519</v>
      </c>
      <c r="E176" t="s">
        <v>1379</v>
      </c>
      <c r="G176" s="3">
        <v>45208</v>
      </c>
      <c r="H176" t="s">
        <v>3171</v>
      </c>
      <c r="J176" t="s">
        <v>1387</v>
      </c>
      <c r="K176" t="s">
        <v>50</v>
      </c>
      <c r="L176" s="3">
        <v>47052</v>
      </c>
      <c r="M176" s="3">
        <v>46974</v>
      </c>
      <c r="N176" t="s">
        <v>3172</v>
      </c>
      <c r="O176" s="4">
        <v>1</v>
      </c>
      <c r="P176">
        <v>0</v>
      </c>
      <c r="Q176">
        <v>0</v>
      </c>
    </row>
    <row r="177" spans="1:17" x14ac:dyDescent="0.25">
      <c r="A177">
        <v>39532</v>
      </c>
      <c r="B177" t="s">
        <v>2030</v>
      </c>
      <c r="C177" t="s">
        <v>2031</v>
      </c>
      <c r="D177" s="3">
        <v>36632</v>
      </c>
      <c r="E177" t="s">
        <v>1379</v>
      </c>
      <c r="F177">
        <v>87</v>
      </c>
      <c r="G177" s="3">
        <v>45208</v>
      </c>
      <c r="H177" t="s">
        <v>2032</v>
      </c>
      <c r="J177" t="s">
        <v>1387</v>
      </c>
      <c r="K177" t="s">
        <v>44</v>
      </c>
      <c r="L177" s="3">
        <v>47049</v>
      </c>
      <c r="M177" s="3">
        <v>46981</v>
      </c>
      <c r="N177" t="s">
        <v>2033</v>
      </c>
      <c r="O177" s="4">
        <v>1</v>
      </c>
      <c r="P177">
        <v>0</v>
      </c>
      <c r="Q177">
        <v>0</v>
      </c>
    </row>
    <row r="178" spans="1:17" x14ac:dyDescent="0.25">
      <c r="A178">
        <v>39529</v>
      </c>
      <c r="B178" t="s">
        <v>1983</v>
      </c>
      <c r="C178" t="s">
        <v>1984</v>
      </c>
      <c r="D178" s="3">
        <v>23786</v>
      </c>
      <c r="E178" t="s">
        <v>1379</v>
      </c>
      <c r="G178" s="3">
        <v>45286</v>
      </c>
      <c r="H178" t="s">
        <v>1985</v>
      </c>
      <c r="J178" t="s">
        <v>1588</v>
      </c>
      <c r="K178" t="s">
        <v>44</v>
      </c>
      <c r="L178" s="3">
        <v>45934</v>
      </c>
      <c r="M178" s="3">
        <v>47621</v>
      </c>
      <c r="N178" t="s">
        <v>1986</v>
      </c>
      <c r="O178" s="4">
        <v>0.8</v>
      </c>
      <c r="P178">
        <v>0</v>
      </c>
      <c r="Q178">
        <v>0</v>
      </c>
    </row>
    <row r="179" spans="1:17" x14ac:dyDescent="0.25">
      <c r="A179">
        <v>39528</v>
      </c>
      <c r="B179" t="s">
        <v>1903</v>
      </c>
      <c r="C179" t="s">
        <v>1904</v>
      </c>
      <c r="D179" s="3">
        <v>32358</v>
      </c>
      <c r="E179" t="s">
        <v>1379</v>
      </c>
      <c r="G179" s="3">
        <v>45236</v>
      </c>
      <c r="H179" t="s">
        <v>1905</v>
      </c>
      <c r="J179" t="s">
        <v>1387</v>
      </c>
      <c r="K179" t="s">
        <v>44</v>
      </c>
      <c r="L179" s="3">
        <v>47077</v>
      </c>
      <c r="M179" s="3">
        <v>46981</v>
      </c>
      <c r="N179" t="s">
        <v>1906</v>
      </c>
      <c r="O179" s="4">
        <v>1</v>
      </c>
      <c r="P179">
        <v>0</v>
      </c>
      <c r="Q179">
        <v>0</v>
      </c>
    </row>
    <row r="180" spans="1:17" x14ac:dyDescent="0.25">
      <c r="A180">
        <v>39379</v>
      </c>
      <c r="B180" t="s">
        <v>2151</v>
      </c>
      <c r="C180" t="s">
        <v>2152</v>
      </c>
      <c r="D180" s="3">
        <v>31775</v>
      </c>
      <c r="E180" t="s">
        <v>1379</v>
      </c>
      <c r="F180">
        <v>28</v>
      </c>
      <c r="G180" s="3">
        <v>45194</v>
      </c>
      <c r="H180" t="s">
        <v>2153</v>
      </c>
      <c r="J180" t="s">
        <v>1387</v>
      </c>
      <c r="K180" t="s">
        <v>44</v>
      </c>
      <c r="L180" s="3">
        <v>47036</v>
      </c>
      <c r="M180" s="3">
        <v>46946</v>
      </c>
      <c r="N180" t="s">
        <v>2154</v>
      </c>
      <c r="O180" s="4">
        <v>0</v>
      </c>
      <c r="P180">
        <v>0</v>
      </c>
      <c r="Q180">
        <v>0</v>
      </c>
    </row>
    <row r="181" spans="1:17" x14ac:dyDescent="0.25">
      <c r="A181">
        <v>39358</v>
      </c>
      <c r="B181" t="s">
        <v>2584</v>
      </c>
      <c r="C181" t="s">
        <v>2585</v>
      </c>
      <c r="D181" s="3">
        <v>29195</v>
      </c>
      <c r="E181" t="s">
        <v>1379</v>
      </c>
      <c r="G181" s="3">
        <v>45124</v>
      </c>
      <c r="H181" t="s">
        <v>2586</v>
      </c>
      <c r="J181" t="s">
        <v>1387</v>
      </c>
      <c r="K181" t="s">
        <v>44</v>
      </c>
      <c r="L181" s="3">
        <v>47526</v>
      </c>
      <c r="M181" s="3">
        <v>47460</v>
      </c>
      <c r="N181" t="s">
        <v>2587</v>
      </c>
      <c r="O181" s="4">
        <v>1</v>
      </c>
      <c r="P181">
        <v>0</v>
      </c>
      <c r="Q181">
        <v>0</v>
      </c>
    </row>
    <row r="182" spans="1:17" x14ac:dyDescent="0.25">
      <c r="A182">
        <v>39267</v>
      </c>
      <c r="B182" t="s">
        <v>1444</v>
      </c>
      <c r="C182" t="s">
        <v>2605</v>
      </c>
      <c r="D182" s="3">
        <v>36104</v>
      </c>
      <c r="E182" t="s">
        <v>1379</v>
      </c>
      <c r="G182" s="3">
        <v>45173</v>
      </c>
      <c r="H182" t="s">
        <v>2606</v>
      </c>
      <c r="J182" t="s">
        <v>1387</v>
      </c>
      <c r="K182" t="s">
        <v>44</v>
      </c>
      <c r="L182" s="3">
        <v>47014</v>
      </c>
      <c r="M182" s="3">
        <v>46903</v>
      </c>
      <c r="N182" t="s">
        <v>2607</v>
      </c>
      <c r="O182" s="4">
        <v>0.8</v>
      </c>
      <c r="P182">
        <v>0</v>
      </c>
      <c r="Q182">
        <v>0</v>
      </c>
    </row>
    <row r="183" spans="1:17" x14ac:dyDescent="0.25">
      <c r="A183">
        <v>3926</v>
      </c>
      <c r="B183" t="s">
        <v>1496</v>
      </c>
      <c r="C183" t="s">
        <v>2297</v>
      </c>
      <c r="D183" s="3">
        <v>21648</v>
      </c>
      <c r="E183" t="s">
        <v>1379</v>
      </c>
      <c r="F183">
        <v>306</v>
      </c>
      <c r="G183" s="3">
        <v>29885</v>
      </c>
      <c r="H183" t="s">
        <v>2300</v>
      </c>
      <c r="I183">
        <v>93240876</v>
      </c>
      <c r="J183" t="s">
        <v>1516</v>
      </c>
      <c r="K183" t="s">
        <v>38</v>
      </c>
      <c r="L183" s="3">
        <v>72686</v>
      </c>
      <c r="M183" s="3">
        <v>46827</v>
      </c>
      <c r="N183" t="s">
        <v>2301</v>
      </c>
      <c r="O183" s="4">
        <v>1</v>
      </c>
      <c r="P183">
        <v>0</v>
      </c>
      <c r="Q183">
        <v>0</v>
      </c>
    </row>
    <row r="184" spans="1:17" x14ac:dyDescent="0.25">
      <c r="A184">
        <v>39251</v>
      </c>
      <c r="B184" t="s">
        <v>3382</v>
      </c>
      <c r="C184" t="s">
        <v>3379</v>
      </c>
      <c r="D184" s="3">
        <v>36822</v>
      </c>
      <c r="E184" t="s">
        <v>1379</v>
      </c>
      <c r="G184" s="3">
        <v>45103</v>
      </c>
      <c r="H184" t="s">
        <v>3383</v>
      </c>
      <c r="J184" t="s">
        <v>1387</v>
      </c>
      <c r="K184" t="s">
        <v>53</v>
      </c>
      <c r="L184" s="3">
        <v>46945</v>
      </c>
      <c r="M184" s="3">
        <v>46925</v>
      </c>
      <c r="N184" t="s">
        <v>3384</v>
      </c>
      <c r="O184" s="4">
        <v>1</v>
      </c>
      <c r="P184">
        <v>0</v>
      </c>
      <c r="Q184">
        <v>0</v>
      </c>
    </row>
    <row r="185" spans="1:17" x14ac:dyDescent="0.25">
      <c r="A185">
        <v>39184</v>
      </c>
      <c r="B185" t="s">
        <v>1427</v>
      </c>
      <c r="C185" t="s">
        <v>1428</v>
      </c>
      <c r="D185" s="3">
        <v>33938</v>
      </c>
      <c r="E185" t="s">
        <v>1379</v>
      </c>
      <c r="G185" s="3">
        <v>45097</v>
      </c>
      <c r="H185" t="s">
        <v>1429</v>
      </c>
      <c r="J185" t="s">
        <v>1387</v>
      </c>
      <c r="K185" t="s">
        <v>44</v>
      </c>
      <c r="L185" s="3">
        <v>46945</v>
      </c>
      <c r="M185" s="3">
        <v>46897</v>
      </c>
      <c r="N185" t="s">
        <v>1430</v>
      </c>
      <c r="O185" s="4">
        <v>1</v>
      </c>
      <c r="P185">
        <v>0</v>
      </c>
      <c r="Q185">
        <v>0</v>
      </c>
    </row>
    <row r="186" spans="1:17" x14ac:dyDescent="0.25">
      <c r="A186">
        <v>39183</v>
      </c>
      <c r="B186" t="s">
        <v>3362</v>
      </c>
      <c r="C186" t="s">
        <v>3363</v>
      </c>
      <c r="D186" s="3">
        <v>32148</v>
      </c>
      <c r="E186" t="s">
        <v>1379</v>
      </c>
      <c r="G186" s="3">
        <v>45103</v>
      </c>
      <c r="H186" t="s">
        <v>3364</v>
      </c>
      <c r="J186" t="s">
        <v>1387</v>
      </c>
      <c r="K186" t="s">
        <v>44</v>
      </c>
      <c r="L186" s="3">
        <v>46946</v>
      </c>
      <c r="M186" s="3">
        <v>46887</v>
      </c>
      <c r="N186" t="s">
        <v>3365</v>
      </c>
      <c r="O186" s="4">
        <v>1</v>
      </c>
      <c r="P186">
        <v>0</v>
      </c>
      <c r="Q186">
        <v>0</v>
      </c>
    </row>
    <row r="187" spans="1:17" x14ac:dyDescent="0.25">
      <c r="A187">
        <v>39146</v>
      </c>
      <c r="B187" t="s">
        <v>3395</v>
      </c>
      <c r="C187" t="s">
        <v>3396</v>
      </c>
      <c r="D187" s="3">
        <v>28674</v>
      </c>
      <c r="E187" t="s">
        <v>1379</v>
      </c>
      <c r="G187" s="3">
        <v>45090</v>
      </c>
      <c r="H187" t="s">
        <v>3397</v>
      </c>
      <c r="J187" t="s">
        <v>1387</v>
      </c>
      <c r="K187" t="s">
        <v>53</v>
      </c>
      <c r="L187" s="3">
        <v>46933</v>
      </c>
      <c r="M187" s="3">
        <v>46883</v>
      </c>
      <c r="N187" t="s">
        <v>3398</v>
      </c>
      <c r="O187" s="4">
        <v>1</v>
      </c>
      <c r="P187">
        <v>0</v>
      </c>
      <c r="Q187">
        <v>0</v>
      </c>
    </row>
    <row r="188" spans="1:17" x14ac:dyDescent="0.25">
      <c r="A188">
        <v>39145</v>
      </c>
      <c r="B188" t="s">
        <v>1789</v>
      </c>
      <c r="C188" t="s">
        <v>1790</v>
      </c>
      <c r="D188" s="3">
        <v>27446</v>
      </c>
      <c r="E188" t="s">
        <v>1379</v>
      </c>
      <c r="G188" s="3">
        <v>45166</v>
      </c>
      <c r="H188" t="s">
        <v>1791</v>
      </c>
      <c r="J188" t="s">
        <v>1387</v>
      </c>
      <c r="K188" t="s">
        <v>44</v>
      </c>
      <c r="L188" s="3">
        <v>47371</v>
      </c>
      <c r="M188" s="3">
        <v>47351</v>
      </c>
      <c r="N188" t="s">
        <v>1792</v>
      </c>
      <c r="O188" s="4">
        <v>1</v>
      </c>
      <c r="P188">
        <v>0</v>
      </c>
      <c r="Q188">
        <v>0</v>
      </c>
    </row>
    <row r="189" spans="1:17" x14ac:dyDescent="0.25">
      <c r="A189">
        <v>39106</v>
      </c>
      <c r="B189" t="s">
        <v>3423</v>
      </c>
      <c r="C189" t="s">
        <v>3424</v>
      </c>
      <c r="D189" s="3">
        <v>36995</v>
      </c>
      <c r="E189" t="s">
        <v>1379</v>
      </c>
      <c r="G189" s="3">
        <v>45076</v>
      </c>
      <c r="H189" t="s">
        <v>3595</v>
      </c>
      <c r="J189" t="s">
        <v>1387</v>
      </c>
      <c r="K189" t="s">
        <v>38</v>
      </c>
      <c r="L189" s="3">
        <v>46919</v>
      </c>
      <c r="M189" s="3">
        <v>46880</v>
      </c>
      <c r="N189" t="s">
        <v>3425</v>
      </c>
      <c r="O189" s="4">
        <v>1</v>
      </c>
      <c r="P189">
        <v>0</v>
      </c>
      <c r="Q189">
        <v>0</v>
      </c>
    </row>
    <row r="190" spans="1:17" x14ac:dyDescent="0.25">
      <c r="A190">
        <v>39101</v>
      </c>
      <c r="B190" t="s">
        <v>2093</v>
      </c>
      <c r="C190" t="s">
        <v>2094</v>
      </c>
      <c r="D190" s="3">
        <v>29763</v>
      </c>
      <c r="E190" t="s">
        <v>1379</v>
      </c>
      <c r="G190" s="3">
        <v>45076</v>
      </c>
      <c r="H190" t="s">
        <v>2095</v>
      </c>
      <c r="J190" t="s">
        <v>1387</v>
      </c>
      <c r="K190" t="s">
        <v>44</v>
      </c>
      <c r="L190" s="3">
        <v>47048</v>
      </c>
      <c r="M190" s="3">
        <v>46959</v>
      </c>
      <c r="N190" t="s">
        <v>2096</v>
      </c>
      <c r="O190" s="4">
        <v>1</v>
      </c>
      <c r="P190">
        <v>0</v>
      </c>
      <c r="Q190">
        <v>0</v>
      </c>
    </row>
    <row r="191" spans="1:17" x14ac:dyDescent="0.25">
      <c r="A191">
        <v>39019</v>
      </c>
      <c r="B191" t="s">
        <v>2490</v>
      </c>
      <c r="C191" t="s">
        <v>2484</v>
      </c>
      <c r="D191" s="3">
        <v>30913</v>
      </c>
      <c r="E191" t="s">
        <v>1379</v>
      </c>
      <c r="G191" s="3">
        <v>45061</v>
      </c>
      <c r="H191" t="s">
        <v>2491</v>
      </c>
      <c r="J191" t="s">
        <v>1498</v>
      </c>
      <c r="K191" t="s">
        <v>56</v>
      </c>
      <c r="L191" s="3">
        <v>46904</v>
      </c>
      <c r="M191" s="3">
        <v>46862</v>
      </c>
      <c r="N191" t="s">
        <v>2492</v>
      </c>
      <c r="O191" s="4">
        <v>1</v>
      </c>
      <c r="P191">
        <v>0</v>
      </c>
      <c r="Q191">
        <v>0</v>
      </c>
    </row>
    <row r="192" spans="1:17" x14ac:dyDescent="0.25">
      <c r="A192">
        <v>39014</v>
      </c>
      <c r="B192" t="s">
        <v>2390</v>
      </c>
      <c r="C192" t="s">
        <v>2391</v>
      </c>
      <c r="D192" s="3">
        <v>36757</v>
      </c>
      <c r="E192" t="s">
        <v>1379</v>
      </c>
      <c r="G192" s="3">
        <v>45076</v>
      </c>
      <c r="H192" t="s">
        <v>2392</v>
      </c>
      <c r="J192" t="s">
        <v>1425</v>
      </c>
      <c r="K192" t="s">
        <v>38</v>
      </c>
      <c r="L192" s="3">
        <v>46923</v>
      </c>
      <c r="M192" s="3">
        <v>46860</v>
      </c>
      <c r="N192" t="s">
        <v>2393</v>
      </c>
      <c r="O192" s="4">
        <v>1</v>
      </c>
      <c r="P192">
        <v>0</v>
      </c>
      <c r="Q192">
        <v>0</v>
      </c>
    </row>
    <row r="193" spans="1:17" x14ac:dyDescent="0.25">
      <c r="A193">
        <v>39013</v>
      </c>
      <c r="B193" t="s">
        <v>2770</v>
      </c>
      <c r="C193" t="s">
        <v>2771</v>
      </c>
      <c r="D193" s="3">
        <v>27937</v>
      </c>
      <c r="E193" t="s">
        <v>1379</v>
      </c>
      <c r="G193" s="3">
        <v>45076</v>
      </c>
      <c r="H193" t="s">
        <v>2772</v>
      </c>
      <c r="J193" t="s">
        <v>1387</v>
      </c>
      <c r="K193" t="s">
        <v>53</v>
      </c>
      <c r="L193" s="3">
        <v>46923</v>
      </c>
      <c r="M193" s="3">
        <v>46827</v>
      </c>
      <c r="N193" t="s">
        <v>2773</v>
      </c>
      <c r="O193" s="4">
        <v>1</v>
      </c>
      <c r="P193">
        <v>0</v>
      </c>
      <c r="Q193">
        <v>0</v>
      </c>
    </row>
    <row r="194" spans="1:17" x14ac:dyDescent="0.25">
      <c r="A194">
        <v>38938</v>
      </c>
      <c r="B194" t="s">
        <v>2762</v>
      </c>
      <c r="C194" t="s">
        <v>2763</v>
      </c>
      <c r="D194" s="3">
        <v>33351</v>
      </c>
      <c r="E194" t="s">
        <v>1379</v>
      </c>
      <c r="G194" s="3">
        <v>45061</v>
      </c>
      <c r="H194" t="s">
        <v>2764</v>
      </c>
      <c r="J194" t="s">
        <v>1387</v>
      </c>
      <c r="K194" t="s">
        <v>56</v>
      </c>
      <c r="L194" s="3">
        <v>46904</v>
      </c>
      <c r="M194" s="3">
        <v>46838</v>
      </c>
      <c r="N194" t="s">
        <v>2765</v>
      </c>
      <c r="O194" s="4">
        <v>1</v>
      </c>
      <c r="P194">
        <v>0</v>
      </c>
      <c r="Q194">
        <v>0</v>
      </c>
    </row>
    <row r="195" spans="1:17" x14ac:dyDescent="0.25">
      <c r="A195">
        <v>38931</v>
      </c>
      <c r="B195" t="s">
        <v>2909</v>
      </c>
      <c r="C195" t="s">
        <v>2910</v>
      </c>
      <c r="D195" s="3">
        <v>36438</v>
      </c>
      <c r="E195" t="s">
        <v>1379</v>
      </c>
      <c r="G195" s="3">
        <v>45040</v>
      </c>
      <c r="H195" t="s">
        <v>2911</v>
      </c>
      <c r="J195" t="s">
        <v>1387</v>
      </c>
      <c r="K195" t="s">
        <v>38</v>
      </c>
      <c r="L195" s="3">
        <v>46882</v>
      </c>
      <c r="M195" s="3">
        <v>46842</v>
      </c>
      <c r="N195" t="s">
        <v>2912</v>
      </c>
      <c r="O195" s="4">
        <v>1</v>
      </c>
      <c r="P195">
        <v>0</v>
      </c>
      <c r="Q195">
        <v>0</v>
      </c>
    </row>
    <row r="196" spans="1:17" x14ac:dyDescent="0.25">
      <c r="A196">
        <v>38808</v>
      </c>
      <c r="B196" t="s">
        <v>2608</v>
      </c>
      <c r="C196" t="s">
        <v>2605</v>
      </c>
      <c r="D196" s="3">
        <v>30718</v>
      </c>
      <c r="E196" t="s">
        <v>1379</v>
      </c>
      <c r="G196" s="3">
        <v>45090</v>
      </c>
      <c r="H196" t="s">
        <v>2609</v>
      </c>
      <c r="J196" t="s">
        <v>1397</v>
      </c>
      <c r="K196" t="s">
        <v>53</v>
      </c>
      <c r="L196" s="3">
        <v>46933</v>
      </c>
      <c r="M196" s="3">
        <v>46810</v>
      </c>
      <c r="N196" t="s">
        <v>2610</v>
      </c>
      <c r="O196" s="4">
        <v>1</v>
      </c>
      <c r="P196">
        <v>0</v>
      </c>
      <c r="Q196">
        <v>0</v>
      </c>
    </row>
    <row r="197" spans="1:17" x14ac:dyDescent="0.25">
      <c r="A197">
        <v>38807</v>
      </c>
      <c r="B197" t="s">
        <v>3173</v>
      </c>
      <c r="C197" t="s">
        <v>3174</v>
      </c>
      <c r="D197" s="3">
        <v>24130</v>
      </c>
      <c r="E197" t="s">
        <v>1379</v>
      </c>
      <c r="G197" s="3">
        <v>45027</v>
      </c>
      <c r="H197" t="s">
        <v>3175</v>
      </c>
      <c r="J197" t="s">
        <v>1387</v>
      </c>
      <c r="K197" t="s">
        <v>44</v>
      </c>
      <c r="L197" s="3">
        <v>46874</v>
      </c>
      <c r="M197" s="3">
        <v>46810</v>
      </c>
      <c r="N197" t="s">
        <v>3176</v>
      </c>
      <c r="O197" s="4">
        <v>1</v>
      </c>
      <c r="P197">
        <v>0</v>
      </c>
      <c r="Q197">
        <v>0</v>
      </c>
    </row>
    <row r="198" spans="1:17" x14ac:dyDescent="0.25">
      <c r="A198">
        <v>38740</v>
      </c>
      <c r="B198" t="s">
        <v>3335</v>
      </c>
      <c r="C198" t="s">
        <v>3336</v>
      </c>
      <c r="D198" s="3">
        <v>33360</v>
      </c>
      <c r="E198" t="s">
        <v>1379</v>
      </c>
      <c r="G198" s="3">
        <v>45027</v>
      </c>
      <c r="H198" t="s">
        <v>3337</v>
      </c>
      <c r="J198" t="s">
        <v>1387</v>
      </c>
      <c r="K198" t="s">
        <v>44</v>
      </c>
      <c r="L198" s="3">
        <v>46869</v>
      </c>
      <c r="M198" s="3">
        <v>46791</v>
      </c>
      <c r="N198" t="s">
        <v>3338</v>
      </c>
      <c r="O198" s="4">
        <v>1</v>
      </c>
      <c r="P198">
        <v>0</v>
      </c>
      <c r="Q198">
        <v>0</v>
      </c>
    </row>
    <row r="199" spans="1:17" x14ac:dyDescent="0.25">
      <c r="A199">
        <v>38731</v>
      </c>
      <c r="B199" t="s">
        <v>1756</v>
      </c>
      <c r="C199" t="s">
        <v>1757</v>
      </c>
      <c r="D199" s="3">
        <v>23866</v>
      </c>
      <c r="E199" t="s">
        <v>1379</v>
      </c>
      <c r="G199" s="3">
        <v>45062</v>
      </c>
      <c r="H199" t="s">
        <v>1758</v>
      </c>
      <c r="J199" t="s">
        <v>1387</v>
      </c>
      <c r="K199" t="s">
        <v>44</v>
      </c>
      <c r="L199" s="3">
        <v>46895</v>
      </c>
      <c r="M199" s="3">
        <v>47594</v>
      </c>
      <c r="N199" t="s">
        <v>1759</v>
      </c>
      <c r="O199" s="4">
        <v>0.5</v>
      </c>
      <c r="P199">
        <v>1</v>
      </c>
      <c r="Q199">
        <v>0</v>
      </c>
    </row>
    <row r="200" spans="1:17" x14ac:dyDescent="0.25">
      <c r="A200">
        <v>38691</v>
      </c>
      <c r="B200" t="s">
        <v>3473</v>
      </c>
      <c r="C200" t="s">
        <v>3474</v>
      </c>
      <c r="D200" s="3">
        <v>37281</v>
      </c>
      <c r="E200" t="s">
        <v>1379</v>
      </c>
      <c r="G200" s="3">
        <v>45012</v>
      </c>
      <c r="H200" t="s">
        <v>3475</v>
      </c>
      <c r="J200" t="s">
        <v>1387</v>
      </c>
      <c r="K200" t="s">
        <v>53</v>
      </c>
      <c r="L200" s="3">
        <v>46855</v>
      </c>
      <c r="M200" s="3">
        <v>46763</v>
      </c>
      <c r="N200" t="s">
        <v>3476</v>
      </c>
      <c r="O200" s="4">
        <v>1</v>
      </c>
      <c r="P200">
        <v>0</v>
      </c>
      <c r="Q200">
        <v>0</v>
      </c>
    </row>
    <row r="201" spans="1:17" x14ac:dyDescent="0.25">
      <c r="A201">
        <v>38688</v>
      </c>
      <c r="B201" t="s">
        <v>1706</v>
      </c>
      <c r="C201" t="s">
        <v>1707</v>
      </c>
      <c r="D201" s="3">
        <v>34749</v>
      </c>
      <c r="E201" t="s">
        <v>1379</v>
      </c>
      <c r="G201" s="3">
        <v>45027</v>
      </c>
      <c r="H201" t="s">
        <v>1708</v>
      </c>
      <c r="J201" t="s">
        <v>1438</v>
      </c>
      <c r="K201" t="s">
        <v>53</v>
      </c>
      <c r="L201" s="3">
        <v>46869</v>
      </c>
      <c r="M201" s="3">
        <v>46776</v>
      </c>
      <c r="N201" t="s">
        <v>1709</v>
      </c>
      <c r="O201" s="4">
        <v>1</v>
      </c>
      <c r="P201">
        <v>0</v>
      </c>
      <c r="Q201">
        <v>0</v>
      </c>
    </row>
    <row r="202" spans="1:17" x14ac:dyDescent="0.25">
      <c r="A202">
        <v>38648</v>
      </c>
      <c r="B202" t="s">
        <v>2129</v>
      </c>
      <c r="C202" t="s">
        <v>2130</v>
      </c>
      <c r="D202" s="3">
        <v>34795</v>
      </c>
      <c r="E202" t="s">
        <v>1379</v>
      </c>
      <c r="G202" s="3">
        <v>45027</v>
      </c>
      <c r="H202" t="s">
        <v>2131</v>
      </c>
      <c r="J202" t="s">
        <v>1387</v>
      </c>
      <c r="K202" t="s">
        <v>56</v>
      </c>
      <c r="L202" s="3">
        <v>46874</v>
      </c>
      <c r="M202" s="3">
        <v>46774</v>
      </c>
      <c r="N202" t="s">
        <v>2132</v>
      </c>
      <c r="O202" s="4">
        <v>1</v>
      </c>
      <c r="P202">
        <v>0</v>
      </c>
      <c r="Q202">
        <v>0</v>
      </c>
    </row>
    <row r="203" spans="1:17" x14ac:dyDescent="0.25">
      <c r="A203">
        <v>38634</v>
      </c>
      <c r="B203" t="s">
        <v>1384</v>
      </c>
      <c r="C203" t="s">
        <v>1385</v>
      </c>
      <c r="D203" s="3">
        <v>28536</v>
      </c>
      <c r="E203" t="s">
        <v>1379</v>
      </c>
      <c r="G203" s="3">
        <v>45012</v>
      </c>
      <c r="H203" t="s">
        <v>1386</v>
      </c>
      <c r="J203" t="s">
        <v>1387</v>
      </c>
      <c r="K203" t="s">
        <v>38</v>
      </c>
      <c r="L203" s="3">
        <v>46869</v>
      </c>
      <c r="M203" s="3">
        <v>46763</v>
      </c>
      <c r="N203" t="s">
        <v>1388</v>
      </c>
      <c r="O203" s="4">
        <v>1</v>
      </c>
      <c r="P203">
        <v>0</v>
      </c>
      <c r="Q203">
        <v>0</v>
      </c>
    </row>
    <row r="204" spans="1:17" x14ac:dyDescent="0.25">
      <c r="A204">
        <v>38633</v>
      </c>
      <c r="B204" t="s">
        <v>2245</v>
      </c>
      <c r="C204" t="s">
        <v>2246</v>
      </c>
      <c r="D204" s="3">
        <v>32105</v>
      </c>
      <c r="E204" t="s">
        <v>1379</v>
      </c>
      <c r="G204" s="3">
        <v>44970</v>
      </c>
      <c r="H204" t="s">
        <v>2247</v>
      </c>
      <c r="J204" t="s">
        <v>1387</v>
      </c>
      <c r="K204" t="s">
        <v>53</v>
      </c>
      <c r="L204" s="3">
        <v>46810</v>
      </c>
      <c r="M204" s="3">
        <v>46770</v>
      </c>
      <c r="N204" t="s">
        <v>2248</v>
      </c>
      <c r="O204" s="4">
        <v>0.6</v>
      </c>
      <c r="P204">
        <v>1</v>
      </c>
      <c r="Q204">
        <v>0</v>
      </c>
    </row>
    <row r="205" spans="1:17" x14ac:dyDescent="0.25">
      <c r="A205">
        <v>38580</v>
      </c>
      <c r="B205" t="s">
        <v>1763</v>
      </c>
      <c r="C205" t="s">
        <v>1764</v>
      </c>
      <c r="D205" s="3">
        <v>36424</v>
      </c>
      <c r="E205" t="s">
        <v>1379</v>
      </c>
      <c r="G205" s="3">
        <v>44998</v>
      </c>
      <c r="H205" t="s">
        <v>1765</v>
      </c>
      <c r="J205" t="s">
        <v>1387</v>
      </c>
      <c r="K205" t="s">
        <v>53</v>
      </c>
      <c r="L205" s="3">
        <v>46840</v>
      </c>
      <c r="M205" s="3">
        <v>46760</v>
      </c>
      <c r="N205" t="s">
        <v>1766</v>
      </c>
      <c r="O205" s="4">
        <v>1</v>
      </c>
      <c r="P205">
        <v>0</v>
      </c>
      <c r="Q205">
        <v>0</v>
      </c>
    </row>
    <row r="206" spans="1:17" x14ac:dyDescent="0.25">
      <c r="A206">
        <v>38579</v>
      </c>
      <c r="B206" t="s">
        <v>1616</v>
      </c>
      <c r="C206" t="s">
        <v>1617</v>
      </c>
      <c r="D206" s="3">
        <v>25028</v>
      </c>
      <c r="E206" t="s">
        <v>1379</v>
      </c>
      <c r="G206" s="3">
        <v>45035</v>
      </c>
      <c r="H206" t="s">
        <v>1618</v>
      </c>
      <c r="J206" t="s">
        <v>1387</v>
      </c>
      <c r="K206" t="s">
        <v>53</v>
      </c>
      <c r="L206" s="3">
        <v>47664</v>
      </c>
      <c r="M206" s="3">
        <v>46447</v>
      </c>
      <c r="N206" t="s">
        <v>1619</v>
      </c>
      <c r="O206" s="4">
        <v>1</v>
      </c>
      <c r="P206">
        <v>0</v>
      </c>
      <c r="Q206">
        <v>0</v>
      </c>
    </row>
    <row r="207" spans="1:17" x14ac:dyDescent="0.25">
      <c r="A207">
        <v>38555</v>
      </c>
      <c r="B207" t="s">
        <v>2307</v>
      </c>
      <c r="C207" t="s">
        <v>2308</v>
      </c>
      <c r="D207" s="3">
        <v>31437</v>
      </c>
      <c r="E207" t="s">
        <v>1379</v>
      </c>
      <c r="G207" s="3">
        <v>44984</v>
      </c>
      <c r="H207" t="s">
        <v>2309</v>
      </c>
      <c r="J207" t="s">
        <v>1392</v>
      </c>
      <c r="K207" t="s">
        <v>41</v>
      </c>
      <c r="L207" s="3">
        <v>46825</v>
      </c>
      <c r="M207" s="3">
        <v>46735</v>
      </c>
      <c r="N207" t="s">
        <v>2310</v>
      </c>
      <c r="O207" s="4">
        <v>1</v>
      </c>
      <c r="P207">
        <v>0</v>
      </c>
      <c r="Q207">
        <v>0</v>
      </c>
    </row>
    <row r="208" spans="1:17" x14ac:dyDescent="0.25">
      <c r="A208">
        <v>38551</v>
      </c>
      <c r="B208" t="s">
        <v>3432</v>
      </c>
      <c r="C208" t="s">
        <v>2015</v>
      </c>
      <c r="D208" s="3">
        <v>29593</v>
      </c>
      <c r="E208" t="s">
        <v>1379</v>
      </c>
      <c r="G208" s="3">
        <v>44970</v>
      </c>
      <c r="H208" t="s">
        <v>3433</v>
      </c>
      <c r="J208" t="s">
        <v>1392</v>
      </c>
      <c r="K208" t="s">
        <v>38</v>
      </c>
      <c r="L208" s="3">
        <v>46817</v>
      </c>
      <c r="M208" s="3">
        <v>46735</v>
      </c>
      <c r="N208" t="s">
        <v>3434</v>
      </c>
      <c r="O208" s="4">
        <v>1</v>
      </c>
      <c r="P208">
        <v>0</v>
      </c>
      <c r="Q208">
        <v>0</v>
      </c>
    </row>
    <row r="209" spans="1:17" x14ac:dyDescent="0.25">
      <c r="A209">
        <v>38550</v>
      </c>
      <c r="B209" t="s">
        <v>1616</v>
      </c>
      <c r="C209" t="s">
        <v>1726</v>
      </c>
      <c r="D209" s="3">
        <v>29647</v>
      </c>
      <c r="E209" t="s">
        <v>1379</v>
      </c>
      <c r="G209" s="3">
        <v>44984</v>
      </c>
      <c r="H209" t="s">
        <v>1727</v>
      </c>
      <c r="J209" t="s">
        <v>1494</v>
      </c>
      <c r="K209" t="s">
        <v>44</v>
      </c>
      <c r="L209" s="3">
        <v>46826</v>
      </c>
      <c r="M209" s="3">
        <v>46735</v>
      </c>
      <c r="N209" t="s">
        <v>1728</v>
      </c>
      <c r="O209" s="4">
        <v>0.8</v>
      </c>
      <c r="P209">
        <v>0</v>
      </c>
      <c r="Q209">
        <v>0</v>
      </c>
    </row>
    <row r="210" spans="1:17" x14ac:dyDescent="0.25">
      <c r="A210">
        <v>38529</v>
      </c>
      <c r="B210" t="s">
        <v>2631</v>
      </c>
      <c r="C210" t="s">
        <v>2632</v>
      </c>
      <c r="D210" s="3">
        <v>30245</v>
      </c>
      <c r="E210" t="s">
        <v>1379</v>
      </c>
      <c r="G210" s="3">
        <v>44956</v>
      </c>
      <c r="H210" t="s">
        <v>2633</v>
      </c>
      <c r="J210" t="s">
        <v>1387</v>
      </c>
      <c r="K210" t="s">
        <v>53</v>
      </c>
      <c r="L210" s="3">
        <v>46796</v>
      </c>
      <c r="M210" s="3">
        <v>46644</v>
      </c>
      <c r="N210" t="s">
        <v>2634</v>
      </c>
      <c r="O210" s="4">
        <v>1</v>
      </c>
      <c r="P210">
        <v>0</v>
      </c>
      <c r="Q210">
        <v>0</v>
      </c>
    </row>
    <row r="211" spans="1:17" x14ac:dyDescent="0.25">
      <c r="A211">
        <v>38481</v>
      </c>
      <c r="B211" t="s">
        <v>2766</v>
      </c>
      <c r="C211" t="s">
        <v>3048</v>
      </c>
      <c r="D211" s="3">
        <v>36732</v>
      </c>
      <c r="E211" t="s">
        <v>1379</v>
      </c>
      <c r="G211" s="3">
        <v>44970</v>
      </c>
      <c r="H211" t="s">
        <v>3049</v>
      </c>
      <c r="J211" t="s">
        <v>1387</v>
      </c>
      <c r="K211" t="s">
        <v>47</v>
      </c>
      <c r="L211" s="3">
        <v>46810</v>
      </c>
      <c r="M211" s="3">
        <v>46707</v>
      </c>
      <c r="N211" t="s">
        <v>3050</v>
      </c>
      <c r="O211" s="4">
        <v>1</v>
      </c>
      <c r="P211">
        <v>0</v>
      </c>
      <c r="Q211">
        <v>0</v>
      </c>
    </row>
    <row r="212" spans="1:17" x14ac:dyDescent="0.25">
      <c r="A212">
        <v>38475</v>
      </c>
      <c r="B212" t="s">
        <v>1965</v>
      </c>
      <c r="C212" t="s">
        <v>2496</v>
      </c>
      <c r="D212" s="3">
        <v>27197</v>
      </c>
      <c r="E212" t="s">
        <v>1379</v>
      </c>
      <c r="G212" s="3">
        <v>44942</v>
      </c>
      <c r="H212" t="s">
        <v>2497</v>
      </c>
      <c r="J212" t="s">
        <v>1425</v>
      </c>
      <c r="K212" t="s">
        <v>53</v>
      </c>
      <c r="L212" s="3">
        <v>46782</v>
      </c>
      <c r="M212" s="3">
        <v>46665</v>
      </c>
      <c r="N212" t="s">
        <v>2498</v>
      </c>
      <c r="O212" s="4">
        <v>1</v>
      </c>
      <c r="P212">
        <v>0</v>
      </c>
      <c r="Q212">
        <v>0</v>
      </c>
    </row>
    <row r="213" spans="1:17" x14ac:dyDescent="0.25">
      <c r="A213">
        <v>38346</v>
      </c>
      <c r="B213" t="s">
        <v>1594</v>
      </c>
      <c r="C213" t="s">
        <v>1595</v>
      </c>
      <c r="D213" s="3">
        <v>36662</v>
      </c>
      <c r="E213" t="s">
        <v>1379</v>
      </c>
      <c r="G213" s="3">
        <v>44886</v>
      </c>
      <c r="H213" t="s">
        <v>1596</v>
      </c>
      <c r="J213" t="s">
        <v>1425</v>
      </c>
      <c r="K213" t="s">
        <v>41</v>
      </c>
      <c r="L213" s="3">
        <v>46726</v>
      </c>
      <c r="M213" s="3">
        <v>46658</v>
      </c>
      <c r="N213" t="s">
        <v>1597</v>
      </c>
      <c r="O213" s="4">
        <v>1</v>
      </c>
      <c r="P213">
        <v>0</v>
      </c>
      <c r="Q213">
        <v>0</v>
      </c>
    </row>
    <row r="214" spans="1:17" x14ac:dyDescent="0.25">
      <c r="A214">
        <v>38205</v>
      </c>
      <c r="B214" t="s">
        <v>2721</v>
      </c>
      <c r="C214" t="s">
        <v>2722</v>
      </c>
      <c r="D214" s="3">
        <v>26731</v>
      </c>
      <c r="E214" t="s">
        <v>1379</v>
      </c>
      <c r="G214" s="3">
        <v>44893</v>
      </c>
      <c r="H214" t="s">
        <v>2723</v>
      </c>
      <c r="I214">
        <v>93280697</v>
      </c>
      <c r="J214" t="s">
        <v>1438</v>
      </c>
      <c r="K214" t="s">
        <v>47</v>
      </c>
      <c r="L214" s="3">
        <v>46734</v>
      </c>
      <c r="M214" s="3">
        <v>46616</v>
      </c>
      <c r="N214" t="s">
        <v>2724</v>
      </c>
      <c r="O214" s="4">
        <v>1</v>
      </c>
      <c r="P214">
        <v>0</v>
      </c>
      <c r="Q214">
        <v>0</v>
      </c>
    </row>
    <row r="215" spans="1:17" x14ac:dyDescent="0.25">
      <c r="A215">
        <v>38047</v>
      </c>
      <c r="B215" t="s">
        <v>2253</v>
      </c>
      <c r="C215" t="s">
        <v>2254</v>
      </c>
      <c r="D215" s="3">
        <v>27600</v>
      </c>
      <c r="E215" t="s">
        <v>1379</v>
      </c>
      <c r="G215" s="3">
        <v>44867</v>
      </c>
      <c r="H215" t="s">
        <v>2255</v>
      </c>
      <c r="J215" t="s">
        <v>1387</v>
      </c>
      <c r="K215" t="s">
        <v>44</v>
      </c>
      <c r="L215" s="3">
        <v>46831</v>
      </c>
      <c r="M215" s="3">
        <v>46084</v>
      </c>
      <c r="N215" t="s">
        <v>2256</v>
      </c>
      <c r="O215" s="4">
        <v>1</v>
      </c>
      <c r="P215">
        <v>0</v>
      </c>
      <c r="Q215">
        <v>0</v>
      </c>
    </row>
    <row r="216" spans="1:17" x14ac:dyDescent="0.25">
      <c r="A216">
        <v>38035</v>
      </c>
      <c r="B216" t="s">
        <v>2667</v>
      </c>
      <c r="C216" t="s">
        <v>2668</v>
      </c>
      <c r="D216" s="3">
        <v>36352</v>
      </c>
      <c r="E216" t="s">
        <v>1379</v>
      </c>
      <c r="G216" s="3">
        <v>44837</v>
      </c>
      <c r="H216" t="s">
        <v>2669</v>
      </c>
      <c r="J216" t="s">
        <v>1387</v>
      </c>
      <c r="K216" t="s">
        <v>38</v>
      </c>
      <c r="L216" s="3">
        <v>46678</v>
      </c>
      <c r="M216" s="3">
        <v>46552</v>
      </c>
      <c r="N216" t="s">
        <v>2670</v>
      </c>
      <c r="O216" s="4">
        <v>1</v>
      </c>
      <c r="P216">
        <v>0</v>
      </c>
      <c r="Q216">
        <v>0</v>
      </c>
    </row>
    <row r="217" spans="1:17" x14ac:dyDescent="0.25">
      <c r="A217">
        <v>38013</v>
      </c>
      <c r="B217" t="s">
        <v>3412</v>
      </c>
      <c r="C217" t="s">
        <v>1861</v>
      </c>
      <c r="D217" s="3">
        <v>32771</v>
      </c>
      <c r="E217" t="s">
        <v>1379</v>
      </c>
      <c r="G217" s="3">
        <v>44837</v>
      </c>
      <c r="H217" t="s">
        <v>3413</v>
      </c>
      <c r="J217" t="s">
        <v>1382</v>
      </c>
      <c r="K217" t="s">
        <v>56</v>
      </c>
      <c r="L217" s="3">
        <v>46683</v>
      </c>
      <c r="M217" s="3">
        <v>46565</v>
      </c>
      <c r="N217" t="s">
        <v>3414</v>
      </c>
      <c r="O217" s="4">
        <v>1</v>
      </c>
      <c r="P217">
        <v>0</v>
      </c>
      <c r="Q217">
        <v>0</v>
      </c>
    </row>
    <row r="218" spans="1:17" x14ac:dyDescent="0.25">
      <c r="A218">
        <v>37999</v>
      </c>
      <c r="B218" t="s">
        <v>3161</v>
      </c>
      <c r="C218" t="s">
        <v>3162</v>
      </c>
      <c r="D218" s="3">
        <v>22487</v>
      </c>
      <c r="E218" t="s">
        <v>1379</v>
      </c>
      <c r="G218" s="3">
        <v>44805</v>
      </c>
      <c r="J218" t="s">
        <v>1954</v>
      </c>
      <c r="K218" t="s">
        <v>50</v>
      </c>
      <c r="L218" s="3">
        <v>1</v>
      </c>
      <c r="M218" s="3">
        <v>45949</v>
      </c>
      <c r="N218" t="s">
        <v>3163</v>
      </c>
      <c r="O218" s="4">
        <v>1</v>
      </c>
      <c r="P218">
        <v>0</v>
      </c>
      <c r="Q218">
        <v>0</v>
      </c>
    </row>
    <row r="219" spans="1:17" x14ac:dyDescent="0.25">
      <c r="A219">
        <v>37951</v>
      </c>
      <c r="B219" t="s">
        <v>3132</v>
      </c>
      <c r="C219" t="s">
        <v>3133</v>
      </c>
      <c r="D219" s="3">
        <v>27961</v>
      </c>
      <c r="E219" t="s">
        <v>1379</v>
      </c>
      <c r="G219" s="3">
        <v>44837</v>
      </c>
      <c r="H219" t="s">
        <v>3134</v>
      </c>
      <c r="J219" t="s">
        <v>1463</v>
      </c>
      <c r="K219" t="s">
        <v>56</v>
      </c>
      <c r="L219" s="3">
        <v>46678</v>
      </c>
      <c r="M219" s="3">
        <v>46593</v>
      </c>
      <c r="N219" t="s">
        <v>3135</v>
      </c>
      <c r="O219" s="4">
        <v>0.8</v>
      </c>
      <c r="P219">
        <v>0</v>
      </c>
      <c r="Q219">
        <v>0</v>
      </c>
    </row>
    <row r="220" spans="1:17" x14ac:dyDescent="0.25">
      <c r="A220">
        <v>37950</v>
      </c>
      <c r="B220" t="s">
        <v>3185</v>
      </c>
      <c r="C220" t="s">
        <v>3182</v>
      </c>
      <c r="D220" s="3">
        <v>26858</v>
      </c>
      <c r="E220" t="s">
        <v>1379</v>
      </c>
      <c r="G220" s="3">
        <v>44809</v>
      </c>
      <c r="H220" t="s">
        <v>3186</v>
      </c>
      <c r="J220" t="s">
        <v>1921</v>
      </c>
      <c r="K220" t="s">
        <v>35</v>
      </c>
      <c r="L220" s="3">
        <v>46651</v>
      </c>
      <c r="M220" s="3">
        <v>46565</v>
      </c>
      <c r="N220" t="s">
        <v>3187</v>
      </c>
      <c r="O220" s="4">
        <v>1</v>
      </c>
      <c r="P220">
        <v>0</v>
      </c>
      <c r="Q220">
        <v>0</v>
      </c>
    </row>
    <row r="221" spans="1:17" x14ac:dyDescent="0.25">
      <c r="A221">
        <v>37936</v>
      </c>
      <c r="B221" t="s">
        <v>3392</v>
      </c>
      <c r="C221" t="s">
        <v>3389</v>
      </c>
      <c r="D221" s="3">
        <v>34889</v>
      </c>
      <c r="E221" t="s">
        <v>1379</v>
      </c>
      <c r="G221" s="3">
        <v>44837</v>
      </c>
      <c r="H221" t="s">
        <v>3393</v>
      </c>
      <c r="J221" t="s">
        <v>1438</v>
      </c>
      <c r="K221" t="s">
        <v>50</v>
      </c>
      <c r="L221" s="3">
        <v>46553</v>
      </c>
      <c r="M221" s="3">
        <v>46680</v>
      </c>
      <c r="N221" t="s">
        <v>3394</v>
      </c>
      <c r="O221" s="4">
        <v>1</v>
      </c>
      <c r="P221">
        <v>0</v>
      </c>
      <c r="Q221">
        <v>0</v>
      </c>
    </row>
    <row r="222" spans="1:17" x14ac:dyDescent="0.25">
      <c r="A222">
        <v>37908</v>
      </c>
      <c r="B222" t="s">
        <v>2207</v>
      </c>
      <c r="C222" t="s">
        <v>2204</v>
      </c>
      <c r="D222" s="3">
        <v>33185</v>
      </c>
      <c r="E222" t="s">
        <v>1379</v>
      </c>
      <c r="G222" s="3">
        <v>44823</v>
      </c>
      <c r="H222" t="s">
        <v>2208</v>
      </c>
      <c r="J222" t="s">
        <v>1438</v>
      </c>
      <c r="K222" t="s">
        <v>50</v>
      </c>
      <c r="L222" s="3">
        <v>46664</v>
      </c>
      <c r="M222" s="3">
        <v>46518</v>
      </c>
      <c r="N222" t="s">
        <v>2209</v>
      </c>
      <c r="O222" s="4">
        <v>1</v>
      </c>
      <c r="P222">
        <v>0</v>
      </c>
      <c r="Q222">
        <v>0</v>
      </c>
    </row>
    <row r="223" spans="1:17" x14ac:dyDescent="0.25">
      <c r="A223">
        <v>37907</v>
      </c>
      <c r="B223" t="s">
        <v>3400</v>
      </c>
      <c r="C223" t="s">
        <v>3401</v>
      </c>
      <c r="D223" s="3">
        <v>36493</v>
      </c>
      <c r="E223" t="s">
        <v>1379</v>
      </c>
      <c r="G223" s="3">
        <v>44809</v>
      </c>
      <c r="H223" t="s">
        <v>3402</v>
      </c>
      <c r="J223" t="s">
        <v>1387</v>
      </c>
      <c r="K223" t="s">
        <v>35</v>
      </c>
      <c r="L223" s="3">
        <v>46652</v>
      </c>
      <c r="M223" s="3">
        <v>46574</v>
      </c>
      <c r="N223" t="s">
        <v>3403</v>
      </c>
      <c r="O223" s="4">
        <v>1</v>
      </c>
      <c r="P223">
        <v>0</v>
      </c>
      <c r="Q223">
        <v>0</v>
      </c>
    </row>
    <row r="224" spans="1:17" x14ac:dyDescent="0.25">
      <c r="A224">
        <v>37809</v>
      </c>
      <c r="B224" t="s">
        <v>1558</v>
      </c>
      <c r="C224" t="s">
        <v>2463</v>
      </c>
      <c r="D224" s="3">
        <v>30433</v>
      </c>
      <c r="E224" t="s">
        <v>1379</v>
      </c>
      <c r="G224" s="3">
        <v>44809</v>
      </c>
      <c r="H224" t="s">
        <v>2464</v>
      </c>
      <c r="J224" t="s">
        <v>1387</v>
      </c>
      <c r="K224" t="s">
        <v>50</v>
      </c>
      <c r="L224" s="3">
        <v>46650</v>
      </c>
      <c r="M224" s="3">
        <v>46504</v>
      </c>
      <c r="N224" t="s">
        <v>2465</v>
      </c>
      <c r="O224" s="4">
        <v>1</v>
      </c>
      <c r="P224">
        <v>0</v>
      </c>
      <c r="Q224">
        <v>0</v>
      </c>
    </row>
    <row r="225" spans="1:17" x14ac:dyDescent="0.25">
      <c r="A225">
        <v>37808</v>
      </c>
      <c r="B225" t="s">
        <v>2097</v>
      </c>
      <c r="C225" t="s">
        <v>2094</v>
      </c>
      <c r="D225" s="3">
        <v>29946</v>
      </c>
      <c r="E225" t="s">
        <v>1379</v>
      </c>
      <c r="G225" s="3">
        <v>44795</v>
      </c>
      <c r="H225" t="s">
        <v>2098</v>
      </c>
      <c r="J225" t="s">
        <v>1382</v>
      </c>
      <c r="K225" t="s">
        <v>41</v>
      </c>
      <c r="L225" s="3">
        <v>46637</v>
      </c>
      <c r="M225" s="3">
        <v>46504</v>
      </c>
      <c r="N225" t="s">
        <v>2099</v>
      </c>
      <c r="O225" s="4">
        <v>1</v>
      </c>
      <c r="P225">
        <v>0</v>
      </c>
      <c r="Q225">
        <v>0</v>
      </c>
    </row>
    <row r="226" spans="1:17" x14ac:dyDescent="0.25">
      <c r="A226">
        <v>37794</v>
      </c>
      <c r="B226" t="s">
        <v>1693</v>
      </c>
      <c r="C226" t="s">
        <v>2493</v>
      </c>
      <c r="D226" s="3">
        <v>33202</v>
      </c>
      <c r="E226" t="s">
        <v>1379</v>
      </c>
      <c r="G226" s="3">
        <v>44790</v>
      </c>
      <c r="H226" t="s">
        <v>2494</v>
      </c>
      <c r="J226" t="s">
        <v>1387</v>
      </c>
      <c r="K226" t="s">
        <v>50</v>
      </c>
      <c r="L226" s="3">
        <v>46421</v>
      </c>
      <c r="M226" s="3">
        <v>46120</v>
      </c>
      <c r="N226" t="s">
        <v>2495</v>
      </c>
      <c r="O226" s="4">
        <v>1</v>
      </c>
      <c r="P226">
        <v>0</v>
      </c>
      <c r="Q226">
        <v>0</v>
      </c>
    </row>
    <row r="227" spans="1:17" x14ac:dyDescent="0.25">
      <c r="A227">
        <v>37744</v>
      </c>
      <c r="B227" t="s">
        <v>1812</v>
      </c>
      <c r="C227" t="s">
        <v>2867</v>
      </c>
      <c r="D227" s="3">
        <v>24576</v>
      </c>
      <c r="E227" t="s">
        <v>1379</v>
      </c>
      <c r="G227" s="3">
        <v>44753</v>
      </c>
      <c r="H227" t="s">
        <v>2868</v>
      </c>
      <c r="J227" t="s">
        <v>1382</v>
      </c>
      <c r="K227" t="s">
        <v>35</v>
      </c>
      <c r="L227" s="3">
        <v>46595</v>
      </c>
      <c r="M227" s="3">
        <v>46530</v>
      </c>
      <c r="N227" t="s">
        <v>2869</v>
      </c>
      <c r="O227" s="4">
        <v>1</v>
      </c>
      <c r="P227">
        <v>0</v>
      </c>
      <c r="Q227">
        <v>0</v>
      </c>
    </row>
    <row r="228" spans="1:17" x14ac:dyDescent="0.25">
      <c r="A228">
        <v>37683</v>
      </c>
      <c r="B228" t="s">
        <v>2328</v>
      </c>
      <c r="C228" t="s">
        <v>3158</v>
      </c>
      <c r="D228" s="3">
        <v>35863</v>
      </c>
      <c r="E228" t="s">
        <v>1379</v>
      </c>
      <c r="G228" s="3">
        <v>44739</v>
      </c>
      <c r="H228" t="s">
        <v>3159</v>
      </c>
      <c r="J228" t="s">
        <v>1387</v>
      </c>
      <c r="K228" t="s">
        <v>50</v>
      </c>
      <c r="L228" s="3">
        <v>46610</v>
      </c>
      <c r="M228" s="3">
        <v>46511</v>
      </c>
      <c r="N228" t="s">
        <v>3160</v>
      </c>
      <c r="O228" s="4">
        <v>1</v>
      </c>
      <c r="P228">
        <v>0</v>
      </c>
      <c r="Q228">
        <v>0</v>
      </c>
    </row>
    <row r="229" spans="1:17" x14ac:dyDescent="0.25">
      <c r="A229">
        <v>37662</v>
      </c>
      <c r="B229" t="s">
        <v>1630</v>
      </c>
      <c r="C229" t="s">
        <v>1328</v>
      </c>
      <c r="D229" s="3">
        <v>31215</v>
      </c>
      <c r="E229" t="s">
        <v>1379</v>
      </c>
      <c r="G229" s="3">
        <v>44719</v>
      </c>
      <c r="H229" t="s">
        <v>1631</v>
      </c>
      <c r="J229" t="s">
        <v>1438</v>
      </c>
      <c r="K229" t="s">
        <v>38</v>
      </c>
      <c r="L229" s="3">
        <v>46560</v>
      </c>
      <c r="M229" s="3">
        <v>46518</v>
      </c>
      <c r="N229" t="s">
        <v>1632</v>
      </c>
      <c r="O229" s="4">
        <v>0.8</v>
      </c>
      <c r="P229">
        <v>0</v>
      </c>
      <c r="Q229">
        <v>0</v>
      </c>
    </row>
    <row r="230" spans="1:17" x14ac:dyDescent="0.25">
      <c r="A230">
        <v>37609</v>
      </c>
      <c r="B230" t="s">
        <v>2976</v>
      </c>
      <c r="C230" t="s">
        <v>2973</v>
      </c>
      <c r="D230" s="3">
        <v>34406</v>
      </c>
      <c r="E230" t="s">
        <v>1379</v>
      </c>
      <c r="G230" s="3">
        <v>44704</v>
      </c>
      <c r="H230" t="s">
        <v>2977</v>
      </c>
      <c r="J230" t="s">
        <v>1387</v>
      </c>
      <c r="K230" t="s">
        <v>47</v>
      </c>
      <c r="L230" s="3">
        <v>46547</v>
      </c>
      <c r="M230" s="3">
        <v>46497</v>
      </c>
      <c r="N230" t="s">
        <v>2978</v>
      </c>
      <c r="O230" s="4">
        <v>1</v>
      </c>
      <c r="P230">
        <v>0</v>
      </c>
      <c r="Q230">
        <v>0</v>
      </c>
    </row>
    <row r="231" spans="1:17" x14ac:dyDescent="0.25">
      <c r="A231">
        <v>37600</v>
      </c>
      <c r="B231" t="s">
        <v>2069</v>
      </c>
      <c r="C231" t="s">
        <v>2066</v>
      </c>
      <c r="D231" s="3">
        <v>29705</v>
      </c>
      <c r="E231" t="s">
        <v>1379</v>
      </c>
      <c r="G231" s="3">
        <v>44704</v>
      </c>
      <c r="H231" t="s">
        <v>2070</v>
      </c>
      <c r="J231" t="s">
        <v>1438</v>
      </c>
      <c r="K231" t="s">
        <v>56</v>
      </c>
      <c r="L231" s="3">
        <v>46546</v>
      </c>
      <c r="M231" s="3">
        <v>46497</v>
      </c>
      <c r="N231" t="s">
        <v>2071</v>
      </c>
      <c r="O231" s="4">
        <v>1</v>
      </c>
      <c r="P231">
        <v>0</v>
      </c>
      <c r="Q231">
        <v>0</v>
      </c>
    </row>
    <row r="232" spans="1:17" x14ac:dyDescent="0.25">
      <c r="A232">
        <v>37564</v>
      </c>
      <c r="B232" t="s">
        <v>2085</v>
      </c>
      <c r="C232" t="s">
        <v>2086</v>
      </c>
      <c r="D232" s="3">
        <v>37200</v>
      </c>
      <c r="E232" t="s">
        <v>1379</v>
      </c>
      <c r="G232" s="3">
        <v>44683</v>
      </c>
      <c r="H232" t="s">
        <v>2087</v>
      </c>
      <c r="J232" t="s">
        <v>1387</v>
      </c>
      <c r="K232" t="s">
        <v>41</v>
      </c>
      <c r="L232" s="3">
        <v>46524</v>
      </c>
      <c r="M232" s="3">
        <v>46476</v>
      </c>
      <c r="N232" t="s">
        <v>2088</v>
      </c>
      <c r="O232" s="4">
        <v>0.5</v>
      </c>
      <c r="P232">
        <v>0</v>
      </c>
      <c r="Q232">
        <v>0</v>
      </c>
    </row>
    <row r="233" spans="1:17" x14ac:dyDescent="0.25">
      <c r="A233">
        <v>37543</v>
      </c>
      <c r="B233" t="s">
        <v>3228</v>
      </c>
      <c r="C233" t="s">
        <v>3229</v>
      </c>
      <c r="D233" s="3">
        <v>25212</v>
      </c>
      <c r="E233" t="s">
        <v>1379</v>
      </c>
      <c r="G233" s="3">
        <v>44683</v>
      </c>
      <c r="H233" t="s">
        <v>3230</v>
      </c>
      <c r="J233" t="s">
        <v>1387</v>
      </c>
      <c r="K233" t="s">
        <v>47</v>
      </c>
      <c r="L233" s="3">
        <v>46529</v>
      </c>
      <c r="M233" s="3">
        <v>46470</v>
      </c>
      <c r="N233" t="s">
        <v>3231</v>
      </c>
      <c r="O233" s="4">
        <v>1</v>
      </c>
      <c r="P233">
        <v>0</v>
      </c>
      <c r="Q233">
        <v>0</v>
      </c>
    </row>
    <row r="234" spans="1:17" x14ac:dyDescent="0.25">
      <c r="A234">
        <v>37542</v>
      </c>
      <c r="B234" t="s">
        <v>2754</v>
      </c>
      <c r="C234" t="s">
        <v>2755</v>
      </c>
      <c r="D234" s="3">
        <v>25000</v>
      </c>
      <c r="E234" t="s">
        <v>1379</v>
      </c>
      <c r="G234" s="3">
        <v>44683</v>
      </c>
      <c r="H234" t="s">
        <v>2756</v>
      </c>
      <c r="J234" t="s">
        <v>1387</v>
      </c>
      <c r="K234" t="s">
        <v>38</v>
      </c>
      <c r="L234" s="3">
        <v>46524</v>
      </c>
      <c r="M234" s="3">
        <v>46470</v>
      </c>
      <c r="N234" t="s">
        <v>2757</v>
      </c>
      <c r="O234" s="4">
        <v>1</v>
      </c>
      <c r="P234">
        <v>0</v>
      </c>
      <c r="Q234">
        <v>0</v>
      </c>
    </row>
    <row r="235" spans="1:17" x14ac:dyDescent="0.25">
      <c r="A235">
        <v>37509</v>
      </c>
      <c r="B235" t="s">
        <v>1797</v>
      </c>
      <c r="C235" t="s">
        <v>1798</v>
      </c>
      <c r="D235" s="3">
        <v>32284</v>
      </c>
      <c r="E235" t="s">
        <v>1379</v>
      </c>
      <c r="G235" s="3">
        <v>44670</v>
      </c>
      <c r="H235" t="s">
        <v>1799</v>
      </c>
      <c r="J235" t="s">
        <v>1420</v>
      </c>
      <c r="K235" t="s">
        <v>38</v>
      </c>
      <c r="L235" s="3">
        <v>46515</v>
      </c>
      <c r="M235" s="3">
        <v>46470</v>
      </c>
      <c r="N235" t="s">
        <v>1800</v>
      </c>
      <c r="O235" s="4">
        <v>1</v>
      </c>
      <c r="P235">
        <v>0</v>
      </c>
      <c r="Q235">
        <v>0</v>
      </c>
    </row>
    <row r="236" spans="1:17" x14ac:dyDescent="0.25">
      <c r="A236">
        <v>37496</v>
      </c>
      <c r="B236" t="s">
        <v>1474</v>
      </c>
      <c r="C236" t="s">
        <v>1475</v>
      </c>
      <c r="D236" s="3">
        <v>24877</v>
      </c>
      <c r="E236" t="s">
        <v>1379</v>
      </c>
      <c r="G236" s="3">
        <v>44700</v>
      </c>
      <c r="H236" t="s">
        <v>1476</v>
      </c>
      <c r="J236" t="s">
        <v>1382</v>
      </c>
      <c r="K236" t="s">
        <v>35</v>
      </c>
      <c r="L236" s="3">
        <v>46117</v>
      </c>
      <c r="M236" s="3">
        <v>46104</v>
      </c>
      <c r="N236" t="s">
        <v>1477</v>
      </c>
      <c r="O236" s="4">
        <v>1</v>
      </c>
      <c r="P236">
        <v>0</v>
      </c>
      <c r="Q236">
        <v>0</v>
      </c>
    </row>
    <row r="237" spans="1:17" x14ac:dyDescent="0.25">
      <c r="A237">
        <v>37439</v>
      </c>
      <c r="B237" t="s">
        <v>2100</v>
      </c>
      <c r="C237" t="s">
        <v>2094</v>
      </c>
      <c r="D237" s="3">
        <v>35810</v>
      </c>
      <c r="E237" t="s">
        <v>1379</v>
      </c>
      <c r="G237" s="3">
        <v>44655</v>
      </c>
      <c r="H237" t="s">
        <v>2101</v>
      </c>
      <c r="J237" t="s">
        <v>1387</v>
      </c>
      <c r="K237" t="s">
        <v>47</v>
      </c>
      <c r="L237" s="3">
        <v>46497</v>
      </c>
      <c r="M237" s="3">
        <v>46445</v>
      </c>
      <c r="N237" t="s">
        <v>2102</v>
      </c>
      <c r="O237" s="4">
        <v>1</v>
      </c>
      <c r="P237">
        <v>0</v>
      </c>
      <c r="Q237">
        <v>0</v>
      </c>
    </row>
    <row r="238" spans="1:17" x14ac:dyDescent="0.25">
      <c r="A238">
        <v>37345</v>
      </c>
      <c r="B238" t="s">
        <v>1869</v>
      </c>
      <c r="C238" t="s">
        <v>1870</v>
      </c>
      <c r="D238" s="3">
        <v>35891</v>
      </c>
      <c r="E238" t="s">
        <v>1379</v>
      </c>
      <c r="G238" s="3">
        <v>44655</v>
      </c>
      <c r="H238" t="s">
        <v>1871</v>
      </c>
      <c r="J238" t="s">
        <v>1387</v>
      </c>
      <c r="K238" t="s">
        <v>56</v>
      </c>
      <c r="L238" s="3">
        <v>46502</v>
      </c>
      <c r="M238" s="3">
        <v>46400</v>
      </c>
      <c r="N238" t="s">
        <v>1872</v>
      </c>
      <c r="O238" s="4">
        <v>1</v>
      </c>
      <c r="P238">
        <v>0</v>
      </c>
      <c r="Q238">
        <v>0</v>
      </c>
    </row>
    <row r="239" spans="1:17" x14ac:dyDescent="0.25">
      <c r="A239">
        <v>37313</v>
      </c>
      <c r="B239" t="s">
        <v>2228</v>
      </c>
      <c r="C239" t="s">
        <v>2229</v>
      </c>
      <c r="D239" s="3">
        <v>27618</v>
      </c>
      <c r="E239" t="s">
        <v>1379</v>
      </c>
      <c r="G239" s="3">
        <v>44704</v>
      </c>
      <c r="H239" t="s">
        <v>2230</v>
      </c>
      <c r="J239" t="s">
        <v>1392</v>
      </c>
      <c r="K239" t="s">
        <v>38</v>
      </c>
      <c r="L239" s="3">
        <v>46546</v>
      </c>
      <c r="M239" s="3">
        <v>46431</v>
      </c>
      <c r="N239" t="s">
        <v>2231</v>
      </c>
      <c r="O239" s="4">
        <v>1</v>
      </c>
      <c r="P239">
        <v>0</v>
      </c>
      <c r="Q239">
        <v>0</v>
      </c>
    </row>
    <row r="240" spans="1:17" x14ac:dyDescent="0.25">
      <c r="A240">
        <v>37261</v>
      </c>
      <c r="B240" t="s">
        <v>1417</v>
      </c>
      <c r="C240" t="s">
        <v>1418</v>
      </c>
      <c r="D240" s="3">
        <v>35872</v>
      </c>
      <c r="E240" t="s">
        <v>1379</v>
      </c>
      <c r="G240" s="3">
        <v>44599</v>
      </c>
      <c r="H240" t="s">
        <v>1419</v>
      </c>
      <c r="J240" t="s">
        <v>1420</v>
      </c>
      <c r="K240" t="s">
        <v>35</v>
      </c>
      <c r="L240" s="3">
        <v>46439</v>
      </c>
      <c r="M240" s="3">
        <v>46404</v>
      </c>
      <c r="N240" t="s">
        <v>1421</v>
      </c>
      <c r="O240" s="4">
        <v>1</v>
      </c>
      <c r="P240">
        <v>0</v>
      </c>
      <c r="Q240">
        <v>1</v>
      </c>
    </row>
    <row r="241" spans="1:17" x14ac:dyDescent="0.25">
      <c r="A241">
        <v>37258</v>
      </c>
      <c r="B241" t="s">
        <v>2358</v>
      </c>
      <c r="C241" t="s">
        <v>2359</v>
      </c>
      <c r="D241" s="3">
        <v>30517</v>
      </c>
      <c r="E241" t="s">
        <v>1379</v>
      </c>
      <c r="G241" s="3">
        <v>44599</v>
      </c>
      <c r="H241" t="s">
        <v>2360</v>
      </c>
      <c r="J241" t="s">
        <v>1387</v>
      </c>
      <c r="K241" t="s">
        <v>41</v>
      </c>
      <c r="L241" s="3">
        <v>46440</v>
      </c>
      <c r="M241" s="3">
        <v>46340</v>
      </c>
      <c r="N241" t="s">
        <v>2361</v>
      </c>
      <c r="O241" s="4">
        <v>1</v>
      </c>
      <c r="P241">
        <v>0</v>
      </c>
      <c r="Q241">
        <v>0</v>
      </c>
    </row>
    <row r="242" spans="1:17" x14ac:dyDescent="0.25">
      <c r="A242">
        <v>37254</v>
      </c>
      <c r="B242" t="s">
        <v>1877</v>
      </c>
      <c r="C242" t="s">
        <v>1878</v>
      </c>
      <c r="D242" s="3">
        <v>36729</v>
      </c>
      <c r="E242" t="s">
        <v>1379</v>
      </c>
      <c r="G242" s="3">
        <v>44585</v>
      </c>
      <c r="H242" t="s">
        <v>1879</v>
      </c>
      <c r="J242" t="s">
        <v>1397</v>
      </c>
      <c r="K242" t="s">
        <v>47</v>
      </c>
      <c r="L242" s="3">
        <v>46425</v>
      </c>
      <c r="M242" s="3">
        <v>46033</v>
      </c>
      <c r="N242" t="s">
        <v>1880</v>
      </c>
      <c r="O242" s="4">
        <v>1</v>
      </c>
      <c r="P242">
        <v>0</v>
      </c>
      <c r="Q242">
        <v>0</v>
      </c>
    </row>
    <row r="243" spans="1:17" x14ac:dyDescent="0.25">
      <c r="A243">
        <v>37226</v>
      </c>
      <c r="B243" t="s">
        <v>3213</v>
      </c>
      <c r="C243" t="s">
        <v>1334</v>
      </c>
      <c r="D243" s="3">
        <v>33397</v>
      </c>
      <c r="E243" t="s">
        <v>1379</v>
      </c>
      <c r="G243" s="3">
        <v>44613</v>
      </c>
      <c r="H243" t="s">
        <v>3214</v>
      </c>
      <c r="J243" t="s">
        <v>1420</v>
      </c>
      <c r="K243" t="s">
        <v>53</v>
      </c>
      <c r="L243" s="3">
        <v>46453</v>
      </c>
      <c r="M243" s="3">
        <v>46273</v>
      </c>
      <c r="N243" t="s">
        <v>3215</v>
      </c>
      <c r="O243" s="4">
        <v>0.8</v>
      </c>
      <c r="P243">
        <v>0</v>
      </c>
      <c r="Q243">
        <v>1</v>
      </c>
    </row>
    <row r="244" spans="1:17" x14ac:dyDescent="0.25">
      <c r="A244">
        <v>37222</v>
      </c>
      <c r="B244" t="s">
        <v>2993</v>
      </c>
      <c r="C244" t="s">
        <v>1326</v>
      </c>
      <c r="D244" s="3">
        <v>32283</v>
      </c>
      <c r="E244" t="s">
        <v>1379</v>
      </c>
      <c r="G244" s="3">
        <v>44599</v>
      </c>
      <c r="H244" t="s">
        <v>2994</v>
      </c>
      <c r="J244" t="s">
        <v>1387</v>
      </c>
      <c r="K244" t="s">
        <v>56</v>
      </c>
      <c r="L244" s="3">
        <v>46439</v>
      </c>
      <c r="M244" s="3">
        <v>46236</v>
      </c>
      <c r="N244" t="s">
        <v>2995</v>
      </c>
      <c r="O244" s="4">
        <v>0.6</v>
      </c>
      <c r="P244">
        <v>0</v>
      </c>
      <c r="Q244">
        <v>0</v>
      </c>
    </row>
    <row r="245" spans="1:17" x14ac:dyDescent="0.25">
      <c r="A245">
        <v>37216</v>
      </c>
      <c r="B245" t="s">
        <v>1662</v>
      </c>
      <c r="C245" t="s">
        <v>1663</v>
      </c>
      <c r="D245" s="3">
        <v>26618</v>
      </c>
      <c r="E245" t="s">
        <v>1379</v>
      </c>
      <c r="G245" s="3">
        <v>44664</v>
      </c>
      <c r="H245" t="s">
        <v>1664</v>
      </c>
      <c r="I245">
        <v>32477920791</v>
      </c>
      <c r="J245" t="s">
        <v>1387</v>
      </c>
      <c r="K245" t="s">
        <v>47</v>
      </c>
      <c r="L245" s="3">
        <v>47237</v>
      </c>
      <c r="M245" s="3">
        <v>47230</v>
      </c>
      <c r="N245" t="s">
        <v>1665</v>
      </c>
      <c r="O245" s="4">
        <v>1</v>
      </c>
      <c r="P245">
        <v>0</v>
      </c>
      <c r="Q245">
        <v>0</v>
      </c>
    </row>
    <row r="246" spans="1:17" x14ac:dyDescent="0.25">
      <c r="A246">
        <v>37208</v>
      </c>
      <c r="B246" t="s">
        <v>2789</v>
      </c>
      <c r="C246" t="s">
        <v>2790</v>
      </c>
      <c r="D246" s="3">
        <v>33504</v>
      </c>
      <c r="E246" t="s">
        <v>1379</v>
      </c>
      <c r="G246" s="3">
        <v>44641</v>
      </c>
      <c r="H246" t="s">
        <v>2791</v>
      </c>
      <c r="J246" t="s">
        <v>1392</v>
      </c>
      <c r="K246" t="s">
        <v>47</v>
      </c>
      <c r="L246" s="3">
        <v>46482</v>
      </c>
      <c r="M246" s="3">
        <v>46364</v>
      </c>
      <c r="N246" t="s">
        <v>2792</v>
      </c>
      <c r="O246" s="4">
        <v>0.8</v>
      </c>
      <c r="P246">
        <v>0</v>
      </c>
      <c r="Q246">
        <v>0</v>
      </c>
    </row>
    <row r="247" spans="1:17" x14ac:dyDescent="0.25">
      <c r="A247">
        <v>37179</v>
      </c>
      <c r="B247" t="s">
        <v>2137</v>
      </c>
      <c r="C247" t="s">
        <v>2138</v>
      </c>
      <c r="D247" s="3">
        <v>35029</v>
      </c>
      <c r="E247" t="s">
        <v>1379</v>
      </c>
      <c r="G247" s="3">
        <v>44571</v>
      </c>
      <c r="H247" t="s">
        <v>2139</v>
      </c>
      <c r="J247" t="s">
        <v>1463</v>
      </c>
      <c r="K247" t="s">
        <v>38</v>
      </c>
      <c r="L247" s="3">
        <v>46411</v>
      </c>
      <c r="M247" s="3">
        <v>46340</v>
      </c>
      <c r="N247" t="s">
        <v>2140</v>
      </c>
      <c r="O247" s="4">
        <v>1</v>
      </c>
      <c r="P247">
        <v>0</v>
      </c>
      <c r="Q247">
        <v>1</v>
      </c>
    </row>
    <row r="248" spans="1:17" x14ac:dyDescent="0.25">
      <c r="A248">
        <v>37132</v>
      </c>
      <c r="B248" t="s">
        <v>2917</v>
      </c>
      <c r="C248" t="s">
        <v>2918</v>
      </c>
      <c r="D248" s="3">
        <v>34746</v>
      </c>
      <c r="E248" t="s">
        <v>1379</v>
      </c>
      <c r="G248" s="3">
        <v>44599</v>
      </c>
      <c r="H248" t="s">
        <v>2919</v>
      </c>
      <c r="J248" t="s">
        <v>1387</v>
      </c>
      <c r="K248" t="s">
        <v>35</v>
      </c>
      <c r="L248" s="3">
        <v>46439</v>
      </c>
      <c r="M248" s="3">
        <v>46320</v>
      </c>
      <c r="N248" t="s">
        <v>2920</v>
      </c>
      <c r="O248" s="4">
        <v>1</v>
      </c>
      <c r="P248">
        <v>0</v>
      </c>
      <c r="Q248">
        <v>0</v>
      </c>
    </row>
    <row r="249" spans="1:17" x14ac:dyDescent="0.25">
      <c r="A249">
        <v>37131</v>
      </c>
      <c r="B249" t="s">
        <v>2224</v>
      </c>
      <c r="C249" t="s">
        <v>2225</v>
      </c>
      <c r="D249" s="3">
        <v>29117</v>
      </c>
      <c r="E249" t="s">
        <v>1379</v>
      </c>
      <c r="G249" s="3">
        <v>44585</v>
      </c>
      <c r="H249" t="s">
        <v>2226</v>
      </c>
      <c r="J249" t="s">
        <v>1392</v>
      </c>
      <c r="K249" t="s">
        <v>47</v>
      </c>
      <c r="L249" s="3">
        <v>46431</v>
      </c>
      <c r="M249" s="3">
        <v>46210</v>
      </c>
      <c r="N249" t="s">
        <v>2227</v>
      </c>
      <c r="O249" s="4">
        <v>1</v>
      </c>
      <c r="P249">
        <v>0</v>
      </c>
      <c r="Q249">
        <v>0</v>
      </c>
    </row>
    <row r="250" spans="1:17" x14ac:dyDescent="0.25">
      <c r="A250">
        <v>36845</v>
      </c>
      <c r="B250" t="s">
        <v>2302</v>
      </c>
      <c r="C250" t="s">
        <v>2297</v>
      </c>
      <c r="D250" s="3">
        <v>21595</v>
      </c>
      <c r="E250" t="s">
        <v>1379</v>
      </c>
      <c r="G250" s="3">
        <v>44440</v>
      </c>
      <c r="J250" t="s">
        <v>1954</v>
      </c>
      <c r="K250" t="s">
        <v>56</v>
      </c>
      <c r="L250" s="3">
        <v>45948</v>
      </c>
      <c r="M250" s="3">
        <v>45930</v>
      </c>
      <c r="N250" t="s">
        <v>2303</v>
      </c>
      <c r="O250" s="4">
        <v>1</v>
      </c>
      <c r="P250">
        <v>0</v>
      </c>
      <c r="Q250">
        <v>0</v>
      </c>
    </row>
    <row r="251" spans="1:17" x14ac:dyDescent="0.25">
      <c r="A251">
        <v>36838</v>
      </c>
      <c r="B251" t="s">
        <v>2171</v>
      </c>
      <c r="C251" t="s">
        <v>2168</v>
      </c>
      <c r="D251" s="3">
        <v>36488</v>
      </c>
      <c r="E251" t="s">
        <v>1379</v>
      </c>
      <c r="G251" s="3">
        <v>44480</v>
      </c>
      <c r="H251" t="s">
        <v>2172</v>
      </c>
      <c r="J251" t="s">
        <v>1425</v>
      </c>
      <c r="K251" t="s">
        <v>35</v>
      </c>
      <c r="L251" s="3">
        <v>47338</v>
      </c>
      <c r="M251" s="3">
        <v>47350</v>
      </c>
      <c r="N251" t="s">
        <v>2173</v>
      </c>
      <c r="O251" s="4">
        <v>0.8</v>
      </c>
      <c r="P251">
        <v>0</v>
      </c>
      <c r="Q251">
        <v>1</v>
      </c>
    </row>
    <row r="252" spans="1:17" x14ac:dyDescent="0.25">
      <c r="A252">
        <v>36820</v>
      </c>
      <c r="B252" t="s">
        <v>1923</v>
      </c>
      <c r="C252" t="s">
        <v>1919</v>
      </c>
      <c r="D252" s="3">
        <v>22295</v>
      </c>
      <c r="E252" t="s">
        <v>1379</v>
      </c>
      <c r="G252" s="3">
        <v>44473</v>
      </c>
      <c r="H252" t="s">
        <v>1924</v>
      </c>
      <c r="I252">
        <v>93720791</v>
      </c>
      <c r="J252" t="s">
        <v>1387</v>
      </c>
      <c r="K252" t="s">
        <v>50</v>
      </c>
      <c r="L252" s="3">
        <v>46300</v>
      </c>
      <c r="M252" s="3">
        <v>46236</v>
      </c>
      <c r="N252" t="s">
        <v>1925</v>
      </c>
      <c r="O252" s="4">
        <v>0.8</v>
      </c>
      <c r="P252">
        <v>0</v>
      </c>
      <c r="Q252">
        <v>1</v>
      </c>
    </row>
    <row r="253" spans="1:17" x14ac:dyDescent="0.25">
      <c r="A253">
        <v>36663</v>
      </c>
      <c r="B253" t="s">
        <v>3435</v>
      </c>
      <c r="C253" t="s">
        <v>3436</v>
      </c>
      <c r="D253" s="3">
        <v>36031</v>
      </c>
      <c r="E253" t="s">
        <v>1379</v>
      </c>
      <c r="G253" s="3">
        <v>44431</v>
      </c>
      <c r="H253" t="s">
        <v>3437</v>
      </c>
      <c r="J253" t="s">
        <v>1382</v>
      </c>
      <c r="K253" t="s">
        <v>35</v>
      </c>
      <c r="L253" s="3">
        <v>46277</v>
      </c>
      <c r="M253" s="3">
        <v>46175</v>
      </c>
      <c r="N253" t="s">
        <v>3438</v>
      </c>
      <c r="O253" s="4">
        <v>0.8</v>
      </c>
      <c r="P253">
        <v>0</v>
      </c>
      <c r="Q253">
        <v>1</v>
      </c>
    </row>
    <row r="254" spans="1:17" x14ac:dyDescent="0.25">
      <c r="A254">
        <v>36635</v>
      </c>
      <c r="B254" t="s">
        <v>2702</v>
      </c>
      <c r="C254" t="s">
        <v>2703</v>
      </c>
      <c r="D254" s="3">
        <v>34087</v>
      </c>
      <c r="E254" t="s">
        <v>1379</v>
      </c>
      <c r="G254" s="3">
        <v>44417</v>
      </c>
      <c r="H254" t="s">
        <v>2704</v>
      </c>
      <c r="J254" t="s">
        <v>1387</v>
      </c>
      <c r="K254" t="s">
        <v>47</v>
      </c>
      <c r="L254" s="3">
        <v>46257</v>
      </c>
      <c r="M254" s="3">
        <v>46147</v>
      </c>
      <c r="N254" t="s">
        <v>2705</v>
      </c>
      <c r="O254" s="4">
        <v>1</v>
      </c>
      <c r="P254">
        <v>0</v>
      </c>
      <c r="Q254">
        <v>0</v>
      </c>
    </row>
    <row r="255" spans="1:17" x14ac:dyDescent="0.25">
      <c r="A255">
        <v>36627</v>
      </c>
      <c r="B255" t="s">
        <v>3071</v>
      </c>
      <c r="C255" t="s">
        <v>2406</v>
      </c>
      <c r="D255" s="3">
        <v>28213</v>
      </c>
      <c r="E255" t="s">
        <v>1379</v>
      </c>
      <c r="G255" s="3">
        <v>44384</v>
      </c>
      <c r="H255" t="s">
        <v>3072</v>
      </c>
      <c r="J255" t="s">
        <v>1397</v>
      </c>
      <c r="K255" t="s">
        <v>53</v>
      </c>
      <c r="L255" s="3">
        <v>46162</v>
      </c>
      <c r="M255" s="3">
        <v>46162</v>
      </c>
      <c r="N255" t="s">
        <v>3073</v>
      </c>
      <c r="O255" s="4">
        <v>1</v>
      </c>
      <c r="P255">
        <v>0</v>
      </c>
      <c r="Q255">
        <v>0</v>
      </c>
    </row>
    <row r="256" spans="1:17" x14ac:dyDescent="0.25">
      <c r="A256">
        <v>36626</v>
      </c>
      <c r="B256" t="s">
        <v>2524</v>
      </c>
      <c r="C256" t="s">
        <v>2525</v>
      </c>
      <c r="D256" s="3">
        <v>35465</v>
      </c>
      <c r="E256" t="s">
        <v>1379</v>
      </c>
      <c r="G256" s="3">
        <v>44389</v>
      </c>
      <c r="H256" t="s">
        <v>2526</v>
      </c>
      <c r="J256" t="s">
        <v>1425</v>
      </c>
      <c r="K256" t="s">
        <v>53</v>
      </c>
      <c r="L256" s="3">
        <v>46230</v>
      </c>
      <c r="M256" s="3">
        <v>46126</v>
      </c>
      <c r="N256" t="s">
        <v>2527</v>
      </c>
      <c r="O256" s="4">
        <v>1</v>
      </c>
      <c r="P256">
        <v>0</v>
      </c>
      <c r="Q256">
        <v>1</v>
      </c>
    </row>
    <row r="257" spans="1:17" x14ac:dyDescent="0.25">
      <c r="A257">
        <v>36625</v>
      </c>
      <c r="B257" t="s">
        <v>1849</v>
      </c>
      <c r="C257" t="s">
        <v>1850</v>
      </c>
      <c r="D257" s="3">
        <v>30329</v>
      </c>
      <c r="E257" t="s">
        <v>1379</v>
      </c>
      <c r="G257" s="3">
        <v>44389</v>
      </c>
      <c r="H257" t="s">
        <v>1851</v>
      </c>
      <c r="J257" t="s">
        <v>1425</v>
      </c>
      <c r="K257" t="s">
        <v>47</v>
      </c>
      <c r="L257" s="3">
        <v>46293</v>
      </c>
      <c r="M257" s="3">
        <v>46260</v>
      </c>
      <c r="N257" t="s">
        <v>1852</v>
      </c>
      <c r="O257" s="4">
        <v>0.4</v>
      </c>
      <c r="P257">
        <v>1</v>
      </c>
      <c r="Q257">
        <v>0</v>
      </c>
    </row>
    <row r="258" spans="1:17" x14ac:dyDescent="0.25">
      <c r="A258">
        <v>36624</v>
      </c>
      <c r="B258" t="s">
        <v>2398</v>
      </c>
      <c r="C258" t="s">
        <v>2395</v>
      </c>
      <c r="D258" s="3">
        <v>24255</v>
      </c>
      <c r="E258" t="s">
        <v>1379</v>
      </c>
      <c r="G258" s="3">
        <v>44375</v>
      </c>
      <c r="H258" t="s">
        <v>2399</v>
      </c>
      <c r="I258">
        <v>3254255856</v>
      </c>
      <c r="J258" t="s">
        <v>1438</v>
      </c>
      <c r="K258" t="s">
        <v>35</v>
      </c>
      <c r="L258" s="3">
        <v>46208</v>
      </c>
      <c r="M258" s="3">
        <v>46138</v>
      </c>
      <c r="N258" t="s">
        <v>2400</v>
      </c>
      <c r="O258" s="4">
        <v>1</v>
      </c>
      <c r="P258">
        <v>0</v>
      </c>
      <c r="Q258">
        <v>1</v>
      </c>
    </row>
    <row r="259" spans="1:17" x14ac:dyDescent="0.25">
      <c r="A259">
        <v>36577</v>
      </c>
      <c r="B259" t="s">
        <v>2257</v>
      </c>
      <c r="C259" t="s">
        <v>2258</v>
      </c>
      <c r="D259" s="3">
        <v>27133</v>
      </c>
      <c r="E259" t="s">
        <v>1379</v>
      </c>
      <c r="G259" s="3">
        <v>44389</v>
      </c>
      <c r="H259" t="s">
        <v>2259</v>
      </c>
      <c r="I259" t="s">
        <v>2260</v>
      </c>
      <c r="J259" t="s">
        <v>1420</v>
      </c>
      <c r="K259" t="s">
        <v>53</v>
      </c>
      <c r="L259" s="3">
        <v>46231</v>
      </c>
      <c r="M259" s="3">
        <v>46140</v>
      </c>
      <c r="N259" t="s">
        <v>2261</v>
      </c>
      <c r="O259" s="4">
        <v>1</v>
      </c>
      <c r="P259">
        <v>0</v>
      </c>
      <c r="Q259">
        <v>0</v>
      </c>
    </row>
    <row r="260" spans="1:17" x14ac:dyDescent="0.25">
      <c r="A260">
        <v>36559</v>
      </c>
      <c r="B260" t="s">
        <v>1742</v>
      </c>
      <c r="C260" t="s">
        <v>1734</v>
      </c>
      <c r="D260" s="3">
        <v>27176</v>
      </c>
      <c r="E260" t="s">
        <v>1379</v>
      </c>
      <c r="G260" s="3">
        <v>44347</v>
      </c>
      <c r="H260" t="s">
        <v>1743</v>
      </c>
      <c r="J260" t="s">
        <v>1588</v>
      </c>
      <c r="K260" t="s">
        <v>47</v>
      </c>
      <c r="L260" s="3">
        <v>46188</v>
      </c>
      <c r="M260" s="3">
        <v>46145</v>
      </c>
      <c r="N260" t="s">
        <v>1744</v>
      </c>
      <c r="O260" s="4">
        <v>1</v>
      </c>
      <c r="P260">
        <v>0</v>
      </c>
      <c r="Q260">
        <v>1</v>
      </c>
    </row>
    <row r="261" spans="1:17" x14ac:dyDescent="0.25">
      <c r="A261">
        <v>36543</v>
      </c>
      <c r="B261" t="s">
        <v>1752</v>
      </c>
      <c r="C261" t="s">
        <v>1753</v>
      </c>
      <c r="D261" s="3">
        <v>35351</v>
      </c>
      <c r="E261" t="s">
        <v>1379</v>
      </c>
      <c r="G261" s="3">
        <v>44347</v>
      </c>
      <c r="H261" t="s">
        <v>1754</v>
      </c>
      <c r="J261" t="s">
        <v>1387</v>
      </c>
      <c r="K261" t="s">
        <v>56</v>
      </c>
      <c r="L261" s="3">
        <v>46189</v>
      </c>
      <c r="M261" s="3">
        <v>46133</v>
      </c>
      <c r="N261" t="s">
        <v>1755</v>
      </c>
      <c r="O261" s="4">
        <v>0.6</v>
      </c>
      <c r="P261">
        <v>1</v>
      </c>
      <c r="Q261">
        <v>0</v>
      </c>
    </row>
    <row r="262" spans="1:17" x14ac:dyDescent="0.25">
      <c r="A262">
        <v>36513</v>
      </c>
      <c r="B262" t="s">
        <v>1240</v>
      </c>
      <c r="C262" t="s">
        <v>1881</v>
      </c>
      <c r="D262" s="3">
        <v>35422</v>
      </c>
      <c r="E262" t="s">
        <v>1379</v>
      </c>
      <c r="G262" s="3">
        <v>44333</v>
      </c>
      <c r="H262" t="s">
        <v>1882</v>
      </c>
      <c r="J262" t="s">
        <v>1438</v>
      </c>
      <c r="K262" t="s">
        <v>47</v>
      </c>
      <c r="L262" s="3">
        <v>46174</v>
      </c>
      <c r="M262" s="3">
        <v>46124</v>
      </c>
      <c r="N262" t="s">
        <v>1883</v>
      </c>
      <c r="O262" s="4">
        <v>1</v>
      </c>
      <c r="P262">
        <v>0</v>
      </c>
      <c r="Q262">
        <v>0</v>
      </c>
    </row>
    <row r="263" spans="1:17" x14ac:dyDescent="0.25">
      <c r="A263">
        <v>36512</v>
      </c>
      <c r="B263" t="s">
        <v>3195</v>
      </c>
      <c r="C263" t="s">
        <v>3196</v>
      </c>
      <c r="D263" s="3">
        <v>36403</v>
      </c>
      <c r="E263" t="s">
        <v>1379</v>
      </c>
      <c r="G263" s="3">
        <v>44333</v>
      </c>
      <c r="H263" t="s">
        <v>3197</v>
      </c>
      <c r="J263" t="s">
        <v>1494</v>
      </c>
      <c r="K263" t="s">
        <v>50</v>
      </c>
      <c r="L263" s="3">
        <v>46174</v>
      </c>
      <c r="M263" s="3">
        <v>46124</v>
      </c>
      <c r="N263" t="s">
        <v>3198</v>
      </c>
      <c r="O263" s="4">
        <v>0.8</v>
      </c>
      <c r="P263">
        <v>0</v>
      </c>
      <c r="Q263">
        <v>1</v>
      </c>
    </row>
    <row r="264" spans="1:17" x14ac:dyDescent="0.25">
      <c r="A264">
        <v>36507</v>
      </c>
      <c r="B264" t="s">
        <v>1947</v>
      </c>
      <c r="C264" t="s">
        <v>1948</v>
      </c>
      <c r="D264" s="3">
        <v>25171</v>
      </c>
      <c r="E264" t="s">
        <v>1379</v>
      </c>
      <c r="G264" s="3">
        <v>44347</v>
      </c>
      <c r="H264" t="s">
        <v>1949</v>
      </c>
      <c r="J264" t="s">
        <v>1397</v>
      </c>
      <c r="K264" t="s">
        <v>50</v>
      </c>
      <c r="L264" s="3">
        <v>46190</v>
      </c>
      <c r="M264" s="3">
        <v>46119</v>
      </c>
      <c r="N264" t="s">
        <v>1950</v>
      </c>
      <c r="O264" s="4">
        <v>1</v>
      </c>
      <c r="P264">
        <v>0</v>
      </c>
      <c r="Q264">
        <v>1</v>
      </c>
    </row>
    <row r="265" spans="1:17" x14ac:dyDescent="0.25">
      <c r="A265">
        <v>36505</v>
      </c>
      <c r="B265" t="s">
        <v>1812</v>
      </c>
      <c r="C265" t="s">
        <v>1813</v>
      </c>
      <c r="D265" s="3">
        <v>35806</v>
      </c>
      <c r="E265" t="s">
        <v>1379</v>
      </c>
      <c r="G265" s="3">
        <v>44333</v>
      </c>
      <c r="H265" t="s">
        <v>1814</v>
      </c>
      <c r="I265" t="s">
        <v>1815</v>
      </c>
      <c r="J265" t="s">
        <v>1387</v>
      </c>
      <c r="K265" t="s">
        <v>47</v>
      </c>
      <c r="L265" s="3">
        <v>46174</v>
      </c>
      <c r="M265" s="3">
        <v>46097</v>
      </c>
      <c r="N265" t="s">
        <v>1816</v>
      </c>
      <c r="O265" s="4">
        <v>1</v>
      </c>
      <c r="P265">
        <v>0</v>
      </c>
      <c r="Q265">
        <v>0</v>
      </c>
    </row>
    <row r="266" spans="1:17" x14ac:dyDescent="0.25">
      <c r="A266">
        <v>36503</v>
      </c>
      <c r="B266" t="s">
        <v>3034</v>
      </c>
      <c r="C266" t="s">
        <v>3035</v>
      </c>
      <c r="D266" s="3">
        <v>30035</v>
      </c>
      <c r="E266" t="s">
        <v>1379</v>
      </c>
      <c r="G266" s="3">
        <v>44333</v>
      </c>
      <c r="H266" t="s">
        <v>3036</v>
      </c>
      <c r="J266" t="s">
        <v>1387</v>
      </c>
      <c r="K266" t="s">
        <v>44</v>
      </c>
      <c r="L266" s="3">
        <v>46174</v>
      </c>
      <c r="M266" s="3">
        <v>46004</v>
      </c>
      <c r="N266" t="s">
        <v>3037</v>
      </c>
      <c r="O266" s="4">
        <v>1</v>
      </c>
      <c r="P266">
        <v>0</v>
      </c>
      <c r="Q266">
        <v>0</v>
      </c>
    </row>
    <row r="267" spans="1:17" x14ac:dyDescent="0.25">
      <c r="A267">
        <v>36438</v>
      </c>
      <c r="B267" t="s">
        <v>3220</v>
      </c>
      <c r="C267" t="s">
        <v>3221</v>
      </c>
      <c r="D267" s="3">
        <v>26348</v>
      </c>
      <c r="E267" t="s">
        <v>1379</v>
      </c>
      <c r="G267" s="3">
        <v>44298</v>
      </c>
      <c r="H267" t="s">
        <v>3222</v>
      </c>
      <c r="J267" t="s">
        <v>1382</v>
      </c>
      <c r="K267" t="s">
        <v>38</v>
      </c>
      <c r="L267" s="3">
        <v>46138</v>
      </c>
      <c r="M267" s="3">
        <v>46097</v>
      </c>
      <c r="N267" t="s">
        <v>3223</v>
      </c>
      <c r="O267" s="4">
        <v>1</v>
      </c>
      <c r="P267">
        <v>0</v>
      </c>
      <c r="Q267">
        <v>1</v>
      </c>
    </row>
    <row r="268" spans="1:17" x14ac:dyDescent="0.25">
      <c r="A268">
        <v>36429</v>
      </c>
      <c r="B268" t="s">
        <v>2449</v>
      </c>
      <c r="C268" t="s">
        <v>2450</v>
      </c>
      <c r="D268" s="3">
        <v>31748</v>
      </c>
      <c r="E268" t="s">
        <v>1379</v>
      </c>
      <c r="G268" s="3">
        <v>44312</v>
      </c>
      <c r="H268" t="s">
        <v>2451</v>
      </c>
      <c r="J268" t="s">
        <v>1382</v>
      </c>
      <c r="K268" t="s">
        <v>47</v>
      </c>
      <c r="L268" s="3">
        <v>46152</v>
      </c>
      <c r="M268" s="3">
        <v>46897</v>
      </c>
      <c r="N268" t="s">
        <v>2452</v>
      </c>
      <c r="O268" s="4">
        <v>0.8</v>
      </c>
      <c r="P268">
        <v>0</v>
      </c>
      <c r="Q268">
        <v>0</v>
      </c>
    </row>
    <row r="269" spans="1:17" x14ac:dyDescent="0.25">
      <c r="A269">
        <v>36428</v>
      </c>
      <c r="B269" t="s">
        <v>1884</v>
      </c>
      <c r="C269" t="s">
        <v>1885</v>
      </c>
      <c r="D269" s="3">
        <v>33510</v>
      </c>
      <c r="E269" t="s">
        <v>1379</v>
      </c>
      <c r="G269" s="3">
        <v>44312</v>
      </c>
      <c r="H269" t="s">
        <v>1886</v>
      </c>
      <c r="J269" t="s">
        <v>1420</v>
      </c>
      <c r="K269" t="s">
        <v>56</v>
      </c>
      <c r="L269" s="3">
        <v>46152</v>
      </c>
      <c r="M269" s="3">
        <v>46084</v>
      </c>
      <c r="N269" t="s">
        <v>1887</v>
      </c>
      <c r="O269" s="4">
        <v>1</v>
      </c>
      <c r="P269">
        <v>0</v>
      </c>
      <c r="Q269">
        <v>1</v>
      </c>
    </row>
    <row r="270" spans="1:17" x14ac:dyDescent="0.25">
      <c r="A270">
        <v>36427</v>
      </c>
      <c r="B270" t="s">
        <v>3596</v>
      </c>
      <c r="C270" t="s">
        <v>3597</v>
      </c>
      <c r="D270" s="3">
        <v>36246</v>
      </c>
      <c r="E270" t="s">
        <v>1379</v>
      </c>
      <c r="G270" s="3">
        <v>44312</v>
      </c>
      <c r="H270" t="s">
        <v>3598</v>
      </c>
      <c r="J270" t="s">
        <v>1387</v>
      </c>
      <c r="K270" t="s">
        <v>41</v>
      </c>
      <c r="L270" s="3">
        <v>46152</v>
      </c>
      <c r="M270" s="3">
        <v>46090</v>
      </c>
      <c r="N270" t="s">
        <v>3599</v>
      </c>
      <c r="O270" s="4">
        <v>1</v>
      </c>
      <c r="P270">
        <v>0</v>
      </c>
      <c r="Q270">
        <v>0</v>
      </c>
    </row>
    <row r="271" spans="1:17" x14ac:dyDescent="0.25">
      <c r="A271">
        <v>36426</v>
      </c>
      <c r="B271" t="s">
        <v>3446</v>
      </c>
      <c r="C271" t="s">
        <v>3447</v>
      </c>
      <c r="D271" s="3">
        <v>32703</v>
      </c>
      <c r="E271" t="s">
        <v>1379</v>
      </c>
      <c r="G271" s="3">
        <v>44305</v>
      </c>
      <c r="H271" t="s">
        <v>3448</v>
      </c>
      <c r="J271" t="s">
        <v>1382</v>
      </c>
      <c r="K271" t="s">
        <v>38</v>
      </c>
      <c r="L271" s="3">
        <v>46138</v>
      </c>
      <c r="M271" s="3">
        <v>46090</v>
      </c>
      <c r="N271" t="s">
        <v>3449</v>
      </c>
      <c r="O271" s="4">
        <v>1</v>
      </c>
      <c r="P271">
        <v>0</v>
      </c>
      <c r="Q271">
        <v>1</v>
      </c>
    </row>
    <row r="272" spans="1:17" x14ac:dyDescent="0.25">
      <c r="A272">
        <v>36425</v>
      </c>
      <c r="B272" t="s">
        <v>2072</v>
      </c>
      <c r="C272" t="s">
        <v>2066</v>
      </c>
      <c r="D272" s="3">
        <v>27833</v>
      </c>
      <c r="E272" t="s">
        <v>1379</v>
      </c>
      <c r="G272" s="3">
        <v>44333</v>
      </c>
      <c r="H272" t="s">
        <v>2073</v>
      </c>
      <c r="J272" t="s">
        <v>1397</v>
      </c>
      <c r="K272" t="s">
        <v>41</v>
      </c>
      <c r="L272" s="3">
        <v>46175</v>
      </c>
      <c r="M272" s="3">
        <v>45936</v>
      </c>
      <c r="N272" t="s">
        <v>2074</v>
      </c>
      <c r="O272" s="4">
        <v>1</v>
      </c>
      <c r="P272">
        <v>0</v>
      </c>
      <c r="Q272">
        <v>1</v>
      </c>
    </row>
    <row r="273" spans="1:17" x14ac:dyDescent="0.25">
      <c r="A273">
        <v>36378</v>
      </c>
      <c r="B273" t="s">
        <v>2808</v>
      </c>
      <c r="C273" t="s">
        <v>2809</v>
      </c>
      <c r="D273" s="3">
        <v>22566</v>
      </c>
      <c r="E273" t="s">
        <v>1379</v>
      </c>
      <c r="G273" s="3">
        <v>44336</v>
      </c>
      <c r="H273" t="s">
        <v>2810</v>
      </c>
      <c r="J273" t="s">
        <v>1392</v>
      </c>
      <c r="K273" t="s">
        <v>56</v>
      </c>
      <c r="L273" s="3">
        <v>47576</v>
      </c>
      <c r="M273" s="3">
        <v>47547</v>
      </c>
      <c r="N273" t="s">
        <v>2811</v>
      </c>
      <c r="O273" s="4">
        <v>1</v>
      </c>
      <c r="P273">
        <v>0</v>
      </c>
      <c r="Q273">
        <v>1</v>
      </c>
    </row>
    <row r="274" spans="1:17" x14ac:dyDescent="0.25">
      <c r="A274">
        <v>36358</v>
      </c>
      <c r="B274" t="s">
        <v>2957</v>
      </c>
      <c r="C274" t="s">
        <v>2958</v>
      </c>
      <c r="D274" s="3">
        <v>36236</v>
      </c>
      <c r="E274" t="s">
        <v>1379</v>
      </c>
      <c r="G274" s="3">
        <v>44270</v>
      </c>
      <c r="H274" t="s">
        <v>2959</v>
      </c>
      <c r="J274" t="s">
        <v>1387</v>
      </c>
      <c r="K274" t="s">
        <v>53</v>
      </c>
      <c r="L274" s="3">
        <v>46112</v>
      </c>
      <c r="M274" s="3">
        <v>46064</v>
      </c>
      <c r="N274" t="s">
        <v>2960</v>
      </c>
      <c r="O274" s="4">
        <v>1</v>
      </c>
      <c r="P274">
        <v>0</v>
      </c>
      <c r="Q274">
        <v>1</v>
      </c>
    </row>
    <row r="275" spans="1:17" x14ac:dyDescent="0.25">
      <c r="A275">
        <v>36354</v>
      </c>
      <c r="B275" t="s">
        <v>2713</v>
      </c>
      <c r="C275" t="s">
        <v>2714</v>
      </c>
      <c r="D275" s="3">
        <v>35740</v>
      </c>
      <c r="E275" t="s">
        <v>1379</v>
      </c>
      <c r="G275" s="3">
        <v>44298</v>
      </c>
      <c r="H275" t="s">
        <v>2715</v>
      </c>
      <c r="I275">
        <v>471573703</v>
      </c>
      <c r="J275" t="s">
        <v>1387</v>
      </c>
      <c r="K275" t="s">
        <v>41</v>
      </c>
      <c r="L275" s="3">
        <v>46138</v>
      </c>
      <c r="M275" s="3">
        <v>45923</v>
      </c>
      <c r="N275" t="s">
        <v>2716</v>
      </c>
      <c r="O275" s="4">
        <v>1</v>
      </c>
      <c r="P275">
        <v>0</v>
      </c>
      <c r="Q275">
        <v>1</v>
      </c>
    </row>
    <row r="276" spans="1:17" x14ac:dyDescent="0.25">
      <c r="A276">
        <v>36337</v>
      </c>
      <c r="B276" t="s">
        <v>3105</v>
      </c>
      <c r="C276" t="s">
        <v>3106</v>
      </c>
      <c r="D276" s="3">
        <v>24304</v>
      </c>
      <c r="E276" t="s">
        <v>1379</v>
      </c>
      <c r="G276" s="3">
        <v>44284</v>
      </c>
      <c r="H276" t="s">
        <v>3107</v>
      </c>
      <c r="J276" t="s">
        <v>1588</v>
      </c>
      <c r="K276" t="s">
        <v>47</v>
      </c>
      <c r="L276" s="3">
        <v>46125</v>
      </c>
      <c r="M276" s="3">
        <v>45951</v>
      </c>
      <c r="N276" t="s">
        <v>3108</v>
      </c>
      <c r="O276" s="4">
        <v>0.8</v>
      </c>
      <c r="P276">
        <v>0</v>
      </c>
      <c r="Q276">
        <v>0</v>
      </c>
    </row>
    <row r="277" spans="1:17" x14ac:dyDescent="0.25">
      <c r="A277">
        <v>36336</v>
      </c>
      <c r="B277" t="s">
        <v>1933</v>
      </c>
      <c r="C277" t="s">
        <v>1930</v>
      </c>
      <c r="D277" s="3">
        <v>29706</v>
      </c>
      <c r="E277" t="s">
        <v>1379</v>
      </c>
      <c r="G277" s="3">
        <v>44284</v>
      </c>
      <c r="H277" t="s">
        <v>1934</v>
      </c>
      <c r="J277" t="s">
        <v>1494</v>
      </c>
      <c r="K277" t="s">
        <v>56</v>
      </c>
      <c r="L277" s="3">
        <v>46125</v>
      </c>
      <c r="M277" s="3">
        <v>45985</v>
      </c>
      <c r="N277" t="s">
        <v>1935</v>
      </c>
      <c r="O277" s="4">
        <v>0.8</v>
      </c>
      <c r="P277">
        <v>0</v>
      </c>
      <c r="Q277">
        <v>1</v>
      </c>
    </row>
    <row r="278" spans="1:17" x14ac:dyDescent="0.25">
      <c r="A278">
        <v>36289</v>
      </c>
      <c r="B278" t="s">
        <v>1647</v>
      </c>
      <c r="C278" t="s">
        <v>1648</v>
      </c>
      <c r="D278" s="3">
        <v>28212</v>
      </c>
      <c r="E278" t="s">
        <v>1379</v>
      </c>
      <c r="G278" s="3">
        <v>44284</v>
      </c>
      <c r="H278" t="s">
        <v>1649</v>
      </c>
      <c r="J278" t="s">
        <v>1420</v>
      </c>
      <c r="K278" t="s">
        <v>41</v>
      </c>
      <c r="L278" s="3">
        <v>46127</v>
      </c>
      <c r="M278" s="3">
        <v>45930</v>
      </c>
      <c r="N278" t="s">
        <v>1650</v>
      </c>
      <c r="O278" s="4">
        <v>1</v>
      </c>
      <c r="P278">
        <v>0</v>
      </c>
      <c r="Q278">
        <v>1</v>
      </c>
    </row>
    <row r="279" spans="1:17" x14ac:dyDescent="0.25">
      <c r="A279">
        <v>36275</v>
      </c>
      <c r="B279" t="s">
        <v>3255</v>
      </c>
      <c r="C279" t="s">
        <v>3256</v>
      </c>
      <c r="D279" s="3">
        <v>27839</v>
      </c>
      <c r="E279" t="s">
        <v>1634</v>
      </c>
      <c r="G279" s="3">
        <v>44270</v>
      </c>
      <c r="H279" t="s">
        <v>3257</v>
      </c>
      <c r="J279" t="s">
        <v>1494</v>
      </c>
      <c r="K279" t="s">
        <v>35</v>
      </c>
      <c r="L279" s="3">
        <v>46368</v>
      </c>
      <c r="M279" s="3">
        <v>46120</v>
      </c>
      <c r="N279" t="s">
        <v>3258</v>
      </c>
      <c r="O279" s="4">
        <v>1</v>
      </c>
      <c r="P279">
        <v>0</v>
      </c>
      <c r="Q279">
        <v>0</v>
      </c>
    </row>
    <row r="280" spans="1:17" x14ac:dyDescent="0.25">
      <c r="A280">
        <v>36228</v>
      </c>
      <c r="B280" t="s">
        <v>3318</v>
      </c>
      <c r="C280" t="s">
        <v>3319</v>
      </c>
      <c r="D280" s="3">
        <v>36109</v>
      </c>
      <c r="E280" t="s">
        <v>1379</v>
      </c>
      <c r="G280" s="3">
        <v>44256</v>
      </c>
      <c r="H280" t="s">
        <v>3320</v>
      </c>
      <c r="J280" t="s">
        <v>1387</v>
      </c>
      <c r="K280" t="s">
        <v>41</v>
      </c>
      <c r="L280" s="3">
        <v>46096</v>
      </c>
      <c r="M280" s="3">
        <v>45903</v>
      </c>
      <c r="N280" t="s">
        <v>3321</v>
      </c>
      <c r="O280" s="4">
        <v>1</v>
      </c>
      <c r="P280">
        <v>0</v>
      </c>
      <c r="Q280">
        <v>0</v>
      </c>
    </row>
    <row r="281" spans="1:17" x14ac:dyDescent="0.25">
      <c r="A281">
        <v>36154</v>
      </c>
      <c r="B281" t="s">
        <v>1496</v>
      </c>
      <c r="C281" t="s">
        <v>1617</v>
      </c>
      <c r="D281" s="3">
        <v>35578</v>
      </c>
      <c r="E281" t="s">
        <v>1379</v>
      </c>
      <c r="G281" s="3">
        <v>44214</v>
      </c>
      <c r="H281" t="s">
        <v>1620</v>
      </c>
      <c r="J281" t="s">
        <v>1588</v>
      </c>
      <c r="K281" t="s">
        <v>56</v>
      </c>
      <c r="L281" s="3">
        <v>46055</v>
      </c>
      <c r="M281" s="3">
        <v>45930</v>
      </c>
      <c r="N281" t="s">
        <v>1621</v>
      </c>
      <c r="O281" s="4">
        <v>0.8</v>
      </c>
      <c r="P281">
        <v>0</v>
      </c>
      <c r="Q281">
        <v>0</v>
      </c>
    </row>
    <row r="282" spans="1:17" x14ac:dyDescent="0.25">
      <c r="A282">
        <v>36021</v>
      </c>
      <c r="B282" t="s">
        <v>2841</v>
      </c>
      <c r="C282" t="s">
        <v>2842</v>
      </c>
      <c r="D282" s="3">
        <v>33168</v>
      </c>
      <c r="E282" t="s">
        <v>1379</v>
      </c>
      <c r="F282">
        <v>308</v>
      </c>
      <c r="G282" s="3">
        <v>44151</v>
      </c>
      <c r="H282" t="s">
        <v>2843</v>
      </c>
      <c r="J282" t="s">
        <v>1411</v>
      </c>
      <c r="K282" t="s">
        <v>56</v>
      </c>
      <c r="L282" s="3">
        <v>45992</v>
      </c>
      <c r="M282" s="3">
        <v>45915</v>
      </c>
      <c r="N282" t="s">
        <v>2844</v>
      </c>
      <c r="O282" s="4">
        <v>1</v>
      </c>
      <c r="P282">
        <v>0</v>
      </c>
      <c r="Q282">
        <v>0</v>
      </c>
    </row>
    <row r="283" spans="1:17" x14ac:dyDescent="0.25">
      <c r="A283">
        <v>35862</v>
      </c>
      <c r="B283" t="s">
        <v>1960</v>
      </c>
      <c r="C283" t="s">
        <v>1961</v>
      </c>
      <c r="D283" s="3">
        <v>23710</v>
      </c>
      <c r="E283" t="s">
        <v>1379</v>
      </c>
      <c r="F283">
        <v>224</v>
      </c>
      <c r="G283" s="3">
        <v>44123</v>
      </c>
      <c r="H283" t="s">
        <v>1962</v>
      </c>
      <c r="I283" t="s">
        <v>1963</v>
      </c>
      <c r="J283" t="s">
        <v>1392</v>
      </c>
      <c r="K283" t="s">
        <v>53</v>
      </c>
      <c r="L283" s="3">
        <v>47573</v>
      </c>
      <c r="M283" s="3">
        <v>47533</v>
      </c>
      <c r="N283" t="s">
        <v>1964</v>
      </c>
      <c r="O283" s="4">
        <v>1</v>
      </c>
      <c r="P283">
        <v>0</v>
      </c>
      <c r="Q283">
        <v>1</v>
      </c>
    </row>
    <row r="284" spans="1:17" x14ac:dyDescent="0.25">
      <c r="A284">
        <v>35761</v>
      </c>
      <c r="B284" t="s">
        <v>2667</v>
      </c>
      <c r="C284" t="s">
        <v>2699</v>
      </c>
      <c r="D284" s="3">
        <v>33856</v>
      </c>
      <c r="E284" t="s">
        <v>1379</v>
      </c>
      <c r="F284">
        <v>324</v>
      </c>
      <c r="G284" s="3">
        <v>44067</v>
      </c>
      <c r="H284" t="s">
        <v>2700</v>
      </c>
      <c r="J284" t="s">
        <v>1387</v>
      </c>
      <c r="K284" t="s">
        <v>53</v>
      </c>
      <c r="L284" s="3">
        <v>47699</v>
      </c>
      <c r="M284" s="3">
        <v>47594</v>
      </c>
      <c r="N284" t="s">
        <v>2701</v>
      </c>
      <c r="O284" s="4">
        <v>0.8</v>
      </c>
      <c r="P284">
        <v>0</v>
      </c>
      <c r="Q284">
        <v>1</v>
      </c>
    </row>
    <row r="285" spans="1:17" x14ac:dyDescent="0.25">
      <c r="A285">
        <v>35709</v>
      </c>
      <c r="B285" t="s">
        <v>1760</v>
      </c>
      <c r="C285" t="s">
        <v>1761</v>
      </c>
      <c r="D285" s="3">
        <v>24400</v>
      </c>
      <c r="E285" t="s">
        <v>1379</v>
      </c>
      <c r="F285">
        <v>393</v>
      </c>
      <c r="G285" s="3">
        <v>44075</v>
      </c>
      <c r="I285">
        <v>492421081</v>
      </c>
      <c r="J285" t="s">
        <v>1438</v>
      </c>
      <c r="K285" t="s">
        <v>41</v>
      </c>
      <c r="L285" s="3">
        <v>46905</v>
      </c>
      <c r="M285" s="3">
        <v>46853</v>
      </c>
      <c r="N285" t="s">
        <v>1762</v>
      </c>
      <c r="O285" s="4">
        <v>0.8</v>
      </c>
      <c r="P285">
        <v>0</v>
      </c>
      <c r="Q285">
        <v>0</v>
      </c>
    </row>
    <row r="286" spans="1:17" x14ac:dyDescent="0.25">
      <c r="A286">
        <v>35645</v>
      </c>
      <c r="B286" t="s">
        <v>1435</v>
      </c>
      <c r="C286" t="s">
        <v>1436</v>
      </c>
      <c r="D286" s="3">
        <v>31611</v>
      </c>
      <c r="E286" t="s">
        <v>1379</v>
      </c>
      <c r="F286">
        <v>355</v>
      </c>
      <c r="G286" s="3">
        <v>44070</v>
      </c>
      <c r="H286" t="s">
        <v>1437</v>
      </c>
      <c r="J286" t="s">
        <v>1438</v>
      </c>
      <c r="K286" t="s">
        <v>50</v>
      </c>
      <c r="L286" s="3">
        <v>46876</v>
      </c>
      <c r="M286" s="3">
        <v>46862</v>
      </c>
      <c r="N286" t="s">
        <v>1439</v>
      </c>
      <c r="O286" s="4">
        <v>1</v>
      </c>
      <c r="P286">
        <v>0</v>
      </c>
      <c r="Q286">
        <v>0</v>
      </c>
    </row>
    <row r="287" spans="1:17" x14ac:dyDescent="0.25">
      <c r="A287">
        <v>35623</v>
      </c>
      <c r="B287" t="s">
        <v>3136</v>
      </c>
      <c r="C287" t="s">
        <v>3137</v>
      </c>
      <c r="D287" s="3">
        <v>29006</v>
      </c>
      <c r="E287" t="s">
        <v>1379</v>
      </c>
      <c r="F287">
        <v>278</v>
      </c>
      <c r="G287" s="3">
        <v>44081</v>
      </c>
      <c r="H287" t="s">
        <v>3138</v>
      </c>
      <c r="J287" t="s">
        <v>1438</v>
      </c>
      <c r="K287" t="s">
        <v>38</v>
      </c>
      <c r="L287" s="3">
        <v>45922</v>
      </c>
      <c r="M287" s="3">
        <v>47407</v>
      </c>
      <c r="N287" t="s">
        <v>3139</v>
      </c>
      <c r="O287" s="4">
        <v>1</v>
      </c>
      <c r="P287">
        <v>0</v>
      </c>
      <c r="Q287">
        <v>0</v>
      </c>
    </row>
    <row r="288" spans="1:17" x14ac:dyDescent="0.25">
      <c r="A288">
        <v>35619</v>
      </c>
      <c r="B288" t="s">
        <v>1389</v>
      </c>
      <c r="C288" t="s">
        <v>1390</v>
      </c>
      <c r="D288" s="3">
        <v>27907</v>
      </c>
      <c r="E288" t="s">
        <v>1379</v>
      </c>
      <c r="F288">
        <v>414</v>
      </c>
      <c r="G288" s="3">
        <v>44067</v>
      </c>
      <c r="H288" t="s">
        <v>1391</v>
      </c>
      <c r="J288" t="s">
        <v>1392</v>
      </c>
      <c r="K288" t="s">
        <v>50</v>
      </c>
      <c r="L288" s="3">
        <v>47602</v>
      </c>
      <c r="M288" s="3">
        <v>47594</v>
      </c>
      <c r="N288" t="s">
        <v>1393</v>
      </c>
      <c r="O288" s="4">
        <v>1</v>
      </c>
      <c r="P288">
        <v>0</v>
      </c>
      <c r="Q288">
        <v>1</v>
      </c>
    </row>
    <row r="289" spans="1:17" x14ac:dyDescent="0.25">
      <c r="A289">
        <v>35598</v>
      </c>
      <c r="B289" t="s">
        <v>1448</v>
      </c>
      <c r="C289" t="s">
        <v>1449</v>
      </c>
      <c r="D289" s="3">
        <v>24328</v>
      </c>
      <c r="E289" t="s">
        <v>1379</v>
      </c>
      <c r="F289">
        <v>434</v>
      </c>
      <c r="G289" s="3">
        <v>44039</v>
      </c>
      <c r="H289" t="s">
        <v>1450</v>
      </c>
      <c r="J289" t="s">
        <v>1420</v>
      </c>
      <c r="K289" t="s">
        <v>35</v>
      </c>
      <c r="L289" s="3">
        <v>47533</v>
      </c>
      <c r="M289" s="3">
        <v>47517</v>
      </c>
      <c r="N289" t="s">
        <v>1451</v>
      </c>
      <c r="O289" s="4">
        <v>1</v>
      </c>
      <c r="P289">
        <v>0</v>
      </c>
      <c r="Q289">
        <v>0</v>
      </c>
    </row>
    <row r="290" spans="1:17" x14ac:dyDescent="0.25">
      <c r="A290">
        <v>35588</v>
      </c>
      <c r="B290" t="s">
        <v>2069</v>
      </c>
      <c r="C290" t="s">
        <v>2793</v>
      </c>
      <c r="D290" s="3">
        <v>33879</v>
      </c>
      <c r="E290" t="s">
        <v>1379</v>
      </c>
      <c r="F290">
        <v>435</v>
      </c>
      <c r="G290" s="3">
        <v>44039</v>
      </c>
      <c r="H290" t="s">
        <v>2799</v>
      </c>
      <c r="J290" t="s">
        <v>1392</v>
      </c>
      <c r="K290" t="s">
        <v>56</v>
      </c>
      <c r="L290" s="3">
        <v>47635</v>
      </c>
      <c r="M290" s="3">
        <v>47547</v>
      </c>
      <c r="N290" t="s">
        <v>2800</v>
      </c>
      <c r="O290" s="4">
        <v>1</v>
      </c>
      <c r="P290">
        <v>0</v>
      </c>
      <c r="Q290">
        <v>1</v>
      </c>
    </row>
    <row r="291" spans="1:17" x14ac:dyDescent="0.25">
      <c r="A291">
        <v>35495</v>
      </c>
      <c r="B291" t="s">
        <v>2321</v>
      </c>
      <c r="C291" t="s">
        <v>2312</v>
      </c>
      <c r="D291" s="3">
        <v>34121</v>
      </c>
      <c r="E291" t="s">
        <v>1379</v>
      </c>
      <c r="F291">
        <v>22</v>
      </c>
      <c r="G291" s="3">
        <v>44025</v>
      </c>
      <c r="H291" t="s">
        <v>2322</v>
      </c>
      <c r="J291" t="s">
        <v>1392</v>
      </c>
      <c r="K291" t="s">
        <v>47</v>
      </c>
      <c r="L291" s="3">
        <v>47554</v>
      </c>
      <c r="M291" s="3">
        <v>47547</v>
      </c>
      <c r="N291" t="s">
        <v>2323</v>
      </c>
      <c r="O291" s="4">
        <v>1</v>
      </c>
      <c r="P291">
        <v>0</v>
      </c>
      <c r="Q291">
        <v>0</v>
      </c>
    </row>
    <row r="292" spans="1:17" x14ac:dyDescent="0.25">
      <c r="A292">
        <v>35494</v>
      </c>
      <c r="B292" t="s">
        <v>2324</v>
      </c>
      <c r="C292" t="s">
        <v>2325</v>
      </c>
      <c r="D292" s="3">
        <v>29509</v>
      </c>
      <c r="E292" t="s">
        <v>1379</v>
      </c>
      <c r="F292">
        <v>260</v>
      </c>
      <c r="G292" s="3">
        <v>44039</v>
      </c>
      <c r="H292" t="s">
        <v>2326</v>
      </c>
      <c r="J292" t="s">
        <v>1438</v>
      </c>
      <c r="K292" t="s">
        <v>41</v>
      </c>
      <c r="L292" s="3">
        <v>47617</v>
      </c>
      <c r="M292" s="3">
        <v>47579</v>
      </c>
      <c r="N292" t="s">
        <v>2327</v>
      </c>
      <c r="O292" s="4">
        <v>0.8</v>
      </c>
      <c r="P292">
        <v>0</v>
      </c>
      <c r="Q292">
        <v>0</v>
      </c>
    </row>
    <row r="293" spans="1:17" x14ac:dyDescent="0.25">
      <c r="A293">
        <v>35493</v>
      </c>
      <c r="B293" t="s">
        <v>2288</v>
      </c>
      <c r="C293" t="s">
        <v>2289</v>
      </c>
      <c r="D293" s="3">
        <v>28007</v>
      </c>
      <c r="E293" t="s">
        <v>1379</v>
      </c>
      <c r="F293">
        <v>282</v>
      </c>
      <c r="G293" s="3">
        <v>44039</v>
      </c>
      <c r="H293" t="s">
        <v>2290</v>
      </c>
      <c r="J293" t="s">
        <v>1392</v>
      </c>
      <c r="K293" t="s">
        <v>56</v>
      </c>
      <c r="L293" s="3">
        <v>47568</v>
      </c>
      <c r="M293" s="3">
        <v>47561</v>
      </c>
      <c r="N293" t="s">
        <v>2291</v>
      </c>
      <c r="O293" s="4">
        <v>1</v>
      </c>
      <c r="P293">
        <v>0</v>
      </c>
      <c r="Q293">
        <v>1</v>
      </c>
    </row>
    <row r="294" spans="1:17" x14ac:dyDescent="0.25">
      <c r="A294">
        <v>35491</v>
      </c>
      <c r="B294" t="s">
        <v>1394</v>
      </c>
      <c r="C294" t="s">
        <v>1395</v>
      </c>
      <c r="D294" s="3">
        <v>35525</v>
      </c>
      <c r="E294" t="s">
        <v>1379</v>
      </c>
      <c r="F294">
        <v>452</v>
      </c>
      <c r="G294" s="3">
        <v>44025</v>
      </c>
      <c r="H294" t="s">
        <v>1396</v>
      </c>
      <c r="I294">
        <v>487773919</v>
      </c>
      <c r="J294" t="s">
        <v>1397</v>
      </c>
      <c r="K294" t="s">
        <v>41</v>
      </c>
      <c r="L294" s="3">
        <v>47610</v>
      </c>
      <c r="M294" s="3">
        <v>47609</v>
      </c>
      <c r="N294" t="s">
        <v>1398</v>
      </c>
      <c r="O294" s="4">
        <v>1</v>
      </c>
      <c r="P294">
        <v>0</v>
      </c>
      <c r="Q294">
        <v>0</v>
      </c>
    </row>
    <row r="295" spans="1:17" x14ac:dyDescent="0.25">
      <c r="A295">
        <v>35490</v>
      </c>
      <c r="B295" t="s">
        <v>3191</v>
      </c>
      <c r="C295" t="s">
        <v>3192</v>
      </c>
      <c r="D295" s="3">
        <v>35139</v>
      </c>
      <c r="E295" t="s">
        <v>1379</v>
      </c>
      <c r="F295">
        <v>10</v>
      </c>
      <c r="G295" s="3">
        <v>44025</v>
      </c>
      <c r="H295" t="s">
        <v>3193</v>
      </c>
      <c r="J295" t="s">
        <v>1392</v>
      </c>
      <c r="K295" t="s">
        <v>50</v>
      </c>
      <c r="L295" s="3">
        <v>47526</v>
      </c>
      <c r="M295" s="3">
        <v>47524</v>
      </c>
      <c r="N295" t="s">
        <v>3194</v>
      </c>
      <c r="O295" s="4">
        <v>1</v>
      </c>
      <c r="P295">
        <v>0</v>
      </c>
      <c r="Q295">
        <v>0</v>
      </c>
    </row>
    <row r="296" spans="1:17" x14ac:dyDescent="0.25">
      <c r="A296">
        <v>35471</v>
      </c>
      <c r="B296" t="s">
        <v>1745</v>
      </c>
      <c r="C296" t="s">
        <v>2851</v>
      </c>
      <c r="D296" s="3">
        <v>18345</v>
      </c>
      <c r="E296" t="s">
        <v>1379</v>
      </c>
      <c r="G296" s="3">
        <v>43993</v>
      </c>
      <c r="J296" t="s">
        <v>1954</v>
      </c>
      <c r="K296" t="s">
        <v>56</v>
      </c>
      <c r="L296" s="3">
        <v>47664</v>
      </c>
      <c r="M296" s="3">
        <v>46186</v>
      </c>
      <c r="N296" t="s">
        <v>2854</v>
      </c>
      <c r="O296" s="4">
        <v>1</v>
      </c>
      <c r="P296">
        <v>0</v>
      </c>
      <c r="Q296">
        <v>0</v>
      </c>
    </row>
    <row r="297" spans="1:17" x14ac:dyDescent="0.25">
      <c r="A297">
        <v>35463</v>
      </c>
      <c r="B297" t="s">
        <v>1555</v>
      </c>
      <c r="C297" t="s">
        <v>1551</v>
      </c>
      <c r="D297" s="3">
        <v>31006</v>
      </c>
      <c r="E297" t="s">
        <v>1379</v>
      </c>
      <c r="F297">
        <v>38</v>
      </c>
      <c r="G297" s="3">
        <v>44025</v>
      </c>
      <c r="H297" t="s">
        <v>1556</v>
      </c>
      <c r="J297" t="s">
        <v>1420</v>
      </c>
      <c r="K297" t="s">
        <v>35</v>
      </c>
      <c r="L297" s="3">
        <v>47610</v>
      </c>
      <c r="M297" s="3">
        <v>47547</v>
      </c>
      <c r="N297" t="s">
        <v>1557</v>
      </c>
      <c r="O297" s="4">
        <v>1</v>
      </c>
      <c r="P297">
        <v>0</v>
      </c>
      <c r="Q297">
        <v>0</v>
      </c>
    </row>
    <row r="298" spans="1:17" x14ac:dyDescent="0.25">
      <c r="A298">
        <v>35450</v>
      </c>
      <c r="B298" t="s">
        <v>2706</v>
      </c>
      <c r="C298" t="s">
        <v>2707</v>
      </c>
      <c r="D298" s="3">
        <v>30458</v>
      </c>
      <c r="E298" t="s">
        <v>1379</v>
      </c>
      <c r="F298">
        <v>400</v>
      </c>
      <c r="G298" s="3">
        <v>43997</v>
      </c>
      <c r="H298" t="s">
        <v>2708</v>
      </c>
      <c r="J298" t="s">
        <v>1425</v>
      </c>
      <c r="K298" t="s">
        <v>53</v>
      </c>
      <c r="L298" s="3">
        <v>47581</v>
      </c>
      <c r="M298" s="3">
        <v>47533</v>
      </c>
      <c r="N298" t="s">
        <v>2709</v>
      </c>
      <c r="O298" s="4">
        <v>1</v>
      </c>
      <c r="P298">
        <v>0</v>
      </c>
      <c r="Q298">
        <v>0</v>
      </c>
    </row>
    <row r="299" spans="1:17" x14ac:dyDescent="0.25">
      <c r="A299">
        <v>35434</v>
      </c>
      <c r="B299" t="s">
        <v>3299</v>
      </c>
      <c r="C299" t="s">
        <v>3300</v>
      </c>
      <c r="D299" s="3">
        <v>29155</v>
      </c>
      <c r="E299" t="s">
        <v>1379</v>
      </c>
      <c r="F299">
        <v>426</v>
      </c>
      <c r="G299" s="3">
        <v>44081</v>
      </c>
      <c r="H299" t="s">
        <v>3301</v>
      </c>
      <c r="J299" t="s">
        <v>1420</v>
      </c>
      <c r="K299" t="s">
        <v>35</v>
      </c>
      <c r="L299" s="3">
        <v>47435</v>
      </c>
      <c r="M299" s="3">
        <v>46646</v>
      </c>
      <c r="N299" t="s">
        <v>3302</v>
      </c>
      <c r="O299" s="4">
        <v>1</v>
      </c>
      <c r="P299">
        <v>0</v>
      </c>
      <c r="Q299">
        <v>1</v>
      </c>
    </row>
    <row r="300" spans="1:17" x14ac:dyDescent="0.25">
      <c r="A300">
        <v>35430</v>
      </c>
      <c r="B300" t="s">
        <v>3022</v>
      </c>
      <c r="C300" t="s">
        <v>3016</v>
      </c>
      <c r="D300" s="3">
        <v>22829</v>
      </c>
      <c r="E300" t="s">
        <v>1379</v>
      </c>
      <c r="F300">
        <v>28</v>
      </c>
      <c r="G300" s="3">
        <v>44011</v>
      </c>
      <c r="H300" t="s">
        <v>3023</v>
      </c>
      <c r="J300" t="s">
        <v>1392</v>
      </c>
      <c r="K300" t="s">
        <v>41</v>
      </c>
      <c r="L300" s="3">
        <v>47587</v>
      </c>
      <c r="M300" s="3">
        <v>47568</v>
      </c>
      <c r="N300" t="s">
        <v>3024</v>
      </c>
      <c r="O300" s="4">
        <v>0.5</v>
      </c>
      <c r="P300">
        <v>1</v>
      </c>
      <c r="Q300">
        <v>1</v>
      </c>
    </row>
    <row r="301" spans="1:17" x14ac:dyDescent="0.25">
      <c r="A301">
        <v>35419</v>
      </c>
      <c r="B301" t="s">
        <v>3059</v>
      </c>
      <c r="C301" t="s">
        <v>3056</v>
      </c>
      <c r="D301" s="3">
        <v>28965</v>
      </c>
      <c r="E301" t="s">
        <v>1379</v>
      </c>
      <c r="F301">
        <v>95</v>
      </c>
      <c r="G301" s="3">
        <v>44011</v>
      </c>
      <c r="H301" t="s">
        <v>3060</v>
      </c>
      <c r="I301">
        <v>0</v>
      </c>
      <c r="J301" t="s">
        <v>1411</v>
      </c>
      <c r="K301" t="s">
        <v>56</v>
      </c>
      <c r="L301" s="3">
        <v>47498</v>
      </c>
      <c r="M301" s="3">
        <v>47126</v>
      </c>
      <c r="N301" t="s">
        <v>3061</v>
      </c>
      <c r="O301" s="4">
        <v>1</v>
      </c>
      <c r="P301">
        <v>0</v>
      </c>
      <c r="Q301">
        <v>0</v>
      </c>
    </row>
    <row r="302" spans="1:17" x14ac:dyDescent="0.25">
      <c r="A302">
        <v>35414</v>
      </c>
      <c r="B302" t="s">
        <v>3199</v>
      </c>
      <c r="C302" t="s">
        <v>3200</v>
      </c>
      <c r="D302" s="3">
        <v>31067</v>
      </c>
      <c r="E302" t="s">
        <v>1379</v>
      </c>
      <c r="F302">
        <v>324</v>
      </c>
      <c r="G302" s="3">
        <v>44039</v>
      </c>
      <c r="H302" t="s">
        <v>3201</v>
      </c>
      <c r="J302" t="s">
        <v>1387</v>
      </c>
      <c r="K302" t="s">
        <v>50</v>
      </c>
      <c r="L302" s="3">
        <v>47393</v>
      </c>
      <c r="M302" s="3">
        <v>47351</v>
      </c>
      <c r="N302" t="s">
        <v>3202</v>
      </c>
      <c r="O302" s="4">
        <v>1</v>
      </c>
      <c r="P302">
        <v>0</v>
      </c>
      <c r="Q302">
        <v>0</v>
      </c>
    </row>
    <row r="303" spans="1:17" x14ac:dyDescent="0.25">
      <c r="A303">
        <v>35397</v>
      </c>
      <c r="B303" t="s">
        <v>3408</v>
      </c>
      <c r="C303" t="s">
        <v>3409</v>
      </c>
      <c r="D303" s="3">
        <v>30513</v>
      </c>
      <c r="E303" t="s">
        <v>1379</v>
      </c>
      <c r="F303">
        <v>387</v>
      </c>
      <c r="G303" s="3">
        <v>43984</v>
      </c>
      <c r="H303" t="s">
        <v>3410</v>
      </c>
      <c r="I303">
        <v>92567935</v>
      </c>
      <c r="J303" t="s">
        <v>1420</v>
      </c>
      <c r="K303" t="s">
        <v>56</v>
      </c>
      <c r="L303" s="3">
        <v>47450</v>
      </c>
      <c r="M303" s="3">
        <v>47441</v>
      </c>
      <c r="N303" t="s">
        <v>3411</v>
      </c>
      <c r="O303" s="4">
        <v>1</v>
      </c>
      <c r="P303">
        <v>0</v>
      </c>
      <c r="Q303">
        <v>1</v>
      </c>
    </row>
    <row r="304" spans="1:17" x14ac:dyDescent="0.25">
      <c r="A304">
        <v>35395</v>
      </c>
      <c r="B304" t="s">
        <v>2745</v>
      </c>
      <c r="C304" t="s">
        <v>2746</v>
      </c>
      <c r="D304" s="3">
        <v>28038</v>
      </c>
      <c r="E304" t="s">
        <v>1379</v>
      </c>
      <c r="F304">
        <v>335</v>
      </c>
      <c r="G304" s="3">
        <v>43980</v>
      </c>
      <c r="H304" t="s">
        <v>2747</v>
      </c>
      <c r="J304" t="s">
        <v>1588</v>
      </c>
      <c r="K304" t="s">
        <v>50</v>
      </c>
      <c r="L304" s="3">
        <v>73050</v>
      </c>
      <c r="M304" s="3">
        <v>47460</v>
      </c>
      <c r="N304" t="s">
        <v>2748</v>
      </c>
      <c r="O304" s="4">
        <v>0.8</v>
      </c>
      <c r="P304">
        <v>0</v>
      </c>
      <c r="Q304">
        <v>1</v>
      </c>
    </row>
    <row r="305" spans="1:17" x14ac:dyDescent="0.25">
      <c r="A305">
        <v>35379</v>
      </c>
      <c r="B305" t="s">
        <v>1491</v>
      </c>
      <c r="C305" t="s">
        <v>1767</v>
      </c>
      <c r="D305" s="3">
        <v>27962</v>
      </c>
      <c r="E305" t="s">
        <v>1379</v>
      </c>
      <c r="F305">
        <v>350</v>
      </c>
      <c r="G305" s="3">
        <v>43969</v>
      </c>
      <c r="H305" t="s">
        <v>1768</v>
      </c>
      <c r="J305" t="s">
        <v>1425</v>
      </c>
      <c r="K305" t="s">
        <v>41</v>
      </c>
      <c r="L305" s="3">
        <v>47485</v>
      </c>
      <c r="M305" s="3">
        <v>47441</v>
      </c>
      <c r="N305" t="s">
        <v>1769</v>
      </c>
      <c r="O305" s="4">
        <v>1</v>
      </c>
      <c r="P305">
        <v>0</v>
      </c>
      <c r="Q305">
        <v>1</v>
      </c>
    </row>
    <row r="306" spans="1:17" x14ac:dyDescent="0.25">
      <c r="A306">
        <v>35334</v>
      </c>
      <c r="B306" t="s">
        <v>2237</v>
      </c>
      <c r="C306" t="s">
        <v>2238</v>
      </c>
      <c r="D306" s="3">
        <v>33578</v>
      </c>
      <c r="E306" t="s">
        <v>1379</v>
      </c>
      <c r="F306">
        <v>114</v>
      </c>
      <c r="G306" s="3">
        <v>43944</v>
      </c>
      <c r="H306" t="s">
        <v>2239</v>
      </c>
      <c r="I306">
        <v>92788949</v>
      </c>
      <c r="J306" t="s">
        <v>1438</v>
      </c>
      <c r="K306" t="s">
        <v>41</v>
      </c>
      <c r="L306" s="3">
        <v>46384</v>
      </c>
      <c r="M306" s="3">
        <v>46378</v>
      </c>
      <c r="N306" t="s">
        <v>2240</v>
      </c>
      <c r="O306" s="4">
        <v>1</v>
      </c>
      <c r="P306">
        <v>0</v>
      </c>
      <c r="Q306">
        <v>1</v>
      </c>
    </row>
    <row r="307" spans="1:17" x14ac:dyDescent="0.25">
      <c r="A307">
        <v>35246</v>
      </c>
      <c r="B307" t="s">
        <v>1255</v>
      </c>
      <c r="C307" t="s">
        <v>2517</v>
      </c>
      <c r="D307" s="3">
        <v>25938</v>
      </c>
      <c r="E307" t="s">
        <v>1379</v>
      </c>
      <c r="F307">
        <v>160</v>
      </c>
      <c r="G307" s="3">
        <v>43906</v>
      </c>
      <c r="H307" t="s">
        <v>2518</v>
      </c>
      <c r="J307" t="s">
        <v>1438</v>
      </c>
      <c r="K307" t="s">
        <v>41</v>
      </c>
      <c r="L307" s="3">
        <v>47517</v>
      </c>
      <c r="M307" s="3">
        <v>47441</v>
      </c>
      <c r="N307" t="s">
        <v>2519</v>
      </c>
      <c r="O307" s="4">
        <v>1</v>
      </c>
      <c r="P307">
        <v>0</v>
      </c>
      <c r="Q307">
        <v>1</v>
      </c>
    </row>
    <row r="308" spans="1:17" x14ac:dyDescent="0.25">
      <c r="A308">
        <v>35220</v>
      </c>
      <c r="B308" t="s">
        <v>3418</v>
      </c>
      <c r="C308" t="s">
        <v>3419</v>
      </c>
      <c r="D308" s="3">
        <v>32543</v>
      </c>
      <c r="E308" t="s">
        <v>1379</v>
      </c>
      <c r="G308" s="3">
        <v>43906</v>
      </c>
      <c r="H308" t="s">
        <v>3420</v>
      </c>
      <c r="I308" t="s">
        <v>3421</v>
      </c>
      <c r="J308" t="s">
        <v>1392</v>
      </c>
      <c r="K308" t="s">
        <v>56</v>
      </c>
      <c r="L308" s="3">
        <v>47504</v>
      </c>
      <c r="M308" s="3">
        <v>47460</v>
      </c>
      <c r="N308" t="s">
        <v>3422</v>
      </c>
      <c r="O308" s="4">
        <v>1</v>
      </c>
      <c r="P308">
        <v>0</v>
      </c>
      <c r="Q308">
        <v>1</v>
      </c>
    </row>
    <row r="309" spans="1:17" x14ac:dyDescent="0.25">
      <c r="A309">
        <v>35216</v>
      </c>
      <c r="B309" t="s">
        <v>2220</v>
      </c>
      <c r="C309" t="s">
        <v>2221</v>
      </c>
      <c r="D309" s="3">
        <v>36459</v>
      </c>
      <c r="E309" t="s">
        <v>1379</v>
      </c>
      <c r="F309">
        <v>421</v>
      </c>
      <c r="G309" s="3">
        <v>43892</v>
      </c>
      <c r="H309" t="s">
        <v>2222</v>
      </c>
      <c r="J309" t="s">
        <v>1420</v>
      </c>
      <c r="K309" t="s">
        <v>56</v>
      </c>
      <c r="L309" s="3">
        <v>47611</v>
      </c>
      <c r="M309" s="3">
        <v>47441</v>
      </c>
      <c r="N309" t="s">
        <v>2223</v>
      </c>
      <c r="O309" s="4">
        <v>1</v>
      </c>
      <c r="P309">
        <v>0</v>
      </c>
      <c r="Q309">
        <v>1</v>
      </c>
    </row>
    <row r="310" spans="1:17" x14ac:dyDescent="0.25">
      <c r="A310">
        <v>35187</v>
      </c>
      <c r="B310" t="s">
        <v>2937</v>
      </c>
      <c r="C310" t="s">
        <v>2932</v>
      </c>
      <c r="D310" s="3">
        <v>19500</v>
      </c>
      <c r="E310" t="s">
        <v>1379</v>
      </c>
      <c r="G310" s="3">
        <v>43891</v>
      </c>
      <c r="H310" t="s">
        <v>2938</v>
      </c>
      <c r="J310" t="s">
        <v>1954</v>
      </c>
      <c r="K310" t="s">
        <v>56</v>
      </c>
      <c r="L310" s="3">
        <v>1</v>
      </c>
      <c r="M310" s="3">
        <v>1</v>
      </c>
      <c r="N310" t="s">
        <v>2939</v>
      </c>
      <c r="O310" s="4">
        <v>1</v>
      </c>
      <c r="P310">
        <v>0</v>
      </c>
      <c r="Q310">
        <v>0</v>
      </c>
    </row>
    <row r="311" spans="1:17" x14ac:dyDescent="0.25">
      <c r="A311">
        <v>35120</v>
      </c>
      <c r="B311" t="s">
        <v>3109</v>
      </c>
      <c r="C311" t="s">
        <v>3106</v>
      </c>
      <c r="D311" s="3">
        <v>32582</v>
      </c>
      <c r="E311" t="s">
        <v>1379</v>
      </c>
      <c r="F311">
        <v>480</v>
      </c>
      <c r="G311" s="3">
        <v>43878</v>
      </c>
      <c r="H311" t="s">
        <v>3110</v>
      </c>
      <c r="I311">
        <v>494132438</v>
      </c>
      <c r="J311" t="s">
        <v>1438</v>
      </c>
      <c r="K311" t="s">
        <v>53</v>
      </c>
      <c r="L311" s="3">
        <v>47461</v>
      </c>
      <c r="M311" s="3">
        <v>47460</v>
      </c>
      <c r="N311" t="s">
        <v>3111</v>
      </c>
      <c r="O311" s="4">
        <v>1</v>
      </c>
      <c r="P311">
        <v>0</v>
      </c>
      <c r="Q311">
        <v>1</v>
      </c>
    </row>
    <row r="312" spans="1:17" x14ac:dyDescent="0.25">
      <c r="A312">
        <v>35107</v>
      </c>
      <c r="B312" t="s">
        <v>2996</v>
      </c>
      <c r="C312" t="s">
        <v>1326</v>
      </c>
      <c r="D312" s="3">
        <v>26227</v>
      </c>
      <c r="E312" t="s">
        <v>1379</v>
      </c>
      <c r="F312">
        <v>311</v>
      </c>
      <c r="G312" s="3">
        <v>43864</v>
      </c>
      <c r="H312" t="s">
        <v>2997</v>
      </c>
      <c r="J312" t="s">
        <v>1392</v>
      </c>
      <c r="K312" t="s">
        <v>38</v>
      </c>
      <c r="L312" s="3">
        <v>47485</v>
      </c>
      <c r="M312" s="3">
        <v>47441</v>
      </c>
      <c r="N312" t="s">
        <v>2998</v>
      </c>
      <c r="O312" s="4">
        <v>0.5</v>
      </c>
      <c r="P312">
        <v>0</v>
      </c>
      <c r="Q312">
        <v>0</v>
      </c>
    </row>
    <row r="313" spans="1:17" x14ac:dyDescent="0.25">
      <c r="A313">
        <v>35055</v>
      </c>
      <c r="B313" t="s">
        <v>3442</v>
      </c>
      <c r="C313" t="s">
        <v>3443</v>
      </c>
      <c r="D313" s="3">
        <v>36273</v>
      </c>
      <c r="E313" t="s">
        <v>1379</v>
      </c>
      <c r="F313">
        <v>405</v>
      </c>
      <c r="G313" s="3">
        <v>43864</v>
      </c>
      <c r="H313" t="s">
        <v>3444</v>
      </c>
      <c r="J313" t="s">
        <v>1392</v>
      </c>
      <c r="K313" t="s">
        <v>41</v>
      </c>
      <c r="L313" s="3">
        <v>47470</v>
      </c>
      <c r="M313" s="3">
        <v>47460</v>
      </c>
      <c r="N313" t="s">
        <v>3445</v>
      </c>
      <c r="O313" s="4">
        <v>1</v>
      </c>
      <c r="P313">
        <v>0</v>
      </c>
      <c r="Q313">
        <v>1</v>
      </c>
    </row>
    <row r="314" spans="1:17" x14ac:dyDescent="0.25">
      <c r="A314">
        <v>35030</v>
      </c>
      <c r="B314" t="s">
        <v>1471</v>
      </c>
      <c r="C314" t="s">
        <v>1453</v>
      </c>
      <c r="D314" s="3">
        <v>25785</v>
      </c>
      <c r="E314" t="s">
        <v>1379</v>
      </c>
      <c r="F314">
        <v>465</v>
      </c>
      <c r="G314" s="3">
        <v>43892</v>
      </c>
      <c r="H314" t="s">
        <v>1472</v>
      </c>
      <c r="J314" t="s">
        <v>1387</v>
      </c>
      <c r="K314" t="s">
        <v>56</v>
      </c>
      <c r="L314" s="3">
        <v>47411</v>
      </c>
      <c r="M314" s="3">
        <v>47342</v>
      </c>
      <c r="N314" t="s">
        <v>1473</v>
      </c>
      <c r="O314" s="4">
        <v>1</v>
      </c>
      <c r="P314">
        <v>0</v>
      </c>
      <c r="Q314">
        <v>0</v>
      </c>
    </row>
    <row r="315" spans="1:17" x14ac:dyDescent="0.25">
      <c r="A315">
        <v>35026</v>
      </c>
      <c r="B315" t="s">
        <v>1821</v>
      </c>
      <c r="C315" t="s">
        <v>1822</v>
      </c>
      <c r="D315" s="3">
        <v>32327</v>
      </c>
      <c r="E315" t="s">
        <v>1379</v>
      </c>
      <c r="F315">
        <v>399</v>
      </c>
      <c r="G315" s="3">
        <v>43850</v>
      </c>
      <c r="H315" t="s">
        <v>1823</v>
      </c>
      <c r="J315" t="s">
        <v>1438</v>
      </c>
      <c r="K315" t="s">
        <v>50</v>
      </c>
      <c r="L315" s="3">
        <v>47434</v>
      </c>
      <c r="M315" s="3">
        <v>47377</v>
      </c>
      <c r="N315" t="s">
        <v>1824</v>
      </c>
      <c r="O315" s="4">
        <v>0.8</v>
      </c>
      <c r="P315">
        <v>0</v>
      </c>
      <c r="Q315">
        <v>0</v>
      </c>
    </row>
    <row r="316" spans="1:17" x14ac:dyDescent="0.25">
      <c r="A316">
        <v>35006</v>
      </c>
      <c r="B316" t="s">
        <v>1407</v>
      </c>
      <c r="C316" t="s">
        <v>1408</v>
      </c>
      <c r="D316" s="3">
        <v>30614</v>
      </c>
      <c r="E316" t="s">
        <v>1379</v>
      </c>
      <c r="F316">
        <v>469</v>
      </c>
      <c r="G316" s="3">
        <v>43906</v>
      </c>
      <c r="H316" t="s">
        <v>1409</v>
      </c>
      <c r="I316" t="s">
        <v>1410</v>
      </c>
      <c r="J316" t="s">
        <v>1411</v>
      </c>
      <c r="K316" t="s">
        <v>47</v>
      </c>
      <c r="L316" s="3">
        <v>47380</v>
      </c>
      <c r="M316" s="3">
        <v>47351</v>
      </c>
      <c r="N316" t="s">
        <v>1412</v>
      </c>
      <c r="O316" s="4">
        <v>1</v>
      </c>
      <c r="P316">
        <v>0</v>
      </c>
      <c r="Q316">
        <v>1</v>
      </c>
    </row>
    <row r="317" spans="1:17" x14ac:dyDescent="0.25">
      <c r="A317">
        <v>35005</v>
      </c>
      <c r="B317" t="s">
        <v>2103</v>
      </c>
      <c r="C317" t="s">
        <v>2094</v>
      </c>
      <c r="D317" s="3">
        <v>31020</v>
      </c>
      <c r="E317" t="s">
        <v>1379</v>
      </c>
      <c r="F317">
        <v>450</v>
      </c>
      <c r="G317" s="3">
        <v>43850</v>
      </c>
      <c r="H317" t="s">
        <v>2104</v>
      </c>
      <c r="J317" t="s">
        <v>1438</v>
      </c>
      <c r="K317" t="s">
        <v>38</v>
      </c>
      <c r="L317" s="3">
        <v>47239</v>
      </c>
      <c r="M317" s="3">
        <v>47237</v>
      </c>
      <c r="N317" t="s">
        <v>2105</v>
      </c>
      <c r="O317" s="4">
        <v>1</v>
      </c>
      <c r="P317">
        <v>0</v>
      </c>
      <c r="Q317">
        <v>1</v>
      </c>
    </row>
    <row r="318" spans="1:17" x14ac:dyDescent="0.25">
      <c r="A318">
        <v>34890</v>
      </c>
      <c r="B318" t="s">
        <v>1558</v>
      </c>
      <c r="C318" t="s">
        <v>1551</v>
      </c>
      <c r="D318" s="3">
        <v>31820</v>
      </c>
      <c r="E318" t="s">
        <v>1379</v>
      </c>
      <c r="F318">
        <v>365</v>
      </c>
      <c r="G318" s="3">
        <v>43808</v>
      </c>
      <c r="H318" t="s">
        <v>1559</v>
      </c>
      <c r="I318">
        <v>487367392</v>
      </c>
      <c r="K318" t="s">
        <v>38</v>
      </c>
      <c r="L318" s="3">
        <v>46251</v>
      </c>
      <c r="M318" s="3">
        <v>47413</v>
      </c>
      <c r="N318" t="s">
        <v>1560</v>
      </c>
      <c r="O318" s="4">
        <v>1</v>
      </c>
      <c r="P318">
        <v>0</v>
      </c>
      <c r="Q318">
        <v>1</v>
      </c>
    </row>
    <row r="319" spans="1:17" x14ac:dyDescent="0.25">
      <c r="A319">
        <v>34664</v>
      </c>
      <c r="B319" t="s">
        <v>2466</v>
      </c>
      <c r="C319" t="s">
        <v>2463</v>
      </c>
      <c r="D319" s="3">
        <v>34283</v>
      </c>
      <c r="E319" t="s">
        <v>1379</v>
      </c>
      <c r="F319">
        <v>158</v>
      </c>
      <c r="G319" s="3">
        <v>43781</v>
      </c>
      <c r="H319" t="s">
        <v>2467</v>
      </c>
      <c r="J319" t="s">
        <v>1420</v>
      </c>
      <c r="K319" t="s">
        <v>50</v>
      </c>
      <c r="L319" s="3">
        <v>47357</v>
      </c>
      <c r="M319" s="3">
        <v>47357</v>
      </c>
      <c r="N319" t="s">
        <v>2468</v>
      </c>
      <c r="O319" s="4">
        <v>1</v>
      </c>
      <c r="P319">
        <v>0</v>
      </c>
      <c r="Q319">
        <v>1</v>
      </c>
    </row>
    <row r="320" spans="1:17" x14ac:dyDescent="0.25">
      <c r="A320">
        <v>34445</v>
      </c>
      <c r="B320" t="s">
        <v>2683</v>
      </c>
      <c r="C320" t="s">
        <v>2684</v>
      </c>
      <c r="D320" s="3">
        <v>34663</v>
      </c>
      <c r="E320" t="s">
        <v>1379</v>
      </c>
      <c r="F320">
        <v>132</v>
      </c>
      <c r="G320" s="3">
        <v>43752</v>
      </c>
      <c r="H320" t="s">
        <v>2685</v>
      </c>
      <c r="I320">
        <v>498707898</v>
      </c>
      <c r="J320" t="s">
        <v>1588</v>
      </c>
      <c r="K320" t="s">
        <v>35</v>
      </c>
      <c r="L320" s="3">
        <v>47274</v>
      </c>
      <c r="M320" s="3">
        <v>47237</v>
      </c>
      <c r="N320" t="s">
        <v>2686</v>
      </c>
      <c r="O320" s="4">
        <v>1</v>
      </c>
      <c r="P320">
        <v>0</v>
      </c>
      <c r="Q320">
        <v>1</v>
      </c>
    </row>
    <row r="321" spans="1:17" x14ac:dyDescent="0.25">
      <c r="A321">
        <v>34351</v>
      </c>
      <c r="B321" t="s">
        <v>3038</v>
      </c>
      <c r="C321" t="s">
        <v>3039</v>
      </c>
      <c r="D321" s="3">
        <v>30411</v>
      </c>
      <c r="E321" t="s">
        <v>1379</v>
      </c>
      <c r="F321">
        <v>11</v>
      </c>
      <c r="G321" s="3">
        <v>43710</v>
      </c>
      <c r="H321" t="s">
        <v>3040</v>
      </c>
      <c r="I321">
        <v>468493588</v>
      </c>
      <c r="J321" t="s">
        <v>1397</v>
      </c>
      <c r="K321" t="s">
        <v>41</v>
      </c>
      <c r="L321" s="3">
        <v>47337</v>
      </c>
      <c r="M321" s="3">
        <v>47316</v>
      </c>
      <c r="N321" t="s">
        <v>3041</v>
      </c>
      <c r="O321" s="4">
        <v>1</v>
      </c>
      <c r="P321">
        <v>0</v>
      </c>
      <c r="Q321">
        <v>1</v>
      </c>
    </row>
    <row r="322" spans="1:17" x14ac:dyDescent="0.25">
      <c r="A322">
        <v>34328</v>
      </c>
      <c r="B322" t="s">
        <v>2531</v>
      </c>
      <c r="C322" t="s">
        <v>2532</v>
      </c>
      <c r="D322" s="3">
        <v>27707</v>
      </c>
      <c r="E322" t="s">
        <v>1379</v>
      </c>
      <c r="F322">
        <v>445</v>
      </c>
      <c r="G322" s="3">
        <v>43710</v>
      </c>
      <c r="H322" t="s">
        <v>2533</v>
      </c>
      <c r="I322">
        <v>32496141860</v>
      </c>
      <c r="J322" t="s">
        <v>1459</v>
      </c>
      <c r="K322" t="s">
        <v>47</v>
      </c>
      <c r="L322" s="3">
        <v>48784</v>
      </c>
      <c r="M322" s="3">
        <v>46892</v>
      </c>
      <c r="N322" t="s">
        <v>2534</v>
      </c>
      <c r="O322" s="4">
        <v>1</v>
      </c>
      <c r="P322">
        <v>0</v>
      </c>
      <c r="Q322">
        <v>1</v>
      </c>
    </row>
    <row r="323" spans="1:17" x14ac:dyDescent="0.25">
      <c r="A323">
        <v>34325</v>
      </c>
      <c r="B323" t="s">
        <v>2249</v>
      </c>
      <c r="C323" t="s">
        <v>2250</v>
      </c>
      <c r="D323" s="3">
        <v>30816</v>
      </c>
      <c r="E323" t="s">
        <v>1379</v>
      </c>
      <c r="G323" s="3">
        <v>43710</v>
      </c>
      <c r="H323" t="s">
        <v>2251</v>
      </c>
      <c r="J323" t="s">
        <v>1392</v>
      </c>
      <c r="K323" t="s">
        <v>50</v>
      </c>
      <c r="L323" s="3">
        <v>47267</v>
      </c>
      <c r="M323" s="3">
        <v>47216</v>
      </c>
      <c r="N323" t="s">
        <v>2252</v>
      </c>
      <c r="O323" s="4">
        <v>1</v>
      </c>
      <c r="P323">
        <v>0</v>
      </c>
      <c r="Q323">
        <v>0</v>
      </c>
    </row>
    <row r="324" spans="1:17" x14ac:dyDescent="0.25">
      <c r="A324">
        <v>34312</v>
      </c>
      <c r="B324" t="s">
        <v>2766</v>
      </c>
      <c r="C324" t="s">
        <v>2767</v>
      </c>
      <c r="D324" s="3">
        <v>34089</v>
      </c>
      <c r="E324" t="s">
        <v>1379</v>
      </c>
      <c r="F324">
        <v>351</v>
      </c>
      <c r="G324" s="3">
        <v>43710</v>
      </c>
      <c r="H324" t="s">
        <v>2768</v>
      </c>
      <c r="I324">
        <v>488372246</v>
      </c>
      <c r="J324" t="s">
        <v>1420</v>
      </c>
      <c r="K324" t="s">
        <v>50</v>
      </c>
      <c r="L324" s="3">
        <v>47281</v>
      </c>
      <c r="M324" s="3">
        <v>47267</v>
      </c>
      <c r="N324" t="s">
        <v>2769</v>
      </c>
      <c r="O324" s="4">
        <v>1</v>
      </c>
      <c r="P324">
        <v>0</v>
      </c>
      <c r="Q324">
        <v>1</v>
      </c>
    </row>
    <row r="325" spans="1:17" x14ac:dyDescent="0.25">
      <c r="A325">
        <v>34286</v>
      </c>
      <c r="B325" t="s">
        <v>2141</v>
      </c>
      <c r="C325" t="s">
        <v>2142</v>
      </c>
      <c r="D325" s="3">
        <v>31192</v>
      </c>
      <c r="E325" t="s">
        <v>1379</v>
      </c>
      <c r="F325">
        <v>385</v>
      </c>
      <c r="G325" s="3">
        <v>43724</v>
      </c>
      <c r="H325" t="s">
        <v>2143</v>
      </c>
      <c r="I325">
        <v>485827666</v>
      </c>
      <c r="J325" t="s">
        <v>1420</v>
      </c>
      <c r="K325" t="s">
        <v>50</v>
      </c>
      <c r="L325" s="3">
        <v>47280</v>
      </c>
      <c r="M325" s="3">
        <v>47216</v>
      </c>
      <c r="N325" t="s">
        <v>2144</v>
      </c>
      <c r="O325" s="4">
        <v>1</v>
      </c>
      <c r="P325">
        <v>0</v>
      </c>
      <c r="Q325">
        <v>0</v>
      </c>
    </row>
    <row r="326" spans="1:17" x14ac:dyDescent="0.25">
      <c r="A326">
        <v>34198</v>
      </c>
      <c r="B326" t="s">
        <v>1575</v>
      </c>
      <c r="C326" t="s">
        <v>1576</v>
      </c>
      <c r="D326" s="3">
        <v>34236</v>
      </c>
      <c r="E326" t="s">
        <v>1379</v>
      </c>
      <c r="F326">
        <v>103</v>
      </c>
      <c r="G326" s="3">
        <v>43669</v>
      </c>
      <c r="H326" t="s">
        <v>1577</v>
      </c>
      <c r="I326">
        <v>32478510138</v>
      </c>
      <c r="J326" t="s">
        <v>1392</v>
      </c>
      <c r="K326" t="s">
        <v>41</v>
      </c>
      <c r="L326" s="3">
        <v>47267</v>
      </c>
      <c r="M326" s="3">
        <v>47170</v>
      </c>
      <c r="N326" t="s">
        <v>1578</v>
      </c>
      <c r="O326" s="4">
        <v>0.8</v>
      </c>
      <c r="P326">
        <v>0</v>
      </c>
      <c r="Q326">
        <v>0</v>
      </c>
    </row>
    <row r="327" spans="1:17" x14ac:dyDescent="0.25">
      <c r="A327">
        <v>34044</v>
      </c>
      <c r="B327" t="s">
        <v>2457</v>
      </c>
      <c r="C327" t="s">
        <v>2454</v>
      </c>
      <c r="D327" s="3">
        <v>34969</v>
      </c>
      <c r="E327" t="s">
        <v>1379</v>
      </c>
      <c r="F327">
        <v>300</v>
      </c>
      <c r="G327" s="3">
        <v>43640</v>
      </c>
      <c r="H327" t="s">
        <v>2458</v>
      </c>
      <c r="I327">
        <v>494587601</v>
      </c>
      <c r="J327" t="s">
        <v>1463</v>
      </c>
      <c r="K327" t="s">
        <v>44</v>
      </c>
      <c r="L327" s="3">
        <v>47215</v>
      </c>
      <c r="M327" s="3">
        <v>47170</v>
      </c>
      <c r="N327" t="s">
        <v>2459</v>
      </c>
      <c r="O327" s="4">
        <v>1</v>
      </c>
      <c r="P327">
        <v>0</v>
      </c>
      <c r="Q327">
        <v>0</v>
      </c>
    </row>
    <row r="328" spans="1:17" x14ac:dyDescent="0.25">
      <c r="A328">
        <v>34019</v>
      </c>
      <c r="B328" t="s">
        <v>1561</v>
      </c>
      <c r="C328" t="s">
        <v>1551</v>
      </c>
      <c r="D328" s="3">
        <v>31359</v>
      </c>
      <c r="E328" t="s">
        <v>1379</v>
      </c>
      <c r="F328">
        <v>329</v>
      </c>
      <c r="G328" s="3">
        <v>43627</v>
      </c>
      <c r="H328" t="s">
        <v>1562</v>
      </c>
      <c r="I328">
        <v>495418640</v>
      </c>
      <c r="J328" t="s">
        <v>1463</v>
      </c>
      <c r="K328" t="s">
        <v>44</v>
      </c>
      <c r="L328" s="3">
        <v>47051</v>
      </c>
      <c r="M328" s="3">
        <v>47044</v>
      </c>
      <c r="N328" t="s">
        <v>1563</v>
      </c>
      <c r="O328" s="4">
        <v>1</v>
      </c>
      <c r="P328">
        <v>0</v>
      </c>
      <c r="Q328">
        <v>1</v>
      </c>
    </row>
    <row r="329" spans="1:17" x14ac:dyDescent="0.25">
      <c r="A329">
        <v>33986</v>
      </c>
      <c r="B329" t="s">
        <v>2125</v>
      </c>
      <c r="C329" t="s">
        <v>2126</v>
      </c>
      <c r="D329" s="3">
        <v>31149</v>
      </c>
      <c r="E329" t="s">
        <v>1379</v>
      </c>
      <c r="F329">
        <v>163</v>
      </c>
      <c r="G329" s="3">
        <v>43605</v>
      </c>
      <c r="H329" t="s">
        <v>2127</v>
      </c>
      <c r="J329" t="s">
        <v>1411</v>
      </c>
      <c r="K329" t="s">
        <v>47</v>
      </c>
      <c r="L329" s="3">
        <v>47162</v>
      </c>
      <c r="M329" s="3">
        <v>47126</v>
      </c>
      <c r="N329" t="s">
        <v>2128</v>
      </c>
      <c r="O329" s="4">
        <v>0.8</v>
      </c>
      <c r="P329">
        <v>0</v>
      </c>
      <c r="Q329">
        <v>1</v>
      </c>
    </row>
    <row r="330" spans="1:17" x14ac:dyDescent="0.25">
      <c r="A330">
        <v>33982</v>
      </c>
      <c r="B330" t="s">
        <v>1586</v>
      </c>
      <c r="C330" t="s">
        <v>1349</v>
      </c>
      <c r="D330" s="3">
        <v>30017</v>
      </c>
      <c r="E330" t="s">
        <v>1379</v>
      </c>
      <c r="F330">
        <v>215</v>
      </c>
      <c r="G330" s="3">
        <v>43605</v>
      </c>
      <c r="H330" t="s">
        <v>1587</v>
      </c>
      <c r="J330" t="s">
        <v>1588</v>
      </c>
      <c r="K330" t="s">
        <v>53</v>
      </c>
      <c r="L330" s="3">
        <v>47229</v>
      </c>
      <c r="M330" s="3">
        <v>47170</v>
      </c>
      <c r="N330" t="s">
        <v>1589</v>
      </c>
      <c r="O330" s="4">
        <v>0.8</v>
      </c>
      <c r="P330">
        <v>0</v>
      </c>
      <c r="Q330">
        <v>0</v>
      </c>
    </row>
    <row r="331" spans="1:17" x14ac:dyDescent="0.25">
      <c r="A331">
        <v>33965</v>
      </c>
      <c r="B331" t="s">
        <v>2804</v>
      </c>
      <c r="C331" t="s">
        <v>2805</v>
      </c>
      <c r="D331" s="3">
        <v>34310</v>
      </c>
      <c r="E331" t="s">
        <v>1379</v>
      </c>
      <c r="G331" s="3">
        <v>43605</v>
      </c>
      <c r="H331" t="s">
        <v>2806</v>
      </c>
      <c r="I331">
        <v>471897684</v>
      </c>
      <c r="J331" t="s">
        <v>1438</v>
      </c>
      <c r="K331" t="s">
        <v>47</v>
      </c>
      <c r="L331" s="3">
        <v>47202</v>
      </c>
      <c r="M331" s="3">
        <v>47170</v>
      </c>
      <c r="N331" t="s">
        <v>2807</v>
      </c>
      <c r="O331" s="4">
        <v>1</v>
      </c>
      <c r="P331">
        <v>0</v>
      </c>
      <c r="Q331">
        <v>0</v>
      </c>
    </row>
    <row r="332" spans="1:17" x14ac:dyDescent="0.25">
      <c r="A332">
        <v>33757</v>
      </c>
      <c r="B332" t="s">
        <v>2710</v>
      </c>
      <c r="C332" t="s">
        <v>2707</v>
      </c>
      <c r="D332" s="3">
        <v>24507</v>
      </c>
      <c r="E332" t="s">
        <v>1379</v>
      </c>
      <c r="F332">
        <v>220</v>
      </c>
      <c r="G332" s="3">
        <v>43556</v>
      </c>
      <c r="H332" t="s">
        <v>2711</v>
      </c>
      <c r="I332">
        <v>499245846</v>
      </c>
      <c r="J332" t="s">
        <v>1438</v>
      </c>
      <c r="K332" t="s">
        <v>50</v>
      </c>
      <c r="L332" s="3">
        <v>47222</v>
      </c>
      <c r="M332" s="3">
        <v>46404</v>
      </c>
      <c r="N332" t="s">
        <v>2712</v>
      </c>
      <c r="O332" s="4">
        <v>1</v>
      </c>
      <c r="P332">
        <v>0</v>
      </c>
      <c r="Q332">
        <v>0</v>
      </c>
    </row>
    <row r="333" spans="1:17" x14ac:dyDescent="0.25">
      <c r="A333">
        <v>33698</v>
      </c>
      <c r="B333" t="s">
        <v>3096</v>
      </c>
      <c r="C333" t="s">
        <v>3093</v>
      </c>
      <c r="D333" s="3">
        <v>30937</v>
      </c>
      <c r="E333" t="s">
        <v>1379</v>
      </c>
      <c r="F333">
        <v>270</v>
      </c>
      <c r="G333" s="3">
        <v>43542</v>
      </c>
      <c r="H333" t="s">
        <v>3097</v>
      </c>
      <c r="J333" t="s">
        <v>1420</v>
      </c>
      <c r="K333" t="s">
        <v>50</v>
      </c>
      <c r="L333" s="3">
        <v>47154</v>
      </c>
      <c r="M333" s="3">
        <v>47100</v>
      </c>
      <c r="N333" t="s">
        <v>3098</v>
      </c>
      <c r="O333" s="4">
        <v>1</v>
      </c>
      <c r="P333">
        <v>0</v>
      </c>
      <c r="Q333">
        <v>1</v>
      </c>
    </row>
    <row r="334" spans="1:17" x14ac:dyDescent="0.25">
      <c r="A334">
        <v>33640</v>
      </c>
      <c r="B334" t="s">
        <v>1965</v>
      </c>
      <c r="C334" t="s">
        <v>1961</v>
      </c>
      <c r="D334" s="3">
        <v>25094</v>
      </c>
      <c r="E334" t="s">
        <v>1379</v>
      </c>
      <c r="F334">
        <v>167</v>
      </c>
      <c r="G334" s="3">
        <v>43528</v>
      </c>
      <c r="H334" t="s">
        <v>1966</v>
      </c>
      <c r="I334">
        <v>486762575</v>
      </c>
      <c r="J334" t="s">
        <v>1425</v>
      </c>
      <c r="K334" t="s">
        <v>50</v>
      </c>
      <c r="L334" s="3">
        <v>47141</v>
      </c>
      <c r="M334" s="3">
        <v>47141</v>
      </c>
      <c r="N334" t="s">
        <v>1967</v>
      </c>
      <c r="O334" s="4">
        <v>1</v>
      </c>
      <c r="P334">
        <v>0</v>
      </c>
      <c r="Q334">
        <v>0</v>
      </c>
    </row>
    <row r="335" spans="1:17" x14ac:dyDescent="0.25">
      <c r="A335">
        <v>33639</v>
      </c>
      <c r="B335" t="s">
        <v>1528</v>
      </c>
      <c r="C335" t="s">
        <v>1529</v>
      </c>
      <c r="D335" s="3">
        <v>23813</v>
      </c>
      <c r="E335" t="s">
        <v>1379</v>
      </c>
      <c r="F335">
        <v>104</v>
      </c>
      <c r="G335" s="3">
        <v>43528</v>
      </c>
      <c r="H335" t="s">
        <v>1530</v>
      </c>
      <c r="J335" t="s">
        <v>1411</v>
      </c>
      <c r="K335" t="s">
        <v>56</v>
      </c>
      <c r="L335" s="3">
        <v>47085</v>
      </c>
      <c r="M335" s="3">
        <v>47051</v>
      </c>
      <c r="N335" t="s">
        <v>1531</v>
      </c>
      <c r="O335" s="4">
        <v>0.5</v>
      </c>
      <c r="P335">
        <v>0</v>
      </c>
      <c r="Q335">
        <v>0</v>
      </c>
    </row>
    <row r="336" spans="1:17" x14ac:dyDescent="0.25">
      <c r="A336">
        <v>33600</v>
      </c>
      <c r="B336" t="s">
        <v>2241</v>
      </c>
      <c r="C336" t="s">
        <v>2242</v>
      </c>
      <c r="D336" s="3">
        <v>30867</v>
      </c>
      <c r="E336" t="s">
        <v>1379</v>
      </c>
      <c r="F336">
        <v>268</v>
      </c>
      <c r="G336" s="3">
        <v>43514</v>
      </c>
      <c r="H336" t="s">
        <v>2243</v>
      </c>
      <c r="J336" t="s">
        <v>1438</v>
      </c>
      <c r="K336" t="s">
        <v>47</v>
      </c>
      <c r="L336" s="3">
        <v>47135</v>
      </c>
      <c r="M336" s="3">
        <v>47072</v>
      </c>
      <c r="N336" t="s">
        <v>2244</v>
      </c>
      <c r="O336" s="4">
        <v>1</v>
      </c>
      <c r="P336">
        <v>0</v>
      </c>
      <c r="Q336">
        <v>1</v>
      </c>
    </row>
    <row r="337" spans="1:17" x14ac:dyDescent="0.25">
      <c r="A337">
        <v>33551</v>
      </c>
      <c r="B337" t="s">
        <v>3350</v>
      </c>
      <c r="C337" t="s">
        <v>3348</v>
      </c>
      <c r="D337" s="3">
        <v>31396</v>
      </c>
      <c r="E337" t="s">
        <v>1379</v>
      </c>
      <c r="G337" s="3">
        <v>43500</v>
      </c>
      <c r="H337" t="s">
        <v>3351</v>
      </c>
      <c r="I337" t="s">
        <v>3351</v>
      </c>
      <c r="J337" t="s">
        <v>1387</v>
      </c>
      <c r="K337" t="s">
        <v>41</v>
      </c>
      <c r="L337" s="3">
        <v>47161</v>
      </c>
      <c r="M337" s="3">
        <v>47136</v>
      </c>
      <c r="N337" t="s">
        <v>3352</v>
      </c>
      <c r="O337" s="4">
        <v>0.5</v>
      </c>
      <c r="P337">
        <v>0</v>
      </c>
      <c r="Q337">
        <v>0</v>
      </c>
    </row>
    <row r="338" spans="1:17" x14ac:dyDescent="0.25">
      <c r="A338">
        <v>33488</v>
      </c>
      <c r="B338" t="s">
        <v>1956</v>
      </c>
      <c r="C338" t="s">
        <v>1957</v>
      </c>
      <c r="D338" s="3">
        <v>34182</v>
      </c>
      <c r="E338" t="s">
        <v>1379</v>
      </c>
      <c r="F338">
        <v>430</v>
      </c>
      <c r="G338" s="3">
        <v>43486</v>
      </c>
      <c r="H338" t="s">
        <v>1958</v>
      </c>
      <c r="J338" t="s">
        <v>1397</v>
      </c>
      <c r="K338" t="s">
        <v>41</v>
      </c>
      <c r="L338" s="3">
        <v>47139</v>
      </c>
      <c r="M338" s="3">
        <v>46897</v>
      </c>
      <c r="N338" t="s">
        <v>1959</v>
      </c>
      <c r="O338" s="4">
        <v>0.8</v>
      </c>
      <c r="P338">
        <v>0</v>
      </c>
      <c r="Q338">
        <v>1</v>
      </c>
    </row>
    <row r="339" spans="1:17" x14ac:dyDescent="0.25">
      <c r="A339">
        <v>33450</v>
      </c>
      <c r="B339" t="s">
        <v>3151</v>
      </c>
      <c r="C339" t="s">
        <v>3152</v>
      </c>
      <c r="D339" s="3">
        <v>26216</v>
      </c>
      <c r="E339" t="s">
        <v>1379</v>
      </c>
      <c r="F339">
        <v>197</v>
      </c>
      <c r="G339" s="3">
        <v>43472</v>
      </c>
      <c r="H339" t="s">
        <v>3153</v>
      </c>
      <c r="J339" t="s">
        <v>1387</v>
      </c>
      <c r="K339" t="s">
        <v>47</v>
      </c>
      <c r="L339" s="3">
        <v>47011</v>
      </c>
      <c r="M339" s="3">
        <v>47009</v>
      </c>
      <c r="N339" t="s">
        <v>3154</v>
      </c>
      <c r="O339" s="4">
        <v>1</v>
      </c>
      <c r="P339">
        <v>0</v>
      </c>
      <c r="Q339">
        <v>1</v>
      </c>
    </row>
    <row r="340" spans="1:17" x14ac:dyDescent="0.25">
      <c r="A340">
        <v>33400</v>
      </c>
      <c r="B340" t="s">
        <v>3116</v>
      </c>
      <c r="C340" t="s">
        <v>3117</v>
      </c>
      <c r="D340" s="3">
        <v>34591</v>
      </c>
      <c r="E340" t="s">
        <v>1379</v>
      </c>
      <c r="F340">
        <v>85</v>
      </c>
      <c r="G340" s="3">
        <v>43444</v>
      </c>
      <c r="H340" t="s">
        <v>3118</v>
      </c>
      <c r="I340">
        <v>476620718</v>
      </c>
      <c r="J340" t="s">
        <v>1588</v>
      </c>
      <c r="K340" t="s">
        <v>44</v>
      </c>
      <c r="L340" s="3">
        <v>47085</v>
      </c>
      <c r="M340" s="3">
        <v>46946</v>
      </c>
      <c r="N340" t="s">
        <v>3119</v>
      </c>
      <c r="O340" s="4">
        <v>0.8</v>
      </c>
      <c r="P340">
        <v>0</v>
      </c>
      <c r="Q340">
        <v>1</v>
      </c>
    </row>
    <row r="341" spans="1:17" x14ac:dyDescent="0.25">
      <c r="A341">
        <v>33085</v>
      </c>
      <c r="B341" t="s">
        <v>1407</v>
      </c>
      <c r="C341" t="s">
        <v>2650</v>
      </c>
      <c r="D341" s="3">
        <v>33077</v>
      </c>
      <c r="E341" t="s">
        <v>1379</v>
      </c>
      <c r="G341" s="3">
        <v>43325</v>
      </c>
      <c r="H341" t="s">
        <v>2651</v>
      </c>
      <c r="J341" t="s">
        <v>1387</v>
      </c>
      <c r="K341" t="s">
        <v>47</v>
      </c>
      <c r="L341" s="3">
        <v>47294</v>
      </c>
      <c r="M341" s="3">
        <v>47233</v>
      </c>
      <c r="N341" t="s">
        <v>2652</v>
      </c>
      <c r="O341" s="4">
        <v>1</v>
      </c>
      <c r="P341">
        <v>0</v>
      </c>
      <c r="Q341">
        <v>0</v>
      </c>
    </row>
    <row r="342" spans="1:17" x14ac:dyDescent="0.25">
      <c r="A342">
        <v>33049</v>
      </c>
      <c r="B342" t="s">
        <v>3025</v>
      </c>
      <c r="C342" t="s">
        <v>3016</v>
      </c>
      <c r="D342" s="3">
        <v>24920</v>
      </c>
      <c r="E342" t="s">
        <v>1379</v>
      </c>
      <c r="F342">
        <v>205</v>
      </c>
      <c r="G342" s="3">
        <v>43318</v>
      </c>
      <c r="H342" t="s">
        <v>3026</v>
      </c>
      <c r="J342" t="s">
        <v>1588</v>
      </c>
      <c r="K342" t="s">
        <v>47</v>
      </c>
      <c r="L342" s="3">
        <v>46915</v>
      </c>
      <c r="M342" s="3">
        <v>46166</v>
      </c>
      <c r="N342" t="s">
        <v>3027</v>
      </c>
      <c r="O342" s="4">
        <v>1</v>
      </c>
      <c r="P342">
        <v>0</v>
      </c>
      <c r="Q342">
        <v>1</v>
      </c>
    </row>
    <row r="343" spans="1:17" x14ac:dyDescent="0.25">
      <c r="A343">
        <v>32951</v>
      </c>
      <c r="B343" t="s">
        <v>1674</v>
      </c>
      <c r="C343" t="s">
        <v>1675</v>
      </c>
      <c r="D343" s="3">
        <v>26191</v>
      </c>
      <c r="E343" t="s">
        <v>1379</v>
      </c>
      <c r="F343">
        <v>20</v>
      </c>
      <c r="G343" s="3">
        <v>43304</v>
      </c>
      <c r="H343" t="s">
        <v>1676</v>
      </c>
      <c r="J343" t="s">
        <v>1397</v>
      </c>
      <c r="K343" t="s">
        <v>56</v>
      </c>
      <c r="L343" s="3">
        <v>46828</v>
      </c>
      <c r="M343" s="3">
        <v>46810</v>
      </c>
      <c r="N343" t="s">
        <v>1677</v>
      </c>
      <c r="O343" s="4">
        <v>1</v>
      </c>
      <c r="P343">
        <v>0</v>
      </c>
      <c r="Q343">
        <v>1</v>
      </c>
    </row>
    <row r="344" spans="1:17" x14ac:dyDescent="0.25">
      <c r="A344">
        <v>32620</v>
      </c>
      <c r="B344" t="s">
        <v>2964</v>
      </c>
      <c r="C344" t="s">
        <v>2965</v>
      </c>
      <c r="D344" s="3">
        <v>35347</v>
      </c>
      <c r="E344" t="s">
        <v>1379</v>
      </c>
      <c r="F344">
        <v>296</v>
      </c>
      <c r="G344" s="3">
        <v>43193</v>
      </c>
      <c r="H344" t="s">
        <v>2966</v>
      </c>
      <c r="J344" t="s">
        <v>1459</v>
      </c>
      <c r="K344" t="s">
        <v>41</v>
      </c>
      <c r="L344" s="3">
        <v>46856</v>
      </c>
      <c r="M344" s="3">
        <v>45944</v>
      </c>
      <c r="N344" t="s">
        <v>2967</v>
      </c>
      <c r="O344" s="4">
        <v>1</v>
      </c>
      <c r="P344">
        <v>0</v>
      </c>
      <c r="Q344">
        <v>1</v>
      </c>
    </row>
    <row r="345" spans="1:17" x14ac:dyDescent="0.25">
      <c r="A345">
        <v>32611</v>
      </c>
      <c r="B345" t="s">
        <v>2007</v>
      </c>
      <c r="C345" t="s">
        <v>2008</v>
      </c>
      <c r="D345" s="3">
        <v>30873</v>
      </c>
      <c r="E345" t="s">
        <v>1379</v>
      </c>
      <c r="F345">
        <v>292</v>
      </c>
      <c r="G345" s="3">
        <v>43178</v>
      </c>
      <c r="H345" t="s">
        <v>2009</v>
      </c>
      <c r="J345" t="s">
        <v>1566</v>
      </c>
      <c r="K345" t="s">
        <v>47</v>
      </c>
      <c r="L345" s="3">
        <v>46685</v>
      </c>
      <c r="M345" s="3">
        <v>46672</v>
      </c>
      <c r="N345" t="s">
        <v>2010</v>
      </c>
      <c r="O345" s="4">
        <v>1</v>
      </c>
      <c r="P345">
        <v>0</v>
      </c>
      <c r="Q345">
        <v>1</v>
      </c>
    </row>
    <row r="346" spans="1:17" x14ac:dyDescent="0.25">
      <c r="A346">
        <v>32542</v>
      </c>
      <c r="B346" t="s">
        <v>2469</v>
      </c>
      <c r="C346" t="s">
        <v>2463</v>
      </c>
      <c r="D346" s="3">
        <v>31239</v>
      </c>
      <c r="E346" t="s">
        <v>1379</v>
      </c>
      <c r="F346">
        <v>239</v>
      </c>
      <c r="G346" s="3">
        <v>43150</v>
      </c>
      <c r="H346" t="s">
        <v>2470</v>
      </c>
      <c r="I346" t="s">
        <v>2471</v>
      </c>
      <c r="J346" t="s">
        <v>1433</v>
      </c>
      <c r="K346" t="s">
        <v>35</v>
      </c>
      <c r="L346" s="3">
        <v>46673</v>
      </c>
      <c r="M346" s="3">
        <v>46665</v>
      </c>
      <c r="N346" t="s">
        <v>2472</v>
      </c>
      <c r="O346" s="4">
        <v>0.8</v>
      </c>
      <c r="P346">
        <v>0</v>
      </c>
      <c r="Q346">
        <v>0</v>
      </c>
    </row>
    <row r="347" spans="1:17" x14ac:dyDescent="0.25">
      <c r="A347">
        <v>32528</v>
      </c>
      <c r="B347" t="s">
        <v>3465</v>
      </c>
      <c r="C347" t="s">
        <v>3466</v>
      </c>
      <c r="D347" s="3">
        <v>30914</v>
      </c>
      <c r="E347" t="s">
        <v>1379</v>
      </c>
      <c r="F347">
        <v>115</v>
      </c>
      <c r="G347" s="3">
        <v>43164</v>
      </c>
      <c r="H347" t="s">
        <v>3467</v>
      </c>
      <c r="J347" t="s">
        <v>1438</v>
      </c>
      <c r="K347" t="s">
        <v>50</v>
      </c>
      <c r="L347" s="3">
        <v>46624</v>
      </c>
      <c r="M347" s="3">
        <v>46621</v>
      </c>
      <c r="N347" t="s">
        <v>3468</v>
      </c>
      <c r="O347" s="4">
        <v>0.8</v>
      </c>
      <c r="P347">
        <v>0</v>
      </c>
      <c r="Q347">
        <v>1</v>
      </c>
    </row>
    <row r="348" spans="1:17" x14ac:dyDescent="0.25">
      <c r="A348">
        <v>32458</v>
      </c>
      <c r="B348" t="s">
        <v>1714</v>
      </c>
      <c r="C348" t="s">
        <v>1715</v>
      </c>
      <c r="D348" s="3">
        <v>24440</v>
      </c>
      <c r="E348" t="s">
        <v>1379</v>
      </c>
      <c r="F348">
        <v>168</v>
      </c>
      <c r="G348" s="3">
        <v>43150</v>
      </c>
      <c r="H348" t="s">
        <v>1716</v>
      </c>
      <c r="I348">
        <v>489745145</v>
      </c>
      <c r="J348" t="s">
        <v>1392</v>
      </c>
      <c r="K348" t="s">
        <v>53</v>
      </c>
      <c r="L348" s="3">
        <v>46595</v>
      </c>
      <c r="M348" s="3">
        <v>47594</v>
      </c>
      <c r="N348" t="s">
        <v>1717</v>
      </c>
      <c r="O348" s="4">
        <v>1</v>
      </c>
      <c r="P348">
        <v>0</v>
      </c>
      <c r="Q348">
        <v>1</v>
      </c>
    </row>
    <row r="349" spans="1:17" x14ac:dyDescent="0.25">
      <c r="A349">
        <v>32387</v>
      </c>
      <c r="B349" t="s">
        <v>2725</v>
      </c>
      <c r="C349" t="s">
        <v>2726</v>
      </c>
      <c r="D349" s="3">
        <v>23792</v>
      </c>
      <c r="E349" t="s">
        <v>1379</v>
      </c>
      <c r="F349">
        <v>217</v>
      </c>
      <c r="G349" s="3">
        <v>43108</v>
      </c>
      <c r="H349" t="s">
        <v>2727</v>
      </c>
      <c r="J349" t="s">
        <v>1397</v>
      </c>
      <c r="K349" t="s">
        <v>50</v>
      </c>
      <c r="L349" s="3">
        <v>46620</v>
      </c>
      <c r="M349" s="3">
        <v>46616</v>
      </c>
      <c r="N349" t="s">
        <v>2728</v>
      </c>
      <c r="O349" s="4">
        <v>0.8</v>
      </c>
      <c r="P349">
        <v>0</v>
      </c>
      <c r="Q349">
        <v>1</v>
      </c>
    </row>
    <row r="350" spans="1:17" x14ac:dyDescent="0.25">
      <c r="A350">
        <v>32369</v>
      </c>
      <c r="B350" t="s">
        <v>1968</v>
      </c>
      <c r="C350" t="s">
        <v>1961</v>
      </c>
      <c r="D350" s="3">
        <v>25527</v>
      </c>
      <c r="E350" t="s">
        <v>1379</v>
      </c>
      <c r="F350">
        <v>60</v>
      </c>
      <c r="G350" s="3">
        <v>43108</v>
      </c>
      <c r="H350" t="s">
        <v>1969</v>
      </c>
      <c r="I350" t="s">
        <v>1970</v>
      </c>
      <c r="J350" t="s">
        <v>1438</v>
      </c>
      <c r="K350" t="s">
        <v>41</v>
      </c>
      <c r="L350" s="3">
        <v>46593</v>
      </c>
      <c r="M350" s="3">
        <v>46546</v>
      </c>
      <c r="N350" t="s">
        <v>1971</v>
      </c>
      <c r="O350" s="4">
        <v>0.8</v>
      </c>
      <c r="P350">
        <v>0</v>
      </c>
      <c r="Q350">
        <v>0</v>
      </c>
    </row>
    <row r="351" spans="1:17" x14ac:dyDescent="0.25">
      <c r="A351">
        <v>32245</v>
      </c>
      <c r="B351" t="s">
        <v>3236</v>
      </c>
      <c r="C351" t="s">
        <v>3237</v>
      </c>
      <c r="D351" s="3">
        <v>28206</v>
      </c>
      <c r="E351" t="s">
        <v>1379</v>
      </c>
      <c r="F351">
        <v>240</v>
      </c>
      <c r="G351" s="3">
        <v>43073</v>
      </c>
      <c r="H351" t="s">
        <v>3238</v>
      </c>
      <c r="I351" t="s">
        <v>3239</v>
      </c>
      <c r="J351" t="s">
        <v>1921</v>
      </c>
      <c r="K351" t="s">
        <v>41</v>
      </c>
      <c r="L351" s="3">
        <v>46676</v>
      </c>
      <c r="M351" s="3">
        <v>46616</v>
      </c>
      <c r="N351" t="s">
        <v>3240</v>
      </c>
      <c r="O351" s="4">
        <v>1</v>
      </c>
      <c r="P351">
        <v>0</v>
      </c>
      <c r="Q351">
        <v>0</v>
      </c>
    </row>
    <row r="352" spans="1:17" x14ac:dyDescent="0.25">
      <c r="A352">
        <v>32169</v>
      </c>
      <c r="B352" t="s">
        <v>1899</v>
      </c>
      <c r="C352" t="s">
        <v>1900</v>
      </c>
      <c r="D352" s="3">
        <v>25554</v>
      </c>
      <c r="E352" t="s">
        <v>1379</v>
      </c>
      <c r="F352">
        <v>46</v>
      </c>
      <c r="G352" s="3">
        <v>43031</v>
      </c>
      <c r="H352" t="s">
        <v>1901</v>
      </c>
      <c r="J352" t="s">
        <v>1397</v>
      </c>
      <c r="K352" t="s">
        <v>50</v>
      </c>
      <c r="L352" s="3">
        <v>46637</v>
      </c>
      <c r="M352" s="3">
        <v>46637</v>
      </c>
      <c r="N352" t="s">
        <v>1902</v>
      </c>
      <c r="O352" s="4">
        <v>1</v>
      </c>
      <c r="P352">
        <v>0</v>
      </c>
      <c r="Q352">
        <v>1</v>
      </c>
    </row>
    <row r="353" spans="1:17" x14ac:dyDescent="0.25">
      <c r="A353">
        <v>32168</v>
      </c>
      <c r="B353" t="s">
        <v>1377</v>
      </c>
      <c r="C353" t="s">
        <v>1378</v>
      </c>
      <c r="D353" s="3">
        <v>28348</v>
      </c>
      <c r="E353" t="s">
        <v>1379</v>
      </c>
      <c r="F353">
        <v>304</v>
      </c>
      <c r="G353" s="3">
        <v>43045</v>
      </c>
      <c r="H353" t="s">
        <v>1380</v>
      </c>
      <c r="I353" t="s">
        <v>1381</v>
      </c>
      <c r="J353" t="s">
        <v>1382</v>
      </c>
      <c r="K353" t="s">
        <v>47</v>
      </c>
      <c r="L353" s="3">
        <v>46517</v>
      </c>
      <c r="M353" s="3">
        <v>46511</v>
      </c>
      <c r="N353" t="s">
        <v>1383</v>
      </c>
      <c r="O353" s="4">
        <v>1</v>
      </c>
      <c r="P353">
        <v>0</v>
      </c>
      <c r="Q353">
        <v>1</v>
      </c>
    </row>
    <row r="354" spans="1:17" x14ac:dyDescent="0.25">
      <c r="A354">
        <v>32092</v>
      </c>
      <c r="B354" t="s">
        <v>1571</v>
      </c>
      <c r="C354" t="s">
        <v>1572</v>
      </c>
      <c r="D354" s="3">
        <v>35325</v>
      </c>
      <c r="E354" t="s">
        <v>1379</v>
      </c>
      <c r="F354">
        <v>78</v>
      </c>
      <c r="G354" s="3">
        <v>43003</v>
      </c>
      <c r="H354" t="s">
        <v>1573</v>
      </c>
      <c r="J354" t="s">
        <v>1397</v>
      </c>
      <c r="K354" t="s">
        <v>38</v>
      </c>
      <c r="L354" s="3">
        <v>46622</v>
      </c>
      <c r="M354" s="3">
        <v>46621</v>
      </c>
      <c r="N354" t="s">
        <v>1574</v>
      </c>
      <c r="O354" s="4">
        <v>0.8</v>
      </c>
      <c r="P354">
        <v>0</v>
      </c>
      <c r="Q354">
        <v>0</v>
      </c>
    </row>
    <row r="355" spans="1:17" x14ac:dyDescent="0.25">
      <c r="A355">
        <v>32091</v>
      </c>
      <c r="B355" t="s">
        <v>2940</v>
      </c>
      <c r="C355" t="s">
        <v>2941</v>
      </c>
      <c r="D355" s="3">
        <v>29257</v>
      </c>
      <c r="E355" t="s">
        <v>1379</v>
      </c>
      <c r="F355">
        <v>69</v>
      </c>
      <c r="G355" s="3">
        <v>43003</v>
      </c>
      <c r="H355" t="s">
        <v>2942</v>
      </c>
      <c r="I355">
        <v>474517590</v>
      </c>
      <c r="J355" t="s">
        <v>1420</v>
      </c>
      <c r="K355" t="s">
        <v>47</v>
      </c>
      <c r="L355" s="3">
        <v>46610</v>
      </c>
      <c r="M355" s="3">
        <v>46565</v>
      </c>
      <c r="N355" t="s">
        <v>2943</v>
      </c>
      <c r="O355" s="4">
        <v>1</v>
      </c>
      <c r="P355">
        <v>0</v>
      </c>
      <c r="Q355">
        <v>1</v>
      </c>
    </row>
    <row r="356" spans="1:17" x14ac:dyDescent="0.25">
      <c r="A356">
        <v>32002</v>
      </c>
      <c r="B356" t="s">
        <v>2737</v>
      </c>
      <c r="C356" t="s">
        <v>2738</v>
      </c>
      <c r="D356" s="3">
        <v>26130</v>
      </c>
      <c r="E356" t="s">
        <v>1379</v>
      </c>
      <c r="F356">
        <v>204</v>
      </c>
      <c r="G356" s="3">
        <v>42989</v>
      </c>
      <c r="H356" t="s">
        <v>2739</v>
      </c>
      <c r="J356" t="s">
        <v>1459</v>
      </c>
      <c r="K356" t="s">
        <v>50</v>
      </c>
      <c r="L356" s="3">
        <v>46518</v>
      </c>
      <c r="M356" s="3">
        <v>46511</v>
      </c>
      <c r="N356" t="s">
        <v>2740</v>
      </c>
      <c r="O356" s="4">
        <v>1</v>
      </c>
      <c r="P356">
        <v>0</v>
      </c>
      <c r="Q356">
        <v>1</v>
      </c>
    </row>
    <row r="357" spans="1:17" x14ac:dyDescent="0.25">
      <c r="A357">
        <v>31891</v>
      </c>
      <c r="B357" t="s">
        <v>2546</v>
      </c>
      <c r="C357" t="s">
        <v>3031</v>
      </c>
      <c r="D357" s="3">
        <v>26685</v>
      </c>
      <c r="E357" t="s">
        <v>1379</v>
      </c>
      <c r="G357" s="3">
        <v>42975</v>
      </c>
      <c r="H357" t="s">
        <v>3032</v>
      </c>
      <c r="J357" t="s">
        <v>1836</v>
      </c>
      <c r="K357" t="s">
        <v>38</v>
      </c>
      <c r="L357" s="3">
        <v>46565</v>
      </c>
      <c r="M357" s="3">
        <v>46494</v>
      </c>
      <c r="N357" t="s">
        <v>3033</v>
      </c>
      <c r="O357" s="4">
        <v>1</v>
      </c>
      <c r="P357">
        <v>0</v>
      </c>
      <c r="Q357">
        <v>0</v>
      </c>
    </row>
    <row r="358" spans="1:17" x14ac:dyDescent="0.25">
      <c r="A358">
        <v>31776</v>
      </c>
      <c r="B358" t="s">
        <v>1651</v>
      </c>
      <c r="C358" t="s">
        <v>1648</v>
      </c>
      <c r="D358" s="3">
        <v>30376</v>
      </c>
      <c r="E358" t="s">
        <v>1379</v>
      </c>
      <c r="F358">
        <v>294</v>
      </c>
      <c r="G358" s="3">
        <v>42933</v>
      </c>
      <c r="H358" t="s">
        <v>1652</v>
      </c>
      <c r="J358" t="s">
        <v>1397</v>
      </c>
      <c r="K358" t="s">
        <v>35</v>
      </c>
      <c r="L358" s="3">
        <v>46515</v>
      </c>
      <c r="M358" s="3">
        <v>46477</v>
      </c>
      <c r="N358" t="s">
        <v>1653</v>
      </c>
      <c r="O358" s="4">
        <v>1</v>
      </c>
      <c r="P358">
        <v>0</v>
      </c>
      <c r="Q358">
        <v>0</v>
      </c>
    </row>
    <row r="359" spans="1:17" x14ac:dyDescent="0.25">
      <c r="A359">
        <v>31733</v>
      </c>
      <c r="B359" t="s">
        <v>2413</v>
      </c>
      <c r="C359" t="s">
        <v>1347</v>
      </c>
      <c r="D359" s="3">
        <v>30582</v>
      </c>
      <c r="E359" t="s">
        <v>1634</v>
      </c>
      <c r="F359">
        <v>231</v>
      </c>
      <c r="G359" s="3">
        <v>42919</v>
      </c>
      <c r="H359" t="s">
        <v>2414</v>
      </c>
      <c r="I359">
        <v>477594505</v>
      </c>
      <c r="J359" t="s">
        <v>1494</v>
      </c>
      <c r="K359" t="s">
        <v>35</v>
      </c>
      <c r="L359" s="3">
        <v>46537</v>
      </c>
      <c r="M359" s="3">
        <v>46497</v>
      </c>
      <c r="N359" t="s">
        <v>2415</v>
      </c>
      <c r="O359" s="4">
        <v>1</v>
      </c>
      <c r="P359">
        <v>0</v>
      </c>
      <c r="Q359">
        <v>1</v>
      </c>
    </row>
    <row r="360" spans="1:17" x14ac:dyDescent="0.25">
      <c r="A360">
        <v>31731</v>
      </c>
      <c r="B360" t="s">
        <v>2284</v>
      </c>
      <c r="C360" t="s">
        <v>2285</v>
      </c>
      <c r="D360" s="3">
        <v>28290</v>
      </c>
      <c r="E360" t="s">
        <v>1379</v>
      </c>
      <c r="F360">
        <v>202</v>
      </c>
      <c r="G360" s="3">
        <v>42919</v>
      </c>
      <c r="H360" t="s">
        <v>2286</v>
      </c>
      <c r="J360" t="s">
        <v>1921</v>
      </c>
      <c r="K360" t="s">
        <v>41</v>
      </c>
      <c r="L360" s="3">
        <v>46466</v>
      </c>
      <c r="M360" s="3">
        <v>46460</v>
      </c>
      <c r="N360" t="s">
        <v>2287</v>
      </c>
      <c r="O360" s="4">
        <v>1</v>
      </c>
      <c r="P360">
        <v>0</v>
      </c>
      <c r="Q360">
        <v>0</v>
      </c>
    </row>
    <row r="361" spans="1:17" x14ac:dyDescent="0.25">
      <c r="A361">
        <v>31689</v>
      </c>
      <c r="B361" t="s">
        <v>2615</v>
      </c>
      <c r="C361" t="s">
        <v>2616</v>
      </c>
      <c r="D361" s="3">
        <v>33354</v>
      </c>
      <c r="E361" t="s">
        <v>1379</v>
      </c>
      <c r="F361">
        <v>223</v>
      </c>
      <c r="G361" s="3">
        <v>42892</v>
      </c>
      <c r="H361" t="s">
        <v>2617</v>
      </c>
      <c r="J361" t="s">
        <v>1566</v>
      </c>
      <c r="K361" t="s">
        <v>50</v>
      </c>
      <c r="L361" s="3">
        <v>46531</v>
      </c>
      <c r="M361" s="3">
        <v>46504</v>
      </c>
      <c r="N361" t="s">
        <v>2618</v>
      </c>
      <c r="O361" s="4">
        <v>1</v>
      </c>
      <c r="P361">
        <v>0</v>
      </c>
      <c r="Q361">
        <v>1</v>
      </c>
    </row>
    <row r="362" spans="1:17" x14ac:dyDescent="0.25">
      <c r="A362">
        <v>31668</v>
      </c>
      <c r="B362" t="s">
        <v>2232</v>
      </c>
      <c r="C362" t="s">
        <v>2233</v>
      </c>
      <c r="D362" s="3">
        <v>25181</v>
      </c>
      <c r="E362" t="s">
        <v>1379</v>
      </c>
      <c r="F362">
        <v>269</v>
      </c>
      <c r="G362" s="3">
        <v>42877</v>
      </c>
      <c r="H362" t="s">
        <v>2234</v>
      </c>
      <c r="I362" t="s">
        <v>2235</v>
      </c>
      <c r="J362" t="s">
        <v>1397</v>
      </c>
      <c r="K362" t="s">
        <v>35</v>
      </c>
      <c r="L362" s="3">
        <v>46454</v>
      </c>
      <c r="M362" s="3">
        <v>47470</v>
      </c>
      <c r="N362" t="s">
        <v>2236</v>
      </c>
      <c r="O362" s="4">
        <v>0.8</v>
      </c>
      <c r="P362">
        <v>0</v>
      </c>
      <c r="Q362">
        <v>0</v>
      </c>
    </row>
    <row r="363" spans="1:17" x14ac:dyDescent="0.25">
      <c r="A363">
        <v>31659</v>
      </c>
      <c r="B363" t="s">
        <v>2473</v>
      </c>
      <c r="C363" t="s">
        <v>1341</v>
      </c>
      <c r="D363" s="3">
        <v>32677</v>
      </c>
      <c r="E363" t="s">
        <v>1379</v>
      </c>
      <c r="F363">
        <v>44</v>
      </c>
      <c r="G363" s="3">
        <v>42877</v>
      </c>
      <c r="H363" t="s">
        <v>2474</v>
      </c>
      <c r="J363" t="s">
        <v>1588</v>
      </c>
      <c r="K363" t="s">
        <v>38</v>
      </c>
      <c r="L363" s="3">
        <v>46461</v>
      </c>
      <c r="M363" s="3">
        <v>46460</v>
      </c>
      <c r="N363" t="s">
        <v>2475</v>
      </c>
      <c r="O363" s="4">
        <v>1</v>
      </c>
      <c r="P363">
        <v>0</v>
      </c>
      <c r="Q363">
        <v>0</v>
      </c>
    </row>
    <row r="364" spans="1:17" x14ac:dyDescent="0.25">
      <c r="A364">
        <v>31635</v>
      </c>
      <c r="B364" t="s">
        <v>2188</v>
      </c>
      <c r="C364" t="s">
        <v>2189</v>
      </c>
      <c r="D364" s="3">
        <v>34219</v>
      </c>
      <c r="E364" t="s">
        <v>1379</v>
      </c>
      <c r="F364">
        <v>238</v>
      </c>
      <c r="G364" s="3">
        <v>42863</v>
      </c>
      <c r="H364" t="s">
        <v>2190</v>
      </c>
      <c r="J364" t="s">
        <v>1425</v>
      </c>
      <c r="K364" t="s">
        <v>41</v>
      </c>
      <c r="L364" s="3">
        <v>46377</v>
      </c>
      <c r="M364" s="3">
        <v>46369</v>
      </c>
      <c r="N364" t="s">
        <v>2191</v>
      </c>
      <c r="O364" s="4">
        <v>1</v>
      </c>
      <c r="P364">
        <v>0</v>
      </c>
      <c r="Q364">
        <v>1</v>
      </c>
    </row>
    <row r="365" spans="1:17" x14ac:dyDescent="0.25">
      <c r="A365">
        <v>31634</v>
      </c>
      <c r="B365" t="s">
        <v>2034</v>
      </c>
      <c r="C365" t="s">
        <v>2035</v>
      </c>
      <c r="D365" s="3">
        <v>34483</v>
      </c>
      <c r="E365" t="s">
        <v>1379</v>
      </c>
      <c r="F365">
        <v>111</v>
      </c>
      <c r="G365" s="3">
        <v>42863</v>
      </c>
      <c r="H365" t="s">
        <v>2036</v>
      </c>
      <c r="J365" t="s">
        <v>1604</v>
      </c>
      <c r="K365" t="s">
        <v>41</v>
      </c>
      <c r="L365" s="3">
        <v>46488</v>
      </c>
      <c r="M365" s="3">
        <v>46469</v>
      </c>
      <c r="N365" t="s">
        <v>2037</v>
      </c>
      <c r="O365" s="4">
        <v>1</v>
      </c>
      <c r="P365">
        <v>0</v>
      </c>
      <c r="Q365">
        <v>0</v>
      </c>
    </row>
    <row r="366" spans="1:17" x14ac:dyDescent="0.25">
      <c r="A366">
        <v>31601</v>
      </c>
      <c r="B366" t="s">
        <v>1861</v>
      </c>
      <c r="C366" t="s">
        <v>1862</v>
      </c>
      <c r="D366" s="3">
        <v>32979</v>
      </c>
      <c r="E366" t="s">
        <v>1379</v>
      </c>
      <c r="F366">
        <v>225</v>
      </c>
      <c r="G366" s="3">
        <v>42843</v>
      </c>
      <c r="H366" t="s">
        <v>1863</v>
      </c>
      <c r="J366" t="s">
        <v>1459</v>
      </c>
      <c r="K366" t="s">
        <v>35</v>
      </c>
      <c r="L366" s="3">
        <v>46434</v>
      </c>
      <c r="M366" s="3">
        <v>46418</v>
      </c>
      <c r="N366" t="s">
        <v>1864</v>
      </c>
      <c r="O366" s="4">
        <v>1</v>
      </c>
      <c r="P366">
        <v>0</v>
      </c>
      <c r="Q366">
        <v>0</v>
      </c>
    </row>
    <row r="367" spans="1:17" x14ac:dyDescent="0.25">
      <c r="A367">
        <v>31600</v>
      </c>
      <c r="B367" t="s">
        <v>1564</v>
      </c>
      <c r="C367" t="s">
        <v>1551</v>
      </c>
      <c r="D367" s="3">
        <v>32464</v>
      </c>
      <c r="E367" t="s">
        <v>1379</v>
      </c>
      <c r="F367">
        <v>6</v>
      </c>
      <c r="G367" s="3">
        <v>42843</v>
      </c>
      <c r="H367" t="s">
        <v>1565</v>
      </c>
      <c r="J367" t="s">
        <v>1566</v>
      </c>
      <c r="K367" t="s">
        <v>53</v>
      </c>
      <c r="L367" s="3">
        <v>46419</v>
      </c>
      <c r="M367" s="3">
        <v>46418</v>
      </c>
      <c r="N367" t="s">
        <v>1567</v>
      </c>
      <c r="O367" s="4">
        <v>1</v>
      </c>
      <c r="P367">
        <v>0</v>
      </c>
      <c r="Q367">
        <v>0</v>
      </c>
    </row>
    <row r="368" spans="1:17" x14ac:dyDescent="0.25">
      <c r="A368">
        <v>31550</v>
      </c>
      <c r="B368" t="s">
        <v>1702</v>
      </c>
      <c r="C368" t="s">
        <v>1703</v>
      </c>
      <c r="D368" s="3">
        <v>34332</v>
      </c>
      <c r="E368" t="s">
        <v>1379</v>
      </c>
      <c r="F368">
        <v>248</v>
      </c>
      <c r="G368" s="3">
        <v>42828</v>
      </c>
      <c r="H368" t="s">
        <v>1704</v>
      </c>
      <c r="J368" t="s">
        <v>1566</v>
      </c>
      <c r="K368" t="s">
        <v>35</v>
      </c>
      <c r="L368" s="3">
        <v>46455</v>
      </c>
      <c r="M368" s="3">
        <v>46453</v>
      </c>
      <c r="N368" t="s">
        <v>1705</v>
      </c>
      <c r="O368" s="4">
        <v>1</v>
      </c>
      <c r="P368">
        <v>0</v>
      </c>
      <c r="Q368">
        <v>0</v>
      </c>
    </row>
    <row r="369" spans="1:17" x14ac:dyDescent="0.25">
      <c r="A369">
        <v>31404</v>
      </c>
      <c r="B369" t="s">
        <v>2078</v>
      </c>
      <c r="C369" t="s">
        <v>2075</v>
      </c>
      <c r="D369" s="3">
        <v>28234</v>
      </c>
      <c r="E369" t="s">
        <v>1634</v>
      </c>
      <c r="F369">
        <v>62</v>
      </c>
      <c r="G369" s="3">
        <v>42758</v>
      </c>
      <c r="H369" t="s">
        <v>2079</v>
      </c>
      <c r="J369" t="s">
        <v>1566</v>
      </c>
      <c r="K369" t="s">
        <v>35</v>
      </c>
      <c r="L369" s="3">
        <v>46330</v>
      </c>
      <c r="M369" s="3">
        <v>46320</v>
      </c>
      <c r="N369" t="s">
        <v>2080</v>
      </c>
      <c r="O369" s="4">
        <v>1</v>
      </c>
      <c r="P369">
        <v>0</v>
      </c>
      <c r="Q369">
        <v>0</v>
      </c>
    </row>
    <row r="370" spans="1:17" x14ac:dyDescent="0.25">
      <c r="A370">
        <v>31361</v>
      </c>
      <c r="B370" t="s">
        <v>1998</v>
      </c>
      <c r="C370" t="s">
        <v>1992</v>
      </c>
      <c r="D370" s="3">
        <v>28695</v>
      </c>
      <c r="E370" t="s">
        <v>1379</v>
      </c>
      <c r="F370">
        <v>228</v>
      </c>
      <c r="G370" s="3">
        <v>42751</v>
      </c>
      <c r="H370" t="s">
        <v>1999</v>
      </c>
      <c r="J370" t="s">
        <v>1397</v>
      </c>
      <c r="K370" t="s">
        <v>41</v>
      </c>
      <c r="L370" s="3">
        <v>46754</v>
      </c>
      <c r="M370" s="3">
        <v>46960</v>
      </c>
      <c r="N370" t="s">
        <v>2000</v>
      </c>
      <c r="O370" s="4">
        <v>1</v>
      </c>
      <c r="P370">
        <v>0</v>
      </c>
      <c r="Q370">
        <v>0</v>
      </c>
    </row>
    <row r="371" spans="1:17" x14ac:dyDescent="0.25">
      <c r="A371">
        <v>31360</v>
      </c>
      <c r="B371" t="s">
        <v>2667</v>
      </c>
      <c r="C371" t="s">
        <v>2891</v>
      </c>
      <c r="D371" s="3">
        <v>34227</v>
      </c>
      <c r="E371" t="s">
        <v>1379</v>
      </c>
      <c r="F371">
        <v>229</v>
      </c>
      <c r="G371" s="3">
        <v>42744</v>
      </c>
      <c r="H371" t="s">
        <v>2892</v>
      </c>
      <c r="J371" t="s">
        <v>1566</v>
      </c>
      <c r="K371" t="s">
        <v>35</v>
      </c>
      <c r="L371" s="3">
        <v>46279</v>
      </c>
      <c r="M371" s="3">
        <v>46201</v>
      </c>
      <c r="N371" t="s">
        <v>2893</v>
      </c>
      <c r="O371" s="4">
        <v>1</v>
      </c>
      <c r="P371">
        <v>0</v>
      </c>
      <c r="Q371">
        <v>0</v>
      </c>
    </row>
    <row r="372" spans="1:17" x14ac:dyDescent="0.25">
      <c r="A372">
        <v>31231</v>
      </c>
      <c r="B372" t="s">
        <v>2979</v>
      </c>
      <c r="C372" t="s">
        <v>2973</v>
      </c>
      <c r="D372" s="3">
        <v>34747</v>
      </c>
      <c r="E372" t="s">
        <v>1379</v>
      </c>
      <c r="F372">
        <v>89</v>
      </c>
      <c r="G372" s="3">
        <v>42674</v>
      </c>
      <c r="H372" t="s">
        <v>2980</v>
      </c>
      <c r="J372" t="s">
        <v>1387</v>
      </c>
      <c r="K372" t="s">
        <v>41</v>
      </c>
      <c r="L372" s="3">
        <v>46263</v>
      </c>
      <c r="M372" s="3">
        <v>46210</v>
      </c>
      <c r="N372" t="s">
        <v>2981</v>
      </c>
      <c r="O372" s="4">
        <v>1</v>
      </c>
      <c r="P372">
        <v>0</v>
      </c>
      <c r="Q372">
        <v>0</v>
      </c>
    </row>
    <row r="373" spans="1:17" x14ac:dyDescent="0.25">
      <c r="A373">
        <v>31165</v>
      </c>
      <c r="B373" t="s">
        <v>1729</v>
      </c>
      <c r="C373" t="s">
        <v>1730</v>
      </c>
      <c r="D373" s="3">
        <v>27145</v>
      </c>
      <c r="E373" t="s">
        <v>1379</v>
      </c>
      <c r="F373">
        <v>50</v>
      </c>
      <c r="G373" s="3">
        <v>42646</v>
      </c>
      <c r="H373" t="s">
        <v>1731</v>
      </c>
      <c r="J373" t="s">
        <v>1411</v>
      </c>
      <c r="K373" t="s">
        <v>56</v>
      </c>
      <c r="L373" s="3">
        <v>46238</v>
      </c>
      <c r="M373" s="3">
        <v>46210</v>
      </c>
      <c r="N373" t="s">
        <v>1732</v>
      </c>
      <c r="O373" s="4">
        <v>1</v>
      </c>
      <c r="P373">
        <v>0</v>
      </c>
      <c r="Q373">
        <v>0</v>
      </c>
    </row>
    <row r="374" spans="1:17" x14ac:dyDescent="0.25">
      <c r="A374">
        <v>31150</v>
      </c>
      <c r="B374" t="s">
        <v>2155</v>
      </c>
      <c r="C374" t="s">
        <v>2156</v>
      </c>
      <c r="D374" s="3">
        <v>28226</v>
      </c>
      <c r="E374" t="s">
        <v>1379</v>
      </c>
      <c r="F374">
        <v>33</v>
      </c>
      <c r="G374" s="3">
        <v>42643</v>
      </c>
      <c r="H374" t="s">
        <v>2157</v>
      </c>
      <c r="I374">
        <v>94306073</v>
      </c>
      <c r="J374" t="s">
        <v>1604</v>
      </c>
      <c r="K374" t="s">
        <v>47</v>
      </c>
      <c r="L374" s="3">
        <v>46286</v>
      </c>
      <c r="M374" s="3">
        <v>46187</v>
      </c>
      <c r="N374" t="s">
        <v>2158</v>
      </c>
      <c r="O374" s="4">
        <v>1</v>
      </c>
      <c r="P374">
        <v>0</v>
      </c>
      <c r="Q374">
        <v>0</v>
      </c>
    </row>
    <row r="375" spans="1:17" x14ac:dyDescent="0.25">
      <c r="A375">
        <v>31118</v>
      </c>
      <c r="B375" t="s">
        <v>2192</v>
      </c>
      <c r="C375" t="s">
        <v>1343</v>
      </c>
      <c r="D375" s="3">
        <v>30190</v>
      </c>
      <c r="E375" t="s">
        <v>1379</v>
      </c>
      <c r="F375">
        <v>13</v>
      </c>
      <c r="G375" s="3">
        <v>42618</v>
      </c>
      <c r="H375" t="s">
        <v>2193</v>
      </c>
      <c r="J375" t="s">
        <v>1411</v>
      </c>
      <c r="K375" t="s">
        <v>53</v>
      </c>
      <c r="L375" s="3">
        <v>46218</v>
      </c>
      <c r="M375" s="3">
        <v>46182</v>
      </c>
      <c r="N375" t="s">
        <v>2194</v>
      </c>
      <c r="O375" s="4">
        <v>1</v>
      </c>
      <c r="P375">
        <v>0</v>
      </c>
      <c r="Q375">
        <v>0</v>
      </c>
    </row>
    <row r="376" spans="1:17" x14ac:dyDescent="0.25">
      <c r="A376">
        <v>31111</v>
      </c>
      <c r="B376" t="s">
        <v>2057</v>
      </c>
      <c r="C376" t="s">
        <v>2058</v>
      </c>
      <c r="D376" s="3">
        <v>28962</v>
      </c>
      <c r="E376" t="s">
        <v>1379</v>
      </c>
      <c r="F376">
        <v>419</v>
      </c>
      <c r="G376" s="3">
        <v>42604</v>
      </c>
      <c r="H376" t="s">
        <v>2059</v>
      </c>
      <c r="I376">
        <v>486365426</v>
      </c>
      <c r="J376" t="s">
        <v>1411</v>
      </c>
      <c r="K376" t="s">
        <v>41</v>
      </c>
      <c r="L376" s="3">
        <v>46316</v>
      </c>
      <c r="M376" s="3">
        <v>46181</v>
      </c>
      <c r="N376" t="s">
        <v>2060</v>
      </c>
      <c r="O376" s="4">
        <v>1</v>
      </c>
      <c r="P376">
        <v>0</v>
      </c>
      <c r="Q376">
        <v>1</v>
      </c>
    </row>
    <row r="377" spans="1:17" x14ac:dyDescent="0.25">
      <c r="A377">
        <v>31092</v>
      </c>
      <c r="B377" t="s">
        <v>2460</v>
      </c>
      <c r="C377" t="s">
        <v>2454</v>
      </c>
      <c r="D377" s="3">
        <v>34149</v>
      </c>
      <c r="E377" t="s">
        <v>1379</v>
      </c>
      <c r="F377">
        <v>389</v>
      </c>
      <c r="G377" s="3">
        <v>42604</v>
      </c>
      <c r="H377" t="s">
        <v>2461</v>
      </c>
      <c r="J377" t="s">
        <v>1397</v>
      </c>
      <c r="K377" t="s">
        <v>56</v>
      </c>
      <c r="L377" s="3">
        <v>46081</v>
      </c>
      <c r="M377" s="3">
        <v>46056</v>
      </c>
      <c r="N377" t="s">
        <v>2462</v>
      </c>
      <c r="O377" s="4">
        <v>1</v>
      </c>
      <c r="P377">
        <v>0</v>
      </c>
      <c r="Q377">
        <v>1</v>
      </c>
    </row>
    <row r="378" spans="1:17" x14ac:dyDescent="0.25">
      <c r="A378">
        <v>30999</v>
      </c>
      <c r="B378" t="s">
        <v>2619</v>
      </c>
      <c r="C378" t="s">
        <v>2620</v>
      </c>
      <c r="D378" s="3">
        <v>32844</v>
      </c>
      <c r="E378" t="s">
        <v>1379</v>
      </c>
      <c r="G378" s="3">
        <v>42562</v>
      </c>
      <c r="H378" t="s">
        <v>2621</v>
      </c>
      <c r="J378" t="s">
        <v>1397</v>
      </c>
      <c r="K378" t="s">
        <v>41</v>
      </c>
      <c r="L378" s="3">
        <v>46159</v>
      </c>
      <c r="M378" s="3">
        <v>46147</v>
      </c>
      <c r="N378" t="s">
        <v>2622</v>
      </c>
      <c r="O378" s="4">
        <v>1</v>
      </c>
      <c r="P378">
        <v>0</v>
      </c>
      <c r="Q378">
        <v>0</v>
      </c>
    </row>
    <row r="379" spans="1:17" x14ac:dyDescent="0.25">
      <c r="A379">
        <v>30967</v>
      </c>
      <c r="B379" t="s">
        <v>2894</v>
      </c>
      <c r="C379" t="s">
        <v>2891</v>
      </c>
      <c r="D379" s="3">
        <v>29408</v>
      </c>
      <c r="E379" t="s">
        <v>1379</v>
      </c>
      <c r="F379">
        <v>128</v>
      </c>
      <c r="G379" s="3">
        <v>42548</v>
      </c>
      <c r="H379" t="s">
        <v>2895</v>
      </c>
      <c r="J379" t="s">
        <v>1636</v>
      </c>
      <c r="K379" t="s">
        <v>35</v>
      </c>
      <c r="L379" s="3">
        <v>46207</v>
      </c>
      <c r="M379" s="3">
        <v>45935</v>
      </c>
      <c r="N379" t="s">
        <v>2896</v>
      </c>
      <c r="O379" s="4">
        <v>1</v>
      </c>
      <c r="P379">
        <v>0</v>
      </c>
      <c r="Q379">
        <v>1</v>
      </c>
    </row>
    <row r="380" spans="1:17" x14ac:dyDescent="0.25">
      <c r="A380">
        <v>30901</v>
      </c>
      <c r="B380" t="s">
        <v>2566</v>
      </c>
      <c r="C380" t="s">
        <v>2563</v>
      </c>
      <c r="D380" s="3">
        <v>25679</v>
      </c>
      <c r="E380" t="s">
        <v>1379</v>
      </c>
      <c r="F380">
        <v>187</v>
      </c>
      <c r="G380" s="3">
        <v>42534</v>
      </c>
      <c r="H380" t="s">
        <v>2567</v>
      </c>
      <c r="J380" t="s">
        <v>1494</v>
      </c>
      <c r="K380" t="s">
        <v>53</v>
      </c>
      <c r="L380" s="3">
        <v>46134</v>
      </c>
      <c r="M380" s="3">
        <v>46097</v>
      </c>
      <c r="N380" t="s">
        <v>2568</v>
      </c>
      <c r="O380" s="4">
        <v>1</v>
      </c>
      <c r="P380">
        <v>0</v>
      </c>
      <c r="Q380">
        <v>0</v>
      </c>
    </row>
    <row r="381" spans="1:17" x14ac:dyDescent="0.25">
      <c r="A381">
        <v>30623</v>
      </c>
      <c r="B381" t="s">
        <v>2019</v>
      </c>
      <c r="C381" t="s">
        <v>2094</v>
      </c>
      <c r="D381" s="3">
        <v>25613</v>
      </c>
      <c r="E381" t="s">
        <v>1379</v>
      </c>
      <c r="F381">
        <v>51</v>
      </c>
      <c r="G381" s="3">
        <v>42429</v>
      </c>
      <c r="H381" t="s">
        <v>2106</v>
      </c>
      <c r="J381" t="s">
        <v>1566</v>
      </c>
      <c r="K381" t="s">
        <v>47</v>
      </c>
      <c r="L381" s="3">
        <v>45966</v>
      </c>
      <c r="M381" s="3">
        <v>45958</v>
      </c>
      <c r="N381" t="s">
        <v>2107</v>
      </c>
      <c r="O381" s="4">
        <v>1</v>
      </c>
      <c r="P381">
        <v>0</v>
      </c>
      <c r="Q381">
        <v>1</v>
      </c>
    </row>
    <row r="382" spans="1:17" x14ac:dyDescent="0.25">
      <c r="A382">
        <v>30323</v>
      </c>
      <c r="B382" t="s">
        <v>3051</v>
      </c>
      <c r="C382" t="s">
        <v>3052</v>
      </c>
      <c r="D382" s="3">
        <v>27976</v>
      </c>
      <c r="E382" t="s">
        <v>1379</v>
      </c>
      <c r="F382">
        <v>474</v>
      </c>
      <c r="G382" s="3">
        <v>42296</v>
      </c>
      <c r="H382" t="s">
        <v>3053</v>
      </c>
      <c r="I382">
        <v>93845873</v>
      </c>
      <c r="J382" t="s">
        <v>1397</v>
      </c>
      <c r="K382" t="s">
        <v>38</v>
      </c>
      <c r="L382" s="3">
        <v>47602</v>
      </c>
      <c r="M382" s="3">
        <v>47594</v>
      </c>
      <c r="N382" t="s">
        <v>3054</v>
      </c>
      <c r="O382" s="4">
        <v>1</v>
      </c>
      <c r="P382">
        <v>0</v>
      </c>
      <c r="Q382">
        <v>1</v>
      </c>
    </row>
    <row r="383" spans="1:17" x14ac:dyDescent="0.25">
      <c r="A383">
        <v>30321</v>
      </c>
      <c r="B383" t="s">
        <v>2663</v>
      </c>
      <c r="C383" t="s">
        <v>2664</v>
      </c>
      <c r="D383" s="3">
        <v>34204</v>
      </c>
      <c r="E383" t="s">
        <v>1379</v>
      </c>
      <c r="G383" s="3">
        <v>42296</v>
      </c>
      <c r="H383" t="s">
        <v>2665</v>
      </c>
      <c r="I383">
        <v>0</v>
      </c>
      <c r="J383" t="s">
        <v>1420</v>
      </c>
      <c r="K383" t="s">
        <v>47</v>
      </c>
      <c r="L383" s="3">
        <v>46181</v>
      </c>
      <c r="M383" s="3">
        <v>46105</v>
      </c>
      <c r="N383" t="s">
        <v>2666</v>
      </c>
      <c r="O383" s="4">
        <v>1</v>
      </c>
      <c r="P383">
        <v>0</v>
      </c>
      <c r="Q383">
        <v>1</v>
      </c>
    </row>
    <row r="384" spans="1:17" x14ac:dyDescent="0.25">
      <c r="A384">
        <v>30292</v>
      </c>
      <c r="B384" t="s">
        <v>1718</v>
      </c>
      <c r="C384" t="s">
        <v>1719</v>
      </c>
      <c r="D384" s="3">
        <v>31065</v>
      </c>
      <c r="E384" t="s">
        <v>1379</v>
      </c>
      <c r="F384">
        <v>369</v>
      </c>
      <c r="G384" s="3">
        <v>42282</v>
      </c>
      <c r="H384" t="s">
        <v>1720</v>
      </c>
      <c r="J384" t="s">
        <v>1459</v>
      </c>
      <c r="K384" t="s">
        <v>35</v>
      </c>
      <c r="L384" s="3">
        <v>73050</v>
      </c>
      <c r="M384" s="3">
        <v>73050</v>
      </c>
      <c r="N384" t="s">
        <v>1721</v>
      </c>
      <c r="O384" s="4">
        <v>1</v>
      </c>
      <c r="P384">
        <v>0</v>
      </c>
      <c r="Q384">
        <v>0</v>
      </c>
    </row>
    <row r="385" spans="1:17" x14ac:dyDescent="0.25">
      <c r="A385">
        <v>30271</v>
      </c>
      <c r="B385" t="s">
        <v>1941</v>
      </c>
      <c r="C385" t="s">
        <v>2597</v>
      </c>
      <c r="D385" s="3">
        <v>31836</v>
      </c>
      <c r="E385" t="s">
        <v>1379</v>
      </c>
      <c r="F385">
        <v>266</v>
      </c>
      <c r="G385" s="3">
        <v>42268</v>
      </c>
      <c r="H385" t="s">
        <v>2600</v>
      </c>
      <c r="J385" t="s">
        <v>1507</v>
      </c>
      <c r="K385" t="s">
        <v>53</v>
      </c>
      <c r="L385" s="3">
        <v>47576</v>
      </c>
      <c r="M385" s="3">
        <v>47524</v>
      </c>
      <c r="N385" t="s">
        <v>2601</v>
      </c>
      <c r="O385" s="4">
        <v>1</v>
      </c>
      <c r="P385">
        <v>0</v>
      </c>
      <c r="Q385">
        <v>1</v>
      </c>
    </row>
    <row r="386" spans="1:17" x14ac:dyDescent="0.25">
      <c r="A386">
        <v>30121</v>
      </c>
      <c r="B386" t="s">
        <v>3358</v>
      </c>
      <c r="C386" t="s">
        <v>3359</v>
      </c>
      <c r="D386" s="3">
        <v>22410</v>
      </c>
      <c r="E386" t="s">
        <v>1379</v>
      </c>
      <c r="F386">
        <v>134</v>
      </c>
      <c r="G386" s="3">
        <v>42198</v>
      </c>
      <c r="H386" t="s">
        <v>3360</v>
      </c>
      <c r="I386">
        <v>92280648</v>
      </c>
      <c r="J386" t="s">
        <v>1397</v>
      </c>
      <c r="K386" t="s">
        <v>44</v>
      </c>
      <c r="L386" s="3">
        <v>47533</v>
      </c>
      <c r="M386" s="3">
        <v>47524</v>
      </c>
      <c r="N386" t="s">
        <v>3361</v>
      </c>
      <c r="O386" s="4">
        <v>1</v>
      </c>
      <c r="P386">
        <v>0</v>
      </c>
      <c r="Q386">
        <v>0</v>
      </c>
    </row>
    <row r="387" spans="1:17" x14ac:dyDescent="0.25">
      <c r="A387">
        <v>30119</v>
      </c>
      <c r="B387" t="s">
        <v>1568</v>
      </c>
      <c r="C387" t="s">
        <v>1551</v>
      </c>
      <c r="D387" s="3">
        <v>24008</v>
      </c>
      <c r="E387" t="s">
        <v>1379</v>
      </c>
      <c r="F387">
        <v>143</v>
      </c>
      <c r="G387" s="3">
        <v>42198</v>
      </c>
      <c r="H387" t="s">
        <v>1569</v>
      </c>
      <c r="J387" t="s">
        <v>1459</v>
      </c>
      <c r="K387" t="s">
        <v>35</v>
      </c>
      <c r="L387" s="3">
        <v>47569</v>
      </c>
      <c r="M387" s="3">
        <v>47517</v>
      </c>
      <c r="N387" t="s">
        <v>1570</v>
      </c>
      <c r="O387" s="4">
        <v>1</v>
      </c>
      <c r="P387">
        <v>0</v>
      </c>
      <c r="Q387">
        <v>1</v>
      </c>
    </row>
    <row r="388" spans="1:17" x14ac:dyDescent="0.25">
      <c r="A388">
        <v>29821</v>
      </c>
      <c r="B388" t="s">
        <v>2901</v>
      </c>
      <c r="C388" t="s">
        <v>2902</v>
      </c>
      <c r="D388" s="3">
        <v>24617</v>
      </c>
      <c r="E388" t="s">
        <v>1379</v>
      </c>
      <c r="F388">
        <v>346</v>
      </c>
      <c r="G388" s="3">
        <v>42121</v>
      </c>
      <c r="H388" t="s">
        <v>2903</v>
      </c>
      <c r="I388">
        <v>0</v>
      </c>
      <c r="J388" t="s">
        <v>1433</v>
      </c>
      <c r="K388" t="s">
        <v>35</v>
      </c>
      <c r="L388" s="3">
        <v>47614</v>
      </c>
      <c r="M388" s="3">
        <v>47195</v>
      </c>
      <c r="N388" t="s">
        <v>2904</v>
      </c>
      <c r="O388" s="4">
        <v>1</v>
      </c>
      <c r="P388">
        <v>0</v>
      </c>
      <c r="Q388">
        <v>1</v>
      </c>
    </row>
    <row r="389" spans="1:17" x14ac:dyDescent="0.25">
      <c r="A389">
        <v>29818</v>
      </c>
      <c r="B389" t="s">
        <v>3343</v>
      </c>
      <c r="C389" t="s">
        <v>3344</v>
      </c>
      <c r="D389" s="3">
        <v>32133</v>
      </c>
      <c r="E389" t="s">
        <v>1634</v>
      </c>
      <c r="F389">
        <v>401</v>
      </c>
      <c r="G389" s="3">
        <v>42121</v>
      </c>
      <c r="H389" t="s">
        <v>3345</v>
      </c>
      <c r="J389" t="s">
        <v>1700</v>
      </c>
      <c r="K389" t="s">
        <v>35</v>
      </c>
      <c r="L389" s="3">
        <v>47485</v>
      </c>
      <c r="M389" s="3">
        <v>47470</v>
      </c>
      <c r="N389" t="s">
        <v>3346</v>
      </c>
      <c r="O389" s="4">
        <v>1</v>
      </c>
      <c r="P389">
        <v>0</v>
      </c>
      <c r="Q389">
        <v>0</v>
      </c>
    </row>
    <row r="390" spans="1:17" x14ac:dyDescent="0.25">
      <c r="A390">
        <v>29778</v>
      </c>
      <c r="B390" t="s">
        <v>2502</v>
      </c>
      <c r="C390" t="s">
        <v>2503</v>
      </c>
      <c r="D390" s="3">
        <v>24404</v>
      </c>
      <c r="E390" t="s">
        <v>1379</v>
      </c>
      <c r="F390">
        <v>173</v>
      </c>
      <c r="G390" s="3">
        <v>42107</v>
      </c>
      <c r="H390" t="s">
        <v>2504</v>
      </c>
      <c r="I390">
        <v>56371827</v>
      </c>
      <c r="J390" t="s">
        <v>1498</v>
      </c>
      <c r="K390" t="s">
        <v>47</v>
      </c>
      <c r="L390" s="3">
        <v>47322</v>
      </c>
      <c r="M390" s="3">
        <v>47306</v>
      </c>
      <c r="N390" t="s">
        <v>2505</v>
      </c>
      <c r="O390" s="4">
        <v>0.8</v>
      </c>
      <c r="P390">
        <v>0</v>
      </c>
      <c r="Q390">
        <v>0</v>
      </c>
    </row>
    <row r="391" spans="1:17" x14ac:dyDescent="0.25">
      <c r="A391">
        <v>29746</v>
      </c>
      <c r="B391" t="s">
        <v>3339</v>
      </c>
      <c r="C391" t="s">
        <v>3340</v>
      </c>
      <c r="D391" s="3">
        <v>28476</v>
      </c>
      <c r="E391" t="s">
        <v>1379</v>
      </c>
      <c r="F391">
        <v>70</v>
      </c>
      <c r="G391" s="3">
        <v>42093</v>
      </c>
      <c r="H391" t="s">
        <v>3341</v>
      </c>
      <c r="J391" t="s">
        <v>1397</v>
      </c>
      <c r="K391" t="s">
        <v>38</v>
      </c>
      <c r="L391" s="3">
        <v>47454</v>
      </c>
      <c r="M391" s="3">
        <v>47449</v>
      </c>
      <c r="N391" t="s">
        <v>3342</v>
      </c>
      <c r="O391" s="4">
        <v>1</v>
      </c>
      <c r="P391">
        <v>0</v>
      </c>
      <c r="Q391">
        <v>1</v>
      </c>
    </row>
    <row r="392" spans="1:17" x14ac:dyDescent="0.25">
      <c r="A392">
        <v>29674</v>
      </c>
      <c r="B392" t="s">
        <v>2816</v>
      </c>
      <c r="C392" t="s">
        <v>2817</v>
      </c>
      <c r="D392" s="3">
        <v>33868</v>
      </c>
      <c r="E392" t="s">
        <v>1379</v>
      </c>
      <c r="G392" s="3">
        <v>42065</v>
      </c>
      <c r="H392" t="s">
        <v>2818</v>
      </c>
      <c r="J392" t="s">
        <v>1387</v>
      </c>
      <c r="K392" t="s">
        <v>35</v>
      </c>
      <c r="L392" s="3">
        <v>47499</v>
      </c>
      <c r="M392" s="3">
        <v>47441</v>
      </c>
      <c r="N392" t="s">
        <v>2819</v>
      </c>
      <c r="O392" s="4">
        <v>1</v>
      </c>
      <c r="P392">
        <v>0</v>
      </c>
      <c r="Q392">
        <v>0</v>
      </c>
    </row>
    <row r="393" spans="1:17" x14ac:dyDescent="0.25">
      <c r="A393">
        <v>29646</v>
      </c>
      <c r="B393" t="s">
        <v>2007</v>
      </c>
      <c r="C393" t="s">
        <v>2214</v>
      </c>
      <c r="D393" s="3">
        <v>30289</v>
      </c>
      <c r="E393" t="s">
        <v>1379</v>
      </c>
      <c r="F393">
        <v>455</v>
      </c>
      <c r="G393" s="3">
        <v>42051</v>
      </c>
      <c r="H393" t="s">
        <v>2215</v>
      </c>
      <c r="J393" t="s">
        <v>1463</v>
      </c>
      <c r="K393" t="s">
        <v>35</v>
      </c>
      <c r="L393" s="3">
        <v>47471</v>
      </c>
      <c r="M393" s="3">
        <v>47462</v>
      </c>
      <c r="N393" t="s">
        <v>2216</v>
      </c>
      <c r="O393" s="4">
        <v>1</v>
      </c>
      <c r="P393">
        <v>0</v>
      </c>
      <c r="Q393">
        <v>1</v>
      </c>
    </row>
    <row r="394" spans="1:17" x14ac:dyDescent="0.25">
      <c r="A394">
        <v>29591</v>
      </c>
      <c r="B394" t="s">
        <v>2111</v>
      </c>
      <c r="C394" t="s">
        <v>2112</v>
      </c>
      <c r="D394" s="3">
        <v>33643</v>
      </c>
      <c r="E394" t="s">
        <v>1379</v>
      </c>
      <c r="F394">
        <v>388</v>
      </c>
      <c r="G394" s="3">
        <v>42023</v>
      </c>
      <c r="H394" t="s">
        <v>2113</v>
      </c>
      <c r="J394" t="s">
        <v>1382</v>
      </c>
      <c r="K394" t="s">
        <v>44</v>
      </c>
      <c r="L394" s="3">
        <v>47399</v>
      </c>
      <c r="M394" s="3">
        <v>47369</v>
      </c>
      <c r="N394" t="s">
        <v>2114</v>
      </c>
      <c r="O394" s="4">
        <v>1</v>
      </c>
      <c r="P394">
        <v>0</v>
      </c>
      <c r="Q394">
        <v>1</v>
      </c>
    </row>
    <row r="395" spans="1:17" x14ac:dyDescent="0.25">
      <c r="A395">
        <v>29540</v>
      </c>
      <c r="B395" t="s">
        <v>2635</v>
      </c>
      <c r="C395" t="s">
        <v>2632</v>
      </c>
      <c r="D395" s="3">
        <v>28532</v>
      </c>
      <c r="E395" t="s">
        <v>1379</v>
      </c>
      <c r="F395">
        <v>330</v>
      </c>
      <c r="G395" s="3">
        <v>41981</v>
      </c>
      <c r="H395" t="s">
        <v>2636</v>
      </c>
      <c r="J395" t="s">
        <v>1494</v>
      </c>
      <c r="K395" t="s">
        <v>56</v>
      </c>
      <c r="L395" s="3">
        <v>47335</v>
      </c>
      <c r="M395" s="3">
        <v>47293</v>
      </c>
      <c r="N395" t="s">
        <v>2637</v>
      </c>
      <c r="O395" s="4">
        <v>1</v>
      </c>
      <c r="P395">
        <v>0</v>
      </c>
      <c r="Q395">
        <v>0</v>
      </c>
    </row>
    <row r="396" spans="1:17" x14ac:dyDescent="0.25">
      <c r="A396">
        <v>29539</v>
      </c>
      <c r="B396" t="s">
        <v>1633</v>
      </c>
      <c r="C396" t="s">
        <v>1328</v>
      </c>
      <c r="D396" s="3">
        <v>32280</v>
      </c>
      <c r="E396" t="s">
        <v>1634</v>
      </c>
      <c r="F396">
        <v>366</v>
      </c>
      <c r="G396" s="3">
        <v>41981</v>
      </c>
      <c r="H396" t="s">
        <v>1635</v>
      </c>
      <c r="J396" t="s">
        <v>1636</v>
      </c>
      <c r="K396" t="s">
        <v>35</v>
      </c>
      <c r="L396" s="3">
        <v>47341</v>
      </c>
      <c r="M396" s="3">
        <v>47449</v>
      </c>
      <c r="N396" t="s">
        <v>1637</v>
      </c>
      <c r="O396" s="4">
        <v>0.8</v>
      </c>
      <c r="P396">
        <v>0</v>
      </c>
      <c r="Q396">
        <v>0</v>
      </c>
    </row>
    <row r="397" spans="1:17" x14ac:dyDescent="0.25">
      <c r="A397">
        <v>29478</v>
      </c>
      <c r="B397" t="s">
        <v>2741</v>
      </c>
      <c r="C397" t="s">
        <v>2742</v>
      </c>
      <c r="D397" s="3">
        <v>21893</v>
      </c>
      <c r="E397" t="s">
        <v>1379</v>
      </c>
      <c r="F397">
        <v>437</v>
      </c>
      <c r="G397" s="3">
        <v>41946</v>
      </c>
      <c r="H397" t="s">
        <v>2743</v>
      </c>
      <c r="J397" t="s">
        <v>1516</v>
      </c>
      <c r="K397" t="s">
        <v>53</v>
      </c>
      <c r="L397" s="3">
        <v>47509</v>
      </c>
      <c r="M397" s="3">
        <v>47460</v>
      </c>
      <c r="N397" t="s">
        <v>2744</v>
      </c>
      <c r="O397" s="4">
        <v>1</v>
      </c>
      <c r="P397">
        <v>0</v>
      </c>
      <c r="Q397">
        <v>1</v>
      </c>
    </row>
    <row r="398" spans="1:17" x14ac:dyDescent="0.25">
      <c r="A398">
        <v>29477</v>
      </c>
      <c r="B398" t="s">
        <v>3203</v>
      </c>
      <c r="C398" t="s">
        <v>3204</v>
      </c>
      <c r="D398" s="3">
        <v>30968</v>
      </c>
      <c r="E398" t="s">
        <v>1379</v>
      </c>
      <c r="F398">
        <v>436</v>
      </c>
      <c r="G398" s="3">
        <v>41946</v>
      </c>
      <c r="H398" t="s">
        <v>3205</v>
      </c>
      <c r="J398" t="s">
        <v>1636</v>
      </c>
      <c r="K398" t="s">
        <v>56</v>
      </c>
      <c r="L398" s="3">
        <v>47279</v>
      </c>
      <c r="M398" s="3">
        <v>47267</v>
      </c>
      <c r="N398" t="s">
        <v>3206</v>
      </c>
      <c r="O398" s="4">
        <v>0.8</v>
      </c>
      <c r="P398">
        <v>0</v>
      </c>
      <c r="Q398">
        <v>0</v>
      </c>
    </row>
    <row r="399" spans="1:17" x14ac:dyDescent="0.25">
      <c r="A399">
        <v>29370</v>
      </c>
      <c r="B399" t="s">
        <v>1748</v>
      </c>
      <c r="C399" t="s">
        <v>1749</v>
      </c>
      <c r="D399" s="3">
        <v>29675</v>
      </c>
      <c r="E399" t="s">
        <v>1379</v>
      </c>
      <c r="F399">
        <v>375</v>
      </c>
      <c r="G399" s="3">
        <v>41904</v>
      </c>
      <c r="H399" t="s">
        <v>1750</v>
      </c>
      <c r="J399" t="s">
        <v>1438</v>
      </c>
      <c r="K399" t="s">
        <v>38</v>
      </c>
      <c r="L399" s="3">
        <v>47427</v>
      </c>
      <c r="M399" s="3">
        <v>47338</v>
      </c>
      <c r="N399" t="s">
        <v>1751</v>
      </c>
      <c r="O399" s="4">
        <v>0.8</v>
      </c>
      <c r="P399">
        <v>0</v>
      </c>
      <c r="Q399">
        <v>0</v>
      </c>
    </row>
    <row r="400" spans="1:17" x14ac:dyDescent="0.25">
      <c r="A400">
        <v>29271</v>
      </c>
      <c r="B400" t="s">
        <v>1543</v>
      </c>
      <c r="C400" t="s">
        <v>2880</v>
      </c>
      <c r="D400" s="3">
        <v>29005</v>
      </c>
      <c r="E400" t="s">
        <v>1379</v>
      </c>
      <c r="F400">
        <v>298</v>
      </c>
      <c r="G400" s="3">
        <v>41855</v>
      </c>
      <c r="H400" t="s">
        <v>2881</v>
      </c>
      <c r="J400" t="s">
        <v>1604</v>
      </c>
      <c r="K400" t="s">
        <v>53</v>
      </c>
      <c r="L400" s="3">
        <v>47205</v>
      </c>
      <c r="M400" s="3">
        <v>47195</v>
      </c>
      <c r="N400" t="s">
        <v>2882</v>
      </c>
      <c r="O400" s="4">
        <v>1</v>
      </c>
      <c r="P400">
        <v>0</v>
      </c>
      <c r="Q400">
        <v>0</v>
      </c>
    </row>
    <row r="401" spans="1:17" x14ac:dyDescent="0.25">
      <c r="A401">
        <v>29181</v>
      </c>
      <c r="B401" t="s">
        <v>2857</v>
      </c>
      <c r="C401" t="s">
        <v>2858</v>
      </c>
      <c r="D401" s="3">
        <v>25391</v>
      </c>
      <c r="E401" t="s">
        <v>1379</v>
      </c>
      <c r="F401">
        <v>339</v>
      </c>
      <c r="G401" s="3">
        <v>41827</v>
      </c>
      <c r="H401" t="s">
        <v>2859</v>
      </c>
      <c r="J401" t="s">
        <v>1397</v>
      </c>
      <c r="K401" t="s">
        <v>38</v>
      </c>
      <c r="L401" s="3">
        <v>47243</v>
      </c>
      <c r="M401" s="3">
        <v>47196</v>
      </c>
      <c r="N401" t="s">
        <v>2860</v>
      </c>
      <c r="O401" s="4">
        <v>1</v>
      </c>
      <c r="P401">
        <v>0</v>
      </c>
      <c r="Q401">
        <v>1</v>
      </c>
    </row>
    <row r="402" spans="1:17" x14ac:dyDescent="0.25">
      <c r="A402">
        <v>29179</v>
      </c>
      <c r="B402" t="s">
        <v>2982</v>
      </c>
      <c r="C402" t="s">
        <v>2983</v>
      </c>
      <c r="D402" s="3">
        <v>32059</v>
      </c>
      <c r="E402" t="s">
        <v>1379</v>
      </c>
      <c r="F402">
        <v>276</v>
      </c>
      <c r="G402" s="3">
        <v>41827</v>
      </c>
      <c r="H402" t="s">
        <v>2984</v>
      </c>
      <c r="I402" t="s">
        <v>2985</v>
      </c>
      <c r="J402" t="s">
        <v>1566</v>
      </c>
      <c r="K402" t="s">
        <v>53</v>
      </c>
      <c r="L402" s="3">
        <v>47278</v>
      </c>
      <c r="M402" s="3">
        <v>46042</v>
      </c>
      <c r="N402" t="s">
        <v>2986</v>
      </c>
      <c r="O402" s="4">
        <v>1</v>
      </c>
      <c r="P402">
        <v>0</v>
      </c>
      <c r="Q402">
        <v>0</v>
      </c>
    </row>
    <row r="403" spans="1:17" x14ac:dyDescent="0.25">
      <c r="A403">
        <v>28995</v>
      </c>
      <c r="B403" t="s">
        <v>2378</v>
      </c>
      <c r="C403" t="s">
        <v>2379</v>
      </c>
      <c r="D403" s="3">
        <v>22706</v>
      </c>
      <c r="E403" t="s">
        <v>1379</v>
      </c>
      <c r="F403">
        <v>55</v>
      </c>
      <c r="G403" s="3">
        <v>41771</v>
      </c>
      <c r="H403" t="s">
        <v>2380</v>
      </c>
      <c r="J403" t="s">
        <v>1397</v>
      </c>
      <c r="K403" t="s">
        <v>44</v>
      </c>
      <c r="L403" s="3">
        <v>45543</v>
      </c>
      <c r="M403" s="3">
        <v>45306</v>
      </c>
      <c r="N403" t="s">
        <v>2381</v>
      </c>
      <c r="O403" s="4">
        <v>0.8</v>
      </c>
      <c r="P403">
        <v>0</v>
      </c>
      <c r="Q403">
        <v>0</v>
      </c>
    </row>
    <row r="404" spans="1:17" x14ac:dyDescent="0.25">
      <c r="A404">
        <v>28910</v>
      </c>
      <c r="B404" t="s">
        <v>2019</v>
      </c>
      <c r="C404" t="s">
        <v>2020</v>
      </c>
      <c r="D404" s="3">
        <v>30034</v>
      </c>
      <c r="E404" t="s">
        <v>1379</v>
      </c>
      <c r="F404">
        <v>144</v>
      </c>
      <c r="G404" s="3">
        <v>41743</v>
      </c>
      <c r="H404" t="s">
        <v>2021</v>
      </c>
      <c r="J404" t="s">
        <v>1636</v>
      </c>
      <c r="K404" t="s">
        <v>38</v>
      </c>
      <c r="L404" s="3">
        <v>47216</v>
      </c>
      <c r="M404" s="3">
        <v>47195</v>
      </c>
      <c r="N404" t="s">
        <v>2022</v>
      </c>
      <c r="O404" s="4">
        <v>0.8</v>
      </c>
      <c r="P404">
        <v>0</v>
      </c>
      <c r="Q404">
        <v>0</v>
      </c>
    </row>
    <row r="405" spans="1:17" x14ac:dyDescent="0.25">
      <c r="A405">
        <v>28835</v>
      </c>
      <c r="B405" t="s">
        <v>3232</v>
      </c>
      <c r="C405" t="s">
        <v>3233</v>
      </c>
      <c r="D405" s="3">
        <v>33067</v>
      </c>
      <c r="E405" t="s">
        <v>1379</v>
      </c>
      <c r="F405">
        <v>241</v>
      </c>
      <c r="G405" s="3">
        <v>41722</v>
      </c>
      <c r="H405" t="s">
        <v>3234</v>
      </c>
      <c r="J405" t="s">
        <v>1498</v>
      </c>
      <c r="K405" t="s">
        <v>44</v>
      </c>
      <c r="L405" s="3">
        <v>47135</v>
      </c>
      <c r="M405" s="3">
        <v>47051</v>
      </c>
      <c r="N405" t="s">
        <v>3235</v>
      </c>
      <c r="O405" s="4">
        <v>0.8</v>
      </c>
      <c r="P405">
        <v>0</v>
      </c>
      <c r="Q405">
        <v>0</v>
      </c>
    </row>
    <row r="406" spans="1:17" x14ac:dyDescent="0.25">
      <c r="A406">
        <v>28830</v>
      </c>
      <c r="B406" t="s">
        <v>2045</v>
      </c>
      <c r="C406" t="s">
        <v>2046</v>
      </c>
      <c r="D406" s="3">
        <v>29494</v>
      </c>
      <c r="E406" t="s">
        <v>1379</v>
      </c>
      <c r="F406">
        <v>619</v>
      </c>
      <c r="G406" s="3">
        <v>41722</v>
      </c>
      <c r="H406" t="s">
        <v>2047</v>
      </c>
      <c r="J406" t="s">
        <v>1494</v>
      </c>
      <c r="K406" t="s">
        <v>44</v>
      </c>
      <c r="L406" s="3">
        <v>47108</v>
      </c>
      <c r="M406" s="3">
        <v>47034</v>
      </c>
      <c r="N406" t="s">
        <v>2048</v>
      </c>
      <c r="O406" s="4">
        <v>0.8</v>
      </c>
      <c r="P406">
        <v>0</v>
      </c>
      <c r="Q406">
        <v>0</v>
      </c>
    </row>
    <row r="407" spans="1:17" x14ac:dyDescent="0.25">
      <c r="A407">
        <v>28821</v>
      </c>
      <c r="B407" t="s">
        <v>2950</v>
      </c>
      <c r="C407" t="s">
        <v>1330</v>
      </c>
      <c r="D407" s="3">
        <v>27974</v>
      </c>
      <c r="E407" t="s">
        <v>1379</v>
      </c>
      <c r="F407">
        <v>652</v>
      </c>
      <c r="G407" s="3">
        <v>41708</v>
      </c>
      <c r="H407" t="s">
        <v>2951</v>
      </c>
      <c r="J407" t="s">
        <v>1604</v>
      </c>
      <c r="K407" t="s">
        <v>38</v>
      </c>
      <c r="L407" s="3">
        <v>47643</v>
      </c>
      <c r="M407" s="3">
        <v>46974</v>
      </c>
      <c r="N407" t="s">
        <v>2952</v>
      </c>
      <c r="O407" s="4">
        <v>0.6</v>
      </c>
      <c r="P407">
        <v>0</v>
      </c>
      <c r="Q407">
        <v>0</v>
      </c>
    </row>
    <row r="408" spans="1:17" x14ac:dyDescent="0.25">
      <c r="A408">
        <v>28794</v>
      </c>
      <c r="B408" t="s">
        <v>2061</v>
      </c>
      <c r="C408" t="s">
        <v>2062</v>
      </c>
      <c r="D408" s="3">
        <v>31809</v>
      </c>
      <c r="E408" t="s">
        <v>1379</v>
      </c>
      <c r="F408">
        <v>41</v>
      </c>
      <c r="G408" s="3">
        <v>41701</v>
      </c>
      <c r="H408" t="s">
        <v>2063</v>
      </c>
      <c r="J408" t="s">
        <v>1566</v>
      </c>
      <c r="K408" t="s">
        <v>56</v>
      </c>
      <c r="L408" s="3">
        <v>47128</v>
      </c>
      <c r="M408" s="3">
        <v>47077</v>
      </c>
      <c r="N408" t="s">
        <v>2064</v>
      </c>
      <c r="O408" s="4">
        <v>0.8</v>
      </c>
      <c r="P408">
        <v>0</v>
      </c>
      <c r="Q408">
        <v>1</v>
      </c>
    </row>
    <row r="409" spans="1:17" x14ac:dyDescent="0.25">
      <c r="A409">
        <v>28737</v>
      </c>
      <c r="B409" t="s">
        <v>2159</v>
      </c>
      <c r="C409" t="s">
        <v>2160</v>
      </c>
      <c r="D409" s="3">
        <v>27642</v>
      </c>
      <c r="E409" t="s">
        <v>1379</v>
      </c>
      <c r="F409">
        <v>17</v>
      </c>
      <c r="G409" s="3">
        <v>41680</v>
      </c>
      <c r="H409" t="s">
        <v>2161</v>
      </c>
      <c r="J409" t="s">
        <v>1566</v>
      </c>
      <c r="K409" t="s">
        <v>56</v>
      </c>
      <c r="L409" s="3">
        <v>47174</v>
      </c>
      <c r="M409" s="3">
        <v>47615</v>
      </c>
      <c r="N409" t="s">
        <v>2162</v>
      </c>
      <c r="O409" s="4">
        <v>1</v>
      </c>
      <c r="P409">
        <v>0</v>
      </c>
      <c r="Q409">
        <v>1</v>
      </c>
    </row>
    <row r="410" spans="1:17" x14ac:dyDescent="0.25">
      <c r="A410">
        <v>28717</v>
      </c>
      <c r="B410" t="s">
        <v>2675</v>
      </c>
      <c r="C410" t="s">
        <v>1330</v>
      </c>
      <c r="D410" s="3">
        <v>27229</v>
      </c>
      <c r="E410" t="s">
        <v>1379</v>
      </c>
      <c r="F410">
        <v>25</v>
      </c>
      <c r="G410" s="3">
        <v>41659</v>
      </c>
      <c r="H410" t="s">
        <v>2948</v>
      </c>
      <c r="J410" t="s">
        <v>1411</v>
      </c>
      <c r="K410" t="s">
        <v>56</v>
      </c>
      <c r="L410" s="3">
        <v>46859</v>
      </c>
      <c r="M410" s="3">
        <v>46853</v>
      </c>
      <c r="N410" t="s">
        <v>2949</v>
      </c>
      <c r="O410" s="4">
        <v>1</v>
      </c>
      <c r="P410">
        <v>0</v>
      </c>
      <c r="Q410">
        <v>0</v>
      </c>
    </row>
    <row r="411" spans="1:17" x14ac:dyDescent="0.25">
      <c r="A411">
        <v>28690</v>
      </c>
      <c r="B411" t="s">
        <v>1865</v>
      </c>
      <c r="C411" t="s">
        <v>1866</v>
      </c>
      <c r="D411" s="3">
        <v>28385</v>
      </c>
      <c r="E411" t="s">
        <v>1379</v>
      </c>
      <c r="F411">
        <v>184</v>
      </c>
      <c r="G411" s="3">
        <v>41617</v>
      </c>
      <c r="H411" t="s">
        <v>1867</v>
      </c>
      <c r="I411">
        <v>92315307</v>
      </c>
      <c r="J411" t="s">
        <v>1604</v>
      </c>
      <c r="K411" t="s">
        <v>41</v>
      </c>
      <c r="L411" s="3">
        <v>47034</v>
      </c>
      <c r="M411" s="3">
        <v>46925</v>
      </c>
      <c r="N411" t="s">
        <v>1868</v>
      </c>
      <c r="O411" s="4">
        <v>0.5</v>
      </c>
      <c r="P411">
        <v>0</v>
      </c>
      <c r="Q411">
        <v>0</v>
      </c>
    </row>
    <row r="412" spans="1:17" x14ac:dyDescent="0.25">
      <c r="A412">
        <v>28165</v>
      </c>
      <c r="B412" t="s">
        <v>1540</v>
      </c>
      <c r="C412" t="s">
        <v>2395</v>
      </c>
      <c r="D412" s="3">
        <v>25640</v>
      </c>
      <c r="E412" t="s">
        <v>1379</v>
      </c>
      <c r="F412">
        <v>3</v>
      </c>
      <c r="G412" s="3">
        <v>41421</v>
      </c>
      <c r="H412" t="s">
        <v>2401</v>
      </c>
      <c r="I412">
        <v>55427502</v>
      </c>
      <c r="J412" t="s">
        <v>1700</v>
      </c>
      <c r="K412" t="s">
        <v>53</v>
      </c>
      <c r="L412" s="3">
        <v>46777</v>
      </c>
      <c r="M412" s="3">
        <v>46763</v>
      </c>
      <c r="N412" t="s">
        <v>2402</v>
      </c>
      <c r="O412" s="4">
        <v>1</v>
      </c>
      <c r="P412">
        <v>0</v>
      </c>
      <c r="Q412">
        <v>0</v>
      </c>
    </row>
    <row r="413" spans="1:17" x14ac:dyDescent="0.25">
      <c r="A413">
        <v>28072</v>
      </c>
      <c r="B413" t="s">
        <v>2386</v>
      </c>
      <c r="C413" t="s">
        <v>2387</v>
      </c>
      <c r="D413" s="3">
        <v>25585</v>
      </c>
      <c r="E413" t="s">
        <v>1379</v>
      </c>
      <c r="F413">
        <v>179</v>
      </c>
      <c r="G413" s="3">
        <v>41372</v>
      </c>
      <c r="H413" t="s">
        <v>2388</v>
      </c>
      <c r="J413" t="s">
        <v>1498</v>
      </c>
      <c r="K413" t="s">
        <v>56</v>
      </c>
      <c r="L413" s="3">
        <v>46877</v>
      </c>
      <c r="M413" s="3">
        <v>47083</v>
      </c>
      <c r="N413" t="s">
        <v>2389</v>
      </c>
      <c r="O413" s="4">
        <v>1</v>
      </c>
      <c r="P413">
        <v>0</v>
      </c>
      <c r="Q413">
        <v>0</v>
      </c>
    </row>
    <row r="414" spans="1:17" x14ac:dyDescent="0.25">
      <c r="A414">
        <v>28071</v>
      </c>
      <c r="B414" t="s">
        <v>1774</v>
      </c>
      <c r="C414" t="s">
        <v>1775</v>
      </c>
      <c r="D414" s="3">
        <v>30399</v>
      </c>
      <c r="E414" t="s">
        <v>1379</v>
      </c>
      <c r="F414">
        <v>602</v>
      </c>
      <c r="G414" s="3">
        <v>41372</v>
      </c>
      <c r="H414" t="s">
        <v>1776</v>
      </c>
      <c r="J414" t="s">
        <v>1636</v>
      </c>
      <c r="K414" t="s">
        <v>53</v>
      </c>
      <c r="L414" s="3">
        <v>46817</v>
      </c>
      <c r="M414" s="3">
        <v>46735</v>
      </c>
      <c r="N414" t="s">
        <v>1777</v>
      </c>
      <c r="O414" s="4">
        <v>0.8</v>
      </c>
      <c r="P414">
        <v>0</v>
      </c>
      <c r="Q414">
        <v>0</v>
      </c>
    </row>
    <row r="415" spans="1:17" x14ac:dyDescent="0.25">
      <c r="A415">
        <v>27865</v>
      </c>
      <c r="B415" t="s">
        <v>2382</v>
      </c>
      <c r="C415" t="s">
        <v>2383</v>
      </c>
      <c r="D415" s="3">
        <v>25648</v>
      </c>
      <c r="E415" t="s">
        <v>1379</v>
      </c>
      <c r="F415">
        <v>221</v>
      </c>
      <c r="G415" s="3">
        <v>41313</v>
      </c>
      <c r="H415" t="s">
        <v>2384</v>
      </c>
      <c r="J415" t="s">
        <v>1459</v>
      </c>
      <c r="K415" t="s">
        <v>53</v>
      </c>
      <c r="L415" s="3">
        <v>46166</v>
      </c>
      <c r="M415" s="3">
        <v>47135</v>
      </c>
      <c r="N415" t="s">
        <v>2385</v>
      </c>
      <c r="O415" s="4">
        <v>1</v>
      </c>
      <c r="P415">
        <v>0</v>
      </c>
      <c r="Q415">
        <v>1</v>
      </c>
    </row>
    <row r="416" spans="1:17" x14ac:dyDescent="0.25">
      <c r="A416">
        <v>27786</v>
      </c>
      <c r="B416" t="s">
        <v>2195</v>
      </c>
      <c r="C416" t="s">
        <v>2196</v>
      </c>
      <c r="D416" s="3">
        <v>24757</v>
      </c>
      <c r="E416" t="s">
        <v>1379</v>
      </c>
      <c r="F416">
        <v>96</v>
      </c>
      <c r="G416" s="3">
        <v>41253</v>
      </c>
      <c r="H416" t="s">
        <v>2197</v>
      </c>
      <c r="J416" t="s">
        <v>1459</v>
      </c>
      <c r="K416" t="s">
        <v>53</v>
      </c>
      <c r="L416" s="3">
        <v>46735</v>
      </c>
      <c r="M416" s="3">
        <v>46254</v>
      </c>
      <c r="N416" t="s">
        <v>2198</v>
      </c>
      <c r="O416" s="4">
        <v>1</v>
      </c>
      <c r="P416">
        <v>0</v>
      </c>
      <c r="Q416">
        <v>1</v>
      </c>
    </row>
    <row r="417" spans="1:17" x14ac:dyDescent="0.25">
      <c r="A417">
        <v>27713</v>
      </c>
      <c r="B417" t="s">
        <v>3283</v>
      </c>
      <c r="C417" t="s">
        <v>1351</v>
      </c>
      <c r="D417" s="3">
        <v>25474</v>
      </c>
      <c r="E417" t="s">
        <v>1379</v>
      </c>
      <c r="F417">
        <v>77</v>
      </c>
      <c r="G417" s="3">
        <v>41218</v>
      </c>
      <c r="H417" t="s">
        <v>3284</v>
      </c>
      <c r="J417" t="s">
        <v>1459</v>
      </c>
      <c r="K417" t="s">
        <v>53</v>
      </c>
      <c r="L417" s="3">
        <v>46601</v>
      </c>
      <c r="M417" s="3">
        <v>46593</v>
      </c>
      <c r="N417" t="s">
        <v>3285</v>
      </c>
      <c r="O417" s="4">
        <v>0.8</v>
      </c>
      <c r="P417">
        <v>0</v>
      </c>
      <c r="Q417">
        <v>0</v>
      </c>
    </row>
    <row r="418" spans="1:17" x14ac:dyDescent="0.25">
      <c r="A418">
        <v>27711</v>
      </c>
      <c r="B418" t="s">
        <v>3074</v>
      </c>
      <c r="C418" t="s">
        <v>2406</v>
      </c>
      <c r="D418" s="3">
        <v>27392</v>
      </c>
      <c r="E418" t="s">
        <v>1379</v>
      </c>
      <c r="F418">
        <v>379</v>
      </c>
      <c r="G418" s="3">
        <v>41218</v>
      </c>
      <c r="H418" t="s">
        <v>3075</v>
      </c>
      <c r="I418">
        <v>93286345</v>
      </c>
      <c r="J418" t="s">
        <v>1433</v>
      </c>
      <c r="K418" t="s">
        <v>44</v>
      </c>
      <c r="L418" s="3">
        <v>46475</v>
      </c>
      <c r="M418" s="3">
        <v>46427</v>
      </c>
      <c r="N418" t="s">
        <v>3076</v>
      </c>
      <c r="O418" s="4">
        <v>1</v>
      </c>
      <c r="P418">
        <v>0</v>
      </c>
      <c r="Q418">
        <v>1</v>
      </c>
    </row>
    <row r="419" spans="1:17" x14ac:dyDescent="0.25">
      <c r="A419">
        <v>27673</v>
      </c>
      <c r="B419" t="s">
        <v>2427</v>
      </c>
      <c r="C419" t="s">
        <v>2428</v>
      </c>
      <c r="D419" s="3">
        <v>27365</v>
      </c>
      <c r="E419" t="s">
        <v>1379</v>
      </c>
      <c r="F419">
        <v>315</v>
      </c>
      <c r="G419" s="3">
        <v>41204</v>
      </c>
      <c r="H419" t="s">
        <v>2429</v>
      </c>
      <c r="J419" t="s">
        <v>1459</v>
      </c>
      <c r="K419" t="s">
        <v>44</v>
      </c>
      <c r="L419" s="3">
        <v>46505</v>
      </c>
      <c r="M419" s="3">
        <v>46497</v>
      </c>
      <c r="N419" t="s">
        <v>2430</v>
      </c>
      <c r="O419" s="4">
        <v>1</v>
      </c>
      <c r="P419">
        <v>0</v>
      </c>
      <c r="Q419">
        <v>0</v>
      </c>
    </row>
    <row r="420" spans="1:17" x14ac:dyDescent="0.25">
      <c r="A420">
        <v>27672</v>
      </c>
      <c r="B420" t="s">
        <v>1513</v>
      </c>
      <c r="C420" t="s">
        <v>1514</v>
      </c>
      <c r="D420" s="3">
        <v>31877</v>
      </c>
      <c r="E420" t="s">
        <v>1379</v>
      </c>
      <c r="F420">
        <v>199</v>
      </c>
      <c r="G420" s="3">
        <v>41204</v>
      </c>
      <c r="H420" t="s">
        <v>1515</v>
      </c>
      <c r="J420" t="s">
        <v>1516</v>
      </c>
      <c r="K420" t="s">
        <v>50</v>
      </c>
      <c r="L420" s="3">
        <v>72686</v>
      </c>
      <c r="M420" s="3">
        <v>46476</v>
      </c>
      <c r="N420" t="s">
        <v>1517</v>
      </c>
      <c r="O420" s="4">
        <v>1</v>
      </c>
      <c r="P420">
        <v>0</v>
      </c>
      <c r="Q420">
        <v>0</v>
      </c>
    </row>
    <row r="421" spans="1:17" x14ac:dyDescent="0.25">
      <c r="A421">
        <v>27635</v>
      </c>
      <c r="B421" t="s">
        <v>3112</v>
      </c>
      <c r="C421" t="s">
        <v>3113</v>
      </c>
      <c r="D421" s="3">
        <v>31904</v>
      </c>
      <c r="E421" t="s">
        <v>1379</v>
      </c>
      <c r="F421">
        <v>363</v>
      </c>
      <c r="G421" s="3">
        <v>41176</v>
      </c>
      <c r="H421" t="s">
        <v>3114</v>
      </c>
      <c r="J421" t="s">
        <v>1387</v>
      </c>
      <c r="K421" t="s">
        <v>47</v>
      </c>
      <c r="L421" s="3">
        <v>46523</v>
      </c>
      <c r="M421" s="3">
        <v>46466</v>
      </c>
      <c r="N421" t="s">
        <v>3115</v>
      </c>
      <c r="O421" s="4">
        <v>1</v>
      </c>
      <c r="P421">
        <v>0</v>
      </c>
      <c r="Q421">
        <v>0</v>
      </c>
    </row>
    <row r="422" spans="1:17" x14ac:dyDescent="0.25">
      <c r="A422">
        <v>27607</v>
      </c>
      <c r="B422" t="s">
        <v>2837</v>
      </c>
      <c r="C422" t="s">
        <v>2838</v>
      </c>
      <c r="D422" s="3">
        <v>29887</v>
      </c>
      <c r="E422" t="s">
        <v>1379</v>
      </c>
      <c r="F422">
        <v>277</v>
      </c>
      <c r="G422" s="3">
        <v>41141</v>
      </c>
      <c r="H422" t="s">
        <v>2839</v>
      </c>
      <c r="J422" t="s">
        <v>1459</v>
      </c>
      <c r="K422" t="s">
        <v>47</v>
      </c>
      <c r="L422" s="3">
        <v>72686</v>
      </c>
      <c r="M422" s="3">
        <v>46621</v>
      </c>
      <c r="N422" t="s">
        <v>2840</v>
      </c>
      <c r="O422" s="4">
        <v>1</v>
      </c>
      <c r="P422">
        <v>0</v>
      </c>
      <c r="Q422">
        <v>1</v>
      </c>
    </row>
    <row r="423" spans="1:17" x14ac:dyDescent="0.25">
      <c r="A423">
        <v>27577</v>
      </c>
      <c r="B423" t="s">
        <v>2569</v>
      </c>
      <c r="C423" t="s">
        <v>2563</v>
      </c>
      <c r="D423" s="3">
        <v>25646</v>
      </c>
      <c r="E423" t="s">
        <v>1379</v>
      </c>
      <c r="F423">
        <v>72</v>
      </c>
      <c r="G423" s="3">
        <v>41113</v>
      </c>
      <c r="H423" t="s">
        <v>2570</v>
      </c>
      <c r="J423" t="s">
        <v>1459</v>
      </c>
      <c r="K423" t="s">
        <v>44</v>
      </c>
      <c r="L423" s="3">
        <v>1</v>
      </c>
      <c r="M423" s="3">
        <v>46427</v>
      </c>
      <c r="N423" t="s">
        <v>2571</v>
      </c>
      <c r="O423" s="4">
        <v>1</v>
      </c>
      <c r="P423">
        <v>0</v>
      </c>
      <c r="Q423">
        <v>0</v>
      </c>
    </row>
    <row r="424" spans="1:17" x14ac:dyDescent="0.25">
      <c r="A424">
        <v>27209</v>
      </c>
      <c r="B424" t="s">
        <v>1638</v>
      </c>
      <c r="C424" t="s">
        <v>1328</v>
      </c>
      <c r="D424" s="3">
        <v>23065</v>
      </c>
      <c r="E424" t="s">
        <v>1379</v>
      </c>
      <c r="F424">
        <v>175</v>
      </c>
      <c r="G424" s="3">
        <v>40973</v>
      </c>
      <c r="H424" t="s">
        <v>1639</v>
      </c>
      <c r="J424" t="s">
        <v>1397</v>
      </c>
      <c r="K424" t="s">
        <v>53</v>
      </c>
      <c r="L424" s="3">
        <v>46960</v>
      </c>
      <c r="M424" s="3">
        <v>46210</v>
      </c>
      <c r="N424" t="s">
        <v>1640</v>
      </c>
      <c r="O424" s="4">
        <v>1</v>
      </c>
      <c r="P424">
        <v>0</v>
      </c>
      <c r="Q424">
        <v>1</v>
      </c>
    </row>
    <row r="425" spans="1:17" x14ac:dyDescent="0.25">
      <c r="A425">
        <v>27186</v>
      </c>
      <c r="B425" t="s">
        <v>2897</v>
      </c>
      <c r="C425" t="s">
        <v>2898</v>
      </c>
      <c r="D425" s="3">
        <v>27314</v>
      </c>
      <c r="E425" t="s">
        <v>1379</v>
      </c>
      <c r="G425" s="3">
        <v>40959</v>
      </c>
      <c r="H425" t="s">
        <v>2899</v>
      </c>
      <c r="J425" t="s">
        <v>1387</v>
      </c>
      <c r="K425" t="s">
        <v>44</v>
      </c>
      <c r="L425" s="3">
        <v>46272</v>
      </c>
      <c r="M425" s="3">
        <v>46266</v>
      </c>
      <c r="N425" t="s">
        <v>2900</v>
      </c>
      <c r="O425" s="4">
        <v>1</v>
      </c>
      <c r="P425">
        <v>0</v>
      </c>
      <c r="Q425">
        <v>0</v>
      </c>
    </row>
    <row r="426" spans="1:17" x14ac:dyDescent="0.25">
      <c r="A426">
        <v>27153</v>
      </c>
      <c r="B426" t="s">
        <v>1601</v>
      </c>
      <c r="C426" t="s">
        <v>1602</v>
      </c>
      <c r="D426" s="3">
        <v>32853</v>
      </c>
      <c r="E426" t="s">
        <v>1379</v>
      </c>
      <c r="F426">
        <v>648</v>
      </c>
      <c r="G426" s="3">
        <v>40952</v>
      </c>
      <c r="H426" t="s">
        <v>1603</v>
      </c>
      <c r="J426" t="s">
        <v>1604</v>
      </c>
      <c r="K426" t="s">
        <v>44</v>
      </c>
      <c r="L426" s="3">
        <v>46330</v>
      </c>
      <c r="M426" s="3">
        <v>46316</v>
      </c>
      <c r="N426" t="s">
        <v>1605</v>
      </c>
      <c r="O426" s="4">
        <v>1</v>
      </c>
      <c r="P426">
        <v>0</v>
      </c>
      <c r="Q426">
        <v>0</v>
      </c>
    </row>
    <row r="427" spans="1:17" x14ac:dyDescent="0.25">
      <c r="A427">
        <v>26960</v>
      </c>
      <c r="B427" t="s">
        <v>1394</v>
      </c>
      <c r="C427" t="s">
        <v>2149</v>
      </c>
      <c r="D427" s="3">
        <v>32970</v>
      </c>
      <c r="E427" t="s">
        <v>1379</v>
      </c>
      <c r="F427">
        <v>411</v>
      </c>
      <c r="G427" s="3">
        <v>40861</v>
      </c>
      <c r="I427">
        <v>485002480</v>
      </c>
      <c r="J427" t="s">
        <v>1636</v>
      </c>
      <c r="K427" t="s">
        <v>41</v>
      </c>
      <c r="L427" s="3">
        <v>45952</v>
      </c>
      <c r="M427" s="3">
        <v>45944</v>
      </c>
      <c r="N427" t="s">
        <v>2150</v>
      </c>
      <c r="O427" s="4">
        <v>0.8</v>
      </c>
      <c r="P427">
        <v>0</v>
      </c>
      <c r="Q427">
        <v>0</v>
      </c>
    </row>
    <row r="428" spans="1:17" x14ac:dyDescent="0.25">
      <c r="A428">
        <v>26959</v>
      </c>
      <c r="B428" t="s">
        <v>2042</v>
      </c>
      <c r="C428" t="s">
        <v>2039</v>
      </c>
      <c r="D428" s="3">
        <v>25346</v>
      </c>
      <c r="E428" t="s">
        <v>1379</v>
      </c>
      <c r="F428">
        <v>39</v>
      </c>
      <c r="G428" s="3">
        <v>40861</v>
      </c>
      <c r="H428" t="s">
        <v>2043</v>
      </c>
      <c r="J428" t="s">
        <v>1700</v>
      </c>
      <c r="K428" t="s">
        <v>35</v>
      </c>
      <c r="L428" s="3">
        <v>46259</v>
      </c>
      <c r="M428" s="3">
        <v>46210</v>
      </c>
      <c r="N428" t="s">
        <v>2044</v>
      </c>
      <c r="O428" s="4">
        <v>0.8</v>
      </c>
      <c r="P428">
        <v>0</v>
      </c>
      <c r="Q428">
        <v>0</v>
      </c>
    </row>
    <row r="429" spans="1:17" x14ac:dyDescent="0.25">
      <c r="A429">
        <v>26847</v>
      </c>
      <c r="B429" t="s">
        <v>2569</v>
      </c>
      <c r="C429" t="s">
        <v>2406</v>
      </c>
      <c r="D429" s="3">
        <v>25315</v>
      </c>
      <c r="E429" t="s">
        <v>1379</v>
      </c>
      <c r="F429">
        <v>245</v>
      </c>
      <c r="G429" s="3">
        <v>40826</v>
      </c>
      <c r="H429" t="s">
        <v>3077</v>
      </c>
      <c r="J429" t="s">
        <v>1459</v>
      </c>
      <c r="K429" t="s">
        <v>38</v>
      </c>
      <c r="L429" s="3">
        <v>72686</v>
      </c>
      <c r="M429" s="3">
        <v>46266</v>
      </c>
      <c r="N429" t="s">
        <v>3078</v>
      </c>
      <c r="O429" s="4">
        <v>0.8</v>
      </c>
      <c r="P429">
        <v>0</v>
      </c>
      <c r="Q429">
        <v>1</v>
      </c>
    </row>
    <row r="430" spans="1:17" x14ac:dyDescent="0.25">
      <c r="A430">
        <v>26792</v>
      </c>
      <c r="B430" t="s">
        <v>2812</v>
      </c>
      <c r="C430" t="s">
        <v>2813</v>
      </c>
      <c r="D430" s="3">
        <v>24034</v>
      </c>
      <c r="E430" t="s">
        <v>1379</v>
      </c>
      <c r="F430">
        <v>203</v>
      </c>
      <c r="G430" s="3">
        <v>40812</v>
      </c>
      <c r="H430" t="s">
        <v>2814</v>
      </c>
      <c r="I430">
        <v>93348063</v>
      </c>
      <c r="J430" t="s">
        <v>1636</v>
      </c>
      <c r="K430" t="s">
        <v>56</v>
      </c>
      <c r="L430" s="3">
        <v>46870</v>
      </c>
      <c r="M430" s="3">
        <v>46862</v>
      </c>
      <c r="N430" t="s">
        <v>2815</v>
      </c>
      <c r="O430" s="4">
        <v>1</v>
      </c>
      <c r="P430">
        <v>0</v>
      </c>
      <c r="Q430">
        <v>0</v>
      </c>
    </row>
    <row r="431" spans="1:17" x14ac:dyDescent="0.25">
      <c r="A431">
        <v>26695</v>
      </c>
      <c r="B431" t="s">
        <v>2184</v>
      </c>
      <c r="C431" t="s">
        <v>2185</v>
      </c>
      <c r="D431" s="3">
        <v>31035</v>
      </c>
      <c r="E431" t="s">
        <v>1379</v>
      </c>
      <c r="F431">
        <v>119</v>
      </c>
      <c r="G431" s="3">
        <v>40771</v>
      </c>
      <c r="H431" t="s">
        <v>2186</v>
      </c>
      <c r="J431" t="s">
        <v>1498</v>
      </c>
      <c r="K431" t="s">
        <v>44</v>
      </c>
      <c r="L431" s="3">
        <v>46085</v>
      </c>
      <c r="M431" s="3">
        <v>46028</v>
      </c>
      <c r="N431" t="s">
        <v>2187</v>
      </c>
      <c r="O431" s="4">
        <v>1</v>
      </c>
      <c r="P431">
        <v>0</v>
      </c>
      <c r="Q431">
        <v>1</v>
      </c>
    </row>
    <row r="432" spans="1:17" x14ac:dyDescent="0.25">
      <c r="A432">
        <v>26639</v>
      </c>
      <c r="B432" t="s">
        <v>1491</v>
      </c>
      <c r="C432" t="s">
        <v>1492</v>
      </c>
      <c r="D432" s="3">
        <v>26831</v>
      </c>
      <c r="E432" t="s">
        <v>1379</v>
      </c>
      <c r="F432">
        <v>644</v>
      </c>
      <c r="G432" s="3">
        <v>40749</v>
      </c>
      <c r="H432" t="s">
        <v>1493</v>
      </c>
      <c r="J432" t="s">
        <v>1494</v>
      </c>
      <c r="K432" t="s">
        <v>47</v>
      </c>
      <c r="L432" s="3">
        <v>46802</v>
      </c>
      <c r="M432" s="3">
        <v>46763</v>
      </c>
      <c r="N432" t="s">
        <v>1495</v>
      </c>
      <c r="O432" s="4">
        <v>0.8</v>
      </c>
      <c r="P432">
        <v>0</v>
      </c>
      <c r="Q432">
        <v>0</v>
      </c>
    </row>
    <row r="433" spans="1:17" x14ac:dyDescent="0.25">
      <c r="A433">
        <v>26638</v>
      </c>
      <c r="B433" t="s">
        <v>2824</v>
      </c>
      <c r="C433" t="s">
        <v>2821</v>
      </c>
      <c r="D433" s="3">
        <v>27001</v>
      </c>
      <c r="E433" t="s">
        <v>1379</v>
      </c>
      <c r="F433">
        <v>211</v>
      </c>
      <c r="G433" s="3">
        <v>40749</v>
      </c>
      <c r="H433" t="s">
        <v>2825</v>
      </c>
      <c r="J433" t="s">
        <v>1548</v>
      </c>
      <c r="K433" t="s">
        <v>35</v>
      </c>
      <c r="L433" s="3">
        <v>46175</v>
      </c>
      <c r="M433" s="3">
        <v>45996</v>
      </c>
      <c r="N433" t="s">
        <v>2826</v>
      </c>
      <c r="O433" s="4">
        <v>1</v>
      </c>
      <c r="P433">
        <v>0</v>
      </c>
      <c r="Q433">
        <v>0</v>
      </c>
    </row>
    <row r="434" spans="1:17" x14ac:dyDescent="0.25">
      <c r="A434">
        <v>26524</v>
      </c>
      <c r="B434" t="s">
        <v>1991</v>
      </c>
      <c r="C434" t="s">
        <v>3117</v>
      </c>
      <c r="D434" s="3">
        <v>32548</v>
      </c>
      <c r="E434" t="s">
        <v>1379</v>
      </c>
      <c r="F434">
        <v>322</v>
      </c>
      <c r="G434" s="3">
        <v>40728</v>
      </c>
      <c r="H434" t="s">
        <v>3120</v>
      </c>
      <c r="J434" t="s">
        <v>1516</v>
      </c>
      <c r="K434" t="s">
        <v>41</v>
      </c>
      <c r="L434" s="3">
        <v>72686</v>
      </c>
      <c r="M434" s="3">
        <v>46201</v>
      </c>
      <c r="N434" t="s">
        <v>3121</v>
      </c>
      <c r="O434" s="4">
        <v>0.8</v>
      </c>
      <c r="P434">
        <v>0</v>
      </c>
      <c r="Q434">
        <v>1</v>
      </c>
    </row>
    <row r="435" spans="1:17" x14ac:dyDescent="0.25">
      <c r="A435">
        <v>26521</v>
      </c>
      <c r="B435" t="s">
        <v>2163</v>
      </c>
      <c r="C435" t="s">
        <v>2164</v>
      </c>
      <c r="D435" s="3">
        <v>32073</v>
      </c>
      <c r="E435" t="s">
        <v>1379</v>
      </c>
      <c r="F435">
        <v>307</v>
      </c>
      <c r="G435" s="3">
        <v>40728</v>
      </c>
      <c r="H435" t="s">
        <v>2165</v>
      </c>
      <c r="J435" t="s">
        <v>1459</v>
      </c>
      <c r="K435" t="s">
        <v>41</v>
      </c>
      <c r="L435" s="3">
        <v>72686</v>
      </c>
      <c r="M435" s="3">
        <v>47135</v>
      </c>
      <c r="N435" t="s">
        <v>2166</v>
      </c>
      <c r="O435" s="4">
        <v>0.8</v>
      </c>
      <c r="P435">
        <v>0</v>
      </c>
      <c r="Q435">
        <v>1</v>
      </c>
    </row>
    <row r="436" spans="1:17" x14ac:dyDescent="0.25">
      <c r="A436">
        <v>26384</v>
      </c>
      <c r="B436" t="s">
        <v>1641</v>
      </c>
      <c r="C436" t="s">
        <v>1328</v>
      </c>
      <c r="D436" s="3">
        <v>28045</v>
      </c>
      <c r="E436" t="s">
        <v>1379</v>
      </c>
      <c r="F436">
        <v>54</v>
      </c>
      <c r="G436" s="3">
        <v>40700</v>
      </c>
      <c r="H436" t="s">
        <v>1642</v>
      </c>
      <c r="J436" t="s">
        <v>1502</v>
      </c>
      <c r="K436" t="s">
        <v>53</v>
      </c>
      <c r="L436" s="3">
        <v>46230</v>
      </c>
      <c r="M436" s="3">
        <v>46097</v>
      </c>
      <c r="N436" t="s">
        <v>1643</v>
      </c>
      <c r="O436" s="4">
        <v>0.8</v>
      </c>
      <c r="P436">
        <v>0</v>
      </c>
      <c r="Q436">
        <v>0</v>
      </c>
    </row>
    <row r="437" spans="1:17" x14ac:dyDescent="0.25">
      <c r="A437">
        <v>26334</v>
      </c>
      <c r="B437" t="s">
        <v>2351</v>
      </c>
      <c r="C437" t="s">
        <v>2352</v>
      </c>
      <c r="D437" s="3">
        <v>23313</v>
      </c>
      <c r="E437" t="s">
        <v>1379</v>
      </c>
      <c r="F437">
        <v>257</v>
      </c>
      <c r="G437" s="3">
        <v>40679</v>
      </c>
      <c r="H437" t="s">
        <v>2353</v>
      </c>
      <c r="J437" t="s">
        <v>1516</v>
      </c>
      <c r="K437" t="s">
        <v>41</v>
      </c>
      <c r="L437" s="3">
        <v>72686</v>
      </c>
      <c r="M437" s="3">
        <v>46140</v>
      </c>
      <c r="N437" t="s">
        <v>2354</v>
      </c>
      <c r="O437" s="4">
        <v>0.8</v>
      </c>
      <c r="P437">
        <v>0</v>
      </c>
      <c r="Q437">
        <v>1</v>
      </c>
    </row>
    <row r="438" spans="1:17" x14ac:dyDescent="0.25">
      <c r="A438">
        <v>26331</v>
      </c>
      <c r="B438" t="s">
        <v>2001</v>
      </c>
      <c r="C438" t="s">
        <v>1992</v>
      </c>
      <c r="D438" s="3">
        <v>23837</v>
      </c>
      <c r="E438" t="s">
        <v>1379</v>
      </c>
      <c r="F438">
        <v>511</v>
      </c>
      <c r="G438" s="3">
        <v>40679</v>
      </c>
      <c r="H438" t="s">
        <v>2002</v>
      </c>
      <c r="J438" t="s">
        <v>1604</v>
      </c>
      <c r="K438" t="s">
        <v>38</v>
      </c>
      <c r="L438" s="3">
        <v>46162</v>
      </c>
      <c r="M438" s="3">
        <v>47337</v>
      </c>
      <c r="N438" t="s">
        <v>2003</v>
      </c>
      <c r="O438" s="4">
        <v>0.8</v>
      </c>
      <c r="P438">
        <v>0</v>
      </c>
      <c r="Q438">
        <v>0</v>
      </c>
    </row>
    <row r="439" spans="1:17" x14ac:dyDescent="0.25">
      <c r="A439">
        <v>26266</v>
      </c>
      <c r="B439" t="s">
        <v>2097</v>
      </c>
      <c r="C439" t="s">
        <v>2115</v>
      </c>
      <c r="D439" s="3">
        <v>31706</v>
      </c>
      <c r="E439" t="s">
        <v>1379</v>
      </c>
      <c r="F439">
        <v>36</v>
      </c>
      <c r="G439" s="3">
        <v>40658</v>
      </c>
      <c r="H439" t="s">
        <v>2116</v>
      </c>
      <c r="J439" t="s">
        <v>1455</v>
      </c>
      <c r="K439" t="s">
        <v>41</v>
      </c>
      <c r="L439" s="3">
        <v>72686</v>
      </c>
      <c r="M439" s="3">
        <v>46838</v>
      </c>
      <c r="N439" t="s">
        <v>2117</v>
      </c>
      <c r="O439" s="4">
        <v>0.8</v>
      </c>
      <c r="P439">
        <v>0</v>
      </c>
      <c r="Q439">
        <v>1</v>
      </c>
    </row>
    <row r="440" spans="1:17" x14ac:dyDescent="0.25">
      <c r="A440">
        <v>26265</v>
      </c>
      <c r="B440" t="s">
        <v>3099</v>
      </c>
      <c r="C440" t="s">
        <v>3093</v>
      </c>
      <c r="D440" s="3">
        <v>24341</v>
      </c>
      <c r="E440" t="s">
        <v>1379</v>
      </c>
      <c r="F440">
        <v>27</v>
      </c>
      <c r="G440" s="3">
        <v>40658</v>
      </c>
      <c r="H440" t="s">
        <v>3100</v>
      </c>
      <c r="J440" t="s">
        <v>1405</v>
      </c>
      <c r="K440" t="s">
        <v>44</v>
      </c>
      <c r="L440" s="3">
        <v>47575</v>
      </c>
      <c r="M440" s="3">
        <v>47197</v>
      </c>
      <c r="N440" t="s">
        <v>3101</v>
      </c>
      <c r="O440" s="4">
        <v>0.8</v>
      </c>
      <c r="P440">
        <v>0</v>
      </c>
      <c r="Q440">
        <v>1</v>
      </c>
    </row>
    <row r="441" spans="1:17" x14ac:dyDescent="0.25">
      <c r="A441">
        <v>26199</v>
      </c>
      <c r="B441" t="s">
        <v>2861</v>
      </c>
      <c r="C441" t="s">
        <v>2858</v>
      </c>
      <c r="D441" s="3">
        <v>23749</v>
      </c>
      <c r="E441" t="s">
        <v>1379</v>
      </c>
      <c r="F441">
        <v>109</v>
      </c>
      <c r="G441" s="3">
        <v>40637</v>
      </c>
      <c r="H441" t="s">
        <v>2862</v>
      </c>
      <c r="I441">
        <v>92257858</v>
      </c>
      <c r="J441" t="s">
        <v>1405</v>
      </c>
      <c r="K441" t="s">
        <v>41</v>
      </c>
      <c r="L441" s="3">
        <v>72686</v>
      </c>
      <c r="M441" s="3">
        <v>46210</v>
      </c>
      <c r="N441" t="s">
        <v>2863</v>
      </c>
      <c r="O441" s="4">
        <v>0.8</v>
      </c>
      <c r="P441">
        <v>0</v>
      </c>
      <c r="Q441">
        <v>0</v>
      </c>
    </row>
    <row r="442" spans="1:17" x14ac:dyDescent="0.25">
      <c r="A442">
        <v>26198</v>
      </c>
      <c r="B442" t="s">
        <v>1644</v>
      </c>
      <c r="C442" t="s">
        <v>1328</v>
      </c>
      <c r="D442" s="3">
        <v>28199</v>
      </c>
      <c r="E442" t="s">
        <v>1379</v>
      </c>
      <c r="F442">
        <v>615</v>
      </c>
      <c r="G442" s="3">
        <v>40637</v>
      </c>
      <c r="H442" t="s">
        <v>1645</v>
      </c>
      <c r="J442" t="s">
        <v>1411</v>
      </c>
      <c r="K442" t="s">
        <v>47</v>
      </c>
      <c r="L442" s="3">
        <v>45993</v>
      </c>
      <c r="M442" s="3">
        <v>47408</v>
      </c>
      <c r="N442" t="s">
        <v>1646</v>
      </c>
      <c r="O442" s="4">
        <v>0.8</v>
      </c>
      <c r="P442">
        <v>0</v>
      </c>
      <c r="Q442">
        <v>1</v>
      </c>
    </row>
    <row r="443" spans="1:17" x14ac:dyDescent="0.25">
      <c r="A443">
        <v>26197</v>
      </c>
      <c r="B443" t="s">
        <v>1987</v>
      </c>
      <c r="C443" t="s">
        <v>1988</v>
      </c>
      <c r="D443" s="3">
        <v>25815</v>
      </c>
      <c r="E443" t="s">
        <v>1379</v>
      </c>
      <c r="F443">
        <v>8</v>
      </c>
      <c r="G443" s="3">
        <v>40637</v>
      </c>
      <c r="H443" t="s">
        <v>1989</v>
      </c>
      <c r="J443" t="s">
        <v>1455</v>
      </c>
      <c r="K443" t="s">
        <v>44</v>
      </c>
      <c r="L443" s="3">
        <v>46043</v>
      </c>
      <c r="M443" s="3">
        <v>46014</v>
      </c>
      <c r="N443" t="s">
        <v>1990</v>
      </c>
      <c r="O443" s="4">
        <v>1</v>
      </c>
      <c r="P443">
        <v>0</v>
      </c>
      <c r="Q443">
        <v>0</v>
      </c>
    </row>
    <row r="444" spans="1:17" x14ac:dyDescent="0.25">
      <c r="A444">
        <v>26137</v>
      </c>
      <c r="B444" t="s">
        <v>1846</v>
      </c>
      <c r="C444" t="s">
        <v>1843</v>
      </c>
      <c r="D444" s="3">
        <v>22939</v>
      </c>
      <c r="E444" t="s">
        <v>1379</v>
      </c>
      <c r="F444">
        <v>61</v>
      </c>
      <c r="G444" s="3">
        <v>40623</v>
      </c>
      <c r="H444" t="s">
        <v>1847</v>
      </c>
      <c r="J444" t="s">
        <v>1459</v>
      </c>
      <c r="K444" t="s">
        <v>50</v>
      </c>
      <c r="L444" s="3">
        <v>45948</v>
      </c>
      <c r="M444" s="3">
        <v>46046</v>
      </c>
      <c r="N444" t="s">
        <v>1848</v>
      </c>
      <c r="O444" s="4">
        <v>0.8</v>
      </c>
      <c r="P444">
        <v>0</v>
      </c>
      <c r="Q444">
        <v>0</v>
      </c>
    </row>
    <row r="445" spans="1:17" x14ac:dyDescent="0.25">
      <c r="A445">
        <v>26102</v>
      </c>
      <c r="B445" t="s">
        <v>2592</v>
      </c>
      <c r="C445" t="s">
        <v>2593</v>
      </c>
      <c r="D445" s="3">
        <v>31566</v>
      </c>
      <c r="E445" t="s">
        <v>1379</v>
      </c>
      <c r="F445">
        <v>207</v>
      </c>
      <c r="G445" s="3">
        <v>40602</v>
      </c>
      <c r="H445" t="s">
        <v>2594</v>
      </c>
      <c r="J445" t="s">
        <v>1411</v>
      </c>
      <c r="K445" t="s">
        <v>53</v>
      </c>
      <c r="L445" s="3">
        <v>47548</v>
      </c>
      <c r="M445" s="3">
        <v>47533</v>
      </c>
      <c r="N445" t="s">
        <v>2595</v>
      </c>
      <c r="O445" s="4">
        <v>0.8</v>
      </c>
      <c r="P445">
        <v>0</v>
      </c>
      <c r="Q445">
        <v>0</v>
      </c>
    </row>
    <row r="446" spans="1:17" x14ac:dyDescent="0.25">
      <c r="A446">
        <v>25994</v>
      </c>
      <c r="B446" t="s">
        <v>2277</v>
      </c>
      <c r="C446" t="s">
        <v>2278</v>
      </c>
      <c r="D446" s="3">
        <v>27418</v>
      </c>
      <c r="E446" t="s">
        <v>1379</v>
      </c>
      <c r="F446">
        <v>138</v>
      </c>
      <c r="G446" s="3">
        <v>40567</v>
      </c>
      <c r="H446" t="s">
        <v>2279</v>
      </c>
      <c r="J446" t="s">
        <v>1420</v>
      </c>
      <c r="K446" t="s">
        <v>53</v>
      </c>
      <c r="L446" s="3">
        <v>46063</v>
      </c>
      <c r="M446" s="3">
        <v>46497</v>
      </c>
      <c r="N446" t="s">
        <v>2280</v>
      </c>
      <c r="O446" s="4">
        <v>0.8</v>
      </c>
      <c r="P446">
        <v>0</v>
      </c>
      <c r="Q446">
        <v>0</v>
      </c>
    </row>
    <row r="447" spans="1:17" x14ac:dyDescent="0.25">
      <c r="A447">
        <v>25993</v>
      </c>
      <c r="B447" t="s">
        <v>3188</v>
      </c>
      <c r="C447" t="s">
        <v>3182</v>
      </c>
      <c r="D447" s="3">
        <v>27364</v>
      </c>
      <c r="E447" t="s">
        <v>1379</v>
      </c>
      <c r="F447">
        <v>137</v>
      </c>
      <c r="G447" s="3">
        <v>40567</v>
      </c>
      <c r="H447" t="s">
        <v>3189</v>
      </c>
      <c r="J447" t="s">
        <v>1420</v>
      </c>
      <c r="K447" t="s">
        <v>44</v>
      </c>
      <c r="L447" s="3">
        <v>47712</v>
      </c>
      <c r="M447" s="3">
        <v>47700</v>
      </c>
      <c r="N447" t="s">
        <v>3190</v>
      </c>
      <c r="O447" s="4">
        <v>1</v>
      </c>
      <c r="P447">
        <v>0</v>
      </c>
      <c r="Q447">
        <v>1</v>
      </c>
    </row>
    <row r="448" spans="1:17" x14ac:dyDescent="0.25">
      <c r="A448">
        <v>25873</v>
      </c>
      <c r="B448" t="s">
        <v>2027</v>
      </c>
      <c r="C448" t="s">
        <v>2024</v>
      </c>
      <c r="D448" s="3">
        <v>29202</v>
      </c>
      <c r="E448" t="s">
        <v>1379</v>
      </c>
      <c r="F448">
        <v>105</v>
      </c>
      <c r="G448" s="3">
        <v>40525</v>
      </c>
      <c r="H448" t="s">
        <v>2028</v>
      </c>
      <c r="J448" t="s">
        <v>1636</v>
      </c>
      <c r="K448" t="s">
        <v>41</v>
      </c>
      <c r="L448" s="3">
        <v>45922</v>
      </c>
      <c r="M448" s="3">
        <v>45916</v>
      </c>
      <c r="N448" t="s">
        <v>2029</v>
      </c>
      <c r="O448" s="4">
        <v>1</v>
      </c>
      <c r="P448">
        <v>0</v>
      </c>
      <c r="Q448">
        <v>1</v>
      </c>
    </row>
    <row r="449" spans="1:17" x14ac:dyDescent="0.25">
      <c r="A449">
        <v>25871</v>
      </c>
      <c r="B449" t="s">
        <v>2847</v>
      </c>
      <c r="C449" t="s">
        <v>2848</v>
      </c>
      <c r="D449" s="3">
        <v>29751</v>
      </c>
      <c r="E449" t="s">
        <v>1379</v>
      </c>
      <c r="F449">
        <v>617</v>
      </c>
      <c r="G449" s="3">
        <v>40525</v>
      </c>
      <c r="H449" t="s">
        <v>2849</v>
      </c>
      <c r="J449" t="s">
        <v>1502</v>
      </c>
      <c r="K449" t="s">
        <v>47</v>
      </c>
      <c r="L449" s="3">
        <v>47657</v>
      </c>
      <c r="M449" s="3">
        <v>47611</v>
      </c>
      <c r="N449" t="s">
        <v>2850</v>
      </c>
      <c r="O449" s="4">
        <v>1</v>
      </c>
      <c r="P449">
        <v>0</v>
      </c>
      <c r="Q449">
        <v>0</v>
      </c>
    </row>
    <row r="450" spans="1:17" x14ac:dyDescent="0.25">
      <c r="A450">
        <v>25829</v>
      </c>
      <c r="B450" t="s">
        <v>3415</v>
      </c>
      <c r="C450" t="s">
        <v>1861</v>
      </c>
      <c r="D450" s="3">
        <v>28120</v>
      </c>
      <c r="E450" t="s">
        <v>1379</v>
      </c>
      <c r="F450">
        <v>74</v>
      </c>
      <c r="G450" s="3">
        <v>40497</v>
      </c>
      <c r="H450" t="s">
        <v>3416</v>
      </c>
      <c r="J450" t="s">
        <v>1516</v>
      </c>
      <c r="K450" t="s">
        <v>50</v>
      </c>
      <c r="L450" s="3">
        <v>72686</v>
      </c>
      <c r="M450" s="3">
        <v>72686</v>
      </c>
      <c r="N450" t="s">
        <v>3417</v>
      </c>
      <c r="O450" s="4">
        <v>1</v>
      </c>
      <c r="P450">
        <v>0</v>
      </c>
      <c r="Q450">
        <v>0</v>
      </c>
    </row>
    <row r="451" spans="1:17" x14ac:dyDescent="0.25">
      <c r="A451">
        <v>25733</v>
      </c>
      <c r="B451" t="s">
        <v>2667</v>
      </c>
      <c r="C451" t="s">
        <v>3439</v>
      </c>
      <c r="D451" s="3">
        <v>30480</v>
      </c>
      <c r="E451" t="s">
        <v>1379</v>
      </c>
      <c r="F451">
        <v>24</v>
      </c>
      <c r="G451" s="3">
        <v>40469</v>
      </c>
      <c r="H451" t="s">
        <v>3440</v>
      </c>
      <c r="J451" t="s">
        <v>1455</v>
      </c>
      <c r="K451" t="s">
        <v>41</v>
      </c>
      <c r="L451" s="3">
        <v>73050</v>
      </c>
      <c r="M451" s="3">
        <v>47551</v>
      </c>
      <c r="N451" t="s">
        <v>3441</v>
      </c>
      <c r="O451" s="4">
        <v>1</v>
      </c>
      <c r="P451">
        <v>0</v>
      </c>
      <c r="Q451">
        <v>0</v>
      </c>
    </row>
    <row r="452" spans="1:17" x14ac:dyDescent="0.25">
      <c r="A452">
        <v>25680</v>
      </c>
      <c r="B452" t="s">
        <v>1509</v>
      </c>
      <c r="C452" t="s">
        <v>1510</v>
      </c>
      <c r="D452" s="3">
        <v>29775</v>
      </c>
      <c r="E452" t="s">
        <v>1379</v>
      </c>
      <c r="F452">
        <v>606</v>
      </c>
      <c r="G452" s="3">
        <v>40455</v>
      </c>
      <c r="H452" t="s">
        <v>1511</v>
      </c>
      <c r="J452" t="s">
        <v>1459</v>
      </c>
      <c r="K452" t="s">
        <v>47</v>
      </c>
      <c r="L452" s="3">
        <v>73050</v>
      </c>
      <c r="M452" s="3">
        <v>73050</v>
      </c>
      <c r="N452" t="s">
        <v>1512</v>
      </c>
      <c r="O452" s="4">
        <v>0.8</v>
      </c>
      <c r="P452">
        <v>0</v>
      </c>
      <c r="Q452">
        <v>1</v>
      </c>
    </row>
    <row r="453" spans="1:17" x14ac:dyDescent="0.25">
      <c r="A453">
        <v>25679</v>
      </c>
      <c r="B453" t="s">
        <v>1697</v>
      </c>
      <c r="C453" t="s">
        <v>1698</v>
      </c>
      <c r="D453" s="3">
        <v>24380</v>
      </c>
      <c r="E453" t="s">
        <v>1379</v>
      </c>
      <c r="F453">
        <v>42</v>
      </c>
      <c r="G453" s="3">
        <v>40455</v>
      </c>
      <c r="H453" t="s">
        <v>1699</v>
      </c>
      <c r="I453">
        <v>92203627</v>
      </c>
      <c r="J453" t="s">
        <v>1700</v>
      </c>
      <c r="K453" t="s">
        <v>44</v>
      </c>
      <c r="L453" s="3">
        <v>46167</v>
      </c>
      <c r="M453" s="3">
        <v>46609</v>
      </c>
      <c r="N453" t="s">
        <v>1701</v>
      </c>
      <c r="O453" s="4">
        <v>0.8</v>
      </c>
      <c r="P453">
        <v>0</v>
      </c>
      <c r="Q453">
        <v>0</v>
      </c>
    </row>
    <row r="454" spans="1:17" x14ac:dyDescent="0.25">
      <c r="A454">
        <v>25487</v>
      </c>
      <c r="B454" t="s">
        <v>1666</v>
      </c>
      <c r="C454" t="s">
        <v>1667</v>
      </c>
      <c r="D454" s="3">
        <v>24366</v>
      </c>
      <c r="E454" t="s">
        <v>1379</v>
      </c>
      <c r="F454">
        <v>479</v>
      </c>
      <c r="G454" s="3">
        <v>40385</v>
      </c>
      <c r="H454" t="s">
        <v>1668</v>
      </c>
      <c r="J454" t="s">
        <v>1455</v>
      </c>
      <c r="K454" t="s">
        <v>50</v>
      </c>
      <c r="L454" s="3">
        <v>73050</v>
      </c>
      <c r="M454" s="3">
        <v>73050</v>
      </c>
      <c r="N454" t="s">
        <v>1669</v>
      </c>
      <c r="O454" s="4">
        <v>0.8</v>
      </c>
      <c r="P454">
        <v>0</v>
      </c>
      <c r="Q454">
        <v>0</v>
      </c>
    </row>
    <row r="455" spans="1:17" x14ac:dyDescent="0.25">
      <c r="A455">
        <v>25486</v>
      </c>
      <c r="B455" t="s">
        <v>2611</v>
      </c>
      <c r="C455" t="s">
        <v>1351</v>
      </c>
      <c r="D455" s="3">
        <v>25942</v>
      </c>
      <c r="E455" t="s">
        <v>1379</v>
      </c>
      <c r="F455">
        <v>471</v>
      </c>
      <c r="G455" s="3">
        <v>40385</v>
      </c>
      <c r="H455" t="s">
        <v>3286</v>
      </c>
      <c r="J455" t="s">
        <v>1463</v>
      </c>
      <c r="K455" t="s">
        <v>44</v>
      </c>
      <c r="L455" s="3">
        <v>47467</v>
      </c>
      <c r="M455" s="3">
        <v>46718</v>
      </c>
      <c r="N455" t="s">
        <v>3287</v>
      </c>
      <c r="O455" s="4">
        <v>1</v>
      </c>
      <c r="P455">
        <v>0</v>
      </c>
      <c r="Q455">
        <v>0</v>
      </c>
    </row>
    <row r="456" spans="1:17" x14ac:dyDescent="0.25">
      <c r="A456">
        <v>25234</v>
      </c>
      <c r="B456" t="s">
        <v>2827</v>
      </c>
      <c r="C456" t="s">
        <v>2821</v>
      </c>
      <c r="D456" s="3">
        <v>23931</v>
      </c>
      <c r="E456" t="s">
        <v>1379</v>
      </c>
      <c r="F456">
        <v>613</v>
      </c>
      <c r="G456" s="3">
        <v>40350</v>
      </c>
      <c r="H456" t="s">
        <v>2828</v>
      </c>
      <c r="I456">
        <v>53622213</v>
      </c>
      <c r="J456" t="s">
        <v>1459</v>
      </c>
      <c r="K456" t="s">
        <v>47</v>
      </c>
      <c r="L456" s="3">
        <v>72686</v>
      </c>
      <c r="M456" s="3">
        <v>47189</v>
      </c>
      <c r="N456" t="s">
        <v>2829</v>
      </c>
      <c r="O456" s="4">
        <v>1</v>
      </c>
      <c r="P456">
        <v>0</v>
      </c>
      <c r="Q456">
        <v>0</v>
      </c>
    </row>
    <row r="457" spans="1:17" x14ac:dyDescent="0.25">
      <c r="A457">
        <v>24472</v>
      </c>
      <c r="B457" t="s">
        <v>2097</v>
      </c>
      <c r="C457" t="s">
        <v>3065</v>
      </c>
      <c r="D457" s="3">
        <v>30762</v>
      </c>
      <c r="E457" t="s">
        <v>1634</v>
      </c>
      <c r="F457">
        <v>614</v>
      </c>
      <c r="G457" s="3">
        <v>40049</v>
      </c>
      <c r="H457" t="s">
        <v>3066</v>
      </c>
      <c r="J457" t="s">
        <v>1548</v>
      </c>
      <c r="K457" t="s">
        <v>35</v>
      </c>
      <c r="L457" s="3">
        <v>47139</v>
      </c>
      <c r="M457" s="3">
        <v>47105</v>
      </c>
      <c r="N457" t="s">
        <v>3067</v>
      </c>
      <c r="O457" s="4">
        <v>1</v>
      </c>
      <c r="P457">
        <v>0</v>
      </c>
      <c r="Q457">
        <v>0</v>
      </c>
    </row>
    <row r="458" spans="1:17" x14ac:dyDescent="0.25">
      <c r="A458">
        <v>24367</v>
      </c>
      <c r="B458" t="s">
        <v>3385</v>
      </c>
      <c r="C458" t="s">
        <v>3379</v>
      </c>
      <c r="D458" s="3">
        <v>26948</v>
      </c>
      <c r="E458" t="s">
        <v>1379</v>
      </c>
      <c r="F458">
        <v>605</v>
      </c>
      <c r="G458" s="3">
        <v>40035</v>
      </c>
      <c r="H458" t="s">
        <v>3386</v>
      </c>
      <c r="J458" t="s">
        <v>1455</v>
      </c>
      <c r="K458" t="s">
        <v>38</v>
      </c>
      <c r="L458" s="3">
        <v>47150</v>
      </c>
      <c r="M458" s="3">
        <v>47141</v>
      </c>
      <c r="N458" t="s">
        <v>3387</v>
      </c>
      <c r="O458" s="4">
        <v>1</v>
      </c>
      <c r="P458">
        <v>0</v>
      </c>
      <c r="Q458">
        <v>0</v>
      </c>
    </row>
    <row r="459" spans="1:17" x14ac:dyDescent="0.25">
      <c r="A459">
        <v>24156</v>
      </c>
      <c r="B459" t="s">
        <v>3299</v>
      </c>
      <c r="C459" t="s">
        <v>3303</v>
      </c>
      <c r="D459" s="3">
        <v>32241</v>
      </c>
      <c r="E459" t="s">
        <v>1379</v>
      </c>
      <c r="F459">
        <v>432</v>
      </c>
      <c r="G459" s="3">
        <v>40000</v>
      </c>
      <c r="H459" t="s">
        <v>3304</v>
      </c>
      <c r="J459" t="s">
        <v>1420</v>
      </c>
      <c r="K459" t="s">
        <v>44</v>
      </c>
      <c r="L459" s="3">
        <v>47129</v>
      </c>
      <c r="M459" s="3">
        <v>47105</v>
      </c>
      <c r="N459" t="s">
        <v>3305</v>
      </c>
      <c r="O459" s="4">
        <v>1</v>
      </c>
      <c r="P459">
        <v>0</v>
      </c>
      <c r="Q459">
        <v>1</v>
      </c>
    </row>
    <row r="460" spans="1:17" x14ac:dyDescent="0.25">
      <c r="A460">
        <v>24155</v>
      </c>
      <c r="B460" t="s">
        <v>2431</v>
      </c>
      <c r="C460" t="s">
        <v>2428</v>
      </c>
      <c r="D460" s="3">
        <v>26728</v>
      </c>
      <c r="E460" t="s">
        <v>1379</v>
      </c>
      <c r="F460">
        <v>507</v>
      </c>
      <c r="G460" s="3">
        <v>40000</v>
      </c>
      <c r="H460" t="s">
        <v>2432</v>
      </c>
      <c r="J460" t="s">
        <v>1459</v>
      </c>
      <c r="K460" t="s">
        <v>41</v>
      </c>
      <c r="L460" s="3">
        <v>73050</v>
      </c>
      <c r="M460" s="3">
        <v>46279</v>
      </c>
      <c r="N460" t="s">
        <v>2433</v>
      </c>
      <c r="O460" s="4">
        <v>0.8</v>
      </c>
      <c r="P460">
        <v>0</v>
      </c>
      <c r="Q460">
        <v>1</v>
      </c>
    </row>
    <row r="461" spans="1:17" x14ac:dyDescent="0.25">
      <c r="A461">
        <v>23924</v>
      </c>
      <c r="B461" t="s">
        <v>2538</v>
      </c>
      <c r="C461" t="s">
        <v>2539</v>
      </c>
      <c r="D461" s="3">
        <v>26572</v>
      </c>
      <c r="E461" t="s">
        <v>1379</v>
      </c>
      <c r="F461">
        <v>75</v>
      </c>
      <c r="G461" s="3">
        <v>39979</v>
      </c>
      <c r="H461" t="s">
        <v>2540</v>
      </c>
      <c r="J461" t="s">
        <v>1405</v>
      </c>
      <c r="K461" t="s">
        <v>44</v>
      </c>
      <c r="L461" s="3">
        <v>47362</v>
      </c>
      <c r="M461" s="3">
        <v>46399</v>
      </c>
      <c r="N461" t="s">
        <v>2541</v>
      </c>
      <c r="O461" s="4">
        <v>1</v>
      </c>
      <c r="P461">
        <v>0</v>
      </c>
      <c r="Q461">
        <v>1</v>
      </c>
    </row>
    <row r="462" spans="1:17" x14ac:dyDescent="0.25">
      <c r="A462">
        <v>23918</v>
      </c>
      <c r="B462" t="s">
        <v>3245</v>
      </c>
      <c r="C462" t="s">
        <v>3242</v>
      </c>
      <c r="D462" s="3">
        <v>26005</v>
      </c>
      <c r="E462" t="s">
        <v>1379</v>
      </c>
      <c r="F462">
        <v>376</v>
      </c>
      <c r="G462" s="3">
        <v>39972</v>
      </c>
      <c r="H462" t="s">
        <v>3246</v>
      </c>
      <c r="J462" t="s">
        <v>1498</v>
      </c>
      <c r="K462" t="s">
        <v>41</v>
      </c>
      <c r="L462" s="3">
        <v>47143</v>
      </c>
      <c r="M462" s="3">
        <v>46005</v>
      </c>
      <c r="N462" t="s">
        <v>3247</v>
      </c>
      <c r="O462" s="4">
        <v>1</v>
      </c>
      <c r="P462">
        <v>0</v>
      </c>
      <c r="Q462">
        <v>1</v>
      </c>
    </row>
    <row r="463" spans="1:17" x14ac:dyDescent="0.25">
      <c r="A463">
        <v>23818</v>
      </c>
      <c r="B463" t="s">
        <v>1403</v>
      </c>
      <c r="C463" t="s">
        <v>1400</v>
      </c>
      <c r="D463" s="3">
        <v>26173</v>
      </c>
      <c r="E463" t="s">
        <v>1379</v>
      </c>
      <c r="F463">
        <v>35</v>
      </c>
      <c r="G463" s="3">
        <v>39937</v>
      </c>
      <c r="H463" t="s">
        <v>1404</v>
      </c>
      <c r="J463" t="s">
        <v>1405</v>
      </c>
      <c r="K463" t="s">
        <v>35</v>
      </c>
      <c r="L463" s="3">
        <v>47078</v>
      </c>
      <c r="M463" s="3">
        <v>47072</v>
      </c>
      <c r="N463" t="s">
        <v>1406</v>
      </c>
      <c r="O463" s="4">
        <v>1</v>
      </c>
      <c r="P463">
        <v>0</v>
      </c>
      <c r="Q463">
        <v>1</v>
      </c>
    </row>
    <row r="464" spans="1:17" x14ac:dyDescent="0.25">
      <c r="A464">
        <v>23791</v>
      </c>
      <c r="B464" t="s">
        <v>3143</v>
      </c>
      <c r="C464" t="s">
        <v>3144</v>
      </c>
      <c r="D464" s="3">
        <v>24373</v>
      </c>
      <c r="E464" t="s">
        <v>1379</v>
      </c>
      <c r="F464">
        <v>371</v>
      </c>
      <c r="G464" s="3">
        <v>39923</v>
      </c>
      <c r="H464" t="s">
        <v>3145</v>
      </c>
      <c r="J464" t="s">
        <v>1405</v>
      </c>
      <c r="K464" t="s">
        <v>35</v>
      </c>
      <c r="L464" s="3">
        <v>73050</v>
      </c>
      <c r="M464" s="3">
        <v>47369</v>
      </c>
      <c r="N464" t="s">
        <v>3146</v>
      </c>
      <c r="O464" s="4">
        <v>0.8</v>
      </c>
      <c r="P464">
        <v>0</v>
      </c>
      <c r="Q464">
        <v>0</v>
      </c>
    </row>
    <row r="465" spans="1:17" x14ac:dyDescent="0.25">
      <c r="A465">
        <v>23790</v>
      </c>
      <c r="B465" t="s">
        <v>3310</v>
      </c>
      <c r="C465" t="s">
        <v>3311</v>
      </c>
      <c r="D465" s="3">
        <v>26528</v>
      </c>
      <c r="E465" t="s">
        <v>1379</v>
      </c>
      <c r="F465">
        <v>318</v>
      </c>
      <c r="G465" s="3">
        <v>39923</v>
      </c>
      <c r="H465" t="s">
        <v>3312</v>
      </c>
      <c r="J465" t="s">
        <v>1700</v>
      </c>
      <c r="K465" t="s">
        <v>35</v>
      </c>
      <c r="L465" s="3">
        <v>47154</v>
      </c>
      <c r="M465" s="3">
        <v>46981</v>
      </c>
      <c r="N465" t="s">
        <v>3313</v>
      </c>
      <c r="O465" s="4">
        <v>0.8</v>
      </c>
      <c r="P465">
        <v>0</v>
      </c>
      <c r="Q465">
        <v>0</v>
      </c>
    </row>
    <row r="466" spans="1:17" x14ac:dyDescent="0.25">
      <c r="A466">
        <v>23700</v>
      </c>
      <c r="B466" t="s">
        <v>3140</v>
      </c>
      <c r="C466" t="s">
        <v>3137</v>
      </c>
      <c r="D466" s="3">
        <v>28357</v>
      </c>
      <c r="E466" t="s">
        <v>1379</v>
      </c>
      <c r="G466" s="3">
        <v>39909</v>
      </c>
      <c r="H466" t="s">
        <v>3141</v>
      </c>
      <c r="I466">
        <v>93285649</v>
      </c>
      <c r="J466" t="s">
        <v>1425</v>
      </c>
      <c r="K466" t="s">
        <v>35</v>
      </c>
      <c r="L466" s="3">
        <v>47363</v>
      </c>
      <c r="M466" s="3">
        <v>46005</v>
      </c>
      <c r="N466" t="s">
        <v>3142</v>
      </c>
      <c r="O466" s="4">
        <v>1</v>
      </c>
      <c r="P466">
        <v>0</v>
      </c>
      <c r="Q466">
        <v>0</v>
      </c>
    </row>
    <row r="467" spans="1:17" x14ac:dyDescent="0.25">
      <c r="A467">
        <v>23545</v>
      </c>
      <c r="B467" t="s">
        <v>1543</v>
      </c>
      <c r="C467" t="s">
        <v>1537</v>
      </c>
      <c r="D467" s="3">
        <v>24859</v>
      </c>
      <c r="E467" t="s">
        <v>1379</v>
      </c>
      <c r="F467">
        <v>151</v>
      </c>
      <c r="G467" s="3">
        <v>39895</v>
      </c>
      <c r="H467" t="s">
        <v>1544</v>
      </c>
      <c r="J467" t="s">
        <v>1507</v>
      </c>
      <c r="K467" t="s">
        <v>56</v>
      </c>
      <c r="L467" s="3">
        <v>47043</v>
      </c>
      <c r="M467" s="3">
        <v>47034</v>
      </c>
      <c r="N467" t="s">
        <v>1545</v>
      </c>
      <c r="O467" s="4">
        <v>0.8</v>
      </c>
      <c r="P467">
        <v>0</v>
      </c>
      <c r="Q467">
        <v>0</v>
      </c>
    </row>
    <row r="468" spans="1:17" x14ac:dyDescent="0.25">
      <c r="A468">
        <v>23543</v>
      </c>
      <c r="B468" t="s">
        <v>2108</v>
      </c>
      <c r="C468" t="s">
        <v>2094</v>
      </c>
      <c r="D468" s="3">
        <v>30706</v>
      </c>
      <c r="E468" t="s">
        <v>1379</v>
      </c>
      <c r="F468">
        <v>427</v>
      </c>
      <c r="G468" s="3">
        <v>39895</v>
      </c>
      <c r="H468" t="s">
        <v>2109</v>
      </c>
      <c r="J468" t="s">
        <v>1548</v>
      </c>
      <c r="K468" t="s">
        <v>44</v>
      </c>
      <c r="L468" s="3">
        <v>46985</v>
      </c>
      <c r="M468" s="3">
        <v>46981</v>
      </c>
      <c r="N468" t="s">
        <v>2110</v>
      </c>
      <c r="O468" s="4">
        <v>1</v>
      </c>
      <c r="P468">
        <v>0</v>
      </c>
      <c r="Q468">
        <v>1</v>
      </c>
    </row>
    <row r="469" spans="1:17" x14ac:dyDescent="0.25">
      <c r="A469">
        <v>23481</v>
      </c>
      <c r="B469" t="s">
        <v>1857</v>
      </c>
      <c r="C469" t="s">
        <v>1858</v>
      </c>
      <c r="D469" s="3">
        <v>29923</v>
      </c>
      <c r="E469" t="s">
        <v>1379</v>
      </c>
      <c r="F469">
        <v>533</v>
      </c>
      <c r="G469" s="3">
        <v>39881</v>
      </c>
      <c r="H469" t="s">
        <v>1859</v>
      </c>
      <c r="J469" t="s">
        <v>1502</v>
      </c>
      <c r="K469" t="s">
        <v>38</v>
      </c>
      <c r="L469" s="3">
        <v>46987</v>
      </c>
      <c r="M469" s="3">
        <v>46916</v>
      </c>
      <c r="N469" t="s">
        <v>1860</v>
      </c>
      <c r="O469" s="4">
        <v>1</v>
      </c>
      <c r="P469">
        <v>0</v>
      </c>
      <c r="Q469">
        <v>1</v>
      </c>
    </row>
    <row r="470" spans="1:17" x14ac:dyDescent="0.25">
      <c r="A470">
        <v>23326</v>
      </c>
      <c r="B470" t="s">
        <v>3461</v>
      </c>
      <c r="C470" t="s">
        <v>3462</v>
      </c>
      <c r="D470" s="3">
        <v>28126</v>
      </c>
      <c r="E470" t="s">
        <v>1379</v>
      </c>
      <c r="F470">
        <v>327</v>
      </c>
      <c r="G470" s="3">
        <v>39839</v>
      </c>
      <c r="H470" t="s">
        <v>3463</v>
      </c>
      <c r="J470" t="s">
        <v>1405</v>
      </c>
      <c r="K470" t="s">
        <v>35</v>
      </c>
      <c r="L470" s="3">
        <v>73050</v>
      </c>
      <c r="M470" s="3">
        <v>45891</v>
      </c>
      <c r="N470" t="s">
        <v>3464</v>
      </c>
      <c r="O470" s="4">
        <v>1</v>
      </c>
      <c r="P470">
        <v>0</v>
      </c>
      <c r="Q470">
        <v>1</v>
      </c>
    </row>
    <row r="471" spans="1:17" x14ac:dyDescent="0.25">
      <c r="A471">
        <v>22877</v>
      </c>
      <c r="B471" t="s">
        <v>1440</v>
      </c>
      <c r="C471" t="s">
        <v>2774</v>
      </c>
      <c r="D471" s="3">
        <v>25777</v>
      </c>
      <c r="E471" t="s">
        <v>1379</v>
      </c>
      <c r="F471">
        <v>393</v>
      </c>
      <c r="G471" s="3">
        <v>39706</v>
      </c>
      <c r="H471" t="s">
        <v>2775</v>
      </c>
      <c r="J471" t="s">
        <v>1604</v>
      </c>
      <c r="K471" t="s">
        <v>53</v>
      </c>
      <c r="L471" s="3">
        <v>47665</v>
      </c>
      <c r="M471" s="3">
        <v>46791</v>
      </c>
      <c r="N471" t="s">
        <v>2776</v>
      </c>
      <c r="O471" s="4">
        <v>0.5</v>
      </c>
      <c r="P471">
        <v>0</v>
      </c>
      <c r="Q471">
        <v>0</v>
      </c>
    </row>
    <row r="472" spans="1:17" x14ac:dyDescent="0.25">
      <c r="A472">
        <v>22767</v>
      </c>
      <c r="B472" t="s">
        <v>2572</v>
      </c>
      <c r="C472" t="s">
        <v>2563</v>
      </c>
      <c r="D472" s="3">
        <v>30532</v>
      </c>
      <c r="E472" t="s">
        <v>1379</v>
      </c>
      <c r="F472">
        <v>80</v>
      </c>
      <c r="G472" s="3">
        <v>39664</v>
      </c>
      <c r="H472" t="s">
        <v>2573</v>
      </c>
      <c r="J472" t="s">
        <v>1455</v>
      </c>
      <c r="K472" t="s">
        <v>35</v>
      </c>
      <c r="L472" s="3">
        <v>72686</v>
      </c>
      <c r="M472" s="3">
        <v>46679</v>
      </c>
      <c r="N472" t="s">
        <v>2574</v>
      </c>
      <c r="O472" s="4">
        <v>1</v>
      </c>
      <c r="P472">
        <v>0</v>
      </c>
      <c r="Q472">
        <v>0</v>
      </c>
    </row>
    <row r="473" spans="1:17" x14ac:dyDescent="0.25">
      <c r="A473">
        <v>22625</v>
      </c>
      <c r="B473" t="s">
        <v>1907</v>
      </c>
      <c r="C473" t="s">
        <v>1908</v>
      </c>
      <c r="D473" s="3">
        <v>28070</v>
      </c>
      <c r="E473" t="s">
        <v>1379</v>
      </c>
      <c r="F473">
        <v>537</v>
      </c>
      <c r="G473" s="3">
        <v>39643</v>
      </c>
      <c r="H473" t="s">
        <v>1909</v>
      </c>
      <c r="J473" t="s">
        <v>1604</v>
      </c>
      <c r="K473" t="s">
        <v>38</v>
      </c>
      <c r="L473" s="3">
        <v>47610</v>
      </c>
      <c r="M473" s="3">
        <v>46637</v>
      </c>
      <c r="N473" t="s">
        <v>1910</v>
      </c>
      <c r="O473" s="4">
        <v>1</v>
      </c>
      <c r="P473">
        <v>0</v>
      </c>
      <c r="Q473">
        <v>0</v>
      </c>
    </row>
    <row r="474" spans="1:17" x14ac:dyDescent="0.25">
      <c r="A474">
        <v>22416</v>
      </c>
      <c r="B474" t="s">
        <v>3450</v>
      </c>
      <c r="C474" t="s">
        <v>3451</v>
      </c>
      <c r="D474" s="3">
        <v>31696</v>
      </c>
      <c r="E474" t="s">
        <v>1379</v>
      </c>
      <c r="F474">
        <v>342</v>
      </c>
      <c r="G474" s="3">
        <v>39615</v>
      </c>
      <c r="H474" t="s">
        <v>3452</v>
      </c>
      <c r="J474" t="s">
        <v>1455</v>
      </c>
      <c r="K474" t="s">
        <v>44</v>
      </c>
      <c r="L474" s="3">
        <v>72686</v>
      </c>
      <c r="M474" s="3">
        <v>46672</v>
      </c>
      <c r="N474" t="s">
        <v>3453</v>
      </c>
      <c r="O474" s="4">
        <v>1</v>
      </c>
      <c r="P474">
        <v>0</v>
      </c>
      <c r="Q474">
        <v>1</v>
      </c>
    </row>
    <row r="475" spans="1:17" x14ac:dyDescent="0.25">
      <c r="A475">
        <v>22296</v>
      </c>
      <c r="B475" t="s">
        <v>3011</v>
      </c>
      <c r="C475" t="s">
        <v>3012</v>
      </c>
      <c r="D475" s="3">
        <v>29517</v>
      </c>
      <c r="E475" t="s">
        <v>1379</v>
      </c>
      <c r="F475">
        <v>457</v>
      </c>
      <c r="G475" s="3">
        <v>39601</v>
      </c>
      <c r="H475" t="s">
        <v>3013</v>
      </c>
      <c r="J475" t="s">
        <v>1405</v>
      </c>
      <c r="K475" t="s">
        <v>53</v>
      </c>
      <c r="L475" s="3">
        <v>72686</v>
      </c>
      <c r="M475" s="3">
        <v>47615</v>
      </c>
      <c r="N475" t="s">
        <v>3014</v>
      </c>
      <c r="O475" s="4">
        <v>0.8</v>
      </c>
      <c r="P475">
        <v>0</v>
      </c>
      <c r="Q475">
        <v>0</v>
      </c>
    </row>
    <row r="476" spans="1:17" x14ac:dyDescent="0.25">
      <c r="A476">
        <v>22244</v>
      </c>
      <c r="B476" t="s">
        <v>1626</v>
      </c>
      <c r="C476" t="s">
        <v>1627</v>
      </c>
      <c r="D476" s="3">
        <v>27824</v>
      </c>
      <c r="E476" t="s">
        <v>1379</v>
      </c>
      <c r="F476">
        <v>449</v>
      </c>
      <c r="G476" s="3">
        <v>39587</v>
      </c>
      <c r="H476" t="s">
        <v>1628</v>
      </c>
      <c r="J476" t="s">
        <v>1498</v>
      </c>
      <c r="K476" t="s">
        <v>44</v>
      </c>
      <c r="L476" s="3">
        <v>46032</v>
      </c>
      <c r="M476" s="3">
        <v>46742</v>
      </c>
      <c r="N476" t="s">
        <v>1629</v>
      </c>
      <c r="O476" s="4">
        <v>1</v>
      </c>
      <c r="P476">
        <v>0</v>
      </c>
      <c r="Q476">
        <v>0</v>
      </c>
    </row>
    <row r="477" spans="1:17" x14ac:dyDescent="0.25">
      <c r="A477">
        <v>22240</v>
      </c>
      <c r="B477" t="s">
        <v>2506</v>
      </c>
      <c r="C477" t="s">
        <v>2507</v>
      </c>
      <c r="D477" s="3">
        <v>26235</v>
      </c>
      <c r="E477" t="s">
        <v>1379</v>
      </c>
      <c r="F477">
        <v>422</v>
      </c>
      <c r="G477" s="3">
        <v>39587</v>
      </c>
      <c r="H477" t="s">
        <v>2508</v>
      </c>
      <c r="J477" t="s">
        <v>1405</v>
      </c>
      <c r="K477" t="s">
        <v>53</v>
      </c>
      <c r="L477" s="3">
        <v>72686</v>
      </c>
      <c r="M477" s="3">
        <v>46897</v>
      </c>
      <c r="N477" t="s">
        <v>2509</v>
      </c>
      <c r="O477" s="4">
        <v>0.8</v>
      </c>
      <c r="P477">
        <v>0</v>
      </c>
      <c r="Q477">
        <v>0</v>
      </c>
    </row>
    <row r="478" spans="1:17" x14ac:dyDescent="0.25">
      <c r="A478">
        <v>22202</v>
      </c>
      <c r="B478" t="s">
        <v>2004</v>
      </c>
      <c r="C478" t="s">
        <v>1992</v>
      </c>
      <c r="D478" s="3">
        <v>28068</v>
      </c>
      <c r="E478" t="s">
        <v>1379</v>
      </c>
      <c r="F478">
        <v>302</v>
      </c>
      <c r="G478" s="3">
        <v>39573</v>
      </c>
      <c r="H478" t="s">
        <v>2005</v>
      </c>
      <c r="J478" t="s">
        <v>1548</v>
      </c>
      <c r="K478" t="s">
        <v>50</v>
      </c>
      <c r="L478" s="3">
        <v>47688</v>
      </c>
      <c r="M478" s="3">
        <v>46797</v>
      </c>
      <c r="N478" t="s">
        <v>2006</v>
      </c>
      <c r="O478" s="4">
        <v>0.8</v>
      </c>
      <c r="P478">
        <v>1</v>
      </c>
      <c r="Q478">
        <v>1</v>
      </c>
    </row>
    <row r="479" spans="1:17" x14ac:dyDescent="0.25">
      <c r="A479">
        <v>22143</v>
      </c>
      <c r="B479" t="s">
        <v>2328</v>
      </c>
      <c r="C479" t="s">
        <v>2325</v>
      </c>
      <c r="D479" s="3">
        <v>29586</v>
      </c>
      <c r="E479" t="s">
        <v>1379</v>
      </c>
      <c r="F479">
        <v>514</v>
      </c>
      <c r="G479" s="3">
        <v>39552</v>
      </c>
      <c r="H479" t="s">
        <v>2329</v>
      </c>
      <c r="I479">
        <v>32479391613</v>
      </c>
      <c r="J479" t="s">
        <v>1502</v>
      </c>
      <c r="K479" t="s">
        <v>41</v>
      </c>
      <c r="L479" s="3">
        <v>47665</v>
      </c>
      <c r="M479" s="3">
        <v>46665</v>
      </c>
      <c r="N479" t="s">
        <v>2330</v>
      </c>
      <c r="O479" s="4">
        <v>0.8</v>
      </c>
      <c r="P479">
        <v>0</v>
      </c>
      <c r="Q479">
        <v>0</v>
      </c>
    </row>
    <row r="480" spans="1:17" x14ac:dyDescent="0.25">
      <c r="A480">
        <v>22052</v>
      </c>
      <c r="B480" t="s">
        <v>1638</v>
      </c>
      <c r="C480" t="s">
        <v>1930</v>
      </c>
      <c r="D480" s="3">
        <v>23387</v>
      </c>
      <c r="E480" t="s">
        <v>1379</v>
      </c>
      <c r="F480">
        <v>131</v>
      </c>
      <c r="G480" s="3">
        <v>39538</v>
      </c>
      <c r="H480" t="s">
        <v>1936</v>
      </c>
      <c r="I480">
        <v>93306518</v>
      </c>
      <c r="J480" t="s">
        <v>1502</v>
      </c>
      <c r="K480" t="s">
        <v>53</v>
      </c>
      <c r="L480" s="3">
        <v>47616</v>
      </c>
      <c r="M480" s="3">
        <v>47568</v>
      </c>
      <c r="N480" t="s">
        <v>1937</v>
      </c>
      <c r="O480" s="4">
        <v>0.8</v>
      </c>
      <c r="P480">
        <v>0</v>
      </c>
      <c r="Q480">
        <v>0</v>
      </c>
    </row>
    <row r="481" spans="1:17" x14ac:dyDescent="0.25">
      <c r="A481">
        <v>22042</v>
      </c>
      <c r="B481" t="s">
        <v>3288</v>
      </c>
      <c r="C481" t="s">
        <v>1351</v>
      </c>
      <c r="D481" s="3">
        <v>31562</v>
      </c>
      <c r="E481" t="s">
        <v>1379</v>
      </c>
      <c r="F481">
        <v>286</v>
      </c>
      <c r="G481" s="3">
        <v>39538</v>
      </c>
      <c r="H481" t="s">
        <v>3289</v>
      </c>
      <c r="J481" t="s">
        <v>1566</v>
      </c>
      <c r="K481" t="s">
        <v>50</v>
      </c>
      <c r="L481" s="3">
        <v>47672</v>
      </c>
      <c r="M481" s="3">
        <v>46686</v>
      </c>
      <c r="N481" t="s">
        <v>3290</v>
      </c>
      <c r="O481" s="4">
        <v>1</v>
      </c>
      <c r="P481">
        <v>0</v>
      </c>
      <c r="Q481">
        <v>1</v>
      </c>
    </row>
    <row r="482" spans="1:17" x14ac:dyDescent="0.25">
      <c r="A482">
        <v>21892</v>
      </c>
      <c r="B482" t="s">
        <v>1654</v>
      </c>
      <c r="C482" t="s">
        <v>1648</v>
      </c>
      <c r="D482" s="3">
        <v>29470</v>
      </c>
      <c r="E482" t="s">
        <v>1379</v>
      </c>
      <c r="F482">
        <v>81</v>
      </c>
      <c r="G482" s="3">
        <v>39524</v>
      </c>
      <c r="H482" t="s">
        <v>1655</v>
      </c>
      <c r="J482" t="s">
        <v>1405</v>
      </c>
      <c r="K482" t="s">
        <v>50</v>
      </c>
      <c r="L482" s="3">
        <v>72686</v>
      </c>
      <c r="M482" s="3">
        <v>46925</v>
      </c>
      <c r="N482" t="s">
        <v>1656</v>
      </c>
      <c r="O482" s="4">
        <v>1</v>
      </c>
      <c r="P482">
        <v>0</v>
      </c>
      <c r="Q482">
        <v>0</v>
      </c>
    </row>
    <row r="483" spans="1:17" x14ac:dyDescent="0.25">
      <c r="A483">
        <v>21845</v>
      </c>
      <c r="B483" t="s">
        <v>2554</v>
      </c>
      <c r="C483" t="s">
        <v>3085</v>
      </c>
      <c r="D483" s="3">
        <v>28968</v>
      </c>
      <c r="E483" t="s">
        <v>1379</v>
      </c>
      <c r="F483">
        <v>443</v>
      </c>
      <c r="G483" s="3">
        <v>39510</v>
      </c>
      <c r="H483" t="s">
        <v>3086</v>
      </c>
      <c r="J483" t="s">
        <v>1459</v>
      </c>
      <c r="K483" t="s">
        <v>50</v>
      </c>
      <c r="L483" s="3">
        <v>72686</v>
      </c>
      <c r="M483" s="3">
        <v>46776</v>
      </c>
      <c r="N483" t="s">
        <v>3087</v>
      </c>
      <c r="O483" s="4">
        <v>0.8</v>
      </c>
      <c r="P483">
        <v>0</v>
      </c>
      <c r="Q483">
        <v>0</v>
      </c>
    </row>
    <row r="484" spans="1:17" x14ac:dyDescent="0.25">
      <c r="A484">
        <v>21812</v>
      </c>
      <c r="B484" t="s">
        <v>2145</v>
      </c>
      <c r="C484" t="s">
        <v>2146</v>
      </c>
      <c r="D484" s="3">
        <v>29324</v>
      </c>
      <c r="E484" t="s">
        <v>1379</v>
      </c>
      <c r="F484">
        <v>441</v>
      </c>
      <c r="G484" s="3">
        <v>39496</v>
      </c>
      <c r="H484" t="s">
        <v>2147</v>
      </c>
      <c r="J484" t="s">
        <v>1455</v>
      </c>
      <c r="K484" t="s">
        <v>35</v>
      </c>
      <c r="L484" s="3">
        <v>72686</v>
      </c>
      <c r="M484" s="3">
        <v>46672</v>
      </c>
      <c r="N484" t="s">
        <v>2148</v>
      </c>
      <c r="O484" s="4">
        <v>0.5</v>
      </c>
      <c r="P484">
        <v>1</v>
      </c>
      <c r="Q484">
        <v>1</v>
      </c>
    </row>
    <row r="485" spans="1:17" x14ac:dyDescent="0.25">
      <c r="A485">
        <v>21809</v>
      </c>
      <c r="B485" t="s">
        <v>2499</v>
      </c>
      <c r="C485" t="s">
        <v>2961</v>
      </c>
      <c r="D485" s="3">
        <v>29830</v>
      </c>
      <c r="E485" t="s">
        <v>1379</v>
      </c>
      <c r="F485">
        <v>438</v>
      </c>
      <c r="G485" s="3">
        <v>39496</v>
      </c>
      <c r="H485" t="s">
        <v>2962</v>
      </c>
      <c r="J485" t="s">
        <v>1433</v>
      </c>
      <c r="K485" t="s">
        <v>53</v>
      </c>
      <c r="L485" s="3">
        <v>47454</v>
      </c>
      <c r="M485" s="3">
        <v>47272</v>
      </c>
      <c r="N485" t="s">
        <v>2963</v>
      </c>
      <c r="O485" s="4">
        <v>0.8</v>
      </c>
      <c r="P485">
        <v>0</v>
      </c>
      <c r="Q485">
        <v>1</v>
      </c>
    </row>
    <row r="486" spans="1:17" x14ac:dyDescent="0.25">
      <c r="A486">
        <v>21738</v>
      </c>
      <c r="B486" t="s">
        <v>2638</v>
      </c>
      <c r="C486" t="s">
        <v>2632</v>
      </c>
      <c r="D486" s="3">
        <v>30888</v>
      </c>
      <c r="E486" t="s">
        <v>1379</v>
      </c>
      <c r="F486">
        <v>431</v>
      </c>
      <c r="G486" s="3">
        <v>39468</v>
      </c>
      <c r="H486" t="s">
        <v>2639</v>
      </c>
      <c r="J486" t="s">
        <v>1411</v>
      </c>
      <c r="K486" t="s">
        <v>53</v>
      </c>
      <c r="L486" s="3">
        <v>47064</v>
      </c>
      <c r="M486" s="3">
        <v>47044</v>
      </c>
      <c r="N486" t="s">
        <v>2640</v>
      </c>
      <c r="O486" s="4">
        <v>0.8</v>
      </c>
      <c r="P486">
        <v>0</v>
      </c>
      <c r="Q486">
        <v>0</v>
      </c>
    </row>
    <row r="487" spans="1:17" x14ac:dyDescent="0.25">
      <c r="A487">
        <v>21662</v>
      </c>
      <c r="B487" t="s">
        <v>1487</v>
      </c>
      <c r="C487" t="s">
        <v>1488</v>
      </c>
      <c r="D487" s="3">
        <v>22761</v>
      </c>
      <c r="E487" t="s">
        <v>1379</v>
      </c>
      <c r="F487">
        <v>428</v>
      </c>
      <c r="G487" s="3">
        <v>39454</v>
      </c>
      <c r="H487" t="s">
        <v>1489</v>
      </c>
      <c r="I487">
        <v>93294697</v>
      </c>
      <c r="J487" t="s">
        <v>1405</v>
      </c>
      <c r="K487" t="s">
        <v>53</v>
      </c>
      <c r="L487" s="3">
        <v>72686</v>
      </c>
      <c r="M487" s="3">
        <v>72686</v>
      </c>
      <c r="N487" t="s">
        <v>1490</v>
      </c>
      <c r="O487" s="4">
        <v>0.5</v>
      </c>
      <c r="P487">
        <v>0</v>
      </c>
      <c r="Q487">
        <v>0</v>
      </c>
    </row>
    <row r="488" spans="1:17" x14ac:dyDescent="0.25">
      <c r="A488">
        <v>21581</v>
      </c>
      <c r="B488" t="s">
        <v>2864</v>
      </c>
      <c r="C488" t="s">
        <v>2858</v>
      </c>
      <c r="D488" s="3">
        <v>26100</v>
      </c>
      <c r="E488" t="s">
        <v>1379</v>
      </c>
      <c r="F488">
        <v>148</v>
      </c>
      <c r="G488" s="3">
        <v>39433</v>
      </c>
      <c r="H488" t="s">
        <v>2865</v>
      </c>
      <c r="J488" t="s">
        <v>1507</v>
      </c>
      <c r="K488" t="s">
        <v>56</v>
      </c>
      <c r="L488" s="3">
        <v>47602</v>
      </c>
      <c r="M488" s="3">
        <v>46511</v>
      </c>
      <c r="N488" t="s">
        <v>2866</v>
      </c>
      <c r="O488" s="4">
        <v>1</v>
      </c>
      <c r="P488">
        <v>0</v>
      </c>
      <c r="Q488">
        <v>0</v>
      </c>
    </row>
    <row r="489" spans="1:17" x14ac:dyDescent="0.25">
      <c r="A489">
        <v>21509</v>
      </c>
      <c r="B489" t="s">
        <v>2420</v>
      </c>
      <c r="C489" t="s">
        <v>2421</v>
      </c>
      <c r="D489" s="3">
        <v>30190</v>
      </c>
      <c r="E489" t="s">
        <v>1379</v>
      </c>
      <c r="F489">
        <v>274</v>
      </c>
      <c r="G489" s="3">
        <v>39405</v>
      </c>
      <c r="H489" t="s">
        <v>2422</v>
      </c>
      <c r="J489" t="s">
        <v>1455</v>
      </c>
      <c r="K489" t="s">
        <v>35</v>
      </c>
      <c r="L489" s="3">
        <v>72686</v>
      </c>
      <c r="M489" s="3">
        <v>46201</v>
      </c>
      <c r="N489" t="s">
        <v>2423</v>
      </c>
      <c r="O489" s="4">
        <v>1</v>
      </c>
      <c r="P489">
        <v>0</v>
      </c>
      <c r="Q489">
        <v>0</v>
      </c>
    </row>
    <row r="490" spans="1:17" x14ac:dyDescent="0.25">
      <c r="A490">
        <v>21507</v>
      </c>
      <c r="B490" t="s">
        <v>2394</v>
      </c>
      <c r="C490" t="s">
        <v>1351</v>
      </c>
      <c r="D490" s="3">
        <v>29938</v>
      </c>
      <c r="E490" t="s">
        <v>1379</v>
      </c>
      <c r="F490">
        <v>284</v>
      </c>
      <c r="G490" s="3">
        <v>39405</v>
      </c>
      <c r="H490" t="s">
        <v>3291</v>
      </c>
      <c r="J490" t="s">
        <v>1700</v>
      </c>
      <c r="K490" t="s">
        <v>47</v>
      </c>
      <c r="L490" s="3">
        <v>46662</v>
      </c>
      <c r="M490" s="3">
        <v>46658</v>
      </c>
      <c r="N490" t="s">
        <v>3292</v>
      </c>
      <c r="O490" s="4">
        <v>0.8</v>
      </c>
      <c r="P490">
        <v>0</v>
      </c>
      <c r="Q490">
        <v>0</v>
      </c>
    </row>
    <row r="491" spans="1:17" x14ac:dyDescent="0.25">
      <c r="A491">
        <v>21506</v>
      </c>
      <c r="B491" t="s">
        <v>1972</v>
      </c>
      <c r="C491" t="s">
        <v>1961</v>
      </c>
      <c r="D491" s="3">
        <v>22969</v>
      </c>
      <c r="E491" t="s">
        <v>1379</v>
      </c>
      <c r="F491">
        <v>166</v>
      </c>
      <c r="G491" s="3">
        <v>39405</v>
      </c>
      <c r="H491" t="s">
        <v>1973</v>
      </c>
      <c r="J491" t="s">
        <v>1405</v>
      </c>
      <c r="K491" t="s">
        <v>50</v>
      </c>
      <c r="L491" s="3">
        <v>47602</v>
      </c>
      <c r="M491" s="3">
        <v>46476</v>
      </c>
      <c r="N491" t="s">
        <v>1974</v>
      </c>
      <c r="O491" s="4">
        <v>1</v>
      </c>
      <c r="P491">
        <v>0</v>
      </c>
      <c r="Q491">
        <v>1</v>
      </c>
    </row>
    <row r="492" spans="1:17" x14ac:dyDescent="0.25">
      <c r="A492">
        <v>21466</v>
      </c>
      <c r="B492" t="s">
        <v>2065</v>
      </c>
      <c r="C492" t="s">
        <v>3396</v>
      </c>
      <c r="D492" s="3">
        <v>25358</v>
      </c>
      <c r="E492" t="s">
        <v>1379</v>
      </c>
      <c r="F492">
        <v>395</v>
      </c>
      <c r="G492" s="3">
        <v>39391</v>
      </c>
      <c r="I492">
        <v>32479662027</v>
      </c>
      <c r="J492" t="s">
        <v>1507</v>
      </c>
      <c r="K492" t="s">
        <v>56</v>
      </c>
      <c r="L492" s="3">
        <v>47664</v>
      </c>
      <c r="M492" s="3">
        <v>46369</v>
      </c>
      <c r="N492" t="s">
        <v>3399</v>
      </c>
      <c r="O492" s="4">
        <v>1</v>
      </c>
      <c r="P492">
        <v>0</v>
      </c>
      <c r="Q492">
        <v>0</v>
      </c>
    </row>
    <row r="493" spans="1:17" x14ac:dyDescent="0.25">
      <c r="A493">
        <v>21429</v>
      </c>
      <c r="B493" t="s">
        <v>1431</v>
      </c>
      <c r="C493" t="s">
        <v>1428</v>
      </c>
      <c r="D493" s="3">
        <v>31632</v>
      </c>
      <c r="E493" t="s">
        <v>1379</v>
      </c>
      <c r="F493">
        <v>141</v>
      </c>
      <c r="G493" s="3">
        <v>39370</v>
      </c>
      <c r="H493" t="s">
        <v>1432</v>
      </c>
      <c r="J493" t="s">
        <v>1433</v>
      </c>
      <c r="K493" t="s">
        <v>50</v>
      </c>
      <c r="L493" s="3">
        <v>72686</v>
      </c>
      <c r="M493" s="3">
        <v>46827</v>
      </c>
      <c r="N493" t="s">
        <v>1434</v>
      </c>
      <c r="O493" s="4">
        <v>1</v>
      </c>
      <c r="P493">
        <v>0</v>
      </c>
      <c r="Q493">
        <v>0</v>
      </c>
    </row>
    <row r="494" spans="1:17" x14ac:dyDescent="0.25">
      <c r="A494">
        <v>21428</v>
      </c>
      <c r="B494" t="s">
        <v>1521</v>
      </c>
      <c r="C494" t="s">
        <v>1522</v>
      </c>
      <c r="D494" s="3">
        <v>25671</v>
      </c>
      <c r="E494" t="s">
        <v>1379</v>
      </c>
      <c r="F494">
        <v>328</v>
      </c>
      <c r="G494" s="3">
        <v>39370</v>
      </c>
      <c r="H494" t="s">
        <v>1523</v>
      </c>
      <c r="J494" t="s">
        <v>1463</v>
      </c>
      <c r="K494" t="s">
        <v>41</v>
      </c>
      <c r="L494" s="3">
        <v>46806</v>
      </c>
      <c r="M494" s="3">
        <v>46798</v>
      </c>
      <c r="N494" t="s">
        <v>1524</v>
      </c>
      <c r="O494" s="4">
        <v>0.8</v>
      </c>
      <c r="P494">
        <v>0</v>
      </c>
      <c r="Q494">
        <v>0</v>
      </c>
    </row>
    <row r="495" spans="1:17" x14ac:dyDescent="0.25">
      <c r="A495">
        <v>21424</v>
      </c>
      <c r="B495" t="s">
        <v>2588</v>
      </c>
      <c r="C495" t="s">
        <v>2589</v>
      </c>
      <c r="D495" s="3">
        <v>27407</v>
      </c>
      <c r="E495" t="s">
        <v>1379</v>
      </c>
      <c r="F495">
        <v>118</v>
      </c>
      <c r="G495" s="3">
        <v>39370</v>
      </c>
      <c r="H495" t="s">
        <v>2590</v>
      </c>
      <c r="J495" t="s">
        <v>1548</v>
      </c>
      <c r="K495" t="s">
        <v>53</v>
      </c>
      <c r="L495" s="3">
        <v>47094</v>
      </c>
      <c r="M495" s="3">
        <v>47083</v>
      </c>
      <c r="N495" t="s">
        <v>2591</v>
      </c>
      <c r="O495" s="4">
        <v>1</v>
      </c>
      <c r="P495">
        <v>0</v>
      </c>
      <c r="Q495">
        <v>1</v>
      </c>
    </row>
    <row r="496" spans="1:17" x14ac:dyDescent="0.25">
      <c r="A496">
        <v>21383</v>
      </c>
      <c r="B496" t="s">
        <v>1827</v>
      </c>
      <c r="C496" t="s">
        <v>1825</v>
      </c>
      <c r="D496" s="3">
        <v>26590</v>
      </c>
      <c r="E496" t="s">
        <v>1379</v>
      </c>
      <c r="F496">
        <v>291</v>
      </c>
      <c r="G496" s="3">
        <v>39356</v>
      </c>
      <c r="H496" t="s">
        <v>1828</v>
      </c>
      <c r="I496">
        <v>92303180</v>
      </c>
      <c r="J496" t="s">
        <v>1455</v>
      </c>
      <c r="K496" t="s">
        <v>47</v>
      </c>
      <c r="L496" s="3">
        <v>72686</v>
      </c>
      <c r="M496" s="3">
        <v>47533</v>
      </c>
      <c r="N496" t="s">
        <v>1829</v>
      </c>
      <c r="O496" s="4">
        <v>0.8</v>
      </c>
      <c r="P496">
        <v>0</v>
      </c>
      <c r="Q496">
        <v>0</v>
      </c>
    </row>
    <row r="497" spans="1:17" x14ac:dyDescent="0.25">
      <c r="A497">
        <v>21382</v>
      </c>
      <c r="B497" t="s">
        <v>2304</v>
      </c>
      <c r="C497" t="s">
        <v>2297</v>
      </c>
      <c r="D497" s="3">
        <v>27768</v>
      </c>
      <c r="E497" t="s">
        <v>1379</v>
      </c>
      <c r="F497">
        <v>281</v>
      </c>
      <c r="G497" s="3">
        <v>39356</v>
      </c>
      <c r="H497" t="s">
        <v>2305</v>
      </c>
      <c r="J497" t="s">
        <v>1405</v>
      </c>
      <c r="K497" t="s">
        <v>53</v>
      </c>
      <c r="L497" s="3">
        <v>72686</v>
      </c>
      <c r="M497" s="3">
        <v>46838</v>
      </c>
      <c r="N497" t="s">
        <v>2306</v>
      </c>
      <c r="O497" s="4">
        <v>1</v>
      </c>
      <c r="P497">
        <v>0</v>
      </c>
      <c r="Q497">
        <v>1</v>
      </c>
    </row>
    <row r="498" spans="1:17" x14ac:dyDescent="0.25">
      <c r="A498">
        <v>21249</v>
      </c>
      <c r="B498" t="s">
        <v>2766</v>
      </c>
      <c r="C498" t="s">
        <v>3167</v>
      </c>
      <c r="D498" s="3">
        <v>30655</v>
      </c>
      <c r="E498" t="s">
        <v>1379</v>
      </c>
      <c r="F498">
        <v>139</v>
      </c>
      <c r="G498" s="3">
        <v>39314</v>
      </c>
      <c r="H498" t="s">
        <v>3168</v>
      </c>
      <c r="I498">
        <v>92255582</v>
      </c>
      <c r="J498" t="s">
        <v>1420</v>
      </c>
      <c r="K498" t="s">
        <v>44</v>
      </c>
      <c r="L498" s="3">
        <v>46447</v>
      </c>
      <c r="M498" s="3">
        <v>46418</v>
      </c>
      <c r="N498" t="s">
        <v>3169</v>
      </c>
      <c r="O498" s="4">
        <v>0.8</v>
      </c>
      <c r="P498">
        <v>0</v>
      </c>
      <c r="Q498">
        <v>1</v>
      </c>
    </row>
    <row r="499" spans="1:17" x14ac:dyDescent="0.25">
      <c r="A499">
        <v>21160</v>
      </c>
      <c r="B499" t="s">
        <v>2210</v>
      </c>
      <c r="C499" t="s">
        <v>2211</v>
      </c>
      <c r="D499" s="3">
        <v>24630</v>
      </c>
      <c r="E499" t="s">
        <v>1379</v>
      </c>
      <c r="F499">
        <v>403</v>
      </c>
      <c r="G499" s="3">
        <v>39300</v>
      </c>
      <c r="H499" t="s">
        <v>2212</v>
      </c>
      <c r="I499">
        <v>93285584</v>
      </c>
      <c r="J499" t="s">
        <v>1405</v>
      </c>
      <c r="K499" t="s">
        <v>50</v>
      </c>
      <c r="L499" s="3">
        <v>72686</v>
      </c>
      <c r="M499" s="3">
        <v>46476</v>
      </c>
      <c r="N499" t="s">
        <v>2213</v>
      </c>
      <c r="O499" s="4">
        <v>1</v>
      </c>
      <c r="P499">
        <v>0</v>
      </c>
      <c r="Q499">
        <v>1</v>
      </c>
    </row>
    <row r="500" spans="1:17" x14ac:dyDescent="0.25">
      <c r="A500">
        <v>21124</v>
      </c>
      <c r="B500" t="s">
        <v>3102</v>
      </c>
      <c r="C500" t="s">
        <v>3093</v>
      </c>
      <c r="D500" s="3">
        <v>28233</v>
      </c>
      <c r="E500" t="s">
        <v>1379</v>
      </c>
      <c r="F500">
        <v>360</v>
      </c>
      <c r="G500" s="3">
        <v>39286</v>
      </c>
      <c r="H500" t="s">
        <v>3103</v>
      </c>
      <c r="J500" t="s">
        <v>1420</v>
      </c>
      <c r="K500" t="s">
        <v>44</v>
      </c>
      <c r="L500" s="3">
        <v>46039</v>
      </c>
      <c r="M500" s="3">
        <v>46985</v>
      </c>
      <c r="N500" t="s">
        <v>3104</v>
      </c>
      <c r="O500" s="4">
        <v>0.5</v>
      </c>
      <c r="P500">
        <v>0</v>
      </c>
      <c r="Q500">
        <v>0</v>
      </c>
    </row>
    <row r="501" spans="1:17" x14ac:dyDescent="0.25">
      <c r="A501">
        <v>21121</v>
      </c>
      <c r="B501" t="s">
        <v>2181</v>
      </c>
      <c r="C501" t="s">
        <v>2175</v>
      </c>
      <c r="D501" s="3">
        <v>30571</v>
      </c>
      <c r="E501" t="s">
        <v>1379</v>
      </c>
      <c r="F501">
        <v>309</v>
      </c>
      <c r="G501" s="3">
        <v>39286</v>
      </c>
      <c r="H501" t="s">
        <v>2182</v>
      </c>
      <c r="J501" t="s">
        <v>1405</v>
      </c>
      <c r="K501" t="s">
        <v>47</v>
      </c>
      <c r="L501" s="3">
        <v>72686</v>
      </c>
      <c r="M501" s="3">
        <v>46504</v>
      </c>
      <c r="N501" t="s">
        <v>2183</v>
      </c>
      <c r="O501" s="4">
        <v>1</v>
      </c>
      <c r="P501">
        <v>0</v>
      </c>
      <c r="Q501">
        <v>0</v>
      </c>
    </row>
    <row r="502" spans="1:17" x14ac:dyDescent="0.25">
      <c r="A502">
        <v>20954</v>
      </c>
      <c r="B502" t="s">
        <v>2118</v>
      </c>
      <c r="C502" t="s">
        <v>2115</v>
      </c>
      <c r="D502" s="3">
        <v>28705</v>
      </c>
      <c r="E502" t="s">
        <v>1379</v>
      </c>
      <c r="F502">
        <v>244</v>
      </c>
      <c r="G502" s="3">
        <v>39272</v>
      </c>
      <c r="H502" t="s">
        <v>2119</v>
      </c>
      <c r="J502" t="s">
        <v>1405</v>
      </c>
      <c r="K502" t="s">
        <v>53</v>
      </c>
      <c r="L502" s="3">
        <v>46680</v>
      </c>
      <c r="M502" s="3">
        <v>46679</v>
      </c>
      <c r="N502" t="s">
        <v>2120</v>
      </c>
      <c r="O502" s="4">
        <v>1</v>
      </c>
      <c r="P502">
        <v>0</v>
      </c>
      <c r="Q502">
        <v>1</v>
      </c>
    </row>
    <row r="503" spans="1:17" x14ac:dyDescent="0.25">
      <c r="A503">
        <v>20705</v>
      </c>
      <c r="B503" t="s">
        <v>3042</v>
      </c>
      <c r="C503" t="s">
        <v>3043</v>
      </c>
      <c r="D503" s="3">
        <v>31394</v>
      </c>
      <c r="E503" t="s">
        <v>1379</v>
      </c>
      <c r="F503">
        <v>319</v>
      </c>
      <c r="G503" s="3">
        <v>39223</v>
      </c>
      <c r="H503" t="s">
        <v>3044</v>
      </c>
      <c r="J503" t="s">
        <v>1548</v>
      </c>
      <c r="K503" t="s">
        <v>41</v>
      </c>
      <c r="L503" s="3">
        <v>47672</v>
      </c>
      <c r="M503" s="3">
        <v>46236</v>
      </c>
      <c r="N503" t="s">
        <v>3045</v>
      </c>
      <c r="O503" s="4">
        <v>1</v>
      </c>
      <c r="P503">
        <v>0</v>
      </c>
      <c r="Q503">
        <v>0</v>
      </c>
    </row>
    <row r="504" spans="1:17" x14ac:dyDescent="0.25">
      <c r="A504">
        <v>20656</v>
      </c>
      <c r="B504" t="s">
        <v>1745</v>
      </c>
      <c r="C504" t="s">
        <v>1351</v>
      </c>
      <c r="D504" s="3">
        <v>25256</v>
      </c>
      <c r="E504" t="s">
        <v>1379</v>
      </c>
      <c r="F504">
        <v>502</v>
      </c>
      <c r="G504" s="3">
        <v>39204</v>
      </c>
      <c r="H504" t="s">
        <v>3293</v>
      </c>
      <c r="I504">
        <v>3254244570</v>
      </c>
      <c r="J504" t="s">
        <v>1548</v>
      </c>
      <c r="K504" t="s">
        <v>41</v>
      </c>
      <c r="L504" s="3">
        <v>47611</v>
      </c>
      <c r="M504" s="3">
        <v>46776</v>
      </c>
      <c r="N504" t="s">
        <v>3294</v>
      </c>
      <c r="O504" s="4">
        <v>0.8</v>
      </c>
      <c r="P504">
        <v>0</v>
      </c>
      <c r="Q504">
        <v>0</v>
      </c>
    </row>
    <row r="505" spans="1:17" x14ac:dyDescent="0.25">
      <c r="A505">
        <v>20655</v>
      </c>
      <c r="B505" t="s">
        <v>3353</v>
      </c>
      <c r="C505" t="s">
        <v>3348</v>
      </c>
      <c r="D505" s="3">
        <v>30082</v>
      </c>
      <c r="E505" t="s">
        <v>1379</v>
      </c>
      <c r="F505">
        <v>344</v>
      </c>
      <c r="G505" s="3">
        <v>39204</v>
      </c>
      <c r="H505" t="s">
        <v>3354</v>
      </c>
      <c r="J505" t="s">
        <v>1485</v>
      </c>
      <c r="K505" t="s">
        <v>53</v>
      </c>
      <c r="L505" s="3">
        <v>73050</v>
      </c>
      <c r="M505" s="3">
        <v>47201</v>
      </c>
      <c r="N505" t="s">
        <v>3355</v>
      </c>
      <c r="O505" s="4">
        <v>0.8</v>
      </c>
      <c r="P505">
        <v>0</v>
      </c>
      <c r="Q505">
        <v>0</v>
      </c>
    </row>
    <row r="506" spans="1:17" x14ac:dyDescent="0.25">
      <c r="A506">
        <v>20653</v>
      </c>
      <c r="B506" t="s">
        <v>2273</v>
      </c>
      <c r="C506" t="s">
        <v>2274</v>
      </c>
      <c r="D506" s="3">
        <v>29923</v>
      </c>
      <c r="E506" t="s">
        <v>1379</v>
      </c>
      <c r="F506">
        <v>341</v>
      </c>
      <c r="G506" s="3">
        <v>39204</v>
      </c>
      <c r="H506" t="s">
        <v>2275</v>
      </c>
      <c r="J506" t="s">
        <v>1405</v>
      </c>
      <c r="K506" t="s">
        <v>38</v>
      </c>
      <c r="L506" s="3">
        <v>72686</v>
      </c>
      <c r="M506" s="3">
        <v>46191</v>
      </c>
      <c r="N506" t="s">
        <v>2276</v>
      </c>
      <c r="O506" s="4">
        <v>1</v>
      </c>
      <c r="P506">
        <v>0</v>
      </c>
      <c r="Q506">
        <v>0</v>
      </c>
    </row>
    <row r="507" spans="1:17" x14ac:dyDescent="0.25">
      <c r="A507">
        <v>20612</v>
      </c>
      <c r="B507" t="s">
        <v>1745</v>
      </c>
      <c r="C507" t="s">
        <v>1734</v>
      </c>
      <c r="D507" s="3">
        <v>26097</v>
      </c>
      <c r="E507" t="s">
        <v>1379</v>
      </c>
      <c r="F507">
        <v>334</v>
      </c>
      <c r="G507" s="3">
        <v>39188</v>
      </c>
      <c r="H507" t="s">
        <v>1746</v>
      </c>
      <c r="J507" t="s">
        <v>1405</v>
      </c>
      <c r="K507" t="s">
        <v>50</v>
      </c>
      <c r="L507" s="3">
        <v>46042</v>
      </c>
      <c r="M507" s="3">
        <v>46418</v>
      </c>
      <c r="N507" t="s">
        <v>1747</v>
      </c>
      <c r="O507" s="4">
        <v>0.8</v>
      </c>
      <c r="P507">
        <v>0</v>
      </c>
      <c r="Q507">
        <v>1</v>
      </c>
    </row>
    <row r="508" spans="1:17" x14ac:dyDescent="0.25">
      <c r="A508">
        <v>20610</v>
      </c>
      <c r="B508" t="s">
        <v>2845</v>
      </c>
      <c r="C508" t="s">
        <v>2842</v>
      </c>
      <c r="D508" s="3">
        <v>27176</v>
      </c>
      <c r="E508" t="s">
        <v>1379</v>
      </c>
      <c r="F508">
        <v>279</v>
      </c>
      <c r="G508" s="3">
        <v>39188</v>
      </c>
      <c r="J508" t="s">
        <v>1459</v>
      </c>
      <c r="K508" t="s">
        <v>50</v>
      </c>
      <c r="L508" s="3">
        <v>72686</v>
      </c>
      <c r="M508" s="3">
        <v>46182</v>
      </c>
      <c r="N508" t="s">
        <v>2846</v>
      </c>
      <c r="O508" s="4">
        <v>0.8</v>
      </c>
      <c r="P508">
        <v>0</v>
      </c>
      <c r="Q508">
        <v>0</v>
      </c>
    </row>
    <row r="509" spans="1:17" x14ac:dyDescent="0.25">
      <c r="A509">
        <v>20543</v>
      </c>
      <c r="B509" t="s">
        <v>2687</v>
      </c>
      <c r="C509" t="s">
        <v>2688</v>
      </c>
      <c r="D509" s="3">
        <v>24788</v>
      </c>
      <c r="E509" t="s">
        <v>1379</v>
      </c>
      <c r="F509">
        <v>290</v>
      </c>
      <c r="G509" s="3">
        <v>39174</v>
      </c>
      <c r="H509" t="s">
        <v>2689</v>
      </c>
      <c r="J509" t="s">
        <v>1405</v>
      </c>
      <c r="K509" t="s">
        <v>47</v>
      </c>
      <c r="L509" s="3">
        <v>72686</v>
      </c>
      <c r="M509" s="3">
        <v>72686</v>
      </c>
      <c r="N509" t="s">
        <v>2690</v>
      </c>
      <c r="O509" s="4">
        <v>0.8</v>
      </c>
      <c r="P509">
        <v>1</v>
      </c>
      <c r="Q509">
        <v>0</v>
      </c>
    </row>
    <row r="510" spans="1:17" x14ac:dyDescent="0.25">
      <c r="A510">
        <v>20542</v>
      </c>
      <c r="B510" t="s">
        <v>2944</v>
      </c>
      <c r="C510" t="s">
        <v>2945</v>
      </c>
      <c r="D510" s="3">
        <v>31215</v>
      </c>
      <c r="E510" t="s">
        <v>1379</v>
      </c>
      <c r="F510">
        <v>267</v>
      </c>
      <c r="G510" s="3">
        <v>39174</v>
      </c>
      <c r="H510" t="s">
        <v>2946</v>
      </c>
      <c r="J510" t="s">
        <v>1382</v>
      </c>
      <c r="K510" t="s">
        <v>53</v>
      </c>
      <c r="L510" s="3">
        <v>46187</v>
      </c>
      <c r="M510" s="3">
        <v>46274</v>
      </c>
      <c r="N510" t="s">
        <v>2947</v>
      </c>
      <c r="O510" s="4">
        <v>0.8</v>
      </c>
      <c r="P510">
        <v>0</v>
      </c>
      <c r="Q510">
        <v>0</v>
      </c>
    </row>
    <row r="511" spans="1:17" x14ac:dyDescent="0.25">
      <c r="A511">
        <v>20476</v>
      </c>
      <c r="B511" t="s">
        <v>2929</v>
      </c>
      <c r="C511" t="s">
        <v>2926</v>
      </c>
      <c r="D511" s="3">
        <v>30153</v>
      </c>
      <c r="E511" t="s">
        <v>1634</v>
      </c>
      <c r="F511">
        <v>83</v>
      </c>
      <c r="G511" s="3">
        <v>39160</v>
      </c>
      <c r="H511" t="s">
        <v>2930</v>
      </c>
      <c r="J511" t="s">
        <v>1485</v>
      </c>
      <c r="K511" t="s">
        <v>35</v>
      </c>
      <c r="L511" s="3">
        <v>72686</v>
      </c>
      <c r="M511" s="3">
        <v>46838</v>
      </c>
      <c r="N511" t="s">
        <v>2931</v>
      </c>
      <c r="O511" s="4">
        <v>1</v>
      </c>
      <c r="P511">
        <v>0</v>
      </c>
      <c r="Q511">
        <v>0</v>
      </c>
    </row>
    <row r="512" spans="1:17" x14ac:dyDescent="0.25">
      <c r="A512">
        <v>20404</v>
      </c>
      <c r="B512" t="s">
        <v>1377</v>
      </c>
      <c r="C512" t="s">
        <v>1341</v>
      </c>
      <c r="D512" s="3">
        <v>26247</v>
      </c>
      <c r="E512" t="s">
        <v>1379</v>
      </c>
      <c r="F512">
        <v>218</v>
      </c>
      <c r="G512" s="3">
        <v>39146</v>
      </c>
      <c r="H512" t="s">
        <v>2479</v>
      </c>
      <c r="J512" t="s">
        <v>1463</v>
      </c>
      <c r="K512" t="s">
        <v>44</v>
      </c>
      <c r="L512" s="3">
        <v>45956</v>
      </c>
      <c r="M512" s="3">
        <v>46306</v>
      </c>
      <c r="N512" t="s">
        <v>2480</v>
      </c>
      <c r="O512" s="4">
        <v>1</v>
      </c>
      <c r="P512">
        <v>0</v>
      </c>
      <c r="Q512">
        <v>0</v>
      </c>
    </row>
    <row r="513" spans="1:17" x14ac:dyDescent="0.25">
      <c r="A513">
        <v>20402</v>
      </c>
      <c r="B513" t="s">
        <v>2403</v>
      </c>
      <c r="C513" t="s">
        <v>2395</v>
      </c>
      <c r="D513" s="3">
        <v>23889</v>
      </c>
      <c r="E513" t="s">
        <v>1379</v>
      </c>
      <c r="F513">
        <v>172</v>
      </c>
      <c r="G513" s="3">
        <v>39146</v>
      </c>
      <c r="H513" t="s">
        <v>2404</v>
      </c>
      <c r="I513">
        <v>55424915</v>
      </c>
      <c r="J513" t="s">
        <v>1502</v>
      </c>
      <c r="K513" t="s">
        <v>53</v>
      </c>
      <c r="L513" s="3">
        <v>47629</v>
      </c>
      <c r="M513" s="3">
        <v>46378</v>
      </c>
      <c r="N513" t="s">
        <v>2405</v>
      </c>
      <c r="O513" s="4">
        <v>0.8</v>
      </c>
      <c r="P513">
        <v>0</v>
      </c>
      <c r="Q513">
        <v>0</v>
      </c>
    </row>
    <row r="514" spans="1:17" x14ac:dyDescent="0.25">
      <c r="A514">
        <v>20400</v>
      </c>
      <c r="B514" t="s">
        <v>2476</v>
      </c>
      <c r="C514" t="s">
        <v>1341</v>
      </c>
      <c r="D514" s="3">
        <v>23779</v>
      </c>
      <c r="E514" t="s">
        <v>1379</v>
      </c>
      <c r="F514">
        <v>157</v>
      </c>
      <c r="G514" s="3">
        <v>39146</v>
      </c>
      <c r="H514" t="s">
        <v>2477</v>
      </c>
      <c r="J514" t="s">
        <v>1516</v>
      </c>
      <c r="K514" t="s">
        <v>35</v>
      </c>
      <c r="L514" s="3">
        <v>72686</v>
      </c>
      <c r="M514" s="3">
        <v>46343</v>
      </c>
      <c r="N514" t="s">
        <v>2478</v>
      </c>
      <c r="O514" s="4">
        <v>0.8</v>
      </c>
      <c r="P514">
        <v>0</v>
      </c>
      <c r="Q514">
        <v>0</v>
      </c>
    </row>
    <row r="515" spans="1:17" x14ac:dyDescent="0.25">
      <c r="A515">
        <v>20376</v>
      </c>
      <c r="B515" t="s">
        <v>2281</v>
      </c>
      <c r="C515" t="s">
        <v>2278</v>
      </c>
      <c r="D515" s="3">
        <v>26892</v>
      </c>
      <c r="E515" t="s">
        <v>1379</v>
      </c>
      <c r="F515">
        <v>155</v>
      </c>
      <c r="G515" s="3">
        <v>39132</v>
      </c>
      <c r="H515" t="s">
        <v>2282</v>
      </c>
      <c r="J515" t="s">
        <v>1485</v>
      </c>
      <c r="K515" t="s">
        <v>50</v>
      </c>
      <c r="L515" s="3">
        <v>45951</v>
      </c>
      <c r="M515" s="3">
        <v>46364</v>
      </c>
      <c r="N515" t="s">
        <v>2283</v>
      </c>
      <c r="O515" s="4">
        <v>1</v>
      </c>
      <c r="P515">
        <v>0</v>
      </c>
      <c r="Q515">
        <v>1</v>
      </c>
    </row>
    <row r="516" spans="1:17" x14ac:dyDescent="0.25">
      <c r="A516">
        <v>20375</v>
      </c>
      <c r="B516" t="s">
        <v>2374</v>
      </c>
      <c r="C516" t="s">
        <v>2375</v>
      </c>
      <c r="D516" s="3">
        <v>27391</v>
      </c>
      <c r="E516" t="s">
        <v>1634</v>
      </c>
      <c r="F516">
        <v>402</v>
      </c>
      <c r="G516" s="3">
        <v>39132</v>
      </c>
      <c r="H516" t="s">
        <v>2376</v>
      </c>
      <c r="J516" t="s">
        <v>1485</v>
      </c>
      <c r="K516" t="s">
        <v>35</v>
      </c>
      <c r="L516" s="3">
        <v>72686</v>
      </c>
      <c r="M516" s="3">
        <v>46427</v>
      </c>
      <c r="N516" t="s">
        <v>2377</v>
      </c>
      <c r="O516" s="4">
        <v>1</v>
      </c>
      <c r="P516">
        <v>0</v>
      </c>
      <c r="Q516">
        <v>0</v>
      </c>
    </row>
    <row r="517" spans="1:17" x14ac:dyDescent="0.25">
      <c r="A517">
        <v>19917</v>
      </c>
      <c r="B517" t="s">
        <v>2870</v>
      </c>
      <c r="C517" t="s">
        <v>2867</v>
      </c>
      <c r="D517" s="3">
        <v>24135</v>
      </c>
      <c r="E517" t="s">
        <v>1379</v>
      </c>
      <c r="F517">
        <v>532</v>
      </c>
      <c r="G517" s="3">
        <v>39006</v>
      </c>
      <c r="H517" t="s">
        <v>2871</v>
      </c>
      <c r="J517" t="s">
        <v>1604</v>
      </c>
      <c r="K517" t="s">
        <v>38</v>
      </c>
      <c r="L517" s="3">
        <v>47467</v>
      </c>
      <c r="M517" s="3">
        <v>46729</v>
      </c>
      <c r="N517" t="s">
        <v>2872</v>
      </c>
      <c r="O517" s="4">
        <v>1</v>
      </c>
      <c r="P517">
        <v>0</v>
      </c>
      <c r="Q517">
        <v>0</v>
      </c>
    </row>
    <row r="518" spans="1:17" x14ac:dyDescent="0.25">
      <c r="A518">
        <v>19848</v>
      </c>
      <c r="B518" t="s">
        <v>1975</v>
      </c>
      <c r="C518" t="s">
        <v>1961</v>
      </c>
      <c r="D518" s="3">
        <v>22573</v>
      </c>
      <c r="E518" t="s">
        <v>1379</v>
      </c>
      <c r="F518">
        <v>353</v>
      </c>
      <c r="G518" s="3">
        <v>38992</v>
      </c>
      <c r="I518">
        <v>92313309</v>
      </c>
      <c r="J518" t="s">
        <v>1459</v>
      </c>
      <c r="K518" t="s">
        <v>50</v>
      </c>
      <c r="L518" s="3">
        <v>72686</v>
      </c>
      <c r="M518" s="3">
        <v>47034</v>
      </c>
      <c r="N518" t="s">
        <v>1976</v>
      </c>
      <c r="O518" s="4">
        <v>1</v>
      </c>
      <c r="P518">
        <v>0</v>
      </c>
      <c r="Q518">
        <v>1</v>
      </c>
    </row>
    <row r="519" spans="1:17" x14ac:dyDescent="0.25">
      <c r="A519">
        <v>19810</v>
      </c>
      <c r="B519" t="s">
        <v>2416</v>
      </c>
      <c r="C519" t="s">
        <v>2417</v>
      </c>
      <c r="D519" s="3">
        <v>26051</v>
      </c>
      <c r="E519" t="s">
        <v>1379</v>
      </c>
      <c r="F519">
        <v>161</v>
      </c>
      <c r="G519" s="3">
        <v>38971</v>
      </c>
      <c r="H519" t="s">
        <v>2418</v>
      </c>
      <c r="J519" t="s">
        <v>1680</v>
      </c>
      <c r="K519" t="s">
        <v>35</v>
      </c>
      <c r="L519" s="3">
        <v>72686</v>
      </c>
      <c r="M519" s="3">
        <v>46820</v>
      </c>
      <c r="N519" t="s">
        <v>2419</v>
      </c>
      <c r="O519" s="4">
        <v>0.8</v>
      </c>
      <c r="P519">
        <v>0</v>
      </c>
      <c r="Q519">
        <v>0</v>
      </c>
    </row>
    <row r="520" spans="1:17" x14ac:dyDescent="0.25">
      <c r="A520">
        <v>19766</v>
      </c>
      <c r="B520" t="s">
        <v>2558</v>
      </c>
      <c r="C520" t="s">
        <v>2559</v>
      </c>
      <c r="D520" s="3">
        <v>22649</v>
      </c>
      <c r="E520" t="s">
        <v>1379</v>
      </c>
      <c r="G520" s="3">
        <v>38957</v>
      </c>
      <c r="H520" t="s">
        <v>2560</v>
      </c>
      <c r="J520" t="s">
        <v>1382</v>
      </c>
      <c r="K520" t="s">
        <v>38</v>
      </c>
      <c r="L520" s="3">
        <v>47497</v>
      </c>
      <c r="M520" s="3">
        <v>47470</v>
      </c>
      <c r="N520" t="s">
        <v>2561</v>
      </c>
      <c r="O520" s="4">
        <v>1</v>
      </c>
      <c r="P520">
        <v>0</v>
      </c>
      <c r="Q520">
        <v>0</v>
      </c>
    </row>
    <row r="521" spans="1:17" x14ac:dyDescent="0.25">
      <c r="A521">
        <v>19691</v>
      </c>
      <c r="B521" t="s">
        <v>3426</v>
      </c>
      <c r="C521" t="s">
        <v>3424</v>
      </c>
      <c r="D521" s="3">
        <v>23974</v>
      </c>
      <c r="E521" t="s">
        <v>1379</v>
      </c>
      <c r="F521">
        <v>506</v>
      </c>
      <c r="G521" s="3">
        <v>38936</v>
      </c>
      <c r="H521" t="s">
        <v>3427</v>
      </c>
      <c r="J521" t="s">
        <v>1502</v>
      </c>
      <c r="K521" t="s">
        <v>41</v>
      </c>
      <c r="L521" s="3">
        <v>47714</v>
      </c>
      <c r="M521" s="3">
        <v>46056</v>
      </c>
      <c r="N521" t="s">
        <v>3428</v>
      </c>
      <c r="O521" s="4">
        <v>0.8</v>
      </c>
      <c r="P521">
        <v>0</v>
      </c>
      <c r="Q521">
        <v>0</v>
      </c>
    </row>
    <row r="522" spans="1:17" x14ac:dyDescent="0.25">
      <c r="A522">
        <v>19676</v>
      </c>
      <c r="B522" t="s">
        <v>2660</v>
      </c>
      <c r="C522" t="s">
        <v>2658</v>
      </c>
      <c r="D522" s="3">
        <v>30660</v>
      </c>
      <c r="E522" t="s">
        <v>1379</v>
      </c>
      <c r="F522">
        <v>347</v>
      </c>
      <c r="G522" s="3">
        <v>38929</v>
      </c>
      <c r="H522" t="s">
        <v>2661</v>
      </c>
      <c r="J522" t="s">
        <v>1459</v>
      </c>
      <c r="K522" t="s">
        <v>50</v>
      </c>
      <c r="L522" s="3">
        <v>72686</v>
      </c>
      <c r="M522" s="3">
        <v>46042</v>
      </c>
      <c r="N522" t="s">
        <v>2662</v>
      </c>
      <c r="O522" s="4">
        <v>1</v>
      </c>
      <c r="P522">
        <v>0</v>
      </c>
      <c r="Q522">
        <v>0</v>
      </c>
    </row>
    <row r="523" spans="1:17" x14ac:dyDescent="0.25">
      <c r="A523">
        <v>19675</v>
      </c>
      <c r="B523" t="s">
        <v>1670</v>
      </c>
      <c r="C523" t="s">
        <v>1671</v>
      </c>
      <c r="D523" s="3">
        <v>25000</v>
      </c>
      <c r="E523" t="s">
        <v>1379</v>
      </c>
      <c r="F523">
        <v>345</v>
      </c>
      <c r="G523" s="3">
        <v>38929</v>
      </c>
      <c r="H523" t="s">
        <v>1672</v>
      </c>
      <c r="J523" t="s">
        <v>1485</v>
      </c>
      <c r="K523" t="s">
        <v>47</v>
      </c>
      <c r="L523" s="3">
        <v>72686</v>
      </c>
      <c r="M523" s="3">
        <v>46181</v>
      </c>
      <c r="N523" t="s">
        <v>1673</v>
      </c>
      <c r="O523" s="4">
        <v>1</v>
      </c>
      <c r="P523">
        <v>0</v>
      </c>
      <c r="Q523">
        <v>0</v>
      </c>
    </row>
    <row r="524" spans="1:17" x14ac:dyDescent="0.25">
      <c r="A524">
        <v>19520</v>
      </c>
      <c r="B524" t="s">
        <v>2424</v>
      </c>
      <c r="C524" t="s">
        <v>2421</v>
      </c>
      <c r="D524" s="3">
        <v>29721</v>
      </c>
      <c r="E524" t="s">
        <v>1379</v>
      </c>
      <c r="F524">
        <v>52</v>
      </c>
      <c r="G524" s="3">
        <v>38908</v>
      </c>
      <c r="H524" t="s">
        <v>2425</v>
      </c>
      <c r="I524">
        <v>55613250</v>
      </c>
      <c r="J524" t="s">
        <v>1397</v>
      </c>
      <c r="K524" t="s">
        <v>53</v>
      </c>
      <c r="L524" s="3">
        <v>45923</v>
      </c>
      <c r="M524" s="3">
        <v>46005</v>
      </c>
      <c r="N524" t="s">
        <v>2426</v>
      </c>
      <c r="O524" s="4">
        <v>0.8</v>
      </c>
      <c r="P524">
        <v>0</v>
      </c>
      <c r="Q524">
        <v>0</v>
      </c>
    </row>
    <row r="525" spans="1:17" x14ac:dyDescent="0.25">
      <c r="A525">
        <v>19251</v>
      </c>
      <c r="B525" t="s">
        <v>2554</v>
      </c>
      <c r="C525" t="s">
        <v>2555</v>
      </c>
      <c r="D525" s="3">
        <v>24261</v>
      </c>
      <c r="E525" t="s">
        <v>1379</v>
      </c>
      <c r="G525" s="3">
        <v>38852</v>
      </c>
      <c r="H525" t="s">
        <v>2556</v>
      </c>
      <c r="J525" t="s">
        <v>1438</v>
      </c>
      <c r="K525" t="s">
        <v>35</v>
      </c>
      <c r="L525" s="3">
        <v>47637</v>
      </c>
      <c r="M525" s="3">
        <v>47628</v>
      </c>
      <c r="N525" t="s">
        <v>2557</v>
      </c>
      <c r="O525" s="4">
        <v>0.8</v>
      </c>
      <c r="P525">
        <v>0</v>
      </c>
      <c r="Q525">
        <v>0</v>
      </c>
    </row>
    <row r="526" spans="1:17" x14ac:dyDescent="0.25">
      <c r="A526">
        <v>19249</v>
      </c>
      <c r="B526" t="s">
        <v>2528</v>
      </c>
      <c r="C526" t="s">
        <v>2525</v>
      </c>
      <c r="D526" s="3">
        <v>30809</v>
      </c>
      <c r="E526" t="s">
        <v>1379</v>
      </c>
      <c r="F526">
        <v>297</v>
      </c>
      <c r="G526" s="3">
        <v>38852</v>
      </c>
      <c r="H526" t="s">
        <v>2529</v>
      </c>
      <c r="J526" t="s">
        <v>1548</v>
      </c>
      <c r="K526" t="s">
        <v>56</v>
      </c>
      <c r="L526" s="3">
        <v>47623</v>
      </c>
      <c r="M526" s="3">
        <v>46000</v>
      </c>
      <c r="N526" t="s">
        <v>2530</v>
      </c>
      <c r="O526" s="4">
        <v>1</v>
      </c>
      <c r="P526">
        <v>0</v>
      </c>
      <c r="Q526">
        <v>0</v>
      </c>
    </row>
    <row r="527" spans="1:17" x14ac:dyDescent="0.25">
      <c r="A527">
        <v>19219</v>
      </c>
      <c r="B527" t="s">
        <v>2830</v>
      </c>
      <c r="C527" t="s">
        <v>2821</v>
      </c>
      <c r="D527" s="3">
        <v>23793</v>
      </c>
      <c r="E527" t="s">
        <v>1379</v>
      </c>
      <c r="F527">
        <v>461</v>
      </c>
      <c r="G527" s="3">
        <v>38831</v>
      </c>
      <c r="H527" t="s">
        <v>2831</v>
      </c>
      <c r="J527" t="s">
        <v>1507</v>
      </c>
      <c r="K527" t="s">
        <v>56</v>
      </c>
      <c r="L527" s="3">
        <v>47588</v>
      </c>
      <c r="M527" s="3">
        <v>47573</v>
      </c>
      <c r="N527" t="s">
        <v>2832</v>
      </c>
      <c r="O527" s="4">
        <v>1</v>
      </c>
      <c r="P527">
        <v>0</v>
      </c>
      <c r="Q527">
        <v>0</v>
      </c>
    </row>
    <row r="528" spans="1:17" x14ac:dyDescent="0.25">
      <c r="A528">
        <v>19127</v>
      </c>
      <c r="B528" t="s">
        <v>1496</v>
      </c>
      <c r="C528" t="s">
        <v>1492</v>
      </c>
      <c r="D528" s="3">
        <v>26900</v>
      </c>
      <c r="E528" t="s">
        <v>1379</v>
      </c>
      <c r="F528">
        <v>476</v>
      </c>
      <c r="G528" s="3">
        <v>38810</v>
      </c>
      <c r="H528" t="s">
        <v>1497</v>
      </c>
      <c r="J528" t="s">
        <v>1498</v>
      </c>
      <c r="K528" t="s">
        <v>44</v>
      </c>
      <c r="L528" s="3">
        <v>47652</v>
      </c>
      <c r="M528" s="3">
        <v>47644</v>
      </c>
      <c r="N528" t="s">
        <v>1499</v>
      </c>
      <c r="O528" s="4">
        <v>1</v>
      </c>
      <c r="P528">
        <v>0</v>
      </c>
      <c r="Q528">
        <v>0</v>
      </c>
    </row>
    <row r="529" spans="1:17" x14ac:dyDescent="0.25">
      <c r="A529">
        <v>19088</v>
      </c>
      <c r="B529" t="s">
        <v>3079</v>
      </c>
      <c r="C529" t="s">
        <v>2406</v>
      </c>
      <c r="D529" s="3">
        <v>27422</v>
      </c>
      <c r="E529" t="s">
        <v>1379</v>
      </c>
      <c r="F529">
        <v>275</v>
      </c>
      <c r="G529" s="3">
        <v>38789</v>
      </c>
      <c r="H529" t="s">
        <v>3080</v>
      </c>
      <c r="J529" t="s">
        <v>1502</v>
      </c>
      <c r="K529" t="s">
        <v>47</v>
      </c>
      <c r="L529" s="3">
        <v>47651</v>
      </c>
      <c r="M529" s="3">
        <v>47615</v>
      </c>
      <c r="N529" t="s">
        <v>3081</v>
      </c>
      <c r="O529" s="4">
        <v>0.8</v>
      </c>
      <c r="P529">
        <v>0</v>
      </c>
      <c r="Q529">
        <v>0</v>
      </c>
    </row>
    <row r="530" spans="1:17" x14ac:dyDescent="0.25">
      <c r="A530">
        <v>19087</v>
      </c>
      <c r="B530" t="s">
        <v>1938</v>
      </c>
      <c r="C530" t="s">
        <v>1930</v>
      </c>
      <c r="D530" s="3">
        <v>29547</v>
      </c>
      <c r="E530" t="s">
        <v>1379</v>
      </c>
      <c r="F530">
        <v>562</v>
      </c>
      <c r="G530" s="3">
        <v>38789</v>
      </c>
      <c r="H530" t="s">
        <v>1939</v>
      </c>
      <c r="J530" t="s">
        <v>1636</v>
      </c>
      <c r="K530" t="s">
        <v>41</v>
      </c>
      <c r="L530" s="3">
        <v>47635</v>
      </c>
      <c r="M530" s="3">
        <v>47608</v>
      </c>
      <c r="N530" t="s">
        <v>1940</v>
      </c>
      <c r="O530" s="4">
        <v>1</v>
      </c>
      <c r="P530">
        <v>0</v>
      </c>
      <c r="Q530">
        <v>1</v>
      </c>
    </row>
    <row r="531" spans="1:17" x14ac:dyDescent="0.25">
      <c r="A531">
        <v>19086</v>
      </c>
      <c r="B531" t="s">
        <v>2466</v>
      </c>
      <c r="C531" t="s">
        <v>3260</v>
      </c>
      <c r="D531" s="3">
        <v>29513</v>
      </c>
      <c r="E531" t="s">
        <v>1379</v>
      </c>
      <c r="F531">
        <v>264</v>
      </c>
      <c r="G531" s="3">
        <v>38789</v>
      </c>
      <c r="H531" t="s">
        <v>3263</v>
      </c>
      <c r="J531" t="s">
        <v>1459</v>
      </c>
      <c r="K531" t="s">
        <v>50</v>
      </c>
      <c r="L531" s="3">
        <v>72686</v>
      </c>
      <c r="M531" s="3">
        <v>46932</v>
      </c>
      <c r="N531" t="s">
        <v>3264</v>
      </c>
      <c r="O531" s="4">
        <v>1</v>
      </c>
      <c r="P531">
        <v>0</v>
      </c>
      <c r="Q531">
        <v>0</v>
      </c>
    </row>
    <row r="532" spans="1:17" x14ac:dyDescent="0.25">
      <c r="A532">
        <v>19016</v>
      </c>
      <c r="B532" t="s">
        <v>1518</v>
      </c>
      <c r="C532" t="s">
        <v>1514</v>
      </c>
      <c r="D532" s="3">
        <v>25538</v>
      </c>
      <c r="E532" t="s">
        <v>1379</v>
      </c>
      <c r="F532">
        <v>97</v>
      </c>
      <c r="G532" s="3">
        <v>38775</v>
      </c>
      <c r="H532" t="s">
        <v>1519</v>
      </c>
      <c r="I532">
        <v>92322233</v>
      </c>
      <c r="J532" t="s">
        <v>1485</v>
      </c>
      <c r="K532" t="s">
        <v>41</v>
      </c>
      <c r="L532" s="3">
        <v>46063</v>
      </c>
      <c r="M532" s="3">
        <v>46014</v>
      </c>
      <c r="N532" t="s">
        <v>1520</v>
      </c>
      <c r="O532" s="4">
        <v>1</v>
      </c>
      <c r="P532">
        <v>0</v>
      </c>
      <c r="Q532">
        <v>0</v>
      </c>
    </row>
    <row r="533" spans="1:17" x14ac:dyDescent="0.25">
      <c r="A533">
        <v>18624</v>
      </c>
      <c r="B533" t="s">
        <v>2335</v>
      </c>
      <c r="C533" t="s">
        <v>2336</v>
      </c>
      <c r="D533" s="3">
        <v>22884</v>
      </c>
      <c r="E533" t="s">
        <v>1379</v>
      </c>
      <c r="F533">
        <v>634</v>
      </c>
      <c r="G533" s="3">
        <v>38593</v>
      </c>
      <c r="H533" t="s">
        <v>2337</v>
      </c>
      <c r="I533" t="s">
        <v>2338</v>
      </c>
      <c r="J533" t="s">
        <v>1502</v>
      </c>
      <c r="K533" t="s">
        <v>38</v>
      </c>
      <c r="L533" s="3">
        <v>46007</v>
      </c>
      <c r="M533" s="3">
        <v>46065</v>
      </c>
      <c r="N533" t="s">
        <v>3600</v>
      </c>
      <c r="O533" s="4">
        <v>0.5</v>
      </c>
      <c r="P533">
        <v>0</v>
      </c>
      <c r="Q533">
        <v>0</v>
      </c>
    </row>
    <row r="534" spans="1:17" x14ac:dyDescent="0.25">
      <c r="A534">
        <v>18173</v>
      </c>
      <c r="B534" t="s">
        <v>2777</v>
      </c>
      <c r="C534" t="s">
        <v>2778</v>
      </c>
      <c r="D534" s="3">
        <v>29127</v>
      </c>
      <c r="E534" t="s">
        <v>1379</v>
      </c>
      <c r="F534">
        <v>580</v>
      </c>
      <c r="G534" s="3">
        <v>38481</v>
      </c>
      <c r="H534" t="s">
        <v>2779</v>
      </c>
      <c r="J534" t="s">
        <v>1494</v>
      </c>
      <c r="K534" t="s">
        <v>47</v>
      </c>
      <c r="L534" s="3">
        <v>47434</v>
      </c>
      <c r="M534" s="3">
        <v>47408</v>
      </c>
      <c r="N534" t="s">
        <v>2780</v>
      </c>
      <c r="O534" s="4">
        <v>1</v>
      </c>
      <c r="P534">
        <v>0</v>
      </c>
      <c r="Q534">
        <v>0</v>
      </c>
    </row>
    <row r="535" spans="1:17" x14ac:dyDescent="0.25">
      <c r="A535">
        <v>18141</v>
      </c>
      <c r="B535" t="s">
        <v>2339</v>
      </c>
      <c r="C535" t="s">
        <v>2340</v>
      </c>
      <c r="D535" s="3">
        <v>24596</v>
      </c>
      <c r="E535" t="s">
        <v>1379</v>
      </c>
      <c r="F535">
        <v>68</v>
      </c>
      <c r="G535" s="3">
        <v>38460</v>
      </c>
      <c r="H535" t="s">
        <v>2341</v>
      </c>
      <c r="J535" t="s">
        <v>1463</v>
      </c>
      <c r="K535" t="s">
        <v>44</v>
      </c>
      <c r="L535" s="3">
        <v>47527</v>
      </c>
      <c r="M535" s="3">
        <v>47524</v>
      </c>
      <c r="N535" t="s">
        <v>2342</v>
      </c>
      <c r="O535" s="4">
        <v>0.5</v>
      </c>
      <c r="P535">
        <v>0</v>
      </c>
      <c r="Q535">
        <v>0</v>
      </c>
    </row>
    <row r="536" spans="1:17" x14ac:dyDescent="0.25">
      <c r="A536">
        <v>18139</v>
      </c>
      <c r="B536" t="s">
        <v>2406</v>
      </c>
      <c r="C536" t="s">
        <v>2395</v>
      </c>
      <c r="D536" s="3">
        <v>24575</v>
      </c>
      <c r="E536" t="s">
        <v>1379</v>
      </c>
      <c r="F536">
        <v>348</v>
      </c>
      <c r="G536" s="3">
        <v>38460</v>
      </c>
      <c r="H536" t="s">
        <v>2407</v>
      </c>
      <c r="J536" t="s">
        <v>1485</v>
      </c>
      <c r="K536" t="s">
        <v>38</v>
      </c>
      <c r="L536" s="3">
        <v>72686</v>
      </c>
      <c r="M536" s="3">
        <v>46467</v>
      </c>
      <c r="N536" t="s">
        <v>2408</v>
      </c>
      <c r="O536" s="4">
        <v>0.8</v>
      </c>
      <c r="P536">
        <v>0</v>
      </c>
      <c r="Q536">
        <v>0</v>
      </c>
    </row>
    <row r="537" spans="1:17" x14ac:dyDescent="0.25">
      <c r="A537">
        <v>18051</v>
      </c>
      <c r="B537" t="s">
        <v>2883</v>
      </c>
      <c r="C537" t="s">
        <v>2880</v>
      </c>
      <c r="D537" s="3">
        <v>24058</v>
      </c>
      <c r="E537" t="s">
        <v>1379</v>
      </c>
      <c r="F537">
        <v>76</v>
      </c>
      <c r="G537" s="3">
        <v>38446</v>
      </c>
      <c r="H537" t="s">
        <v>2884</v>
      </c>
      <c r="I537">
        <v>92783143</v>
      </c>
      <c r="J537" t="s">
        <v>1700</v>
      </c>
      <c r="K537" t="s">
        <v>44</v>
      </c>
      <c r="L537" s="3">
        <v>45983</v>
      </c>
      <c r="M537" s="3">
        <v>45936</v>
      </c>
      <c r="N537" t="s">
        <v>2885</v>
      </c>
      <c r="O537" s="4">
        <v>0.8</v>
      </c>
      <c r="P537">
        <v>0</v>
      </c>
      <c r="Q537">
        <v>0</v>
      </c>
    </row>
    <row r="538" spans="1:17" x14ac:dyDescent="0.25">
      <c r="A538">
        <v>17954</v>
      </c>
      <c r="B538" t="s">
        <v>1739</v>
      </c>
      <c r="C538" t="s">
        <v>1805</v>
      </c>
      <c r="D538" s="3">
        <v>24694</v>
      </c>
      <c r="E538" t="s">
        <v>1379</v>
      </c>
      <c r="F538">
        <v>171</v>
      </c>
      <c r="G538" s="3">
        <v>38404</v>
      </c>
      <c r="H538" t="s">
        <v>1806</v>
      </c>
      <c r="I538">
        <v>92306884</v>
      </c>
      <c r="J538" t="s">
        <v>1548</v>
      </c>
      <c r="K538" t="s">
        <v>56</v>
      </c>
      <c r="L538" s="3">
        <v>47316</v>
      </c>
      <c r="M538" s="3">
        <v>47306</v>
      </c>
      <c r="N538" t="s">
        <v>1807</v>
      </c>
      <c r="O538" s="4">
        <v>0.8</v>
      </c>
      <c r="P538">
        <v>0</v>
      </c>
      <c r="Q538">
        <v>0</v>
      </c>
    </row>
    <row r="539" spans="1:17" x14ac:dyDescent="0.25">
      <c r="A539">
        <v>17951</v>
      </c>
      <c r="B539" t="s">
        <v>3128</v>
      </c>
      <c r="C539" t="s">
        <v>3129</v>
      </c>
      <c r="D539" s="3">
        <v>22267</v>
      </c>
      <c r="E539" t="s">
        <v>1379</v>
      </c>
      <c r="F539">
        <v>227</v>
      </c>
      <c r="G539" s="3">
        <v>38404</v>
      </c>
      <c r="H539" t="s">
        <v>3130</v>
      </c>
      <c r="J539" t="s">
        <v>1516</v>
      </c>
      <c r="K539" t="s">
        <v>38</v>
      </c>
      <c r="L539" s="3">
        <v>72686</v>
      </c>
      <c r="M539" s="3">
        <v>72686</v>
      </c>
      <c r="N539" t="s">
        <v>3131</v>
      </c>
      <c r="O539" s="4">
        <v>0.8</v>
      </c>
      <c r="P539">
        <v>0</v>
      </c>
      <c r="Q539">
        <v>0</v>
      </c>
    </row>
    <row r="540" spans="1:17" x14ac:dyDescent="0.25">
      <c r="A540">
        <v>17931</v>
      </c>
      <c r="B540" t="s">
        <v>2749</v>
      </c>
      <c r="C540" t="s">
        <v>2750</v>
      </c>
      <c r="D540" s="3">
        <v>25055</v>
      </c>
      <c r="E540" t="s">
        <v>1379</v>
      </c>
      <c r="F540">
        <v>53</v>
      </c>
      <c r="G540" s="3">
        <v>38390</v>
      </c>
      <c r="H540" t="s">
        <v>2751</v>
      </c>
      <c r="I540" t="s">
        <v>2752</v>
      </c>
      <c r="J540" t="s">
        <v>1405</v>
      </c>
      <c r="K540" t="s">
        <v>53</v>
      </c>
      <c r="L540" s="3">
        <v>72686</v>
      </c>
      <c r="M540" s="3">
        <v>47323</v>
      </c>
      <c r="N540" t="s">
        <v>2753</v>
      </c>
      <c r="O540" s="4">
        <v>0.5</v>
      </c>
      <c r="P540">
        <v>0</v>
      </c>
      <c r="Q540">
        <v>0</v>
      </c>
    </row>
    <row r="541" spans="1:17" x14ac:dyDescent="0.25">
      <c r="A541">
        <v>17566</v>
      </c>
      <c r="B541" t="s">
        <v>1873</v>
      </c>
      <c r="C541" t="s">
        <v>1874</v>
      </c>
      <c r="D541" s="3">
        <v>22889</v>
      </c>
      <c r="E541" t="s">
        <v>1379</v>
      </c>
      <c r="F541">
        <v>312</v>
      </c>
      <c r="G541" s="3">
        <v>38222</v>
      </c>
      <c r="H541" t="s">
        <v>1875</v>
      </c>
      <c r="J541" t="s">
        <v>1485</v>
      </c>
      <c r="K541" t="s">
        <v>38</v>
      </c>
      <c r="L541" s="3">
        <v>72686</v>
      </c>
      <c r="M541" s="3">
        <v>47163</v>
      </c>
      <c r="N541" t="s">
        <v>1876</v>
      </c>
      <c r="O541" s="4">
        <v>0.8</v>
      </c>
      <c r="P541">
        <v>0</v>
      </c>
      <c r="Q541">
        <v>1</v>
      </c>
    </row>
    <row r="542" spans="1:17" x14ac:dyDescent="0.25">
      <c r="A542">
        <v>17555</v>
      </c>
      <c r="B542" t="s">
        <v>1500</v>
      </c>
      <c r="C542" t="s">
        <v>1492</v>
      </c>
      <c r="D542" s="3">
        <v>29308</v>
      </c>
      <c r="E542" t="s">
        <v>1379</v>
      </c>
      <c r="F542">
        <v>611</v>
      </c>
      <c r="G542" s="3">
        <v>38222</v>
      </c>
      <c r="H542" t="s">
        <v>1501</v>
      </c>
      <c r="J542" t="s">
        <v>1502</v>
      </c>
      <c r="K542" t="s">
        <v>38</v>
      </c>
      <c r="L542" s="3">
        <v>47614</v>
      </c>
      <c r="M542" s="3">
        <v>47021</v>
      </c>
      <c r="N542" t="s">
        <v>1503</v>
      </c>
      <c r="O542" s="4">
        <v>1</v>
      </c>
      <c r="P542">
        <v>0</v>
      </c>
      <c r="Q542">
        <v>1</v>
      </c>
    </row>
    <row r="543" spans="1:17" x14ac:dyDescent="0.25">
      <c r="A543">
        <v>16971</v>
      </c>
      <c r="B543" t="s">
        <v>2535</v>
      </c>
      <c r="C543" t="s">
        <v>2532</v>
      </c>
      <c r="D543" s="3">
        <v>26011</v>
      </c>
      <c r="E543" t="s">
        <v>1379</v>
      </c>
      <c r="F543">
        <v>384</v>
      </c>
      <c r="G543" s="3">
        <v>38124</v>
      </c>
      <c r="H543" t="s">
        <v>2536</v>
      </c>
      <c r="J543" t="s">
        <v>1553</v>
      </c>
      <c r="K543" t="s">
        <v>38</v>
      </c>
      <c r="L543" s="3">
        <v>72686</v>
      </c>
      <c r="M543" s="3">
        <v>47231</v>
      </c>
      <c r="N543" t="s">
        <v>2537</v>
      </c>
      <c r="O543" s="4">
        <v>1</v>
      </c>
      <c r="P543">
        <v>0</v>
      </c>
      <c r="Q543">
        <v>1</v>
      </c>
    </row>
    <row r="544" spans="1:17" x14ac:dyDescent="0.25">
      <c r="A544">
        <v>16970</v>
      </c>
      <c r="B544" t="s">
        <v>3062</v>
      </c>
      <c r="C544" t="s">
        <v>3056</v>
      </c>
      <c r="D544" s="3">
        <v>29646</v>
      </c>
      <c r="E544" t="s">
        <v>1379</v>
      </c>
      <c r="F544">
        <v>358</v>
      </c>
      <c r="G544" s="3">
        <v>38124</v>
      </c>
      <c r="H544" t="s">
        <v>3063</v>
      </c>
      <c r="J544" t="s">
        <v>1455</v>
      </c>
      <c r="K544" t="s">
        <v>38</v>
      </c>
      <c r="L544" s="3">
        <v>72686</v>
      </c>
      <c r="M544" s="3">
        <v>47316</v>
      </c>
      <c r="N544" t="s">
        <v>3064</v>
      </c>
      <c r="O544" s="4">
        <v>0.8</v>
      </c>
      <c r="P544">
        <v>0</v>
      </c>
      <c r="Q544">
        <v>1</v>
      </c>
    </row>
    <row r="545" spans="1:17" x14ac:dyDescent="0.25">
      <c r="A545">
        <v>16899</v>
      </c>
      <c r="B545" t="s">
        <v>2355</v>
      </c>
      <c r="C545" t="s">
        <v>2352</v>
      </c>
      <c r="D545" s="3">
        <v>23057</v>
      </c>
      <c r="E545" t="s">
        <v>1379</v>
      </c>
      <c r="F545">
        <v>423</v>
      </c>
      <c r="G545" s="3">
        <v>38103</v>
      </c>
      <c r="H545" t="s">
        <v>2356</v>
      </c>
      <c r="J545" t="s">
        <v>1405</v>
      </c>
      <c r="K545" t="s">
        <v>50</v>
      </c>
      <c r="L545" s="3">
        <v>72686</v>
      </c>
      <c r="M545" s="3">
        <v>47201</v>
      </c>
      <c r="N545" t="s">
        <v>2357</v>
      </c>
      <c r="O545" s="4">
        <v>0.8</v>
      </c>
      <c r="P545">
        <v>0</v>
      </c>
      <c r="Q545">
        <v>0</v>
      </c>
    </row>
    <row r="546" spans="1:17" x14ac:dyDescent="0.25">
      <c r="A546">
        <v>16897</v>
      </c>
      <c r="B546" t="s">
        <v>3088</v>
      </c>
      <c r="C546" t="s">
        <v>3348</v>
      </c>
      <c r="D546" s="3">
        <v>30395</v>
      </c>
      <c r="E546" t="s">
        <v>1379</v>
      </c>
      <c r="F546">
        <v>416</v>
      </c>
      <c r="G546" s="3">
        <v>38103</v>
      </c>
      <c r="H546" t="s">
        <v>3356</v>
      </c>
      <c r="J546" t="s">
        <v>1485</v>
      </c>
      <c r="K546" t="s">
        <v>50</v>
      </c>
      <c r="L546" s="3">
        <v>72686</v>
      </c>
      <c r="M546" s="3">
        <v>47323</v>
      </c>
      <c r="N546" t="s">
        <v>3357</v>
      </c>
      <c r="O546" s="4">
        <v>0.8</v>
      </c>
      <c r="P546">
        <v>0</v>
      </c>
      <c r="Q546">
        <v>0</v>
      </c>
    </row>
    <row r="547" spans="1:17" x14ac:dyDescent="0.25">
      <c r="A547">
        <v>16895</v>
      </c>
      <c r="B547" t="s">
        <v>2855</v>
      </c>
      <c r="C547" t="s">
        <v>2851</v>
      </c>
      <c r="D547" s="3">
        <v>24194</v>
      </c>
      <c r="E547" t="s">
        <v>1379</v>
      </c>
      <c r="F547">
        <v>213</v>
      </c>
      <c r="G547" s="3">
        <v>38103</v>
      </c>
      <c r="I547">
        <v>93572904</v>
      </c>
      <c r="J547" t="s">
        <v>1405</v>
      </c>
      <c r="K547" t="s">
        <v>38</v>
      </c>
      <c r="L547" s="3">
        <v>72686</v>
      </c>
      <c r="M547" s="3">
        <v>72686</v>
      </c>
      <c r="N547" t="s">
        <v>2856</v>
      </c>
      <c r="O547" s="4">
        <v>1</v>
      </c>
      <c r="P547">
        <v>0</v>
      </c>
      <c r="Q547">
        <v>0</v>
      </c>
    </row>
    <row r="548" spans="1:17" x14ac:dyDescent="0.25">
      <c r="A548">
        <v>16623</v>
      </c>
      <c r="B548" t="s">
        <v>2089</v>
      </c>
      <c r="C548" t="s">
        <v>2090</v>
      </c>
      <c r="D548" s="3">
        <v>25363</v>
      </c>
      <c r="E548" t="s">
        <v>1379</v>
      </c>
      <c r="F548">
        <v>560</v>
      </c>
      <c r="G548" s="3">
        <v>38019</v>
      </c>
      <c r="H548" t="s">
        <v>2091</v>
      </c>
      <c r="J548" t="s">
        <v>1502</v>
      </c>
      <c r="K548" t="s">
        <v>41</v>
      </c>
      <c r="L548" s="3">
        <v>47700</v>
      </c>
      <c r="M548" s="3">
        <v>46827</v>
      </c>
      <c r="N548" t="s">
        <v>2092</v>
      </c>
      <c r="O548" s="4">
        <v>0.5</v>
      </c>
      <c r="P548">
        <v>0</v>
      </c>
      <c r="Q548">
        <v>0</v>
      </c>
    </row>
    <row r="549" spans="1:17" x14ac:dyDescent="0.25">
      <c r="A549">
        <v>16546</v>
      </c>
      <c r="B549" t="s">
        <v>1817</v>
      </c>
      <c r="C549" t="s">
        <v>1818</v>
      </c>
      <c r="D549" s="3">
        <v>24253</v>
      </c>
      <c r="E549" t="s">
        <v>1379</v>
      </c>
      <c r="F549">
        <v>380</v>
      </c>
      <c r="G549" s="3">
        <v>37991</v>
      </c>
      <c r="H549" t="s">
        <v>1819</v>
      </c>
      <c r="J549" t="s">
        <v>1463</v>
      </c>
      <c r="K549" t="s">
        <v>44</v>
      </c>
      <c r="L549" s="3">
        <v>47671</v>
      </c>
      <c r="M549" s="3">
        <v>46726</v>
      </c>
      <c r="N549" t="s">
        <v>1820</v>
      </c>
      <c r="O549" s="4">
        <v>0.5</v>
      </c>
      <c r="P549">
        <v>0</v>
      </c>
      <c r="Q549">
        <v>0</v>
      </c>
    </row>
    <row r="550" spans="1:17" x14ac:dyDescent="0.25">
      <c r="A550">
        <v>16545</v>
      </c>
      <c r="B550" t="s">
        <v>2921</v>
      </c>
      <c r="C550" t="s">
        <v>2922</v>
      </c>
      <c r="D550" s="3">
        <v>24848</v>
      </c>
      <c r="E550" t="s">
        <v>1379</v>
      </c>
      <c r="F550">
        <v>535</v>
      </c>
      <c r="G550" s="3">
        <v>37991</v>
      </c>
      <c r="H550" t="s">
        <v>2923</v>
      </c>
      <c r="I550">
        <v>93557570</v>
      </c>
      <c r="J550" t="s">
        <v>1502</v>
      </c>
      <c r="K550" t="s">
        <v>38</v>
      </c>
      <c r="L550" s="3">
        <v>46889</v>
      </c>
      <c r="M550" s="3">
        <v>46882</v>
      </c>
      <c r="N550" t="s">
        <v>2924</v>
      </c>
      <c r="O550" s="4">
        <v>1</v>
      </c>
      <c r="P550">
        <v>0</v>
      </c>
      <c r="Q550">
        <v>0</v>
      </c>
    </row>
    <row r="551" spans="1:17" x14ac:dyDescent="0.25">
      <c r="A551">
        <v>16282</v>
      </c>
      <c r="B551" t="s">
        <v>1801</v>
      </c>
      <c r="C551" t="s">
        <v>1802</v>
      </c>
      <c r="D551" s="3">
        <v>26137</v>
      </c>
      <c r="E551" t="s">
        <v>1379</v>
      </c>
      <c r="F551">
        <v>273</v>
      </c>
      <c r="G551" s="3">
        <v>37886</v>
      </c>
      <c r="H551" t="s">
        <v>1803</v>
      </c>
      <c r="J551" t="s">
        <v>1485</v>
      </c>
      <c r="K551" t="s">
        <v>47</v>
      </c>
      <c r="L551" s="3">
        <v>72686</v>
      </c>
      <c r="M551" s="3">
        <v>47498</v>
      </c>
      <c r="N551" t="s">
        <v>1804</v>
      </c>
      <c r="O551" s="4">
        <v>0.8</v>
      </c>
      <c r="P551">
        <v>0</v>
      </c>
      <c r="Q551">
        <v>0</v>
      </c>
    </row>
    <row r="552" spans="1:17" x14ac:dyDescent="0.25">
      <c r="A552">
        <v>16280</v>
      </c>
      <c r="B552" t="s">
        <v>2671</v>
      </c>
      <c r="C552" t="s">
        <v>2672</v>
      </c>
      <c r="D552" s="3">
        <v>27842</v>
      </c>
      <c r="E552" t="s">
        <v>1379</v>
      </c>
      <c r="F552">
        <v>293</v>
      </c>
      <c r="G552" s="3">
        <v>37886</v>
      </c>
      <c r="H552" t="s">
        <v>2673</v>
      </c>
      <c r="J552" t="s">
        <v>1433</v>
      </c>
      <c r="K552" t="s">
        <v>56</v>
      </c>
      <c r="L552" s="3">
        <v>47275</v>
      </c>
      <c r="M552" s="3">
        <v>47237</v>
      </c>
      <c r="N552" t="s">
        <v>2674</v>
      </c>
      <c r="O552" s="4">
        <v>0.8</v>
      </c>
      <c r="P552">
        <v>0</v>
      </c>
      <c r="Q552">
        <v>0</v>
      </c>
    </row>
    <row r="553" spans="1:17" x14ac:dyDescent="0.25">
      <c r="A553">
        <v>16279</v>
      </c>
      <c r="B553" t="s">
        <v>3122</v>
      </c>
      <c r="C553" t="s">
        <v>3117</v>
      </c>
      <c r="D553" s="3">
        <v>28331</v>
      </c>
      <c r="E553" t="s">
        <v>1379</v>
      </c>
      <c r="F553">
        <v>4</v>
      </c>
      <c r="G553" s="3">
        <v>37886</v>
      </c>
      <c r="H553" t="s">
        <v>3123</v>
      </c>
      <c r="I553">
        <v>92728505</v>
      </c>
      <c r="J553" t="s">
        <v>1680</v>
      </c>
      <c r="K553" t="s">
        <v>35</v>
      </c>
      <c r="L553" s="3">
        <v>72686</v>
      </c>
      <c r="M553" s="3">
        <v>46469</v>
      </c>
      <c r="N553" t="s">
        <v>3124</v>
      </c>
      <c r="O553" s="4">
        <v>1</v>
      </c>
      <c r="P553">
        <v>0</v>
      </c>
      <c r="Q553">
        <v>1</v>
      </c>
    </row>
    <row r="554" spans="1:17" x14ac:dyDescent="0.25">
      <c r="A554">
        <v>16275</v>
      </c>
      <c r="B554" t="s">
        <v>1977</v>
      </c>
      <c r="C554" t="s">
        <v>1961</v>
      </c>
      <c r="D554" s="3">
        <v>25880</v>
      </c>
      <c r="E554" t="s">
        <v>1379</v>
      </c>
      <c r="F554">
        <v>420</v>
      </c>
      <c r="G554" s="3">
        <v>37886</v>
      </c>
      <c r="H554" t="s">
        <v>1978</v>
      </c>
      <c r="J554" t="s">
        <v>1485</v>
      </c>
      <c r="K554" t="s">
        <v>53</v>
      </c>
      <c r="L554" s="3">
        <v>72686</v>
      </c>
      <c r="M554" s="3">
        <v>46820</v>
      </c>
      <c r="N554" t="s">
        <v>1979</v>
      </c>
      <c r="O554" s="4">
        <v>0.8</v>
      </c>
      <c r="P554">
        <v>0</v>
      </c>
      <c r="Q554">
        <v>0</v>
      </c>
    </row>
    <row r="555" spans="1:17" x14ac:dyDescent="0.25">
      <c r="A555">
        <v>16098</v>
      </c>
      <c r="B555" t="s">
        <v>1609</v>
      </c>
      <c r="C555" t="s">
        <v>1606</v>
      </c>
      <c r="D555" s="3">
        <v>22597</v>
      </c>
      <c r="E555" t="s">
        <v>1379</v>
      </c>
      <c r="F555">
        <v>439</v>
      </c>
      <c r="G555" s="3">
        <v>37830</v>
      </c>
      <c r="H555" t="s">
        <v>1610</v>
      </c>
      <c r="J555" t="s">
        <v>1463</v>
      </c>
      <c r="K555" t="s">
        <v>44</v>
      </c>
      <c r="L555" s="3">
        <v>45880</v>
      </c>
      <c r="M555" s="3">
        <v>46665</v>
      </c>
      <c r="N555" t="s">
        <v>1611</v>
      </c>
      <c r="O555" s="4">
        <v>0.8</v>
      </c>
      <c r="P555">
        <v>0</v>
      </c>
      <c r="Q555">
        <v>0</v>
      </c>
    </row>
    <row r="556" spans="1:17" x14ac:dyDescent="0.25">
      <c r="A556">
        <v>16095</v>
      </c>
      <c r="B556" t="s">
        <v>2602</v>
      </c>
      <c r="C556" t="s">
        <v>2597</v>
      </c>
      <c r="D556" s="3">
        <v>27290</v>
      </c>
      <c r="E556" t="s">
        <v>1379</v>
      </c>
      <c r="F556">
        <v>198</v>
      </c>
      <c r="G556" s="3">
        <v>37830</v>
      </c>
      <c r="H556" t="s">
        <v>2603</v>
      </c>
      <c r="J556" t="s">
        <v>1700</v>
      </c>
      <c r="K556" t="s">
        <v>47</v>
      </c>
      <c r="L556" s="3">
        <v>47611</v>
      </c>
      <c r="M556" s="3">
        <v>46518</v>
      </c>
      <c r="N556" t="s">
        <v>2604</v>
      </c>
      <c r="O556" s="4">
        <v>1</v>
      </c>
      <c r="P556">
        <v>0</v>
      </c>
      <c r="Q556">
        <v>0</v>
      </c>
    </row>
    <row r="557" spans="1:17" x14ac:dyDescent="0.25">
      <c r="A557">
        <v>16094</v>
      </c>
      <c r="B557" t="s">
        <v>1941</v>
      </c>
      <c r="C557" t="s">
        <v>1930</v>
      </c>
      <c r="D557" s="3">
        <v>24895</v>
      </c>
      <c r="E557" t="s">
        <v>1379</v>
      </c>
      <c r="F557">
        <v>579</v>
      </c>
      <c r="G557" s="3">
        <v>37830</v>
      </c>
      <c r="H557" t="s">
        <v>1942</v>
      </c>
      <c r="J557" t="s">
        <v>1502</v>
      </c>
      <c r="K557" t="s">
        <v>47</v>
      </c>
      <c r="L557" s="3">
        <v>47678</v>
      </c>
      <c r="M557" s="3">
        <v>46686</v>
      </c>
      <c r="N557" t="s">
        <v>1943</v>
      </c>
      <c r="O557" s="4">
        <v>0.8</v>
      </c>
      <c r="P557">
        <v>0</v>
      </c>
      <c r="Q557">
        <v>0</v>
      </c>
    </row>
    <row r="558" spans="1:17" x14ac:dyDescent="0.25">
      <c r="A558">
        <v>15852</v>
      </c>
      <c r="B558" t="s">
        <v>1525</v>
      </c>
      <c r="C558" t="s">
        <v>1522</v>
      </c>
      <c r="D558" s="3">
        <v>29948</v>
      </c>
      <c r="E558" t="s">
        <v>1379</v>
      </c>
      <c r="F558">
        <v>251</v>
      </c>
      <c r="G558" s="3">
        <v>37788</v>
      </c>
      <c r="H558" t="s">
        <v>1526</v>
      </c>
      <c r="J558" t="s">
        <v>1485</v>
      </c>
      <c r="K558" t="s">
        <v>47</v>
      </c>
      <c r="L558" s="3">
        <v>47721</v>
      </c>
      <c r="M558" s="3">
        <v>46776</v>
      </c>
      <c r="N558" t="s">
        <v>1527</v>
      </c>
      <c r="O558" s="4">
        <v>0.8</v>
      </c>
      <c r="P558">
        <v>0</v>
      </c>
      <c r="Q558">
        <v>0</v>
      </c>
    </row>
    <row r="559" spans="1:17" x14ac:dyDescent="0.25">
      <c r="A559">
        <v>15726</v>
      </c>
      <c r="B559" t="s">
        <v>1980</v>
      </c>
      <c r="C559" t="s">
        <v>1961</v>
      </c>
      <c r="D559" s="3">
        <v>29405</v>
      </c>
      <c r="E559" t="s">
        <v>1379</v>
      </c>
      <c r="F559">
        <v>501</v>
      </c>
      <c r="G559" s="3">
        <v>37767</v>
      </c>
      <c r="H559" t="s">
        <v>1981</v>
      </c>
      <c r="J559" t="s">
        <v>1604</v>
      </c>
      <c r="K559" t="s">
        <v>38</v>
      </c>
      <c r="L559" s="3">
        <v>45969</v>
      </c>
      <c r="M559" s="3">
        <v>46686</v>
      </c>
      <c r="N559" t="s">
        <v>1982</v>
      </c>
      <c r="O559" s="4">
        <v>1</v>
      </c>
      <c r="P559">
        <v>0</v>
      </c>
      <c r="Q559">
        <v>1</v>
      </c>
    </row>
    <row r="560" spans="1:17" x14ac:dyDescent="0.25">
      <c r="A560">
        <v>15676</v>
      </c>
      <c r="B560" t="s">
        <v>1546</v>
      </c>
      <c r="C560" t="s">
        <v>1537</v>
      </c>
      <c r="D560" s="3">
        <v>28338</v>
      </c>
      <c r="E560" t="s">
        <v>1379</v>
      </c>
      <c r="F560">
        <v>186</v>
      </c>
      <c r="G560" s="3">
        <v>37739</v>
      </c>
      <c r="H560" t="s">
        <v>1547</v>
      </c>
      <c r="J560" t="s">
        <v>1548</v>
      </c>
      <c r="K560" t="s">
        <v>56</v>
      </c>
      <c r="L560" s="3">
        <v>47645</v>
      </c>
      <c r="M560" s="3">
        <v>46434</v>
      </c>
      <c r="N560" t="s">
        <v>1549</v>
      </c>
      <c r="O560" s="4">
        <v>1</v>
      </c>
      <c r="P560">
        <v>0</v>
      </c>
      <c r="Q560">
        <v>1</v>
      </c>
    </row>
    <row r="561" spans="1:17" x14ac:dyDescent="0.25">
      <c r="A561">
        <v>15628</v>
      </c>
      <c r="B561" t="s">
        <v>2999</v>
      </c>
      <c r="C561" t="s">
        <v>1326</v>
      </c>
      <c r="D561" s="3">
        <v>26166</v>
      </c>
      <c r="E561" t="s">
        <v>1379</v>
      </c>
      <c r="G561" s="3">
        <v>37718</v>
      </c>
      <c r="H561" t="s">
        <v>3000</v>
      </c>
      <c r="J561" t="s">
        <v>1566</v>
      </c>
      <c r="K561" t="s">
        <v>47</v>
      </c>
      <c r="L561" s="3">
        <v>46168</v>
      </c>
      <c r="M561" s="3">
        <v>46056</v>
      </c>
      <c r="N561" t="s">
        <v>3001</v>
      </c>
      <c r="O561" s="4">
        <v>1</v>
      </c>
      <c r="P561">
        <v>0</v>
      </c>
      <c r="Q561">
        <v>0</v>
      </c>
    </row>
    <row r="562" spans="1:17" x14ac:dyDescent="0.25">
      <c r="A562">
        <v>15626</v>
      </c>
      <c r="B562" t="s">
        <v>1838</v>
      </c>
      <c r="C562" t="s">
        <v>1839</v>
      </c>
      <c r="D562" s="3">
        <v>29917</v>
      </c>
      <c r="E562" t="s">
        <v>1379</v>
      </c>
      <c r="F562">
        <v>556</v>
      </c>
      <c r="G562" s="3">
        <v>37718</v>
      </c>
      <c r="H562" t="s">
        <v>1840</v>
      </c>
      <c r="J562" t="s">
        <v>1502</v>
      </c>
      <c r="K562" t="s">
        <v>38</v>
      </c>
      <c r="L562" s="3">
        <v>47650</v>
      </c>
      <c r="M562" s="3">
        <v>46466</v>
      </c>
      <c r="N562" t="s">
        <v>1841</v>
      </c>
      <c r="O562" s="4">
        <v>0.8</v>
      </c>
      <c r="P562">
        <v>0</v>
      </c>
      <c r="Q562">
        <v>0</v>
      </c>
    </row>
    <row r="563" spans="1:17" x14ac:dyDescent="0.25">
      <c r="A563">
        <v>15412</v>
      </c>
      <c r="B563" t="s">
        <v>2873</v>
      </c>
      <c r="C563" t="s">
        <v>2867</v>
      </c>
      <c r="D563" s="3">
        <v>24476</v>
      </c>
      <c r="E563" t="s">
        <v>1379</v>
      </c>
      <c r="F563">
        <v>503</v>
      </c>
      <c r="G563" s="3">
        <v>37634</v>
      </c>
      <c r="H563" t="s">
        <v>2874</v>
      </c>
      <c r="J563" t="s">
        <v>1502</v>
      </c>
      <c r="K563" t="s">
        <v>38</v>
      </c>
      <c r="L563" s="3">
        <v>47541</v>
      </c>
      <c r="M563" s="3">
        <v>46772</v>
      </c>
      <c r="N563" t="s">
        <v>2875</v>
      </c>
      <c r="O563" s="4">
        <v>0.8</v>
      </c>
      <c r="P563">
        <v>0</v>
      </c>
      <c r="Q563">
        <v>0</v>
      </c>
    </row>
    <row r="564" spans="1:17" x14ac:dyDescent="0.25">
      <c r="A564">
        <v>15320</v>
      </c>
      <c r="B564" t="s">
        <v>2207</v>
      </c>
      <c r="C564" t="s">
        <v>2880</v>
      </c>
      <c r="D564" s="3">
        <v>28129</v>
      </c>
      <c r="E564" t="s">
        <v>1379</v>
      </c>
      <c r="F564">
        <v>561</v>
      </c>
      <c r="G564" s="3">
        <v>37585</v>
      </c>
      <c r="H564" t="s">
        <v>2886</v>
      </c>
      <c r="J564" t="s">
        <v>1636</v>
      </c>
      <c r="K564" t="s">
        <v>41</v>
      </c>
      <c r="L564" s="3">
        <v>47679</v>
      </c>
      <c r="M564" s="3">
        <v>46511</v>
      </c>
      <c r="N564" t="s">
        <v>2887</v>
      </c>
      <c r="O564" s="4">
        <v>1</v>
      </c>
      <c r="P564">
        <v>0</v>
      </c>
      <c r="Q564">
        <v>0</v>
      </c>
    </row>
    <row r="565" spans="1:17" x14ac:dyDescent="0.25">
      <c r="A565">
        <v>15282</v>
      </c>
      <c r="B565" t="s">
        <v>2409</v>
      </c>
      <c r="C565" t="s">
        <v>2410</v>
      </c>
      <c r="D565" s="3">
        <v>26952</v>
      </c>
      <c r="E565" t="s">
        <v>1379</v>
      </c>
      <c r="F565">
        <v>373</v>
      </c>
      <c r="G565" s="3">
        <v>37564</v>
      </c>
      <c r="H565" t="s">
        <v>2411</v>
      </c>
      <c r="J565" t="s">
        <v>1700</v>
      </c>
      <c r="K565" t="s">
        <v>47</v>
      </c>
      <c r="L565" s="3">
        <v>47639</v>
      </c>
      <c r="M565" s="3">
        <v>46201</v>
      </c>
      <c r="N565" t="s">
        <v>2412</v>
      </c>
      <c r="O565" s="4">
        <v>1</v>
      </c>
      <c r="P565">
        <v>0</v>
      </c>
      <c r="Q565">
        <v>0</v>
      </c>
    </row>
    <row r="566" spans="1:17" x14ac:dyDescent="0.25">
      <c r="A566">
        <v>15220</v>
      </c>
      <c r="B566" t="s">
        <v>2499</v>
      </c>
      <c r="C566" t="s">
        <v>2496</v>
      </c>
      <c r="D566" s="3">
        <v>26171</v>
      </c>
      <c r="E566" t="s">
        <v>1379</v>
      </c>
      <c r="F566">
        <v>383</v>
      </c>
      <c r="G566" s="3">
        <v>37543</v>
      </c>
      <c r="H566" t="s">
        <v>2500</v>
      </c>
      <c r="J566" t="s">
        <v>1553</v>
      </c>
      <c r="K566" t="s">
        <v>35</v>
      </c>
      <c r="L566" s="3">
        <v>72686</v>
      </c>
      <c r="M566" s="3">
        <v>72686</v>
      </c>
      <c r="N566" t="s">
        <v>2501</v>
      </c>
      <c r="O566" s="4">
        <v>0.8</v>
      </c>
      <c r="P566">
        <v>0</v>
      </c>
      <c r="Q566">
        <v>0</v>
      </c>
    </row>
    <row r="567" spans="1:17" x14ac:dyDescent="0.25">
      <c r="A567">
        <v>15219</v>
      </c>
      <c r="B567" t="s">
        <v>1944</v>
      </c>
      <c r="C567" t="s">
        <v>1930</v>
      </c>
      <c r="D567" s="3">
        <v>29607</v>
      </c>
      <c r="E567" t="s">
        <v>1379</v>
      </c>
      <c r="F567">
        <v>314</v>
      </c>
      <c r="G567" s="3">
        <v>37543</v>
      </c>
      <c r="H567" t="s">
        <v>1945</v>
      </c>
      <c r="J567" t="s">
        <v>1485</v>
      </c>
      <c r="K567" t="s">
        <v>38</v>
      </c>
      <c r="L567" s="3">
        <v>72686</v>
      </c>
      <c r="M567" s="3">
        <v>46693</v>
      </c>
      <c r="N567" t="s">
        <v>1946</v>
      </c>
      <c r="O567" s="4">
        <v>0.8</v>
      </c>
      <c r="P567">
        <v>0</v>
      </c>
      <c r="Q567">
        <v>1</v>
      </c>
    </row>
    <row r="568" spans="1:17" x14ac:dyDescent="0.25">
      <c r="A568">
        <v>15218</v>
      </c>
      <c r="B568" t="s">
        <v>3147</v>
      </c>
      <c r="C568" t="s">
        <v>3148</v>
      </c>
      <c r="D568" s="3">
        <v>25192</v>
      </c>
      <c r="E568" t="s">
        <v>1379</v>
      </c>
      <c r="F568">
        <v>563</v>
      </c>
      <c r="G568" s="3">
        <v>37543</v>
      </c>
      <c r="H568" t="s">
        <v>3149</v>
      </c>
      <c r="J568" t="s">
        <v>1636</v>
      </c>
      <c r="K568" t="s">
        <v>41</v>
      </c>
      <c r="L568" s="3">
        <v>47636</v>
      </c>
      <c r="M568" s="3">
        <v>46294</v>
      </c>
      <c r="N568" t="s">
        <v>3150</v>
      </c>
      <c r="O568" s="4">
        <v>0.8</v>
      </c>
      <c r="P568">
        <v>0</v>
      </c>
      <c r="Q568">
        <v>0</v>
      </c>
    </row>
    <row r="569" spans="1:17" x14ac:dyDescent="0.25">
      <c r="A569">
        <v>15088</v>
      </c>
      <c r="B569" t="s">
        <v>3028</v>
      </c>
      <c r="C569" t="s">
        <v>3016</v>
      </c>
      <c r="D569" s="3">
        <v>24300</v>
      </c>
      <c r="E569" t="s">
        <v>1379</v>
      </c>
      <c r="F569">
        <v>505</v>
      </c>
      <c r="G569" s="3">
        <v>37501</v>
      </c>
      <c r="H569" t="s">
        <v>3029</v>
      </c>
      <c r="I569">
        <v>92365262</v>
      </c>
      <c r="J569" t="s">
        <v>1502</v>
      </c>
      <c r="K569" t="s">
        <v>41</v>
      </c>
      <c r="L569" s="3">
        <v>47652</v>
      </c>
      <c r="M569" s="3">
        <v>46279</v>
      </c>
      <c r="N569" t="s">
        <v>3030</v>
      </c>
      <c r="O569" s="4">
        <v>0.8</v>
      </c>
      <c r="P569">
        <v>0</v>
      </c>
      <c r="Q569">
        <v>1</v>
      </c>
    </row>
    <row r="570" spans="1:17" x14ac:dyDescent="0.25">
      <c r="A570">
        <v>14667</v>
      </c>
      <c r="B570" t="s">
        <v>2717</v>
      </c>
      <c r="C570" t="s">
        <v>2718</v>
      </c>
      <c r="D570" s="3">
        <v>26648</v>
      </c>
      <c r="E570" t="s">
        <v>1379</v>
      </c>
      <c r="F570">
        <v>190</v>
      </c>
      <c r="G570" s="3">
        <v>37424</v>
      </c>
      <c r="H570" t="s">
        <v>2719</v>
      </c>
      <c r="J570" t="s">
        <v>1680</v>
      </c>
      <c r="K570" t="s">
        <v>53</v>
      </c>
      <c r="L570" s="3">
        <v>72686</v>
      </c>
      <c r="M570" s="3">
        <v>46369</v>
      </c>
      <c r="N570" t="s">
        <v>2720</v>
      </c>
      <c r="O570" s="4">
        <v>1</v>
      </c>
      <c r="P570">
        <v>0</v>
      </c>
      <c r="Q570">
        <v>0</v>
      </c>
    </row>
    <row r="571" spans="1:17" x14ac:dyDescent="0.25">
      <c r="A571">
        <v>14665</v>
      </c>
      <c r="B571" t="s">
        <v>1926</v>
      </c>
      <c r="C571" t="s">
        <v>1919</v>
      </c>
      <c r="D571" s="3">
        <v>29490</v>
      </c>
      <c r="E571" t="s">
        <v>1379</v>
      </c>
      <c r="F571">
        <v>558</v>
      </c>
      <c r="G571" s="3">
        <v>37424</v>
      </c>
      <c r="H571" t="s">
        <v>1927</v>
      </c>
      <c r="J571" t="s">
        <v>1502</v>
      </c>
      <c r="K571" t="s">
        <v>38</v>
      </c>
      <c r="L571" s="3">
        <v>45915</v>
      </c>
      <c r="M571" s="3">
        <v>46273</v>
      </c>
      <c r="N571" t="s">
        <v>1928</v>
      </c>
      <c r="O571" s="4">
        <v>1</v>
      </c>
      <c r="P571">
        <v>0</v>
      </c>
      <c r="Q571">
        <v>0</v>
      </c>
    </row>
    <row r="572" spans="1:17" x14ac:dyDescent="0.25">
      <c r="A572">
        <v>14625</v>
      </c>
      <c r="B572" t="s">
        <v>1504</v>
      </c>
      <c r="C572" t="s">
        <v>1505</v>
      </c>
      <c r="D572" s="3">
        <v>23621</v>
      </c>
      <c r="E572" t="s">
        <v>1379</v>
      </c>
      <c r="F572">
        <v>7</v>
      </c>
      <c r="G572" s="3">
        <v>37397</v>
      </c>
      <c r="H572" t="s">
        <v>1506</v>
      </c>
      <c r="J572" t="s">
        <v>1507</v>
      </c>
      <c r="K572" t="s">
        <v>56</v>
      </c>
      <c r="L572" s="3">
        <v>47705</v>
      </c>
      <c r="M572" s="3">
        <v>46369</v>
      </c>
      <c r="N572" t="s">
        <v>1508</v>
      </c>
      <c r="O572" s="4">
        <v>0.8</v>
      </c>
      <c r="P572">
        <v>0</v>
      </c>
      <c r="Q572">
        <v>0</v>
      </c>
    </row>
    <row r="573" spans="1:17" x14ac:dyDescent="0.25">
      <c r="A573">
        <v>14425</v>
      </c>
      <c r="B573" t="s">
        <v>1555</v>
      </c>
      <c r="C573" t="s">
        <v>1598</v>
      </c>
      <c r="D573" s="3">
        <v>27851</v>
      </c>
      <c r="E573" t="s">
        <v>1379</v>
      </c>
      <c r="F573">
        <v>142</v>
      </c>
      <c r="G573" s="3">
        <v>37333</v>
      </c>
      <c r="H573" t="s">
        <v>1599</v>
      </c>
      <c r="J573" t="s">
        <v>1433</v>
      </c>
      <c r="K573" t="s">
        <v>38</v>
      </c>
      <c r="L573" s="3">
        <v>72686</v>
      </c>
      <c r="M573" s="3">
        <v>46798</v>
      </c>
      <c r="N573" t="s">
        <v>1600</v>
      </c>
      <c r="O573" s="4">
        <v>1</v>
      </c>
      <c r="P573">
        <v>0</v>
      </c>
      <c r="Q573">
        <v>0</v>
      </c>
    </row>
    <row r="574" spans="1:17" x14ac:dyDescent="0.25">
      <c r="A574">
        <v>14261</v>
      </c>
      <c r="B574" t="s">
        <v>1555</v>
      </c>
      <c r="C574" t="s">
        <v>1678</v>
      </c>
      <c r="D574" s="3">
        <v>26466</v>
      </c>
      <c r="E574" t="s">
        <v>1379</v>
      </c>
      <c r="F574">
        <v>424</v>
      </c>
      <c r="G574" s="3">
        <v>37284</v>
      </c>
      <c r="H574" t="s">
        <v>1679</v>
      </c>
      <c r="J574" t="s">
        <v>1680</v>
      </c>
      <c r="K574" t="s">
        <v>41</v>
      </c>
      <c r="L574" s="3">
        <v>45923</v>
      </c>
      <c r="M574" s="3">
        <v>46064</v>
      </c>
      <c r="N574" t="s">
        <v>1681</v>
      </c>
      <c r="O574" s="4">
        <v>0.8</v>
      </c>
      <c r="P574">
        <v>0</v>
      </c>
      <c r="Q574">
        <v>0</v>
      </c>
    </row>
    <row r="575" spans="1:17" x14ac:dyDescent="0.25">
      <c r="A575">
        <v>14072</v>
      </c>
      <c r="B575" t="s">
        <v>2434</v>
      </c>
      <c r="C575" t="s">
        <v>2428</v>
      </c>
      <c r="D575" s="3">
        <v>28506</v>
      </c>
      <c r="E575" t="s">
        <v>1379</v>
      </c>
      <c r="F575">
        <v>249</v>
      </c>
      <c r="G575" s="3">
        <v>37214</v>
      </c>
      <c r="H575" t="s">
        <v>2435</v>
      </c>
      <c r="J575" t="s">
        <v>1485</v>
      </c>
      <c r="K575" t="s">
        <v>56</v>
      </c>
      <c r="L575" s="3">
        <v>47705</v>
      </c>
      <c r="M575" s="3">
        <v>46152</v>
      </c>
      <c r="N575" t="s">
        <v>2436</v>
      </c>
      <c r="O575" s="4">
        <v>0.8</v>
      </c>
      <c r="P575">
        <v>0</v>
      </c>
      <c r="Q575">
        <v>0</v>
      </c>
    </row>
    <row r="576" spans="1:17" x14ac:dyDescent="0.25">
      <c r="A576">
        <v>14070</v>
      </c>
      <c r="B576" t="s">
        <v>1786</v>
      </c>
      <c r="C576" t="s">
        <v>1783</v>
      </c>
      <c r="D576" s="3">
        <v>26839</v>
      </c>
      <c r="E576" t="s">
        <v>1379</v>
      </c>
      <c r="F576">
        <v>208</v>
      </c>
      <c r="G576" s="3">
        <v>37214</v>
      </c>
      <c r="H576" t="s">
        <v>1787</v>
      </c>
      <c r="J576" t="s">
        <v>1680</v>
      </c>
      <c r="K576" t="s">
        <v>53</v>
      </c>
      <c r="L576" s="3">
        <v>72686</v>
      </c>
      <c r="M576" s="3">
        <v>46887</v>
      </c>
      <c r="N576" t="s">
        <v>1788</v>
      </c>
      <c r="O576" s="4">
        <v>0.8</v>
      </c>
      <c r="P576">
        <v>0</v>
      </c>
      <c r="Q576">
        <v>0</v>
      </c>
    </row>
    <row r="577" spans="1:17" x14ac:dyDescent="0.25">
      <c r="A577">
        <v>14021</v>
      </c>
      <c r="B577" t="s">
        <v>3155</v>
      </c>
      <c r="C577" t="s">
        <v>3152</v>
      </c>
      <c r="D577" s="3">
        <v>29626</v>
      </c>
      <c r="E577" t="s">
        <v>1379</v>
      </c>
      <c r="F577">
        <v>37</v>
      </c>
      <c r="G577" s="3">
        <v>37193</v>
      </c>
      <c r="H577" t="s">
        <v>3156</v>
      </c>
      <c r="J577" t="s">
        <v>1405</v>
      </c>
      <c r="K577" t="s">
        <v>50</v>
      </c>
      <c r="L577" s="3">
        <v>72686</v>
      </c>
      <c r="M577" s="3">
        <v>46742</v>
      </c>
      <c r="N577" t="s">
        <v>3157</v>
      </c>
      <c r="O577" s="4">
        <v>1</v>
      </c>
      <c r="P577">
        <v>0</v>
      </c>
      <c r="Q577">
        <v>1</v>
      </c>
    </row>
    <row r="578" spans="1:17" x14ac:dyDescent="0.25">
      <c r="A578">
        <v>13398</v>
      </c>
      <c r="B578" t="s">
        <v>1626</v>
      </c>
      <c r="C578" t="s">
        <v>1210</v>
      </c>
      <c r="D578" s="3">
        <v>28371</v>
      </c>
      <c r="E578" t="s">
        <v>1379</v>
      </c>
      <c r="F578">
        <v>340</v>
      </c>
      <c r="G578" s="3">
        <v>37047</v>
      </c>
      <c r="H578" t="s">
        <v>1893</v>
      </c>
      <c r="J578" t="s">
        <v>1553</v>
      </c>
      <c r="K578" t="s">
        <v>35</v>
      </c>
      <c r="L578" s="3">
        <v>47726</v>
      </c>
      <c r="M578" s="3">
        <v>46028</v>
      </c>
      <c r="N578" t="s">
        <v>1894</v>
      </c>
      <c r="O578" s="4">
        <v>1</v>
      </c>
      <c r="P578">
        <v>0</v>
      </c>
      <c r="Q578">
        <v>0</v>
      </c>
    </row>
    <row r="579" spans="1:17" x14ac:dyDescent="0.25">
      <c r="A579">
        <v>13345</v>
      </c>
      <c r="B579" t="s">
        <v>1830</v>
      </c>
      <c r="C579" t="s">
        <v>1825</v>
      </c>
      <c r="D579" s="3">
        <v>25829</v>
      </c>
      <c r="E579" t="s">
        <v>1379</v>
      </c>
      <c r="F579">
        <v>578</v>
      </c>
      <c r="G579" s="3">
        <v>37018</v>
      </c>
      <c r="H579" t="s">
        <v>1831</v>
      </c>
      <c r="J579" t="s">
        <v>1494</v>
      </c>
      <c r="K579" t="s">
        <v>47</v>
      </c>
      <c r="L579" s="3">
        <v>47607</v>
      </c>
      <c r="M579" s="3">
        <v>46005</v>
      </c>
      <c r="N579" t="s">
        <v>1832</v>
      </c>
      <c r="O579" s="4">
        <v>1</v>
      </c>
      <c r="P579">
        <v>0</v>
      </c>
      <c r="Q579">
        <v>0</v>
      </c>
    </row>
    <row r="580" spans="1:17" x14ac:dyDescent="0.25">
      <c r="A580">
        <v>13257</v>
      </c>
      <c r="B580" t="s">
        <v>1657</v>
      </c>
      <c r="C580" t="s">
        <v>1648</v>
      </c>
      <c r="D580" s="3">
        <v>26636</v>
      </c>
      <c r="E580" t="s">
        <v>1379</v>
      </c>
      <c r="F580">
        <v>237</v>
      </c>
      <c r="G580" s="3">
        <v>36998</v>
      </c>
      <c r="I580">
        <v>92300557</v>
      </c>
      <c r="J580" t="s">
        <v>1485</v>
      </c>
      <c r="K580" t="s">
        <v>47</v>
      </c>
      <c r="L580" s="3">
        <v>72686</v>
      </c>
      <c r="M580" s="3">
        <v>46182</v>
      </c>
      <c r="N580" t="s">
        <v>1658</v>
      </c>
      <c r="O580" s="4">
        <v>0.8</v>
      </c>
      <c r="P580">
        <v>0</v>
      </c>
      <c r="Q580">
        <v>0</v>
      </c>
    </row>
    <row r="581" spans="1:17" x14ac:dyDescent="0.25">
      <c r="A581">
        <v>13089</v>
      </c>
      <c r="B581" t="s">
        <v>1474</v>
      </c>
      <c r="C581" t="s">
        <v>2632</v>
      </c>
      <c r="D581" s="3">
        <v>29008</v>
      </c>
      <c r="E581" t="s">
        <v>1379</v>
      </c>
      <c r="F581">
        <v>140</v>
      </c>
      <c r="G581" s="3">
        <v>36948</v>
      </c>
      <c r="I581">
        <v>477886484</v>
      </c>
      <c r="J581" t="s">
        <v>1420</v>
      </c>
      <c r="K581" t="s">
        <v>44</v>
      </c>
      <c r="L581" s="3">
        <v>47635</v>
      </c>
      <c r="M581" s="3">
        <v>47615</v>
      </c>
      <c r="N581" t="s">
        <v>2641</v>
      </c>
      <c r="O581" s="4">
        <v>1</v>
      </c>
      <c r="P581">
        <v>0</v>
      </c>
      <c r="Q581">
        <v>0</v>
      </c>
    </row>
    <row r="582" spans="1:17" x14ac:dyDescent="0.25">
      <c r="A582">
        <v>13088</v>
      </c>
      <c r="B582" t="s">
        <v>3010</v>
      </c>
      <c r="C582" t="s">
        <v>3125</v>
      </c>
      <c r="D582" s="3">
        <v>25548</v>
      </c>
      <c r="E582" t="s">
        <v>1379</v>
      </c>
      <c r="F582">
        <v>56</v>
      </c>
      <c r="G582" s="3">
        <v>36948</v>
      </c>
      <c r="H582" t="s">
        <v>3126</v>
      </c>
      <c r="J582" t="s">
        <v>1553</v>
      </c>
      <c r="K582" t="s">
        <v>35</v>
      </c>
      <c r="L582" s="3">
        <v>47622</v>
      </c>
      <c r="M582" s="3">
        <v>47615</v>
      </c>
      <c r="N582" t="s">
        <v>3127</v>
      </c>
      <c r="O582" s="4">
        <v>0.8</v>
      </c>
      <c r="P582">
        <v>0</v>
      </c>
      <c r="Q582">
        <v>0</v>
      </c>
    </row>
    <row r="583" spans="1:17" x14ac:dyDescent="0.25">
      <c r="A583">
        <v>13020</v>
      </c>
      <c r="B583" t="s">
        <v>3429</v>
      </c>
      <c r="C583" t="s">
        <v>3424</v>
      </c>
      <c r="D583" s="3">
        <v>22182</v>
      </c>
      <c r="E583" t="s">
        <v>1379</v>
      </c>
      <c r="F583">
        <v>236</v>
      </c>
      <c r="G583" s="3">
        <v>36923</v>
      </c>
      <c r="H583" t="s">
        <v>3430</v>
      </c>
      <c r="I583">
        <v>92262940</v>
      </c>
      <c r="J583" t="s">
        <v>1553</v>
      </c>
      <c r="K583" t="s">
        <v>56</v>
      </c>
      <c r="L583" s="3">
        <v>72686</v>
      </c>
      <c r="M583" s="3">
        <v>72686</v>
      </c>
      <c r="N583" t="s">
        <v>3431</v>
      </c>
      <c r="O583" s="4">
        <v>0.8</v>
      </c>
      <c r="P583">
        <v>0</v>
      </c>
      <c r="Q583">
        <v>0</v>
      </c>
    </row>
    <row r="584" spans="1:17" x14ac:dyDescent="0.25">
      <c r="A584">
        <v>13017</v>
      </c>
      <c r="B584" t="s">
        <v>1483</v>
      </c>
      <c r="C584" t="s">
        <v>549</v>
      </c>
      <c r="D584" s="3">
        <v>28294</v>
      </c>
      <c r="E584" t="s">
        <v>1379</v>
      </c>
      <c r="F584">
        <v>188</v>
      </c>
      <c r="G584" s="3">
        <v>36923</v>
      </c>
      <c r="H584" t="s">
        <v>1484</v>
      </c>
      <c r="J584" t="s">
        <v>1485</v>
      </c>
      <c r="K584" t="s">
        <v>47</v>
      </c>
      <c r="L584" s="3">
        <v>73050</v>
      </c>
      <c r="M584" s="3">
        <v>46866</v>
      </c>
      <c r="N584" t="s">
        <v>1486</v>
      </c>
      <c r="O584" s="4">
        <v>0.8</v>
      </c>
      <c r="P584">
        <v>0</v>
      </c>
      <c r="Q584">
        <v>0</v>
      </c>
    </row>
    <row r="585" spans="1:17" x14ac:dyDescent="0.25">
      <c r="A585">
        <v>12819</v>
      </c>
      <c r="B585" t="s">
        <v>3082</v>
      </c>
      <c r="C585" t="s">
        <v>2406</v>
      </c>
      <c r="D585" s="3">
        <v>27540</v>
      </c>
      <c r="E585" t="s">
        <v>1379</v>
      </c>
      <c r="F585">
        <v>536</v>
      </c>
      <c r="G585" s="3">
        <v>36853</v>
      </c>
      <c r="H585" t="s">
        <v>3083</v>
      </c>
      <c r="J585" t="s">
        <v>1548</v>
      </c>
      <c r="K585" t="s">
        <v>38</v>
      </c>
      <c r="L585" s="3">
        <v>47583</v>
      </c>
      <c r="M585" s="3">
        <v>47568</v>
      </c>
      <c r="N585" t="s">
        <v>3084</v>
      </c>
      <c r="O585" s="4">
        <v>1</v>
      </c>
      <c r="P585">
        <v>0</v>
      </c>
      <c r="Q585">
        <v>1</v>
      </c>
    </row>
    <row r="586" spans="1:17" x14ac:dyDescent="0.25">
      <c r="A586">
        <v>12684</v>
      </c>
      <c r="B586" t="s">
        <v>2262</v>
      </c>
      <c r="C586" t="s">
        <v>2258</v>
      </c>
      <c r="D586" s="3">
        <v>23480</v>
      </c>
      <c r="E586" t="s">
        <v>1379</v>
      </c>
      <c r="F586">
        <v>633</v>
      </c>
      <c r="G586" s="3">
        <v>36815</v>
      </c>
      <c r="H586" t="s">
        <v>2263</v>
      </c>
      <c r="J586" t="s">
        <v>1502</v>
      </c>
      <c r="K586" t="s">
        <v>41</v>
      </c>
      <c r="L586" s="3">
        <v>47698</v>
      </c>
      <c r="M586" s="3">
        <v>47678</v>
      </c>
      <c r="N586" t="s">
        <v>2264</v>
      </c>
      <c r="O586" s="4">
        <v>0.5</v>
      </c>
      <c r="P586">
        <v>0</v>
      </c>
      <c r="Q586">
        <v>0</v>
      </c>
    </row>
    <row r="587" spans="1:17" x14ac:dyDescent="0.25">
      <c r="A587">
        <v>12514</v>
      </c>
      <c r="B587" t="s">
        <v>2257</v>
      </c>
      <c r="C587" t="s">
        <v>1341</v>
      </c>
      <c r="D587" s="3">
        <v>28745</v>
      </c>
      <c r="E587" t="s">
        <v>1379</v>
      </c>
      <c r="F587">
        <v>417</v>
      </c>
      <c r="G587" s="3">
        <v>36759</v>
      </c>
      <c r="H587" t="s">
        <v>2481</v>
      </c>
      <c r="J587" t="s">
        <v>1433</v>
      </c>
      <c r="K587" t="s">
        <v>56</v>
      </c>
      <c r="L587" s="3">
        <v>47356</v>
      </c>
      <c r="M587" s="3">
        <v>47351</v>
      </c>
      <c r="N587" t="s">
        <v>2482</v>
      </c>
      <c r="O587" s="4">
        <v>0.8</v>
      </c>
      <c r="P587">
        <v>0</v>
      </c>
      <c r="Q587">
        <v>0</v>
      </c>
    </row>
    <row r="588" spans="1:17" x14ac:dyDescent="0.25">
      <c r="A588">
        <v>12173</v>
      </c>
      <c r="B588" t="s">
        <v>3068</v>
      </c>
      <c r="C588" t="s">
        <v>2406</v>
      </c>
      <c r="D588" s="3">
        <v>25839</v>
      </c>
      <c r="E588" t="s">
        <v>1379</v>
      </c>
      <c r="F588">
        <v>176</v>
      </c>
      <c r="G588" s="3">
        <v>36690</v>
      </c>
      <c r="H588" t="s">
        <v>3069</v>
      </c>
      <c r="J588" t="s">
        <v>1498</v>
      </c>
      <c r="K588" t="s">
        <v>41</v>
      </c>
      <c r="L588" s="3">
        <v>47337</v>
      </c>
      <c r="M588" s="3">
        <v>47328</v>
      </c>
      <c r="N588" t="s">
        <v>3070</v>
      </c>
      <c r="O588" s="4">
        <v>1</v>
      </c>
      <c r="P588">
        <v>0</v>
      </c>
      <c r="Q588">
        <v>0</v>
      </c>
    </row>
    <row r="589" spans="1:17" x14ac:dyDescent="0.25">
      <c r="A589">
        <v>12124</v>
      </c>
      <c r="B589" t="s">
        <v>1550</v>
      </c>
      <c r="C589" t="s">
        <v>1551</v>
      </c>
      <c r="D589" s="3">
        <v>28780</v>
      </c>
      <c r="E589" t="s">
        <v>1379</v>
      </c>
      <c r="F589">
        <v>397</v>
      </c>
      <c r="G589" s="3">
        <v>36654</v>
      </c>
      <c r="H589" t="s">
        <v>1552</v>
      </c>
      <c r="J589" t="s">
        <v>1553</v>
      </c>
      <c r="K589" t="s">
        <v>50</v>
      </c>
      <c r="L589" s="3">
        <v>73050</v>
      </c>
      <c r="M589" s="3">
        <v>47460</v>
      </c>
      <c r="N589" t="s">
        <v>1554</v>
      </c>
      <c r="O589" s="4">
        <v>1</v>
      </c>
      <c r="P589">
        <v>0</v>
      </c>
      <c r="Q589">
        <v>0</v>
      </c>
    </row>
    <row r="590" spans="1:17" x14ac:dyDescent="0.25">
      <c r="A590">
        <v>12024</v>
      </c>
      <c r="B590" t="s">
        <v>2394</v>
      </c>
      <c r="C590" t="s">
        <v>2395</v>
      </c>
      <c r="D590" s="3">
        <v>23853</v>
      </c>
      <c r="E590" t="s">
        <v>1379</v>
      </c>
      <c r="F590">
        <v>214</v>
      </c>
      <c r="G590" s="3">
        <v>36612</v>
      </c>
      <c r="H590" t="s">
        <v>2396</v>
      </c>
      <c r="I590">
        <v>92312370</v>
      </c>
      <c r="J590" t="s">
        <v>1636</v>
      </c>
      <c r="K590" t="s">
        <v>56</v>
      </c>
      <c r="L590" s="3">
        <v>47400</v>
      </c>
      <c r="M590" s="3">
        <v>47399</v>
      </c>
      <c r="N590" t="s">
        <v>2397</v>
      </c>
      <c r="O590" s="4">
        <v>0.8</v>
      </c>
      <c r="P590">
        <v>0</v>
      </c>
      <c r="Q590">
        <v>0</v>
      </c>
    </row>
    <row r="591" spans="1:17" x14ac:dyDescent="0.25">
      <c r="A591">
        <v>11866</v>
      </c>
      <c r="B591" t="s">
        <v>1991</v>
      </c>
      <c r="C591" t="s">
        <v>1992</v>
      </c>
      <c r="D591" s="3">
        <v>25467</v>
      </c>
      <c r="E591" t="s">
        <v>1379</v>
      </c>
      <c r="F591">
        <v>165</v>
      </c>
      <c r="G591" s="3">
        <v>36542</v>
      </c>
      <c r="H591" t="s">
        <v>1993</v>
      </c>
      <c r="J591" t="s">
        <v>1553</v>
      </c>
      <c r="K591" t="s">
        <v>56</v>
      </c>
      <c r="L591" s="3">
        <v>47338</v>
      </c>
      <c r="M591" s="3">
        <v>47251</v>
      </c>
      <c r="N591" t="s">
        <v>1994</v>
      </c>
      <c r="O591" s="4">
        <v>0.8</v>
      </c>
      <c r="P591">
        <v>0</v>
      </c>
      <c r="Q591">
        <v>0</v>
      </c>
    </row>
    <row r="592" spans="1:17" x14ac:dyDescent="0.25">
      <c r="A592">
        <v>11508</v>
      </c>
      <c r="B592" t="s">
        <v>2065</v>
      </c>
      <c r="C592" t="s">
        <v>2066</v>
      </c>
      <c r="D592" s="3">
        <v>27991</v>
      </c>
      <c r="E592" t="s">
        <v>1379</v>
      </c>
      <c r="F592">
        <v>333</v>
      </c>
      <c r="G592" s="3">
        <v>36388</v>
      </c>
      <c r="H592" t="s">
        <v>2067</v>
      </c>
      <c r="I592">
        <v>92324068</v>
      </c>
      <c r="J592" t="s">
        <v>1498</v>
      </c>
      <c r="K592" t="s">
        <v>56</v>
      </c>
      <c r="L592" s="3">
        <v>47639</v>
      </c>
      <c r="M592" s="3">
        <v>46974</v>
      </c>
      <c r="N592" t="s">
        <v>2068</v>
      </c>
      <c r="O592" s="4">
        <v>1</v>
      </c>
      <c r="P592">
        <v>0</v>
      </c>
      <c r="Q592">
        <v>0</v>
      </c>
    </row>
    <row r="593" spans="1:17" x14ac:dyDescent="0.25">
      <c r="A593">
        <v>11236</v>
      </c>
      <c r="B593" t="s">
        <v>1817</v>
      </c>
      <c r="C593" t="s">
        <v>2851</v>
      </c>
      <c r="D593" s="3">
        <v>23283</v>
      </c>
      <c r="E593" t="s">
        <v>1379</v>
      </c>
      <c r="F593">
        <v>632</v>
      </c>
      <c r="G593" s="3">
        <v>36332</v>
      </c>
      <c r="H593" t="s">
        <v>2852</v>
      </c>
      <c r="J593" t="s">
        <v>1502</v>
      </c>
      <c r="K593" t="s">
        <v>38</v>
      </c>
      <c r="L593" s="3">
        <v>47659</v>
      </c>
      <c r="M593" s="3">
        <v>46974</v>
      </c>
      <c r="N593" t="s">
        <v>2853</v>
      </c>
      <c r="O593" s="4">
        <v>1</v>
      </c>
      <c r="P593">
        <v>0</v>
      </c>
      <c r="Q593">
        <v>0</v>
      </c>
    </row>
    <row r="594" spans="1:17" x14ac:dyDescent="0.25">
      <c r="A594">
        <v>11213</v>
      </c>
      <c r="B594" t="s">
        <v>2781</v>
      </c>
      <c r="C594" t="s">
        <v>2782</v>
      </c>
      <c r="D594" s="3">
        <v>27019</v>
      </c>
      <c r="E594" t="s">
        <v>1379</v>
      </c>
      <c r="F594">
        <v>246</v>
      </c>
      <c r="G594" s="3">
        <v>36311</v>
      </c>
      <c r="H594" t="s">
        <v>2783</v>
      </c>
      <c r="J594" t="s">
        <v>1680</v>
      </c>
      <c r="K594" t="s">
        <v>38</v>
      </c>
      <c r="L594" s="3">
        <v>72686</v>
      </c>
      <c r="M594" s="3">
        <v>47189</v>
      </c>
      <c r="N594" t="s">
        <v>2784</v>
      </c>
      <c r="O594" s="4">
        <v>1</v>
      </c>
      <c r="P594">
        <v>0</v>
      </c>
      <c r="Q594">
        <v>1</v>
      </c>
    </row>
    <row r="595" spans="1:17" x14ac:dyDescent="0.25">
      <c r="A595">
        <v>11120</v>
      </c>
      <c r="B595" t="s">
        <v>2347</v>
      </c>
      <c r="C595" t="s">
        <v>2348</v>
      </c>
      <c r="D595" s="3">
        <v>24187</v>
      </c>
      <c r="E595" t="s">
        <v>1379</v>
      </c>
      <c r="F595">
        <v>325</v>
      </c>
      <c r="G595" s="3">
        <v>36262</v>
      </c>
      <c r="H595" t="s">
        <v>2349</v>
      </c>
      <c r="J595" t="s">
        <v>1680</v>
      </c>
      <c r="K595" t="s">
        <v>56</v>
      </c>
      <c r="L595" s="3">
        <v>45938</v>
      </c>
      <c r="M595" s="3">
        <v>46938</v>
      </c>
      <c r="N595" t="s">
        <v>2350</v>
      </c>
      <c r="O595" s="4">
        <v>0.8</v>
      </c>
      <c r="P595">
        <v>0</v>
      </c>
      <c r="Q595">
        <v>1</v>
      </c>
    </row>
    <row r="596" spans="1:17" x14ac:dyDescent="0.25">
      <c r="A596">
        <v>11023</v>
      </c>
      <c r="B596" t="s">
        <v>2611</v>
      </c>
      <c r="C596" t="s">
        <v>2612</v>
      </c>
      <c r="D596" s="3">
        <v>27316</v>
      </c>
      <c r="E596" t="s">
        <v>1379</v>
      </c>
      <c r="F596">
        <v>9</v>
      </c>
      <c r="G596" s="3">
        <v>36227</v>
      </c>
      <c r="H596" t="s">
        <v>2613</v>
      </c>
      <c r="J596" t="s">
        <v>1553</v>
      </c>
      <c r="K596" t="s">
        <v>41</v>
      </c>
      <c r="L596" s="3">
        <v>46880</v>
      </c>
      <c r="M596" s="3">
        <v>46853</v>
      </c>
      <c r="N596" t="s">
        <v>2614</v>
      </c>
      <c r="O596" s="4">
        <v>0.8</v>
      </c>
      <c r="P596">
        <v>0</v>
      </c>
      <c r="Q596">
        <v>0</v>
      </c>
    </row>
    <row r="597" spans="1:17" x14ac:dyDescent="0.25">
      <c r="A597">
        <v>11021</v>
      </c>
      <c r="B597" t="s">
        <v>2265</v>
      </c>
      <c r="C597" t="s">
        <v>2266</v>
      </c>
      <c r="D597" s="3">
        <v>23986</v>
      </c>
      <c r="E597" t="s">
        <v>1379</v>
      </c>
      <c r="F597">
        <v>181</v>
      </c>
      <c r="G597" s="3">
        <v>36227</v>
      </c>
      <c r="H597" t="s">
        <v>2267</v>
      </c>
      <c r="I597">
        <v>93622072</v>
      </c>
      <c r="J597" t="s">
        <v>1485</v>
      </c>
      <c r="K597" t="s">
        <v>50</v>
      </c>
      <c r="L597" s="3">
        <v>73050</v>
      </c>
      <c r="M597" s="3">
        <v>45902</v>
      </c>
      <c r="N597" t="s">
        <v>2268</v>
      </c>
      <c r="O597" s="4">
        <v>1</v>
      </c>
      <c r="P597">
        <v>0</v>
      </c>
      <c r="Q597">
        <v>0</v>
      </c>
    </row>
    <row r="598" spans="1:17" x14ac:dyDescent="0.25">
      <c r="A598">
        <v>10782</v>
      </c>
      <c r="B598" t="s">
        <v>2679</v>
      </c>
      <c r="C598" t="s">
        <v>2680</v>
      </c>
      <c r="D598" s="3">
        <v>27384</v>
      </c>
      <c r="E598" t="s">
        <v>1379</v>
      </c>
      <c r="F598">
        <v>48</v>
      </c>
      <c r="G598" s="3">
        <v>36080</v>
      </c>
      <c r="H598" t="s">
        <v>2681</v>
      </c>
      <c r="J598" t="s">
        <v>1433</v>
      </c>
      <c r="K598" t="s">
        <v>47</v>
      </c>
      <c r="L598" s="3">
        <v>47614</v>
      </c>
      <c r="M598" s="3">
        <v>46704</v>
      </c>
      <c r="N598" t="s">
        <v>2682</v>
      </c>
      <c r="O598" s="4">
        <v>1</v>
      </c>
      <c r="P598">
        <v>0</v>
      </c>
      <c r="Q598">
        <v>0</v>
      </c>
    </row>
    <row r="599" spans="1:17" x14ac:dyDescent="0.25">
      <c r="A599">
        <v>10326</v>
      </c>
      <c r="B599" t="s">
        <v>2038</v>
      </c>
      <c r="C599" t="s">
        <v>2039</v>
      </c>
      <c r="D599" s="3">
        <v>28038</v>
      </c>
      <c r="E599" t="s">
        <v>1379</v>
      </c>
      <c r="F599">
        <v>534</v>
      </c>
      <c r="G599" s="3">
        <v>35948</v>
      </c>
      <c r="H599" t="s">
        <v>2040</v>
      </c>
      <c r="J599" t="s">
        <v>1604</v>
      </c>
      <c r="K599" t="s">
        <v>38</v>
      </c>
      <c r="L599" s="3">
        <v>45928</v>
      </c>
      <c r="M599" s="3">
        <v>46623</v>
      </c>
      <c r="N599" t="s">
        <v>2041</v>
      </c>
      <c r="O599" s="4">
        <v>0.5</v>
      </c>
      <c r="P599">
        <v>0</v>
      </c>
      <c r="Q599">
        <v>0</v>
      </c>
    </row>
    <row r="600" spans="1:17" x14ac:dyDescent="0.25">
      <c r="A600">
        <v>10324</v>
      </c>
      <c r="B600" t="s">
        <v>1452</v>
      </c>
      <c r="C600" t="s">
        <v>1453</v>
      </c>
      <c r="D600" s="3">
        <v>25268</v>
      </c>
      <c r="E600" t="s">
        <v>1379</v>
      </c>
      <c r="F600">
        <v>332</v>
      </c>
      <c r="G600" s="3">
        <v>35948</v>
      </c>
      <c r="H600" t="s">
        <v>1454</v>
      </c>
      <c r="J600" t="s">
        <v>1455</v>
      </c>
      <c r="K600" t="s">
        <v>38</v>
      </c>
      <c r="L600" s="3">
        <v>73050</v>
      </c>
      <c r="M600" s="3">
        <v>46887</v>
      </c>
      <c r="N600" t="s">
        <v>1456</v>
      </c>
      <c r="O600" s="4">
        <v>0.8</v>
      </c>
      <c r="P600">
        <v>0</v>
      </c>
      <c r="Q600">
        <v>0</v>
      </c>
    </row>
    <row r="601" spans="1:17" x14ac:dyDescent="0.25">
      <c r="A601">
        <v>10150</v>
      </c>
      <c r="B601" t="s">
        <v>1536</v>
      </c>
      <c r="C601" t="s">
        <v>1537</v>
      </c>
      <c r="D601" s="3">
        <v>24256</v>
      </c>
      <c r="E601" t="s">
        <v>1379</v>
      </c>
      <c r="F601">
        <v>107</v>
      </c>
      <c r="G601" s="3">
        <v>35891</v>
      </c>
      <c r="H601" t="s">
        <v>1538</v>
      </c>
      <c r="J601" t="s">
        <v>1485</v>
      </c>
      <c r="K601" t="s">
        <v>50</v>
      </c>
      <c r="L601" s="3">
        <v>73050</v>
      </c>
      <c r="M601" s="3">
        <v>46791</v>
      </c>
      <c r="N601" t="s">
        <v>1539</v>
      </c>
      <c r="O601" s="4">
        <v>0.8</v>
      </c>
      <c r="P601">
        <v>0</v>
      </c>
      <c r="Q601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82285f78125adee1c3e32b77ee6a81c1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da782280f552010e00a7c6a5895effa4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DD6AF2B4-2DDA-4CFC-B755-3B8F496DC55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naar word</vt:lpstr>
      <vt:lpstr>BRON</vt:lpstr>
      <vt:lpstr>Dashboard</vt:lpstr>
      <vt:lpstr>contact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2025-11-27T11:02:50Z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