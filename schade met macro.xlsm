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87" documentId="13_ncr:1_{BC833B0D-2F54-40DF-A6AF-902741D0EBA0}" xr6:coauthVersionLast="47" xr6:coauthVersionMax="47" xr10:uidLastSave="{7E6FCAB5-66E5-46E7-98B9-177EE5432E37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2" i="1"/>
  <c r="D542" i="1"/>
  <c r="E542" i="1"/>
  <c r="S542" i="1"/>
  <c r="C646" i="1"/>
  <c r="D646" i="1"/>
  <c r="E646" i="1"/>
  <c r="S646" i="1"/>
  <c r="S538" i="1"/>
  <c r="C538" i="1"/>
  <c r="D538" i="1"/>
  <c r="E538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69" i="1"/>
  <c r="D569" i="1"/>
  <c r="E569" i="1"/>
  <c r="S569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15" i="1"/>
  <c r="D615" i="1"/>
  <c r="E615" i="1"/>
  <c r="S61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34" i="1"/>
  <c r="C626" i="1"/>
  <c r="D811" i="1"/>
  <c r="D852" i="1"/>
  <c r="D529" i="1"/>
  <c r="D791" i="1"/>
  <c r="D534" i="1"/>
  <c r="D626" i="1"/>
  <c r="E811" i="1"/>
  <c r="E852" i="1"/>
  <c r="E529" i="1"/>
  <c r="E791" i="1"/>
  <c r="E534" i="1"/>
  <c r="E626" i="1"/>
  <c r="S811" i="1"/>
  <c r="S852" i="1"/>
  <c r="S529" i="1"/>
  <c r="S791" i="1"/>
  <c r="S534" i="1"/>
  <c r="S626" i="1"/>
  <c r="C548" i="1"/>
  <c r="D548" i="1"/>
  <c r="E548" i="1"/>
  <c r="S548" i="1"/>
  <c r="C575" i="1"/>
  <c r="D575" i="1"/>
  <c r="E575" i="1"/>
  <c r="S575" i="1"/>
  <c r="C628" i="1"/>
  <c r="D628" i="1"/>
  <c r="E628" i="1"/>
  <c r="S628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07" i="1"/>
  <c r="D707" i="1"/>
  <c r="E707" i="1"/>
  <c r="S707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78" i="1"/>
  <c r="D678" i="1"/>
  <c r="E678" i="1"/>
  <c r="S678" i="1"/>
  <c r="C824" i="1"/>
  <c r="D824" i="1"/>
  <c r="E824" i="1"/>
  <c r="S824" i="1"/>
  <c r="C536" i="1"/>
  <c r="D536" i="1"/>
  <c r="E536" i="1"/>
  <c r="S536" i="1"/>
  <c r="C636" i="1"/>
  <c r="D636" i="1"/>
  <c r="E636" i="1"/>
  <c r="S636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2" i="1"/>
  <c r="D522" i="1"/>
  <c r="E522" i="1"/>
  <c r="S522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6" i="1"/>
  <c r="D666" i="1"/>
  <c r="E666" i="1"/>
  <c r="S666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08" i="1"/>
  <c r="D608" i="1"/>
  <c r="E608" i="1"/>
  <c r="S608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46" i="1"/>
  <c r="D546" i="1"/>
  <c r="E546" i="1"/>
  <c r="S546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5" i="1"/>
  <c r="D665" i="1"/>
  <c r="E665" i="1"/>
  <c r="S665" i="1"/>
  <c r="C593" i="1"/>
  <c r="D593" i="1"/>
  <c r="E593" i="1"/>
  <c r="S593" i="1"/>
  <c r="C733" i="1"/>
  <c r="D733" i="1"/>
  <c r="E733" i="1"/>
  <c r="S733" i="1"/>
  <c r="C564" i="1"/>
  <c r="D564" i="1"/>
  <c r="E564" i="1"/>
  <c r="S564" i="1"/>
  <c r="C516" i="1"/>
  <c r="D516" i="1"/>
  <c r="E516" i="1"/>
  <c r="S516" i="1"/>
  <c r="C686" i="1"/>
  <c r="D686" i="1"/>
  <c r="E686" i="1"/>
  <c r="S686" i="1"/>
  <c r="C515" i="1"/>
  <c r="D515" i="1"/>
  <c r="E515" i="1"/>
  <c r="S515" i="1"/>
  <c r="C551" i="1"/>
  <c r="D551" i="1"/>
  <c r="E551" i="1"/>
  <c r="S551" i="1"/>
  <c r="C706" i="1"/>
  <c r="D706" i="1"/>
  <c r="E706" i="1"/>
  <c r="S706" i="1"/>
  <c r="C540" i="1"/>
  <c r="D540" i="1"/>
  <c r="E540" i="1"/>
  <c r="S540" i="1"/>
  <c r="C596" i="1"/>
  <c r="D596" i="1"/>
  <c r="E596" i="1"/>
  <c r="S596" i="1"/>
  <c r="C687" i="1"/>
  <c r="D687" i="1"/>
  <c r="E687" i="1"/>
  <c r="S687" i="1"/>
  <c r="C668" i="1"/>
  <c r="D668" i="1"/>
  <c r="E668" i="1"/>
  <c r="S668" i="1"/>
  <c r="C669" i="1"/>
  <c r="D669" i="1"/>
  <c r="E669" i="1"/>
  <c r="S669" i="1"/>
  <c r="C769" i="1"/>
  <c r="D769" i="1"/>
  <c r="E769" i="1"/>
  <c r="S769" i="1"/>
  <c r="C583" i="1"/>
  <c r="D583" i="1"/>
  <c r="E583" i="1"/>
  <c r="S583" i="1"/>
  <c r="C776" i="1"/>
  <c r="D776" i="1"/>
  <c r="E776" i="1"/>
  <c r="S776" i="1"/>
  <c r="C843" i="1"/>
  <c r="D843" i="1"/>
  <c r="E843" i="1"/>
  <c r="S843" i="1"/>
  <c r="C653" i="1"/>
  <c r="D653" i="1"/>
  <c r="E653" i="1"/>
  <c r="S653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59" i="1"/>
  <c r="D659" i="1"/>
  <c r="E659" i="1"/>
  <c r="S659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73" i="1"/>
  <c r="D673" i="1"/>
  <c r="E673" i="1"/>
  <c r="S673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42" i="1"/>
  <c r="D642" i="1"/>
  <c r="E642" i="1"/>
  <c r="S6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16" i="1"/>
  <c r="D716" i="1"/>
  <c r="E716" i="1"/>
  <c r="S71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67" i="1"/>
  <c r="S715" i="1"/>
  <c r="S554" i="1"/>
  <c r="S739" i="1"/>
  <c r="S708" i="1"/>
  <c r="S623" i="1"/>
  <c r="S723" i="1"/>
  <c r="S753" i="1"/>
  <c r="S692" i="1"/>
  <c r="S719" i="1"/>
  <c r="S780" i="1"/>
  <c r="S579" i="1"/>
  <c r="S619" i="1"/>
  <c r="S622" i="1"/>
  <c r="S643" i="1"/>
  <c r="S732" i="1"/>
  <c r="S758" i="1"/>
  <c r="S763" i="1"/>
  <c r="S766" i="1"/>
  <c r="S561" i="1"/>
  <c r="S576" i="1"/>
  <c r="S588" i="1"/>
  <c r="S592" i="1"/>
  <c r="S597" i="1"/>
  <c r="S612" i="1"/>
  <c r="S737" i="1"/>
  <c r="S727" i="1"/>
  <c r="S754" i="1"/>
  <c r="S648" i="1"/>
  <c r="S658" i="1"/>
  <c r="S671" i="1"/>
  <c r="S680" i="1"/>
  <c r="S684" i="1"/>
  <c r="S696" i="1"/>
  <c r="S734" i="1"/>
  <c r="S742" i="1"/>
  <c r="S749" i="1"/>
  <c r="S752" i="1"/>
  <c r="S559" i="1"/>
  <c r="S701" i="1"/>
  <c r="S528" i="1"/>
  <c r="S541" i="1"/>
  <c r="S543" i="1"/>
  <c r="S544" i="1"/>
  <c r="S552" i="1"/>
  <c r="S603" i="1"/>
  <c r="S611" i="1"/>
  <c r="S656" i="1"/>
  <c r="S609" i="1"/>
  <c r="S631" i="1"/>
  <c r="S633" i="1"/>
  <c r="S647" i="1"/>
  <c r="S650" i="1"/>
  <c r="S649" i="1"/>
  <c r="S657" i="1"/>
  <c r="S661" i="1"/>
  <c r="S662" i="1"/>
  <c r="S688" i="1"/>
  <c r="S691" i="1"/>
  <c r="S699" i="1"/>
  <c r="S717" i="1"/>
  <c r="S710" i="1"/>
  <c r="S630" i="1"/>
  <c r="S743" i="1"/>
  <c r="S718" i="1"/>
  <c r="S578" i="1"/>
  <c r="S799" i="1"/>
  <c r="S816" i="1"/>
  <c r="S571" i="1"/>
  <c r="S712" i="1"/>
  <c r="S514" i="1"/>
  <c r="S519" i="1"/>
  <c r="S521" i="1"/>
  <c r="S746" i="1"/>
  <c r="S523" i="1"/>
  <c r="S527" i="1"/>
  <c r="S535" i="1"/>
  <c r="S545" i="1"/>
  <c r="S547" i="1"/>
  <c r="S553" i="1"/>
  <c r="S550" i="1"/>
  <c r="S560" i="1"/>
  <c r="S562" i="1"/>
  <c r="S563" i="1"/>
  <c r="S565" i="1"/>
  <c r="S574" i="1"/>
  <c r="S580" i="1"/>
  <c r="S581" i="1"/>
  <c r="S594" i="1"/>
  <c r="S587" i="1"/>
  <c r="S595" i="1"/>
  <c r="S591" i="1"/>
  <c r="S826" i="1"/>
  <c r="S524" i="1"/>
  <c r="S629" i="1"/>
  <c r="S601" i="1"/>
  <c r="S605" i="1"/>
  <c r="S617" i="1"/>
  <c r="S621" i="1"/>
  <c r="S627" i="1"/>
  <c r="S632" i="1"/>
  <c r="S637" i="1"/>
  <c r="S634" i="1"/>
  <c r="S638" i="1"/>
  <c r="S639" i="1"/>
  <c r="S635" i="1"/>
  <c r="S641" i="1"/>
  <c r="S644" i="1"/>
  <c r="S645" i="1"/>
  <c r="S654" i="1"/>
  <c r="S664" i="1"/>
  <c r="S670" i="1"/>
  <c r="S674" i="1"/>
  <c r="S675" i="1"/>
  <c r="S676" i="1"/>
  <c r="S681" i="1"/>
  <c r="S689" i="1"/>
  <c r="S694" i="1"/>
  <c r="S693" i="1"/>
  <c r="S704" i="1"/>
  <c r="S713" i="1"/>
  <c r="S724" i="1"/>
  <c r="S725" i="1"/>
  <c r="S731" i="1"/>
  <c r="S640" i="1"/>
  <c r="S738" i="1"/>
  <c r="S709" i="1"/>
  <c r="S584" i="1"/>
  <c r="S720" i="1"/>
  <c r="S741" i="1"/>
  <c r="S577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67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2" i="1"/>
  <c r="S828" i="1"/>
  <c r="S833" i="1"/>
  <c r="S837" i="1"/>
  <c r="S610" i="1"/>
  <c r="S604" i="1"/>
  <c r="S625" i="1"/>
  <c r="S655" i="1"/>
  <c r="S794" i="1"/>
  <c r="S827" i="1"/>
  <c r="S844" i="1"/>
  <c r="S526" i="1"/>
  <c r="S786" i="1"/>
  <c r="S829" i="1"/>
  <c r="S690" i="1"/>
  <c r="S836" i="1"/>
  <c r="S842" i="1"/>
  <c r="S530" i="1"/>
  <c r="S598" i="1"/>
  <c r="S589" i="1"/>
  <c r="C589" i="1"/>
  <c r="D589" i="1"/>
  <c r="E589" i="1"/>
  <c r="E598" i="1"/>
  <c r="D598" i="1"/>
  <c r="C598" i="1"/>
  <c r="E530" i="1"/>
  <c r="D530" i="1"/>
  <c r="C530" i="1"/>
  <c r="E842" i="1"/>
  <c r="D842" i="1"/>
  <c r="C842" i="1"/>
  <c r="C836" i="1"/>
  <c r="D836" i="1"/>
  <c r="E836" i="1"/>
  <c r="C690" i="1"/>
  <c r="D690" i="1"/>
  <c r="E690" i="1"/>
  <c r="C844" i="1"/>
  <c r="D844" i="1"/>
  <c r="E844" i="1"/>
  <c r="C827" i="1"/>
  <c r="D827" i="1"/>
  <c r="E827" i="1"/>
  <c r="C794" i="1"/>
  <c r="D794" i="1"/>
  <c r="E794" i="1"/>
  <c r="C655" i="1"/>
  <c r="D655" i="1"/>
  <c r="E655" i="1"/>
  <c r="C625" i="1"/>
  <c r="D625" i="1"/>
  <c r="E625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77" i="1"/>
  <c r="D577" i="1"/>
  <c r="C577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4" i="1"/>
  <c r="D574" i="1"/>
  <c r="E574" i="1"/>
  <c r="C547" i="1"/>
  <c r="D547" i="1"/>
  <c r="E547" i="1"/>
  <c r="C594" i="1"/>
  <c r="D594" i="1"/>
  <c r="E594" i="1"/>
  <c r="C829" i="1"/>
  <c r="D829" i="1"/>
  <c r="E829" i="1"/>
  <c r="C724" i="1"/>
  <c r="D724" i="1"/>
  <c r="E724" i="1"/>
  <c r="C580" i="1"/>
  <c r="D580" i="1"/>
  <c r="E580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1" i="1"/>
  <c r="D681" i="1"/>
  <c r="E681" i="1"/>
  <c r="C676" i="1"/>
  <c r="D676" i="1"/>
  <c r="E676" i="1"/>
  <c r="C550" i="1"/>
  <c r="D550" i="1"/>
  <c r="E550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67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08" i="1"/>
  <c r="E719" i="1"/>
  <c r="E692" i="1"/>
  <c r="E780" i="1"/>
  <c r="E619" i="1"/>
  <c r="E622" i="1"/>
  <c r="E579" i="1"/>
  <c r="E752" i="1"/>
  <c r="E758" i="1"/>
  <c r="E766" i="1"/>
  <c r="E732" i="1"/>
  <c r="E763" i="1"/>
  <c r="E643" i="1"/>
  <c r="E559" i="1"/>
  <c r="E576" i="1"/>
  <c r="E696" i="1"/>
  <c r="E631" i="1"/>
  <c r="E671" i="1"/>
  <c r="E737" i="1"/>
  <c r="E749" i="1"/>
  <c r="E656" i="1"/>
  <c r="E680" i="1"/>
  <c r="E648" i="1"/>
  <c r="E792" i="1"/>
  <c r="E658" i="1"/>
  <c r="E727" i="1"/>
  <c r="E742" i="1"/>
  <c r="E588" i="1"/>
  <c r="E597" i="1"/>
  <c r="E839" i="1"/>
  <c r="E734" i="1"/>
  <c r="E592" i="1"/>
  <c r="E612" i="1"/>
  <c r="E684" i="1"/>
  <c r="E754" i="1"/>
  <c r="E561" i="1"/>
  <c r="E701" i="1"/>
  <c r="E765" i="1"/>
  <c r="E650" i="1"/>
  <c r="E718" i="1"/>
  <c r="E647" i="1"/>
  <c r="E528" i="1"/>
  <c r="E544" i="1"/>
  <c r="E654" i="1"/>
  <c r="E562" i="1"/>
  <c r="E699" i="1"/>
  <c r="E543" i="1"/>
  <c r="E661" i="1"/>
  <c r="E691" i="1"/>
  <c r="E712" i="1"/>
  <c r="E710" i="1"/>
  <c r="E541" i="1"/>
  <c r="E657" i="1"/>
  <c r="E688" i="1"/>
  <c r="E785" i="1"/>
  <c r="E717" i="1"/>
  <c r="E552" i="1"/>
  <c r="E578" i="1"/>
  <c r="E609" i="1"/>
  <c r="E633" i="1"/>
  <c r="E662" i="1"/>
  <c r="E571" i="1"/>
  <c r="E603" i="1"/>
  <c r="E611" i="1"/>
  <c r="E649" i="1"/>
  <c r="E743" i="1"/>
  <c r="E807" i="1"/>
  <c r="E775" i="1"/>
  <c r="E738" i="1"/>
  <c r="E617" i="1"/>
  <c r="E709" i="1"/>
  <c r="E584" i="1"/>
  <c r="E704" i="1"/>
  <c r="E630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35" i="1"/>
  <c r="E644" i="1"/>
  <c r="E746" i="1"/>
  <c r="E634" i="1"/>
  <c r="E621" i="1"/>
  <c r="E545" i="1"/>
  <c r="E514" i="1"/>
  <c r="E567" i="1"/>
  <c r="E751" i="1"/>
  <c r="E527" i="1"/>
  <c r="E693" i="1"/>
  <c r="E553" i="1"/>
  <c r="E616" i="1"/>
  <c r="E640" i="1"/>
  <c r="E822" i="1"/>
  <c r="E624" i="1"/>
  <c r="E745" i="1"/>
  <c r="E632" i="1"/>
  <c r="E664" i="1"/>
  <c r="E595" i="1"/>
  <c r="E773" i="1"/>
  <c r="E523" i="1"/>
  <c r="E563" i="1"/>
  <c r="E833" i="1"/>
  <c r="E725" i="1"/>
  <c r="E587" i="1"/>
  <c r="E607" i="1"/>
  <c r="E637" i="1"/>
  <c r="E641" i="1"/>
  <c r="E521" i="1"/>
  <c r="E581" i="1"/>
  <c r="E618" i="1"/>
  <c r="E638" i="1"/>
  <c r="E639" i="1"/>
  <c r="E645" i="1"/>
  <c r="E591" i="1"/>
  <c r="E674" i="1"/>
  <c r="E672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67" i="1"/>
  <c r="D554" i="1"/>
  <c r="D747" i="1"/>
  <c r="D807" i="1"/>
  <c r="D715" i="1"/>
  <c r="D723" i="1"/>
  <c r="D753" i="1"/>
  <c r="D623" i="1"/>
  <c r="D708" i="1"/>
  <c r="D719" i="1"/>
  <c r="D692" i="1"/>
  <c r="D780" i="1"/>
  <c r="D619" i="1"/>
  <c r="D622" i="1"/>
  <c r="D579" i="1"/>
  <c r="D752" i="1"/>
  <c r="D758" i="1"/>
  <c r="D766" i="1"/>
  <c r="D732" i="1"/>
  <c r="D763" i="1"/>
  <c r="D643" i="1"/>
  <c r="D559" i="1"/>
  <c r="D576" i="1"/>
  <c r="D696" i="1"/>
  <c r="D631" i="1"/>
  <c r="D671" i="1"/>
  <c r="D737" i="1"/>
  <c r="D749" i="1"/>
  <c r="D656" i="1"/>
  <c r="D680" i="1"/>
  <c r="D648" i="1"/>
  <c r="D658" i="1"/>
  <c r="D727" i="1"/>
  <c r="D742" i="1"/>
  <c r="D588" i="1"/>
  <c r="D597" i="1"/>
  <c r="D839" i="1"/>
  <c r="D734" i="1"/>
  <c r="D592" i="1"/>
  <c r="D612" i="1"/>
  <c r="D684" i="1"/>
  <c r="D754" i="1"/>
  <c r="D561" i="1"/>
  <c r="D701" i="1"/>
  <c r="D650" i="1"/>
  <c r="D718" i="1"/>
  <c r="D647" i="1"/>
  <c r="D528" i="1"/>
  <c r="D544" i="1"/>
  <c r="D562" i="1"/>
  <c r="D699" i="1"/>
  <c r="D543" i="1"/>
  <c r="D661" i="1"/>
  <c r="D691" i="1"/>
  <c r="D712" i="1"/>
  <c r="D710" i="1"/>
  <c r="D541" i="1"/>
  <c r="D657" i="1"/>
  <c r="D688" i="1"/>
  <c r="D717" i="1"/>
  <c r="D552" i="1"/>
  <c r="D578" i="1"/>
  <c r="D609" i="1"/>
  <c r="D633" i="1"/>
  <c r="D662" i="1"/>
  <c r="D571" i="1"/>
  <c r="D603" i="1"/>
  <c r="D611" i="1"/>
  <c r="D649" i="1"/>
  <c r="D743" i="1"/>
  <c r="D775" i="1"/>
  <c r="D738" i="1"/>
  <c r="D617" i="1"/>
  <c r="D709" i="1"/>
  <c r="D584" i="1"/>
  <c r="D704" i="1"/>
  <c r="D630" i="1"/>
  <c r="D695" i="1"/>
  <c r="D777" i="1"/>
  <c r="D774" i="1"/>
  <c r="D700" i="1"/>
  <c r="D601" i="1"/>
  <c r="D711" i="1"/>
  <c r="D837" i="1"/>
  <c r="D519" i="1"/>
  <c r="D560" i="1"/>
  <c r="D740" i="1"/>
  <c r="D627" i="1"/>
  <c r="D635" i="1"/>
  <c r="D644" i="1"/>
  <c r="D746" i="1"/>
  <c r="D634" i="1"/>
  <c r="D621" i="1"/>
  <c r="D545" i="1"/>
  <c r="D514" i="1"/>
  <c r="D567" i="1"/>
  <c r="D751" i="1"/>
  <c r="D527" i="1"/>
  <c r="D693" i="1"/>
  <c r="D553" i="1"/>
  <c r="D616" i="1"/>
  <c r="D640" i="1"/>
  <c r="D624" i="1"/>
  <c r="D745" i="1"/>
  <c r="D632" i="1"/>
  <c r="D664" i="1"/>
  <c r="D595" i="1"/>
  <c r="D773" i="1"/>
  <c r="D523" i="1"/>
  <c r="D563" i="1"/>
  <c r="D725" i="1"/>
  <c r="D587" i="1"/>
  <c r="D607" i="1"/>
  <c r="D637" i="1"/>
  <c r="D641" i="1"/>
  <c r="D521" i="1"/>
  <c r="D581" i="1"/>
  <c r="D618" i="1"/>
  <c r="D638" i="1"/>
  <c r="D639" i="1"/>
  <c r="D645" i="1"/>
  <c r="D591" i="1"/>
  <c r="D674" i="1"/>
  <c r="D672" i="1"/>
  <c r="D565" i="1"/>
  <c r="D677" i="1"/>
  <c r="D605" i="1"/>
  <c r="C667" i="1"/>
  <c r="C554" i="1"/>
  <c r="C747" i="1"/>
  <c r="C807" i="1"/>
  <c r="C715" i="1"/>
  <c r="C723" i="1"/>
  <c r="C753" i="1"/>
  <c r="C623" i="1"/>
  <c r="C708" i="1"/>
  <c r="C719" i="1"/>
  <c r="C692" i="1"/>
  <c r="C780" i="1"/>
  <c r="C619" i="1"/>
  <c r="C622" i="1"/>
  <c r="C579" i="1"/>
  <c r="C752" i="1"/>
  <c r="C758" i="1"/>
  <c r="C766" i="1"/>
  <c r="C732" i="1"/>
  <c r="C763" i="1"/>
  <c r="C643" i="1"/>
  <c r="C559" i="1"/>
  <c r="C576" i="1"/>
  <c r="C696" i="1"/>
  <c r="C631" i="1"/>
  <c r="C671" i="1"/>
  <c r="C737" i="1"/>
  <c r="C749" i="1"/>
  <c r="C656" i="1"/>
  <c r="C680" i="1"/>
  <c r="C648" i="1"/>
  <c r="C658" i="1"/>
  <c r="C727" i="1"/>
  <c r="C742" i="1"/>
  <c r="C588" i="1"/>
  <c r="C597" i="1"/>
  <c r="C839" i="1"/>
  <c r="C734" i="1"/>
  <c r="C592" i="1"/>
  <c r="C612" i="1"/>
  <c r="C684" i="1"/>
  <c r="C754" i="1"/>
  <c r="C561" i="1"/>
  <c r="C701" i="1"/>
  <c r="C650" i="1"/>
  <c r="C718" i="1"/>
  <c r="C647" i="1"/>
  <c r="C528" i="1"/>
  <c r="C544" i="1"/>
  <c r="C562" i="1"/>
  <c r="C699" i="1"/>
  <c r="C543" i="1"/>
  <c r="C661" i="1"/>
  <c r="C691" i="1"/>
  <c r="C712" i="1"/>
  <c r="C710" i="1"/>
  <c r="C541" i="1"/>
  <c r="C657" i="1"/>
  <c r="C688" i="1"/>
  <c r="C717" i="1"/>
  <c r="C552" i="1"/>
  <c r="C578" i="1"/>
  <c r="C609" i="1"/>
  <c r="C633" i="1"/>
  <c r="C662" i="1"/>
  <c r="C571" i="1"/>
  <c r="C603" i="1"/>
  <c r="C611" i="1"/>
  <c r="C649" i="1"/>
  <c r="C743" i="1"/>
  <c r="C775" i="1"/>
  <c r="C738" i="1"/>
  <c r="C617" i="1"/>
  <c r="C709" i="1"/>
  <c r="C584" i="1"/>
  <c r="C704" i="1"/>
  <c r="C630" i="1"/>
  <c r="C695" i="1"/>
  <c r="C777" i="1"/>
  <c r="C774" i="1"/>
  <c r="C700" i="1"/>
  <c r="C601" i="1"/>
  <c r="C711" i="1"/>
  <c r="C837" i="1"/>
  <c r="C519" i="1"/>
  <c r="C560" i="1"/>
  <c r="C740" i="1"/>
  <c r="C627" i="1"/>
  <c r="C635" i="1"/>
  <c r="C644" i="1"/>
  <c r="C746" i="1"/>
  <c r="C634" i="1"/>
  <c r="C621" i="1"/>
  <c r="C545" i="1"/>
  <c r="C514" i="1"/>
  <c r="C567" i="1"/>
  <c r="C751" i="1"/>
  <c r="C527" i="1"/>
  <c r="C693" i="1"/>
  <c r="C553" i="1"/>
  <c r="C616" i="1"/>
  <c r="C640" i="1"/>
  <c r="C624" i="1"/>
  <c r="C745" i="1"/>
  <c r="C632" i="1"/>
  <c r="C664" i="1"/>
  <c r="C595" i="1"/>
  <c r="C773" i="1"/>
  <c r="C523" i="1"/>
  <c r="C563" i="1"/>
  <c r="C725" i="1"/>
  <c r="C587" i="1"/>
  <c r="C607" i="1"/>
  <c r="C637" i="1"/>
  <c r="C641" i="1"/>
  <c r="C521" i="1"/>
  <c r="C581" i="1"/>
  <c r="C618" i="1"/>
  <c r="C638" i="1"/>
  <c r="C639" i="1"/>
  <c r="C645" i="1"/>
  <c r="C591" i="1"/>
  <c r="C674" i="1"/>
  <c r="C672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69" i="1"/>
  <c r="B674" i="1"/>
  <c r="B641" i="1"/>
  <c r="B595" i="1"/>
  <c r="D11" i="12"/>
  <c r="D13" i="12"/>
  <c r="B568" i="1"/>
  <c r="B755" i="1"/>
  <c r="B538" i="1"/>
  <c r="B646" i="1"/>
  <c r="B542" i="1"/>
  <c r="B565" i="1"/>
  <c r="B672" i="1"/>
  <c r="B521" i="1"/>
  <c r="B773" i="1"/>
  <c r="B3" i="1"/>
  <c r="B588" i="1"/>
  <c r="B726" i="1"/>
  <c r="B628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1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0" i="1"/>
  <c r="B759" i="1"/>
  <c r="B649" i="1"/>
  <c r="B592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3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2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1" i="1"/>
  <c r="B601" i="1"/>
  <c r="B684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78" i="1"/>
  <c r="B691" i="1"/>
  <c r="B718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4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84" i="1"/>
  <c r="B554" i="1"/>
  <c r="B516" i="1"/>
  <c r="B620" i="1"/>
  <c r="B548" i="1"/>
  <c r="B562" i="1"/>
  <c r="B177" i="10"/>
  <c r="B670" i="1"/>
  <c r="B655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1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4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746" i="1"/>
  <c r="B711" i="1"/>
  <c r="B704" i="1"/>
  <c r="B563" i="1"/>
  <c r="B801" i="1"/>
  <c r="B757" i="1"/>
  <c r="B36" i="10"/>
  <c r="B84" i="10"/>
  <c r="B132" i="10"/>
  <c r="B168" i="10"/>
  <c r="B208" i="10"/>
  <c r="B240" i="10"/>
  <c r="B671" i="1"/>
  <c r="B752" i="1"/>
  <c r="B740" i="1"/>
  <c r="B788" i="1"/>
  <c r="B645" i="1"/>
  <c r="B664" i="1"/>
  <c r="B527" i="1"/>
  <c r="B644" i="1"/>
  <c r="B611" i="1"/>
  <c r="B717" i="1"/>
  <c r="B581" i="1"/>
  <c r="B523" i="1"/>
  <c r="B625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67" i="1"/>
  <c r="B627" i="1"/>
  <c r="B709" i="1"/>
  <c r="B571" i="1"/>
  <c r="B657" i="1"/>
  <c r="B597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42" i="1"/>
  <c r="B58" i="1"/>
  <c r="B613" i="1"/>
  <c r="B705" i="1"/>
  <c r="B770" i="1"/>
  <c r="B534" i="1"/>
  <c r="B529" i="1"/>
  <c r="B707" i="1"/>
  <c r="B730" i="1"/>
  <c r="B729" i="1"/>
  <c r="B582" i="1"/>
  <c r="B57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3" i="1"/>
  <c r="B776" i="1"/>
  <c r="B769" i="1"/>
  <c r="B668" i="1"/>
  <c r="B733" i="1"/>
  <c r="B665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35" i="1"/>
  <c r="B603" i="1"/>
  <c r="B688" i="1"/>
  <c r="B699" i="1"/>
  <c r="B656" i="1"/>
  <c r="B643" i="1"/>
  <c r="B619" i="1"/>
  <c r="B689" i="1"/>
  <c r="B574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59" i="1"/>
  <c r="B630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09" i="1"/>
  <c r="B758" i="1"/>
  <c r="B708" i="1"/>
  <c r="B667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36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0" i="1"/>
  <c r="B545" i="1"/>
  <c r="B560" i="1"/>
  <c r="B738" i="1"/>
  <c r="B633" i="1"/>
  <c r="B710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0" i="1"/>
  <c r="B802" i="1"/>
  <c r="B786" i="1"/>
  <c r="B48" i="10"/>
  <c r="B104" i="10"/>
  <c r="B120" i="10"/>
  <c r="B188" i="10"/>
  <c r="B204" i="10"/>
  <c r="B591" i="1"/>
  <c r="B762" i="1"/>
  <c r="B594" i="1"/>
  <c r="B797" i="1"/>
  <c r="B552" i="1"/>
  <c r="B661" i="1"/>
  <c r="B587" i="1"/>
  <c r="B528" i="1"/>
  <c r="B658" i="1"/>
  <c r="B731" i="1"/>
  <c r="B577" i="1"/>
  <c r="B720" i="1"/>
  <c r="B725" i="1"/>
  <c r="B712" i="1"/>
  <c r="B605" i="1"/>
  <c r="B839" i="1"/>
  <c r="B579" i="1"/>
  <c r="B753" i="1"/>
  <c r="B695" i="1"/>
  <c r="B622" i="1"/>
  <c r="B723" i="1"/>
  <c r="B792" i="1"/>
  <c r="B820" i="1"/>
  <c r="B784" i="1"/>
  <c r="B547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0" i="1"/>
  <c r="B3" i="10"/>
  <c r="B12" i="10"/>
  <c r="B510" i="1"/>
  <c r="B256" i="1"/>
  <c r="B140" i="1"/>
  <c r="B481" i="1"/>
  <c r="B526" i="1"/>
  <c r="B690" i="1"/>
  <c r="B514" i="1"/>
  <c r="B541" i="1"/>
  <c r="B807" i="1"/>
  <c r="B765" i="1"/>
  <c r="B681" i="1"/>
  <c r="B821" i="1"/>
  <c r="B629" i="1"/>
  <c r="B262" i="1"/>
  <c r="B8" i="1"/>
  <c r="B359" i="1"/>
  <c r="B202" i="1"/>
  <c r="B295" i="1"/>
  <c r="B307" i="1"/>
  <c r="B69" i="1"/>
  <c r="B735" i="1"/>
  <c r="B761" i="1"/>
  <c r="B678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6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73" i="1"/>
  <c r="B808" i="1"/>
  <c r="B606" i="1"/>
  <c r="B586" i="1"/>
  <c r="B659" i="1"/>
  <c r="B599" i="1"/>
  <c r="B845" i="1"/>
  <c r="B843" i="1"/>
  <c r="B583" i="1"/>
  <c r="B687" i="1"/>
  <c r="B540" i="1"/>
  <c r="B551" i="1"/>
  <c r="B686" i="1"/>
  <c r="B564" i="1"/>
  <c r="B593" i="1"/>
  <c r="B537" i="1"/>
  <c r="B555" i="1"/>
  <c r="B744" i="1"/>
  <c r="B546" i="1"/>
  <c r="B666" i="1"/>
  <c r="B722" i="1"/>
  <c r="B764" i="1"/>
  <c r="B836" i="1"/>
  <c r="B80" i="10"/>
  <c r="B88" i="10"/>
  <c r="B376" i="1"/>
  <c r="B139" i="1"/>
  <c r="B115" i="1"/>
  <c r="B452" i="1"/>
  <c r="B685" i="1"/>
  <c r="B608" i="1"/>
  <c r="B531" i="1"/>
  <c r="B518" i="1"/>
  <c r="B660" i="1"/>
  <c r="B522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<sst xmlns="http://schemas.openxmlformats.org/spreadsheetml/2006/main" count="7426" uniqueCount="3583">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</sst>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22:Y746">
    <sortCondition ref="B1:B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24" activePane="bottomLeft" state="frozen"/>
      <selection activeCell="F1" sqref="F1"/>
      <selection pane="bottomLeft" activeCell="X859" sqref="X859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11213</v>
      </c>
      <c r="B522" t="str">
        <f>_xlfn.CONCAT(bron[[#This Row],[personeelsnr]]," ",bron[[#This Row],[achternaam]]," ",bron[[#This Row],[voornaam]])</f>
        <v>11213 De Plus Gunter</v>
      </c>
      <c r="C522" t="str">
        <f>VLOOKUP(bron[[#This Row],[personeelsnr]],'data hastus'!$A:$C,2,0)</f>
        <v>De Plus</v>
      </c>
      <c r="D522" t="str">
        <f>VLOOKUP(bron[[#This Row],[personeelsnr]],'data hastus'!$A:$C,3,0)</f>
        <v>Gunter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M522" s="5">
        <v>1</v>
      </c>
      <c r="S522" s="5">
        <f>SUM(bron[[#This Row],[Januari]:[December]])</f>
        <v>1</v>
      </c>
      <c r="T522" s="9">
        <v>45862</v>
      </c>
      <c r="U522" s="8" t="s">
        <v>1256</v>
      </c>
      <c r="V522" s="24"/>
      <c r="W522" s="24">
        <v>1</v>
      </c>
      <c r="X522" t="s">
        <v>3581</v>
      </c>
      <c r="Y522" t="s">
        <v>233</v>
      </c>
    </row>
    <row r="523" spans="1:25" hidden="1" x14ac:dyDescent="0.3">
      <c r="A523">
        <v>12514</v>
      </c>
      <c r="B523" t="str">
        <f>_xlfn.CONCAT(bron[[#This Row],[personeelsnr]]," ",bron[[#This Row],[achternaam]]," ",bron[[#This Row],[voornaam]])</f>
        <v>12514 De Smet Kenneth</v>
      </c>
      <c r="C523" t="str">
        <f>VLOOKUP(bron[[#This Row],[personeelsnr]],'data hastus'!$A:$C,2,0)</f>
        <v>De Smet</v>
      </c>
      <c r="D523" t="str">
        <f>VLOOKUP(bron[[#This Row],[personeelsnr]],'data hastus'!$A:$C,3,0)</f>
        <v>Kenneth</v>
      </c>
      <c r="E523" t="str">
        <f>VLOOKUP(bron[[#This Row],[personeelsnr]],'data hastus'!A:K,11,FALSE)</f>
        <v>Lucie Vande Velde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45691</v>
      </c>
      <c r="U523" s="8" t="s">
        <v>1042</v>
      </c>
      <c r="V523" s="8"/>
      <c r="W523" s="8">
        <v>1</v>
      </c>
      <c r="X523" t="s">
        <v>3581</v>
      </c>
      <c r="Y523" t="s">
        <v>147</v>
      </c>
    </row>
    <row r="524" spans="1:25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13398</v>
      </c>
      <c r="B527" t="str">
        <f>_xlfn.CONCAT(bron[[#This Row],[personeelsnr]]," ",bron[[#This Row],[achternaam]]," ",bron[[#This Row],[voornaam]])</f>
        <v>13398 Kirdas Ramazan</v>
      </c>
      <c r="C527" t="str">
        <f>VLOOKUP(bron[[#This Row],[personeelsnr]],'data hastus'!$A:$C,2,0)</f>
        <v>Kirdas</v>
      </c>
      <c r="D527" t="str">
        <f>VLOOKUP(bron[[#This Row],[personeelsnr]],'data hastus'!$A:$C,3,0)</f>
        <v>Ramazan</v>
      </c>
      <c r="E527" t="str">
        <f>VLOOKUP(bron[[#This Row],[personeelsnr]],'data hastus'!A:K,11,FALSE)</f>
        <v>Dominique De Clercq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45681</v>
      </c>
      <c r="U527" s="8" t="s">
        <v>1029</v>
      </c>
      <c r="V527" s="8"/>
      <c r="W527" s="8">
        <v>1</v>
      </c>
      <c r="X527" t="s">
        <v>3581</v>
      </c>
      <c r="Y527" t="s">
        <v>129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15282</v>
      </c>
      <c r="B530" t="str">
        <f>_xlfn.CONCAT(bron[[#This Row],[personeelsnr]]," ",bron[[#This Row],[achternaam]]," ",bron[[#This Row],[voornaam]])</f>
        <v>15282 Marinx Kristoff</v>
      </c>
      <c r="C530" t="str">
        <f>VLOOKUP(bron[[#This Row],[personeelsnr]],'data hastus'!$A:$C,2,0)</f>
        <v>Marinx</v>
      </c>
      <c r="D530" t="str">
        <f>VLOOKUP(bron[[#This Row],[personeelsnr]],'data hastus'!$A:$C,3,0)</f>
        <v>Kristoff</v>
      </c>
      <c r="E530" t="str">
        <f>VLOOKUP(bron[[#This Row],[personeelsnr]],'data hastus'!A:K,11,FALSE)</f>
        <v>Kenneth De Rick</v>
      </c>
      <c r="F530" s="10"/>
      <c r="G530" s="7"/>
      <c r="H530" s="7"/>
      <c r="I530" s="7"/>
      <c r="K530" s="5">
        <v>1</v>
      </c>
      <c r="S530" s="5">
        <f>SUM(bron[[#This Row],[Januari]:[December]])</f>
        <v>1</v>
      </c>
      <c r="T530" s="9">
        <v>45803</v>
      </c>
      <c r="U530" s="8" t="s">
        <v>1185</v>
      </c>
      <c r="V530" s="8"/>
      <c r="W530" s="8">
        <v>1</v>
      </c>
      <c r="X530" t="s">
        <v>3581</v>
      </c>
      <c r="Y530" t="s">
        <v>129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16895</v>
      </c>
      <c r="B534" t="str">
        <f>_xlfn.CONCAT(bron[[#This Row],[personeelsnr]]," ",bron[[#This Row],[achternaam]]," ",bron[[#This Row],[voornaam]])</f>
        <v>16895 Van Lauwe Freddy</v>
      </c>
      <c r="C534" t="str">
        <f>VLOOKUP(bron[[#This Row],[personeelsnr]],'data hastus'!$A:$C,2,0)</f>
        <v>Van Lauwe</v>
      </c>
      <c r="D534" t="str">
        <f>VLOOKUP(bron[[#This Row],[personeelsnr]],'data hastus'!$A:$C,3,0)</f>
        <v>Freddy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N534" s="5">
        <v>1</v>
      </c>
      <c r="S534" s="5">
        <f>SUM(bron[[#This Row],[Januari]:[December]])</f>
        <v>1</v>
      </c>
      <c r="T534" s="9">
        <v>45897</v>
      </c>
      <c r="U534" s="5" t="s">
        <v>1286</v>
      </c>
      <c r="V534" s="24">
        <v>1</v>
      </c>
      <c r="W534" s="24"/>
      <c r="X534" t="s">
        <v>3581</v>
      </c>
      <c r="Y534" t="s">
        <v>199</v>
      </c>
    </row>
    <row r="535" spans="1:25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16895</v>
      </c>
      <c r="B538" t="str">
        <f>_xlfn.CONCAT(bron[[#This Row],[personeelsnr]]," ",bron[[#This Row],[achternaam]]," ",bron[[#This Row],[voornaam]])</f>
        <v>16895 Van Lauwe Freddy</v>
      </c>
      <c r="C538" t="str">
        <f>VLOOKUP(bron[[#This Row],[personeelsnr]],'data hastus'!$A:$C,2,0)</f>
        <v>Van Lauwe</v>
      </c>
      <c r="D538" t="str">
        <f>VLOOKUP(bron[[#This Row],[personeelsnr]],'data hastus'!$A:$C,3,0)</f>
        <v>Freddy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45909</v>
      </c>
      <c r="U538" s="5" t="s">
        <v>3539</v>
      </c>
      <c r="V538" s="24"/>
      <c r="W538" s="24">
        <v>1</v>
      </c>
      <c r="X538" t="s">
        <v>3581</v>
      </c>
      <c r="Y538" t="s">
        <v>75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S542" s="5">
        <f>SUM(bron[[#This Row],[Januari]:[December]])</f>
        <v>0</v>
      </c>
      <c r="T542" s="9">
        <v>45910</v>
      </c>
      <c r="U542" s="24" t="s">
        <v>3541</v>
      </c>
      <c r="V542" s="24"/>
      <c r="W542" s="24">
        <v>1</v>
      </c>
      <c r="X542" t="s">
        <v>3582</v>
      </c>
      <c r="Y542" t="s">
        <v>3542</v>
      </c>
    </row>
    <row r="543" spans="1:25" hidden="1" x14ac:dyDescent="0.3">
      <c r="A543">
        <v>16897</v>
      </c>
      <c r="B543" t="str">
        <f>_xlfn.CONCAT(bron[[#This Row],[personeelsnr]]," ",bron[[#This Row],[achternaam]]," ",bron[[#This Row],[voornaam]])</f>
        <v>16897 VandenDaele Andy</v>
      </c>
      <c r="C543" t="str">
        <f>VLOOKUP(bron[[#This Row],[personeelsnr]],'data hastus'!$A:$C,2,0)</f>
        <v>VandenDaele</v>
      </c>
      <c r="D543" t="str">
        <f>VLOOKUP(bron[[#This Row],[personeelsnr]],'data hastus'!$A:$C,3,0)</f>
        <v>Andy</v>
      </c>
      <c r="E543" t="str">
        <f>VLOOKUP(bron[[#This Row],[personeelsnr]],'data hastus'!A:K,11,FALSE)</f>
        <v>Steven Storm</v>
      </c>
      <c r="F543" s="10"/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45722</v>
      </c>
      <c r="U543" s="8" t="s">
        <v>1095</v>
      </c>
      <c r="V543" s="8"/>
      <c r="W543" s="8">
        <v>1</v>
      </c>
      <c r="X543" t="s">
        <v>3581</v>
      </c>
      <c r="Y543" t="s">
        <v>72</v>
      </c>
    </row>
    <row r="544" spans="1:25" hidden="1" x14ac:dyDescent="0.3">
      <c r="A544">
        <v>17566</v>
      </c>
      <c r="B544" t="str">
        <f>_xlfn.CONCAT(bron[[#This Row],[personeelsnr]]," ",bron[[#This Row],[achternaam]]," ",bron[[#This Row],[voornaam]])</f>
        <v>17566 Praet Reginald</v>
      </c>
      <c r="C544" t="str">
        <f>VLOOKUP(bron[[#This Row],[personeelsnr]],'data hastus'!$A:$C,2,0)</f>
        <v>Praet</v>
      </c>
      <c r="D544" t="str">
        <f>VLOOKUP(bron[[#This Row],[personeelsnr]],'data hastus'!$A:$C,3,0)</f>
        <v>Reginald</v>
      </c>
      <c r="E544" t="str">
        <f>VLOOKUP(bron[[#This Row],[personeelsnr]],'data hastus'!A:K,11,FALSE)</f>
        <v>Bart Van Der Beken</v>
      </c>
      <c r="F544" s="10"/>
      <c r="G544" s="6"/>
      <c r="H544" s="6"/>
      <c r="I544" s="6"/>
      <c r="J544">
        <v>1</v>
      </c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45749</v>
      </c>
      <c r="U544" s="8" t="s">
        <v>1122</v>
      </c>
      <c r="V544" s="8"/>
      <c r="W544" s="8">
        <v>1</v>
      </c>
      <c r="X544" t="s">
        <v>3581</v>
      </c>
      <c r="Y544" t="s">
        <v>31</v>
      </c>
    </row>
    <row r="545" spans="1:25" hidden="1" x14ac:dyDescent="0.3">
      <c r="A545">
        <v>17951</v>
      </c>
      <c r="B545" t="str">
        <f>_xlfn.CONCAT(bron[[#This Row],[personeelsnr]]," ",bron[[#This Row],[achternaam]]," ",bron[[#This Row],[voornaam]])</f>
        <v>17951 Lega Claude</v>
      </c>
      <c r="C545" t="str">
        <f>VLOOKUP(bron[[#This Row],[personeelsnr]],'data hastus'!$A:$C,2,0)</f>
        <v>Lega</v>
      </c>
      <c r="D545" t="str">
        <f>VLOOKUP(bron[[#This Row],[personeelsnr]],'data hastus'!$A:$C,3,0)</f>
        <v>Claude</v>
      </c>
      <c r="E545" t="str">
        <f>VLOOKUP(bron[[#This Row],[personeelsnr]],'data hastus'!A:K,11,FALSE)</f>
        <v>Bart Van Der Beken</v>
      </c>
      <c r="F545" s="10"/>
      <c r="G545" s="6"/>
      <c r="H545" s="6">
        <v>1</v>
      </c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45694</v>
      </c>
      <c r="U545" s="8" t="s">
        <v>1048</v>
      </c>
      <c r="V545" s="8"/>
      <c r="W545" s="8">
        <v>1</v>
      </c>
      <c r="X545" t="s">
        <v>3581</v>
      </c>
      <c r="Y545" t="s">
        <v>121</v>
      </c>
    </row>
    <row r="546" spans="1:25" hidden="1" x14ac:dyDescent="0.3">
      <c r="A546">
        <v>18987</v>
      </c>
      <c r="B546" t="str">
        <f>_xlfn.CONCAT(bron[[#This Row],[personeelsnr]]," ",bron[[#This Row],[achternaam]]," ",bron[[#This Row],[voornaam]])</f>
        <v>18987 De Geyter Dolly</v>
      </c>
      <c r="C546" t="str">
        <f>VLOOKUP(bron[[#This Row],[personeelsnr]],'data hastus'!$A:$C,2,0)</f>
        <v>De Geyter</v>
      </c>
      <c r="D546" t="str">
        <f>VLOOKUP(bron[[#This Row],[personeelsnr]],'data hastus'!$A:$C,3,0)</f>
        <v>Dolly</v>
      </c>
      <c r="E546" t="str">
        <f>VLOOKUP(bron[[#This Row],[personeelsnr]],'data hastus'!A:K,11,FALSE)</f>
        <v>Steven Storm</v>
      </c>
      <c r="F546" s="10"/>
      <c r="G546" s="7"/>
      <c r="H546" s="7"/>
      <c r="I546" s="7"/>
      <c r="M546" s="5">
        <v>1</v>
      </c>
      <c r="S546" s="5">
        <f>SUM(bron[[#This Row],[Januari]:[December]])</f>
        <v>1</v>
      </c>
      <c r="T546" s="9">
        <v>45846</v>
      </c>
      <c r="U546" s="8" t="s">
        <v>1235</v>
      </c>
      <c r="V546" s="24"/>
      <c r="W546" s="24">
        <v>1</v>
      </c>
      <c r="X546" t="s">
        <v>3581</v>
      </c>
      <c r="Y546" t="s">
        <v>104</v>
      </c>
    </row>
    <row r="547" spans="1:25" hidden="1" x14ac:dyDescent="0.3">
      <c r="A547">
        <v>19249</v>
      </c>
      <c r="B547" t="str">
        <f>_xlfn.CONCAT(bron[[#This Row],[personeelsnr]]," ",bron[[#This Row],[achternaam]]," ",bron[[#This Row],[voornaam]])</f>
        <v>19249 Odaci Kadir</v>
      </c>
      <c r="C547" t="str">
        <f>VLOOKUP(bron[[#This Row],[personeelsnr]],'data hastus'!$A:$C,2,0)</f>
        <v>Odaci</v>
      </c>
      <c r="D547" t="str">
        <f>VLOOKUP(bron[[#This Row],[personeelsnr]],'data hastus'!$A:$C,3,0)</f>
        <v>Kadir</v>
      </c>
      <c r="E547" t="str">
        <f>VLOOKUP(bron[[#This Row],[personeelsnr]],'data hastus'!A:K,11,FALSE)</f>
        <v>Lucie Vande Velde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45686</v>
      </c>
      <c r="U547" s="8" t="s">
        <v>1034</v>
      </c>
      <c r="V547" s="8"/>
      <c r="W547" s="8">
        <v>1</v>
      </c>
      <c r="X547" t="s">
        <v>3581</v>
      </c>
      <c r="Y547" t="s">
        <v>75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hidden="1" x14ac:dyDescent="0.3">
      <c r="A551">
        <v>21509</v>
      </c>
      <c r="B551" t="str">
        <f>_xlfn.CONCAT(bron[[#This Row],[personeelsnr]]," ",bron[[#This Row],[achternaam]]," ",bron[[#This Row],[voornaam]])</f>
        <v>21509 De Craemer Kris</v>
      </c>
      <c r="C551" t="str">
        <f>VLOOKUP(bron[[#This Row],[personeelsnr]],'data hastus'!$A:$C,2,0)</f>
        <v>De Craemer</v>
      </c>
      <c r="D551" t="str">
        <f>VLOOKUP(bron[[#This Row],[personeelsnr]],'data hastus'!$A:$C,3,0)</f>
        <v>Kris</v>
      </c>
      <c r="E551" t="str">
        <f>VLOOKUP(bron[[#This Row],[personeelsnr]],'data hastus'!A:K,11,FALSE)</f>
        <v>Dominique De Clercq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45839</v>
      </c>
      <c r="U551" s="8" t="s">
        <v>1221</v>
      </c>
      <c r="V551" s="24"/>
      <c r="W551" s="24">
        <v>1</v>
      </c>
      <c r="X551" t="s">
        <v>3581</v>
      </c>
      <c r="Y551" t="s">
        <v>69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21582</v>
      </c>
      <c r="B559" t="str">
        <f>_xlfn.CONCAT(bron[[#This Row],[personeelsnr]]," ",bron[[#This Row],[achternaam]]," ",bron[[#This Row],[voornaam]])</f>
        <v>21582 De Grom Patrick</v>
      </c>
      <c r="C559" t="str">
        <f>VLOOKUP(bron[[#This Row],[personeelsnr]],'data hastus'!$A:$C,2,0)</f>
        <v>De Grom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/>
      <c r="H559" s="6"/>
      <c r="I559" s="6"/>
      <c r="J559">
        <v>1</v>
      </c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45765</v>
      </c>
      <c r="U559" s="8" t="s">
        <v>1143</v>
      </c>
      <c r="V559" s="8"/>
      <c r="W559" s="8">
        <v>1</v>
      </c>
      <c r="X559" t="s">
        <v>3581</v>
      </c>
      <c r="Y559" t="s">
        <v>10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22240</v>
      </c>
      <c r="B561" t="str">
        <f>_xlfn.CONCAT(bron[[#This Row],[personeelsnr]]," ",bron[[#This Row],[achternaam]]," ",bron[[#This Row],[voornaam]])</f>
        <v>22240 Delahaye Karina</v>
      </c>
      <c r="C561" t="str">
        <f>VLOOKUP(bron[[#This Row],[personeelsnr]],'data hastus'!$A:$C,2,0)</f>
        <v>Delahaye</v>
      </c>
      <c r="D561" t="str">
        <f>VLOOKUP(bron[[#This Row],[personeelsnr]],'data hastus'!$A:$C,3,0)</f>
        <v>Karina</v>
      </c>
      <c r="E561" t="str">
        <f>VLOOKUP(bron[[#This Row],[personeelsnr]],'data hastus'!A:K,11,FALSE)</f>
        <v>Els Dewulf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45674</v>
      </c>
      <c r="U561" s="8" t="s">
        <v>1020</v>
      </c>
      <c r="V561" s="8"/>
      <c r="W561" s="8">
        <v>1</v>
      </c>
      <c r="X561" t="s">
        <v>3582</v>
      </c>
      <c r="Y561" t="s">
        <v>187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22416</v>
      </c>
      <c r="B564" t="str">
        <f>_xlfn.CONCAT(bron[[#This Row],[personeelsnr]]," ",bron[[#This Row],[achternaam]]," ",bron[[#This Row],[voornaam]])</f>
        <v>22416 Bicici Abdul Kadir</v>
      </c>
      <c r="C564" t="str">
        <f>VLOOKUP(bron[[#This Row],[personeelsnr]],'data hastus'!$A:$C,2,0)</f>
        <v>Bicici</v>
      </c>
      <c r="D564" t="str">
        <f>VLOOKUP(bron[[#This Row],[personeelsnr]],'data hastus'!$A:$C,3,0)</f>
        <v>Abdul Kadir</v>
      </c>
      <c r="E564" t="str">
        <f>VLOOKUP(bron[[#This Row],[personeelsnr]],'data hastus'!A:K,11,FALSE)</f>
        <v>Christoff Rotty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45843</v>
      </c>
      <c r="U564" s="8" t="s">
        <v>1228</v>
      </c>
      <c r="V564" s="24"/>
      <c r="W564" s="24">
        <v>1</v>
      </c>
      <c r="X564" t="s">
        <v>3582</v>
      </c>
      <c r="Y564" t="s">
        <v>231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24155</v>
      </c>
      <c r="B567" t="str">
        <f>_xlfn.CONCAT(bron[[#This Row],[personeelsnr]]," ",bron[[#This Row],[achternaam]]," ",bron[[#This Row],[voornaam]])</f>
        <v>24155 Luttens Koen</v>
      </c>
      <c r="C567" t="str">
        <f>VLOOKUP(bron[[#This Row],[personeelsnr]],'data hastus'!$A:$C,2,0)</f>
        <v>Luttens</v>
      </c>
      <c r="D567" t="str">
        <f>VLOOKUP(bron[[#This Row],[personeelsnr]],'data hastus'!$A:$C,3,0)</f>
        <v>Koen</v>
      </c>
      <c r="E567" t="str">
        <f>VLOOKUP(bron[[#This Row],[personeelsnr]],'data hastus'!A:K,11,FALSE)</f>
        <v>Els Vanhoe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45776</v>
      </c>
      <c r="U567" s="8" t="s">
        <v>1158</v>
      </c>
      <c r="V567" s="8"/>
      <c r="W567" s="8">
        <v>1</v>
      </c>
      <c r="X567" t="s">
        <v>3582</v>
      </c>
      <c r="Y567" t="s">
        <v>223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24367</v>
      </c>
      <c r="B569" t="str">
        <f>_xlfn.CONCAT(bron[[#This Row],[personeelsnr]]," ",bron[[#This Row],[achternaam]]," ",bron[[#This Row],[voornaam]])</f>
        <v>24367 Tayefeh Arbab Ali</v>
      </c>
      <c r="C569" t="str">
        <f>VLOOKUP(bron[[#This Row],[personeelsnr]],'data hastus'!$A:$C,2,0)</f>
        <v>Tayefeh Arbab</v>
      </c>
      <c r="D569" t="str">
        <f>VLOOKUP(bron[[#This Row],[personeelsnr]],'data hastus'!$A:$C,3,0)</f>
        <v>Ali</v>
      </c>
      <c r="E569" t="str">
        <f>VLOOKUP(bron[[#This Row],[personeelsnr]],'data hastus'!A:K,11,FALSE)</f>
        <v>Bart Van Der Beken</v>
      </c>
      <c r="F569" s="10"/>
      <c r="G569" s="7"/>
      <c r="H569" s="7"/>
      <c r="I569" s="7"/>
      <c r="O569" s="5">
        <v>1</v>
      </c>
      <c r="S569" s="5">
        <f>SUM(bron[[#This Row],[Januari]:[December]])</f>
        <v>1</v>
      </c>
      <c r="T569" s="9">
        <v>45903</v>
      </c>
      <c r="U569" s="5" t="s">
        <v>3543</v>
      </c>
      <c r="V569" s="24"/>
      <c r="W569" s="24">
        <v>1</v>
      </c>
      <c r="X569" t="s">
        <v>3581</v>
      </c>
      <c r="Y569" t="s">
        <v>3544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25487</v>
      </c>
      <c r="B574" t="str">
        <f>_xlfn.CONCAT(bron[[#This Row],[personeelsnr]]," ",bron[[#This Row],[achternaam]]," ",bron[[#This Row],[voornaam]])</f>
        <v>25487 Devos Stefaan</v>
      </c>
      <c r="C574" t="str">
        <f>VLOOKUP(bron[[#This Row],[personeelsnr]],'data hastus'!$A:$C,2,0)</f>
        <v>Devos</v>
      </c>
      <c r="D574" t="str">
        <f>VLOOKUP(bron[[#This Row],[personeelsnr]],'data hastus'!$A:$C,3,0)</f>
        <v>Stefaan</v>
      </c>
      <c r="E574" t="str">
        <f>VLOOKUP(bron[[#This Row],[personeelsnr]],'data hastus'!A:K,11,FALSE)</f>
        <v>Steven Storm</v>
      </c>
      <c r="F574" s="10"/>
      <c r="G574" s="6"/>
      <c r="H574" s="6"/>
      <c r="I574" s="6">
        <v>1</v>
      </c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45725</v>
      </c>
      <c r="U574" s="8" t="s">
        <v>1098</v>
      </c>
      <c r="V574" s="8"/>
      <c r="W574" s="8">
        <v>1</v>
      </c>
      <c r="X574" t="s">
        <v>3581</v>
      </c>
      <c r="Y574" t="s">
        <v>137</v>
      </c>
    </row>
    <row r="575" spans="1:25" hidden="1" x14ac:dyDescent="0.3">
      <c r="A575">
        <v>25487</v>
      </c>
      <c r="B575" t="str">
        <f>_xlfn.CONCAT(bron[[#This Row],[personeelsnr]]," ",bron[[#This Row],[achternaam]]," ",bron[[#This Row],[voornaam]])</f>
        <v>25487 Devos Stefaan</v>
      </c>
      <c r="C575" t="str">
        <f>VLOOKUP(bron[[#This Row],[personeelsnr]],'data hastus'!$A:$C,2,0)</f>
        <v>Devos</v>
      </c>
      <c r="D575" t="str">
        <f>VLOOKUP(bron[[#This Row],[personeelsnr]],'data hastus'!$A:$C,3,0)</f>
        <v>Stefaan</v>
      </c>
      <c r="E575" t="str">
        <f>VLOOKUP(bron[[#This Row],[personeelsnr]],'data hastus'!A:K,11,FALSE)</f>
        <v>Steven Storm</v>
      </c>
      <c r="F575" s="10"/>
      <c r="G575" s="7"/>
      <c r="H575" s="7"/>
      <c r="I575" s="7"/>
      <c r="N575" s="5">
        <v>1</v>
      </c>
      <c r="S575" s="5">
        <f>SUM(bron[[#This Row],[Januari]:[December]])</f>
        <v>1</v>
      </c>
      <c r="T575" s="9">
        <v>45887</v>
      </c>
      <c r="U575" s="5" t="s">
        <v>1276</v>
      </c>
      <c r="V575" s="24"/>
      <c r="W575" s="24">
        <v>1</v>
      </c>
      <c r="X575" t="s">
        <v>3581</v>
      </c>
      <c r="Y575" t="s">
        <v>235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/>
      <c r="I577" s="6"/>
      <c r="J577">
        <v>1</v>
      </c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45756</v>
      </c>
      <c r="U577" s="8" t="s">
        <v>1132</v>
      </c>
      <c r="V577" s="8"/>
      <c r="W577" s="8">
        <v>1</v>
      </c>
      <c r="X577" t="s">
        <v>3581</v>
      </c>
      <c r="Y577" t="s">
        <v>5</v>
      </c>
    </row>
    <row r="578" spans="1:25" hidden="1" x14ac:dyDescent="0.3">
      <c r="A578">
        <v>25733</v>
      </c>
      <c r="B578" t="str">
        <f>_xlfn.CONCAT(bron[[#This Row],[personeelsnr]]," ",bron[[#This Row],[achternaam]]," ",bron[[#This Row],[voornaam]])</f>
        <v>25733 Simsek Abdullah</v>
      </c>
      <c r="C578" t="str">
        <f>VLOOKUP(bron[[#This Row],[personeelsnr]],'data hastus'!$A:$C,2,0)</f>
        <v>Simsek</v>
      </c>
      <c r="D578" t="str">
        <f>VLOOKUP(bron[[#This Row],[personeelsnr]],'data hastus'!$A:$C,3,0)</f>
        <v>Abdullah</v>
      </c>
      <c r="E578" t="str">
        <f>VLOOKUP(bron[[#This Row],[personeelsnr]],'data hastus'!A:K,11,FALSE)</f>
        <v>Els Vanhoe</v>
      </c>
      <c r="F578" s="10"/>
      <c r="G578" s="6"/>
      <c r="H578" s="6"/>
      <c r="I578" s="6"/>
      <c r="J578">
        <v>1</v>
      </c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45759</v>
      </c>
      <c r="U578" s="8" t="s">
        <v>1136</v>
      </c>
      <c r="V578" s="8"/>
      <c r="W578" s="8">
        <v>1</v>
      </c>
      <c r="X578" t="s">
        <v>3581</v>
      </c>
      <c r="Y578" t="s">
        <v>133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26137</v>
      </c>
      <c r="B580" t="str">
        <f>_xlfn.CONCAT(bron[[#This Row],[personeelsnr]]," ",bron[[#This Row],[achternaam]]," ",bron[[#This Row],[voornaam]])</f>
        <v>26137 Hublau Roland</v>
      </c>
      <c r="C580" t="str">
        <f>VLOOKUP(bron[[#This Row],[personeelsnr]],'data hastus'!$A:$C,2,0)</f>
        <v>Hublau</v>
      </c>
      <c r="D580" t="str">
        <f>VLOOKUP(bron[[#This Row],[personeelsnr]],'data hastus'!$A:$C,3,0)</f>
        <v>Roland</v>
      </c>
      <c r="E580" t="str">
        <f>VLOOKUP(bron[[#This Row],[personeelsnr]],'data hastus'!A:K,11,FALSE)</f>
        <v>Steven Storm</v>
      </c>
      <c r="F580" s="10"/>
      <c r="G580" s="7"/>
      <c r="H580" s="7"/>
      <c r="I580" s="7">
        <v>1</v>
      </c>
      <c r="S580" s="5">
        <f>SUM(bron[[#This Row],[Januari]:[December]])</f>
        <v>1</v>
      </c>
      <c r="T580" s="9">
        <v>45719</v>
      </c>
      <c r="U580" s="8" t="s">
        <v>1087</v>
      </c>
      <c r="V580" s="8"/>
      <c r="W580" s="8">
        <v>1</v>
      </c>
      <c r="X580" t="s">
        <v>3582</v>
      </c>
      <c r="Y580" t="s">
        <v>10</v>
      </c>
    </row>
    <row r="581" spans="1:25" hidden="1" x14ac:dyDescent="0.3">
      <c r="A581">
        <v>26199</v>
      </c>
      <c r="B581" t="str">
        <f>_xlfn.CONCAT(bron[[#This Row],[personeelsnr]]," ",bron[[#This Row],[achternaam]]," ",bron[[#This Row],[voornaam]])</f>
        <v>26199 Wauters Franky</v>
      </c>
      <c r="C581" t="str">
        <f>VLOOKUP(bron[[#This Row],[personeelsnr]],'data hastus'!$A:$C,2,0)</f>
        <v>Wauters</v>
      </c>
      <c r="D581" t="str">
        <f>VLOOKUP(bron[[#This Row],[personeelsnr]],'data hastus'!$A:$C,3,0)</f>
        <v>Franky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45703</v>
      </c>
      <c r="U581" s="8" t="s">
        <v>1062</v>
      </c>
      <c r="V581" s="8"/>
      <c r="W581" s="8">
        <v>1</v>
      </c>
      <c r="X581" t="s">
        <v>3582</v>
      </c>
      <c r="Y581" t="s">
        <v>163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26847</v>
      </c>
      <c r="B583" t="str">
        <f>_xlfn.CONCAT(bron[[#This Row],[personeelsnr]]," ",bron[[#This Row],[achternaam]]," ",bron[[#This Row],[voornaam]])</f>
        <v>26847 De Meester David</v>
      </c>
      <c r="C583" t="str">
        <f>VLOOKUP(bron[[#This Row],[personeelsnr]],'data hastus'!$A:$C,2,0)</f>
        <v>De Meester</v>
      </c>
      <c r="D583" t="str">
        <f>VLOOKUP(bron[[#This Row],[personeelsnr]],'data hastus'!$A:$C,3,0)</f>
        <v>David</v>
      </c>
      <c r="E583" t="str">
        <f>VLOOKUP(bron[[#This Row],[personeelsnr]],'data hastus'!A:K,11,FALSE)</f>
        <v>Bart Van Der Beken</v>
      </c>
      <c r="F583" s="10"/>
      <c r="G583" s="7"/>
      <c r="H583" s="7"/>
      <c r="I583" s="7"/>
      <c r="L583" s="5">
        <v>1</v>
      </c>
      <c r="S583" s="5">
        <f>SUM(bron[[#This Row],[Januari]:[December]])</f>
        <v>1</v>
      </c>
      <c r="T583" s="9">
        <v>45828</v>
      </c>
      <c r="U583" s="8" t="s">
        <v>1207</v>
      </c>
      <c r="V583" s="24"/>
      <c r="W583" s="24">
        <v>1</v>
      </c>
      <c r="X583" t="s">
        <v>3581</v>
      </c>
      <c r="Y583" t="s">
        <v>10</v>
      </c>
    </row>
    <row r="584" spans="1:25" hidden="1" x14ac:dyDescent="0.3">
      <c r="A584">
        <v>27672</v>
      </c>
      <c r="B584" t="str">
        <f>_xlfn.CONCAT(bron[[#This Row],[personeelsnr]]," ",bron[[#This Row],[achternaam]]," ",bron[[#This Row],[voornaam]])</f>
        <v>27672 Criel Veronique</v>
      </c>
      <c r="C584" t="str">
        <f>VLOOKUP(bron[[#This Row],[personeelsnr]],'data hastus'!$A:$C,2,0)</f>
        <v>Criel</v>
      </c>
      <c r="D584" t="str">
        <f>VLOOKUP(bron[[#This Row],[personeelsnr]],'data hastus'!$A:$C,3,0)</f>
        <v>Veronique</v>
      </c>
      <c r="E584" t="str">
        <f>VLOOKUP(bron[[#This Row],[personeelsnr]],'data hastus'!A:K,11,FALSE)</f>
        <v>Steven Storm</v>
      </c>
      <c r="F584" s="10"/>
      <c r="G584" s="6"/>
      <c r="H584" s="6"/>
      <c r="I584" s="6"/>
      <c r="J584"/>
      <c r="K584">
        <v>1</v>
      </c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45787</v>
      </c>
      <c r="U584" s="8" t="s">
        <v>1170</v>
      </c>
      <c r="V584" s="8"/>
      <c r="W584" s="8">
        <v>1</v>
      </c>
      <c r="X584" t="s">
        <v>3581</v>
      </c>
      <c r="Y584" t="s">
        <v>72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28737</v>
      </c>
      <c r="B587" t="str">
        <f>_xlfn.CONCAT(bron[[#This Row],[personeelsnr]]," ",bron[[#This Row],[achternaam]]," ",bron[[#This Row],[voornaam]])</f>
        <v>28737 El-Mohamed Mohamed</v>
      </c>
      <c r="C587" t="str">
        <f>VLOOKUP(bron[[#This Row],[personeelsnr]],'data hastus'!$A:$C,2,0)</f>
        <v>El-Mohamed</v>
      </c>
      <c r="D587" t="str">
        <f>VLOOKUP(bron[[#This Row],[personeelsnr]],'data hastus'!$A:$C,3,0)</f>
        <v>Mohamed</v>
      </c>
      <c r="E587" t="str">
        <f>VLOOKUP(bron[[#This Row],[personeelsnr]],'data hastus'!A:K,11,FALSE)</f>
        <v>Lucie Vande Velde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45698</v>
      </c>
      <c r="U587" s="8" t="s">
        <v>1052</v>
      </c>
      <c r="V587" s="8"/>
      <c r="W587" s="8">
        <v>1</v>
      </c>
      <c r="X587" t="s">
        <v>3582</v>
      </c>
      <c r="Y587" t="s">
        <v>221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29674</v>
      </c>
      <c r="B591" t="str">
        <f>_xlfn.CONCAT(bron[[#This Row],[personeelsnr]]," ",bron[[#This Row],[achternaam]]," ",bron[[#This Row],[voornaam]])</f>
        <v>29674 Martens Geoffrey</v>
      </c>
      <c r="C591" t="str">
        <f>VLOOKUP(bron[[#This Row],[personeelsnr]],'data hastus'!$A:$C,2,0)</f>
        <v>Martens</v>
      </c>
      <c r="D591" t="str">
        <f>VLOOKUP(bron[[#This Row],[personeelsnr]],'data hastus'!$A:$C,3,0)</f>
        <v>Geoffrey</v>
      </c>
      <c r="E591" t="str">
        <f>VLOOKUP(bron[[#This Row],[personeelsnr]],'data hastus'!A:K,11,FALSE)</f>
        <v>Dominique De Clercq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1092</v>
      </c>
      <c r="V591" s="8"/>
      <c r="W591" s="8">
        <v>1</v>
      </c>
      <c r="X591" t="s">
        <v>3581</v>
      </c>
      <c r="Y591" t="s">
        <v>5</v>
      </c>
    </row>
    <row r="592" spans="1:25" hidden="1" x14ac:dyDescent="0.3">
      <c r="A592">
        <v>30967</v>
      </c>
      <c r="B592" t="str">
        <f>_xlfn.CONCAT(bron[[#This Row],[personeelsnr]]," ",bron[[#This Row],[achternaam]]," ",bron[[#This Row],[voornaam]])</f>
        <v>30967 Taser Fatih</v>
      </c>
      <c r="C592" t="str">
        <f>VLOOKUP(bron[[#This Row],[personeelsnr]],'data hastus'!$A:$C,2,0)</f>
        <v>Taser</v>
      </c>
      <c r="D592" t="str">
        <f>VLOOKUP(bron[[#This Row],[personeelsnr]],'data hastus'!$A:$C,3,0)</f>
        <v>Fatih</v>
      </c>
      <c r="E592" t="str">
        <f>VLOOKUP(bron[[#This Row],[personeelsnr]],'data hastus'!A:K,11,FALSE)</f>
        <v>Dominique De Clercq</v>
      </c>
      <c r="F592" s="10"/>
      <c r="G592" s="6">
        <v>1</v>
      </c>
      <c r="H592" s="6"/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45672</v>
      </c>
      <c r="U592" s="8" t="s">
        <v>1017</v>
      </c>
      <c r="V592" s="8"/>
      <c r="W592" s="8">
        <v>1</v>
      </c>
      <c r="X592" t="s">
        <v>3581</v>
      </c>
      <c r="Y592" t="s">
        <v>63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31231</v>
      </c>
      <c r="B597" t="str">
        <f>_xlfn.CONCAT(bron[[#This Row],[personeelsnr]]," ",bron[[#This Row],[achternaam]]," ",bron[[#This Row],[voornaam]])</f>
        <v>31231 Colaes Dylan</v>
      </c>
      <c r="C597" t="str">
        <f>VLOOKUP(bron[[#This Row],[personeelsnr]],'data hastus'!$A:$C,2,0)</f>
        <v>Colaes</v>
      </c>
      <c r="D597" t="str">
        <f>VLOOKUP(bron[[#This Row],[personeelsnr]],'data hastus'!$A:$C,3,0)</f>
        <v>Dylan</v>
      </c>
      <c r="E597" t="str">
        <f>VLOOKUP(bron[[#This Row],[personeelsnr]],'data hastus'!A:K,11,FALSE)</f>
        <v>Els Vanhoe</v>
      </c>
      <c r="F597" s="10"/>
      <c r="G597" s="6">
        <v>1</v>
      </c>
      <c r="H597" s="6"/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45660</v>
      </c>
      <c r="U597" s="8" t="s">
        <v>998</v>
      </c>
      <c r="V597" s="8"/>
      <c r="W597" s="8">
        <v>1</v>
      </c>
      <c r="X597" t="s">
        <v>3581</v>
      </c>
      <c r="Y597" t="s">
        <v>169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31360</v>
      </c>
      <c r="B603" t="str">
        <f>_xlfn.CONCAT(bron[[#This Row],[personeelsnr]]," ",bron[[#This Row],[achternaam]]," ",bron[[#This Row],[voornaam]])</f>
        <v>31360 Simsek Fatih</v>
      </c>
      <c r="C603" t="str">
        <f>VLOOKUP(bron[[#This Row],[personeelsnr]],'data hastus'!$A:$C,2,0)</f>
        <v>Simsek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45680</v>
      </c>
      <c r="U603" s="8" t="s">
        <v>1027</v>
      </c>
      <c r="V603" s="8"/>
      <c r="W603" s="8">
        <v>1</v>
      </c>
      <c r="X603" t="s">
        <v>3581</v>
      </c>
      <c r="Y603" t="s">
        <v>75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32002</v>
      </c>
      <c r="B608" t="str">
        <f>_xlfn.CONCAT(bron[[#This Row],[personeelsnr]]," ",bron[[#This Row],[achternaam]]," ",bron[[#This Row],[voornaam]])</f>
        <v>32002 Hasni Helmi</v>
      </c>
      <c r="C608" t="str">
        <f>VLOOKUP(bron[[#This Row],[personeelsnr]],'data hastus'!$A:$C,2,0)</f>
        <v>Hasni</v>
      </c>
      <c r="D608" t="str">
        <f>VLOOKUP(bron[[#This Row],[personeelsnr]],'data hastus'!$A:$C,3,0)</f>
        <v>Helmi</v>
      </c>
      <c r="E608" t="str">
        <f>VLOOKUP(bron[[#This Row],[personeelsnr]],'data hastus'!A:K,11,FALSE)</f>
        <v>Steven Storm</v>
      </c>
      <c r="F608" s="10"/>
      <c r="G608" s="7"/>
      <c r="H608" s="7"/>
      <c r="I608" s="7"/>
      <c r="M608" s="5">
        <v>1</v>
      </c>
      <c r="S608" s="5">
        <f>SUM(bron[[#This Row],[Januari]:[December]])</f>
        <v>1</v>
      </c>
      <c r="T608" s="9">
        <v>45848</v>
      </c>
      <c r="U608" s="8" t="s">
        <v>1241</v>
      </c>
      <c r="V608" s="24"/>
      <c r="W608" s="24">
        <v>1</v>
      </c>
      <c r="X608" t="s">
        <v>3582</v>
      </c>
      <c r="Y608" t="s">
        <v>181</v>
      </c>
    </row>
    <row r="609" spans="1:25" hidden="1" x14ac:dyDescent="0.3">
      <c r="A609">
        <v>32620</v>
      </c>
      <c r="B609" t="str">
        <f>_xlfn.CONCAT(bron[[#This Row],[personeelsnr]]," ",bron[[#This Row],[achternaam]]," ",bron[[#This Row],[voornaam]])</f>
        <v>32620 Saey Elias</v>
      </c>
      <c r="C609" t="str">
        <f>VLOOKUP(bron[[#This Row],[personeelsnr]],'data hastus'!$A:$C,2,0)</f>
        <v>Saey</v>
      </c>
      <c r="D609" t="str">
        <f>VLOOKUP(bron[[#This Row],[personeelsnr]],'data hastus'!$A:$C,3,0)</f>
        <v>Elias</v>
      </c>
      <c r="E609" t="str">
        <f>VLOOKUP(bron[[#This Row],[personeelsnr]],'data hastus'!A:K,11,FALSE)</f>
        <v>Els Vanhoe</v>
      </c>
      <c r="F609" s="10"/>
      <c r="G609" s="6"/>
      <c r="H609" s="6"/>
      <c r="I609" s="6"/>
      <c r="J609">
        <v>1</v>
      </c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45749</v>
      </c>
      <c r="U609" s="8" t="s">
        <v>1123</v>
      </c>
      <c r="V609" s="8"/>
      <c r="W609" s="8">
        <v>1</v>
      </c>
      <c r="X609" t="s">
        <v>3581</v>
      </c>
      <c r="Y609" t="s">
        <v>46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33085</v>
      </c>
      <c r="B615" t="str">
        <f>_xlfn.CONCAT(bron[[#This Row],[personeelsnr]]," ",bron[[#This Row],[achternaam]]," ",bron[[#This Row],[voornaam]])</f>
        <v>33085 Van Hoe Ivo</v>
      </c>
      <c r="C615" t="str">
        <f>VLOOKUP(bron[[#This Row],[personeelsnr]],'data hastus'!$A:$C,2,0)</f>
        <v>Van Hoe</v>
      </c>
      <c r="D615" t="str">
        <f>VLOOKUP(bron[[#This Row],[personeelsnr]],'data hastus'!$A:$C,3,0)</f>
        <v>Ivo</v>
      </c>
      <c r="E615" t="str">
        <f>VLOOKUP(bron[[#This Row],[personeelsnr]],'data hastus'!A:K,11,FALSE)</f>
        <v>Kenneth De Rick</v>
      </c>
      <c r="F615" s="10"/>
      <c r="G615" s="7"/>
      <c r="H615" s="7"/>
      <c r="I615" s="7"/>
      <c r="O615" s="5">
        <v>1</v>
      </c>
      <c r="S615" s="5">
        <f>SUM(bron[[#This Row],[Januari]:[December]])</f>
        <v>1</v>
      </c>
      <c r="T615" s="9">
        <v>45904</v>
      </c>
      <c r="U615" s="5" t="s">
        <v>3532</v>
      </c>
      <c r="V615" s="24"/>
      <c r="W615" s="24">
        <v>1</v>
      </c>
      <c r="X615" t="s">
        <v>3581</v>
      </c>
      <c r="Y615" t="s">
        <v>5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33965</v>
      </c>
      <c r="B622" t="str">
        <f>_xlfn.CONCAT(bron[[#This Row],[personeelsnr]]," ",bron[[#This Row],[achternaam]]," ",bron[[#This Row],[voornaam]])</f>
        <v>33965 Van de Gehuchte Gilles</v>
      </c>
      <c r="C622" t="str">
        <f>VLOOKUP(bron[[#This Row],[personeelsnr]],'data hastus'!$A:$C,2,0)</f>
        <v>Van de Gehuchte</v>
      </c>
      <c r="D622" t="str">
        <f>VLOOKUP(bron[[#This Row],[personeelsnr]],'data hastus'!$A:$C,3,0)</f>
        <v>Gilles</v>
      </c>
      <c r="E622" t="str">
        <f>VLOOKUP(bron[[#This Row],[personeelsnr]],'data hastus'!A:K,11,FALSE)</f>
        <v>Kenneth De Rick</v>
      </c>
      <c r="F622" s="10"/>
      <c r="G622" s="6">
        <v>1</v>
      </c>
      <c r="H622" s="6"/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45677</v>
      </c>
      <c r="U622" s="8" t="s">
        <v>1021</v>
      </c>
      <c r="V622" s="8"/>
      <c r="W622" s="8">
        <v>1</v>
      </c>
      <c r="X622" t="s">
        <v>3581</v>
      </c>
      <c r="Y622" t="s">
        <v>31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33965</v>
      </c>
      <c r="B625" t="str">
        <f>_xlfn.CONCAT(bron[[#This Row],[personeelsnr]]," ",bron[[#This Row],[achternaam]]," ",bron[[#This Row],[voornaam]])</f>
        <v>33965 Van de Gehuchte Gilles</v>
      </c>
      <c r="C625" t="str">
        <f>VLOOKUP(bron[[#This Row],[personeelsnr]],'data hastus'!$A:$C,2,0)</f>
        <v>Van de Gehuchte</v>
      </c>
      <c r="D625" t="str">
        <f>VLOOKUP(bron[[#This Row],[personeelsnr]],'data hastus'!$A:$C,3,0)</f>
        <v>Gilles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K625" s="12">
        <v>1</v>
      </c>
      <c r="S625" s="5">
        <f>SUM(bron[[#This Row],[Januari]:[December]])</f>
        <v>1</v>
      </c>
      <c r="T625" s="9">
        <v>45781</v>
      </c>
      <c r="U625" s="8" t="s">
        <v>1164</v>
      </c>
      <c r="V625" s="8"/>
      <c r="W625" s="8">
        <v>1</v>
      </c>
      <c r="X625" t="s">
        <v>3581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34198</v>
      </c>
      <c r="B628" t="str">
        <f>_xlfn.CONCAT(bron[[#This Row],[personeelsnr]]," ",bron[[#This Row],[achternaam]]," ",bron[[#This Row],[voornaam]])</f>
        <v>34198 Pelfrene Toby</v>
      </c>
      <c r="C628" t="str">
        <f>VLOOKUP(bron[[#This Row],[personeelsnr]],'data hastus'!$A:$C,2,0)</f>
        <v>Pelfrene</v>
      </c>
      <c r="D628" t="str">
        <f>VLOOKUP(bron[[#This Row],[personeelsnr]],'data hastus'!$A:$C,3,0)</f>
        <v>Toby</v>
      </c>
      <c r="E628" t="str">
        <f>VLOOKUP(bron[[#This Row],[personeelsnr]],'data hastus'!A:K,11,FALSE)</f>
        <v>Els Vanhoe</v>
      </c>
      <c r="F628" s="10"/>
      <c r="G628" s="7"/>
      <c r="H628" s="7"/>
      <c r="I628" s="7"/>
      <c r="N628" s="5">
        <v>1</v>
      </c>
      <c r="S628" s="5">
        <f>SUM(bron[[#This Row],[Januari]:[December]])</f>
        <v>1</v>
      </c>
      <c r="T628" s="9">
        <v>45895</v>
      </c>
      <c r="U628" s="5" t="s">
        <v>1284</v>
      </c>
      <c r="V628" s="24"/>
      <c r="W628" s="24">
        <v>1</v>
      </c>
      <c r="X628" t="s">
        <v>3581</v>
      </c>
      <c r="Y628" t="s">
        <v>5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34325</v>
      </c>
      <c r="B630" t="str">
        <f>_xlfn.CONCAT(bron[[#This Row],[personeelsnr]]," ",bron[[#This Row],[achternaam]]," ",bron[[#This Row],[voornaam]])</f>
        <v>34325 Eid Mathyn</v>
      </c>
      <c r="C630" t="str">
        <f>VLOOKUP(bron[[#This Row],[personeelsnr]],'data hastus'!$A:$C,2,0)</f>
        <v>Eid</v>
      </c>
      <c r="D630" t="str">
        <f>VLOOKUP(bron[[#This Row],[personeelsnr]],'data hastus'!$A:$C,3,0)</f>
        <v>Mathyn</v>
      </c>
      <c r="E630" t="str">
        <f>VLOOKUP(bron[[#This Row],[personeelsnr]],'data hastus'!A:K,11,FALSE)</f>
        <v>Steven Storm</v>
      </c>
      <c r="F630" s="10"/>
      <c r="G630" s="6"/>
      <c r="H630" s="6"/>
      <c r="I630" s="6"/>
      <c r="J630">
        <v>1</v>
      </c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45757</v>
      </c>
      <c r="U630" s="8" t="s">
        <v>1133</v>
      </c>
      <c r="V630" s="8"/>
      <c r="W630" s="8">
        <v>1</v>
      </c>
      <c r="X630" t="s">
        <v>3582</v>
      </c>
      <c r="Y630" t="s">
        <v>275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34351</v>
      </c>
      <c r="B633" t="str">
        <f>_xlfn.CONCAT(bron[[#This Row],[personeelsnr]]," ",bron[[#This Row],[achternaam]]," ",bron[[#This Row],[voornaam]])</f>
        <v>34351 Callant Dieter</v>
      </c>
      <c r="C633" t="str">
        <f>VLOOKUP(bron[[#This Row],[personeelsnr]],'data hastus'!$A:$C,2,0)</f>
        <v>Callant</v>
      </c>
      <c r="D633" t="str">
        <f>VLOOKUP(bron[[#This Row],[personeelsnr]],'data hastus'!$A:$C,3,0)</f>
        <v>Dieter</v>
      </c>
      <c r="E633" t="str">
        <f>VLOOKUP(bron[[#This Row],[personeelsnr]],'data hastus'!A:K,11,FALSE)</f>
        <v>Els Vanhoe</v>
      </c>
      <c r="F633" s="10"/>
      <c r="G633" s="6">
        <v>1</v>
      </c>
      <c r="H633" s="6"/>
      <c r="I633" s="6"/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45679</v>
      </c>
      <c r="U633" s="8" t="s">
        <v>1026</v>
      </c>
      <c r="V633" s="8"/>
      <c r="W633" s="8">
        <v>1</v>
      </c>
      <c r="X633" t="s">
        <v>3581</v>
      </c>
      <c r="Y633" t="s">
        <v>159</v>
      </c>
    </row>
    <row r="634" spans="1:25" hidden="1" x14ac:dyDescent="0.3">
      <c r="A634">
        <v>34445</v>
      </c>
      <c r="B634" t="str">
        <f>_xlfn.CONCAT(bron[[#This Row],[personeelsnr]]," ",bron[[#This Row],[achternaam]]," ",bron[[#This Row],[voornaam]])</f>
        <v>34445 Wulleput Illya</v>
      </c>
      <c r="C634" t="str">
        <f>VLOOKUP(bron[[#This Row],[personeelsnr]],'data hastus'!$A:$C,2,0)</f>
        <v>Wulleput</v>
      </c>
      <c r="D634" t="str">
        <f>VLOOKUP(bron[[#This Row],[personeelsnr]],'data hastus'!$A:$C,3,0)</f>
        <v>Illya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45763</v>
      </c>
      <c r="U634" s="8" t="s">
        <v>1139</v>
      </c>
      <c r="V634" s="8"/>
      <c r="W634" s="8">
        <v>1</v>
      </c>
      <c r="X634" t="s">
        <v>3582</v>
      </c>
      <c r="Y634" t="s">
        <v>46</v>
      </c>
    </row>
    <row r="635" spans="1:25" hidden="1" x14ac:dyDescent="0.3">
      <c r="A635">
        <v>35395</v>
      </c>
      <c r="B635" t="str">
        <f>_xlfn.CONCAT(bron[[#This Row],[personeelsnr]]," ",bron[[#This Row],[achternaam]]," ",bron[[#This Row],[voornaam]])</f>
        <v>35395 Limbourg Heidi</v>
      </c>
      <c r="C635" t="str">
        <f>VLOOKUP(bron[[#This Row],[personeelsnr]],'data hastus'!$A:$C,2,0)</f>
        <v>Limbourg</v>
      </c>
      <c r="D635" t="str">
        <f>VLOOKUP(bron[[#This Row],[personeelsnr]],'data hastus'!$A:$C,3,0)</f>
        <v>Heidi</v>
      </c>
      <c r="E635" t="str">
        <f>VLOOKUP(bron[[#This Row],[personeelsnr]],'data hastus'!A:K,11,FALSE)</f>
        <v>Steven Storm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45680</v>
      </c>
      <c r="U635" s="8" t="s">
        <v>1028</v>
      </c>
      <c r="V635" s="8"/>
      <c r="W635" s="8">
        <v>1</v>
      </c>
      <c r="X635" t="s">
        <v>3581</v>
      </c>
      <c r="Y635" t="s">
        <v>171</v>
      </c>
    </row>
    <row r="636" spans="1:25" hidden="1" x14ac:dyDescent="0.3">
      <c r="A636">
        <v>35397</v>
      </c>
      <c r="B636" t="str">
        <f>_xlfn.CONCAT(bron[[#This Row],[personeelsnr]]," ",bron[[#This Row],[achternaam]]," ",bron[[#This Row],[voornaam]])</f>
        <v>35397 Minbari Ako</v>
      </c>
      <c r="C636" t="str">
        <f>VLOOKUP(bron[[#This Row],[personeelsnr]],'data hastus'!$A:$C,2,0)</f>
        <v>Minbari</v>
      </c>
      <c r="D636" t="str">
        <f>VLOOKUP(bron[[#This Row],[personeelsnr]],'data hastus'!$A:$C,3,0)</f>
        <v>Ako</v>
      </c>
      <c r="E636" t="str">
        <f>VLOOKUP(bron[[#This Row],[personeelsnr]],'data hastus'!A:K,11,FALSE)</f>
        <v>Lucie Vande Velde</v>
      </c>
      <c r="F636" s="10"/>
      <c r="G636" s="7"/>
      <c r="H636" s="7"/>
      <c r="I636" s="7"/>
      <c r="M636" s="5">
        <v>1</v>
      </c>
      <c r="S636" s="5">
        <f>SUM(bron[[#This Row],[Januari]:[December]])</f>
        <v>1</v>
      </c>
      <c r="T636" s="9">
        <v>45861</v>
      </c>
      <c r="U636" s="8" t="s">
        <v>1255</v>
      </c>
      <c r="V636" s="24"/>
      <c r="W636" s="24">
        <v>1</v>
      </c>
      <c r="X636" t="s">
        <v>3581</v>
      </c>
      <c r="Y636" t="s">
        <v>267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35619</v>
      </c>
      <c r="B640" t="str">
        <f>_xlfn.CONCAT(bron[[#This Row],[personeelsnr]]," ",bron[[#This Row],[achternaam]]," ",bron[[#This Row],[voornaam]])</f>
        <v>35619 El Mezroui Zouheir</v>
      </c>
      <c r="C640" t="str">
        <f>VLOOKUP(bron[[#This Row],[personeelsnr]],'data hastus'!$A:$C,2,0)</f>
        <v>El Mezroui</v>
      </c>
      <c r="D640" t="str">
        <f>VLOOKUP(bron[[#This Row],[personeelsnr]],'data hastus'!$A:$C,3,0)</f>
        <v>Zouheir</v>
      </c>
      <c r="E640" t="str">
        <f>VLOOKUP(bron[[#This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45755</v>
      </c>
      <c r="U640" s="8" t="s">
        <v>1128</v>
      </c>
      <c r="V640" s="8"/>
      <c r="W640" s="8">
        <v>1</v>
      </c>
      <c r="X640" t="s">
        <v>3581</v>
      </c>
      <c r="Y640" t="s">
        <v>69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36154</v>
      </c>
      <c r="B642" t="str">
        <f>_xlfn.CONCAT(bron[[#This Row],[personeelsnr]]," ",bron[[#This Row],[achternaam]]," ",bron[[#This Row],[voornaam]])</f>
        <v>36154 De Clercq Sven</v>
      </c>
      <c r="C642" t="str">
        <f>VLOOKUP(bron[[#This Row],[personeelsnr]],'data hastus'!$A:$C,2,0)</f>
        <v>De Clercq</v>
      </c>
      <c r="D642" t="str">
        <f>VLOOKUP(bron[[#This Row],[personeelsnr]],'data hastus'!$A:$C,3,0)</f>
        <v>Sven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L642" s="5">
        <v>1</v>
      </c>
      <c r="S642" s="5">
        <f>SUM(bron[[#This Row],[Januari]:[December]])</f>
        <v>1</v>
      </c>
      <c r="T642" s="9">
        <v>45811</v>
      </c>
      <c r="U642" s="8" t="s">
        <v>1195</v>
      </c>
      <c r="V642" s="8"/>
      <c r="W642" s="8">
        <v>1</v>
      </c>
      <c r="X642" t="s">
        <v>3582</v>
      </c>
      <c r="Y642" t="s">
        <v>81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3582</v>
      </c>
      <c r="Y649" t="s">
        <v>63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36426</v>
      </c>
      <c r="B653" t="str">
        <f>_xlfn.CONCAT(bron[[#This Row],[personeelsnr]]," ",bron[[#This Row],[achternaam]]," ",bron[[#This Row],[voornaam]])</f>
        <v>36426 Mohamed Yassin Abdulhamid</v>
      </c>
      <c r="C653" t="str">
        <f>VLOOKUP(bron[[#This Row],[personeelsnr]],'data hastus'!$A:$C,2,0)</f>
        <v>Mohamed Yassin</v>
      </c>
      <c r="D653" t="str">
        <f>VLOOKUP(bron[[#This Row],[personeelsnr]],'data hastus'!$A:$C,3,0)</f>
        <v>Abdulhamid</v>
      </c>
      <c r="E653" t="str">
        <f>VLOOKUP(bron[[#This Row],[personeelsnr]],'data hastus'!A:K,11,FALSE)</f>
        <v>Bart Van Der Beken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45828</v>
      </c>
      <c r="U653" s="8" t="s">
        <v>1206</v>
      </c>
      <c r="V653" s="24"/>
      <c r="W653" s="24">
        <v>1</v>
      </c>
      <c r="X653" t="s">
        <v>3582</v>
      </c>
      <c r="Y653" t="s">
        <v>301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36428</v>
      </c>
      <c r="B655" t="str">
        <f>_xlfn.CONCAT(bron[[#This Row],[personeelsnr]]," ",bron[[#This Row],[achternaam]]," ",bron[[#This Row],[voornaam]])</f>
        <v>36428 Abdi Shaiye Rashid</v>
      </c>
      <c r="C655" t="str">
        <f>VLOOKUP(bron[[#This Row],[personeelsnr]],'data hastus'!$A:$C,2,0)</f>
        <v>Abdi Shaiye</v>
      </c>
      <c r="D655" t="str">
        <f>VLOOKUP(bron[[#This Row],[personeelsnr]],'data hastus'!$A:$C,3,0)</f>
        <v>Rashid</v>
      </c>
      <c r="E655" t="str">
        <f>VLOOKUP(bron[[#This Row],[personeelsnr]],'data hastus'!A:K,11,FALSE)</f>
        <v>Lucie Vande Velde</v>
      </c>
      <c r="F655" s="10"/>
      <c r="G655" s="7"/>
      <c r="H655" s="7"/>
      <c r="I655" s="7"/>
      <c r="K655" s="5">
        <v>1</v>
      </c>
      <c r="S655" s="5">
        <f>SUM(bron[[#This Row],[Januari]:[December]])</f>
        <v>1</v>
      </c>
      <c r="T655" s="9">
        <v>45792</v>
      </c>
      <c r="U655" s="8" t="s">
        <v>1175</v>
      </c>
      <c r="V655" s="8"/>
      <c r="W655" s="8">
        <v>1</v>
      </c>
      <c r="X655" t="s">
        <v>3582</v>
      </c>
      <c r="Y655" t="s">
        <v>10</v>
      </c>
    </row>
    <row r="656" spans="1:25" hidden="1" x14ac:dyDescent="0.3">
      <c r="A656">
        <v>36438</v>
      </c>
      <c r="B656" t="str">
        <f>_xlfn.CONCAT(bron[[#This Row],[personeelsnr]]," ",bron[[#This Row],[achternaam]]," ",bron[[#This Row],[voornaam]])</f>
        <v>36438 Agil Birol</v>
      </c>
      <c r="C656" t="str">
        <f>VLOOKUP(bron[[#This Row],[personeelsnr]],'data hastus'!$A:$C,2,0)</f>
        <v>Agil</v>
      </c>
      <c r="D656" t="str">
        <f>VLOOKUP(bron[[#This Row],[personeelsnr]],'data hastus'!$A:$C,3,0)</f>
        <v>Birol</v>
      </c>
      <c r="E656" t="str">
        <f>VLOOKUP(bron[[#This Row],[personeelsnr]],'data hastus'!A:K,11,FALSE)</f>
        <v>Bart Van Der Beken</v>
      </c>
      <c r="F656" s="10"/>
      <c r="G656" s="6"/>
      <c r="H656" s="6"/>
      <c r="I656" s="6"/>
      <c r="J656"/>
      <c r="K656">
        <v>1</v>
      </c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45803</v>
      </c>
      <c r="U656" s="8" t="s">
        <v>1184</v>
      </c>
      <c r="V656" s="8"/>
      <c r="W656" s="8">
        <v>1</v>
      </c>
      <c r="X656" t="s">
        <v>3581</v>
      </c>
      <c r="Y656" t="s">
        <v>75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36512</v>
      </c>
      <c r="B659" t="str">
        <f>_xlfn.CONCAT(bron[[#This Row],[personeelsnr]]," ",bron[[#This Row],[achternaam]]," ",bron[[#This Row],[voornaam]])</f>
        <v>36512 Van Herreweghe Branco</v>
      </c>
      <c r="C659" t="str">
        <f>VLOOKUP(bron[[#This Row],[personeelsnr]],'data hastus'!$A:$C,2,0)</f>
        <v>Van Herreweghe</v>
      </c>
      <c r="D659" t="str">
        <f>VLOOKUP(bron[[#This Row],[personeelsnr]],'data hastus'!$A:$C,3,0)</f>
        <v>Branco</v>
      </c>
      <c r="E659" t="str">
        <f>VLOOKUP(bron[[#This Row],[personeelsnr]],'data hastus'!A:K,11,FALSE)</f>
        <v>Steven Storm</v>
      </c>
      <c r="F659" s="10"/>
      <c r="G659" s="7"/>
      <c r="H659" s="7"/>
      <c r="I659" s="7"/>
      <c r="J659" s="5">
        <v>1</v>
      </c>
      <c r="S659" s="5">
        <f>SUM(bron[[#This Row],[Januari]:[December]])</f>
        <v>1</v>
      </c>
      <c r="T659" s="9">
        <v>45770</v>
      </c>
      <c r="U659" s="8" t="s">
        <v>1150</v>
      </c>
      <c r="V659" s="24"/>
      <c r="W659" s="24">
        <v>1</v>
      </c>
      <c r="X659" t="s">
        <v>3581</v>
      </c>
      <c r="Y659" t="s">
        <v>31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36559</v>
      </c>
      <c r="B661" t="str">
        <f>_xlfn.CONCAT(bron[[#This Row],[personeelsnr]]," ",bron[[#This Row],[achternaam]]," ",bron[[#This Row],[voornaam]])</f>
        <v>36559 De Staercke Sandra</v>
      </c>
      <c r="C661" t="str">
        <f>VLOOKUP(bron[[#This Row],[personeelsnr]],'data hastus'!$A:$C,2,0)</f>
        <v>De Staercke</v>
      </c>
      <c r="D661" t="str">
        <f>VLOOKUP(bron[[#This Row],[personeelsnr]],'data hastus'!$A:$C,3,0)</f>
        <v>Sandra</v>
      </c>
      <c r="E661" t="str">
        <f>VLOOKUP(bron[[#This Row],[personeelsnr]],'data hastus'!A:K,11,FALSE)</f>
        <v>Kenneth De Rick</v>
      </c>
      <c r="F661" s="10"/>
      <c r="G661" s="6">
        <v>1</v>
      </c>
      <c r="H661" s="6"/>
      <c r="I661" s="6"/>
      <c r="J661"/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45667</v>
      </c>
      <c r="U661" s="8" t="s">
        <v>1009</v>
      </c>
      <c r="V661" s="8"/>
      <c r="W661" s="8">
        <v>1</v>
      </c>
      <c r="X661" t="s">
        <v>3582</v>
      </c>
      <c r="Y661" t="s">
        <v>297</v>
      </c>
    </row>
    <row r="662" spans="1:25" hidden="1" x14ac:dyDescent="0.3">
      <c r="A662">
        <v>36569</v>
      </c>
      <c r="B662" t="str">
        <f>_xlfn.CONCAT(bron[[#This Row],[personeelsnr]]," ",bron[[#This Row],[achternaam]]," ",bron[[#This Row],[voornaam]])</f>
        <v>36569 Stroobandt Jonas</v>
      </c>
      <c r="C662" t="str">
        <f>VLOOKUP(bron[[#This Row],[personeelsnr]],'data hastus'!$A:$C,2,0)</f>
        <v>Stroobandt</v>
      </c>
      <c r="D662" t="str">
        <f>VLOOKUP(bron[[#This Row],[personeelsnr]],'data hastus'!$A:$C,3,0)</f>
        <v>Jonas</v>
      </c>
      <c r="E662" t="str">
        <f>VLOOKUP(bron[[#This Row],[personeelsnr]],'data hastus'!A:K,11,FALSE)</f>
        <v>Els Vanhoe</v>
      </c>
      <c r="F662" s="10"/>
      <c r="G662" s="6"/>
      <c r="H662" s="6">
        <v>1</v>
      </c>
      <c r="I662" s="6"/>
      <c r="J662"/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45708</v>
      </c>
      <c r="U662" s="8" t="s">
        <v>1068</v>
      </c>
      <c r="V662" s="8"/>
      <c r="W662" s="8">
        <v>1</v>
      </c>
      <c r="X662" t="s">
        <v>3581</v>
      </c>
      <c r="Y662" t="s">
        <v>5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6"/>
      <c r="H664" s="6"/>
      <c r="I664" s="6">
        <v>1</v>
      </c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45744</v>
      </c>
      <c r="U664" s="8" t="s">
        <v>1120</v>
      </c>
      <c r="V664" s="8"/>
      <c r="W664" s="8">
        <v>1</v>
      </c>
      <c r="X664" t="s">
        <v>3581</v>
      </c>
      <c r="Y664" t="s">
        <v>167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7"/>
      <c r="H665" s="7"/>
      <c r="I665" s="7"/>
      <c r="L665" s="5">
        <v>1</v>
      </c>
      <c r="S665" s="5">
        <f>SUM(bron[[#This Row],[Januari]:[December]])</f>
        <v>1</v>
      </c>
      <c r="T665" s="9">
        <v>45828</v>
      </c>
      <c r="U665" s="8" t="s">
        <v>1208</v>
      </c>
      <c r="V665" s="24"/>
      <c r="W665" s="24">
        <v>1</v>
      </c>
      <c r="X665" t="s">
        <v>3581</v>
      </c>
      <c r="Y665" t="s">
        <v>31</v>
      </c>
    </row>
    <row r="666" spans="1:25" hidden="1" x14ac:dyDescent="0.3">
      <c r="A666">
        <v>36577</v>
      </c>
      <c r="B666" t="str">
        <f>_xlfn.CONCAT(bron[[#This Row],[personeelsnr]]," ",bron[[#This Row],[achternaam]]," ",bron[[#This Row],[voornaam]])</f>
        <v>36577 De Smet Martine</v>
      </c>
      <c r="C666" t="str">
        <f>VLOOKUP(bron[[#This Row],[personeelsnr]],'data hastus'!$A:$C,2,0)</f>
        <v>De Smet</v>
      </c>
      <c r="D666" t="str">
        <f>VLOOKUP(bron[[#This Row],[personeelsnr]],'data hastus'!$A:$C,3,0)</f>
        <v>Martine</v>
      </c>
      <c r="E666" t="str">
        <f>VLOOKUP(bron[[#This Row],[personeelsnr]],'data hastus'!A:K,11,FALSE)</f>
        <v>Els Dewulf</v>
      </c>
      <c r="F666" s="10"/>
      <c r="G666" s="7"/>
      <c r="H666" s="7"/>
      <c r="I666" s="7"/>
      <c r="M666" s="5">
        <v>1</v>
      </c>
      <c r="S666" s="5">
        <f>SUM(bron[[#This Row],[Januari]:[December]])</f>
        <v>1</v>
      </c>
      <c r="T666" s="9">
        <v>45852</v>
      </c>
      <c r="U666" s="8" t="s">
        <v>1246</v>
      </c>
      <c r="V666" s="24"/>
      <c r="W666" s="24">
        <v>1</v>
      </c>
      <c r="X666" t="s">
        <v>3582</v>
      </c>
      <c r="Y666" t="s">
        <v>69</v>
      </c>
    </row>
    <row r="667" spans="1:25" hidden="1" x14ac:dyDescent="0.3">
      <c r="A667">
        <v>36626</v>
      </c>
      <c r="B667" t="str">
        <f>_xlfn.CONCAT(bron[[#This Row],[personeelsnr]]," ",bron[[#This Row],[achternaam]]," ",bron[[#This Row],[voornaam]])</f>
        <v>36626 Kartal Kadir</v>
      </c>
      <c r="C667" t="str">
        <f>VLOOKUP(bron[[#This Row],[personeelsnr]],'data hastus'!$A:$C,2,0)</f>
        <v>Kartal</v>
      </c>
      <c r="D667" t="str">
        <f>VLOOKUP(bron[[#This Row],[personeelsnr]],'data hastus'!$A:$C,3,0)</f>
        <v>Kadir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45673</v>
      </c>
      <c r="U667" s="8" t="s">
        <v>1018</v>
      </c>
      <c r="V667" s="8"/>
      <c r="W667" s="8">
        <v>1</v>
      </c>
      <c r="X667" t="s">
        <v>3582</v>
      </c>
      <c r="Y667" t="s">
        <v>5</v>
      </c>
    </row>
    <row r="668" spans="1:25" hidden="1" x14ac:dyDescent="0.3">
      <c r="A668">
        <v>36627</v>
      </c>
      <c r="B668" t="str">
        <f>_xlfn.CONCAT(bron[[#This Row],[personeelsnr]]," ",bron[[#This Row],[achternaam]]," ",bron[[#This Row],[voornaam]])</f>
        <v>36627 Dobbelaere David</v>
      </c>
      <c r="C668" t="str">
        <f>VLOOKUP(bron[[#This Row],[personeelsnr]],'data hastus'!$A:$C,2,0)</f>
        <v>Dobbelaere</v>
      </c>
      <c r="D668" t="str">
        <f>VLOOKUP(bron[[#This Row],[personeelsnr]],'data hastus'!$A:$C,3,0)</f>
        <v>David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45814</v>
      </c>
      <c r="U668" s="8" t="s">
        <v>1199</v>
      </c>
      <c r="V668" s="24"/>
      <c r="W668" s="24">
        <v>1</v>
      </c>
      <c r="X668" t="s">
        <v>3582</v>
      </c>
      <c r="Y668" t="s">
        <v>72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36635</v>
      </c>
      <c r="B671" t="str">
        <f>_xlfn.CONCAT(bron[[#This Row],[personeelsnr]]," ",bron[[#This Row],[achternaam]]," ",bron[[#This Row],[voornaam]])</f>
        <v>36635 Fadel Husam</v>
      </c>
      <c r="C671" t="str">
        <f>VLOOKUP(bron[[#This Row],[personeelsnr]],'data hastus'!$A:$C,2,0)</f>
        <v>Fadel</v>
      </c>
      <c r="D671" t="str">
        <f>VLOOKUP(bron[[#This Row],[personeelsnr]],'data hastus'!$A:$C,3,0)</f>
        <v>Husam</v>
      </c>
      <c r="E671" t="str">
        <f>VLOOKUP(bron[[#This Row],[personeelsnr]],'data hastus'!A:K,11,FALSE)</f>
        <v>Kenneth De Rick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45733</v>
      </c>
      <c r="U671" s="8" t="s">
        <v>1105</v>
      </c>
      <c r="V671" s="8"/>
      <c r="W671" s="8">
        <v>1</v>
      </c>
      <c r="X671" t="s">
        <v>3581</v>
      </c>
      <c r="Y671" t="s">
        <v>104</v>
      </c>
    </row>
    <row r="672" spans="1:25" hidden="1" x14ac:dyDescent="0.3">
      <c r="A672">
        <v>37132</v>
      </c>
      <c r="B672" t="str">
        <f>_xlfn.CONCAT(bron[[#This Row],[personeelsnr]]," ",bron[[#This Row],[achternaam]]," ",bron[[#This Row],[voornaam]])</f>
        <v>37132 Dacic Esmir</v>
      </c>
      <c r="C672" t="str">
        <f>VLOOKUP(bron[[#This Row],[personeelsnr]],'data hastus'!$A:$C,2,0)</f>
        <v>Dacic</v>
      </c>
      <c r="D672" t="str">
        <f>VLOOKUP(bron[[#This Row],[personeelsnr]],'data hastus'!$A:$C,3,0)</f>
        <v>Esmir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45770</v>
      </c>
      <c r="U672" s="8" t="s">
        <v>1149</v>
      </c>
      <c r="V672" s="8"/>
      <c r="W672" s="8">
        <v>1</v>
      </c>
      <c r="X672" t="s">
        <v>3581</v>
      </c>
      <c r="Y672" t="s">
        <v>279</v>
      </c>
    </row>
    <row r="673" spans="1:25" hidden="1" x14ac:dyDescent="0.3">
      <c r="A673">
        <v>37208</v>
      </c>
      <c r="B673" t="str">
        <f>_xlfn.CONCAT(bron[[#This Row],[personeelsnr]]," ",bron[[#This Row],[achternaam]]," ",bron[[#This Row],[voornaam]])</f>
        <v>37208 Catar Gökhan</v>
      </c>
      <c r="C673" t="str">
        <f>VLOOKUP(bron[[#This Row],[personeelsnr]],'data hastus'!$A:$C,2,0)</f>
        <v>Catar</v>
      </c>
      <c r="D673" t="str">
        <f>VLOOKUP(bron[[#This Row],[personeelsnr]],'data hastus'!$A:$C,3,0)</f>
        <v>Gökhan</v>
      </c>
      <c r="E673" t="str">
        <f>VLOOKUP(bron[[#This Row],[personeelsnr]],'data hastus'!A:K,11,FALSE)</f>
        <v>Kenneth De Rick</v>
      </c>
      <c r="F673" s="10"/>
      <c r="G673" s="7"/>
      <c r="H673" s="7"/>
      <c r="I673" s="7"/>
      <c r="L673" s="5">
        <v>1</v>
      </c>
      <c r="S673" s="5">
        <f>SUM(bron[[#This Row],[Januari]:[December]])</f>
        <v>1</v>
      </c>
      <c r="T673" s="9">
        <v>45815</v>
      </c>
      <c r="U673" s="8" t="s">
        <v>1200</v>
      </c>
      <c r="V673" s="24"/>
      <c r="W673" s="24">
        <v>1</v>
      </c>
      <c r="X673" t="s">
        <v>3581</v>
      </c>
      <c r="Y673" t="s">
        <v>10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37345</v>
      </c>
      <c r="B678" t="str">
        <f>_xlfn.CONCAT(bron[[#This Row],[personeelsnr]]," ",bron[[#This Row],[achternaam]]," ",bron[[#This Row],[voornaam]])</f>
        <v>37345 Walleyn Renaat</v>
      </c>
      <c r="C678" t="str">
        <f>VLOOKUP(bron[[#This Row],[personeelsnr]],'data hastus'!$A:$C,2,0)</f>
        <v>Walleyn</v>
      </c>
      <c r="D678" t="str">
        <f>VLOOKUP(bron[[#This Row],[personeelsnr]],'data hastus'!$A:$C,3,0)</f>
        <v>Renaat</v>
      </c>
      <c r="E678" t="str">
        <f>VLOOKUP(bron[[#This Row],[personeelsnr]],'data hastus'!A:K,11,FALSE)</f>
        <v>Lucie Vande Velde</v>
      </c>
      <c r="F678" s="10"/>
      <c r="G678" s="7"/>
      <c r="H678" s="7"/>
      <c r="I678" s="7"/>
      <c r="N678" s="5">
        <v>1</v>
      </c>
      <c r="S678" s="5">
        <f>SUM(bron[[#This Row],[Januari]:[December]])</f>
        <v>1</v>
      </c>
      <c r="T678" s="9">
        <v>45874</v>
      </c>
      <c r="U678" s="24" t="s">
        <v>1268</v>
      </c>
      <c r="V678" s="24"/>
      <c r="W678" s="24">
        <v>1</v>
      </c>
      <c r="X678" t="s">
        <v>3582</v>
      </c>
      <c r="Y678" t="s">
        <v>10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37496</v>
      </c>
      <c r="B681" t="str">
        <f>_xlfn.CONCAT(bron[[#This Row],[personeelsnr]]," ",bron[[#This Row],[achternaam]]," ",bron[[#This Row],[voornaam]])</f>
        <v>37496 Oosterlinck Willy</v>
      </c>
      <c r="C681" t="str">
        <f>VLOOKUP(bron[[#This Row],[personeelsnr]],'data hastus'!$A:$C,2,0)</f>
        <v>Oosterlinck</v>
      </c>
      <c r="D681" t="str">
        <f>VLOOKUP(bron[[#This Row],[personeelsnr]],'data hastus'!$A:$C,3,0)</f>
        <v>Willy</v>
      </c>
      <c r="E681" t="str">
        <f>VLOOKUP(bron[[#This Row],[personeelsnr]],'data hastus'!A:K,11,FALSE)</f>
        <v>Dominique De Clercq</v>
      </c>
      <c r="F681" s="10"/>
      <c r="G681" s="6"/>
      <c r="H681" s="6">
        <v>1</v>
      </c>
      <c r="I681" s="6"/>
      <c r="J681"/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45690</v>
      </c>
      <c r="U681" s="8" t="s">
        <v>1039</v>
      </c>
      <c r="V681" s="8"/>
      <c r="W681" s="8">
        <v>1</v>
      </c>
      <c r="X681" t="s">
        <v>3581</v>
      </c>
      <c r="Y681" t="s">
        <v>5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3581</v>
      </c>
      <c r="Y684" t="s">
        <v>88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37542</v>
      </c>
      <c r="B686" t="str">
        <f>_xlfn.CONCAT(bron[[#This Row],[personeelsnr]]," ",bron[[#This Row],[achternaam]]," ",bron[[#This Row],[voornaam]])</f>
        <v>37542 De Tandt Hans</v>
      </c>
      <c r="C686" t="str">
        <f>VLOOKUP(bron[[#This Row],[personeelsnr]],'data hastus'!$A:$C,2,0)</f>
        <v>De Tandt</v>
      </c>
      <c r="D686" t="str">
        <f>VLOOKUP(bron[[#This Row],[personeelsnr]],'data hastus'!$A:$C,3,0)</f>
        <v>Hans</v>
      </c>
      <c r="E686" t="str">
        <f>VLOOKUP(bron[[#This Row],[personeelsnr]],'data hastus'!A:K,11,FALSE)</f>
        <v>Bart Van Der Beken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45840</v>
      </c>
      <c r="U686" s="8" t="s">
        <v>1224</v>
      </c>
      <c r="V686" s="24"/>
      <c r="W686" s="24">
        <v>1</v>
      </c>
      <c r="X686" t="s">
        <v>3582</v>
      </c>
      <c r="Y686" t="s">
        <v>46</v>
      </c>
    </row>
    <row r="687" spans="1:25" hidden="1" x14ac:dyDescent="0.3">
      <c r="A687">
        <v>38634</v>
      </c>
      <c r="B687" t="str">
        <f>_xlfn.CONCAT(bron[[#This Row],[personeelsnr]]," ",bron[[#This Row],[achternaam]]," ",bron[[#This Row],[voornaam]])</f>
        <v>38634 Asskale Zouhir</v>
      </c>
      <c r="C687" t="str">
        <f>VLOOKUP(bron[[#This Row],[personeelsnr]],'data hastus'!$A:$C,2,0)</f>
        <v>Asskale</v>
      </c>
      <c r="D687" t="str">
        <f>VLOOKUP(bron[[#This Row],[personeelsnr]],'data hastus'!$A:$C,3,0)</f>
        <v>Zouhir</v>
      </c>
      <c r="E687" t="str">
        <f>VLOOKUP(bron[[#This Row],[personeelsnr]],'data hastus'!A:K,11,FALSE)</f>
        <v>Bart Van Der Beken</v>
      </c>
      <c r="F687" s="10"/>
      <c r="G687" s="7"/>
      <c r="H687" s="7"/>
      <c r="I687" s="7"/>
      <c r="L687" s="5">
        <v>1</v>
      </c>
      <c r="S687" s="5">
        <f>SUM(bron[[#This Row],[Januari]:[December]])</f>
        <v>1</v>
      </c>
      <c r="T687" s="9">
        <v>45832</v>
      </c>
      <c r="U687" s="8" t="s">
        <v>1216</v>
      </c>
      <c r="V687" s="24"/>
      <c r="W687" s="24">
        <v>1</v>
      </c>
      <c r="X687" t="s">
        <v>3581</v>
      </c>
      <c r="Y687" t="s">
        <v>239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38648</v>
      </c>
      <c r="B690" t="str">
        <f>_xlfn.CONCAT(bron[[#This Row],[personeelsnr]]," ",bron[[#This Row],[achternaam]]," ",bron[[#This Row],[voornaam]])</f>
        <v>38648 Uckuyulu Muhammet Emin</v>
      </c>
      <c r="C690" t="str">
        <f>VLOOKUP(bron[[#This Row],[personeelsnr]],'data hastus'!$A:$C,2,0)</f>
        <v>Uckuyulu</v>
      </c>
      <c r="D690" t="str">
        <f>VLOOKUP(bron[[#This Row],[personeelsnr]],'data hastus'!$A:$C,3,0)</f>
        <v>Muhammet Emin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45798</v>
      </c>
      <c r="U690" s="8" t="s">
        <v>1178</v>
      </c>
      <c r="V690" s="8"/>
      <c r="W690" s="8">
        <v>1</v>
      </c>
      <c r="X690" t="s">
        <v>3581</v>
      </c>
      <c r="Y690" t="s">
        <v>173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M706" s="5">
        <v>1</v>
      </c>
      <c r="S706" s="5">
        <f>SUM(bron[[#This Row],[Januari]:[December]])</f>
        <v>1</v>
      </c>
      <c r="T706" s="9">
        <v>45840</v>
      </c>
      <c r="U706" s="8" t="s">
        <v>1225</v>
      </c>
      <c r="V706" s="24"/>
      <c r="W706" s="24">
        <v>1</v>
      </c>
      <c r="X706" t="s">
        <v>3582</v>
      </c>
      <c r="Y706" t="s">
        <v>5</v>
      </c>
    </row>
    <row r="707" spans="1:25" hidden="1" x14ac:dyDescent="0.3">
      <c r="A707">
        <v>38740</v>
      </c>
      <c r="B707" t="str">
        <f>_xlfn.CONCAT(bron[[#This Row],[personeelsnr]]," ",bron[[#This Row],[achternaam]]," ",bron[[#This Row],[voornaam]])</f>
        <v>38740 Meskens Anthony</v>
      </c>
      <c r="C707" t="str">
        <f>VLOOKUP(bron[[#This Row],[personeelsnr]],'data hastus'!$A:$C,2,0)</f>
        <v>Meskens</v>
      </c>
      <c r="D707" t="str">
        <f>VLOOKUP(bron[[#This Row],[personeelsnr]],'data hastus'!$A:$C,3,0)</f>
        <v>Anthony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N707" s="5">
        <v>1</v>
      </c>
      <c r="S707" s="5">
        <f>SUM(bron[[#This Row],[Januari]:[December]])</f>
        <v>1</v>
      </c>
      <c r="T707" s="9">
        <v>45879</v>
      </c>
      <c r="U707" s="24" t="s">
        <v>1272</v>
      </c>
      <c r="V707" s="24"/>
      <c r="W707" s="24">
        <v>1</v>
      </c>
      <c r="X707" t="s">
        <v>3581</v>
      </c>
      <c r="Y707" t="s">
        <v>5</v>
      </c>
    </row>
    <row r="708" spans="1:25" hidden="1" x14ac:dyDescent="0.3">
      <c r="A708">
        <v>38938</v>
      </c>
      <c r="B708" t="str">
        <f>_xlfn.CONCAT(bron[[#This Row],[personeelsnr]]," ",bron[[#This Row],[achternaam]]," ",bron[[#This Row],[voornaam]])</f>
        <v>38938 Sedighi Hamid</v>
      </c>
      <c r="C708" t="str">
        <f>VLOOKUP(bron[[#This Row],[personeelsnr]],'data hastus'!$A:$C,2,0)</f>
        <v>Sedighi</v>
      </c>
      <c r="D708" t="str">
        <f>VLOOKUP(bron[[#This Row],[personeelsnr]],'data hastus'!$A:$C,3,0)</f>
        <v>Hamid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>
        <v>1</v>
      </c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45765</v>
      </c>
      <c r="U708" s="8" t="s">
        <v>1142</v>
      </c>
      <c r="V708" s="8"/>
      <c r="W708" s="8">
        <v>1</v>
      </c>
      <c r="X708" t="s">
        <v>3581</v>
      </c>
      <c r="Y708" t="s">
        <v>88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39267</v>
      </c>
      <c r="B710" t="str">
        <f>_xlfn.CONCAT(bron[[#This Row],[personeelsnr]]," ",bron[[#This Row],[achternaam]]," ",bron[[#This Row],[voornaam]])</f>
        <v>39267 Van Holsbeeck Jens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Jens</v>
      </c>
      <c r="E710" t="str">
        <f>VLOOKUP(bron[[#This Row],[personeelsnr]],'data hastus'!A:K,11,FALSE)</f>
        <v>Christoff Rotty</v>
      </c>
      <c r="F710" s="10"/>
      <c r="G710" s="6"/>
      <c r="H710" s="6">
        <v>1</v>
      </c>
      <c r="I710" s="6"/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45700</v>
      </c>
      <c r="U710" s="8" t="s">
        <v>1055</v>
      </c>
      <c r="V710" s="8"/>
      <c r="W710" s="8">
        <v>1</v>
      </c>
      <c r="X710" t="s">
        <v>3581</v>
      </c>
      <c r="Y710" t="s">
        <v>81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39927</v>
      </c>
      <c r="B716" t="str">
        <f>_xlfn.CONCAT(bron[[#This Row],[personeelsnr]]," ",bron[[#This Row],[achternaam]]," ",bron[[#This Row],[voornaam]])</f>
        <v>39927 De Wilde Jordy</v>
      </c>
      <c r="C716" t="str">
        <f>VLOOKUP(bron[[#This Row],[personeelsnr]],'data hastus'!$A:$C,2,0)</f>
        <v>De Wilde</v>
      </c>
      <c r="D716" t="str">
        <f>VLOOKUP(bron[[#This Row],[personeelsnr]],'data hastus'!$A:$C,3,0)</f>
        <v>Jordy</v>
      </c>
      <c r="E716" t="str">
        <f>VLOOKUP(bron[[#This Row],[personeelsnr]],'data hastus'!A:K,11,FALSE)</f>
        <v>Christoff Rotty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45808</v>
      </c>
      <c r="U716" s="8" t="s">
        <v>1188</v>
      </c>
      <c r="V716" s="8"/>
      <c r="W716" s="8">
        <v>1</v>
      </c>
      <c r="X716" t="s">
        <v>3582</v>
      </c>
      <c r="Y716" t="s">
        <v>5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9158</v>
      </c>
      <c r="B718" t="str">
        <f>_xlfn.CONCAT(bron[[#This Row],[personeelsnr]]," ",bron[[#This Row],[achternaam]]," ",bron[[#This Row],[voornaam]])</f>
        <v>9158 De Weirdt Ronny</v>
      </c>
      <c r="C718" t="str">
        <f>VLOOKUP(bron[[#This Row],[personeelsnr]],'data hastus'!$A:$C,2,0)</f>
        <v>De Weirdt</v>
      </c>
      <c r="D718" t="str">
        <f>VLOOKUP(bron[[#This Row],[personeelsnr]],'data hastus'!$A:$C,3,0)</f>
        <v>Ronny</v>
      </c>
      <c r="E718" t="str">
        <f>VLOOKUP(bron[[#This Row],[personeelsnr]],'data hastus'!A:K,11,FALSE)</f>
        <v>Steven Storm</v>
      </c>
      <c r="F718" s="10"/>
      <c r="G718" s="6"/>
      <c r="H718" s="6"/>
      <c r="I718" s="6"/>
      <c r="J718">
        <v>1</v>
      </c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45758</v>
      </c>
      <c r="U718" s="8" t="s">
        <v>1135</v>
      </c>
      <c r="V718" s="8"/>
      <c r="W718" s="8">
        <v>1</v>
      </c>
      <c r="X718" t="s">
        <v>3582</v>
      </c>
      <c r="Y718" t="s">
        <v>5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9824</v>
      </c>
      <c r="B746" t="str">
        <f>_xlfn.CONCAT(bron[[#This Row],[personeelsnr]]," ",bron[[#This Row],[achternaam]]," ",bron[[#This Row],[voornaam]])</f>
        <v>9824 De Meulenaere Eric</v>
      </c>
      <c r="C746" t="str">
        <f>VLOOKUP(bron[[#This Row],[personeelsnr]],'data hastus'!$A:$C,2,0)</f>
        <v>De Meulenaere</v>
      </c>
      <c r="D746" t="str">
        <f>VLOOKUP(bron[[#This Row],[personeelsnr]],'data hastus'!$A:$C,3,0)</f>
        <v>Eric</v>
      </c>
      <c r="E746" t="str">
        <f>VLOOKUP(bron[[#This Row],[personeelsnr]],'data hastus'!A:K,11,FALSE)</f>
        <v>Steven Storm</v>
      </c>
      <c r="F746" s="10"/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45711</v>
      </c>
      <c r="U746" s="8" t="s">
        <v>1078</v>
      </c>
      <c r="V746" s="8"/>
      <c r="W746" s="8">
        <v>1</v>
      </c>
      <c r="X746" t="s">
        <v>3581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97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27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7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78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07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0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3" r:id="rId563" xr:uid="{C251BE52-D64A-40F3-8DC1-707966587D02}"/>
    <hyperlink ref="U635" r:id="rId564" xr:uid="{C7F96931-1F41-4392-BB45-AB92C7E8FFD7}"/>
    <hyperlink ref="U561" r:id="rId565" xr:uid="{730C7AE1-7643-4719-8632-C64D319771B0}"/>
    <hyperlink ref="U633" r:id="rId566" xr:uid="{D2369495-C800-435E-BFFA-8E9093A0F80C}"/>
    <hyperlink ref="U667" r:id="rId567" xr:uid="{0008102A-7EB8-4F37-BAC1-D6E4CC390730}"/>
    <hyperlink ref="U622" r:id="rId568" xr:uid="{351AB9DA-E3BE-4B59-ACEA-9324F3745699}"/>
    <hyperlink ref="U820" r:id="rId569" xr:uid="{899603D8-6E8D-4C79-924A-93406B78EE6B}"/>
    <hyperlink ref="U592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1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87" r:id="rId582" xr:uid="{2EDE9429-F341-4878-AB9F-AF725DA96FB3}"/>
    <hyperlink ref="U581" r:id="rId583" xr:uid="{D0A8B0FF-DF89-4F65-839E-1E68205C5FFF}"/>
    <hyperlink ref="U746" r:id="rId584" xr:uid="{2E040C5D-D095-44E3-B108-B706873F4965}"/>
    <hyperlink ref="U662" r:id="rId585" xr:uid="{C380338D-B4EB-403F-8201-FF24A466E0AE}"/>
    <hyperlink ref="U681" r:id="rId586" xr:uid="{898BACA9-0B24-4041-83A0-D0979000C0A0}"/>
    <hyperlink ref="U684" r:id="rId587" xr:uid="{F35FBE87-2C1F-4A44-AB97-02EB30AC6E6E}"/>
    <hyperlink ref="U710" r:id="rId588" xr:uid="{4D737CE6-73A6-4025-8559-A716C852BB95}"/>
    <hyperlink ref="U545" r:id="rId589" xr:uid="{0FC9E311-23DD-4419-B96B-98BEF4FED6F2}"/>
    <hyperlink ref="U523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4" r:id="rId644" xr:uid="{6DBCD5CC-7915-4AD2-ACB7-9AF638A8D476}"/>
    <hyperlink ref="U526" r:id="rId645" xr:uid="{ABEA59BF-FF44-4925-AA21-B49F73E586F9}"/>
    <hyperlink ref="U664" r:id="rId646" xr:uid="{6ADC597C-C276-4C62-8E82-A4969ACC73EF}"/>
    <hyperlink ref="U647" r:id="rId647" xr:uid="{2FBBADAF-55DB-491E-AD6E-CBCBA567C379}"/>
    <hyperlink ref="U671" r:id="rId648" xr:uid="{FC933634-D1AA-401F-9EC8-E2A2DA5B1806}"/>
    <hyperlink ref="U649" r:id="rId649" xr:uid="{B0C3DC5B-76AF-4980-9ED1-806AF6657A94}"/>
    <hyperlink ref="U580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1" r:id="rId658" xr:uid="{5DBEABD7-9276-4526-98A7-F5BD247071FC}"/>
    <hyperlink ref="U543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59" r:id="rId686" xr:uid="{2C8D7F5E-0E75-41BC-BBB4-A9211236EFFC}"/>
    <hyperlink ref="U577" r:id="rId687" xr:uid="{F99B1E7C-2349-405E-AA64-6967C432A75C}"/>
    <hyperlink ref="U672" r:id="rId688" xr:uid="{7C2A0286-1324-4403-B4DD-361A1DE5D0D9}"/>
    <hyperlink ref="U711" r:id="rId689" xr:uid="{A843F00B-7BAC-4217-9322-AFAA44197BF0}"/>
    <hyperlink ref="U544" r:id="rId690" xr:uid="{7B9D040B-C241-4309-A54F-21F4A2598A78}"/>
    <hyperlink ref="U609" r:id="rId691" xr:uid="{D015F0C9-969C-41A7-B05D-E8B186DD2A94}"/>
    <hyperlink ref="U578" r:id="rId692" xr:uid="{3C13EDDC-696D-4A5F-8A9E-BF272DB24513}"/>
    <hyperlink ref="U708" r:id="rId693" xr:uid="{E34F6C64-B60F-4F48-B4F1-8F9AACEBD075}"/>
    <hyperlink ref="U634" r:id="rId694" xr:uid="{220AA725-B3A5-4243-828D-E1C53155A150}"/>
    <hyperlink ref="U567" r:id="rId695" xr:uid="{BD4E9079-B973-4420-B1FD-4BF6FB1C7BE3}"/>
    <hyperlink ref="U616" r:id="rId696" xr:uid="{9B75B6EB-4972-47F4-A52E-FEF937B469CF}"/>
    <hyperlink ref="U718" r:id="rId697" xr:uid="{B58AB238-8D14-4EBC-B9DB-4A28D670C5DE}"/>
    <hyperlink ref="U839" r:id="rId698" xr:uid="{5173BAAC-F800-464C-B1AE-88F401557E13}"/>
    <hyperlink ref="U524" r:id="rId699" xr:uid="{484C4C1C-5CCC-486B-A82C-68FA2983E0DC}"/>
    <hyperlink ref="U640" r:id="rId700" xr:uid="{103C09BE-ED5D-4747-B5EA-48E902C6140F}"/>
    <hyperlink ref="U630" r:id="rId701" xr:uid="{251288C3-BF64-4860-9A54-41802A975EDB}"/>
    <hyperlink ref="U651" r:id="rId702" xr:uid="{FAF8B960-BFE9-4FB4-9CC7-36E0BE491390}"/>
    <hyperlink ref="U677" r:id="rId703" xr:uid="{6949557C-A40F-49B7-BB27-5E184F540F37}"/>
    <hyperlink ref="U659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16" r:id="rId708" xr:uid="{EB8F3410-4B22-4544-A2C6-9E83C2900923}"/>
    <hyperlink ref="U789" r:id="rId709" xr:uid="{03AA8935-8534-457F-8190-65FC4AD3BB0D}"/>
    <hyperlink ref="U589" r:id="rId710" xr:uid="{F4EFC8AC-0CB9-4AD7-92FA-021D8A8DC863}"/>
    <hyperlink ref="U656" r:id="rId711" xr:uid="{593C82B9-E6E1-4283-9A5A-1601224BACAE}"/>
    <hyperlink ref="U530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690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5" r:id="rId720" xr:uid="{FC61B223-3866-4716-9F84-568EC3B46547}"/>
    <hyperlink ref="U584" r:id="rId721" xr:uid="{D85F952D-CB1B-44F4-B28A-6C3D09476CF2}"/>
    <hyperlink ref="U625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5" r:id="rId757" xr:uid="{FCD32162-3212-4E63-83FF-A086C4015E85}"/>
    <hyperlink ref="U600" r:id="rId758" xr:uid="{43EDAC8C-154F-4594-876F-3F9377E4C0C1}"/>
    <hyperlink ref="U673" r:id="rId759" xr:uid="{8D3EABC5-7EEB-4300-9EC6-7B98D5F8E029}"/>
    <hyperlink ref="U687" r:id="rId760" xr:uid="{E0BA6773-6967-4D97-A6D9-16414C9EBA75}"/>
    <hyperlink ref="U642" r:id="rId761" xr:uid="{373A757C-29EC-4205-A1DA-27EEA898D2E7}"/>
    <hyperlink ref="U653" r:id="rId762" xr:uid="{E74A0A93-7E76-4BC0-99FA-7A5BB8BD7138}"/>
    <hyperlink ref="U599" r:id="rId763" xr:uid="{F37985B0-E9F1-438A-82A1-42D19BFF8F90}"/>
    <hyperlink ref="U668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3" r:id="rId770" xr:uid="{11491747-2133-49D4-A272-44F6FF53D9C6}"/>
    <hyperlink ref="U636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2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6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08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46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4" r:id="rId807" xr:uid="{738BBA94-39E1-4EAD-85E3-D6FD30B5D2A2}"/>
    <hyperlink ref="U516" r:id="rId808" xr:uid="{366A0727-3127-49A7-8A3D-1CF9FEDBA2C5}"/>
    <hyperlink ref="U686" r:id="rId809" xr:uid="{36071FA3-ED9D-4C49-BBE1-80EA68977EF9}"/>
    <hyperlink ref="U706" r:id="rId810" xr:uid="{6E08855B-C243-4269-AE79-8EAC47FB9816}"/>
    <hyperlink ref="U55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2025-09-13T08:13:51Z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