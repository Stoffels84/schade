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52" documentId="13_ncr:1_{10FCACA5-8197-478D-90D3-5F83063FB753}" xr6:coauthVersionLast="47" xr6:coauthVersionMax="47" xr10:uidLastSave="{CEB37554-E8A1-4F09-877B-E9FDD70F6902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B939" i="1" s="1"/>
  <c r="D939" i="1"/>
  <c r="E939" i="1"/>
  <c r="S939" i="1"/>
  <c r="C938" i="1"/>
  <c r="B938" i="1" s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5" i="1" l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<sst xmlns="http://schemas.openxmlformats.org/spreadsheetml/2006/main" count="8759" uniqueCount="3755">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</sst>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30</v>
          </cell>
        </row>
        <row r="3">
          <cell r="A3">
            <v>13</v>
          </cell>
          <cell r="B3" t="str">
            <v>Bart Van der Beken</v>
          </cell>
          <cell r="D3">
            <v>27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9</v>
          </cell>
          <cell r="B5" t="str">
            <v>Els Vanhoe</v>
          </cell>
          <cell r="D5">
            <v>28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10</v>
          </cell>
          <cell r="B8" t="str">
            <v>Lucie Vande Velde</v>
          </cell>
          <cell r="D8">
            <v>26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30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27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28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75</v>
      </c>
      <c r="J50" s="14" t="s">
        <v>109</v>
      </c>
      <c r="K50" s="14"/>
      <c r="L50" s="25"/>
      <c r="M50" s="14">
        <f>SUM(M42:M49)</f>
        <v>211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00" activePane="bottomLeft" state="frozen"/>
      <selection activeCell="F1" sqref="F1"/>
      <selection pane="bottomLeft" activeCell="Y937" sqref="Y93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44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44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44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10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44">
        <f>SUM(bron[[#This Row],[Januari]:[December]])</f>
        <v>0</v>
      </c>
      <c r="T937" s="41">
        <v>45964</v>
      </c>
      <c r="V937" s="37"/>
      <c r="W937" s="37"/>
      <c r="X937" t="s">
        <v>3512</v>
      </c>
    </row>
    <row r="938" spans="1:27" x14ac:dyDescent="0.25">
      <c r="B938" t="e">
        <f>_xlfn.CONCAT(bron[[#This Row],[personeelsnr]]," ",bron[[#This Row],[achternaam]]," ",bron[[#This Row],[voornaam]])</f>
        <v>#N/A</v>
      </c>
      <c r="C938" t="e">
        <f>VLOOKUP(bron[[#This Row],[personeelsnr]],'data hastus'!$A:$C,2,0)</f>
        <v>#N/A</v>
      </c>
      <c r="D938" t="e">
        <f>VLOOKUP(bron[[#This Row],[personeelsnr]],'data hastus'!$A:$C,3,0)</f>
        <v>#N/A</v>
      </c>
      <c r="E938" s="2" t="e">
        <f>VLOOKUP(bron[[#This Row],[personeelsnr]],'data hastus'!A:K,11,FALSE)</f>
        <v>#N/A</v>
      </c>
      <c r="F938" s="10"/>
      <c r="G938" s="39"/>
      <c r="H938" s="39"/>
      <c r="I938" s="39"/>
      <c r="S938" s="44">
        <f>SUM(bron[[#This Row],[Januari]:[December]])</f>
        <v>0</v>
      </c>
      <c r="V938" s="37"/>
      <c r="W938" s="37"/>
    </row>
    <row r="939" spans="1:27" x14ac:dyDescent="0.25">
      <c r="B939" t="e">
        <f>_xlfn.CONCAT(bron[[#This Row],[personeelsnr]]," ",bron[[#This Row],[achternaam]]," ",bron[[#This Row],[voornaam]])</f>
        <v>#N/A</v>
      </c>
      <c r="C939" t="e">
        <f>VLOOKUP(bron[[#This Row],[personeelsnr]],'data hastus'!$A:$C,2,0)</f>
        <v>#N/A</v>
      </c>
      <c r="D939" t="e">
        <f>VLOOKUP(bron[[#This Row],[personeelsnr]],'data hastus'!$A:$C,3,0)</f>
        <v>#N/A</v>
      </c>
      <c r="E939" s="2" t="e">
        <f>VLOOKUP(bron[[#This Row],[personeelsnr]],'data hastus'!A:K,11,FALSE)</f>
        <v>#N/A</v>
      </c>
      <c r="F939" s="10"/>
      <c r="G939" s="39"/>
      <c r="H939" s="39"/>
      <c r="I939" s="39"/>
      <c r="S939" s="44">
        <f>SUM(bron[[#This Row],[Januari]:[December]])</f>
        <v>0</v>
      </c>
      <c r="V939" s="37"/>
      <c r="W939" s="37"/>
    </row>
    <row r="940" spans="1:27" x14ac:dyDescent="0.25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44">
        <f>SUM(bron[[#This Row],[Januari]:[December]])</f>
        <v>0</v>
      </c>
      <c r="V940" s="37"/>
      <c r="W940" s="37"/>
    </row>
    <row r="941" spans="1:27" x14ac:dyDescent="0.25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44">
        <f>SUM(bron[[#This Row],[Januari]:[December]])</f>
        <v>0</v>
      </c>
      <c r="V941" s="37"/>
      <c r="W941" s="37"/>
    </row>
    <row r="942" spans="1:27" x14ac:dyDescent="0.25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44">
        <f>SUM(bron[[#This Row],[Januari]:[December]])</f>
        <v>0</v>
      </c>
      <c r="V942" s="37"/>
      <c r="W942" s="37"/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44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44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2025-11-03T14:44:53Z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