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43" documentId="13_ncr:1_{10FCACA5-8197-478D-90D3-5F83063FB753}" xr6:coauthVersionLast="47" xr6:coauthVersionMax="47" xr10:uidLastSave="{F46504F5-E63B-49B8-BC0F-94E1E1905E84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8" i="1" l="1"/>
  <c r="B918" i="1" s="1"/>
  <c r="D918" i="1"/>
  <c r="E918" i="1"/>
  <c r="S918" i="1"/>
  <c r="C917" i="1"/>
  <c r="B917" i="1" s="1"/>
  <c r="D917" i="1"/>
  <c r="E917" i="1"/>
  <c r="S917" i="1"/>
  <c r="C916" i="1"/>
  <c r="B916" i="1" s="1"/>
  <c r="D916" i="1"/>
  <c r="E916" i="1"/>
  <c r="S916" i="1"/>
  <c r="C915" i="1"/>
  <c r="B915" i="1" s="1"/>
  <c r="D915" i="1"/>
  <c r="E915" i="1"/>
  <c r="S915" i="1"/>
  <c r="C914" i="1"/>
  <c r="B914" i="1" s="1"/>
  <c r="D914" i="1"/>
  <c r="E914" i="1"/>
  <c r="S914" i="1"/>
  <c r="C913" i="1"/>
  <c r="B913" i="1" s="1"/>
  <c r="D913" i="1"/>
  <c r="E913" i="1"/>
  <c r="S913" i="1"/>
  <c r="C912" i="1"/>
  <c r="B912" i="1" s="1"/>
  <c r="D912" i="1"/>
  <c r="E912" i="1"/>
  <c r="S912" i="1"/>
  <c r="C911" i="1"/>
  <c r="B911" i="1" s="1"/>
  <c r="D911" i="1"/>
  <c r="E911" i="1"/>
  <c r="S911" i="1"/>
  <c r="C910" i="1"/>
  <c r="B910" i="1" s="1"/>
  <c r="D910" i="1"/>
  <c r="E910" i="1"/>
  <c r="S910" i="1"/>
  <c r="C904" i="1"/>
  <c r="D904" i="1"/>
  <c r="E904" i="1"/>
  <c r="S904" i="1"/>
  <c r="C908" i="1"/>
  <c r="D908" i="1"/>
  <c r="E908" i="1"/>
  <c r="S908" i="1"/>
  <c r="C907" i="1"/>
  <c r="D907" i="1"/>
  <c r="E907" i="1"/>
  <c r="S907" i="1"/>
  <c r="C902" i="1"/>
  <c r="D902" i="1"/>
  <c r="E902" i="1"/>
  <c r="S902" i="1"/>
  <c r="C909" i="1"/>
  <c r="D909" i="1"/>
  <c r="E909" i="1"/>
  <c r="S909" i="1"/>
  <c r="C906" i="1"/>
  <c r="D906" i="1"/>
  <c r="E906" i="1"/>
  <c r="S906" i="1"/>
  <c r="C903" i="1"/>
  <c r="D903" i="1"/>
  <c r="E903" i="1"/>
  <c r="S903" i="1"/>
  <c r="C898" i="1"/>
  <c r="D898" i="1"/>
  <c r="E898" i="1"/>
  <c r="S898" i="1"/>
  <c r="C905" i="1"/>
  <c r="D905" i="1"/>
  <c r="E905" i="1"/>
  <c r="S905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09" i="1" l="1"/>
  <c r="B907" i="1"/>
  <c r="B904" i="1"/>
  <c r="B906" i="1"/>
  <c r="B908" i="1"/>
  <c r="B902" i="1"/>
  <c r="B855" i="1"/>
  <c r="B886" i="1"/>
  <c r="B890" i="1"/>
  <c r="B896" i="1"/>
  <c r="B898" i="1"/>
  <c r="B884" i="1"/>
  <c r="B887" i="1"/>
  <c r="B895" i="1"/>
  <c r="B901" i="1"/>
  <c r="B905" i="1"/>
  <c r="B903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D9" i="12"/>
  <c r="E10" i="12"/>
  <c r="E14" i="12"/>
  <c r="D7" i="12"/>
  <c r="E6" i="12"/>
  <c r="D3" i="12"/>
  <c r="E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12" i="12" l="1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<sst xmlns="http://schemas.openxmlformats.org/spreadsheetml/2006/main" count="8666" uniqueCount="3727">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</sst>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14</v>
          </cell>
          <cell r="B3" t="str">
            <v>Bart Van der Beken</v>
          </cell>
          <cell r="D3">
            <v>26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14</v>
          </cell>
          <cell r="B5" t="str">
            <v>Els Vanhoe</v>
          </cell>
          <cell r="D5">
            <v>23</v>
          </cell>
        </row>
        <row r="6">
          <cell r="A6">
            <v>8</v>
          </cell>
          <cell r="B6" t="str">
            <v>Dominique De Clercq</v>
          </cell>
          <cell r="D6">
            <v>36</v>
          </cell>
        </row>
        <row r="7">
          <cell r="A7">
            <v>8</v>
          </cell>
          <cell r="B7" t="str">
            <v>Steven Storm</v>
          </cell>
          <cell r="D7">
            <v>13</v>
          </cell>
        </row>
        <row r="8">
          <cell r="A8">
            <v>11</v>
          </cell>
          <cell r="B8" t="str">
            <v>Lucie Vande Velde</v>
          </cell>
          <cell r="D8">
            <v>23</v>
          </cell>
        </row>
        <row r="9">
          <cell r="A9">
            <v>10</v>
          </cell>
          <cell r="B9" t="str">
            <v>Kenneth De Rick</v>
          </cell>
          <cell r="D9">
            <v>24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8" totalsRowShown="0" headerRowDxfId="10">
  <autoFilter ref="A1:AA918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printerSettings" Target="../printerSettings/printerSettings2.bin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table" Target="../tables/table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drawing" Target="../drawings/drawing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5" t="s">
        <v>89</v>
      </c>
      <c r="J41" s="45"/>
      <c r="K41" s="45"/>
      <c r="L41" s="25"/>
      <c r="M41" s="45" t="s">
        <v>90</v>
      </c>
      <c r="N41" s="45"/>
      <c r="O41" s="45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14</v>
      </c>
      <c r="J43" s="13" t="str">
        <f>'[1]Ingeplande per TC'!$B$3</f>
        <v>Bart Van der Beken</v>
      </c>
      <c r="K43" s="13"/>
      <c r="L43" s="25"/>
      <c r="M43" s="13">
        <f>'[1]Ingeplande per TC'!$D$3</f>
        <v>26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14</v>
      </c>
      <c r="J45" s="13" t="str">
        <f>'[1]Ingeplande per TC'!$B$5</f>
        <v>Els Vanhoe</v>
      </c>
      <c r="K45" s="13"/>
      <c r="L45" s="25"/>
      <c r="M45" s="13">
        <f>'[1]Ingeplande per TC'!$D$5</f>
        <v>23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13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23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24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87</v>
      </c>
      <c r="J50" s="14" t="s">
        <v>109</v>
      </c>
      <c r="K50" s="14"/>
      <c r="L50" s="25"/>
      <c r="M50" s="14">
        <f>SUM(M42:M49)</f>
        <v>192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8"/>
  <sheetViews>
    <sheetView tabSelected="1" zoomScale="85" zoomScaleNormal="85" workbookViewId="0">
      <pane ySplit="1" topLeftCell="A889" activePane="bottomLeft" state="frozen"/>
      <selection activeCell="F1" sqref="F1"/>
      <selection pane="bottomLeft" activeCell="A914" sqref="A91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25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25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25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25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25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25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25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25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25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3717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3714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3720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3712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3715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41588</v>
      </c>
      <c r="B907" t="str">
        <f>_xlfn.CONCAT(bron[[#This Row],[personeelsnr]]," ",bron[[#This Row],[achternaam]]," ",bron[[#This Row],[voornaam]])</f>
        <v>41588 Naessens Yves</v>
      </c>
      <c r="C907" t="str">
        <f>VLOOKUP(bron[[#This Row],[personeelsnr]],'data hastus'!$A:$C,2,0)</f>
        <v>Naessens</v>
      </c>
      <c r="D907" t="str">
        <f>VLOOKUP(bron[[#This Row],[personeelsnr]],'data hastus'!$A:$C,3,0)</f>
        <v>Yves</v>
      </c>
      <c r="E907" s="2" t="str">
        <f>VLOOKUP(bron[[#This Row],[personeelsnr]],'data hastus'!A:K,11,FALSE)</f>
        <v>Kenneth De Rick</v>
      </c>
      <c r="G907" s="39"/>
      <c r="H907" s="39"/>
      <c r="I907" s="39"/>
      <c r="S907" s="36">
        <f>SUM(bron[[#This Row],[Januari]:[December]])</f>
        <v>0</v>
      </c>
      <c r="T907" s="41">
        <v>45944</v>
      </c>
      <c r="U907" s="5" t="s">
        <v>3718</v>
      </c>
      <c r="V907" s="37"/>
      <c r="W907" s="37"/>
      <c r="X907" t="s">
        <v>3513</v>
      </c>
      <c r="Y907" t="s">
        <v>16</v>
      </c>
      <c r="Z907" s="2">
        <v>2196</v>
      </c>
      <c r="AA907" s="43" t="s">
        <v>3558</v>
      </c>
    </row>
    <row r="908" spans="1:27" x14ac:dyDescent="0.25">
      <c r="A908">
        <v>39928</v>
      </c>
      <c r="B908" t="str">
        <f>_xlfn.CONCAT(bron[[#This Row],[personeelsnr]]," ",bron[[#This Row],[achternaam]]," ",bron[[#This Row],[voornaam]])</f>
        <v>39928 Momand Abdullah</v>
      </c>
      <c r="C908" t="str">
        <f>VLOOKUP(bron[[#This Row],[personeelsnr]],'data hastus'!$A:$C,2,0)</f>
        <v>Momand</v>
      </c>
      <c r="D908" t="str">
        <f>VLOOKUP(bron[[#This Row],[personeelsnr]],'data hastus'!$A:$C,3,0)</f>
        <v>Abdullah</v>
      </c>
      <c r="E908" s="2" t="str">
        <f>VLOOKUP(bron[[#This Row],[personeelsnr]],'data hastus'!A:K,11,FALSE)</f>
        <v>Bart Van Der Beken</v>
      </c>
      <c r="G908" s="39"/>
      <c r="H908" s="39"/>
      <c r="I908" s="39"/>
      <c r="S908" s="36">
        <f>SUM(bron[[#This Row],[Januari]:[December]])</f>
        <v>0</v>
      </c>
      <c r="T908" s="41">
        <v>45944</v>
      </c>
      <c r="U908" s="5" t="s">
        <v>3719</v>
      </c>
      <c r="V908" s="37"/>
      <c r="W908" s="37"/>
      <c r="X908" t="s">
        <v>3512</v>
      </c>
      <c r="Y908" t="s">
        <v>3563</v>
      </c>
      <c r="Z908" s="2">
        <v>5934</v>
      </c>
      <c r="AA908" s="43" t="s">
        <v>3558</v>
      </c>
    </row>
    <row r="909" spans="1:27" x14ac:dyDescent="0.25">
      <c r="A909">
        <v>42252</v>
      </c>
      <c r="B909" t="str">
        <f>_xlfn.CONCAT(bron[[#This Row],[personeelsnr]]," ",bron[[#This Row],[achternaam]]," ",bron[[#This Row],[voornaam]])</f>
        <v>42252 Sular Abdullah</v>
      </c>
      <c r="C909" t="str">
        <f>VLOOKUP(bron[[#This Row],[personeelsnr]],'data hastus'!$A:$C,2,0)</f>
        <v>Sular</v>
      </c>
      <c r="D909" t="str">
        <f>VLOOKUP(bron[[#This Row],[personeelsnr]],'data hastus'!$A:$C,3,0)</f>
        <v>Abdullah</v>
      </c>
      <c r="E909" s="2" t="str">
        <f>VLOOKUP(bron[[#This Row],[personeelsnr]],'data hastus'!A:K,11,FALSE)</f>
        <v>Christoff Rotty</v>
      </c>
      <c r="G909" s="39"/>
      <c r="H909" s="39"/>
      <c r="I909" s="39"/>
      <c r="S909" s="36">
        <f>SUM(bron[[#This Row],[Januari]:[December]])</f>
        <v>0</v>
      </c>
      <c r="T909" s="41">
        <v>45945</v>
      </c>
      <c r="U909" s="5" t="s">
        <v>3716</v>
      </c>
      <c r="V909" s="37"/>
      <c r="W909" s="37"/>
      <c r="X909" t="s">
        <v>3512</v>
      </c>
      <c r="Y909" t="s">
        <v>608</v>
      </c>
      <c r="Z909" s="2">
        <v>5910</v>
      </c>
      <c r="AA909" s="43" t="s">
        <v>3559</v>
      </c>
    </row>
    <row r="910" spans="1:27" x14ac:dyDescent="0.25">
      <c r="A910">
        <v>20653</v>
      </c>
      <c r="B910" t="str">
        <f>_xlfn.CONCAT(bron[[#This Row],[personeelsnr]]," ",bron[[#This Row],[achternaam]]," ",bron[[#This Row],[voornaam]])</f>
        <v>20653 Mestdag Marius</v>
      </c>
      <c r="C910" t="str">
        <f>VLOOKUP(bron[[#This Row],[personeelsnr]],'data hastus'!$A:$C,2,0)</f>
        <v>Mestdag</v>
      </c>
      <c r="D910" t="str">
        <f>VLOOKUP(bron[[#This Row],[personeelsnr]],'data hastus'!$A:$C,3,0)</f>
        <v>Marius</v>
      </c>
      <c r="E910" s="2" t="str">
        <f>VLOOKUP(bron[[#This Row],[personeelsnr]],'data hastus'!A:K,11,FALSE)</f>
        <v>Bart Van Der Beken</v>
      </c>
      <c r="G910" s="39"/>
      <c r="H910" s="39"/>
      <c r="I910" s="39"/>
      <c r="S910" s="36">
        <f>SUM(bron[[#This Row],[Januari]:[December]])</f>
        <v>0</v>
      </c>
      <c r="T910" s="41">
        <v>45950</v>
      </c>
      <c r="U910" s="5" t="s">
        <v>3721</v>
      </c>
      <c r="V910" s="37"/>
      <c r="W910" s="37"/>
      <c r="X910" t="s">
        <v>3548</v>
      </c>
      <c r="Y910" t="s">
        <v>3722</v>
      </c>
      <c r="Z910" s="2">
        <v>6366</v>
      </c>
      <c r="AA910" s="43" t="s">
        <v>3558</v>
      </c>
    </row>
    <row r="911" spans="1:27" x14ac:dyDescent="0.25">
      <c r="A911">
        <v>30623</v>
      </c>
      <c r="B911" t="str">
        <f>_xlfn.CONCAT(bron[[#This Row],[personeelsnr]]," ",bron[[#This Row],[achternaam]]," ",bron[[#This Row],[voornaam]])</f>
        <v>30623 Gassa Mustafa</v>
      </c>
      <c r="C911" t="str">
        <f>VLOOKUP(bron[[#This Row],[personeelsnr]],'data hastus'!$A:$C,2,0)</f>
        <v>Gassa</v>
      </c>
      <c r="D911" t="str">
        <f>VLOOKUP(bron[[#This Row],[personeelsnr]],'data hastus'!$A:$C,3,0)</f>
        <v>Mustafa</v>
      </c>
      <c r="E911" s="2" t="str">
        <f>VLOOKUP(bron[[#This Row],[personeelsnr]],'data hastus'!A:K,11,FALSE)</f>
        <v>Kenneth De Rick</v>
      </c>
      <c r="F911" s="10"/>
      <c r="G911" s="39"/>
      <c r="H911" s="39"/>
      <c r="I911" s="39"/>
      <c r="S911" s="44">
        <f>SUM(bron[[#This Row],[Januari]:[December]])</f>
        <v>0</v>
      </c>
      <c r="T911" s="41">
        <v>45938</v>
      </c>
      <c r="U911" s="5" t="s">
        <v>3723</v>
      </c>
      <c r="V911" s="37"/>
      <c r="W911" s="37"/>
      <c r="X911" t="s">
        <v>3512</v>
      </c>
      <c r="Y911" t="s">
        <v>3724</v>
      </c>
      <c r="Z911" s="2">
        <v>5770</v>
      </c>
      <c r="AA911" s="43" t="s">
        <v>3558</v>
      </c>
    </row>
    <row r="912" spans="1:27" x14ac:dyDescent="0.25">
      <c r="A912">
        <v>41870</v>
      </c>
      <c r="B912" t="str">
        <f>_xlfn.CONCAT(bron[[#This Row],[personeelsnr]]," ",bron[[#This Row],[achternaam]]," ",bron[[#This Row],[voornaam]])</f>
        <v>41870 Goossens Yannick</v>
      </c>
      <c r="C912" t="str">
        <f>VLOOKUP(bron[[#This Row],[personeelsnr]],'data hastus'!$A:$C,2,0)</f>
        <v>Goossens</v>
      </c>
      <c r="D912" t="str">
        <f>VLOOKUP(bron[[#This Row],[personeelsnr]],'data hastus'!$A:$C,3,0)</f>
        <v>Yannick</v>
      </c>
      <c r="E912" s="2" t="str">
        <f>VLOOKUP(bron[[#This Row],[personeelsnr]],'data hastus'!A:K,11,FALSE)</f>
        <v>Steven Storm</v>
      </c>
      <c r="F912" s="10"/>
      <c r="G912" s="39"/>
      <c r="H912" s="39"/>
      <c r="I912" s="39"/>
      <c r="S912" s="44">
        <f>SUM(bron[[#This Row],[Januari]:[December]])</f>
        <v>0</v>
      </c>
      <c r="T912" s="41">
        <v>45948</v>
      </c>
      <c r="U912" s="5" t="s">
        <v>3725</v>
      </c>
      <c r="V912" s="37"/>
      <c r="W912" s="37"/>
      <c r="X912" t="s">
        <v>3512</v>
      </c>
      <c r="Y912" t="s">
        <v>84</v>
      </c>
      <c r="Z912" s="2">
        <v>550822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44">
        <f>SUM(bron[[#This Row],[Januari]:[December]])</f>
        <v>0</v>
      </c>
      <c r="T913" s="41">
        <v>45947</v>
      </c>
      <c r="U913" s="5" t="s">
        <v>3726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B914" t="e">
        <f>_xlfn.CONCAT(bron[[#This Row],[personeelsnr]]," ",bron[[#This Row],[achternaam]]," ",bron[[#This Row],[voornaam]])</f>
        <v>#N/A</v>
      </c>
      <c r="C914" t="e">
        <f>VLOOKUP(bron[[#This Row],[personeelsnr]],'data hastus'!$A:$C,2,0)</f>
        <v>#N/A</v>
      </c>
      <c r="D914" t="e">
        <f>VLOOKUP(bron[[#This Row],[personeelsnr]],'data hastus'!$A:$C,3,0)</f>
        <v>#N/A</v>
      </c>
      <c r="E914" s="2" t="e">
        <f>VLOOKUP(bron[[#This Row],[personeelsnr]],'data hastus'!A:K,11,FALSE)</f>
        <v>#N/A</v>
      </c>
      <c r="F914" s="10"/>
      <c r="G914" s="39"/>
      <c r="H914" s="39"/>
      <c r="I914" s="39"/>
      <c r="S914" s="44">
        <f>SUM(bron[[#This Row],[Januari]:[December]])</f>
        <v>0</v>
      </c>
      <c r="V914" s="37"/>
      <c r="W914" s="37"/>
    </row>
    <row r="915" spans="1:27" x14ac:dyDescent="0.25">
      <c r="B915" t="e">
        <f>_xlfn.CONCAT(bron[[#This Row],[personeelsnr]]," ",bron[[#This Row],[achternaam]]," ",bron[[#This Row],[voornaam]])</f>
        <v>#N/A</v>
      </c>
      <c r="C915" t="e">
        <f>VLOOKUP(bron[[#This Row],[personeelsnr]],'data hastus'!$A:$C,2,0)</f>
        <v>#N/A</v>
      </c>
      <c r="D915" t="e">
        <f>VLOOKUP(bron[[#This Row],[personeelsnr]],'data hastus'!$A:$C,3,0)</f>
        <v>#N/A</v>
      </c>
      <c r="E915" s="2" t="e">
        <f>VLOOKUP(bron[[#This Row],[personeelsnr]],'data hastus'!A:K,11,FALSE)</f>
        <v>#N/A</v>
      </c>
      <c r="F915" s="10"/>
      <c r="G915" s="39"/>
      <c r="H915" s="39"/>
      <c r="I915" s="39"/>
      <c r="S915" s="44">
        <f>SUM(bron[[#This Row],[Januari]:[December]])</f>
        <v>0</v>
      </c>
      <c r="V915" s="37"/>
      <c r="W915" s="37"/>
    </row>
    <row r="916" spans="1:27" x14ac:dyDescent="0.25">
      <c r="B916" t="e">
        <f>_xlfn.CONCAT(bron[[#This Row],[personeelsnr]]," ",bron[[#This Row],[achternaam]]," ",bron[[#This Row],[voornaam]])</f>
        <v>#N/A</v>
      </c>
      <c r="C916" t="e">
        <f>VLOOKUP(bron[[#This Row],[personeelsnr]],'data hastus'!$A:$C,2,0)</f>
        <v>#N/A</v>
      </c>
      <c r="D916" t="e">
        <f>VLOOKUP(bron[[#This Row],[personeelsnr]],'data hastus'!$A:$C,3,0)</f>
        <v>#N/A</v>
      </c>
      <c r="E916" s="2" t="e">
        <f>VLOOKUP(bron[[#This Row],[personeelsnr]],'data hastus'!A:K,11,FALSE)</f>
        <v>#N/A</v>
      </c>
      <c r="F916" s="10"/>
      <c r="G916" s="39"/>
      <c r="H916" s="39"/>
      <c r="I916" s="39"/>
      <c r="S916" s="44">
        <f>SUM(bron[[#This Row],[Januari]:[December]])</f>
        <v>0</v>
      </c>
      <c r="V916" s="37"/>
      <c r="W916" s="37"/>
    </row>
    <row r="917" spans="1:27" x14ac:dyDescent="0.25">
      <c r="B917" t="e">
        <f>_xlfn.CONCAT(bron[[#This Row],[personeelsnr]]," ",bron[[#This Row],[achternaam]]," ",bron[[#This Row],[voornaam]])</f>
        <v>#N/A</v>
      </c>
      <c r="C917" t="e">
        <f>VLOOKUP(bron[[#This Row],[personeelsnr]],'data hastus'!$A:$C,2,0)</f>
        <v>#N/A</v>
      </c>
      <c r="D917" t="e">
        <f>VLOOKUP(bron[[#This Row],[personeelsnr]],'data hastus'!$A:$C,3,0)</f>
        <v>#N/A</v>
      </c>
      <c r="E917" s="2" t="e">
        <f>VLOOKUP(bron[[#This Row],[personeelsnr]],'data hastus'!A:K,11,FALSE)</f>
        <v>#N/A</v>
      </c>
      <c r="F917" s="10"/>
      <c r="G917" s="39"/>
      <c r="H917" s="39"/>
      <c r="I917" s="39"/>
      <c r="S917" s="44">
        <f>SUM(bron[[#This Row],[Januari]:[December]])</f>
        <v>0</v>
      </c>
      <c r="V917" s="37"/>
      <c r="W917" s="37"/>
    </row>
    <row r="918" spans="1:27" x14ac:dyDescent="0.25">
      <c r="B918" t="e">
        <f>_xlfn.CONCAT(bron[[#This Row],[personeelsnr]]," ",bron[[#This Row],[achternaam]]," ",bron[[#This Row],[voornaam]])</f>
        <v>#N/A</v>
      </c>
      <c r="C918" t="e">
        <f>VLOOKUP(bron[[#This Row],[personeelsnr]],'data hastus'!$A:$C,2,0)</f>
        <v>#N/A</v>
      </c>
      <c r="D918" t="e">
        <f>VLOOKUP(bron[[#This Row],[personeelsnr]],'data hastus'!$A:$C,3,0)</f>
        <v>#N/A</v>
      </c>
      <c r="E918" s="2" t="e">
        <f>VLOOKUP(bron[[#This Row],[personeelsnr]],'data hastus'!A:K,11,FALSE)</f>
        <v>#N/A</v>
      </c>
      <c r="F918" s="10"/>
      <c r="G918" s="39"/>
      <c r="H918" s="39"/>
      <c r="I918" s="39"/>
      <c r="S918" s="44">
        <f>SUM(bron[[#This Row],[Januari]:[December]])</f>
        <v>0</v>
      </c>
      <c r="V918" s="37"/>
      <c r="W918" s="37"/>
    </row>
  </sheetData>
  <sheetProtection sort="0" autoFilter="0"/>
  <phoneticPr fontId="1" type="noConversion"/>
  <conditionalFormatting sqref="F2:F91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</hyperlinks>
  <pageMargins left="0.7" right="0.7" top="0.75" bottom="0.75" header="0.3" footer="0.3"/>
  <pageSetup paperSize="9" orientation="portrait" r:id="rId820"/>
  <drawing r:id="rId821"/>
  <tableParts count="1">
    <tablePart r:id="rId82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E043CFC-B6EC-458E-8662-10D7CA476A6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2025-10-22T06:11:39Z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