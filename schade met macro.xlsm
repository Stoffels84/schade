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40" documentId="8_{E6BCF386-B104-424C-B4A8-F32964540273}" xr6:coauthVersionLast="47" xr6:coauthVersionMax="47" xr10:uidLastSave="{EF633A7E-BC6C-4509-A2E0-09B7B11062E2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7" i="1" l="1"/>
  <c r="C857" i="1"/>
  <c r="D857" i="1"/>
  <c r="E857" i="1"/>
  <c r="S857" i="1"/>
  <c r="C856" i="1"/>
  <c r="B856" i="1" s="1"/>
  <c r="D856" i="1"/>
  <c r="E856" i="1"/>
  <c r="S856" i="1"/>
  <c r="S855" i="1"/>
  <c r="C855" i="1"/>
  <c r="B855" i="1" s="1"/>
  <c r="D855" i="1"/>
  <c r="E855" i="1"/>
  <c r="C854" i="1"/>
  <c r="B854" i="1" s="1"/>
  <c r="D854" i="1"/>
  <c r="E854" i="1"/>
  <c r="S854" i="1"/>
  <c r="C853" i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40" i="1"/>
  <c r="D840" i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 s="1"/>
  <c r="C652" i="1"/>
  <c r="C558" i="1"/>
  <c r="C832" i="1"/>
  <c r="C632" i="1"/>
  <c r="C568" i="1"/>
  <c r="C684" i="1"/>
  <c r="C625" i="1"/>
  <c r="C594" i="1"/>
  <c r="B594" i="1" s="1"/>
  <c r="C538" i="1"/>
  <c r="C578" i="1"/>
  <c r="C660" i="1"/>
  <c r="C623" i="1"/>
  <c r="C617" i="1"/>
  <c r="C548" i="1"/>
  <c r="C606" i="1"/>
  <c r="C520" i="1"/>
  <c r="B520" i="1" s="1"/>
  <c r="C663" i="1"/>
  <c r="C823" i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823" i="1" l="1"/>
  <c r="B663" i="1"/>
  <c r="B538" i="1"/>
  <c r="B652" i="1"/>
  <c r="B3" i="1"/>
  <c r="B607" i="1"/>
  <c r="B766" i="1"/>
  <c r="B792" i="1"/>
  <c r="B840" i="1"/>
  <c r="B845" i="1"/>
  <c r="B119" i="10"/>
  <c r="B389" i="10"/>
  <c r="B252" i="1"/>
  <c r="B475" i="1"/>
  <c r="B27" i="1"/>
  <c r="B220" i="1"/>
  <c r="B472" i="1"/>
  <c r="B505" i="1"/>
  <c r="B709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79" i="1"/>
  <c r="B330" i="10"/>
  <c r="B190" i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<sst xmlns="http://schemas.openxmlformats.org/spreadsheetml/2006/main" count="7378" uniqueCount="3543">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</sst>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7" totalsRowShown="0" headerRowDxfId="13">
  <autoFilter ref="A1:Y857" xr:uid="{2FDE3AF6-1CE1-4F38-BD72-1F03CD30F4FC}">
    <filterColumn colId="24">
      <filters>
        <filter val="De Pintelaan"/>
      </filters>
    </filterColumn>
  </autoFilter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7"/>
  <sheetViews>
    <sheetView tabSelected="1" topLeftCell="C1" zoomScale="85" zoomScaleNormal="85" workbookViewId="0">
      <pane ySplit="1" topLeftCell="A15" activePane="bottomLeft" state="frozen"/>
      <selection activeCell="F1" sqref="F1"/>
      <selection pane="bottomLeft" activeCell="Y857" sqref="Y85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hidden="1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hidden="1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hidden="1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hidden="1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hidden="1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hidden="1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hidden="1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hidden="1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hidden="1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hidden="1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hidden="1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hidden="1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hidden="1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hidden="1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hidden="1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hidden="1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hidden="1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hidden="1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hidden="1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hidden="1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hidden="1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hidden="1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hidden="1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hidden="1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hidden="1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hidden="1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hidden="1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hidden="1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hidden="1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hidden="1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hidden="1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hidden="1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hidden="1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hidden="1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hidden="1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hidden="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hidden="1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hidden="1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hidden="1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hidden="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hidden="1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hidden="1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hidden="1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hidden="1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hidden="1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hidden="1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hidden="1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hidden="1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hidden="1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hidden="1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hidden="1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hidden="1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hidden="1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hidden="1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hidden="1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hidden="1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hidden="1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hidden="1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hidden="1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hidden="1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hidden="1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hidden="1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hidden="1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hidden="1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hidden="1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hidden="1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hidden="1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hidden="1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hidden="1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hidden="1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hidden="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hidden="1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hidden="1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hidden="1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hidden="1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hidden="1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hidden="1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hidden="1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hidden="1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hidden="1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hidden="1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hidden="1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hidden="1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hidden="1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hidden="1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hidden="1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hidden="1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hidden="1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hidden="1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hidden="1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hidden="1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hidden="1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hidden="1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hidden="1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hidden="1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hidden="1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hidden="1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hidden="1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hidden="1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hidden="1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hidden="1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hidden="1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hidden="1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hidden="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hidden="1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hidden="1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hidden="1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hidden="1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hidden="1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hidden="1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hidden="1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hidden="1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hidden="1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hidden="1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hidden="1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hidden="1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hidden="1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hidden="1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hidden="1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hidden="1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hidden="1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hidden="1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hidden="1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hidden="1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hidden="1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hidden="1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hidden="1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hidden="1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hidden="1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hidden="1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hidden="1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hidden="1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hidden="1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hidden="1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hidden="1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hidden="1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hidden="1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hidden="1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hidden="1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hidden="1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hidden="1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hidden="1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hidden="1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hidden="1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hidden="1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hidden="1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hidden="1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hidden="1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hidden="1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hidden="1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hidden="1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hidden="1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hidden="1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hidden="1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hidden="1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hidden="1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hidden="1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hidden="1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hidden="1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hidden="1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hidden="1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hidden="1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hidden="1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hidden="1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hidden="1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hidden="1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hidden="1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hidden="1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hidden="1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hidden="1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hidden="1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hidden="1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hidden="1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hidden="1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hidden="1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hidden="1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hidden="1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hidden="1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hidden="1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hidden="1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hidden="1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hidden="1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hidden="1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hidden="1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hidden="1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hidden="1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hidden="1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hidden="1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hidden="1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hidden="1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hidden="1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hidden="1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hidden="1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hidden="1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hidden="1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hidden="1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hidden="1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hidden="1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hidden="1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hidden="1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hidden="1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hidden="1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hidden="1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hidden="1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hidden="1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hidden="1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hidden="1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hidden="1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hidden="1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hidden="1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hidden="1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hidden="1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hidden="1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hidden="1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hidden="1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hidden="1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hidden="1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hidden="1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hidden="1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hidden="1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hidden="1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hidden="1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hidden="1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hidden="1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hidden="1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hidden="1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hidden="1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hidden="1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hidden="1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hidden="1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hidden="1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hidden="1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hidden="1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hidden="1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hidden="1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hidden="1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hidden="1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hidden="1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hidden="1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hidden="1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hidden="1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hidden="1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hidden="1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hidden="1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hidden="1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hidden="1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hidden="1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hidden="1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hidden="1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hidden="1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hidden="1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hidden="1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hidden="1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hidden="1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hidden="1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hidden="1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hidden="1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hidden="1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hidden="1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hidden="1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hidden="1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hidden="1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hidden="1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hidden="1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hidden="1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hidden="1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hidden="1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hidden="1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hidden="1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hidden="1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hidden="1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hidden="1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hidden="1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hidden="1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hidden="1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hidden="1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hidden="1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hidden="1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hidden="1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hidden="1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hidden="1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hidden="1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hidden="1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hidden="1" x14ac:dyDescent="0.25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hidden="1" x14ac:dyDescent="0.25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hidden="1" x14ac:dyDescent="0.25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hidden="1" x14ac:dyDescent="0.25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hidden="1" x14ac:dyDescent="0.25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hidden="1" x14ac:dyDescent="0.25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hidden="1" x14ac:dyDescent="0.25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hidden="1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hidden="1" x14ac:dyDescent="0.25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hidden="1" x14ac:dyDescent="0.25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hidden="1" x14ac:dyDescent="0.25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hidden="1" x14ac:dyDescent="0.25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hidden="1" x14ac:dyDescent="0.25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hidden="1" x14ac:dyDescent="0.25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hidden="1" x14ac:dyDescent="0.25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hidden="1" x14ac:dyDescent="0.25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hidden="1" x14ac:dyDescent="0.25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hidden="1" x14ac:dyDescent="0.25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hidden="1" x14ac:dyDescent="0.25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hidden="1" x14ac:dyDescent="0.25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hidden="1" x14ac:dyDescent="0.25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hidden="1" x14ac:dyDescent="0.25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hidden="1" x14ac:dyDescent="0.25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hidden="1" x14ac:dyDescent="0.25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hidden="1" x14ac:dyDescent="0.25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hidden="1" x14ac:dyDescent="0.25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hidden="1" x14ac:dyDescent="0.25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hidden="1" x14ac:dyDescent="0.25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hidden="1" x14ac:dyDescent="0.25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hidden="1" x14ac:dyDescent="0.25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hidden="1" x14ac:dyDescent="0.25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hidden="1" x14ac:dyDescent="0.25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hidden="1" x14ac:dyDescent="0.25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hidden="1" x14ac:dyDescent="0.25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hidden="1" x14ac:dyDescent="0.25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hidden="1" x14ac:dyDescent="0.25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hidden="1" x14ac:dyDescent="0.25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hidden="1" x14ac:dyDescent="0.25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hidden="1" x14ac:dyDescent="0.25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hidden="1" x14ac:dyDescent="0.25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hidden="1" x14ac:dyDescent="0.25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hidden="1" x14ac:dyDescent="0.25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hidden="1" x14ac:dyDescent="0.25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hidden="1" x14ac:dyDescent="0.25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hidden="1" x14ac:dyDescent="0.25">
      <c r="A845">
        <v>42082</v>
      </c>
      <c r="B845" t="str">
        <f>_xlfn.CONCAT(bron[[#This Row],[personeelsnr]]," ",bron[[#This Row],[achternaam]]," ",bron[[#This Row],[voornaam]])</f>
        <v>42082 Ahmad Othman</v>
      </c>
      <c r="C845" t="str">
        <f>VLOOKUP(bron[[#This Row],[personeelsnr]],'data hastus'!$A:$C,2,0)</f>
        <v>Ahmad</v>
      </c>
      <c r="D845" t="str">
        <f>VLOOKUP(bron[[#This Row],[personeelsnr]],'data hastus'!$A:$C,3,0)</f>
        <v>Othman</v>
      </c>
      <c r="E845" t="str">
        <f>VLOOKUP(bron[[#This Row],[personeelsnr]],'data hastus'!A:K,11,FALSE)</f>
        <v>Dominique De Clercq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3534</v>
      </c>
      <c r="V845" s="24">
        <v>1</v>
      </c>
      <c r="W845" s="24"/>
      <c r="X845" t="s">
        <v>7</v>
      </c>
      <c r="Y845" t="s">
        <v>10</v>
      </c>
    </row>
    <row r="846" spans="1:25" hidden="1" x14ac:dyDescent="0.25">
      <c r="A846">
        <v>22244</v>
      </c>
      <c r="B846" t="str">
        <f>_xlfn.CONCAT(bron[[#This Row],[personeelsnr]]," ",bron[[#This Row],[achternaam]]," ",bron[[#This Row],[voornaam]])</f>
        <v>22244 Kirdas Süleyman</v>
      </c>
      <c r="C846" t="str">
        <f>VLOOKUP(bron[[#This Row],[personeelsnr]],'data hastus'!$A:$C,2,0)</f>
        <v>Kirdas</v>
      </c>
      <c r="D846" t="str">
        <f>VLOOKUP(bron[[#This Row],[personeelsnr]],'data hastus'!$A:$C,3,0)</f>
        <v>Süleyman</v>
      </c>
      <c r="E846" t="str">
        <f>VLOOKUP(bron[[#This Row],[personeelsnr]],'data hastus'!A:K,11,FALSE)</f>
        <v>Christoff Rotty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45905</v>
      </c>
      <c r="U846" s="5" t="s">
        <v>3535</v>
      </c>
      <c r="V846" s="24">
        <v>1</v>
      </c>
      <c r="W846" s="24"/>
      <c r="X846" t="s">
        <v>7</v>
      </c>
      <c r="Y846" t="s">
        <v>3536</v>
      </c>
    </row>
    <row r="847" spans="1:25" hidden="1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hidden="1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1:25" hidden="1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1:25" hidden="1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1:25" hidden="1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1:25" hidden="1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A854">
        <v>40134</v>
      </c>
      <c r="B854" t="str">
        <f>_xlfn.CONCAT(bron[[#This Row],[personeelsnr]]," ",bron[[#This Row],[achternaam]]," ",bron[[#This Row],[voornaam]])</f>
        <v>40134 Cardon Sharon</v>
      </c>
      <c r="C854" t="str">
        <f>VLOOKUP(bron[[#This Row],[personeelsnr]],'data hastus'!$A:$C,2,0)</f>
        <v>Cardon</v>
      </c>
      <c r="D854" t="str">
        <f>VLOOKUP(bron[[#This Row],[personeelsnr]],'data hastus'!$A:$C,3,0)</f>
        <v>Sharon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39">
        <f>SUM(bron[[#This Row],[Januari]:[December]])</f>
        <v>1</v>
      </c>
      <c r="T854" s="9">
        <v>45902</v>
      </c>
      <c r="U854" s="5" t="s">
        <v>3537</v>
      </c>
      <c r="V854" s="24">
        <v>1</v>
      </c>
      <c r="W854" s="24"/>
      <c r="X854" t="s">
        <v>7</v>
      </c>
      <c r="Y854" t="s">
        <v>3538</v>
      </c>
    </row>
    <row r="855" spans="1:25" x14ac:dyDescent="0.25">
      <c r="A855">
        <v>16895</v>
      </c>
      <c r="B855" t="str">
        <f>_xlfn.CONCAT(bron[[#This Row],[personeelsnr]]," ",bron[[#This Row],[achternaam]]," ",bron[[#This Row],[voornaam]])</f>
        <v>16895 Van Lauwe Freddy</v>
      </c>
      <c r="C855" t="str">
        <f>VLOOKUP(bron[[#This Row],[personeelsnr]],'data hastus'!$A:$C,2,0)</f>
        <v>Van Lauwe</v>
      </c>
      <c r="D855" t="str">
        <f>VLOOKUP(bron[[#This Row],[personeelsnr]],'data hastus'!$A:$C,3,0)</f>
        <v>Freddy</v>
      </c>
      <c r="E855" t="str">
        <f>VLOOKUP(bron[[#This Row],[personeelsnr]],'data hastus'!A:K,11,FALSE)</f>
        <v>Bart Van Der Beken</v>
      </c>
      <c r="F855" s="10"/>
      <c r="G855" s="7"/>
      <c r="H855" s="7"/>
      <c r="I855" s="7"/>
      <c r="O855" s="5">
        <v>1</v>
      </c>
      <c r="S855" s="39">
        <f>SUM(bron[[#This Row],[Januari]:[December]])</f>
        <v>1</v>
      </c>
      <c r="T855" s="9">
        <v>45909</v>
      </c>
      <c r="U855" s="5" t="s">
        <v>3539</v>
      </c>
      <c r="V855" s="24"/>
      <c r="W855" s="24">
        <v>1</v>
      </c>
      <c r="X855" t="s">
        <v>8</v>
      </c>
      <c r="Y855" t="s">
        <v>75</v>
      </c>
    </row>
    <row r="856" spans="1:25" x14ac:dyDescent="0.25">
      <c r="A856">
        <v>35491</v>
      </c>
      <c r="B856" t="str">
        <f>_xlfn.CONCAT(bron[[#This Row],[personeelsnr]]," ",bron[[#This Row],[achternaam]]," ",bron[[#This Row],[voornaam]])</f>
        <v>35491 Toubadie Zakaria</v>
      </c>
      <c r="C856" t="str">
        <f>VLOOKUP(bron[[#This Row],[personeelsnr]],'data hastus'!$A:$C,2,0)</f>
        <v>Toubadie</v>
      </c>
      <c r="D856" t="str">
        <f>VLOOKUP(bron[[#This Row],[personeelsnr]],'data hastus'!$A:$C,3,0)</f>
        <v>Zakaria</v>
      </c>
      <c r="E856" t="str">
        <f>VLOOKUP(bron[[#This Row],[personeelsnr]],'data hastus'!A:K,11,FALSE)</f>
        <v>Els Vanhoe</v>
      </c>
      <c r="F856" s="10"/>
      <c r="G856" s="7"/>
      <c r="H856" s="7"/>
      <c r="I856" s="7"/>
      <c r="O856" s="5">
        <v>1</v>
      </c>
      <c r="S856" s="39">
        <f>SUM(bron[[#This Row],[Januari]:[December]])</f>
        <v>1</v>
      </c>
      <c r="T856" s="9">
        <v>45909</v>
      </c>
      <c r="U856" s="5" t="s">
        <v>3540</v>
      </c>
      <c r="V856" s="24">
        <v>1</v>
      </c>
      <c r="W856" s="24"/>
      <c r="X856" t="s">
        <v>7</v>
      </c>
      <c r="Y856" t="s">
        <v>119</v>
      </c>
    </row>
    <row r="857" spans="1:25" x14ac:dyDescent="0.25">
      <c r="A857">
        <v>16895</v>
      </c>
      <c r="B857" t="str">
        <f>_xlfn.CONCAT(bron[[#This Row],[personeelsnr]]," ",bron[[#This Row],[achternaam]]," ",bron[[#This Row],[voornaam]])</f>
        <v>16895 Van Lauwe Freddy</v>
      </c>
      <c r="C857" t="str">
        <f>VLOOKUP(bron[[#This Row],[personeelsnr]],'data hastus'!$A:$C,2,0)</f>
        <v>Van Lauwe</v>
      </c>
      <c r="D857" t="str">
        <f>VLOOKUP(bron[[#This Row],[personeelsnr]],'data hastus'!$A:$C,3,0)</f>
        <v>Freddy</v>
      </c>
      <c r="E857" t="str">
        <f>VLOOKUP(bron[[#This Row],[personeelsnr]],'data hastus'!A:K,11,FALSE)</f>
        <v>Bart Van Der Beken</v>
      </c>
      <c r="F857" s="10"/>
      <c r="G857" s="7"/>
      <c r="H857" s="7"/>
      <c r="I857" s="7"/>
      <c r="S857" s="39">
        <f>SUM(bron[[#This Row],[Januari]:[December]])</f>
        <v>0</v>
      </c>
      <c r="T857" s="9">
        <v>45910</v>
      </c>
      <c r="U857" s="24" t="s">
        <v>3541</v>
      </c>
      <c r="V857" s="24"/>
      <c r="W857" s="24">
        <v>1</v>
      </c>
      <c r="X857" t="s">
        <v>8</v>
      </c>
      <c r="Y857" t="s">
        <v>3542</v>
      </c>
    </row>
  </sheetData>
  <sheetProtection sort="0" autoFilter="0"/>
  <phoneticPr fontId="1" type="noConversion"/>
  <conditionalFormatting sqref="F2:F857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  <hyperlink ref="U85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2025-09-10T12:48:44Z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