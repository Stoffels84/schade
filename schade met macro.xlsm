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7" documentId="8_{21511603-A870-4D4C-809B-4C28D285AF8F}" xr6:coauthVersionLast="47" xr6:coauthVersionMax="47" xr10:uidLastSave="{34FD148A-FF8E-435A-BBD2-26738FCDD4FA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6" i="1" l="1"/>
  <c r="B882" i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<sst xmlns="http://schemas.openxmlformats.org/spreadsheetml/2006/main" count="8638" uniqueCount="3718">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</sst>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Blad1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/>
      <sheetData sheetId="3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22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188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907" sqref="A90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3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3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3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3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3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3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3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3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3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3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3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3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3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3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3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3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3">
      <c r="A905">
        <v>42252</v>
      </c>
      <c r="B905" t="str">
        <f>_xlfn.CONCAT(bron[[#This Row],[personeelsnr]]," ",bron[[#This Row],[achternaam]]," ",bron[[#This Row],[voornaam]])</f>
        <v>42252 Sular Abdullah</v>
      </c>
      <c r="C905" t="str">
        <f>VLOOKUP(bron[[#This Row],[personeelsnr]],'data hastus'!$A:$C,2,0)</f>
        <v>Sular</v>
      </c>
      <c r="D905" t="str">
        <f>VLOOKUP(bron[[#This Row],[personeelsnr]],'data hastus'!$A:$C,3,0)</f>
        <v>Abdullah</v>
      </c>
      <c r="E905" s="2" t="str">
        <f>VLOOKUP(bron[[#This Row],[personeelsnr]],'data hastus'!A:K,11,FALSE)</f>
        <v>Christoff Rotty</v>
      </c>
      <c r="G905" s="39"/>
      <c r="H905" s="39"/>
      <c r="I905" s="39"/>
      <c r="S905" s="36">
        <f>SUM(bron[[#This Row],[Januari]:[December]])</f>
        <v>0</v>
      </c>
      <c r="T905" s="41">
        <v>45945</v>
      </c>
      <c r="U905" s="5" t="s">
        <v>3716</v>
      </c>
      <c r="V905" s="37"/>
      <c r="W905" s="37"/>
      <c r="X905" t="s">
        <v>3512</v>
      </c>
      <c r="Y905" t="s">
        <v>608</v>
      </c>
      <c r="Z905" s="2">
        <v>5910</v>
      </c>
      <c r="AA905" s="43" t="s">
        <v>3559</v>
      </c>
    </row>
    <row r="906" spans="1:27" x14ac:dyDescent="0.3">
      <c r="A906">
        <v>40138</v>
      </c>
      <c r="B906" t="str">
        <f>_xlfn.CONCAT(bron[[#This Row],[personeelsnr]]," ",bron[[#This Row],[achternaam]]," ",bron[[#This Row],[voornaam]])</f>
        <v>40138 Moerman Tjimmy</v>
      </c>
      <c r="C906" t="str">
        <f>VLOOKUP(bron[[#This Row],[personeelsnr]],'data hastus'!$A:$C,2,0)</f>
        <v>Moerman</v>
      </c>
      <c r="D906" t="str">
        <f>VLOOKUP(bron[[#This Row],[personeelsnr]],'data hastus'!$A:$C,3,0)</f>
        <v>Tjimmy</v>
      </c>
      <c r="E906" s="2" t="str">
        <f>VLOOKUP(bron[[#This Row],[personeelsnr]],'data hastus'!A:K,11,FALSE)</f>
        <v>Christoff Rotty</v>
      </c>
      <c r="G906" s="39"/>
      <c r="H906" s="39"/>
      <c r="I906" s="39"/>
      <c r="S906" s="36">
        <f>SUM(bron[[#This Row],[Januari]:[December]])</f>
        <v>0</v>
      </c>
      <c r="T906" s="41">
        <v>45939</v>
      </c>
      <c r="U906" s="5" t="s">
        <v>3717</v>
      </c>
      <c r="V906" s="37"/>
      <c r="W906" s="37"/>
      <c r="X906" t="s">
        <v>3513</v>
      </c>
      <c r="Y906" t="s">
        <v>236</v>
      </c>
      <c r="Z906" s="2">
        <v>5041</v>
      </c>
      <c r="AA906" s="43" t="s">
        <v>3559</v>
      </c>
    </row>
    <row r="907" spans="1:27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2025-10-16T17:01:10Z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