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7" documentId="13_ncr:1_{10FCACA5-8197-478D-90D3-5F83063FB753}" xr6:coauthVersionLast="47" xr6:coauthVersionMax="47" xr10:uidLastSave="{46DAE11C-F33C-4AD1-8624-B2058EEA32AC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16" i="1"/>
  <c r="B916" i="1" s="1"/>
  <c r="D916" i="1"/>
  <c r="E916" i="1"/>
  <c r="S916" i="1"/>
  <c r="C915" i="1"/>
  <c r="D915" i="1"/>
  <c r="E915" i="1"/>
  <c r="S915" i="1"/>
  <c r="C914" i="1"/>
  <c r="D914" i="1"/>
  <c r="E914" i="1"/>
  <c r="S914" i="1"/>
  <c r="C911" i="1"/>
  <c r="B911" i="1" s="1"/>
  <c r="D911" i="1"/>
  <c r="E911" i="1"/>
  <c r="S911" i="1"/>
  <c r="C912" i="1"/>
  <c r="D912" i="1"/>
  <c r="E912" i="1"/>
  <c r="S912" i="1"/>
  <c r="C902" i="1"/>
  <c r="B902" i="1" s="1"/>
  <c r="D902" i="1"/>
  <c r="E902" i="1"/>
  <c r="S902" i="1"/>
  <c r="C913" i="1"/>
  <c r="B913" i="1" s="1"/>
  <c r="D913" i="1"/>
  <c r="E913" i="1"/>
  <c r="S913" i="1"/>
  <c r="C905" i="1"/>
  <c r="D905" i="1"/>
  <c r="E905" i="1"/>
  <c r="S905" i="1"/>
  <c r="C909" i="1"/>
  <c r="D909" i="1"/>
  <c r="E909" i="1"/>
  <c r="S909" i="1"/>
  <c r="C908" i="1"/>
  <c r="D908" i="1"/>
  <c r="E908" i="1"/>
  <c r="S908" i="1"/>
  <c r="C903" i="1"/>
  <c r="D903" i="1"/>
  <c r="E903" i="1"/>
  <c r="S903" i="1"/>
  <c r="C910" i="1"/>
  <c r="D910" i="1"/>
  <c r="E910" i="1"/>
  <c r="S910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12" i="1" l="1"/>
  <c r="B915" i="1"/>
  <c r="B914" i="1"/>
  <c r="B910" i="1"/>
  <c r="B908" i="1"/>
  <c r="B905" i="1"/>
  <c r="B907" i="1"/>
  <c r="B909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<sst xmlns="http://schemas.openxmlformats.org/spreadsheetml/2006/main" count="8678" uniqueCount="3732">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</sst>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14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14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A917" sqref="A91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44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41588</v>
      </c>
      <c r="B908" t="str">
        <f>_xlfn.CONCAT(bron[[#This Row],[personeelsnr]]," ",bron[[#This Row],[achternaam]]," ",bron[[#This Row],[voornaam]])</f>
        <v>41588 Naessens Yves</v>
      </c>
      <c r="C908" t="str">
        <f>VLOOKUP(bron[[#This Row],[personeelsnr]],'data hastus'!$A:$C,2,0)</f>
        <v>Naessens</v>
      </c>
      <c r="D908" t="str">
        <f>VLOOKUP(bron[[#This Row],[personeelsnr]],'data hastus'!$A:$C,3,0)</f>
        <v>Yves</v>
      </c>
      <c r="E908" s="2" t="str">
        <f>VLOOKUP(bron[[#This Row],[personeelsnr]],'data hastus'!A:K,11,FALSE)</f>
        <v>Kenneth De Rick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3718</v>
      </c>
      <c r="V908" s="37"/>
      <c r="W908" s="37"/>
      <c r="X908" t="s">
        <v>3513</v>
      </c>
      <c r="Y908" t="s">
        <v>16</v>
      </c>
      <c r="Z908" s="2">
        <v>2196</v>
      </c>
      <c r="AA908" s="43" t="s">
        <v>3558</v>
      </c>
    </row>
    <row r="909" spans="1:27" x14ac:dyDescent="0.25">
      <c r="A909">
        <v>39928</v>
      </c>
      <c r="B909" t="str">
        <f>_xlfn.CONCAT(bron[[#This Row],[personeelsnr]]," ",bron[[#This Row],[achternaam]]," ",bron[[#This Row],[voornaam]])</f>
        <v>39928 Momand Abdullah</v>
      </c>
      <c r="C909" t="str">
        <f>VLOOKUP(bron[[#This Row],[personeelsnr]],'data hastus'!$A:$C,2,0)</f>
        <v>Momand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Bart Van Der Beken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3719</v>
      </c>
      <c r="V909" s="37"/>
      <c r="W909" s="37"/>
      <c r="X909" t="s">
        <v>3512</v>
      </c>
      <c r="Y909" t="s">
        <v>3563</v>
      </c>
      <c r="Z909" s="2">
        <v>5934</v>
      </c>
      <c r="AA909" s="43" t="s">
        <v>3558</v>
      </c>
    </row>
    <row r="910" spans="1:27" x14ac:dyDescent="0.25">
      <c r="A910">
        <v>42252</v>
      </c>
      <c r="B910" t="str">
        <f>_xlfn.CONCAT(bron[[#This Row],[personeelsnr]]," ",bron[[#This Row],[achternaam]]," ",bron[[#This Row],[voornaam]])</f>
        <v>42252 Sular Abdullah</v>
      </c>
      <c r="C910" t="str">
        <f>VLOOKUP(bron[[#This Row],[personeelsnr]],'data hastus'!$A:$C,2,0)</f>
        <v>Sular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Christoff Rotty</v>
      </c>
      <c r="G910" s="39"/>
      <c r="H910" s="39"/>
      <c r="I910" s="39"/>
      <c r="S910" s="36">
        <f>SUM(bron[[#This Row],[Januari]:[December]])</f>
        <v>0</v>
      </c>
      <c r="T910" s="41">
        <v>45945</v>
      </c>
      <c r="U910" s="5" t="s">
        <v>3716</v>
      </c>
      <c r="V910" s="37"/>
      <c r="W910" s="37"/>
      <c r="X910" t="s">
        <v>3512</v>
      </c>
      <c r="Y910" t="s">
        <v>608</v>
      </c>
      <c r="Z910" s="2">
        <v>5910</v>
      </c>
      <c r="AA910" s="43" t="s">
        <v>3559</v>
      </c>
    </row>
    <row r="911" spans="1:27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F911" s="10"/>
      <c r="G911" s="39"/>
      <c r="H911" s="39"/>
      <c r="I911" s="39"/>
      <c r="S911" s="44">
        <f>SUM(bron[[#This Row],[Januari]:[December]])</f>
        <v>0</v>
      </c>
      <c r="T911" s="41">
        <v>45947</v>
      </c>
      <c r="U911" s="5" t="s">
        <v>3726</v>
      </c>
      <c r="V911" s="37"/>
      <c r="W911" s="37"/>
      <c r="X911" t="s">
        <v>3512</v>
      </c>
      <c r="Y911" t="s">
        <v>207</v>
      </c>
      <c r="Z911" s="2">
        <v>5927</v>
      </c>
      <c r="AA911" s="43" t="s">
        <v>3558</v>
      </c>
    </row>
    <row r="912" spans="1:27" x14ac:dyDescent="0.25">
      <c r="A912">
        <v>41870</v>
      </c>
      <c r="B912" t="str">
        <f>_xlfn.CONCAT(bron[[#This Row],[personeelsnr]]," ",bron[[#This Row],[achternaam]]," ",bron[[#This Row],[voornaam]])</f>
        <v>41870 Goossens Yannick</v>
      </c>
      <c r="C912" t="str">
        <f>VLOOKUP(bron[[#This Row],[personeelsnr]],'data hastus'!$A:$C,2,0)</f>
        <v>Goossens</v>
      </c>
      <c r="D912" t="str">
        <f>VLOOKUP(bron[[#This Row],[personeelsnr]],'data hastus'!$A:$C,3,0)</f>
        <v>Yannick</v>
      </c>
      <c r="E912" s="2" t="str">
        <f>VLOOKUP(bron[[#This Row],[personeelsnr]],'data hastus'!A:K,11,FALSE)</f>
        <v>Steven Storm</v>
      </c>
      <c r="F912" s="10"/>
      <c r="G912" s="39"/>
      <c r="H912" s="39"/>
      <c r="I912" s="39"/>
      <c r="S912" s="44">
        <f>SUM(bron[[#This Row],[Januari]:[December]])</f>
        <v>0</v>
      </c>
      <c r="T912" s="41">
        <v>45948</v>
      </c>
      <c r="U912" s="5" t="s">
        <v>3725</v>
      </c>
      <c r="V912" s="37"/>
      <c r="W912" s="37"/>
      <c r="X912" t="s">
        <v>3512</v>
      </c>
      <c r="Y912" t="s">
        <v>84</v>
      </c>
      <c r="Z912" s="2">
        <v>550822</v>
      </c>
      <c r="AA912" s="43" t="s">
        <v>3559</v>
      </c>
    </row>
    <row r="913" spans="1:27" x14ac:dyDescent="0.25">
      <c r="A913">
        <v>20653</v>
      </c>
      <c r="B913" t="str">
        <f>_xlfn.CONCAT(bron[[#This Row],[personeelsnr]]," ",bron[[#This Row],[achternaam]]," ",bron[[#This Row],[voornaam]])</f>
        <v>20653 Mestdag Marius</v>
      </c>
      <c r="C913" t="str">
        <f>VLOOKUP(bron[[#This Row],[personeelsnr]],'data hastus'!$A:$C,2,0)</f>
        <v>Mestdag</v>
      </c>
      <c r="D913" t="str">
        <f>VLOOKUP(bron[[#This Row],[personeelsnr]],'data hastus'!$A:$C,3,0)</f>
        <v>Marius</v>
      </c>
      <c r="E913" s="2" t="str">
        <f>VLOOKUP(bron[[#This Row],[personeelsnr]],'data hastus'!A:K,11,FALSE)</f>
        <v>Bart Van Der Beken</v>
      </c>
      <c r="G913" s="39"/>
      <c r="H913" s="39"/>
      <c r="I913" s="39"/>
      <c r="S913" s="36">
        <f>SUM(bron[[#This Row],[Januari]:[December]])</f>
        <v>0</v>
      </c>
      <c r="T913" s="41">
        <v>45950</v>
      </c>
      <c r="U913" s="5" t="s">
        <v>3721</v>
      </c>
      <c r="V913" s="37"/>
      <c r="W913" s="37"/>
      <c r="X913" t="s">
        <v>3548</v>
      </c>
      <c r="Y913" t="s">
        <v>3722</v>
      </c>
      <c r="Z913" s="2">
        <v>6366</v>
      </c>
      <c r="AA913" s="43" t="s">
        <v>3558</v>
      </c>
    </row>
    <row r="914" spans="1:27" x14ac:dyDescent="0.25">
      <c r="A914">
        <v>40938</v>
      </c>
      <c r="B914" t="str">
        <f>_xlfn.CONCAT(bron[[#This Row],[personeelsnr]]," ",bron[[#This Row],[achternaam]]," ",bron[[#This Row],[voornaam]])</f>
        <v>40938 Hasnaoui Nejmeddine</v>
      </c>
      <c r="C914" t="str">
        <f>VLOOKUP(bron[[#This Row],[personeelsnr]],'data hastus'!$A:$C,2,0)</f>
        <v>Hasnaoui</v>
      </c>
      <c r="D914" t="str">
        <f>VLOOKUP(bron[[#This Row],[personeelsnr]],'data hastus'!$A:$C,3,0)</f>
        <v>Nejmeddine</v>
      </c>
      <c r="E914" s="2" t="str">
        <f>VLOOKUP(bron[[#This Row],[personeelsnr]],'data hastus'!A:K,11,FALSE)</f>
        <v>Dominique De Clercq</v>
      </c>
      <c r="F914" s="10"/>
      <c r="G914" s="39"/>
      <c r="H914" s="39"/>
      <c r="I914" s="39"/>
      <c r="S914" s="44">
        <f>SUM(bron[[#This Row],[Januari]:[December]])</f>
        <v>0</v>
      </c>
      <c r="T914" s="41">
        <v>45951</v>
      </c>
      <c r="U914" s="5" t="s">
        <v>3727</v>
      </c>
      <c r="V914" s="37"/>
      <c r="W914" s="37"/>
      <c r="X914" t="s">
        <v>3513</v>
      </c>
      <c r="Y914" t="s">
        <v>3728</v>
      </c>
      <c r="Z914" s="2">
        <v>5259</v>
      </c>
      <c r="AA914" s="43" t="s">
        <v>3559</v>
      </c>
    </row>
    <row r="915" spans="1:27" x14ac:dyDescent="0.25">
      <c r="A915">
        <v>40138</v>
      </c>
      <c r="B915" t="str">
        <f>_xlfn.CONCAT(bron[[#This Row],[personeelsnr]]," ",bron[[#This Row],[achternaam]]," ",bron[[#This Row],[voornaam]])</f>
        <v>40138 Moerman Tjimmy</v>
      </c>
      <c r="C915" t="str">
        <f>VLOOKUP(bron[[#This Row],[personeelsnr]],'data hastus'!$A:$C,2,0)</f>
        <v>Moerman</v>
      </c>
      <c r="D915" t="str">
        <f>VLOOKUP(bron[[#This Row],[personeelsnr]],'data hastus'!$A:$C,3,0)</f>
        <v>Tjimmy</v>
      </c>
      <c r="E915" s="2" t="str">
        <f>VLOOKUP(bron[[#This Row],[personeelsnr]],'data hastus'!A:K,11,FALSE)</f>
        <v>Christoff Rotty</v>
      </c>
      <c r="F915" s="10"/>
      <c r="G915" s="39"/>
      <c r="H915" s="39"/>
      <c r="I915" s="39"/>
      <c r="S915" s="44">
        <f>SUM(bron[[#This Row],[Januari]:[December]])</f>
        <v>0</v>
      </c>
      <c r="T915" s="41">
        <v>45952</v>
      </c>
      <c r="U915" s="5" t="s">
        <v>3729</v>
      </c>
      <c r="V915" s="37"/>
      <c r="W915" s="37"/>
      <c r="X915" t="s">
        <v>3513</v>
      </c>
      <c r="Y915" t="s">
        <v>3730</v>
      </c>
      <c r="Z915" s="2">
        <v>2195</v>
      </c>
      <c r="AA915" s="43" t="s">
        <v>3558</v>
      </c>
    </row>
    <row r="916" spans="1:27" x14ac:dyDescent="0.25">
      <c r="A916">
        <v>38633</v>
      </c>
      <c r="B916" t="str">
        <f>_xlfn.CONCAT(bron[[#This Row],[personeelsnr]]," ",bron[[#This Row],[achternaam]]," ",bron[[#This Row],[voornaam]])</f>
        <v>38633 Stomphorst Mattanja</v>
      </c>
      <c r="C916" t="str">
        <f>VLOOKUP(bron[[#This Row],[personeelsnr]],'data hastus'!$A:$C,2,0)</f>
        <v>Stomphorst</v>
      </c>
      <c r="D916" t="str">
        <f>VLOOKUP(bron[[#This Row],[personeelsnr]],'data hastus'!$A:$C,3,0)</f>
        <v>Mattanja</v>
      </c>
      <c r="E916" s="2" t="str">
        <f>VLOOKUP(bron[[#This Row],[personeelsnr]],'data hastus'!A:K,11,FALSE)</f>
        <v>Els Dewulf</v>
      </c>
      <c r="F916" s="10"/>
      <c r="G916" s="39"/>
      <c r="H916" s="39"/>
      <c r="I916" s="39"/>
      <c r="S916" s="44">
        <f>SUM(bron[[#This Row],[Januari]:[December]])</f>
        <v>0</v>
      </c>
      <c r="T916" s="41">
        <v>45943</v>
      </c>
      <c r="U916" s="5" t="s">
        <v>3731</v>
      </c>
      <c r="V916" s="37"/>
      <c r="W916" s="37"/>
      <c r="X916" t="s">
        <v>3513</v>
      </c>
      <c r="Y916" t="s">
        <v>663</v>
      </c>
      <c r="Z916" s="2">
        <v>5047</v>
      </c>
      <c r="AA916" s="43" t="s">
        <v>3558</v>
      </c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2025-10-22T13:28:50Z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