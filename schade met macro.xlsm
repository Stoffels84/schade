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37" documentId="13_ncr:1_{10FCACA5-8197-478D-90D3-5F83063FB753}" xr6:coauthVersionLast="47" xr6:coauthVersionMax="47" xr10:uidLastSave="{AA80FC9C-FDEA-4661-A03A-177713ACC6A3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<sst xmlns="http://schemas.openxmlformats.org/spreadsheetml/2006/main" count="8793" uniqueCount="3767">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</sst>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28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28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226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B944" sqref="B94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B946" t="e">
        <f>_xlfn.CONCAT(bron[[#This Row],[personeelsnr]]," ",bron[[#This Row],[achternaam]]," ",bron[[#This Row],[voornaam]])</f>
        <v>#N/A</v>
      </c>
      <c r="C946" t="e">
        <f>VLOOKUP(bron[[#This Row],[personeelsnr]],'data hastus'!$A:$C,2,0)</f>
        <v>#N/A</v>
      </c>
      <c r="D946" t="e">
        <f>VLOOKUP(bron[[#This Row],[personeelsnr]],'data hastus'!$A:$C,3,0)</f>
        <v>#N/A</v>
      </c>
      <c r="E946" s="2" t="e">
        <f>VLOOKUP(bron[[#This Row],[personeelsnr]],'data hastus'!A:K,11,FALSE)</f>
        <v>#N/A</v>
      </c>
      <c r="F946" s="10"/>
      <c r="G946" s="39"/>
      <c r="H946" s="39"/>
      <c r="I946" s="39"/>
      <c r="S946" s="44">
        <f>SUM(bron[[#This Row],[Januari]:[December]])</f>
        <v>0</v>
      </c>
      <c r="V946" s="37"/>
      <c r="W946" s="37"/>
    </row>
    <row r="947" spans="1:27" x14ac:dyDescent="0.25">
      <c r="B947" t="e">
        <f>_xlfn.CONCAT(bron[[#This Row],[personeelsnr]]," ",bron[[#This Row],[achternaam]]," ",bron[[#This Row],[voornaam]])</f>
        <v>#N/A</v>
      </c>
      <c r="C947" t="e">
        <f>VLOOKUP(bron[[#This Row],[personeelsnr]],'data hastus'!$A:$C,2,0)</f>
        <v>#N/A</v>
      </c>
      <c r="D947" t="e">
        <f>VLOOKUP(bron[[#This Row],[personeelsnr]],'data hastus'!$A:$C,3,0)</f>
        <v>#N/A</v>
      </c>
      <c r="E947" s="2" t="e">
        <f>VLOOKUP(bron[[#This Row],[personeelsnr]],'data hastus'!A:K,11,FALSE)</f>
        <v>#N/A</v>
      </c>
      <c r="F947" s="10"/>
      <c r="G947" s="39"/>
      <c r="H947" s="39"/>
      <c r="I947" s="39"/>
      <c r="S947" s="44">
        <f>SUM(bron[[#This Row],[Januari]:[December]])</f>
        <v>0</v>
      </c>
      <c r="V947" s="37"/>
      <c r="W947" s="37"/>
    </row>
    <row r="948" spans="1:27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2025-11-12T07:52:55Z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