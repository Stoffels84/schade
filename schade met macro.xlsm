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53" documentId="13_ncr:1_{10FCACA5-8197-478D-90D3-5F83063FB753}" xr6:coauthVersionLast="47" xr6:coauthVersionMax="47" xr10:uidLastSave="{2919DFB1-14E7-46FD-BDD1-1FF1EA1BCF25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<sst xmlns="http://schemas.openxmlformats.org/spreadsheetml/2006/main" count="8912" uniqueCount="3814">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</sst>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7" sqref="A967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</row>
    <row r="966" spans="1:27" x14ac:dyDescent="0.25">
      <c r="A966">
        <v>42336</v>
      </c>
      <c r="B966" t="str">
        <f>_xlfn.CONCAT(bron[[#This Row],[personeelsnr]]," ",bron[[#This Row],[achternaam]]," ",bron[[#This Row],[voornaam]])</f>
        <v>42336 Camgöz Furkan</v>
      </c>
      <c r="C966" t="str">
        <f>VLOOKUP(bron[[#This Row],[personeelsnr]],'data hastus'!$A:$C,2,0)</f>
        <v>Camgöz</v>
      </c>
      <c r="D966" t="str">
        <f>VLOOKUP(bron[[#This Row],[personeelsnr]],'data hastus'!$A:$C,3,0)</f>
        <v>Furkan</v>
      </c>
      <c r="E966" s="2">
        <f>VLOOKUP(bron[[#This Row],[personeelsnr]],'data hastus'!A:K,11,FALSE)</f>
        <v>0</v>
      </c>
      <c r="F966" s="10"/>
      <c r="G966" s="39"/>
      <c r="H966" s="39"/>
      <c r="I966" s="39"/>
      <c r="S966" s="44">
        <f>SUM(bron[[#This Row],[Januari]:[December]])</f>
        <v>0</v>
      </c>
      <c r="T966" s="41">
        <v>45981</v>
      </c>
      <c r="U966" s="5" t="s">
        <v>3813</v>
      </c>
      <c r="V966" s="37"/>
      <c r="W966" s="37"/>
      <c r="X966" t="s">
        <v>3512</v>
      </c>
      <c r="Y966" t="s">
        <v>242</v>
      </c>
      <c r="Z966" s="2">
        <v>5912</v>
      </c>
      <c r="AA966" s="43" t="s">
        <v>3558</v>
      </c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/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2025-11-20T12:10:57Z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