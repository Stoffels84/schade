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30" documentId="13_ncr:1_{BC833B0D-2F54-40DF-A6AF-902741D0EBA0}" xr6:coauthVersionLast="47" xr6:coauthVersionMax="47" xr10:uidLastSave="{B6CD603A-EC2B-4C4C-B06A-277379EC1E26}"/>
  <bookViews>
    <workbookView xWindow="3420" yWindow="3420" windowWidth="22668" windowHeight="12804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75" i="1" l="1"/>
  <c r="D875" i="1"/>
  <c r="E875" i="1"/>
  <c r="S875" i="1"/>
  <c r="C874" i="1"/>
  <c r="D874" i="1"/>
  <c r="E874" i="1"/>
  <c r="S874" i="1"/>
  <c r="C873" i="1"/>
  <c r="D873" i="1"/>
  <c r="E873" i="1"/>
  <c r="S873" i="1"/>
  <c r="C872" i="1"/>
  <c r="D872" i="1"/>
  <c r="E872" i="1"/>
  <c r="S872" i="1"/>
  <c r="C871" i="1"/>
  <c r="B871" i="1" s="1"/>
  <c r="D871" i="1"/>
  <c r="E871" i="1"/>
  <c r="S871" i="1"/>
  <c r="C870" i="1"/>
  <c r="B870" i="1" s="1"/>
  <c r="D870" i="1"/>
  <c r="E870" i="1"/>
  <c r="S870" i="1"/>
  <c r="C869" i="1"/>
  <c r="B869" i="1" s="1"/>
  <c r="D869" i="1"/>
  <c r="E869" i="1"/>
  <c r="S869" i="1"/>
  <c r="C868" i="1"/>
  <c r="B868" i="1" s="1"/>
  <c r="D868" i="1"/>
  <c r="E868" i="1"/>
  <c r="S868" i="1"/>
  <c r="C867" i="1"/>
  <c r="B867" i="1" s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75" i="1" l="1"/>
  <c r="B872" i="1"/>
  <c r="B873" i="1"/>
  <c r="B874" i="1"/>
  <c r="B865" i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<sst xmlns="http://schemas.openxmlformats.org/spreadsheetml/2006/main" count="7893" uniqueCount="3636">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</sst>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17</v>
          </cell>
        </row>
        <row r="6">
          <cell r="A6">
            <v>13</v>
          </cell>
          <cell r="B6" t="str">
            <v>Dominique De Clercq</v>
          </cell>
          <cell r="D6">
            <v>27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75" totalsRowShown="0" headerRowDxfId="13">
  <autoFilter ref="A1:AA875" xr:uid="{2FDE3AF6-1CE1-4F38-BD72-1F03CD30F4FC}">
    <filterColumn colId="19">
      <filters blank="1">
        <dateGroupItem year="2025" dateTimeGrouping="year"/>
      </filters>
    </filterColumn>
    <filterColumn colId="25">
      <filters>
        <filter val="526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1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1"/>
    <tableColumn id="11" xr3:uid="{97ECF1D5-48DC-4487-B3C2-17232CC8E19E}" name="Januari" dataDxfId="10"/>
    <tableColumn id="12" xr3:uid="{7B2FF520-A575-45C0-BB5A-19B87DDB4EA0}" name="Februari" dataDxfId="9"/>
    <tableColumn id="13" xr3:uid="{4E6C30D1-FB72-4AB2-900F-14A3D53F34DE}" name="Maart" dataDxfId="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7">
      <calculatedColumnFormula>SUM(bron[[#This Row],[Januari]:[December]])</calculatedColumnFormula>
    </tableColumn>
    <tableColumn id="10" xr3:uid="{8D9646BD-38B6-4F4D-9859-B3933369346B}" name="Datum" dataDxfId="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75"/>
  <sheetViews>
    <sheetView tabSelected="1" topLeftCell="E1" zoomScale="85" zoomScaleNormal="85" workbookViewId="0">
      <pane ySplit="1" topLeftCell="A538" activePane="bottomLeft" state="frozen"/>
      <selection activeCell="F1" sqref="F1"/>
      <selection pane="bottomLeft" activeCell="W885" sqref="W885"/>
    </sheetView>
  </sheetViews>
  <sheetFormatPr defaultRowHeight="14.4" x14ac:dyDescent="0.3"/>
  <cols>
    <col min="1" max="1" width="15" customWidth="1"/>
    <col min="2" max="2" width="37.5546875" customWidth="1"/>
    <col min="3" max="3" width="13.6640625" hidden="1" customWidth="1"/>
    <col min="4" max="4" width="20.44140625" hidden="1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42.88671875" style="5" customWidth="1"/>
    <col min="22" max="22" width="9.33203125" style="5" bestFit="1" customWidth="1"/>
    <col min="23" max="23" width="9.33203125" style="5" customWidth="1"/>
    <col min="25" max="25" width="31.5546875" bestFit="1" customWidth="1"/>
    <col min="27" max="27" width="9.109375" style="39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3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3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3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3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3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3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3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3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3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3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3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3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3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3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3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3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3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3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3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3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3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3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3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3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idden="1" x14ac:dyDescent="0.3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3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3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3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3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3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3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3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3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3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3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3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3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3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3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3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3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3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3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3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3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3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3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3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3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3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3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3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3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3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3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3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3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3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3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3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3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3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3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3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3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3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3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3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3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3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3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3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3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3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3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3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3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3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3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3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3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3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3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3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3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3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3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3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3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3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3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3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3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3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3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3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3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3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3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3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3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3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3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3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3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3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3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3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3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3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3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3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3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3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3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3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3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3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3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3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3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3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3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3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3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3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3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3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3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3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3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3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3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3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3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3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3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3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3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3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3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3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3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3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3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3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3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3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3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3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3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3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3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3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3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3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3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3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3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3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3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3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3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3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3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3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3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3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3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3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3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3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3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3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3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3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3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3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3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3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3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3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3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3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3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3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3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3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3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3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3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3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3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3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3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3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3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3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3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3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3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3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3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3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3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3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3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3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3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3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3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3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3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3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3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3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3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3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3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3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3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3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3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3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3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3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3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3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3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3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3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3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3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3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3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3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3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3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3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3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3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3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3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3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3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3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3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3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3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3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3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3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3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3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3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3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3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3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3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3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3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3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3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3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3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3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3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3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3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3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3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3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3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3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3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3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3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3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3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3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3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3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3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3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3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3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3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3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3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3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3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3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3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3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3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3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3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3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3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3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3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3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3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3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3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3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3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3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3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3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3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3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3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3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3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3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3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hidden="1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hidden="1" x14ac:dyDescent="0.3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hidden="1" x14ac:dyDescent="0.3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5">
        <f>SUM(bron[[#This Row],[Januari]:[December]])</f>
        <v>0</v>
      </c>
      <c r="V866" s="24"/>
      <c r="W866" s="24"/>
    </row>
    <row r="867" spans="1:27" hidden="1" x14ac:dyDescent="0.3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5">
        <f>SUM(bron[[#This Row],[Januari]:[December]])</f>
        <v>0</v>
      </c>
      <c r="V867" s="24"/>
      <c r="W867" s="24"/>
    </row>
    <row r="868" spans="1:27" hidden="1" x14ac:dyDescent="0.3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5">
        <f>SUM(bron[[#This Row],[Januari]:[December]])</f>
        <v>0</v>
      </c>
      <c r="V868" s="24"/>
      <c r="W868" s="24"/>
    </row>
    <row r="869" spans="1:27" hidden="1" x14ac:dyDescent="0.3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5">
        <f>SUM(bron[[#This Row],[Januari]:[December]])</f>
        <v>0</v>
      </c>
      <c r="V869" s="24"/>
      <c r="W869" s="24"/>
    </row>
    <row r="870" spans="1:27" hidden="1" x14ac:dyDescent="0.3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5">
        <f>SUM(bron[[#This Row],[Januari]:[December]])</f>
        <v>0</v>
      </c>
      <c r="V870" s="24"/>
      <c r="W870" s="24"/>
    </row>
    <row r="871" spans="1:27" hidden="1" x14ac:dyDescent="0.3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5">
        <f>SUM(bron[[#This Row],[Januari]:[December]])</f>
        <v>0</v>
      </c>
      <c r="V871" s="24"/>
      <c r="W871" s="24"/>
    </row>
    <row r="872" spans="1:27" x14ac:dyDescent="0.3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10"/>
      <c r="G872" s="7"/>
      <c r="H872" s="7"/>
      <c r="I872" s="7"/>
      <c r="S872" s="5">
        <f>SUM(bron[[#This Row],[Januari]:[December]])</f>
        <v>0</v>
      </c>
      <c r="T872" s="9">
        <v>45922</v>
      </c>
      <c r="U872" s="5" t="s">
        <v>3630</v>
      </c>
      <c r="V872" s="24"/>
      <c r="W872" s="24"/>
      <c r="X872" t="s">
        <v>3550</v>
      </c>
      <c r="Y872" t="s">
        <v>5</v>
      </c>
      <c r="Z872">
        <v>6375</v>
      </c>
      <c r="AA872" s="39" t="s">
        <v>3561</v>
      </c>
    </row>
    <row r="873" spans="1:27" x14ac:dyDescent="0.3">
      <c r="A873">
        <v>40856</v>
      </c>
      <c r="B873" t="str">
        <f>_xlfn.CONCAT(bron[[#This Row],[personeelsnr]]," ",bron[[#This Row],[achternaam]]," ",bron[[#This Row],[voornaam]])</f>
        <v>40856 Neissi Sadegh</v>
      </c>
      <c r="C873" t="str">
        <f>VLOOKUP(bron[[#This Row],[personeelsnr]],'data hastus'!$A:$C,2,0)</f>
        <v>Neissi</v>
      </c>
      <c r="D873" t="str">
        <f>VLOOKUP(bron[[#This Row],[personeelsnr]],'data hastus'!$A:$C,3,0)</f>
        <v>Sadegh</v>
      </c>
      <c r="E873" t="str">
        <f>VLOOKUP(bron[[#This Row],[personeelsnr]],'data hastus'!A:K,11,FALSE)</f>
        <v>Kenneth De Rick</v>
      </c>
      <c r="F873" s="10"/>
      <c r="G873" s="7"/>
      <c r="H873" s="7"/>
      <c r="I873" s="7"/>
      <c r="S873" s="5">
        <f>SUM(bron[[#This Row],[Januari]:[December]])</f>
        <v>0</v>
      </c>
      <c r="T873" s="9">
        <v>45919</v>
      </c>
      <c r="U873" s="5" t="s">
        <v>3631</v>
      </c>
      <c r="V873" s="24"/>
      <c r="W873" s="24"/>
      <c r="X873" t="s">
        <v>3514</v>
      </c>
      <c r="Y873" t="s">
        <v>84</v>
      </c>
      <c r="Z873">
        <v>5923</v>
      </c>
      <c r="AA873" s="39" t="s">
        <v>3561</v>
      </c>
    </row>
    <row r="874" spans="1:27" x14ac:dyDescent="0.3">
      <c r="A874">
        <v>39850</v>
      </c>
      <c r="B874" t="str">
        <f>_xlfn.CONCAT(bron[[#This Row],[personeelsnr]]," ",bron[[#This Row],[achternaam]]," ",bron[[#This Row],[voornaam]])</f>
        <v>39850 Helleputte William</v>
      </c>
      <c r="C874" t="str">
        <f>VLOOKUP(bron[[#This Row],[personeelsnr]],'data hastus'!$A:$C,2,0)</f>
        <v>Helleputte</v>
      </c>
      <c r="D874" t="str">
        <f>VLOOKUP(bron[[#This Row],[personeelsnr]],'data hastus'!$A:$C,3,0)</f>
        <v>William</v>
      </c>
      <c r="E874" t="str">
        <f>VLOOKUP(bron[[#This Row],[personeelsnr]],'data hastus'!A:K,11,FALSE)</f>
        <v>Dominique De Clercq</v>
      </c>
      <c r="F874" s="10"/>
      <c r="G874" s="7"/>
      <c r="H874" s="7"/>
      <c r="I874" s="7"/>
      <c r="S874" s="5">
        <f>SUM(bron[[#This Row],[Januari]:[December]])</f>
        <v>0</v>
      </c>
      <c r="T874" s="9">
        <v>45922</v>
      </c>
      <c r="U874" s="5" t="s">
        <v>3632</v>
      </c>
      <c r="V874" s="24"/>
      <c r="W874" s="24"/>
      <c r="X874" t="s">
        <v>3515</v>
      </c>
      <c r="Y874" t="s">
        <v>3633</v>
      </c>
      <c r="Z874">
        <v>5225</v>
      </c>
      <c r="AA874" s="39" t="s">
        <v>3634</v>
      </c>
    </row>
    <row r="875" spans="1:27" x14ac:dyDescent="0.3">
      <c r="A875">
        <v>42252</v>
      </c>
      <c r="B875" t="str">
        <f>_xlfn.CONCAT(bron[[#This Row],[personeelsnr]]," ",bron[[#This Row],[achternaam]]," ",bron[[#This Row],[voornaam]])</f>
        <v>42252 Sular Abdullah</v>
      </c>
      <c r="C875" t="str">
        <f>VLOOKUP(bron[[#This Row],[personeelsnr]],'data hastus'!$A:$C,2,0)</f>
        <v>Sular</v>
      </c>
      <c r="D875" t="str">
        <f>VLOOKUP(bron[[#This Row],[personeelsnr]],'data hastus'!$A:$C,3,0)</f>
        <v>Abdullah</v>
      </c>
      <c r="E875" t="str">
        <f>VLOOKUP(bron[[#This Row],[personeelsnr]],'data hastus'!A:K,11,FALSE)</f>
        <v>Christoff Rotty</v>
      </c>
      <c r="F875" s="10"/>
      <c r="G875" s="7"/>
      <c r="H875" s="7"/>
      <c r="I875" s="7"/>
      <c r="S875" s="41">
        <f>SUM(bron[[#This Row],[Januari]:[December]])</f>
        <v>0</v>
      </c>
      <c r="T875" s="9">
        <v>45923</v>
      </c>
      <c r="U875" s="5" t="s">
        <v>3635</v>
      </c>
      <c r="V875" s="24"/>
      <c r="W875" s="24"/>
      <c r="X875" t="s">
        <v>3514</v>
      </c>
      <c r="Y875" t="s">
        <v>40</v>
      </c>
      <c r="Z875">
        <v>2047</v>
      </c>
      <c r="AA875" s="39" t="s">
        <v>3561</v>
      </c>
    </row>
  </sheetData>
  <sheetProtection sort="0" autoFilter="0"/>
  <phoneticPr fontId="1" type="noConversion"/>
  <conditionalFormatting sqref="F2:F875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1342</v>
      </c>
      <c r="B1" t="s">
        <v>1343</v>
      </c>
      <c r="C1" t="s">
        <v>1344</v>
      </c>
    </row>
    <row r="2" spans="1:3" x14ac:dyDescent="0.3">
      <c r="A2">
        <v>29076</v>
      </c>
      <c r="B2" t="s">
        <v>1345</v>
      </c>
      <c r="C2" s="8" t="s">
        <v>1346</v>
      </c>
    </row>
    <row r="3" spans="1:3" x14ac:dyDescent="0.3">
      <c r="A3">
        <v>35348</v>
      </c>
      <c r="B3" t="s">
        <v>1347</v>
      </c>
      <c r="C3" s="8" t="s">
        <v>1348</v>
      </c>
    </row>
    <row r="4" spans="1:3" x14ac:dyDescent="0.3">
      <c r="A4">
        <v>10170</v>
      </c>
      <c r="B4" t="s">
        <v>1349</v>
      </c>
      <c r="C4" s="8" t="s">
        <v>1350</v>
      </c>
    </row>
    <row r="5" spans="1:3" x14ac:dyDescent="0.3">
      <c r="A5">
        <v>5579</v>
      </c>
      <c r="B5" t="s">
        <v>1351</v>
      </c>
      <c r="C5" s="8" t="s">
        <v>1352</v>
      </c>
    </row>
    <row r="6" spans="1:3" x14ac:dyDescent="0.3">
      <c r="A6">
        <v>4597</v>
      </c>
      <c r="B6" t="s">
        <v>1353</v>
      </c>
      <c r="C6" s="8" t="s">
        <v>1354</v>
      </c>
    </row>
    <row r="7" spans="1:3" x14ac:dyDescent="0.3">
      <c r="A7">
        <v>26268</v>
      </c>
      <c r="B7" t="s">
        <v>1355</v>
      </c>
      <c r="C7" s="8" t="s">
        <v>1356</v>
      </c>
    </row>
    <row r="8" spans="1:3" x14ac:dyDescent="0.3">
      <c r="A8">
        <v>23897</v>
      </c>
      <c r="B8" t="s">
        <v>1357</v>
      </c>
      <c r="C8" s="8" t="s">
        <v>1358</v>
      </c>
    </row>
    <row r="9" spans="1:3" x14ac:dyDescent="0.3">
      <c r="A9">
        <v>30456</v>
      </c>
      <c r="B9" t="s">
        <v>1359</v>
      </c>
      <c r="C9" s="8" t="s">
        <v>1360</v>
      </c>
    </row>
    <row r="10" spans="1:3" x14ac:dyDescent="0.3">
      <c r="A10">
        <v>7839</v>
      </c>
      <c r="B10" t="s">
        <v>1351</v>
      </c>
      <c r="C10" s="8" t="s">
        <v>1361</v>
      </c>
    </row>
    <row r="11" spans="1:3" x14ac:dyDescent="0.3">
      <c r="A11">
        <v>28740</v>
      </c>
      <c r="B11" t="s">
        <v>1362</v>
      </c>
      <c r="C11" s="8" t="s">
        <v>1363</v>
      </c>
    </row>
    <row r="12" spans="1:3" x14ac:dyDescent="0.3">
      <c r="A12">
        <v>32219</v>
      </c>
      <c r="B12" t="s">
        <v>1364</v>
      </c>
      <c r="C12" s="8" t="s">
        <v>1365</v>
      </c>
    </row>
    <row r="13" spans="1:3" x14ac:dyDescent="0.3">
      <c r="A13">
        <v>33531</v>
      </c>
      <c r="B13" t="s">
        <v>1366</v>
      </c>
      <c r="C13" s="8" t="s">
        <v>1367</v>
      </c>
    </row>
    <row r="14" spans="1:3" x14ac:dyDescent="0.3">
      <c r="A14">
        <v>10072</v>
      </c>
      <c r="B14" t="s">
        <v>1368</v>
      </c>
      <c r="C14" s="8" t="s">
        <v>1369</v>
      </c>
    </row>
    <row r="15" spans="1:3" x14ac:dyDescent="0.3">
      <c r="A15">
        <v>33429</v>
      </c>
      <c r="B15" t="s">
        <v>1370</v>
      </c>
      <c r="C15" s="8" t="s">
        <v>1371</v>
      </c>
    </row>
    <row r="16" spans="1:3" x14ac:dyDescent="0.3">
      <c r="A16">
        <v>15673</v>
      </c>
      <c r="B16" t="s">
        <v>1372</v>
      </c>
      <c r="C16" s="8" t="s">
        <v>1373</v>
      </c>
    </row>
    <row r="17" spans="1:3" x14ac:dyDescent="0.3">
      <c r="A17">
        <v>6046</v>
      </c>
      <c r="B17" t="s">
        <v>3516</v>
      </c>
      <c r="C17" s="8" t="s">
        <v>3517</v>
      </c>
    </row>
    <row r="18" spans="1:3" x14ac:dyDescent="0.3">
      <c r="A18">
        <v>4691</v>
      </c>
      <c r="B18" t="s">
        <v>1474</v>
      </c>
      <c r="C18" s="8" t="s">
        <v>3518</v>
      </c>
    </row>
    <row r="19" spans="1:3" x14ac:dyDescent="0.3">
      <c r="A19">
        <v>22812</v>
      </c>
      <c r="B19" t="s">
        <v>1572</v>
      </c>
      <c r="C19" s="8" t="s">
        <v>3519</v>
      </c>
    </row>
    <row r="20" spans="1:3" x14ac:dyDescent="0.3">
      <c r="A20">
        <v>25875</v>
      </c>
      <c r="B20" t="s">
        <v>3520</v>
      </c>
      <c r="C20" s="8" t="s">
        <v>3521</v>
      </c>
    </row>
    <row r="21" spans="1:3" x14ac:dyDescent="0.3">
      <c r="A21">
        <v>10905</v>
      </c>
      <c r="B21" t="s">
        <v>3522</v>
      </c>
      <c r="C21" s="8" t="s">
        <v>3523</v>
      </c>
    </row>
    <row r="22" spans="1:3" x14ac:dyDescent="0.3">
      <c r="A22">
        <v>17552</v>
      </c>
      <c r="B22" t="s">
        <v>3524</v>
      </c>
      <c r="C22" s="8" t="s">
        <v>3525</v>
      </c>
    </row>
    <row r="23" spans="1:3" x14ac:dyDescent="0.3">
      <c r="A23">
        <v>29544</v>
      </c>
      <c r="B23" t="s">
        <v>3526</v>
      </c>
      <c r="C23" s="8" t="s">
        <v>3527</v>
      </c>
    </row>
    <row r="24" spans="1:3" x14ac:dyDescent="0.3">
      <c r="A24">
        <v>14537</v>
      </c>
      <c r="B24" t="s">
        <v>3369</v>
      </c>
      <c r="C24" s="8" t="s">
        <v>3528</v>
      </c>
    </row>
    <row r="25" spans="1:3" x14ac:dyDescent="0.3">
      <c r="A25">
        <v>16707</v>
      </c>
      <c r="B25" t="s">
        <v>1474</v>
      </c>
      <c r="C25" s="8" t="s">
        <v>3529</v>
      </c>
    </row>
    <row r="26" spans="1:3" x14ac:dyDescent="0.3">
      <c r="A26">
        <v>7848</v>
      </c>
      <c r="B26" t="s">
        <v>2524</v>
      </c>
      <c r="C26" s="8" t="s">
        <v>3530</v>
      </c>
    </row>
    <row r="27" spans="1:3" x14ac:dyDescent="0.3">
      <c r="A27">
        <v>32710</v>
      </c>
      <c r="B27" t="s">
        <v>3037</v>
      </c>
      <c r="C27" s="8" t="s">
        <v>3531</v>
      </c>
    </row>
    <row r="28" spans="1:3" x14ac:dyDescent="0.3">
      <c r="A28">
        <v>20541</v>
      </c>
      <c r="B28" t="s">
        <v>1834</v>
      </c>
      <c r="C28" s="8" t="s">
        <v>3532</v>
      </c>
    </row>
    <row r="29" spans="1:3" x14ac:dyDescent="0.3">
      <c r="A29">
        <v>26202</v>
      </c>
      <c r="B29" t="s">
        <v>3533</v>
      </c>
      <c r="C29" s="8" t="s">
        <v>3534</v>
      </c>
    </row>
    <row r="30" spans="1:3" x14ac:dyDescent="0.3">
      <c r="A30">
        <v>27081</v>
      </c>
      <c r="B30" t="s">
        <v>3535</v>
      </c>
      <c r="C30" s="8" t="s">
        <v>3536</v>
      </c>
    </row>
    <row r="31" spans="1:3" x14ac:dyDescent="0.3">
      <c r="A31">
        <v>24577</v>
      </c>
      <c r="B31" t="s">
        <v>3537</v>
      </c>
      <c r="C31" s="8" t="s">
        <v>3538</v>
      </c>
    </row>
    <row r="32" spans="1:3" x14ac:dyDescent="0.3">
      <c r="A32">
        <v>29909</v>
      </c>
      <c r="B32" t="s">
        <v>3539</v>
      </c>
      <c r="C32" s="8" t="s">
        <v>3540</v>
      </c>
    </row>
    <row r="33" spans="1:3" x14ac:dyDescent="0.3">
      <c r="A33">
        <v>31154</v>
      </c>
      <c r="B33" t="s">
        <v>3541</v>
      </c>
      <c r="C33" s="8" t="s">
        <v>3542</v>
      </c>
    </row>
    <row r="34" spans="1:3" x14ac:dyDescent="0.3">
      <c r="A34">
        <v>4707</v>
      </c>
      <c r="B34" t="s">
        <v>1951</v>
      </c>
      <c r="C34" s="8" t="s">
        <v>3543</v>
      </c>
    </row>
    <row r="35" spans="1:3" x14ac:dyDescent="0.3">
      <c r="A35">
        <v>8538</v>
      </c>
      <c r="B35" t="s">
        <v>1933</v>
      </c>
      <c r="C35" s="8" t="s">
        <v>3544</v>
      </c>
    </row>
    <row r="36" spans="1:3" x14ac:dyDescent="0.3">
      <c r="A36">
        <v>27105</v>
      </c>
      <c r="B36" t="s">
        <v>3545</v>
      </c>
      <c r="C36" s="8" t="s">
        <v>3546</v>
      </c>
    </row>
    <row r="37" spans="1:3" x14ac:dyDescent="0.3">
      <c r="A37">
        <v>4692</v>
      </c>
      <c r="B37" t="s">
        <v>3037</v>
      </c>
      <c r="C37" s="8" t="s">
        <v>3547</v>
      </c>
    </row>
    <row r="38" spans="1:3" x14ac:dyDescent="0.3">
      <c r="A38">
        <v>90649</v>
      </c>
      <c r="B38" t="s">
        <v>2603</v>
      </c>
      <c r="C38" s="8" t="s">
        <v>3567</v>
      </c>
    </row>
    <row r="39" spans="1:3" x14ac:dyDescent="0.3">
      <c r="A39">
        <v>23079</v>
      </c>
      <c r="B39" t="s">
        <v>3545</v>
      </c>
      <c r="C39" s="8" t="s">
        <v>3568</v>
      </c>
    </row>
    <row r="40" spans="1:3" x14ac:dyDescent="0.3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5" priority="1" operator="equal">
      <formula>0</formula>
    </cfRule>
    <cfRule type="cellIs" dxfId="4" priority="2" operator="between">
      <formula>1</formula>
      <formula>4</formula>
    </cfRule>
    <cfRule type="cellIs" dxfId="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3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3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2025-09-23T14:52:34Z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