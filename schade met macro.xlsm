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21" documentId="13_ncr:1_{10FCACA5-8197-478D-90D3-5F83063FB753}" xr6:coauthVersionLast="47" xr6:coauthVersionMax="47" xr10:uidLastSave="{52F9AB2E-99FF-40DB-8B11-CC416AD4BCD1}"/>
  <bookViews>
    <workbookView minimized="1" xWindow="2235" yWindow="2835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2" i="1" l="1"/>
  <c r="B972" i="1" s="1"/>
  <c r="D972" i="1"/>
  <c r="E972" i="1"/>
  <c r="S972" i="1"/>
  <c r="C971" i="1"/>
  <c r="B971" i="1" s="1"/>
  <c r="D971" i="1"/>
  <c r="E971" i="1"/>
  <c r="S971" i="1"/>
  <c r="C953" i="1"/>
  <c r="D953" i="1"/>
  <c r="E953" i="1"/>
  <c r="S953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70" i="1"/>
  <c r="B970" i="1" s="1"/>
  <c r="D970" i="1"/>
  <c r="E970" i="1"/>
  <c r="S970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B954" i="1" s="1"/>
  <c r="D954" i="1"/>
  <c r="E954" i="1"/>
  <c r="S954" i="1"/>
  <c r="C949" i="1"/>
  <c r="B949" i="1" s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47" i="1" l="1"/>
  <c r="B953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<sst xmlns="http://schemas.openxmlformats.org/spreadsheetml/2006/main" count="8859" uniqueCount="3797">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</sst>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14</v>
          </cell>
          <cell r="B4" t="str">
            <v>Els Dewulf</v>
          </cell>
          <cell r="D4">
            <v>25</v>
          </cell>
        </row>
        <row r="5">
          <cell r="A5">
            <v>11</v>
          </cell>
          <cell r="B5" t="str">
            <v>Els Vanhoe</v>
          </cell>
          <cell r="D5">
            <v>30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2" totalsRowShown="0" headerRowDxfId="10">
  <autoFilter ref="A1:AA97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2">
    <sortCondition ref="T1:T972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14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84</v>
      </c>
      <c r="J50" s="14" t="s">
        <v>109</v>
      </c>
      <c r="K50" s="14"/>
      <c r="L50" s="25"/>
      <c r="M50" s="14">
        <f>SUM(M42:M49)</f>
        <v>228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2"/>
  <sheetViews>
    <sheetView tabSelected="1" zoomScale="85" zoomScaleNormal="85" workbookViewId="0">
      <pane ySplit="1" topLeftCell="A943" activePane="bottomLeft" state="frozen"/>
      <selection activeCell="F1" sqref="F1"/>
      <selection pane="bottomLeft" activeCell="A949" sqref="A94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40403</v>
      </c>
      <c r="B953" t="str">
        <f>_xlfn.CONCAT(bron[[#This Row],[personeelsnr]]," ",bron[[#This Row],[achternaam]]," ",bron[[#This Row],[voornaam]])</f>
        <v>40403 Prové Michaël</v>
      </c>
      <c r="C953" t="str">
        <f>VLOOKUP(bron[[#This Row],[personeelsnr]],'data hastus'!$A:$C,2,0)</f>
        <v>Prové</v>
      </c>
      <c r="D953" t="str">
        <f>VLOOKUP(bron[[#This Row],[personeelsnr]],'data hastus'!$A:$C,3,0)</f>
        <v>Michaël</v>
      </c>
      <c r="E953" s="2" t="str">
        <f>VLOOKUP(bron[[#This Row],[personeelsnr]],'data hastus'!A:K,11,FALSE)</f>
        <v>Dominique De Clercq</v>
      </c>
      <c r="F953" s="10"/>
      <c r="G953" s="39"/>
      <c r="H953" s="39"/>
      <c r="I953" s="39"/>
      <c r="S953" s="44">
        <f>SUM(bron[[#This Row],[Januari]:[December]])</f>
        <v>0</v>
      </c>
      <c r="T953" s="41">
        <v>45974</v>
      </c>
      <c r="U953" s="5" t="s">
        <v>3795</v>
      </c>
      <c r="V953" s="37"/>
      <c r="W953" s="37"/>
      <c r="X953" t="s">
        <v>3513</v>
      </c>
      <c r="Y953" t="s">
        <v>106</v>
      </c>
      <c r="Z953" s="2">
        <v>5233</v>
      </c>
      <c r="AA953" s="43" t="s">
        <v>3558</v>
      </c>
    </row>
    <row r="954" spans="1:27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  <row r="972" spans="2:23" x14ac:dyDescent="0.25">
      <c r="B972" t="e">
        <f>_xlfn.CONCAT(bron[[#This Row],[personeelsnr]]," ",bron[[#This Row],[achternaam]]," ",bron[[#This Row],[voornaam]])</f>
        <v>#N/A</v>
      </c>
      <c r="C972" t="e">
        <f>VLOOKUP(bron[[#This Row],[personeelsnr]],'data hastus'!$A:$C,2,0)</f>
        <v>#N/A</v>
      </c>
      <c r="D972" t="e">
        <f>VLOOKUP(bron[[#This Row],[personeelsnr]],'data hastus'!$A:$C,3,0)</f>
        <v>#N/A</v>
      </c>
      <c r="E972" s="2" t="e">
        <f>VLOOKUP(bron[[#This Row],[personeelsnr]],'data hastus'!A:K,11,FALSE)</f>
        <v>#N/A</v>
      </c>
      <c r="F972" s="10"/>
      <c r="G972" s="39"/>
      <c r="H972" s="39"/>
      <c r="I972" s="39"/>
      <c r="S972" s="44">
        <f>SUM(bron[[#This Row],[Januari]:[December]])</f>
        <v>0</v>
      </c>
      <c r="V972" s="37"/>
      <c r="W972" s="37"/>
    </row>
  </sheetData>
  <sheetProtection sort="0" autoFilter="0"/>
  <phoneticPr fontId="1" type="noConversion"/>
  <conditionalFormatting sqref="F2:F972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2025-11-14T12:10:26Z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