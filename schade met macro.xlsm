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001" documentId="8_{E6BCF386-B104-424C-B4A8-F32964540273}" xr6:coauthVersionLast="47" xr6:coauthVersionMax="47" xr10:uidLastSave="{F58D898C-2A16-421B-9AA7-361850026210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3" i="1" l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B840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190" i="1" l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<sst xmlns="http://schemas.openxmlformats.org/spreadsheetml/2006/main" count="7366" uniqueCount="3537">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</sst>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topLeftCell="C1" zoomScale="85" zoomScaleNormal="85" workbookViewId="0">
      <pane ySplit="1" topLeftCell="A816" activePane="bottomLeft" state="frozen"/>
      <selection activeCell="F1" sqref="F1"/>
      <selection pane="bottomLeft" activeCell="U854" sqref="U85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x14ac:dyDescent="0.25">
      <c r="A845">
        <v>42082</v>
      </c>
      <c r="B845" t="str">
        <f>_xlfn.CONCAT(bron[[#This Row],[personeelsnr]]," ",bron[[#This Row],[achternaam]]," ",bron[[#This Row],[voornaam]])</f>
        <v>42082 Ahmad Othman</v>
      </c>
      <c r="C845" t="str">
        <f>VLOOKUP(bron[[#This Row],[personeelsnr]],'data hastus'!$A:$C,2,0)</f>
        <v>Ahmad</v>
      </c>
      <c r="D845" t="str">
        <f>VLOOKUP(bron[[#This Row],[personeelsnr]],'data hastus'!$A:$C,3,0)</f>
        <v>Othman</v>
      </c>
      <c r="E845" t="str">
        <f>VLOOKUP(bron[[#This Row],[personeelsnr]],'data hastus'!A:K,11,FALSE)</f>
        <v>Dominique De Clercq</v>
      </c>
      <c r="F845" s="10"/>
      <c r="G845" s="7"/>
      <c r="H845" s="7"/>
      <c r="I845" s="7"/>
      <c r="O845" s="5">
        <v>1</v>
      </c>
      <c r="S845" s="5">
        <f>SUM(bron[[#This Row],[Januari]:[December]])</f>
        <v>1</v>
      </c>
      <c r="T845" s="9">
        <v>45904</v>
      </c>
      <c r="U845" s="5" t="s">
        <v>3534</v>
      </c>
      <c r="V845" s="24">
        <v>1</v>
      </c>
      <c r="W845" s="24"/>
      <c r="X845" t="s">
        <v>7</v>
      </c>
      <c r="Y845" t="s">
        <v>10</v>
      </c>
    </row>
    <row r="846" spans="1:25" x14ac:dyDescent="0.25">
      <c r="A846">
        <v>22244</v>
      </c>
      <c r="B846" t="str">
        <f>_xlfn.CONCAT(bron[[#This Row],[personeelsnr]]," ",bron[[#This Row],[achternaam]]," ",bron[[#This Row],[voornaam]])</f>
        <v>22244 Kirdas Süleyman</v>
      </c>
      <c r="C846" t="str">
        <f>VLOOKUP(bron[[#This Row],[personeelsnr]],'data hastus'!$A:$C,2,0)</f>
        <v>Kirdas</v>
      </c>
      <c r="D846" t="str">
        <f>VLOOKUP(bron[[#This Row],[personeelsnr]],'data hastus'!$A:$C,3,0)</f>
        <v>Süleyman</v>
      </c>
      <c r="E846" t="str">
        <f>VLOOKUP(bron[[#This Row],[personeelsnr]],'data hastus'!A:K,11,FALSE)</f>
        <v>Christoff Rotty</v>
      </c>
      <c r="F846" s="10"/>
      <c r="G846" s="7"/>
      <c r="H846" s="7"/>
      <c r="I846" s="7"/>
      <c r="O846" s="5">
        <v>1</v>
      </c>
      <c r="S846" s="5">
        <f>SUM(bron[[#This Row],[Januari]:[December]])</f>
        <v>1</v>
      </c>
      <c r="T846" s="9">
        <v>45905</v>
      </c>
      <c r="U846" s="5" t="s">
        <v>3535</v>
      </c>
      <c r="V846" s="24">
        <v>1</v>
      </c>
      <c r="W846" s="24"/>
      <c r="X846" t="s">
        <v>7</v>
      </c>
      <c r="Y846" t="s">
        <v>3536</v>
      </c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2025-09-09T08:33:17Z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