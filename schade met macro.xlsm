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01" documentId="13_ncr:1_{10FCACA5-8197-478D-90D3-5F83063FB753}" xr6:coauthVersionLast="47" xr6:coauthVersionMax="47" xr10:uidLastSave="{96371F6C-4AE2-4428-88F8-9C9CCF63D05E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6" i="1" l="1"/>
  <c r="D976" i="1"/>
  <c r="E976" i="1"/>
  <c r="S976" i="1"/>
  <c r="C975" i="1"/>
  <c r="D975" i="1"/>
  <c r="E975" i="1"/>
  <c r="S975" i="1"/>
  <c r="C974" i="1"/>
  <c r="D974" i="1"/>
  <c r="E974" i="1"/>
  <c r="S974" i="1"/>
  <c r="C973" i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<sst xmlns="http://schemas.openxmlformats.org/spreadsheetml/2006/main" count="8932" uniqueCount="3819">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</sst>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77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6">
      <pivotArea dataOnly="0" labelOnly="1" fieldPosition="0">
        <references count="1">
          <reference field="1" count="1">
            <x v="511"/>
          </reference>
        </references>
      </pivotArea>
    </format>
    <format dxfId="75">
      <pivotArea dataOnly="0" labelOnly="1" fieldPosition="0">
        <references count="1">
          <reference field="1" count="1">
            <x v="473"/>
          </reference>
        </references>
      </pivotArea>
    </format>
    <format dxfId="74">
      <pivotArea dataOnly="0" labelOnly="1" fieldPosition="0">
        <references count="1">
          <reference field="1" count="1">
            <x v="497"/>
          </reference>
        </references>
      </pivotArea>
    </format>
    <format dxfId="73">
      <pivotArea dataOnly="0" labelOnly="1" fieldPosition="0">
        <references count="1">
          <reference field="1" count="1">
            <x v="512"/>
          </reference>
        </references>
      </pivotArea>
    </format>
    <format dxfId="72">
      <pivotArea dataOnly="0" labelOnly="1" fieldPosition="0">
        <references count="1">
          <reference field="1" count="1">
            <x v="504"/>
          </reference>
        </references>
      </pivotArea>
    </format>
    <format dxfId="71">
      <pivotArea dataOnly="0" labelOnly="1" fieldPosition="0">
        <references count="1">
          <reference field="1" count="1">
            <x v="90"/>
          </reference>
        </references>
      </pivotArea>
    </format>
    <format dxfId="70">
      <pivotArea dataOnly="0" labelOnly="1" fieldPosition="0">
        <references count="1">
          <reference field="1" count="1">
            <x v="280"/>
          </reference>
        </references>
      </pivotArea>
    </format>
    <format dxfId="69">
      <pivotArea dataOnly="0" labelOnly="1" fieldPosition="0">
        <references count="1">
          <reference field="1" count="1">
            <x v="514"/>
          </reference>
        </references>
      </pivotArea>
    </format>
    <format dxfId="68">
      <pivotArea dataOnly="0" labelOnly="1" fieldPosition="0">
        <references count="1">
          <reference field="1" count="1">
            <x v="478"/>
          </reference>
        </references>
      </pivotArea>
    </format>
    <format dxfId="67">
      <pivotArea dataOnly="0" labelOnly="1" fieldPosition="0">
        <references count="1">
          <reference field="1" count="1">
            <x v="510"/>
          </reference>
        </references>
      </pivotArea>
    </format>
    <format dxfId="66">
      <pivotArea dataOnly="0" labelOnly="1" fieldPosition="0">
        <references count="1">
          <reference field="1" count="1">
            <x v="481"/>
          </reference>
        </references>
      </pivotArea>
    </format>
    <format dxfId="65">
      <pivotArea dataOnly="0" labelOnly="1" fieldPosition="0">
        <references count="1">
          <reference field="1" count="1">
            <x v="435"/>
          </reference>
        </references>
      </pivotArea>
    </format>
    <format dxfId="64">
      <pivotArea dataOnly="0" labelOnly="1" fieldPosition="0">
        <references count="1">
          <reference field="1" count="1">
            <x v="112"/>
          </reference>
        </references>
      </pivotArea>
    </format>
    <format dxfId="63">
      <pivotArea dataOnly="0" labelOnly="1" fieldPosition="0">
        <references count="1">
          <reference field="1" count="1">
            <x v="157"/>
          </reference>
        </references>
      </pivotArea>
    </format>
    <format dxfId="62">
      <pivotArea dataOnly="0" labelOnly="1" fieldPosition="0">
        <references count="1">
          <reference field="1" count="1">
            <x v="490"/>
          </reference>
        </references>
      </pivotArea>
    </format>
    <format dxfId="61">
      <pivotArea dataOnly="0" labelOnly="1" fieldPosition="0">
        <references count="1">
          <reference field="1" count="1">
            <x v="506"/>
          </reference>
        </references>
      </pivotArea>
    </format>
    <format dxfId="60">
      <pivotArea dataOnly="0" labelOnly="1" fieldPosition="0">
        <references count="1">
          <reference field="1" count="1">
            <x v="520"/>
          </reference>
        </references>
      </pivotArea>
    </format>
    <format dxfId="59">
      <pivotArea dataOnly="0" labelOnly="1" fieldPosition="0">
        <references count="1">
          <reference field="1" count="1">
            <x v="250"/>
          </reference>
        </references>
      </pivotArea>
    </format>
    <format dxfId="58">
      <pivotArea dataOnly="0" labelOnly="1" fieldPosition="0">
        <references count="1">
          <reference field="1" count="1">
            <x v="432"/>
          </reference>
        </references>
      </pivotArea>
    </format>
    <format dxfId="57">
      <pivotArea dataOnly="0" labelOnly="1" fieldPosition="0">
        <references count="1">
          <reference field="1" count="1">
            <x v="440"/>
          </reference>
        </references>
      </pivotArea>
    </format>
    <format dxfId="56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55">
      <pivotArea dataOnly="0" labelOnly="1" fieldPosition="0">
        <references count="1">
          <reference field="1" count="1">
            <x v="348"/>
          </reference>
        </references>
      </pivotArea>
    </format>
    <format dxfId="54">
      <pivotArea dataOnly="0" labelOnly="1" fieldPosition="0">
        <references count="1">
          <reference field="1" count="1">
            <x v="355"/>
          </reference>
        </references>
      </pivotArea>
    </format>
    <format dxfId="53">
      <pivotArea dataOnly="0" labelOnly="1" fieldPosition="0">
        <references count="1">
          <reference field="1" count="1">
            <x v="498"/>
          </reference>
        </references>
      </pivotArea>
    </format>
    <format dxfId="52">
      <pivotArea dataOnly="0" labelOnly="1" fieldPosition="0">
        <references count="1">
          <reference field="1" count="1">
            <x v="508"/>
          </reference>
        </references>
      </pivotArea>
    </format>
    <format dxfId="51">
      <pivotArea dataOnly="0" labelOnly="1" fieldPosition="0">
        <references count="1">
          <reference field="1" count="1">
            <x v="397"/>
          </reference>
        </references>
      </pivotArea>
    </format>
    <format dxfId="50">
      <pivotArea dataOnly="0" labelOnly="1" fieldPosition="0">
        <references count="1">
          <reference field="1" count="1">
            <x v="513"/>
          </reference>
        </references>
      </pivotArea>
    </format>
    <format dxfId="49">
      <pivotArea dataOnly="0" labelOnly="1" fieldPosition="0">
        <references count="1">
          <reference field="1" count="1">
            <x v="412"/>
          </reference>
        </references>
      </pivotArea>
    </format>
    <format dxfId="48">
      <pivotArea dataOnly="0" labelOnly="1" fieldPosition="0">
        <references count="1">
          <reference field="1" count="1">
            <x v="507"/>
          </reference>
        </references>
      </pivotArea>
    </format>
    <format dxfId="47">
      <pivotArea dataOnly="0" labelOnly="1" fieldPosition="0">
        <references count="1">
          <reference field="1" count="1">
            <x v="507"/>
          </reference>
        </references>
      </pivotArea>
    </format>
    <format dxfId="46">
      <pivotArea dataOnly="0" labelOnly="1" fieldPosition="0">
        <references count="1">
          <reference field="1" count="1">
            <x v="342"/>
          </reference>
        </references>
      </pivotArea>
    </format>
    <format dxfId="45">
      <pivotArea dataOnly="0" labelOnly="1" fieldPosition="0">
        <references count="1">
          <reference field="1" count="1">
            <x v="501"/>
          </reference>
        </references>
      </pivotArea>
    </format>
    <format dxfId="44">
      <pivotArea dataOnly="0" labelOnly="1" fieldPosition="0">
        <references count="1">
          <reference field="1" count="1">
            <x v="351"/>
          </reference>
        </references>
      </pivotArea>
    </format>
    <format dxfId="43">
      <pivotArea dataOnly="0" labelOnly="1" fieldPosition="0">
        <references count="1">
          <reference field="1" count="1">
            <x v="156"/>
          </reference>
        </references>
      </pivotArea>
    </format>
    <format dxfId="42">
      <pivotArea dataOnly="0" labelOnly="1" fieldPosition="0">
        <references count="1">
          <reference field="1" count="1">
            <x v="358"/>
          </reference>
        </references>
      </pivotArea>
    </format>
    <format dxfId="41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0">
      <pivotArea dataOnly="0" labelOnly="1" fieldPosition="0">
        <references count="1">
          <reference field="1" count="1">
            <x v="438"/>
          </reference>
        </references>
      </pivotArea>
    </format>
    <format dxfId="39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38">
      <pivotArea dataOnly="0" labelOnly="1" fieldPosition="0">
        <references count="1">
          <reference field="1" count="1">
            <x v="309"/>
          </reference>
        </references>
      </pivotArea>
    </format>
    <format dxfId="37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6">
      <pivotArea dataOnly="0" labelOnly="1" fieldPosition="0">
        <references count="1">
          <reference field="1" count="1">
            <x v="374"/>
          </reference>
        </references>
      </pivotArea>
    </format>
    <format dxfId="35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34">
      <pivotArea dataOnly="0" labelOnly="1" fieldPosition="0">
        <references count="1">
          <reference field="1" count="1">
            <x v="407"/>
          </reference>
        </references>
      </pivotArea>
    </format>
    <format dxfId="33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1"/>
    <tableColumn id="5" xr3:uid="{DF37AD45-FC5C-478A-989D-9143E744CEEA}" name="voornaam" dataDxfId="30">
      <calculatedColumnFormula>VLOOKUP(Tabel2[[#This Row],[nr]],'data hastus'!A:C,3,FALSE)</calculatedColumnFormula>
    </tableColumn>
    <tableColumn id="6" xr3:uid="{4098FAFB-9B09-4A81-8B22-18CC90B5F979}" name="achternaam" dataDxfId="2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6" totalsRowShown="0" headerRowDxfId="25">
  <autoFilter ref="A1:AA97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2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3"/>
    <tableColumn id="11" xr3:uid="{97ECF1D5-48DC-4487-B3C2-17232CC8E19E}" name="Januari" dataDxfId="22"/>
    <tableColumn id="12" xr3:uid="{7B2FF520-A575-45C0-BB5A-19B87DDB4EA0}" name="Februari" dataDxfId="21"/>
    <tableColumn id="13" xr3:uid="{4E6C30D1-FB72-4AB2-900F-14A3D53F34DE}" name="Maart" dataDxfId="2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9">
      <calculatedColumnFormula>SUM(bron[[#This Row],[Januari]:[December]])</calculatedColumnFormula>
    </tableColumn>
    <tableColumn id="10" xr3:uid="{8D9646BD-38B6-4F4D-9859-B3933369346B}" name="Datum" dataDxfId="1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2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6"/>
  <sheetViews>
    <sheetView tabSelected="1" zoomScale="85" zoomScaleNormal="85" workbookViewId="0">
      <pane ySplit="1" topLeftCell="A949" activePane="bottomLeft" state="frozen"/>
      <selection activeCell="F1" sqref="F1"/>
      <selection pane="bottomLeft" activeCell="T976" sqref="T9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B972" s="45"/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  <row r="973" spans="1:27" x14ac:dyDescent="0.25">
      <c r="B973" s="45"/>
      <c r="C973" t="e">
        <f>VLOOKUP(bron[[#This Row],[personeelsnr]],'data hastus'!$A:$C,2,0)</f>
        <v>#N/A</v>
      </c>
      <c r="D973" t="e">
        <f>VLOOKUP(bron[[#This Row],[personeelsnr]],'data hastus'!$A:$C,3,0)</f>
        <v>#N/A</v>
      </c>
      <c r="E973" s="2" t="e">
        <f>VLOOKUP(bron[[#This Row],[personeelsnr]],'data hastus'!A:K,11,FALSE)</f>
        <v>#N/A</v>
      </c>
      <c r="F973" s="10"/>
      <c r="G973" s="39"/>
      <c r="H973" s="39"/>
      <c r="I973" s="39"/>
      <c r="S973" s="44">
        <f>SUM(bron[[#This Row],[Januari]:[December]])</f>
        <v>0</v>
      </c>
      <c r="V973" s="37"/>
      <c r="W973" s="37"/>
    </row>
    <row r="974" spans="1:27" x14ac:dyDescent="0.25">
      <c r="B974" s="45"/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x14ac:dyDescent="0.25">
      <c r="B975" s="45"/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s="45"/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</sheetData>
  <sheetProtection sort="0" autoFilter="0"/>
  <phoneticPr fontId="1" type="noConversion"/>
  <conditionalFormatting sqref="F2:F976">
    <cfRule type="cellIs" dxfId="28" priority="5" operator="equal">
      <formula>0</formula>
    </cfRule>
    <cfRule type="cellIs" dxfId="27" priority="7" operator="between">
      <formula>1</formula>
      <formula>4</formula>
    </cfRule>
    <cfRule type="cellIs" dxfId="2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17" priority="1" operator="equal">
      <formula>0</formula>
    </cfRule>
    <cfRule type="cellIs" dxfId="16" priority="2" operator="between">
      <formula>1</formula>
      <formula>4</formula>
    </cfRule>
    <cfRule type="cellIs" dxfId="1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2025-11-24T11:08:32Z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