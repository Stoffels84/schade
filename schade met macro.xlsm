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571" documentId="8_{E6BCF386-B104-424C-B4A8-F32964540273}" xr6:coauthVersionLast="47" xr6:coauthVersionMax="47" xr10:uidLastSave="{0C88AFB7-A944-45E1-A567-E545D45C56E1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28" i="1" l="1"/>
  <c r="C828" i="1"/>
  <c r="D828" i="1"/>
  <c r="E828" i="1"/>
  <c r="S828" i="1"/>
  <c r="C827" i="1"/>
  <c r="B827" i="1" s="1"/>
  <c r="D827" i="1"/>
  <c r="E827" i="1"/>
  <c r="S827" i="1"/>
  <c r="C826" i="1"/>
  <c r="B826" i="1" s="1"/>
  <c r="D826" i="1"/>
  <c r="E826" i="1"/>
  <c r="S826" i="1"/>
  <c r="C825" i="1"/>
  <c r="D825" i="1"/>
  <c r="E825" i="1"/>
  <c r="S825" i="1"/>
  <c r="B825" i="1" l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I42" i="11"/>
  <c r="I48" i="11"/>
  <c r="C767" i="1"/>
  <c r="D767" i="1"/>
  <c r="E767" i="1"/>
  <c r="S767" i="1"/>
  <c r="C819" i="1"/>
  <c r="D819" i="1"/>
  <c r="E819" i="1"/>
  <c r="S819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I50" i="11"/>
  <c r="M50" i="1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B518" i="1" s="1"/>
  <c r="C575" i="1"/>
  <c r="C554" i="1"/>
  <c r="C593" i="1"/>
  <c r="B593" i="1" s="1"/>
  <c r="C539" i="1"/>
  <c r="C571" i="1"/>
  <c r="C792" i="1"/>
  <c r="C601" i="1"/>
  <c r="C562" i="1"/>
  <c r="B562" i="1" s="1"/>
  <c r="C584" i="1"/>
  <c r="C592" i="1"/>
  <c r="C626" i="1"/>
  <c r="B626" i="1" s="1"/>
  <c r="C658" i="1"/>
  <c r="C530" i="1"/>
  <c r="C630" i="1"/>
  <c r="C527" i="1"/>
  <c r="C621" i="1"/>
  <c r="B621" i="1" s="1"/>
  <c r="C800" i="1"/>
  <c r="C533" i="1"/>
  <c r="C702" i="1"/>
  <c r="B702" i="1" s="1"/>
  <c r="C632" i="1"/>
  <c r="C799" i="1"/>
  <c r="C528" i="1"/>
  <c r="C791" i="1"/>
  <c r="C598" i="1"/>
  <c r="B598" i="1" s="1"/>
  <c r="C608" i="1"/>
  <c r="C515" i="1"/>
  <c r="C663" i="1"/>
  <c r="B663" i="1" s="1"/>
  <c r="C541" i="1"/>
  <c r="C534" i="1"/>
  <c r="C637" i="1"/>
  <c r="C578" i="1"/>
  <c r="C672" i="1"/>
  <c r="B672" i="1" s="1"/>
  <c r="C537" i="1"/>
  <c r="B537" i="1" s="1"/>
  <c r="C669" i="1"/>
  <c r="C615" i="1"/>
  <c r="B615" i="1" s="1"/>
  <c r="C651" i="1"/>
  <c r="C811" i="1"/>
  <c r="C576" i="1"/>
  <c r="C638" i="1"/>
  <c r="C795" i="1"/>
  <c r="B795" i="1" s="1"/>
  <c r="C522" i="1"/>
  <c r="B522" i="1" s="1"/>
  <c r="C610" i="1"/>
  <c r="C526" i="1"/>
  <c r="B526" i="1" s="1"/>
  <c r="C789" i="1"/>
  <c r="C602" i="1"/>
  <c r="C573" i="1"/>
  <c r="C558" i="1"/>
  <c r="C519" i="1"/>
  <c r="B519" i="1" s="1"/>
  <c r="C590" i="1"/>
  <c r="B590" i="1" s="1"/>
  <c r="C516" i="1"/>
  <c r="C798" i="1"/>
  <c r="B798" i="1" s="1"/>
  <c r="C653" i="1"/>
  <c r="C639" i="1"/>
  <c r="C544" i="1"/>
  <c r="C586" i="1"/>
  <c r="C801" i="1"/>
  <c r="B801" i="1" s="1"/>
  <c r="C546" i="1"/>
  <c r="B546" i="1" s="1"/>
  <c r="C807" i="1"/>
  <c r="C636" i="1"/>
  <c r="B636" i="1" s="1"/>
  <c r="C790" i="1"/>
  <c r="C664" i="1"/>
  <c r="C589" i="1"/>
  <c r="C611" i="1"/>
  <c r="C682" i="1"/>
  <c r="B682" i="1" s="1"/>
  <c r="C687" i="1"/>
  <c r="B687" i="1" s="1"/>
  <c r="C631" i="1"/>
  <c r="C649" i="1"/>
  <c r="B649" i="1" s="1"/>
  <c r="C656" i="1"/>
  <c r="C605" i="1"/>
  <c r="C529" i="1"/>
  <c r="C647" i="1"/>
  <c r="C595" i="1"/>
  <c r="B595" i="1" s="1"/>
  <c r="C802" i="1"/>
  <c r="B802" i="1" s="1"/>
  <c r="C628" i="1"/>
  <c r="C574" i="1"/>
  <c r="B574" i="1" s="1"/>
  <c r="C559" i="1"/>
  <c r="C808" i="1"/>
  <c r="C551" i="1"/>
  <c r="C545" i="1"/>
  <c r="C787" i="1"/>
  <c r="B787" i="1" s="1"/>
  <c r="C594" i="1"/>
  <c r="B594" i="1" s="1"/>
  <c r="C655" i="1"/>
  <c r="C629" i="1"/>
  <c r="B629" i="1" s="1"/>
  <c r="C567" i="1"/>
  <c r="C568" i="1"/>
  <c r="C674" i="1"/>
  <c r="C569" i="1"/>
  <c r="C547" i="1"/>
  <c r="B547" i="1" s="1"/>
  <c r="C619" i="1"/>
  <c r="B619" i="1" s="1"/>
  <c r="C604" i="1"/>
  <c r="C803" i="1"/>
  <c r="B803" i="1" s="1"/>
  <c r="C644" i="1"/>
  <c r="C670" i="1"/>
  <c r="C689" i="1"/>
  <c r="C606" i="1"/>
  <c r="C635" i="1"/>
  <c r="B635" i="1" s="1"/>
  <c r="C613" i="1"/>
  <c r="B613" i="1" s="1"/>
  <c r="C654" i="1"/>
  <c r="C561" i="1"/>
  <c r="B561" i="1" s="1"/>
  <c r="C540" i="1"/>
  <c r="C634" i="1"/>
  <c r="C570" i="1"/>
  <c r="C686" i="1"/>
  <c r="C627" i="1"/>
  <c r="B627" i="1" s="1"/>
  <c r="C596" i="1"/>
  <c r="B596" i="1" s="1"/>
  <c r="C538" i="1"/>
  <c r="C580" i="1"/>
  <c r="B580" i="1" s="1"/>
  <c r="C661" i="1"/>
  <c r="C625" i="1"/>
  <c r="C618" i="1"/>
  <c r="C549" i="1"/>
  <c r="C609" i="1"/>
  <c r="B609" i="1" s="1"/>
  <c r="C521" i="1"/>
  <c r="B521" i="1" s="1"/>
  <c r="C666" i="1"/>
  <c r="C793" i="1"/>
  <c r="B793" i="1" s="1"/>
  <c r="C652" i="1"/>
  <c r="C633" i="1"/>
  <c r="D599" i="1"/>
  <c r="C599" i="1"/>
  <c r="B524" i="1" l="1"/>
  <c r="B633" i="1"/>
  <c r="B634" i="1"/>
  <c r="B568" i="1"/>
  <c r="B808" i="1"/>
  <c r="B605" i="1"/>
  <c r="B664" i="1"/>
  <c r="B639" i="1"/>
  <c r="B602" i="1"/>
  <c r="B811" i="1"/>
  <c r="B625" i="1"/>
  <c r="B670" i="1"/>
  <c r="B685" i="1"/>
  <c r="B577" i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</calcChain>
</file>

<file path=xl/sharedStrings.xml><?xml version="1.0" encoding="utf-8"?>
<sst xmlns="http://schemas.openxmlformats.org/spreadsheetml/2006/main" count="7269" uniqueCount="3477">
  <si>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</si>
  <si>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</si>
  <si>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</si>
  <si>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</si>
  <si>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</si>
  <si>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</si>
  <si>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</si>
  <si>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</si>
  <si>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</si>
  <si>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</si>
  <si>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</si>
  <si>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</si>
  <si>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</si>
  <si>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</si>
  <si>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</si>
  <si>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</si>
  <si>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</si>
  <si>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</si>
  <si>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</si>
  <si>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</si>
  <si>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</si>
  <si>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</si>
  <si>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</si>
  <si>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</si>
  <si>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</si>
  <si>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</si>
  <si>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</si>
  <si>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</si>
  <si>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</si>
  <si>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</si>
  <si>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</si>
  <si>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</si>
  <si>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</si>
  <si>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</si>
  <si>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</si>
  <si>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</si>
  <si>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</si>
  <si>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</si>
  <si>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</si>
  <si>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</si>
  <si>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</si>
  <si>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</si>
  <si>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</si>
  <si>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</si>
  <si>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</si>
  <si>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</si>
  <si>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</si>
  <si>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</si>
  <si>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</si>
  <si>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</si>
  <si>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</si>
  <si>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</si>
  <si>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</si>
  <si>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</si>
  <si>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</si>
  <si>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</si>
  <si>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</si>
  <si>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</si>
  <si>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</si>
  <si>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</si>
  <si>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</si>
  <si>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</si>
  <si>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</si>
  <si>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</si>
  <si>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</si>
  <si>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</si>
  <si>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</si>
  <si>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</si>
  <si>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</si>
  <si>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</si>
  <si>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</si>
  <si>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</si>
  <si>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</si>
  <si>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</si>
  <si>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</si>
  <si>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</si>
  <si>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</si>
  <si>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</si>
  <si>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</si>
  <si>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</si>
  <si>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</si>
  <si>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</si>
  <si>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</si>
  <si>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</si>
  <si>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</si>
  <si>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</si>
  <si>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</si>
  <si>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</si>
  <si>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</si>
  <si>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</si>
  <si>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</si>
  <si>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</si>
  <si>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</si>
  <si>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</si>
  <si>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</si>
  <si>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</si>
  <si>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</si>
  <si>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</si>
  <si>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</si>
  <si>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</si>
  <si>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</si>
  <si>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</si>
  <si>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</si>
  <si>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</si>
  <si>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</si>
  <si>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</si>
  <si>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</si>
  <si>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</si>
  <si>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</si>
  <si>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</si>
  <si>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</si>
  <si>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</si>
  <si>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</si>
  <si>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</si>
  <si>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</si>
  <si>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</si>
  <si>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</si>
  <si>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</si>
  <si>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</si>
  <si>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</si>
  <si>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</si>
  <si>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</si>
  <si>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</si>
  <si>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</si>
  <si>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</si>
  <si>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</si>
  <si>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</si>
  <si>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</si>
  <si>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</si>
  <si>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</si>
  <si>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</si>
  <si>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</si>
  <si>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</si>
  <si>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</si>
  <si>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</si>
  <si>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</si>
  <si>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</si>
  <si>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</si>
  <si>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</si>
  <si>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</si>
  <si>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</si>
  <si>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</si>
  <si>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</si>
  <si>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</si>
  <si>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</si>
  <si>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</si>
  <si>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</si>
  <si>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</si>
  <si>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</si>
  <si>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</si>
  <si>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</si>
  <si>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</si>
  <si>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</si>
  <si>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</si>
  <si>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</si>
  <si>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</si>
  <si>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</si>
  <si>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</si>
  <si>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</si>
  <si>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</si>
  <si>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</si>
  <si>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</si>
  <si>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</si>
  <si>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</si>
  <si>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</si>
  <si>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</si>
  <si>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</si>
  <si>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</si>
  <si>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</si>
  <si>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</si>
  <si>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</si>
  <si>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</si>
  <si>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</si>
  <si>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</si>
  <si>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</si>
  <si>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</si>
  <si>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</si>
  <si>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</si>
  <si>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</si>
  <si>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</si>
  <si>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</si>
  <si>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</si>
  <si>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</si>
  <si>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</si>
  <si>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</si>
  <si>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</si>
  <si>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</si>
  <si>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</si>
  <si>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</si>
  <si>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</si>
  <si>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</si>
  <si>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</si>
  <si>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</si>
  <si>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</si>
  <si>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</si>
  <si>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</si>
  <si>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</si>
  <si>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</si>
  <si>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</si>
  <si>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</si>
  <si>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</si>
  <si>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</si>
  <si>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</si>
  <si>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</si>
  <si>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</si>
  <si>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</si>
  <si>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</si>
  <si>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</si>
  <si>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</si>
  <si>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</si>
  <si>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</si>
  <si>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</si>
  <si>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</si>
  <si>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</si>
  <si>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</si>
  <si>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</si>
  <si>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</si>
  <si>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</si>
  <si>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</si>
  <si>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</si>
  <si>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</si>
  <si>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</si>
  <si>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</si>
  <si>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</si>
  <si>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</si>
  <si>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</si>
  <si>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</si>
  <si>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</si>
  <si>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</si>
  <si>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</si>
  <si>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</si>
  <si>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</si>
  <si>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</si>
  <si>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</si>
  <si>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</si>
  <si>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</si>
  <si>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</si>
  <si>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</si>
  <si>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</si>
  <si>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</si>
  <si>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</si>
  <si>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</si>
  <si>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</si>
  <si>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</si>
  <si>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</si>
  <si>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</si>
  <si>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</si>
  <si>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</si>
  <si>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</si>
  <si>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</si>
  <si>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</si>
  <si>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</si>
  <si>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</si>
  <si>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</si>
  <si>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</si>
  <si>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</si>
  <si>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</si>
  <si>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</si>
  <si>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</si>
  <si>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</si>
  <si>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</si>
  <si>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</si>
  <si>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</si>
  <si>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</si>
  <si>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</si>
  <si>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</si>
  <si>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</si>
  <si>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</si>
  <si>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</si>
  <si>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</si>
  <si>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</si>
  <si>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</si>
  <si>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</si>
  <si>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</si>
  <si>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</si>
  <si>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</si>
  <si>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</si>
  <si>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</si>
  <si>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</si>
  <si>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</si>
  <si>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</si>
  <si>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</si>
  <si>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</si>
  <si>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</si>
  <si>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</si>
  <si>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</si>
  <si>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</si>
  <si>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</si>
  <si>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</si>
  <si>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</si>
  <si>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</si>
  <si>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</si>
  <si>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</si>
  <si>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</si>
  <si>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</si>
  <si>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</si>
  <si>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</si>
  <si>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</si>
  <si>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</si>
  <si>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</si>
  <si>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</si>
  <si>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</si>
  <si>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</si>
  <si>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</si>
  <si>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</si>
  <si>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</si>
  <si>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</si>
  <si>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</si>
  <si>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</si>
  <si>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</si>
  <si>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</si>
  <si>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</si>
  <si>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</si>
  <si>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</si>
  <si>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</si>
  <si>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</si>
  <si>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</si>
  <si>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</si>
  <si>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</si>
  <si>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</si>
  <si>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</si>
  <si>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</si>
  <si>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</si>
  <si>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</si>
  <si>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</si>
  <si>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</si>
  <si>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</si>
  <si>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</si>
  <si>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</si>
  <si>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</si>
  <si>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</si>
  <si>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</si>
  <si>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</si>
  <si>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</si>
  <si>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</si>
  <si>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</si>
  <si>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</si>
  <si>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</si>
  <si>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</si>
  <si>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</si>
  <si>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</si>
  <si>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</si>
  <si>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</si>
  <si>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</si>
  <si>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</si>
  <si>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</si>
  <si>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</si>
  <si>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</si>
  <si>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</si>
  <si>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</si>
  <si>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</si>
  <si>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</si>
  <si>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</si>
  <si>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</si>
  <si>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</si>
  <si>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</si>
  <si>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</si>
  <si>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</si>
  <si>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</si>
  <si>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</si>
  <si>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</si>
  <si>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</si>
  <si>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</si>
  <si>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</si>
  <si>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</si>
  <si>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</si>
  <si>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</si>
  <si>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</si>
  <si>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</si>
  <si>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</si>
  <si>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</si>
  <si>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</si>
  <si>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</si>
  <si>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</si>
  <si>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</si>
  <si>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</si>
  <si>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</si>
  <si>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</si>
  <si>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</si>
  <si>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</si>
  <si>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</si>
  <si>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</si>
  <si>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</si>
  <si>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</si>
  <si>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</si>
  <si>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</si>
  <si>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</si>
  <si>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</si>
  <si>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</si>
  <si>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</si>
  <si>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</si>
  <si>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</si>
  <si>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</si>
  <si>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</si>
  <si>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</si>
  <si>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</si>
  <si>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</si>
  <si>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</si>
  <si>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</si>
  <si>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</si>
  <si>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</si>
  <si>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</si>
  <si>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</si>
  <si>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</si>
  <si>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</si>
  <si>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</si>
  <si>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</si>
  <si>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</si>
  <si>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</si>
  <si>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</si>
  <si>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</si>
  <si>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</si>
  <si>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</si>
  <si>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</si>
  <si>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</si>
  <si>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</si>
  <si>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</si>
  <si>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</si>
  <si>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</si>
  <si>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</si>
  <si>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</si>
  <si>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</si>
  <si>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</si>
  <si>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</si>
  <si>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</si>
  <si>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</si>
  <si>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</si>
  <si>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</si>
  <si>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</si>
  <si>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</si>
  <si>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</si>
  <si>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</si>
  <si>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</si>
  <si>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</si>
  <si>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</si>
  <si>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</si>
  <si>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</si>
  <si>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</si>
  <si>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</si>
  <si>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</si>
  <si>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</si>
  <si>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</si>
  <si>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</si>
  <si>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</si>
  <si>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</si>
  <si>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</si>
  <si>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</si>
  <si>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</si>
  <si>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</si>
  <si>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</si>
  <si>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</si>
  <si>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</si>
  <si>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</si>
  <si>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</si>
  <si>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</si>
  <si>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</si>
  <si>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</si>
  <si>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</si>
  <si>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</si>
  <si>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</si>
  <si>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</si>
  <si>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</si>
  <si>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</si>
  <si>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</si>
  <si>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</si>
  <si>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</si>
  <si>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</si>
  <si>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</si>
  <si>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</si>
  <si>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</si>
  <si>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</si>
  <si>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</si>
  <si>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</si>
  <si>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</si>
  <si>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</si>
  <si>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</si>
  <si>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</si>
  <si>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</si>
  <si>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</si>
  <si>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</si>
  <si>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</si>
  <si>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</si>
  <si>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</si>
  <si>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</si>
  <si>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</si>
  <si>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</si>
  <si>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</si>
  <si>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</si>
  <si>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</si>
  <si>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</si>
  <si>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</si>
  <si>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</si>
  <si>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</si>
  <si>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</si>
  <si>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</si>
  <si>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</si>
  <si>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</si>
  <si>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</si>
  <si>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</si>
  <si>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</si>
  <si>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</si>
  <si>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</si>
  <si>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</si>
  <si>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</si>
  <si>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</si>
  <si>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</si>
  <si>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</si>
  <si>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</si>
  <si>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</si>
  <si>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</si>
  <si>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</si>
  <si>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</si>
  <si>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</si>
  <si>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</si>
  <si>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</si>
  <si>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</si>
  <si>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</si>
  <si>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</si>
  <si>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</si>
  <si>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</si>
  <si>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</si>
  <si>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</si>
  <si>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</si>
  <si>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</si>
  <si>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</si>
  <si>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</si>
  <si>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</si>
  <si>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</si>
  <si>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</si>
  <si>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</si>
  <si>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</si>
  <si>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</si>
  <si>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</si>
  <si>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</si>
  <si>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</si>
  <si>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</si>
  <si>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</si>
  <si>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</si>
  <si>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</si>
  <si>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</si>
  <si>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</si>
  <si>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</si>
  <si>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</si>
  <si>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</si>
  <si>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</si>
  <si>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</si>
  <si>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</si>
  <si>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</si>
  <si>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</si>
  <si>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</si>
  <si>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</si>
  <si>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</si>
  <si>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</si>
  <si>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</si>
  <si>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</si>
  <si>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</si>
  <si>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</si>
  <si>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</si>
  <si>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</si>
  <si>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</si>
  <si>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</si>
  <si>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</si>
  <si>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</si>
  <si>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</si>
  <si>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</si>
  <si>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</si>
  <si>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</si>
  <si>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</si>
  <si>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</si>
  <si>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</si>
  <si>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</si>
  <si>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</si>
  <si>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</si>
  <si>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</si>
  <si>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</si>
  <si>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</si>
  <si>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</si>
  <si>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</si>
  <si>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</si>
  <si>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</si>
  <si>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</si>
  <si>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</si>
  <si>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</si>
  <si>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</si>
  <si>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</si>
  <si>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</si>
  <si>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</si>
  <si>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</si>
  <si>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</si>
  <si>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</si>
  <si>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</si>
  <si>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</si>
  <si>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</si>
  <si>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</si>
  <si>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</si>
  <si>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</si>
  <si>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</si>
  <si>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</si>
  <si>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</si>
  <si>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</si>
  <si>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</si>
  <si>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</si>
  <si>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</si>
  <si>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</si>
  <si>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</si>
  <si>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</si>
  <si>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</si>
  <si>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</si>
  <si>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</si>
  <si>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</si>
  <si>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</si>
  <si>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</si>
  <si>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</si>
  <si>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</si>
  <si>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</si>
  <si>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</si>
  <si>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</si>
  <si>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</si>
  <si>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</si>
  <si>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</si>
  <si>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</si>
  <si>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</si>
  <si>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</si>
  <si>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</si>
  <si>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</si>
  <si>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</si>
  <si>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</si>
  <si>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</si>
  <si>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</si>
  <si>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</si>
  <si>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</si>
  <si>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</si>
  <si>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</si>
  <si>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</si>
  <si>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</si>
  <si>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</si>
  <si>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</si>
  <si>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</si>
  <si>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</si>
  <si>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</si>
  <si>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</si>
  <si>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</si>
  <si>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</si>
  <si>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</si>
  <si>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</si>
  <si>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</si>
  <si>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</si>
  <si>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</si>
  <si>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</si>
  <si>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</si>
  <si>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</si>
  <si>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</si>
  <si>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</si>
  <si>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</si>
  <si>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</si>
  <si>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</si>
  <si>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</si>
  <si>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</si>
  <si>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</si>
  <si>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</si>
  <si>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</si>
  <si>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</si>
  <si>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</si>
  <si>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</si>
  <si>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</si>
  <si>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</si>
  <si>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</si>
  <si>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</si>
  <si>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</si>
  <si>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</si>
  <si>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</si>
  <si>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</si>
  <si>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</si>
  <si>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</si>
  <si>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</si>
  <si>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</si>
  <si>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</si>
  <si>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</si>
  <si>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</si>
  <si>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</si>
  <si>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</si>
  <si>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</si>
  <si>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</si>
  <si>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</si>
  <si>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</si>
  <si>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</si>
  <si>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</si>
  <si>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</si>
  <si>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</si>
  <si>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</si>
  <si>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</si>
  <si>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</si>
  <si>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</si>
  <si>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</si>
  <si>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</si>
  <si>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</si>
  <si>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</si>
  <si>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</si>
  <si>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</si>
  <si>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</si>
  <si>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</si>
  <si>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</si>
  <si>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</si>
  <si>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</si>
  <si>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</si>
  <si>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</si>
  <si>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</si>
  <si>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</si>
  <si>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</si>
  <si>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</si>
  <si>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</si>
  <si>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</si>
  <si>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</si>
  <si>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</si>
  <si>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</si>
  <si>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</si>
  <si>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</si>
  <si>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</si>
  <si>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</si>
  <si>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</si>
  <si>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</si>
  <si>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</si>
  <si>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</si>
  <si>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</si>
  <si>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</si>
  <si>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</si>
  <si>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</si>
  <si>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</si>
  <si>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</si>
  <si>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</si>
  <si>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</si>
  <si>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</si>
  <si>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</si>
  <si>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</si>
  <si>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</si>
  <si>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</si>
  <si>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</si>
  <si>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</si>
  <si>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</si>
  <si>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</si>
  <si>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</si>
  <si>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</si>
  <si>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</si>
  <si>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</si>
  <si>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</si>
  <si>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</si>
  <si>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</si>
  <si>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</si>
  <si>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</si>
  <si>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</si>
  <si>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</si>
  <si>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</si>
  <si>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</si>
  <si>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</si>
  <si>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</si>
  <si>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</si>
  <si>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</si>
  <si>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</si>
  <si>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</si>
  <si>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</si>
  <si>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</si>
  <si>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</si>
  <si>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</si>
  <si>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</si>
  <si>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</si>
  <si>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</si>
  <si>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</si>
  <si>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</si>
  <si>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</si>
  <si>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</si>
  <si>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</si>
  <si>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</si>
  <si>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</si>
  <si>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</si>
  <si>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</si>
  <si>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</si>
  <si>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</si>
  <si>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</si>
  <si>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</si>
  <si>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</si>
  <si>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</si>
  <si>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</si>
  <si>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</si>
  <si>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</si>
  <si>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</si>
  <si>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</si>
  <si>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</si>
  <si>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</si>
  <si>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</si>
  <si>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</si>
  <si>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</si>
  <si>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</si>
  <si>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</si>
  <si>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</si>
  <si>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</si>
  <si>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</si>
  <si>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</si>
  <si>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</si>
  <si>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</si>
  <si>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</si>
  <si>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</si>
  <si>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</si>
  <si>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</si>
  <si>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</si>
  <si>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</si>
  <si>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</si>
  <si>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</si>
  <si>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</si>
  <si>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</si>
  <si>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</si>
  <si>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</si>
  <si>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</si>
  <si>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</si>
  <si>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</si>
  <si>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</si>
  <si>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</si>
  <si>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</si>
  <si>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</si>
  <si>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</si>
  <si>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</si>
  <si>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</si>
  <si>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</si>
  <si>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</si>
  <si>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</si>
  <si>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</si>
  <si>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</si>
  <si>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</si>
  <si>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</si>
  <si>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</si>
  <si>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</si>
  <si>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</si>
  <si>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</si>
  <si>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</si>
  <si>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</si>
  <si>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</si>
  <si>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</si>
  <si>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</si>
  <si>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</si>
  <si>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</si>
  <si>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</si>
  <si>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</si>
  <si>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</si>
  <si>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</si>
  <si>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</si>
  <si>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</si>
  <si>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</si>
  <si>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</si>
  <si>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</si>
  <si>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</si>
  <si>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</si>
  <si>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</si>
  <si>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</si>
  <si>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</si>
  <si>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</si>
  <si>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</si>
  <si>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</si>
  <si>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</si>
  <si>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</si>
  <si>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</si>
  <si>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</si>
  <si>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</si>
  <si>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</si>
  <si>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</si>
  <si>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</si>
  <si>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</si>
  <si>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</si>
  <si>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</si>
  <si>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</si>
  <si>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</si>
  <si>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</si>
  <si>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</si>
  <si>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</si>
  <si>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</si>
  <si>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</si>
  <si>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</si>
  <si>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</si>
  <si>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</si>
  <si>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</si>
  <si>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</si>
  <si>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</si>
  <si>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</si>
  <si>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</si>
  <si>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</si>
  <si>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</si>
  <si>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</si>
  <si>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</si>
  <si>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</si>
  <si>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</si>
  <si>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</si>
  <si>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</si>
  <si>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</si>
  <si>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</si>
  <si>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</si>
  <si>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</si>
  <si>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</si>
  <si>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</si>
  <si>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</si>
  <si>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</si>
  <si>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</si>
  <si>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</si>
  <si>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</si>
  <si>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</si>
  <si>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</si>
  <si>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</si>
  <si>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</si>
  <si>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</si>
  <si>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</si>
  <si>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</si>
  <si>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</si>
  <si>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</si>
  <si>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</si>
  <si>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</si>
  <si>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</si>
  <si>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</si>
  <si>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</si>
  <si>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</si>
  <si>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</si>
  <si>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</si>
  <si>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</si>
  <si>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</si>
  <si>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</si>
  <si>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</si>
  <si>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</si>
  <si>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</si>
  <si>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</si>
  <si>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</si>
  <si>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</si>
  <si>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</si>
  <si>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</si>
  <si>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</si>
  <si>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</si>
  <si>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</si>
  <si>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</si>
  <si>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</si>
  <si>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</si>
  <si>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</si>
  <si>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</si>
  <si>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</si>
  <si>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</si>
  <si>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</si>
  <si>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</si>
  <si>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</si>
  <si>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</si>
  <si>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</si>
  <si>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</si>
  <si>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</si>
  <si>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</si>
  <si>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</si>
  <si>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</si>
  <si>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</si>
  <si>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</si>
  <si>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</si>
  <si>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</si>
  <si>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</si>
  <si>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</si>
  <si>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</si>
  <si>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</si>
  <si>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</si>
  <si>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</si>
  <si>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</si>
  <si>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</si>
  <si>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</si>
  <si>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</si>
  <si>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</si>
  <si>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</si>
  <si>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</si>
  <si>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</si>
  <si>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</si>
  <si>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</si>
  <si>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</si>
  <si>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</si>
  <si>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</si>
  <si>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</si>
  <si>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</si>
  <si>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</si>
  <si>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</si>
  <si>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</si>
  <si>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</si>
  <si>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</si>
  <si>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</si>
  <si>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</si>
  <si>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</si>
  <si>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</si>
  <si>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</si>
  <si>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</si>
  <si>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</si>
  <si>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</si>
  <si>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</si>
  <si>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</si>
  <si>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</si>
  <si>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</si>
  <si>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</si>
  <si>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</si>
  <si>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</si>
  <si>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</si>
  <si>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</si>
  <si>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</si>
  <si>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</si>
  <si>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</si>
  <si>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</si>
  <si>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</si>
  <si>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</si>
  <si>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</si>
  <si>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</si>
  <si>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</si>
  <si>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</si>
  <si>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</si>
  <si>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</si>
  <si>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</si>
  <si>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</si>
  <si>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</si>
  <si>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</si>
  <si>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</si>
  <si>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</si>
  <si>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</si>
  <si>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</si>
  <si>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</si>
  <si>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</si>
  <si>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</si>
  <si>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</si>
  <si>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</si>
  <si>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</si>
  <si>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</si>
  <si>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</si>
  <si>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</si>
  <si>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</si>
  <si>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</si>
  <si>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</si>
  <si>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</si>
  <si>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</si>
  <si>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</si>
  <si>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</si>
  <si>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</si>
  <si>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</si>
  <si>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</si>
  <si>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</si>
  <si>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</si>
  <si>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</si>
  <si>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</si>
  <si>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</si>
  <si>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</si>
  <si>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</si>
  <si>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</si>
  <si>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</si>
  <si>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</si>
  <si>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</si>
  <si>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</si>
  <si>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</si>
  <si>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</si>
  <si>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</si>
  <si>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</si>
  <si>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</si>
  <si>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</si>
  <si>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</si>
  <si>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</si>
  <si>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</si>
  <si>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</si>
  <si>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</si>
  <si>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</si>
  <si>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</si>
  <si>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</si>
  <si>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</si>
  <si>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</si>
  <si>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</si>
  <si>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</si>
  <si>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</si>
  <si>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</si>
  <si>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</si>
  <si>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</si>
  <si>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</si>
  <si>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</si>
  <si>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</si>
  <si>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</si>
  <si>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</si>
  <si>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</si>
  <si>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</si>
  <si>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</si>
  <si>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</si>
  <si>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</si>
  <si>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</si>
  <si>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</si>
  <si>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</si>
  <si>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</si>
  <si>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</si>
  <si>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</si>
  <si>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</si>
  <si>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</si>
  <si>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</si>
  <si>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</si>
  <si>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</si>
  <si>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</si>
  <si>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</si>
  <si>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</si>
  <si>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</si>
  <si>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</si>
  <si>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</si>
  <si>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</si>
  <si>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</si>
  <si>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</si>
  <si>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</si>
  <si>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</si>
  <si>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</si>
  <si>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</si>
  <si>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</si>
  <si>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</si>
  <si>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</si>
  <si>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</si>
  <si>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</si>
  <si>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</si>
  <si>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</si>
  <si>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</si>
  <si>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</si>
  <si>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</si>
  <si>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</si>
  <si>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</si>
  <si>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</si>
  <si>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</si>
  <si>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</si>
  <si>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</si>
  <si>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</si>
  <si>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</si>
  <si>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</si>
  <si>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</si>
  <si>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</si>
  <si>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</si>
  <si>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</si>
  <si>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</si>
  <si>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</si>
  <si>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</si>
  <si>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</si>
  <si>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</si>
  <si>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</si>
  <si>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</si>
  <si>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</si>
  <si>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</si>
  <si>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</si>
  <si>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</si>
  <si>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</si>
  <si>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</si>
  <si>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</si>
  <si>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</si>
  <si>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</si>
  <si>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</si>
  <si>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</si>
  <si>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</si>
  <si>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</si>
  <si>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</si>
  <si>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</si>
  <si>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</si>
  <si>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</si>
  <si>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</si>
  <si>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</si>
  <si>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</si>
  <si>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</si>
  <si>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</si>
  <si>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</si>
  <si>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</si>
  <si>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</si>
  <si>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</si>
  <si>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</si>
  <si>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</si>
  <si>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</si>
  <si>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</si>
  <si>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</si>
  <si>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</si>
  <si>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</si>
  <si>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</si>
  <si>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</si>
  <si>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</si>
  <si>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</si>
  <si>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</si>
  <si>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</si>
  <si>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</si>
  <si>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</si>
  <si>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</si>
  <si>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</si>
  <si>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</si>
  <si>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</si>
  <si>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</si>
  <si>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</si>
  <si>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</si>
  <si>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</si>
  <si>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</si>
  <si>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</si>
  <si>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</si>
  <si>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</si>
  <si>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</si>
  <si>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</si>
  <si>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</si>
  <si>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</si>
  <si>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</si>
  <si>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</si>
  <si>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</si>
  <si>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</si>
  <si>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</si>
  <si>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</si>
  <si>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</si>
  <si>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</si>
  <si>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</si>
  <si>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</si>
  <si>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</si>
  <si>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</si>
  <si>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</si>
  <si>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</si>
  <si>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</si>
  <si>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</si>
  <si>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</si>
  <si>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</si>
  <si>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</si>
  <si>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</si>
  <si>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</si>
  <si>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</si>
  <si>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</si>
  <si>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</si>
  <si>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</si>
  <si>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</si>
  <si>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</si>
  <si>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</si>
  <si>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</si>
  <si>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</si>
  <si>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</si>
  <si>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</si>
  <si>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</si>
  <si>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</si>
  <si>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</si>
  <si>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</si>
  <si>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</si>
  <si>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</si>
  <si>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</si>
  <si>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</si>
  <si>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</si>
  <si>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</si>
  <si>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</si>
  <si>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</si>
  <si>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</si>
  <si>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</si>
  <si>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</si>
  <si>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</si>
  <si>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</si>
  <si>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</si>
  <si>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</si>
  <si>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</si>
  <si>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</si>
  <si>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</si>
  <si>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</si>
  <si>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</si>
  <si>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</si>
  <si>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</si>
  <si>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</si>
  <si>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</si>
  <si>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</si>
  <si>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</si>
  <si>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</si>
  <si>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</si>
  <si>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</si>
  <si>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</si>
  <si>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</si>
  <si>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</si>
  <si>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</si>
  <si>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</si>
  <si>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</si>
  <si>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</si>
  <si>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</si>
  <si>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</si>
  <si>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</si>
  <si>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</si>
  <si>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</si>
  <si>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</si>
  <si>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</si>
  <si>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</si>
  <si>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</si>
  <si>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</si>
  <si>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</si>
  <si>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</si>
  <si>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</si>
  <si>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</si>
  <si>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</si>
  <si>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</si>
  <si>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</si>
  <si>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</si>
  <si>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</si>
  <si>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</si>
  <si>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</si>
  <si>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</si>
  <si>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</si>
  <si>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</si>
  <si>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</si>
  <si>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</si>
  <si>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</si>
  <si>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</si>
  <si>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</si>
  <si>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</si>
  <si>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</si>
  <si>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</si>
  <si>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</si>
  <si>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</si>
  <si>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</si>
  <si>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</si>
  <si>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</si>
  <si>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</si>
  <si>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</si>
  <si>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</si>
  <si>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</si>
  <si>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</si>
  <si>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</si>
  <si>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</si>
  <si>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</si>
  <si>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</si>
  <si>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</si>
  <si>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</si>
  <si>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</si>
  <si>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</si>
  <si>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</si>
  <si>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</si>
  <si>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</si>
  <si>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</si>
  <si>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</si>
  <si>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</si>
  <si>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</si>
  <si>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</si>
  <si>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</si>
  <si>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</si>
  <si>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</si>
  <si>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</si>
  <si>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</si>
  <si>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</si>
  <si>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</si>
  <si>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</si>
  <si>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</si>
  <si>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</si>
  <si>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</si>
  <si>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</si>
  <si>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</si>
  <si>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</si>
  <si>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</si>
  <si>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</si>
  <si>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</si>
  <si>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</si>
  <si>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</si>
  <si>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</si>
  <si>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</si>
  <si>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</si>
  <si>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</si>
  <si>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</si>
  <si>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</si>
  <si>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</si>
  <si>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</si>
  <si>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</si>
  <si>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</si>
  <si>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</si>
  <si>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</si>
  <si>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</si>
  <si>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</si>
  <si>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</si>
  <si>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</si>
  <si>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</si>
  <si>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</si>
  <si>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</si>
  <si>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</si>
  <si>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</si>
  <si>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</si>
  <si>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</si>
  <si>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</si>
  <si>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</si>
  <si>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</si>
  <si>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</si>
  <si>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</si>
  <si>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</si>
  <si>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</si>
  <si>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</si>
  <si>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</si>
  <si>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</si>
  <si>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</si>
  <si>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</si>
  <si>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</si>
  <si>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</si>
  <si>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</si>
  <si>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</si>
  <si>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</si>
  <si>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</si>
  <si>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</si>
  <si>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</si>
  <si>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</si>
  <si>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</si>
  <si>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</si>
  <si>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</si>
  <si>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</si>
  <si>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</si>
  <si>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</si>
  <si>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</si>
  <si>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</si>
  <si>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</si>
  <si>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</si>
  <si>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</si>
  <si>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</si>
  <si>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</si>
  <si>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</si>
  <si>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</si>
  <si>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</si>
  <si>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</si>
  <si>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</si>
  <si>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</si>
  <si>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</si>
  <si>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</si>
  <si>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</si>
  <si>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</si>
  <si>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</si>
  <si>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</si>
  <si>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</si>
  <si>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</si>
  <si>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</si>
  <si>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</si>
  <si>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</si>
  <si>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</si>
  <si>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</si>
  <si>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</si>
  <si>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</si>
  <si>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</si>
  <si>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</si>
  <si>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</si>
  <si>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</si>
  <si>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</si>
  <si>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</si>
  <si>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</si>
  <si>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</si>
  <si>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</si>
  <si>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</si>
  <si>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</si>
  <si>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</si>
  <si>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</si>
  <si>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</si>
  <si>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</si>
  <si>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</si>
  <si>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</si>
  <si>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</si>
  <si>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</si>
  <si>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</si>
  <si>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</si>
  <si>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</si>
  <si>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</si>
  <si>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</si>
  <si>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</si>
  <si>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</si>
  <si>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</si>
  <si>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</si>
  <si>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</si>
  <si>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</si>
  <si>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</si>
  <si>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</si>
  <si>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</si>
  <si>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</si>
  <si>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</si>
  <si>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</si>
  <si>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</si>
  <si>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</si>
  <si>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</si>
  <si>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</si>
  <si>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</si>
  <si>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</si>
  <si>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</si>
  <si>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</si>
  <si>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</si>
  <si>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</si>
  <si>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</si>
  <si>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</si>
  <si>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</si>
  <si>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</si>
  <si>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</si>
  <si>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</si>
  <si>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</si>
  <si>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</si>
  <si>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</si>
  <si>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</si>
  <si>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</si>
  <si>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</si>
  <si>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</si>
  <si>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</si>
  <si>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</si>
  <si>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</si>
  <si>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</si>
  <si>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</si>
  <si>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</si>
  <si>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</si>
  <si>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</si>
  <si>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</si>
  <si>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</si>
  <si>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</si>
  <si>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</si>
  <si>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</si>
  <si>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</si>
  <si>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</si>
  <si>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</si>
  <si>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</si>
  <si>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</si>
  <si>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</si>
  <si>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</si>
  <si>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</si>
  <si>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</si>
  <si>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</si>
  <si>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</si>
  <si>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</si>
  <si>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</si>
  <si>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</si>
  <si>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</si>
  <si>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</si>
  <si>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</si>
  <si>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</si>
  <si>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</si>
  <si>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</si>
  <si>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</si>
  <si>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</si>
  <si>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</si>
  <si>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</si>
  <si>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</si>
  <si>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</si>
  <si>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</si>
  <si>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</si>
  <si>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</si>
  <si>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</si>
  <si>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</si>
  <si>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</si>
  <si>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</si>
  <si>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</si>
  <si>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</si>
  <si>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</si>
  <si>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</si>
  <si>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</si>
  <si>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</si>
  <si>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</si>
  <si>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</si>
  <si>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</si>
  <si>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</si>
  <si>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</si>
  <si>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</si>
  <si>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</si>
  <si>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</si>
  <si>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</si>
  <si>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</si>
  <si>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</si>
  <si>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</si>
  <si>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</si>
  <si>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</si>
  <si>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</si>
  <si>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</si>
  <si>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</si>
  <si>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</si>
  <si>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</si>
  <si>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</si>
  <si>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</si>
  <si>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</si>
  <si>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</si>
  <si>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</si>
  <si>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</si>
  <si>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</si>
  <si>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</si>
  <si>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</si>
  <si>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</si>
  <si>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</si>
  <si>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</si>
  <si>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</si>
  <si>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</si>
  <si>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</si>
  <si>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</si>
  <si>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</si>
  <si>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</si>
  <si>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</si>
  <si>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</si>
  <si>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</si>
  <si>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</si>
  <si>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</si>
  <si>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</si>
  <si>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</si>
  <si>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</si>
  <si>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</si>
  <si>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</si>
  <si>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</si>
  <si>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</si>
  <si>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</si>
  <si>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</si>
  <si>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</si>
  <si>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</si>
  <si>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</si>
  <si>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</si>
  <si>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</si>
  <si>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</si>
  <si>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</si>
  <si>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</si>
  <si>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</si>
  <si>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</si>
  <si>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</si>
  <si>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</si>
  <si>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</si>
  <si>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</si>
  <si>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</si>
  <si>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</si>
  <si>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</si>
  <si>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</si>
  <si>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</si>
  <si>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</si>
  <si>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</si>
  <si>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</si>
  <si>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</si>
  <si>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</si>
  <si>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</si>
  <si>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</si>
  <si>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</si>
  <si>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</si>
  <si>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</si>
  <si>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</si>
  <si>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</si>
  <si>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</si>
  <si>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</si>
  <si>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</si>
  <si>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</si>
  <si>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</si>
  <si>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</si>
  <si>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</si>
  <si>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</si>
  <si>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</si>
  <si>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</si>
  <si>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</si>
  <si>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</si>
  <si>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</si>
  <si>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</si>
  <si>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</si>
  <si>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</si>
  <si>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</si>
  <si>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</si>
  <si>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</si>
  <si>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</si>
  <si>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</si>
  <si>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</si>
  <si>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</si>
  <si>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</si>
  <si>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</si>
  <si>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</si>
  <si>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</si>
  <si>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</si>
  <si>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</si>
  <si>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</si>
  <si>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</si>
  <si>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</si>
  <si>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</si>
  <si>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</si>
  <si>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</si>
  <si>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</si>
  <si>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</si>
  <si>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</si>
  <si>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</si>
  <si>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</si>
  <si>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</si>
  <si>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</si>
  <si>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</si>
  <si>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</si>
  <si>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</si>
  <si>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</si>
  <si>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</si>
  <si>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</si>
  <si>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</si>
  <si>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</si>
  <si>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</si>
  <si>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</si>
  <si>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</si>
  <si>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</si>
  <si>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</si>
  <si>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</si>
  <si>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</si>
  <si>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</si>
  <si>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</si>
  <si>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</si>
  <si>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</si>
  <si>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</si>
  <si>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</si>
  <si>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</si>
  <si>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</si>
  <si>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</si>
  <si>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</si>
  <si>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</si>
  <si>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</si>
  <si>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</si>
  <si>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</si>
  <si>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</si>
  <si>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</si>
  <si>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</si>
  <si>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</si>
  <si>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</si>
  <si>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</si>
  <si>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</si>
  <si>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</si>
  <si>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</si>
  <si>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</si>
  <si>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</si>
  <si>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</si>
  <si>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</si>
  <si>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</si>
  <si>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</si>
  <si>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</si>
  <si>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</si>
  <si>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</si>
  <si>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</si>
  <si>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</si>
  <si>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</si>
  <si>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</si>
  <si>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</si>
  <si>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</si>
  <si>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</si>
  <si>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</si>
  <si>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</si>
  <si>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</si>
  <si>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</si>
  <si>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</si>
  <si>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</si>
  <si>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</si>
  <si>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</si>
  <si>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</si>
  <si>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</si>
  <si>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</si>
  <si>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</si>
  <si>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</si>
  <si>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</si>
  <si>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</si>
  <si>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</si>
  <si>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</si>
  <si>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</si>
  <si>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</si>
  <si>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</si>
  <si>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</si>
  <si>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</si>
  <si>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</si>
  <si>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</si>
  <si>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</si>
  <si>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</si>
  <si>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</si>
  <si>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</si>
  <si>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</si>
  <si>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</si>
  <si>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</si>
  <si>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</si>
  <si>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</si>
  <si>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</si>
  <si>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</si>
  <si>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</si>
  <si>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</si>
  <si>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</si>
  <si>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</si>
  <si>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</si>
  <si>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</si>
  <si>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</si>
  <si>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</si>
  <si>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</si>
  <si>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</si>
  <si>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</si>
  <si>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</si>
  <si>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</si>
  <si>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</si>
  <si>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</si>
  <si>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</si>
  <si>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</si>
  <si>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</si>
  <si>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</si>
  <si>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</si>
  <si>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</si>
  <si>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</si>
  <si>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</si>
  <si>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</si>
  <si>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</si>
  <si>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</si>
  <si>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</si>
  <si>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</si>
  <si>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</si>
  <si>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</si>
  <si>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</si>
  <si>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</si>
  <si>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</si>
  <si>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</si>
  <si>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</si>
  <si>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</si>
  <si>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</si>
  <si>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</si>
  <si>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</si>
  <si>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</si>
  <si>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</si>
  <si>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</si>
  <si>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</si>
  <si>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</si>
  <si>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</si>
  <si>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</si>
  <si>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</si>
  <si>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</si>
  <si>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</si>
  <si>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</si>
  <si>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</si>
  <si>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</si>
  <si>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</si>
  <si>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</si>
  <si>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</si>
  <si>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</si>
  <si>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</si>
  <si>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</si>
  <si>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</si>
  <si>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</si>
  <si>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</si>
  <si>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</si>
  <si>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</si>
  <si>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</si>
  <si>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</si>
  <si>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</si>
  <si>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</si>
  <si>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</si>
  <si>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</si>
  <si>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</si>
  <si>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</si>
  <si>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</si>
  <si>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</si>
  <si>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</si>
  <si>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</si>
  <si>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</si>
  <si>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</si>
  <si>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</si>
  <si>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</si>
  <si>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</si>
  <si>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</si>
  <si>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</si>
  <si>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</si>
  <si>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</si>
  <si>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</si>
  <si>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</si>
  <si>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</si>
  <si>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</si>
  <si>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</si>
  <si>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</si>
  <si>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</si>
  <si>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</si>
  <si>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</si>
  <si>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</si>
  <si>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</si>
  <si>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</si>
  <si>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</si>
  <si>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</si>
  <si>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</si>
  <si>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</si>
  <si>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</si>
  <si>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</si>
  <si>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</si>
  <si>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</si>
  <si>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</si>
  <si>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</si>
  <si>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</si>
  <si>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</si>
  <si>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</si>
  <si>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</si>
  <si>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</si>
  <si>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</si>
  <si>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</si>
  <si>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</si>
  <si>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</si>
  <si>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</si>
  <si>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</si>
  <si>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</si>
  <si>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</si>
  <si>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</si>
  <si>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</si>
  <si>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</si>
  <si>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</si>
  <si>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</si>
  <si>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</si>
  <si>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</si>
  <si>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</si>
  <si>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</si>
  <si>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</si>
  <si>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</si>
  <si>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</si>
  <si>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</si>
  <si>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</si>
  <si>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</si>
  <si>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</si>
  <si>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</si>
  <si>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</si>
  <si>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</si>
  <si>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</si>
  <si>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</si>
  <si>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</si>
  <si>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</si>
  <si>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</si>
  <si>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</si>
  <si>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</si>
  <si>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</si>
  <si>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</si>
  <si>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</si>
  <si>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</si>
  <si>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</si>
  <si>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</si>
  <si>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</si>
  <si>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</si>
  <si>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</si>
  <si>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</si>
  <si>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</si>
  <si>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</si>
  <si>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</si>
  <si>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</si>
  <si>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</si>
  <si>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</si>
  <si>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</si>
  <si>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</si>
  <si>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</si>
  <si>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</si>
  <si>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</si>
  <si>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</si>
  <si>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</si>
  <si>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</si>
  <si>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</si>
  <si>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</si>
  <si>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</si>
  <si>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</si>
  <si>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</si>
  <si>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</si>
  <si>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</si>
  <si>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</si>
  <si>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</si>
  <si>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</si>
  <si>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</si>
  <si>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</si>
  <si>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</si>
  <si>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</si>
  <si>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</si>
  <si>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</si>
  <si>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</si>
  <si>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</si>
  <si>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</si>
  <si>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</si>
  <si>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</si>
  <si>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</si>
  <si>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</si>
  <si>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</si>
  <si>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</si>
  <si>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</si>
  <si>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</si>
  <si>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</si>
  <si>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</si>
  <si>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</si>
  <si>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</si>
  <si>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</si>
  <si>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</si>
  <si>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</si>
  <si>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</si>
  <si>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</si>
  <si>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</si>
  <si>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</si>
  <si>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</si>
  <si>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</si>
  <si>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</si>
  <si>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</si>
  <si>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</si>
  <si>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</si>
  <si>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</si>
  <si>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</si>
  <si>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</si>
  <si>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</si>
  <si>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</si>
  <si>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</si>
  <si>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</si>
  <si>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</si>
  <si>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</si>
  <si>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</si>
  <si>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</si>
  <si>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</si>
  <si>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</si>
  <si>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</si>
  <si>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</si>
  <si>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</si>
  <si>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</si>
  <si>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</si>
  <si>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</si>
  <si>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</si>
  <si>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</si>
  <si>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</si>
  <si>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</si>
  <si>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</si>
  <si>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</si>
  <si>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</si>
  <si>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</si>
  <si>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</si>
  <si>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</si>
  <si>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</si>
  <si>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</si>
  <si>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</si>
  <si>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</si>
  <si>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</si>
  <si>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</si>
  <si>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</si>
  <si>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</si>
  <si>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</si>
  <si>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</si>
  <si>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</si>
  <si>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</si>
  <si>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</si>
  <si>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</si>
  <si>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</si>
  <si>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</si>
  <si>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</si>
  <si>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</si>
  <si>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</si>
  <si>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</si>
  <si>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</si>
  <si>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</si>
  <si>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</si>
  <si>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</si>
  <si>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</si>
  <si>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</si>
  <si>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</si>
  <si>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</si>
  <si>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</si>
  <si>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</si>
  <si>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</si>
  <si>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</si>
  <si>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</si>
  <si>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</si>
  <si>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</si>
  <si>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</si>
  <si>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</si>
  <si>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</si>
  <si>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</si>
  <si>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</si>
  <si>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</si>
  <si>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</si>
  <si>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</si>
  <si>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</si>
  <si>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</si>
  <si>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</si>
  <si>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</si>
  <si>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</si>
  <si>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</si>
  <si>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</si>
  <si>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</si>
  <si>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</si>
  <si>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</si>
  <si>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</si>
  <si>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</si>
  <si>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</si>
  <si>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</si>
  <si>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</si>
  <si>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</si>
  <si>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</si>
  <si>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</si>
  <si>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</si>
  <si>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</si>
  <si>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</si>
  <si>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</si>
  <si>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</si>
  <si>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</si>
  <si>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</si>
  <si>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</si>
  <si>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</si>
  <si>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</si>
  <si>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</si>
  <si>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</si>
  <si>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</si>
  <si>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</si>
  <si>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</si>
  <si>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</si>
  <si>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</si>
  <si>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</si>
  <si>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</si>
  <si>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</si>
  <si>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</si>
  <si>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</si>
  <si>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</si>
  <si>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</si>
  <si>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</si>
  <si>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</si>
  <si>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</si>
  <si>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</si>
  <si>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</si>
  <si>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</si>
  <si>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</si>
  <si>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</si>
  <si>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</si>
  <si>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</si>
  <si>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</si>
  <si>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</si>
  <si>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</si>
  <si>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</si>
  <si>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</si>
  <si>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</si>
  <si>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</si>
  <si>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</si>
  <si>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</si>
  <si>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</si>
  <si>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</si>
  <si>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</si>
  <si>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</si>
  <si>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</si>
  <si>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</si>
  <si>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</si>
  <si>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</si>
  <si>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</si>
  <si>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</si>
  <si>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</si>
  <si>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</si>
  <si>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</si>
  <si>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</si>
  <si>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</si>
  <si>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</si>
  <si>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</si>
  <si>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</si>
  <si>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</si>
  <si>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</si>
  <si>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</si>
  <si>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</si>
  <si>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</si>
  <si>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</si>
  <si>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</si>
  <si>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</si>
  <si>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</si>
  <si>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</si>
  <si>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</si>
  <si>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</si>
  <si>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</si>
  <si>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</si>
  <si>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</si>
  <si>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</si>
  <si>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</si>
  <si>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</si>
  <si>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</si>
  <si>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</si>
  <si>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</si>
  <si>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</si>
  <si>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</si>
  <si>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</si>
  <si>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</si>
  <si>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</si>
  <si>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</si>
  <si>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</si>
  <si>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</si>
  <si>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</si>
  <si>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</si>
  <si>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</si>
  <si>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</si>
  <si>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</si>
  <si>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</si>
  <si>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</si>
  <si>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</si>
  <si>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</si>
  <si>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</si>
  <si>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</si>
  <si>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</si>
  <si>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</si>
  <si>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</si>
  <si>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</si>
  <si>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</si>
  <si>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</si>
  <si>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</si>
  <si>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</si>
  <si>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</si>
  <si>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</si>
  <si>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</si>
  <si>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</si>
  <si>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</si>
  <si>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</si>
  <si>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</si>
  <si>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</si>
  <si>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</si>
  <si>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</si>
  <si>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</si>
  <si>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</si>
  <si>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</si>
  <si>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</si>
  <si>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</si>
  <si>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</si>
  <si>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</si>
  <si>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</si>
  <si>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</si>
  <si>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</si>
  <si>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</si>
  <si>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</si>
  <si>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</si>
  <si>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</si>
  <si>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</si>
  <si>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</si>
  <si>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</si>
  <si>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</si>
  <si>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</si>
  <si>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</si>
  <si>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</si>
  <si>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</si>
  <si>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</si>
  <si>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</si>
  <si>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</si>
  <si>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</si>
  <si>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</si>
  <si>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</si>
  <si>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</si>
  <si>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</si>
  <si>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</si>
  <si>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</si>
  <si>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</si>
  <si>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</si>
  <si>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</si>
  <si>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</si>
  <si>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</si>
  <si>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</si>
  <si>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</si>
  <si>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</si>
  <si>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</si>
  <si>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</si>
  <si>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</si>
  <si>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</si>
  <si>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</si>
  <si>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</si>
  <si>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</si>
  <si>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</si>
  <si>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</si>
  <si>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</si>
  <si>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</si>
  <si>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</si>
  <si>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</si>
  <si>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</si>
  <si>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</si>
  <si>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</si>
  <si>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</si>
  <si>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</si>
  <si>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</si>
  <si>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</si>
  <si>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</si>
  <si>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</si>
  <si>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</si>
  <si>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</si>
  <si>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</si>
  <si>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</si>
  <si>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</si>
  <si>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</si>
  <si>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</si>
  <si>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</si>
  <si>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</si>
  <si>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</si>
  <si>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</si>
  <si>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</si>
  <si>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</si>
  <si>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</si>
  <si>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</si>
  <si>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</si>
  <si>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</si>
  <si>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</si>
  <si>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</si>
  <si>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</si>
  <si>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</si>
  <si>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</si>
  <si>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</si>
  <si>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</si>
  <si>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</si>
  <si>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</si>
  <si>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</si>
  <si>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</si>
  <si>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</si>
  <si>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</si>
  <si>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</si>
  <si>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</si>
  <si>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</si>
  <si>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</si>
  <si>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</si>
  <si>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</si>
  <si>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</si>
  <si>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</si>
  <si>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</si>
  <si>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</si>
  <si>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</si>
  <si>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</si>
  <si>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</si>
  <si>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</si>
  <si>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</si>
  <si>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</si>
  <si>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</si>
  <si>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</si>
  <si>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</si>
  <si>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</si>
  <si>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</si>
  <si>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</si>
  <si>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</si>
  <si>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</si>
  <si>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</si>
  <si>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</si>
  <si>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</si>
  <si>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</si>
  <si>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</si>
  <si>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</si>
  <si>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</si>
  <si>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</si>
  <si>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</si>
  <si>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</si>
  <si>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</si>
  <si>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</si>
  <si>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</si>
  <si>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</si>
  <si>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</si>
  <si>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</si>
  <si>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</si>
  <si>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</si>
  <si>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</si>
  <si>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</si>
  <si>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</si>
  <si>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</si>
  <si>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</si>
  <si>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</si>
  <si>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</si>
  <si>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</si>
  <si>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</si>
  <si>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</si>
  <si>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</si>
  <si>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</si>
  <si>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</si>
  <si>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</si>
  <si>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</si>
  <si>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</si>
  <si>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</si>
  <si>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</si>
  <si>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</si>
  <si>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</si>
  <si>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</si>
  <si>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</si>
  <si>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</si>
  <si>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</si>
  <si>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</si>
  <si>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</si>
  <si>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</si>
  <si>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</si>
  <si>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</si>
  <si>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</si>
  <si>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</si>
  <si>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</si>
  <si>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</si>
  <si>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</si>
  <si>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</si>
  <si>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</si>
  <si>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</si>
  <si>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</si>
  <si>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</si>
  <si>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</si>
  <si>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</si>
  <si>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</si>
  <si>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</si>
  <si>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</si>
  <si>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</si>
  <si>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</si>
  <si>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</si>
  <si>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</si>
  <si>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</si>
  <si>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</si>
  <si>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</si>
  <si>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</si>
  <si>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</si>
  <si>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</si>
  <si>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</si>
  <si>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</si>
  <si>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</si>
  <si>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</si>
  <si>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</si>
  <si>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</si>
  <si>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</si>
  <si>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</si>
  <si>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</si>
  <si>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</si>
  <si>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</si>
  <si>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</si>
  <si>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</si>
  <si>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</si>
  <si>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</si>
  <si>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</si>
  <si>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</si>
  <si>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</si>
  <si>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</si>
  <si>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</si>
  <si>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</si>
  <si>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</si>
  <si>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</si>
  <si>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</si>
  <si>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</si>
  <si>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</si>
  <si>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</si>
  <si>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</si>
  <si>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</si>
  <si>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</si>
  <si>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</si>
  <si>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</si>
  <si>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</si>
  <si>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</si>
  <si>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</si>
  <si>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</si>
  <si>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</si>
  <si>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</si>
  <si>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</si>
  <si>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</si>
  <si>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</si>
  <si>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</si>
  <si>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</si>
  <si>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</si>
  <si>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</si>
  <si>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</si>
  <si>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</si>
  <si>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</si>
  <si>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</si>
  <si>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</si>
  <si>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</si>
  <si>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</si>
  <si>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</si>
  <si>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</si>
  <si>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</si>
  <si>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</si>
  <si>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</si>
  <si>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</si>
  <si>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</si>
  <si>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</si>
  <si>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</si>
  <si>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</si>
  <si>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</si>
  <si>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</si>
  <si>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</si>
  <si>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</si>
  <si>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</si>
  <si>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</si>
  <si>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</si>
  <si>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</si>
  <si>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</si>
  <si>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</si>
  <si>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</si>
  <si>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</si>
  <si>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</si>
  <si>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</si>
  <si>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</si>
  <si>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</si>
  <si>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</si>
  <si>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</si>
  <si>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</si>
  <si>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</si>
  <si>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</si>
  <si>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</si>
  <si>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</si>
  <si>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</si>
  <si>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</si>
  <si>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</si>
  <si>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</si>
  <si>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</si>
  <si>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</si>
  <si>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</si>
  <si>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</si>
  <si>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</si>
  <si>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</si>
  <si>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</si>
  <si>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</si>
  <si>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</si>
  <si>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</si>
  <si>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</si>
  <si>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</si>
  <si>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</si>
  <si>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</si>
  <si>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</si>
  <si>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</si>
  <si>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</si>
  <si>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</si>
  <si>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</si>
  <si>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</si>
  <si>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</si>
  <si>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</si>
  <si>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</si>
  <si>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</si>
  <si>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</si>
  <si>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</si>
  <si>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</si>
  <si>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</si>
  <si>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</si>
  <si>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</si>
  <si>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</si>
  <si>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</si>
  <si>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</si>
  <si>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</si>
  <si>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</si>
  <si>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</si>
  <si>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</si>
  <si>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</si>
  <si>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</si>
  <si>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</si>
  <si>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</si>
  <si>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</si>
  <si>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</si>
  <si>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</si>
  <si>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</si>
  <si>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</si>
  <si>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</si>
  <si>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</si>
  <si>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</si>
  <si>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</si>
  <si>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</si>
  <si>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</si>
  <si>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</si>
  <si>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</si>
  <si>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</si>
  <si>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</si>
  <si>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</si>
  <si>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</si>
  <si>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</si>
  <si>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</si>
  <si>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</si>
  <si>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</si>
  <si>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</si>
  <si>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</si>
  <si>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</si>
  <si>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</si>
  <si>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</si>
  <si>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</si>
  <si>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</si>
  <si>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</si>
  <si>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</si>
  <si>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</si>
  <si>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</si>
  <si>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</si>
  <si>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</si>
  <si>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</si>
  <si>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</si>
  <si>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</si>
  <si>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</si>
  <si>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</si>
  <si>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</si>
  <si>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</si>
  <si>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</si>
  <si>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</si>
  <si>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</si>
  <si>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</si>
  <si>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</si>
  <si>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</si>
  <si>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</si>
  <si>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</si>
  <si>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</si>
  <si>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</si>
  <si>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</si>
  <si>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</si>
  <si>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</si>
  <si>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</si>
  <si>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</si>
  <si>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</si>
  <si>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</si>
  <si>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</si>
  <si>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</si>
  <si>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</si>
  <si>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</si>
  <si>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</si>
  <si>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</si>
  <si>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</si>
  <si>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</si>
  <si>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</si>
  <si>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</si>
  <si>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</si>
  <si>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</si>
  <si>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</si>
  <si>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</si>
  <si>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</si>
  <si>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</si>
  <si>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</si>
  <si>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</si>
  <si>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</si>
  <si>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</si>
  <si>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</si>
  <si>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</si>
  <si>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</si>
  <si>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</si>
  <si>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</si>
  <si>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</si>
  <si>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</si>
  <si>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</si>
  <si>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</si>
  <si>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</si>
  <si>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</si>
  <si>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</si>
  <si>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</si>
  <si>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</si>
  <si>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</si>
  <si>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</si>
  <si>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</si>
  <si>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</si>
  <si>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</si>
  <si>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</si>
  <si>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</si>
  <si>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</si>
  <si>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</si>
  <si>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</si>
  <si>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</si>
  <si>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</si>
  <si>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</si>
  <si>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</si>
  <si>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</si>
  <si>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</si>
  <si>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</si>
  <si>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</si>
  <si>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</si>
  <si>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</si>
  <si>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</si>
  <si>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</si>
  <si>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</si>
  <si>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</si>
  <si>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</si>
  <si>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</si>
  <si>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</si>
  <si>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</si>
  <si>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</si>
  <si>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</si>
  <si>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</si>
  <si>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</si>
  <si>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</si>
  <si>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</si>
  <si>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</si>
  <si>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</si>
  <si>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</si>
  <si>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</si>
  <si>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</si>
  <si>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</si>
  <si>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</si>
  <si>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</si>
  <si>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</si>
  <si>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</si>
  <si>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</si>
  <si>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</si>
  <si>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</si>
  <si>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</si>
  <si>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</si>
  <si>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</si>
  <si>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</si>
  <si>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</si>
  <si>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</si>
  <si>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</si>
  <si>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</si>
  <si>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</si>
  <si>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</si>
  <si>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</si>
  <si>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</si>
  <si>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</si>
  <si>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</si>
  <si>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</si>
  <si>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</si>
  <si>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</si>
  <si>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</si>
  <si>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</si>
  <si>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</si>
  <si>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</si>
  <si>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</si>
  <si>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</si>
  <si>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</si>
  <si>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</si>
  <si>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</si>
  <si>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</si>
  <si>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</si>
  <si>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</si>
  <si>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</si>
  <si>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</si>
  <si>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</si>
  <si>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</si>
  <si>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</si>
  <si>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</si>
  <si>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</si>
  <si>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</si>
  <si>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</si>
  <si>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</si>
  <si>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</si>
  <si>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</si>
  <si>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</si>
  <si>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</si>
  <si>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</si>
  <si>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</si>
  <si>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</si>
  <si>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</si>
  <si>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</si>
  <si>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</si>
  <si>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</si>
  <si>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</si>
  <si>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</si>
  <si>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</si>
  <si>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</si>
  <si>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</si>
  <si>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</si>
  <si>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</si>
  <si>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</si>
  <si>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</si>
  <si>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</si>
  <si>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</si>
  <si>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</si>
  <si>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</si>
  <si>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</si>
  <si>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</si>
  <si>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</si>
  <si>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</si>
  <si>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</si>
  <si>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</si>
  <si>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</si>
  <si>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</si>
  <si>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</si>
  <si>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</si>
  <si>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</si>
  <si>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</si>
  <si>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</si>
  <si>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</si>
  <si>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</si>
  <si>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</si>
  <si>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</si>
  <si>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</si>
  <si>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</si>
  <si>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</si>
  <si>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</si>
  <si>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</si>
  <si>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</si>
  <si>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</si>
  <si>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</si>
  <si>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</si>
  <si>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</si>
  <si>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</si>
  <si>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</si>
  <si>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</si>
  <si>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</si>
  <si>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</si>
  <si>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</si>
  <si>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</si>
  <si>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</si>
  <si>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</si>
  <si>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</si>
  <si>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</si>
  <si>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</si>
  <si>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</si>
  <si>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</si>
  <si>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</si>
  <si>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</si>
  <si>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</si>
  <si>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</si>
  <si>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</si>
  <si>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</si>
  <si>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</si>
  <si>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</si>
  <si>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</si>
  <si>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</si>
  <si>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</si>
  <si>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</si>
  <si>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</si>
  <si>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</si>
  <si>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</si>
  <si>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</si>
  <si>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</si>
  <si>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</si>
  <si>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</si>
  <si>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</si>
  <si>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</si>
  <si>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</si>
  <si>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</si>
  <si>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</si>
  <si>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</si>
  <si>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</si>
  <si>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</si>
  <si>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</si>
  <si>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</si>
  <si>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</si>
  <si>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</si>
  <si>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</si>
  <si>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</si>
  <si>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</si>
  <si>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</si>
  <si>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</si>
  <si>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</si>
  <si>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</si>
  <si>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</si>
  <si>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</si>
  <si>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</si>
  <si>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</si>
  <si>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</si>
  <si>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</si>
  <si>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</si>
  <si>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</si>
  <si>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</si>
  <si>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</si>
  <si>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</si>
  <si>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</si>
  <si>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</si>
  <si>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</si>
  <si>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</si>
  <si>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</si>
  <si>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</si>
  <si>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</si>
  <si>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</si>
  <si>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</si>
  <si>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</si>
  <si>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</si>
  <si>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</si>
  <si>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</si>
  <si>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</si>
  <si>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</si>
  <si>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</si>
  <si>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</si>
  <si>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</si>
  <si>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</si>
  <si>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</si>
  <si>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</si>
  <si>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</si>
  <si>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</si>
  <si>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</si>
  <si>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</si>
  <si>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</si>
  <si>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</si>
  <si>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</si>
  <si>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</si>
  <si>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</si>
  <si>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</si>
  <si>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</si>
  <si>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</si>
  <si>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</si>
  <si>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</si>
  <si>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</si>
  <si>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</si>
  <si>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</si>
  <si>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</si>
  <si>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</si>
  <si>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</si>
  <si>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</si>
  <si>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</si>
  <si>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</si>
  <si>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</si>
  <si>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</si>
  <si>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</si>
  <si>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</si>
  <si>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</si>
  <si>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</si>
  <si>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</si>
  <si>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</si>
  <si>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</si>
  <si>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</si>
  <si>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</si>
  <si>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</si>
  <si>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</si>
  <si>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</si>
  <si>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</si>
  <si>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</si>
  <si>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</si>
  <si>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</si>
  <si>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</si>
  <si>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</si>
  <si>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</si>
  <si>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</si>
  <si>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</si>
  <si>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</si>
  <si>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</si>
  <si>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</si>
  <si>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</si>
  <si>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</si>
  <si>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</si>
  <si>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</si>
  <si>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</si>
  <si>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</si>
  <si>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</si>
  <si>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</si>
  <si>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</si>
  <si>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</si>
  <si>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</si>
  <si>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</si>
  <si>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</si>
  <si>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</si>
  <si>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</si>
  <si>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</si>
  <si>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</si>
  <si>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</si>
  <si>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</si>
  <si>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</si>
  <si>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</si>
  <si>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</si>
  <si>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</si>
  <si>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</si>
  <si>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</si>
  <si>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</si>
  <si>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</si>
  <si>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</si>
  <si>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</si>
  <si>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</si>
  <si>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</si>
  <si>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</si>
  <si>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</si>
  <si>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</si>
  <si>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</si>
  <si>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</si>
  <si>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</si>
  <si>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</si>
  <si>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</si>
  <si>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</si>
  <si>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</si>
  <si>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</si>
  <si>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</si>
  <si>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</si>
  <si>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</si>
  <si>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</si>
  <si>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</si>
  <si>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</si>
  <si>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</si>
  <si>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</si>
  <si>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</si>
  <si>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</si>
  <si>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</si>
  <si>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</si>
  <si>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</si>
  <si>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</si>
  <si>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</si>
  <si>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</si>
  <si>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</si>
  <si>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</si>
  <si>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</si>
  <si>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</si>
  <si>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</si>
  <si>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</si>
  <si>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</si>
  <si>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</si>
  <si>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</si>
  <si>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</si>
  <si>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</si>
  <si>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</si>
  <si>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</si>
  <si>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</si>
  <si>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</si>
  <si>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</si>
  <si>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</si>
  <si>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</si>
  <si>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</si>
  <si>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</si>
  <si>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</si>
  <si>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</si>
  <si>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</si>
  <si>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</si>
  <si>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</si>
  <si>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</si>
  <si>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</si>
  <si>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</si>
  <si>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</si>
  <si>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</si>
  <si>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</si>
  <si>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</si>
  <si>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</si>
  <si>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</si>
  <si>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</si>
  <si>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</si>
  <si>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</si>
  <si>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</si>
  <si>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</si>
  <si>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</si>
  <si>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</si>
  <si>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</si>
  <si>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</si>
  <si>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</si>
  <si>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</si>
  <si>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</si>
  <si>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</si>
  <si>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</si>
  <si>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</si>
  <si>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</si>
  <si>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</si>
  <si>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</si>
  <si>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</si>
  <si>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</si>
  <si>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</si>
  <si>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</si>
  <si>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</si>
  <si>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</si>
  <si>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</si>
  <si>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</si>
  <si>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</si>
  <si>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</si>
  <si>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</si>
  <si>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</si>
  <si>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</si>
  <si>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</si>
  <si>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</si>
  <si>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</si>
  <si>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</si>
  <si>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</si>
  <si>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</si>
  <si>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</si>
  <si>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</si>
  <si>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</si>
  <si>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</si>
  <si>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</si>
  <si>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</si>
  <si>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</si>
  <si>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</si>
  <si>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</si>
  <si>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</si>
  <si>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</si>
  <si>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</si>
  <si>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</si>
  <si>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</si>
  <si>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</si>
  <si>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</si>
  <si>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</si>
  <si>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</si>
  <si>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</si>
  <si>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</si>
  <si>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</si>
  <si>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</si>
  <si>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</si>
  <si>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</si>
  <si>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</si>
  <si>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</si>
  <si>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</si>
  <si>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</si>
  <si>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</si>
  <si>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</si>
  <si>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</si>
  <si>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</si>
  <si>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</si>
  <si>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</si>
  <si>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</si>
  <si>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</si>
  <si>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</si>
  <si>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</si>
  <si>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</si>
  <si>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</si>
  <si>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</si>
  <si>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</si>
  <si>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</si>
  <si>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</si>
  <si>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</si>
  <si>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</si>
  <si>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</si>
  <si>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</si>
  <si>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</si>
  <si>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</si>
  <si>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</si>
  <si>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</si>
  <si>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</si>
  <si>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</si>
  <si>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</si>
  <si>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</si>
  <si>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</si>
  <si>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</si>
  <si>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</si>
  <si>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</si>
  <si>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</si>
  <si>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</si>
  <si>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</si>
  <si>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</si>
  <si>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</si>
  <si>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</si>
  <si>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</si>
  <si>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</si>
  <si>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</si>
  <si>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</si>
  <si>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</si>
  <si>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</si>
  <si>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</si>
  <si>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</si>
  <si>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</si>
  <si>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</si>
  <si>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</si>
  <si>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</si>
  <si>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</si>
  <si>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</si>
  <si>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</si>
  <si>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</si>
  <si>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</si>
  <si>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</si>
  <si>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</si>
  <si>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</si>
  <si>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</si>
  <si>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</si>
  <si>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</si>
  <si>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</si>
  <si>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</si>
  <si>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</si>
  <si>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</si>
  <si>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</si>
  <si>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</si>
  <si>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</si>
  <si>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</si>
  <si>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</si>
  <si>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</si>
  <si>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</si>
  <si>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</si>
  <si>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</si>
  <si>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</si>
  <si>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</si>
  <si>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</si>
  <si>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</si>
  <si>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</si>
  <si>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</si>
  <si>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</si>
  <si>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</si>
  <si>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</si>
  <si>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</si>
  <si>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</si>
  <si>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</si>
  <si>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</si>
  <si>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</si>
  <si>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</si>
  <si>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</si>
  <si>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</si>
  <si>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</si>
  <si>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</si>
  <si>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</si>
  <si>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</si>
  <si>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</si>
  <si>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</si>
  <si>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</si>
  <si>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</si>
  <si>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</si>
  <si>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</si>
  <si>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</si>
  <si>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</si>
  <si>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</si>
  <si>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</si>
  <si>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</si>
  <si>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</si>
  <si>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</si>
  <si>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</si>
  <si>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</si>
  <si>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</si>
  <si>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</si>
  <si>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</si>
  <si>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</si>
  <si>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</si>
  <si>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</si>
  <si>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</si>
  <si>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</si>
  <si>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</si>
  <si>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</si>
  <si>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</si>
  <si>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</si>
  <si>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</si>
  <si>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</si>
  <si>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</si>
  <si>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</si>
  <si>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</si>
  <si>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</si>
  <si>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</si>
  <si>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</si>
  <si>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</si>
  <si>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</si>
  <si>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</si>
  <si>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</si>
  <si>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</si>
  <si>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</si>
  <si>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</si>
  <si>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</si>
  <si>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</si>
  <si>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</si>
  <si>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</si>
  <si>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</si>
  <si>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</si>
  <si>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</si>
  <si>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</si>
  <si>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</si>
  <si>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</si>
  <si>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</si>
  <si>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</si>
  <si>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</si>
  <si>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</si>
  <si>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</si>
  <si>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</si>
  <si>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</si>
  <si>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</si>
  <si>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</si>
  <si>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</si>
  <si>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</si>
  <si>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</si>
  <si>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</si>
  <si>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</si>
  <si>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</si>
  <si>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</si>
  <si>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</si>
  <si>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</si>
  <si>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</si>
  <si>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</si>
  <si>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</si>
  <si>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</si>
  <si>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</si>
  <si>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</si>
  <si>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</si>
  <si>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</si>
  <si>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</si>
  <si>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</si>
  <si>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</si>
  <si>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</si>
  <si>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</si>
  <si>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</si>
  <si>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</si>
  <si>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</si>
  <si>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</si>
  <si>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</si>
  <si>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</si>
  <si>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</si>
  <si>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</si>
  <si>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</si>
  <si>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</si>
  <si>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</si>
  <si>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</si>
  <si>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</si>
  <si>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</si>
  <si>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</si>
  <si>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</si>
  <si>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</si>
  <si>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</si>
  <si>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</si>
  <si>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</si>
  <si>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</si>
  <si>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</si>
  <si>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</si>
  <si>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</si>
  <si>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</si>
  <si>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</si>
  <si>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</si>
  <si>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</si>
  <si>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</si>
  <si>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</si>
  <si>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</si>
  <si>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</si>
  <si>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</si>
  <si>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</si>
  <si>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</si>
  <si>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</si>
  <si>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</si>
  <si>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</si>
  <si>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</si>
  <si>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</si>
  <si>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</si>
  <si>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</si>
  <si>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</si>
  <si>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</si>
  <si>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</si>
  <si>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</si>
  <si>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</si>
  <si>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</si>
  <si>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</si>
  <si>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</si>
  <si>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</si>
  <si>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</si>
  <si>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</si>
  <si>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</si>
  <si>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</si>
  <si>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</si>
  <si>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</si>
  <si>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</si>
  <si>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</si>
  <si>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</si>
  <si>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</si>
  <si>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</si>
  <si>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</si>
  <si>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</si>
  <si>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</si>
  <si>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</si>
  <si>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</si>
  <si>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</si>
  <si>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</si>
  <si>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</si>
  <si>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</si>
  <si>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</si>
  <si>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</si>
  <si>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</si>
  <si>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</si>
  <si>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</si>
  <si>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</si>
  <si>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</si>
  <si>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</si>
  <si>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</si>
  <si>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</si>
  <si>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</si>
  <si>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</si>
  <si>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</si>
  <si>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</si>
  <si>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</si>
  <si>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</si>
  <si>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</si>
  <si>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</si>
  <si>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</si>
  <si>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</si>
  <si>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</si>
  <si>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</si>
  <si>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</si>
  <si>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</si>
  <si>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</si>
  <si>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</si>
  <si>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</si>
  <si>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</si>
  <si>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</si>
  <si>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</si>
  <si>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</si>
  <si>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</si>
  <si>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</si>
  <si>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</si>
  <si>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</si>
  <si>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</si>
  <si>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</si>
  <si>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</si>
  <si>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</si>
  <si>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</si>
  <si>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</si>
  <si>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</si>
  <si>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</si>
  <si>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</si>
  <si>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</si>
  <si>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</si>
  <si>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</si>
  <si>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</si>
  <si>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</si>
  <si>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</si>
  <si>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</si>
  <si>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</si>
  <si>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</si>
  <si>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</si>
  <si>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</si>
  <si>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</si>
  <si>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</si>
  <si>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</si>
  <si>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</si>
  <si>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</si>
  <si>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</si>
  <si>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</si>
  <si>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</si>
  <si>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</si>
  <si>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</si>
  <si>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</si>
  <si>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</si>
  <si>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</si>
  <si>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</si>
  <si>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</si>
  <si>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</si>
  <si>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</si>
  <si>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</si>
  <si>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</si>
  <si>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</si>
  <si>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</si>
  <si>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</si>
  <si>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</si>
  <si>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</si>
  <si>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</si>
  <si>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</si>
  <si>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</si>
  <si>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</si>
  <si>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</si>
  <si>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</si>
  <si>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</si>
  <si>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</si>
  <si>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</si>
  <si>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</si>
  <si>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</si>
  <si>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</si>
  <si>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</si>
  <si>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</si>
  <si>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</si>
  <si>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</si>
  <si>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</si>
  <si>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</si>
  <si>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</si>
  <si>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</si>
  <si>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</si>
  <si>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</si>
  <si>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</si>
  <si>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</si>
  <si>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</si>
  <si>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</si>
  <si>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</si>
  <si>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</si>
  <si>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</si>
  <si>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</si>
  <si>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</si>
  <si>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</si>
  <si>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</si>
  <si>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</si>
  <si>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</si>
  <si>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</si>
  <si>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</si>
  <si>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</si>
  <si>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</si>
  <si>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</si>
  <si>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</si>
  <si>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</si>
  <si>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</si>
  <si>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</si>
  <si>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</si>
  <si>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</si>
  <si>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</si>
  <si>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</si>
  <si>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</si>
  <si>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</si>
  <si>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</si>
  <si>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</si>
  <si>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</si>
  <si>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</si>
  <si>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</si>
  <si>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</si>
  <si>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</si>
  <si>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</si>
  <si>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</si>
  <si>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</si>
  <si>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</si>
  <si>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</si>
  <si>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</si>
  <si>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</si>
  <si>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</si>
  <si>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</si>
  <si>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</si>
  <si>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</si>
  <si>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</si>
  <si>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</si>
  <si>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</si>
  <si>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</si>
  <si>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</si>
  <si>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</si>
  <si>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</si>
  <si>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</si>
  <si>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</si>
  <si>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</si>
  <si>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</si>
  <si>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</si>
  <si>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</si>
  <si>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</si>
  <si>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</si>
  <si>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</si>
  <si>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</si>
  <si>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</si>
  <si>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</si>
  <si>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</si>
  <si>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</si>
  <si>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</si>
  <si>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</si>
  <si>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</si>
  <si>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</si>
  <si>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</si>
  <si>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</si>
  <si>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</si>
  <si>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</si>
  <si>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</si>
  <si>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</si>
  <si>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</si>
  <si>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</si>
  <si>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</si>
  <si>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</si>
  <si>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</si>
  <si>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</si>
  <si>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</si>
  <si>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</si>
  <si>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</si>
  <si>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</si>
  <si>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</si>
  <si>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</si>
  <si>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</si>
  <si>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</si>
  <si>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</si>
  <si>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</si>
  <si>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</si>
  <si>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</si>
  <si>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</si>
  <si>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</si>
  <si>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</si>
  <si>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</si>
  <si>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</si>
  <si>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</si>
  <si>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</si>
  <si>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</si>
  <si>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</si>
  <si>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</si>
  <si>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</si>
  <si>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</si>
  <si>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</si>
  <si>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</si>
  <si>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</si>
  <si>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</si>
  <si>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</si>
  <si>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</si>
  <si>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</si>
  <si>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</si>
  <si>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</si>
  <si>
    <t>https://delijn.sharepoint.com/:b:/r/teams/CTM-OTGentStad/Shared%20Documents/General/EAF/CSI(nieuwe%20sharepoint)%202025/8.%20Augustus/EAF%205927%2014082025%20Gent%2041348%20Tim%20Van%20Huffel.pdf?csf=1&amp;web=1&amp;e=Alupbn</t>
  </si>
  <si>
    <t xml:space="preserve"> https://delijn.sharepoint.com/:b:/r/teams/CTM-OTGentStad/Shared%20Documents/General/EAF/CSI(nieuwe%20sharepoint)%202025/8.%20Augustus/EAF%2014082025%205266%20Gent.pdf?csf=1&amp;web=1&amp;e=lRG0mc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</si>
  <si>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</si>
  <si>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</si>
  <si>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</si>
  <si>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</si>
  <si>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</si>
  <si>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</si>
  <si>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https://delijn.sharepoint.com/:b:/r/teams/CTM-OTGentStad/Shared%20Documents/General/EAF/CSI(nieuwe%20sharepoint)%202025/8.%20Augustus/EAF%205048%20Gent%2023082025%2041619%20Bachiri%20Ousama.pdf?csf=1&amp;web=1&amp;e=Zgn4J1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</si>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</sst>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2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48</c:v>
                </c:pt>
                <c:pt idx="1">
                  <c:v>41</c:v>
                </c:pt>
                <c:pt idx="2">
                  <c:v>37</c:v>
                </c:pt>
                <c:pt idx="3">
                  <c:v>32</c:v>
                </c:pt>
                <c:pt idx="4">
                  <c:v>26</c:v>
                </c:pt>
                <c:pt idx="5">
                  <c:v>25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62441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24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4</v>
          </cell>
          <cell r="B4" t="str">
            <v>Els Dewulf</v>
          </cell>
          <cell r="D4">
            <v>20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7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9</v>
          </cell>
          <cell r="B8" t="str">
            <v>Lucie Vande Velde</v>
          </cell>
          <cell r="D8">
            <v>19</v>
          </cell>
        </row>
        <row r="9">
          <cell r="A9">
            <v>8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0.412691782411" createdVersion="8" refreshedVersion="8" minRefreshableVersion="3" recordCount="820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/>
    </cacheField>
    <cacheField name="volledige naam" numFmtId="0">
      <sharedItems containsBlank="1" count="584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m/>
        <e v="#REF!"/>
        <s v="42002 Bogaert Kevin" u="1"/>
        <s v="10782 De Kee Ina" u="1"/>
        <s v="18051 Van Wittenberge Filip" u="1"/>
        <s v="36021 Boelaert Frederik" u="1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15T00:00:00" count="40">
        <m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03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6T00:00:00" count="420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m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15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5/08/2025"/>
        </groupItems>
      </fieldGroup>
    </cacheField>
    <cacheField name="Kwartalen (Nt Meetelend 2025)" numFmtId="0" databaseField="0">
      <fieldGroup base="5">
        <rangePr groupBy="quarters" startDate="2024-12-04T00:00:00" endDate="2025-08-15T00:00:00"/>
        <groupItems count="6">
          <s v="&lt;4/12/2024"/>
          <s v="Kwrt1"/>
          <s v="Kwrt2"/>
          <s v="Kwrt3"/>
          <s v="Kwrt4"/>
          <s v="&gt;15/08/2025"/>
        </groupItems>
      </fieldGroup>
    </cacheField>
    <cacheField name="Jaren (Nt Meetelend 2025)" numFmtId="0" databaseField="0">
      <fieldGroup base="5">
        <rangePr groupBy="years" startDate="2024-12-04T00:00:00" endDate="2025-08-15T00:00:00"/>
        <groupItems count="4">
          <s v="&lt;4/12/2024"/>
          <s v="2024"/>
          <s v="2025"/>
          <s v="&gt;15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0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3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0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2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1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2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4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1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8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6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3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2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6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8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4"/>
    <m/>
    <m/>
    <m/>
    <m/>
    <m/>
    <m/>
    <m/>
    <m/>
    <m/>
    <m/>
    <m/>
    <m/>
    <n v="0"/>
    <x v="390"/>
    <s v="EAF 04122024 Ugur.pdf"/>
    <n v="1"/>
    <m/>
    <x v="0"/>
    <x v="220"/>
  </r>
  <r>
    <n v="35490"/>
    <x v="356"/>
    <s v="Nguetto"/>
    <s v="Brisco Romeo"/>
    <x v="8"/>
    <x v="5"/>
    <m/>
    <n v="1"/>
    <m/>
    <m/>
    <m/>
    <m/>
    <m/>
    <m/>
    <m/>
    <m/>
    <m/>
    <m/>
    <n v="1"/>
    <x v="390"/>
    <s v="EAF 18022025 5912 Gent Brisco Romeo Nguetto 35490.pdf"/>
    <n v="1"/>
    <m/>
    <x v="0"/>
    <x v="67"/>
  </r>
  <r>
    <n v="37509"/>
    <x v="203"/>
    <s v="Abdulkader"/>
    <s v="Sabah"/>
    <x v="4"/>
    <x v="5"/>
    <m/>
    <n v="1"/>
    <m/>
    <m/>
    <m/>
    <m/>
    <m/>
    <m/>
    <m/>
    <m/>
    <m/>
    <m/>
    <n v="1"/>
    <x v="390"/>
    <s v="EAF 2200 Steinstraat Nazareth 18.02.2025.pdf"/>
    <n v="1"/>
    <m/>
    <x v="0"/>
    <x v="221"/>
  </r>
  <r>
    <n v="37543"/>
    <x v="25"/>
    <s v="Öztürk"/>
    <s v="Bilgehan"/>
    <x v="1"/>
    <x v="6"/>
    <m/>
    <n v="1"/>
    <m/>
    <m/>
    <m/>
    <m/>
    <m/>
    <m/>
    <m/>
    <m/>
    <m/>
    <m/>
    <n v="1"/>
    <x v="390"/>
    <s v="EAF 2208 Gent 15022025 37543 öztürk Bilehan.pdf"/>
    <n v="1"/>
    <m/>
    <x v="0"/>
    <x v="47"/>
  </r>
  <r>
    <n v="39831"/>
    <x v="357"/>
    <s v="Dolgiev"/>
    <s v="Mukhamed"/>
    <x v="2"/>
    <x v="7"/>
    <m/>
    <n v="1"/>
    <m/>
    <m/>
    <m/>
    <m/>
    <m/>
    <m/>
    <m/>
    <m/>
    <m/>
    <m/>
    <n v="1"/>
    <x v="390"/>
    <s v="EAF 5043 Brugsesteenweg Gent 22.02.2025 om 17u59.pdf"/>
    <n v="1"/>
    <m/>
    <x v="0"/>
    <x v="35"/>
  </r>
  <r>
    <n v="39633"/>
    <x v="71"/>
    <s v="Duyck"/>
    <s v="Kimberly"/>
    <x v="6"/>
    <x v="8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9"/>
    <m/>
    <m/>
    <m/>
    <m/>
    <m/>
    <m/>
    <m/>
    <m/>
    <m/>
    <m/>
    <m/>
    <m/>
    <n v="0"/>
    <x v="390"/>
    <s v="EAF 5047 Gent 03012025.pdf"/>
    <n v="1"/>
    <m/>
    <x v="0"/>
    <x v="11"/>
  </r>
  <r>
    <n v="22052"/>
    <x v="358"/>
    <s v="Meyvaert"/>
    <s v="Peter"/>
    <x v="2"/>
    <x v="10"/>
    <n v="1"/>
    <m/>
    <m/>
    <m/>
    <m/>
    <m/>
    <m/>
    <m/>
    <m/>
    <m/>
    <m/>
    <m/>
    <n v="1"/>
    <x v="390"/>
    <s v="EAF 5263 Mariakerke 13012025.pdf"/>
    <n v="1"/>
    <m/>
    <x v="0"/>
    <x v="35"/>
  </r>
  <r>
    <n v="37662"/>
    <x v="186"/>
    <s v="Van den Meerssche"/>
    <s v="Steven"/>
    <x v="4"/>
    <x v="1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2"/>
    <m/>
    <m/>
    <m/>
    <m/>
    <m/>
    <m/>
    <m/>
    <m/>
    <m/>
    <m/>
    <m/>
    <m/>
    <n v="0"/>
    <x v="390"/>
    <s v="EAF 6303 Ledebergplein 27012025 Kris De Craemer.pdf"/>
    <m/>
    <n v="1"/>
    <x v="1"/>
    <x v="49"/>
  </r>
  <r>
    <n v="28737"/>
    <x v="277"/>
    <s v="El-Mohamed"/>
    <s v="Mohamed"/>
    <x v="6"/>
    <x v="13"/>
    <m/>
    <n v="1"/>
    <m/>
    <m/>
    <m/>
    <m/>
    <m/>
    <m/>
    <m/>
    <m/>
    <m/>
    <m/>
    <n v="1"/>
    <x v="390"/>
    <s v="EAF 6320 Gent Zonnestraat 27022025 El-Mohamed Mohamed.pdf"/>
    <m/>
    <n v="1"/>
    <x v="1"/>
    <x v="93"/>
  </r>
  <r>
    <n v="29646"/>
    <x v="359"/>
    <s v="Özer"/>
    <s v="Mesut"/>
    <x v="7"/>
    <x v="14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5"/>
    <n v="1"/>
    <m/>
    <m/>
    <m/>
    <m/>
    <m/>
    <m/>
    <m/>
    <m/>
    <m/>
    <m/>
    <m/>
    <n v="1"/>
    <x v="390"/>
    <s v="EAF 6337 Gent 17012025.pdf"/>
    <m/>
    <n v="1"/>
    <x v="1"/>
    <x v="74"/>
  </r>
  <r>
    <n v="35588"/>
    <x v="201"/>
    <s v="Smesman"/>
    <s v="Glenn"/>
    <x v="6"/>
    <x v="16"/>
    <n v="1"/>
    <m/>
    <m/>
    <m/>
    <m/>
    <m/>
    <m/>
    <m/>
    <m/>
    <m/>
    <m/>
    <m/>
    <n v="1"/>
    <x v="390"/>
    <s v="EAF 6356 Gentbrugge 18012025.pdf"/>
    <m/>
    <n v="1"/>
    <x v="1"/>
    <x v="1"/>
  </r>
  <r>
    <n v="39677"/>
    <x v="360"/>
    <s v="Tacq"/>
    <s v="Joey"/>
    <x v="1"/>
    <x v="17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8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19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1"/>
    <m/>
    <m/>
    <m/>
    <m/>
    <n v="1"/>
    <m/>
    <m/>
    <m/>
    <m/>
    <m/>
    <m/>
    <m/>
    <n v="1"/>
    <x v="390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2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3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4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5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6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5"/>
    <m/>
    <m/>
    <m/>
    <m/>
    <m/>
    <m/>
    <m/>
    <m/>
    <m/>
    <m/>
    <m/>
    <m/>
    <n v="0"/>
    <x v="390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7"/>
    <m/>
    <m/>
    <n v="1"/>
    <m/>
    <m/>
    <m/>
    <m/>
    <m/>
    <m/>
    <m/>
    <m/>
    <m/>
    <n v="1"/>
    <x v="390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8"/>
    <m/>
    <m/>
    <m/>
    <m/>
    <m/>
    <m/>
    <m/>
    <m/>
    <m/>
    <m/>
    <m/>
    <m/>
    <n v="0"/>
    <x v="390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365"/>
    <s v="Lloyd"/>
    <s v="Glenn"/>
    <x v="4"/>
    <x v="29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365"/>
    <s v="Maelbrancke"/>
    <s v="Eddy"/>
    <x v="6"/>
    <x v="30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65"/>
    <s v="Hillaert"/>
    <s v="Thimo"/>
    <x v="5"/>
    <x v="31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2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365"/>
    <s v="Mestdag"/>
    <s v="Marius"/>
    <x v="4"/>
    <x v="33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5"/>
    <s v="De Kee"/>
    <s v="Ina"/>
    <x v="1"/>
    <x v="34"/>
    <m/>
    <m/>
    <m/>
    <m/>
    <m/>
    <m/>
    <m/>
    <m/>
    <m/>
    <m/>
    <m/>
    <m/>
    <n v="1"/>
    <x v="390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5"/>
    <s v="Van Wittenberge"/>
    <s v="Filip"/>
    <x v="5"/>
    <x v="35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365"/>
    <s v="Desmet"/>
    <s v="Patricia"/>
    <x v="5"/>
    <x v="36"/>
    <m/>
    <m/>
    <m/>
    <m/>
    <m/>
    <m/>
    <n v="1"/>
    <m/>
    <m/>
    <m/>
    <m/>
    <m/>
    <n v="1"/>
    <x v="390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5"/>
    <s v="Boelaert"/>
    <s v="Frederik"/>
    <x v="6"/>
    <x v="37"/>
    <m/>
    <m/>
    <m/>
    <m/>
    <m/>
    <m/>
    <m/>
    <n v="1"/>
    <m/>
    <m/>
    <m/>
    <m/>
    <n v="1"/>
    <x v="390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1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0"/>
        <item x="33"/>
        <item x="34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29">
    <i>
      <x v="25"/>
    </i>
    <i>
      <x v="62"/>
    </i>
    <i>
      <x v="190"/>
    </i>
    <i>
      <x v="189"/>
    </i>
    <i>
      <x v="63"/>
    </i>
    <i>
      <x v="43"/>
    </i>
    <i>
      <x v="188"/>
    </i>
    <i>
      <x v="146"/>
    </i>
    <i>
      <x v="168"/>
    </i>
    <i>
      <x v="223"/>
    </i>
    <i>
      <x v="209"/>
    </i>
    <i>
      <x v="42"/>
    </i>
    <i>
      <x v="91"/>
    </i>
    <i>
      <x v="37"/>
    </i>
    <i>
      <x v="134"/>
    </i>
    <i>
      <x v="3"/>
    </i>
    <i>
      <x v="35"/>
    </i>
    <i>
      <x v="144"/>
    </i>
    <i>
      <x v="30"/>
    </i>
    <i>
      <x v="66"/>
    </i>
    <i>
      <x v="95"/>
    </i>
    <i>
      <x v="218"/>
    </i>
    <i>
      <x v="187"/>
    </i>
    <i>
      <x v="90"/>
    </i>
    <i>
      <x v="119"/>
    </i>
    <i>
      <x v="147"/>
    </i>
    <i>
      <x v="133"/>
    </i>
    <i>
      <x v="196"/>
    </i>
    <i>
      <x v="47"/>
    </i>
    <i>
      <x v="137"/>
    </i>
    <i>
      <x v="50"/>
    </i>
    <i>
      <x v="183"/>
    </i>
    <i>
      <x v="54"/>
    </i>
    <i>
      <x v="222"/>
    </i>
    <i>
      <x v="15"/>
    </i>
    <i>
      <x v="26"/>
    </i>
    <i>
      <x v="17"/>
    </i>
    <i>
      <x v="6"/>
    </i>
    <i>
      <x v="77"/>
    </i>
    <i>
      <x v="181"/>
    </i>
    <i>
      <x v="82"/>
    </i>
    <i>
      <x v="186"/>
    </i>
    <i>
      <x v="88"/>
    </i>
    <i>
      <x v="201"/>
    </i>
    <i>
      <x v="127"/>
    </i>
    <i>
      <x v="224"/>
    </i>
    <i>
      <x v="129"/>
    </i>
    <i>
      <x v="45"/>
    </i>
    <i>
      <x v="199"/>
    </i>
    <i>
      <x v="176"/>
    </i>
    <i>
      <x v="87"/>
    </i>
    <i>
      <x v="89"/>
    </i>
    <i>
      <x v="7"/>
    </i>
    <i>
      <x v="23"/>
    </i>
    <i>
      <x v="211"/>
    </i>
    <i>
      <x v="24"/>
    </i>
    <i>
      <x v="169"/>
    </i>
    <i>
      <x v="5"/>
    </i>
    <i>
      <x v="79"/>
    </i>
    <i>
      <x v="97"/>
    </i>
    <i>
      <x v="194"/>
    </i>
    <i>
      <x v="98"/>
    </i>
    <i>
      <x v="203"/>
    </i>
    <i>
      <x v="99"/>
    </i>
    <i>
      <x v="216"/>
    </i>
    <i>
      <x v="100"/>
    </i>
    <i>
      <x v="163"/>
    </i>
    <i>
      <x v="101"/>
    </i>
    <i>
      <x v="173"/>
    </i>
    <i>
      <x v="103"/>
    </i>
    <i>
      <x v="180"/>
    </i>
    <i>
      <x v="108"/>
    </i>
    <i>
      <x v="33"/>
    </i>
    <i>
      <x v="109"/>
    </i>
    <i>
      <x v="192"/>
    </i>
    <i>
      <x v="111"/>
    </i>
    <i>
      <x v="60"/>
    </i>
    <i>
      <x v="112"/>
    </i>
    <i>
      <x v="84"/>
    </i>
    <i>
      <x v="113"/>
    </i>
    <i>
      <x v="207"/>
    </i>
    <i>
      <x v="2"/>
    </i>
    <i>
      <x v="213"/>
    </i>
    <i>
      <x v="121"/>
    </i>
    <i>
      <x v="86"/>
    </i>
    <i>
      <x v="123"/>
    </i>
    <i>
      <x v="162"/>
    </i>
    <i>
      <x v="126"/>
    </i>
    <i>
      <x v="31"/>
    </i>
    <i>
      <x v="52"/>
    </i>
    <i>
      <x v="170"/>
    </i>
    <i>
      <x v="128"/>
    </i>
    <i>
      <x v="175"/>
    </i>
    <i>
      <x v="65"/>
    </i>
    <i>
      <x v="177"/>
    </i>
    <i>
      <x v="131"/>
    </i>
    <i>
      <x v="78"/>
    </i>
    <i>
      <x v="132"/>
    </i>
    <i>
      <x v="81"/>
    </i>
    <i>
      <x v="19"/>
    </i>
    <i>
      <x v="34"/>
    </i>
    <i>
      <x v="67"/>
    </i>
    <i>
      <x v="9"/>
    </i>
    <i>
      <x v="135"/>
    </i>
    <i>
      <x v="193"/>
    </i>
    <i>
      <x v="228"/>
    </i>
    <i>
      <x v="195"/>
    </i>
    <i>
      <x v="68"/>
    </i>
    <i>
      <x v="198"/>
    </i>
    <i>
      <x v="142"/>
    </i>
    <i>
      <x v="200"/>
    </i>
    <i>
      <x v="29"/>
    </i>
    <i>
      <x v="202"/>
    </i>
    <i>
      <x v="74"/>
    </i>
    <i>
      <x v="205"/>
    </i>
    <i>
      <x v="49"/>
    </i>
    <i>
      <x v="41"/>
    </i>
    <i>
      <x v="148"/>
    </i>
    <i>
      <x v="212"/>
    </i>
    <i>
      <x v="151"/>
    </i>
    <i>
      <x v="215"/>
    </i>
    <i>
      <x v="155"/>
    </i>
    <i>
      <x v="12"/>
    </i>
    <i>
      <x v="157"/>
    </i>
    <i>
      <x v="14"/>
    </i>
    <i>
      <x v="158"/>
    </i>
    <i>
      <x v="46"/>
    </i>
    <i>
      <x v="160"/>
    </i>
    <i>
      <x v="13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197" firstHeaderRow="1" firstDataRow="1" firstDataCol="1"/>
  <pivotFields count="28">
    <pivotField showAll="0"/>
    <pivotField axis="axisRow" showAll="0" sortType="descending">
      <items count="585">
        <item m="1" x="568"/>
        <item m="1" x="583"/>
        <item m="1" x="416"/>
        <item x="140"/>
        <item x="45"/>
        <item m="1" x="502"/>
        <item m="1" x="367"/>
        <item m="1" x="434"/>
        <item m="1" x="459"/>
        <item x="362"/>
        <item x="349"/>
        <item x="63"/>
        <item x="143"/>
        <item x="119"/>
        <item m="1" x="455"/>
        <item x="100"/>
        <item x="224"/>
        <item x="273"/>
        <item x="242"/>
        <item x="350"/>
        <item m="1" x="423"/>
        <item x="181"/>
        <item x="135"/>
        <item m="1" x="486"/>
        <item m="1" x="442"/>
        <item x="54"/>
        <item x="269"/>
        <item m="1" x="418"/>
        <item m="1" x="424"/>
        <item m="1" x="435"/>
        <item m="1" x="551"/>
        <item m="1" x="519"/>
        <item x="161"/>
        <item m="1" x="503"/>
        <item x="361"/>
        <item x="163"/>
        <item m="1" x="552"/>
        <item x="132"/>
        <item m="1" x="460"/>
        <item m="1" x="397"/>
        <item m="1" x="562"/>
        <item x="11"/>
        <item x="88"/>
        <item x="326"/>
        <item m="1" x="428"/>
        <item x="26"/>
        <item x="233"/>
        <item m="1" x="504"/>
        <item x="131"/>
        <item m="1" x="392"/>
        <item m="1" x="479"/>
        <item m="1" x="461"/>
        <item m="1" x="563"/>
        <item m="1" x="520"/>
        <item x="97"/>
        <item x="230"/>
        <item x="261"/>
        <item m="1" x="531"/>
        <item x="234"/>
        <item x="251"/>
        <item m="1" x="465"/>
        <item m="1" x="505"/>
        <item m="1" x="506"/>
        <item m="1" x="507"/>
        <item x="248"/>
        <item x="9"/>
        <item x="148"/>
        <item x="275"/>
        <item m="1" x="456"/>
        <item m="1" x="368"/>
        <item m="1" x="508"/>
        <item m="1" x="451"/>
        <item x="252"/>
        <item m="1" x="398"/>
        <item x="43"/>
        <item m="1" x="532"/>
        <item m="1" x="436"/>
        <item x="147"/>
        <item x="82"/>
        <item m="1" x="487"/>
        <item x="34"/>
        <item x="152"/>
        <item m="1" x="466"/>
        <item x="289"/>
        <item m="1" x="444"/>
        <item m="1" x="467"/>
        <item m="1" x="406"/>
        <item m="1" x="399"/>
        <item m="1" x="410"/>
        <item x="103"/>
        <item x="12"/>
        <item x="180"/>
        <item m="1" x="437"/>
        <item x="229"/>
        <item m="1" x="553"/>
        <item x="23"/>
        <item m="1" x="443"/>
        <item m="1" x="554"/>
        <item m="1" x="445"/>
        <item m="1" x="388"/>
        <item m="1" x="579"/>
        <item x="67"/>
        <item m="1" x="462"/>
        <item m="1" x="533"/>
        <item m="1" x="534"/>
        <item m="1" x="555"/>
        <item x="173"/>
        <item x="120"/>
        <item m="1" x="468"/>
        <item m="1" x="488"/>
        <item x="95"/>
        <item m="1" x="573"/>
        <item x="272"/>
        <item m="1" x="535"/>
        <item m="1" x="469"/>
        <item m="1" x="521"/>
        <item m="1" x="470"/>
        <item m="1" x="446"/>
        <item x="65"/>
        <item x="171"/>
        <item x="52"/>
        <item m="1" x="556"/>
        <item m="1" x="422"/>
        <item x="85"/>
        <item x="258"/>
        <item m="1" x="471"/>
        <item x="223"/>
        <item m="1" x="472"/>
        <item x="358"/>
        <item m="1" x="577"/>
        <item x="354"/>
        <item x="79"/>
        <item x="165"/>
        <item m="1" x="379"/>
        <item x="340"/>
        <item x="121"/>
        <item x="249"/>
        <item m="1" x="438"/>
        <item x="343"/>
        <item m="1" x="421"/>
        <item m="1" x="509"/>
        <item m="1" x="489"/>
        <item m="1" x="522"/>
        <item x="149"/>
        <item x="195"/>
        <item m="1" x="564"/>
        <item m="1" x="431"/>
        <item x="86"/>
        <item x="217"/>
        <item m="1" x="490"/>
        <item x="314"/>
        <item m="1" x="426"/>
        <item x="62"/>
        <item x="196"/>
        <item m="1" x="447"/>
        <item m="1" x="491"/>
        <item x="137"/>
        <item x="278"/>
        <item m="1" x="448"/>
        <item x="306"/>
        <item m="1" x="389"/>
        <item m="1" x="393"/>
        <item m="1" x="536"/>
        <item x="84"/>
        <item x="55"/>
        <item x="228"/>
        <item m="1" x="439"/>
        <item x="183"/>
        <item m="1" x="452"/>
        <item x="81"/>
        <item x="283"/>
        <item m="1" x="427"/>
        <item x="213"/>
        <item x="87"/>
        <item m="1" x="537"/>
        <item x="33"/>
        <item m="1" x="538"/>
        <item m="1" x="430"/>
        <item m="1" x="432"/>
        <item m="1" x="449"/>
        <item x="334"/>
        <item m="1" x="523"/>
        <item x="256"/>
        <item m="1" x="565"/>
        <item x="93"/>
        <item x="32"/>
        <item x="70"/>
        <item m="1" x="510"/>
        <item x="40"/>
        <item m="1" x="492"/>
        <item m="1" x="480"/>
        <item x="206"/>
        <item x="319"/>
        <item m="1" x="386"/>
        <item m="1" x="493"/>
        <item x="58"/>
        <item m="1" x="574"/>
        <item m="1" x="547"/>
        <item m="1" x="548"/>
        <item m="1" x="411"/>
        <item m="1" x="539"/>
        <item x="111"/>
        <item x="277"/>
        <item x="176"/>
        <item m="1" x="400"/>
        <item x="174"/>
        <item m="1" x="494"/>
        <item x="295"/>
        <item x="106"/>
        <item m="1" x="401"/>
        <item m="1" x="412"/>
        <item m="1" x="511"/>
        <item x="250"/>
        <item x="155"/>
        <item m="1" x="581"/>
        <item x="226"/>
        <item m="1" x="453"/>
        <item x="359"/>
        <item x="292"/>
        <item x="321"/>
        <item m="1" x="481"/>
        <item m="1" x="542"/>
        <item x="237"/>
        <item x="231"/>
        <item x="28"/>
        <item x="347"/>
        <item m="1" x="543"/>
        <item x="126"/>
        <item m="1" x="566"/>
        <item x="190"/>
        <item x="221"/>
        <item x="125"/>
        <item x="238"/>
        <item m="1" x="387"/>
        <item x="30"/>
        <item x="4"/>
        <item x="301"/>
        <item x="332"/>
        <item x="189"/>
        <item x="89"/>
        <item x="193"/>
        <item m="1" x="540"/>
        <item m="1" x="544"/>
        <item x="262"/>
        <item m="1" x="545"/>
        <item x="102"/>
        <item m="1" x="546"/>
        <item m="1" x="541"/>
        <item x="204"/>
        <item m="1" x="512"/>
        <item x="20"/>
        <item x="156"/>
        <item x="24"/>
        <item x="27"/>
        <item x="341"/>
        <item x="345"/>
        <item x="293"/>
        <item m="1" x="513"/>
        <item x="199"/>
        <item m="1" x="473"/>
        <item x="310"/>
        <item x="57"/>
        <item x="178"/>
        <item m="1" x="557"/>
        <item x="83"/>
        <item x="166"/>
        <item x="299"/>
        <item x="108"/>
        <item x="75"/>
        <item m="1" x="578"/>
        <item x="313"/>
        <item x="99"/>
        <item x="94"/>
        <item x="227"/>
        <item x="127"/>
        <item m="1" x="482"/>
        <item m="1" x="405"/>
        <item x="271"/>
        <item m="1" x="474"/>
        <item m="1" x="390"/>
        <item x="73"/>
        <item m="1" x="413"/>
        <item x="160"/>
        <item x="291"/>
        <item x="118"/>
        <item x="42"/>
        <item x="96"/>
        <item m="1" x="582"/>
        <item x="53"/>
        <item x="1"/>
        <item x="117"/>
        <item x="107"/>
        <item x="22"/>
        <item m="1" x="440"/>
        <item m="1" x="402"/>
        <item m="1" x="403"/>
        <item x="167"/>
        <item m="1" x="391"/>
        <item m="1" x="524"/>
        <item x="49"/>
        <item x="91"/>
        <item x="60"/>
        <item x="145"/>
        <item x="297"/>
        <item m="1" x="525"/>
        <item x="139"/>
        <item m="1" x="575"/>
        <item x="245"/>
        <item x="164"/>
        <item x="288"/>
        <item m="1" x="475"/>
        <item m="1" x="526"/>
        <item x="235"/>
        <item x="202"/>
        <item x="116"/>
        <item x="36"/>
        <item x="356"/>
        <item x="270"/>
        <item x="162"/>
        <item m="1" x="407"/>
        <item x="363"/>
        <item x="201"/>
        <item x="218"/>
        <item x="302"/>
        <item m="1" x="514"/>
        <item x="232"/>
        <item x="64"/>
        <item m="1" x="558"/>
        <item m="1" x="463"/>
        <item m="1" x="369"/>
        <item x="329"/>
        <item x="236"/>
        <item x="50"/>
        <item x="46"/>
        <item m="1" x="527"/>
        <item x="179"/>
        <item m="1" x="408"/>
        <item m="1" x="372"/>
        <item x="259"/>
        <item m="1" x="457"/>
        <item m="1" x="382"/>
        <item x="263"/>
        <item x="184"/>
        <item x="113"/>
        <item x="243"/>
        <item x="144"/>
        <item m="1" x="425"/>
        <item m="1" x="441"/>
        <item x="185"/>
        <item x="254"/>
        <item x="207"/>
        <item x="56"/>
        <item x="346"/>
        <item x="151"/>
        <item m="1" x="394"/>
        <item x="13"/>
        <item x="19"/>
        <item x="48"/>
        <item x="264"/>
        <item x="305"/>
        <item m="1" x="420"/>
        <item x="154"/>
        <item x="312"/>
        <item x="172"/>
        <item x="330"/>
        <item x="105"/>
        <item m="1" x="528"/>
        <item m="1" x="414"/>
        <item x="244"/>
        <item m="1" x="409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9"/>
        <item x="315"/>
        <item x="153"/>
        <item x="133"/>
        <item x="124"/>
        <item x="31"/>
        <item x="303"/>
        <item m="1" x="495"/>
        <item m="1" x="380"/>
        <item m="1" x="476"/>
        <item x="3"/>
        <item x="59"/>
        <item x="104"/>
        <item x="38"/>
        <item m="1" x="496"/>
        <item x="214"/>
        <item m="1" x="560"/>
        <item x="16"/>
        <item x="300"/>
        <item x="194"/>
        <item x="10"/>
        <item x="72"/>
        <item x="138"/>
        <item m="1" x="559"/>
        <item x="317"/>
        <item x="353"/>
        <item x="110"/>
        <item x="37"/>
        <item x="15"/>
        <item x="29"/>
        <item x="66"/>
        <item x="68"/>
        <item x="17"/>
        <item m="1" x="497"/>
        <item m="1" x="381"/>
        <item x="8"/>
        <item x="35"/>
        <item x="7"/>
        <item x="61"/>
        <item m="1" x="415"/>
        <item m="1" x="429"/>
        <item x="279"/>
        <item x="41"/>
        <item x="170"/>
        <item x="146"/>
        <item x="169"/>
        <item x="168"/>
        <item x="77"/>
        <item m="1" x="383"/>
        <item x="2"/>
        <item x="175"/>
        <item x="71"/>
        <item x="200"/>
        <item x="98"/>
        <item x="78"/>
        <item m="1" x="417"/>
        <item x="18"/>
        <item x="360"/>
        <item x="74"/>
        <item m="1" x="567"/>
        <item x="205"/>
        <item x="47"/>
        <item m="1" x="571"/>
        <item x="114"/>
        <item x="357"/>
        <item x="338"/>
        <item x="320"/>
        <item x="192"/>
        <item x="14"/>
        <item x="187"/>
        <item x="123"/>
        <item m="1" x="395"/>
        <item x="150"/>
        <item x="122"/>
        <item x="69"/>
        <item x="112"/>
        <item x="286"/>
        <item m="1" x="396"/>
        <item m="1" x="576"/>
        <item x="255"/>
        <item x="209"/>
        <item x="159"/>
        <item m="1" x="570"/>
        <item x="276"/>
        <item x="134"/>
        <item x="130"/>
        <item x="240"/>
        <item x="239"/>
        <item m="1" x="498"/>
        <item x="80"/>
        <item m="1" x="550"/>
        <item x="136"/>
        <item x="90"/>
        <item m="1" x="499"/>
        <item x="197"/>
        <item x="225"/>
        <item x="247"/>
        <item x="337"/>
        <item x="322"/>
        <item m="1" x="433"/>
        <item x="182"/>
        <item x="257"/>
        <item x="307"/>
        <item x="266"/>
        <item x="177"/>
        <item x="208"/>
        <item x="157"/>
        <item m="1" x="515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69"/>
        <item x="282"/>
        <item x="241"/>
        <item x="268"/>
        <item x="309"/>
        <item x="285"/>
        <item x="253"/>
        <item x="281"/>
        <item x="328"/>
        <item x="325"/>
        <item m="1" x="572"/>
        <item x="298"/>
        <item x="311"/>
        <item m="1" x="419"/>
        <item x="327"/>
        <item x="324"/>
        <item x="336"/>
        <item x="323"/>
        <item x="335"/>
        <item x="342"/>
        <item m="1" x="366"/>
        <item m="1" x="500"/>
        <item x="260"/>
        <item m="1" x="450"/>
        <item x="316"/>
        <item x="344"/>
        <item m="1" x="404"/>
        <item m="1" x="580"/>
        <item m="1" x="464"/>
        <item m="1" x="483"/>
        <item x="21"/>
        <item m="1" x="516"/>
        <item m="1" x="561"/>
        <item x="92"/>
        <item x="115"/>
        <item x="215"/>
        <item x="44"/>
        <item m="1" x="458"/>
        <item m="1" x="529"/>
        <item m="1" x="477"/>
        <item x="280"/>
        <item m="1" x="384"/>
        <item x="141"/>
        <item m="1" x="517"/>
        <item x="333"/>
        <item m="1" x="530"/>
        <item x="188"/>
        <item m="1" x="501"/>
        <item x="210"/>
        <item m="1" x="478"/>
        <item x="76"/>
        <item x="109"/>
        <item m="1" x="518"/>
        <item m="1" x="385"/>
        <item m="1" x="484"/>
        <item x="128"/>
        <item x="304"/>
        <item m="1" x="485"/>
        <item x="287"/>
        <item m="1" x="454"/>
        <item h="1" m="1" x="371"/>
        <item h="1" m="1" x="374"/>
        <item h="1" m="1" x="373"/>
        <item h="1" m="1" x="377"/>
        <item h="1" m="1" x="376"/>
        <item h="1" m="1" x="375"/>
        <item h="1" m="1" x="378"/>
        <item h="1" m="1" x="370"/>
        <item h="1" x="0"/>
        <item h="1" x="351"/>
        <item h="1" x="352"/>
        <item h="1" x="348"/>
        <item h="1" x="355"/>
        <item h="1" x="364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41">
        <item x="4"/>
        <item x="9"/>
        <item x="10"/>
        <item x="15"/>
        <item x="16"/>
        <item x="12"/>
        <item x="6"/>
        <item x="5"/>
        <item x="7"/>
        <item x="13"/>
        <item m="1" x="39"/>
        <item x="27"/>
        <item m="1" x="38"/>
        <item x="25"/>
        <item x="24"/>
        <item x="17"/>
        <item x="18"/>
        <item x="20"/>
        <item x="19"/>
        <item x="8"/>
        <item x="11"/>
        <item x="21"/>
        <item x="1"/>
        <item x="26"/>
        <item x="2"/>
        <item x="22"/>
        <item x="14"/>
        <item x="30"/>
        <item x="29"/>
        <item x="36"/>
        <item x="32"/>
        <item x="31"/>
        <item x="33"/>
        <item x="34"/>
        <item x="0"/>
        <item x="35"/>
        <item x="23"/>
        <item x="37"/>
        <item x="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39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5">
    <i>
      <x v="511"/>
    </i>
    <i>
      <x v="473"/>
    </i>
    <i>
      <x v="507"/>
    </i>
    <i>
      <x v="497"/>
    </i>
    <i>
      <x v="512"/>
    </i>
    <i>
      <x v="501"/>
    </i>
    <i>
      <x v="342"/>
    </i>
    <i>
      <x v="504"/>
    </i>
    <i>
      <x v="90"/>
    </i>
    <i>
      <x v="351"/>
    </i>
    <i>
      <x v="280"/>
    </i>
    <i>
      <x v="514"/>
    </i>
    <i>
      <x v="478"/>
    </i>
    <i>
      <x v="358"/>
    </i>
    <i>
      <x v="508"/>
    </i>
    <i>
      <x v="480"/>
    </i>
    <i>
      <x v="432"/>
    </i>
    <i>
      <x v="112"/>
    </i>
    <i>
      <x v="494"/>
    </i>
    <i>
      <x v="148"/>
    </i>
    <i>
      <x v="412"/>
    </i>
    <i>
      <x v="156"/>
    </i>
    <i>
      <x v="440"/>
    </i>
    <i>
      <x v="157"/>
    </i>
    <i>
      <x v="483"/>
    </i>
    <i>
      <x v="202"/>
    </i>
    <i>
      <x v="498"/>
    </i>
    <i>
      <x v="232"/>
    </i>
    <i>
      <x v="520"/>
    </i>
    <i>
      <x v="250"/>
    </i>
    <i>
      <x v="428"/>
    </i>
    <i>
      <x v="309"/>
    </i>
    <i>
      <x v="435"/>
    </i>
    <i>
      <x v="325"/>
    </i>
    <i>
      <x v="442"/>
    </i>
    <i>
      <x v="341"/>
    </i>
    <i>
      <x v="481"/>
    </i>
    <i>
      <x v="18"/>
    </i>
    <i>
      <x v="490"/>
    </i>
    <i>
      <x v="348"/>
    </i>
    <i>
      <x v="43"/>
    </i>
    <i>
      <x v="355"/>
    </i>
    <i>
      <x v="506"/>
    </i>
    <i>
      <x v="380"/>
    </i>
    <i>
      <x v="513"/>
    </i>
    <i>
      <x v="397"/>
    </i>
    <i>
      <x v="531"/>
    </i>
    <i>
      <x v="407"/>
    </i>
    <i>
      <x v="374"/>
    </i>
    <i>
      <x v="134"/>
    </i>
    <i>
      <x v="489"/>
    </i>
    <i>
      <x v="452"/>
    </i>
    <i>
      <x v="255"/>
    </i>
    <i>
      <x v="67"/>
    </i>
    <i>
      <x v="256"/>
    </i>
    <i>
      <x v="192"/>
    </i>
    <i>
      <x v="260"/>
    </i>
    <i>
      <x v="472"/>
    </i>
    <i>
      <x v="262"/>
    </i>
    <i>
      <x v="502"/>
    </i>
    <i>
      <x v="264"/>
    </i>
    <i>
      <x v="243"/>
    </i>
    <i>
      <x v="266"/>
    </i>
    <i>
      <x v="417"/>
    </i>
    <i>
      <x v="267"/>
    </i>
    <i>
      <x v="444"/>
    </i>
    <i>
      <x v="268"/>
    </i>
    <i>
      <x v="465"/>
    </i>
    <i>
      <x v="270"/>
    </i>
    <i>
      <x v="219"/>
    </i>
    <i>
      <x v="277"/>
    </i>
    <i>
      <x v="236"/>
    </i>
    <i>
      <x v="17"/>
    </i>
    <i>
      <x v="238"/>
    </i>
    <i>
      <x v="282"/>
    </i>
    <i>
      <x v="515"/>
    </i>
    <i>
      <x v="283"/>
    </i>
    <i>
      <x v="525"/>
    </i>
    <i>
      <x v="288"/>
    </i>
    <i>
      <x v="414"/>
    </i>
    <i>
      <x v="290"/>
    </i>
    <i>
      <x v="182"/>
    </i>
    <i>
      <x v="292"/>
    </i>
    <i>
      <x v="120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41"/>
    </i>
    <i>
      <x v="138"/>
    </i>
    <i>
      <x v="484"/>
    </i>
    <i>
      <x v="314"/>
    </i>
    <i>
      <x v="131"/>
    </i>
    <i>
      <x v="317"/>
    </i>
    <i>
      <x v="499"/>
    </i>
    <i>
      <x v="323"/>
    </i>
    <i>
      <x v="59"/>
    </i>
    <i>
      <x v="11"/>
    </i>
    <i>
      <x v="239"/>
    </i>
    <i>
      <x v="330"/>
    </i>
    <i>
      <x v="240"/>
    </i>
    <i>
      <x v="333"/>
    </i>
    <i>
      <x v="517"/>
    </i>
    <i>
      <x v="338"/>
    </i>
    <i>
      <x v="523"/>
    </i>
    <i>
      <x v="150"/>
    </i>
    <i>
      <x v="527"/>
    </i>
    <i>
      <x v="118"/>
    </i>
    <i>
      <x v="254"/>
    </i>
    <i>
      <x v="344"/>
    </i>
    <i>
      <x v="415"/>
    </i>
    <i>
      <x v="119"/>
    </i>
    <i>
      <x v="427"/>
    </i>
    <i>
      <x v="350"/>
    </i>
    <i>
      <x v="184"/>
    </i>
    <i>
      <x v="19"/>
    </i>
    <i>
      <x v="438"/>
    </i>
    <i>
      <x v="352"/>
    </i>
    <i>
      <x v="207"/>
    </i>
    <i>
      <x v="353"/>
    </i>
    <i>
      <x v="447"/>
    </i>
    <i>
      <x v="159"/>
    </i>
    <i>
      <x v="451"/>
    </i>
    <i>
      <x v="356"/>
    </i>
    <i>
      <x v="459"/>
    </i>
    <i>
      <x v="357"/>
    </i>
    <i>
      <x v="462"/>
    </i>
    <i>
      <x v="553"/>
    </i>
    <i>
      <x v="467"/>
    </i>
    <i>
      <x v="559"/>
    </i>
    <i>
      <x v="471"/>
    </i>
    <i>
      <x v="567"/>
    </i>
    <i>
      <x v="26"/>
    </i>
    <i>
      <x v="363"/>
    </i>
    <i>
      <x v="218"/>
    </i>
    <i>
      <x v="364"/>
    </i>
    <i>
      <x v="224"/>
    </i>
    <i>
      <x v="373"/>
    </i>
    <i>
      <x v="488"/>
    </i>
    <i>
      <x v="534"/>
    </i>
    <i>
      <x v="225"/>
    </i>
    <i>
      <x v="549"/>
    </i>
    <i>
      <x v="496"/>
    </i>
    <i>
      <x v="376"/>
    </i>
    <i>
      <x v="237"/>
    </i>
    <i>
      <x v="167"/>
    </i>
    <i>
      <x v="55"/>
    </i>
    <i>
      <x v="382"/>
    </i>
    <i>
      <x v="503"/>
    </i>
    <i>
      <x v="385"/>
    </i>
    <i>
      <x v="505"/>
    </i>
    <i>
      <x v="387"/>
    </i>
    <i>
      <x v="65"/>
    </i>
    <i>
      <x v="388"/>
    </i>
    <i>
      <x v="510"/>
    </i>
    <i>
      <x v="389"/>
    </i>
    <i>
      <x v="74"/>
    </i>
    <i>
      <x v="392"/>
    </i>
    <i>
      <x v="81"/>
    </i>
    <i>
      <x v="170"/>
    </i>
    <i>
      <x v="516"/>
    </i>
    <i>
      <x v="398"/>
    </i>
    <i>
      <x v="518"/>
    </i>
    <i>
      <x v="404"/>
    </i>
    <i>
      <x v="521"/>
    </i>
    <i>
      <x v="405"/>
    </i>
    <i>
      <x v="524"/>
    </i>
    <i>
      <x v="406"/>
    </i>
    <i>
      <x v="526"/>
    </i>
    <i>
      <x v="173"/>
    </i>
    <i>
      <x v="528"/>
    </i>
    <i>
      <x v="410"/>
    </i>
    <i>
      <x v="533"/>
    </i>
    <i>
      <x v="180"/>
    </i>
    <i>
      <x v="413"/>
    </i>
    <i>
      <x v="83"/>
    </i>
    <i>
      <x v="375"/>
    </i>
    <i>
      <x v="565"/>
    </i>
    <i>
      <x v="359"/>
    </i>
    <i>
      <x v="10"/>
    </i>
    <i>
      <x v="36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21" name="Datum">
      <autoFilter ref="A1">
        <filterColumn colId="0">
          <customFilters and="1">
            <customFilter operator="greaterThanOrEqual" val="45658"/>
            <customFilter operator="lessThanOrEqual" val="45869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28" totalsRowShown="0" headerRowDxfId="10">
  <autoFilter ref="A1:Y828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07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2" selectionLevel="2" scrollPosition="2025-04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3" zoomScale="90" zoomScaleNormal="90" workbookViewId="0">
      <selection activeCell="B32" sqref="B32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5.85546875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3294</v>
      </c>
      <c r="D13">
        <v>6</v>
      </c>
      <c r="F13" s="2" t="s">
        <v>19</v>
      </c>
      <c r="G13">
        <v>13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3295</v>
      </c>
      <c r="D14">
        <v>5</v>
      </c>
      <c r="F14" s="2" t="s">
        <v>18</v>
      </c>
      <c r="G14">
        <v>12</v>
      </c>
      <c r="I14" s="2" t="s">
        <v>2914</v>
      </c>
      <c r="J14">
        <v>29</v>
      </c>
      <c r="K14">
        <v>12</v>
      </c>
    </row>
    <row r="15" spans="3:19" x14ac:dyDescent="0.25">
      <c r="C15" s="2" t="s">
        <v>3297</v>
      </c>
      <c r="D15">
        <v>4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25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33</v>
      </c>
      <c r="K16">
        <v>4</v>
      </c>
    </row>
    <row r="17" spans="2:11" x14ac:dyDescent="0.25">
      <c r="C17" s="2" t="s">
        <v>3296</v>
      </c>
      <c r="D17">
        <v>4</v>
      </c>
      <c r="F17" s="2" t="s">
        <v>28</v>
      </c>
      <c r="G17">
        <v>7</v>
      </c>
      <c r="I17" s="2" t="s">
        <v>63</v>
      </c>
      <c r="J17">
        <v>27</v>
      </c>
      <c r="K17">
        <v>12</v>
      </c>
    </row>
    <row r="18" spans="2:11" x14ac:dyDescent="0.25">
      <c r="C18" s="2" t="s">
        <v>3300</v>
      </c>
      <c r="D18">
        <v>3</v>
      </c>
      <c r="F18" s="2" t="s">
        <v>41</v>
      </c>
      <c r="G18">
        <v>6</v>
      </c>
      <c r="I18" s="2" t="s">
        <v>65</v>
      </c>
      <c r="J18">
        <v>20</v>
      </c>
      <c r="K18">
        <v>7</v>
      </c>
    </row>
    <row r="19" spans="2:11" x14ac:dyDescent="0.25">
      <c r="C19" s="2" t="s">
        <v>9</v>
      </c>
      <c r="D19">
        <v>3</v>
      </c>
      <c r="F19" s="2" t="s">
        <v>30</v>
      </c>
      <c r="G19">
        <v>6</v>
      </c>
      <c r="I19" s="2" t="s">
        <v>67</v>
      </c>
      <c r="J19">
        <v>25</v>
      </c>
      <c r="K19">
        <v>7</v>
      </c>
    </row>
    <row r="20" spans="2:11" x14ac:dyDescent="0.25">
      <c r="C20" s="2" t="s">
        <v>3301</v>
      </c>
      <c r="D20">
        <v>3</v>
      </c>
      <c r="F20" s="2" t="s">
        <v>26</v>
      </c>
      <c r="G20">
        <v>6</v>
      </c>
      <c r="I20" s="2" t="s">
        <v>69</v>
      </c>
      <c r="J20">
        <v>29</v>
      </c>
      <c r="K20">
        <v>8</v>
      </c>
    </row>
    <row r="21" spans="2:11" x14ac:dyDescent="0.25">
      <c r="C21" s="2" t="s">
        <v>3302</v>
      </c>
      <c r="D21">
        <v>3</v>
      </c>
      <c r="F21" s="2" t="s">
        <v>24</v>
      </c>
      <c r="G21">
        <v>6</v>
      </c>
      <c r="I21" s="2" t="s">
        <v>71</v>
      </c>
      <c r="J21"/>
      <c r="K21"/>
    </row>
    <row r="22" spans="2:11" x14ac:dyDescent="0.25">
      <c r="C22" s="2" t="s">
        <v>3299</v>
      </c>
      <c r="D22">
        <v>3</v>
      </c>
      <c r="F22" s="2" t="s">
        <v>25</v>
      </c>
      <c r="G22">
        <v>6</v>
      </c>
      <c r="I22" s="2" t="s">
        <v>73</v>
      </c>
      <c r="J22"/>
      <c r="K22"/>
    </row>
    <row r="23" spans="2:11" x14ac:dyDescent="0.25">
      <c r="C23" s="2" t="s">
        <v>3303</v>
      </c>
      <c r="D23">
        <v>3</v>
      </c>
      <c r="F23" s="2" t="s">
        <v>61</v>
      </c>
      <c r="G23">
        <v>5</v>
      </c>
      <c r="I23" s="2" t="s">
        <v>75</v>
      </c>
      <c r="J23"/>
      <c r="K23"/>
    </row>
    <row r="24" spans="2:11" x14ac:dyDescent="0.25">
      <c r="C24" s="2" t="s">
        <v>3337</v>
      </c>
      <c r="D24">
        <v>3</v>
      </c>
      <c r="F24" s="2" t="s">
        <v>45</v>
      </c>
      <c r="G24">
        <v>5</v>
      </c>
      <c r="I24" s="2" t="s">
        <v>77</v>
      </c>
      <c r="J24"/>
      <c r="K24"/>
    </row>
    <row r="25" spans="2:11" x14ac:dyDescent="0.25">
      <c r="C25" s="2" t="s">
        <v>3304</v>
      </c>
      <c r="D25">
        <v>3</v>
      </c>
      <c r="F25" s="2" t="s">
        <v>52</v>
      </c>
      <c r="G25">
        <v>5</v>
      </c>
      <c r="I25" s="2" t="s">
        <v>79</v>
      </c>
      <c r="J25"/>
      <c r="K25"/>
    </row>
    <row r="26" spans="2:11" x14ac:dyDescent="0.25">
      <c r="C26" s="2" t="s">
        <v>3305</v>
      </c>
      <c r="D26">
        <v>3</v>
      </c>
      <c r="F26" s="2" t="s">
        <v>20</v>
      </c>
      <c r="G26">
        <v>5</v>
      </c>
    </row>
    <row r="27" spans="2:11" x14ac:dyDescent="0.25">
      <c r="C27" s="2" t="s">
        <v>3312</v>
      </c>
      <c r="D27">
        <v>2</v>
      </c>
      <c r="F27" s="2" t="s">
        <v>53</v>
      </c>
      <c r="G27">
        <v>4</v>
      </c>
      <c r="I27" s="1" t="s">
        <v>2923</v>
      </c>
      <c r="J27" t="s">
        <v>17</v>
      </c>
    </row>
    <row r="28" spans="2:11" x14ac:dyDescent="0.25">
      <c r="C28" s="2" t="s">
        <v>3327</v>
      </c>
      <c r="D28">
        <v>2</v>
      </c>
      <c r="F28" s="2" t="s">
        <v>88</v>
      </c>
      <c r="G28">
        <v>3</v>
      </c>
      <c r="I28" s="2" t="s">
        <v>36</v>
      </c>
      <c r="J28">
        <v>48</v>
      </c>
    </row>
    <row r="29" spans="2:11" x14ac:dyDescent="0.25">
      <c r="C29" s="2" t="s">
        <v>3323</v>
      </c>
      <c r="D29">
        <v>2</v>
      </c>
      <c r="F29" s="2" t="s">
        <v>97</v>
      </c>
      <c r="G29">
        <v>3</v>
      </c>
      <c r="I29" s="2" t="s">
        <v>38</v>
      </c>
      <c r="J29">
        <v>41</v>
      </c>
    </row>
    <row r="30" spans="2:11" x14ac:dyDescent="0.25">
      <c r="C30" s="2" t="s">
        <v>3309</v>
      </c>
      <c r="D30">
        <v>2</v>
      </c>
      <c r="F30" s="2" t="s">
        <v>103</v>
      </c>
      <c r="G30">
        <v>3</v>
      </c>
      <c r="I30" s="2" t="s">
        <v>42</v>
      </c>
      <c r="J30">
        <v>37</v>
      </c>
    </row>
    <row r="31" spans="2:11" x14ac:dyDescent="0.25">
      <c r="B31" s="34">
        <f>AVERAGE(D13:D196)</f>
        <v>1.3858695652173914</v>
      </c>
      <c r="C31" s="2" t="s">
        <v>3331</v>
      </c>
      <c r="D31">
        <v>2</v>
      </c>
      <c r="F31" s="2" t="s">
        <v>70</v>
      </c>
      <c r="G31">
        <v>3</v>
      </c>
      <c r="I31" s="2" t="s">
        <v>40</v>
      </c>
      <c r="J31">
        <v>32</v>
      </c>
    </row>
    <row r="32" spans="2:11" x14ac:dyDescent="0.25">
      <c r="C32" s="2" t="s">
        <v>3311</v>
      </c>
      <c r="D32">
        <v>2</v>
      </c>
      <c r="F32" s="2" t="s">
        <v>43</v>
      </c>
      <c r="G32">
        <v>3</v>
      </c>
      <c r="I32" s="2" t="s">
        <v>46</v>
      </c>
      <c r="J32">
        <v>26</v>
      </c>
    </row>
    <row r="33" spans="3:15" x14ac:dyDescent="0.25">
      <c r="C33" s="2" t="s">
        <v>3352</v>
      </c>
      <c r="D33">
        <v>2</v>
      </c>
      <c r="F33" s="2" t="s">
        <v>95</v>
      </c>
      <c r="G33">
        <v>3</v>
      </c>
      <c r="I33" s="2" t="s">
        <v>50</v>
      </c>
      <c r="J33">
        <v>25</v>
      </c>
    </row>
    <row r="34" spans="3:15" x14ac:dyDescent="0.25">
      <c r="C34" s="2" t="s">
        <v>3313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25">
      <c r="C35" s="2" t="s">
        <v>3325</v>
      </c>
      <c r="D35">
        <v>2</v>
      </c>
      <c r="F35" s="2" t="s">
        <v>140</v>
      </c>
      <c r="G35">
        <v>3</v>
      </c>
      <c r="I35" s="2" t="s">
        <v>48</v>
      </c>
      <c r="J35">
        <v>22</v>
      </c>
    </row>
    <row r="36" spans="3:15" x14ac:dyDescent="0.25">
      <c r="C36" s="2" t="s">
        <v>3315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25">
      <c r="C37" s="2" t="s">
        <v>3329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25">
      <c r="C38" s="2" t="s">
        <v>3</v>
      </c>
      <c r="D38">
        <v>2</v>
      </c>
      <c r="F38" s="2" t="s">
        <v>222</v>
      </c>
      <c r="G38">
        <v>2</v>
      </c>
      <c r="I38" s="2" t="s">
        <v>16</v>
      </c>
      <c r="J38">
        <v>261</v>
      </c>
    </row>
    <row r="39" spans="3:15" x14ac:dyDescent="0.25">
      <c r="C39" s="2" t="s">
        <v>3306</v>
      </c>
      <c r="D39">
        <v>2</v>
      </c>
      <c r="F39" s="2" t="s">
        <v>111</v>
      </c>
      <c r="G39">
        <v>2</v>
      </c>
      <c r="I39"/>
      <c r="J39"/>
    </row>
    <row r="40" spans="3:15" x14ac:dyDescent="0.25">
      <c r="C40" s="2" t="s">
        <v>3318</v>
      </c>
      <c r="D40">
        <v>2</v>
      </c>
      <c r="F40" s="2" t="s">
        <v>22</v>
      </c>
      <c r="G40">
        <v>2</v>
      </c>
    </row>
    <row r="41" spans="3:15" x14ac:dyDescent="0.25">
      <c r="C41" s="2" t="s">
        <v>3334</v>
      </c>
      <c r="D41">
        <v>2</v>
      </c>
      <c r="F41" s="2" t="s">
        <v>105</v>
      </c>
      <c r="G41">
        <v>2</v>
      </c>
      <c r="I41" s="36" t="s">
        <v>2918</v>
      </c>
      <c r="J41" s="36"/>
      <c r="K41" s="36"/>
      <c r="L41" s="25"/>
      <c r="M41" s="36" t="s">
        <v>2917</v>
      </c>
      <c r="N41" s="36"/>
      <c r="O41" s="36"/>
    </row>
    <row r="42" spans="3:15" x14ac:dyDescent="0.25">
      <c r="C42" s="2" t="s">
        <v>3320</v>
      </c>
      <c r="D42">
        <v>2</v>
      </c>
      <c r="F42" s="2" t="s">
        <v>89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24</v>
      </c>
      <c r="N42" s="13" t="str">
        <f>'[1]Ingeplande per TC'!$B$2</f>
        <v>Christoff Rotty</v>
      </c>
      <c r="O42" s="13"/>
    </row>
    <row r="43" spans="3:15" x14ac:dyDescent="0.25">
      <c r="C43" s="2" t="s">
        <v>3314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7</v>
      </c>
      <c r="D44">
        <v>2</v>
      </c>
      <c r="F44" s="2" t="s">
        <v>108</v>
      </c>
      <c r="G44">
        <v>2</v>
      </c>
      <c r="I44" s="13">
        <f>'[1]Ingeplande per TC'!$A$4</f>
        <v>4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2" t="s">
        <v>3307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3322</v>
      </c>
      <c r="D46">
        <v>2</v>
      </c>
      <c r="F46" s="2" t="s">
        <v>87</v>
      </c>
      <c r="G46">
        <v>2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2" t="s">
        <v>3316</v>
      </c>
      <c r="D47">
        <v>2</v>
      </c>
      <c r="F47" s="2" t="s">
        <v>62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2" t="s">
        <v>3324</v>
      </c>
      <c r="D48">
        <v>2</v>
      </c>
      <c r="F48" s="2" t="s">
        <v>116</v>
      </c>
      <c r="G48">
        <v>2</v>
      </c>
      <c r="I48" s="13">
        <f>'[1]Ingeplande per TC'!$A$8</f>
        <v>9</v>
      </c>
      <c r="J48" s="13" t="str">
        <f>'[1]Ingeplande per TC'!$B$8</f>
        <v>Lucie Vande Velde</v>
      </c>
      <c r="K48" s="13"/>
      <c r="L48" s="25"/>
      <c r="M48" s="13">
        <f>'[1]Ingeplande per TC'!$D$8</f>
        <v>19</v>
      </c>
      <c r="N48" s="13" t="str">
        <f>'[1]Ingeplande per TC'!$B$8</f>
        <v>Lucie Vande Velde</v>
      </c>
      <c r="O48" s="13"/>
    </row>
    <row r="49" spans="3:15" x14ac:dyDescent="0.25">
      <c r="C49" s="2" t="s">
        <v>3310</v>
      </c>
      <c r="D49">
        <v>2</v>
      </c>
      <c r="F49" s="2" t="s">
        <v>142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2" t="s">
        <v>3326</v>
      </c>
      <c r="D50">
        <v>2</v>
      </c>
      <c r="F50" s="2" t="s">
        <v>178</v>
      </c>
      <c r="G50">
        <v>2</v>
      </c>
      <c r="I50" s="14">
        <f>SUM(I42:I49)</f>
        <v>57</v>
      </c>
      <c r="J50" s="14" t="s">
        <v>248</v>
      </c>
      <c r="K50" s="14"/>
      <c r="L50" s="25"/>
      <c r="M50" s="14">
        <f>SUM(M42:M49)</f>
        <v>156</v>
      </c>
      <c r="N50" s="14" t="s">
        <v>248</v>
      </c>
      <c r="O50" s="14"/>
    </row>
    <row r="51" spans="3:15" x14ac:dyDescent="0.25">
      <c r="C51" s="2" t="s">
        <v>3317</v>
      </c>
      <c r="D51">
        <v>2</v>
      </c>
      <c r="F51" s="2" t="s">
        <v>51</v>
      </c>
      <c r="G51">
        <v>2</v>
      </c>
    </row>
    <row r="52" spans="3:15" x14ac:dyDescent="0.25">
      <c r="C52" s="2" t="s">
        <v>3328</v>
      </c>
      <c r="D52">
        <v>2</v>
      </c>
      <c r="F52" s="2" t="s">
        <v>68</v>
      </c>
      <c r="G52">
        <v>2</v>
      </c>
    </row>
    <row r="53" spans="3:15" x14ac:dyDescent="0.25">
      <c r="C53" s="2" t="s">
        <v>3333</v>
      </c>
      <c r="D53">
        <v>2</v>
      </c>
      <c r="F53" s="2" t="s">
        <v>157</v>
      </c>
      <c r="G53">
        <v>2</v>
      </c>
    </row>
    <row r="54" spans="3:15" x14ac:dyDescent="0.25">
      <c r="C54" s="2" t="s">
        <v>3330</v>
      </c>
      <c r="D54">
        <v>2</v>
      </c>
      <c r="F54" s="2" t="s">
        <v>138</v>
      </c>
      <c r="G54">
        <v>2</v>
      </c>
    </row>
    <row r="55" spans="3:15" x14ac:dyDescent="0.25">
      <c r="C55" s="2" t="s">
        <v>3335</v>
      </c>
      <c r="D55">
        <v>2</v>
      </c>
      <c r="F55" s="2" t="s">
        <v>39</v>
      </c>
      <c r="G55">
        <v>2</v>
      </c>
    </row>
    <row r="56" spans="3:15" x14ac:dyDescent="0.25">
      <c r="C56" s="2" t="s">
        <v>3321</v>
      </c>
      <c r="D56">
        <v>2</v>
      </c>
      <c r="F56" s="2" t="s">
        <v>102</v>
      </c>
      <c r="G56">
        <v>2</v>
      </c>
    </row>
    <row r="57" spans="3:15" x14ac:dyDescent="0.25">
      <c r="C57" s="2" t="s">
        <v>3332</v>
      </c>
      <c r="D57">
        <v>2</v>
      </c>
      <c r="F57" s="2" t="s">
        <v>130</v>
      </c>
      <c r="G57">
        <v>2</v>
      </c>
    </row>
    <row r="58" spans="3:15" x14ac:dyDescent="0.25">
      <c r="C58" s="2" t="s">
        <v>3308</v>
      </c>
      <c r="D58">
        <v>2</v>
      </c>
      <c r="F58" s="2" t="s">
        <v>3293</v>
      </c>
      <c r="G58">
        <v>2</v>
      </c>
    </row>
    <row r="59" spans="3:15" x14ac:dyDescent="0.25">
      <c r="C59" s="2" t="s">
        <v>13</v>
      </c>
      <c r="D59">
        <v>2</v>
      </c>
      <c r="F59" s="2" t="s">
        <v>2896</v>
      </c>
      <c r="G59">
        <v>2</v>
      </c>
    </row>
    <row r="60" spans="3:15" x14ac:dyDescent="0.25">
      <c r="C60" s="2" t="s">
        <v>10</v>
      </c>
      <c r="D60">
        <v>2</v>
      </c>
      <c r="F60" s="2" t="s">
        <v>96</v>
      </c>
      <c r="G60">
        <v>2</v>
      </c>
    </row>
    <row r="61" spans="3:15" x14ac:dyDescent="0.25">
      <c r="C61" s="2" t="s">
        <v>3336</v>
      </c>
      <c r="D61">
        <v>2</v>
      </c>
      <c r="F61" s="2" t="s">
        <v>128</v>
      </c>
      <c r="G61">
        <v>1</v>
      </c>
    </row>
    <row r="62" spans="3:15" x14ac:dyDescent="0.25">
      <c r="C62" s="2" t="s">
        <v>3386</v>
      </c>
      <c r="D62">
        <v>1</v>
      </c>
      <c r="F62" s="2" t="s">
        <v>229</v>
      </c>
      <c r="G62">
        <v>1</v>
      </c>
    </row>
    <row r="63" spans="3:15" x14ac:dyDescent="0.25">
      <c r="C63" s="2" t="s">
        <v>3359</v>
      </c>
      <c r="D63">
        <v>1</v>
      </c>
      <c r="F63" s="2" t="s">
        <v>243</v>
      </c>
      <c r="G63">
        <v>1</v>
      </c>
    </row>
    <row r="64" spans="3:15" x14ac:dyDescent="0.25">
      <c r="C64" s="2" t="s">
        <v>3356</v>
      </c>
      <c r="D64">
        <v>1</v>
      </c>
      <c r="F64" s="2" t="s">
        <v>156</v>
      </c>
      <c r="G64">
        <v>1</v>
      </c>
    </row>
    <row r="65" spans="3:7" x14ac:dyDescent="0.25">
      <c r="C65" s="2" t="s">
        <v>3343</v>
      </c>
      <c r="D65">
        <v>1</v>
      </c>
      <c r="F65" s="2" t="s">
        <v>2907</v>
      </c>
      <c r="G65">
        <v>1</v>
      </c>
    </row>
    <row r="66" spans="3:7" x14ac:dyDescent="0.25">
      <c r="C66" s="2" t="s">
        <v>3441</v>
      </c>
      <c r="D66">
        <v>1</v>
      </c>
      <c r="F66" s="2" t="s">
        <v>35</v>
      </c>
      <c r="G66">
        <v>1</v>
      </c>
    </row>
    <row r="67" spans="3:7" x14ac:dyDescent="0.25">
      <c r="C67" s="2" t="s">
        <v>3345</v>
      </c>
      <c r="D67">
        <v>1</v>
      </c>
      <c r="F67" s="2" t="s">
        <v>197</v>
      </c>
      <c r="G67">
        <v>1</v>
      </c>
    </row>
    <row r="68" spans="3:7" x14ac:dyDescent="0.25">
      <c r="C68" s="2" t="s">
        <v>3402</v>
      </c>
      <c r="D68">
        <v>1</v>
      </c>
      <c r="F68" s="2" t="s">
        <v>170</v>
      </c>
      <c r="G68">
        <v>1</v>
      </c>
    </row>
    <row r="69" spans="3:7" x14ac:dyDescent="0.25">
      <c r="C69" s="2" t="s">
        <v>3347</v>
      </c>
      <c r="D69">
        <v>1</v>
      </c>
      <c r="F69" s="2" t="s">
        <v>215</v>
      </c>
      <c r="G69">
        <v>1</v>
      </c>
    </row>
    <row r="70" spans="3:7" x14ac:dyDescent="0.25">
      <c r="C70" s="2" t="s">
        <v>3357</v>
      </c>
      <c r="D70">
        <v>1</v>
      </c>
      <c r="F70" s="2" t="s">
        <v>2900</v>
      </c>
      <c r="G70">
        <v>1</v>
      </c>
    </row>
    <row r="71" spans="3:7" x14ac:dyDescent="0.25">
      <c r="C71" s="2" t="s">
        <v>3349</v>
      </c>
      <c r="D71">
        <v>1</v>
      </c>
      <c r="F71" s="2" t="s">
        <v>91</v>
      </c>
      <c r="G71">
        <v>1</v>
      </c>
    </row>
    <row r="72" spans="3:7" x14ac:dyDescent="0.25">
      <c r="C72" s="2" t="s">
        <v>3319</v>
      </c>
      <c r="D72">
        <v>1</v>
      </c>
      <c r="F72" s="2" t="s">
        <v>86</v>
      </c>
      <c r="G72">
        <v>1</v>
      </c>
    </row>
    <row r="73" spans="3:7" x14ac:dyDescent="0.25">
      <c r="C73" s="2" t="s">
        <v>3351</v>
      </c>
      <c r="D73">
        <v>1</v>
      </c>
      <c r="F73" s="2" t="s">
        <v>186</v>
      </c>
      <c r="G73">
        <v>1</v>
      </c>
    </row>
    <row r="74" spans="3:7" x14ac:dyDescent="0.25">
      <c r="C74" s="2" t="s">
        <v>3387</v>
      </c>
      <c r="D74">
        <v>1</v>
      </c>
      <c r="F74" s="2" t="s">
        <v>60</v>
      </c>
      <c r="G74">
        <v>1</v>
      </c>
    </row>
    <row r="75" spans="3:7" x14ac:dyDescent="0.25">
      <c r="C75" s="2" t="s">
        <v>3353</v>
      </c>
      <c r="D75">
        <v>1</v>
      </c>
      <c r="F75" s="2" t="s">
        <v>234</v>
      </c>
      <c r="G75">
        <v>1</v>
      </c>
    </row>
    <row r="76" spans="3:7" x14ac:dyDescent="0.25">
      <c r="C76" s="2" t="s">
        <v>3344</v>
      </c>
      <c r="D76">
        <v>1</v>
      </c>
      <c r="F76" s="2" t="s">
        <v>143</v>
      </c>
      <c r="G76">
        <v>1</v>
      </c>
    </row>
    <row r="77" spans="3:7" x14ac:dyDescent="0.25">
      <c r="C77" s="2" t="s">
        <v>3355</v>
      </c>
      <c r="D77">
        <v>1</v>
      </c>
      <c r="F77" s="2" t="s">
        <v>66</v>
      </c>
      <c r="G77">
        <v>1</v>
      </c>
    </row>
    <row r="78" spans="3:7" x14ac:dyDescent="0.25">
      <c r="C78" s="2" t="s">
        <v>3340</v>
      </c>
      <c r="D78">
        <v>1</v>
      </c>
      <c r="F78" s="2" t="s">
        <v>187</v>
      </c>
      <c r="G78">
        <v>1</v>
      </c>
    </row>
    <row r="79" spans="3:7" x14ac:dyDescent="0.25">
      <c r="C79" s="2" t="s">
        <v>5</v>
      </c>
      <c r="D79">
        <v>1</v>
      </c>
      <c r="F79" s="2" t="s">
        <v>209</v>
      </c>
      <c r="G79">
        <v>1</v>
      </c>
    </row>
    <row r="80" spans="3:7" x14ac:dyDescent="0.25">
      <c r="C80" s="2" t="s">
        <v>3346</v>
      </c>
      <c r="D80">
        <v>1</v>
      </c>
      <c r="F80" s="2" t="s">
        <v>76</v>
      </c>
      <c r="G80">
        <v>1</v>
      </c>
    </row>
    <row r="81" spans="3:7" x14ac:dyDescent="0.25">
      <c r="C81" s="2" t="s">
        <v>3358</v>
      </c>
      <c r="D81">
        <v>1</v>
      </c>
      <c r="F81" s="2" t="s">
        <v>179</v>
      </c>
      <c r="G81">
        <v>1</v>
      </c>
    </row>
    <row r="82" spans="3:7" x14ac:dyDescent="0.25">
      <c r="C82" s="2" t="s">
        <v>3421</v>
      </c>
      <c r="D82">
        <v>1</v>
      </c>
      <c r="F82" s="2" t="s">
        <v>173</v>
      </c>
      <c r="G82">
        <v>1</v>
      </c>
    </row>
    <row r="83" spans="3:7" x14ac:dyDescent="0.25">
      <c r="C83" s="2" t="s">
        <v>3360</v>
      </c>
      <c r="D83">
        <v>1</v>
      </c>
      <c r="F83" s="2" t="s">
        <v>154</v>
      </c>
      <c r="G83">
        <v>1</v>
      </c>
    </row>
    <row r="84" spans="3:7" x14ac:dyDescent="0.25">
      <c r="C84" s="2" t="s">
        <v>3381</v>
      </c>
      <c r="D84">
        <v>1</v>
      </c>
      <c r="F84" s="2" t="s">
        <v>151</v>
      </c>
      <c r="G84">
        <v>1</v>
      </c>
    </row>
    <row r="85" spans="3:7" x14ac:dyDescent="0.25">
      <c r="C85" s="2" t="s">
        <v>0</v>
      </c>
      <c r="D85">
        <v>1</v>
      </c>
      <c r="F85" s="2" t="s">
        <v>2911</v>
      </c>
      <c r="G85">
        <v>1</v>
      </c>
    </row>
    <row r="86" spans="3:7" x14ac:dyDescent="0.25">
      <c r="C86" s="2" t="s">
        <v>4</v>
      </c>
      <c r="D86">
        <v>1</v>
      </c>
      <c r="F86" s="2" t="s">
        <v>31</v>
      </c>
      <c r="G86">
        <v>1</v>
      </c>
    </row>
    <row r="87" spans="3:7" x14ac:dyDescent="0.25">
      <c r="C87" s="2" t="s">
        <v>3363</v>
      </c>
      <c r="D87">
        <v>1</v>
      </c>
      <c r="F87" s="2" t="s">
        <v>106</v>
      </c>
      <c r="G87">
        <v>1</v>
      </c>
    </row>
    <row r="88" spans="3:7" x14ac:dyDescent="0.25">
      <c r="C88" s="2" t="s">
        <v>3412</v>
      </c>
      <c r="D88">
        <v>1</v>
      </c>
      <c r="F88" s="2" t="s">
        <v>189</v>
      </c>
      <c r="G88">
        <v>1</v>
      </c>
    </row>
    <row r="89" spans="3:7" x14ac:dyDescent="0.25">
      <c r="C89" s="2" t="s">
        <v>3365</v>
      </c>
      <c r="D89">
        <v>1</v>
      </c>
      <c r="F89" s="2" t="s">
        <v>113</v>
      </c>
      <c r="G89">
        <v>1</v>
      </c>
    </row>
    <row r="90" spans="3:7" x14ac:dyDescent="0.25">
      <c r="C90" s="2" t="s">
        <v>3420</v>
      </c>
      <c r="D90">
        <v>1</v>
      </c>
      <c r="F90" s="2" t="s">
        <v>112</v>
      </c>
      <c r="G90">
        <v>1</v>
      </c>
    </row>
    <row r="91" spans="3:7" x14ac:dyDescent="0.25">
      <c r="C91" s="2" t="s">
        <v>3367</v>
      </c>
      <c r="D91">
        <v>1</v>
      </c>
      <c r="F91" s="2" t="s">
        <v>150</v>
      </c>
      <c r="G91">
        <v>1</v>
      </c>
    </row>
    <row r="92" spans="3:7" x14ac:dyDescent="0.25">
      <c r="C92" s="2" t="s">
        <v>3368</v>
      </c>
      <c r="D92">
        <v>1</v>
      </c>
      <c r="F92" s="2" t="s">
        <v>160</v>
      </c>
      <c r="G92">
        <v>1</v>
      </c>
    </row>
    <row r="93" spans="3:7" x14ac:dyDescent="0.25">
      <c r="C93" s="2" t="s">
        <v>3369</v>
      </c>
      <c r="D93">
        <v>1</v>
      </c>
      <c r="F93" s="2" t="s">
        <v>2912</v>
      </c>
      <c r="G93">
        <v>1</v>
      </c>
    </row>
    <row r="94" spans="3:7" x14ac:dyDescent="0.25">
      <c r="C94" s="2" t="s">
        <v>3394</v>
      </c>
      <c r="D94">
        <v>1</v>
      </c>
      <c r="F94" s="2" t="s">
        <v>245</v>
      </c>
      <c r="G94">
        <v>1</v>
      </c>
    </row>
    <row r="95" spans="3:7" x14ac:dyDescent="0.25">
      <c r="C95" s="2" t="s">
        <v>3371</v>
      </c>
      <c r="D95">
        <v>1</v>
      </c>
      <c r="F95" s="2" t="s">
        <v>149</v>
      </c>
      <c r="G95">
        <v>1</v>
      </c>
    </row>
    <row r="96" spans="3:7" x14ac:dyDescent="0.25">
      <c r="C96" s="2" t="s">
        <v>3388</v>
      </c>
      <c r="D96">
        <v>1</v>
      </c>
      <c r="F96" s="2" t="s">
        <v>2905</v>
      </c>
      <c r="G96">
        <v>1</v>
      </c>
    </row>
    <row r="97" spans="3:7" x14ac:dyDescent="0.25">
      <c r="C97" s="2" t="s">
        <v>6</v>
      </c>
      <c r="D97">
        <v>1</v>
      </c>
      <c r="F97" s="2" t="s">
        <v>110</v>
      </c>
      <c r="G97">
        <v>1</v>
      </c>
    </row>
    <row r="98" spans="3:7" x14ac:dyDescent="0.25">
      <c r="C98" s="2" t="s">
        <v>12</v>
      </c>
      <c r="D98">
        <v>1</v>
      </c>
      <c r="F98" s="2" t="s">
        <v>148</v>
      </c>
      <c r="G98">
        <v>1</v>
      </c>
    </row>
    <row r="99" spans="3:7" x14ac:dyDescent="0.25">
      <c r="C99" s="2" t="s">
        <v>3373</v>
      </c>
      <c r="D99">
        <v>1</v>
      </c>
      <c r="F99" s="2" t="s">
        <v>94</v>
      </c>
      <c r="G99">
        <v>1</v>
      </c>
    </row>
    <row r="100" spans="3:7" x14ac:dyDescent="0.25">
      <c r="C100" s="2" t="s">
        <v>3374</v>
      </c>
      <c r="D100">
        <v>1</v>
      </c>
      <c r="F100" s="2" t="s">
        <v>74</v>
      </c>
      <c r="G100">
        <v>1</v>
      </c>
    </row>
    <row r="101" spans="3:7" x14ac:dyDescent="0.25">
      <c r="C101" s="2" t="s">
        <v>3375</v>
      </c>
      <c r="D101">
        <v>1</v>
      </c>
      <c r="F101" s="2" t="s">
        <v>212</v>
      </c>
      <c r="G101">
        <v>1</v>
      </c>
    </row>
    <row r="102" spans="3:7" x14ac:dyDescent="0.25">
      <c r="C102" s="2" t="s">
        <v>3376</v>
      </c>
      <c r="D102">
        <v>1</v>
      </c>
      <c r="F102" s="2" t="s">
        <v>246</v>
      </c>
      <c r="G102">
        <v>1</v>
      </c>
    </row>
    <row r="103" spans="3:7" x14ac:dyDescent="0.25">
      <c r="C103" s="2" t="s">
        <v>3377</v>
      </c>
      <c r="D103">
        <v>1</v>
      </c>
      <c r="F103" s="2" t="s">
        <v>158</v>
      </c>
      <c r="G103">
        <v>1</v>
      </c>
    </row>
    <row r="104" spans="3:7" x14ac:dyDescent="0.25">
      <c r="C104" s="2" t="s">
        <v>3348</v>
      </c>
      <c r="D104">
        <v>1</v>
      </c>
      <c r="F104" s="2" t="s">
        <v>134</v>
      </c>
      <c r="G104">
        <v>1</v>
      </c>
    </row>
    <row r="105" spans="3:7" x14ac:dyDescent="0.25">
      <c r="C105" s="2" t="s">
        <v>3393</v>
      </c>
      <c r="D105">
        <v>1</v>
      </c>
      <c r="F105" s="2" t="s">
        <v>181</v>
      </c>
      <c r="G105">
        <v>1</v>
      </c>
    </row>
    <row r="106" spans="3:7" x14ac:dyDescent="0.25">
      <c r="C106" s="2" t="s">
        <v>3379</v>
      </c>
      <c r="D106">
        <v>1</v>
      </c>
      <c r="F106" s="2" t="s">
        <v>132</v>
      </c>
      <c r="G106">
        <v>1</v>
      </c>
    </row>
    <row r="107" spans="3:7" x14ac:dyDescent="0.25">
      <c r="C107" s="2" t="s">
        <v>3380</v>
      </c>
      <c r="D107">
        <v>1</v>
      </c>
      <c r="F107" s="2" t="s">
        <v>55</v>
      </c>
      <c r="G107">
        <v>1</v>
      </c>
    </row>
    <row r="108" spans="3:7" x14ac:dyDescent="0.25">
      <c r="C108" s="2" t="s">
        <v>3378</v>
      </c>
      <c r="D108">
        <v>1</v>
      </c>
      <c r="F108" s="2" t="s">
        <v>174</v>
      </c>
      <c r="G108">
        <v>1</v>
      </c>
    </row>
    <row r="109" spans="3:7" x14ac:dyDescent="0.25">
      <c r="C109" s="2" t="s">
        <v>3382</v>
      </c>
      <c r="D109">
        <v>1</v>
      </c>
      <c r="F109" s="2" t="s">
        <v>2908</v>
      </c>
      <c r="G109">
        <v>1</v>
      </c>
    </row>
    <row r="110" spans="3:7" x14ac:dyDescent="0.25">
      <c r="C110" s="2" t="s">
        <v>3383</v>
      </c>
      <c r="D110">
        <v>1</v>
      </c>
      <c r="F110" s="2" t="s">
        <v>81</v>
      </c>
      <c r="G110">
        <v>1</v>
      </c>
    </row>
    <row r="111" spans="3:7" x14ac:dyDescent="0.25">
      <c r="C111" s="2" t="s">
        <v>3384</v>
      </c>
      <c r="D111">
        <v>1</v>
      </c>
      <c r="F111" s="2" t="s">
        <v>155</v>
      </c>
      <c r="G111">
        <v>1</v>
      </c>
    </row>
    <row r="112" spans="3:7" x14ac:dyDescent="0.25">
      <c r="C112" s="2" t="s">
        <v>3437</v>
      </c>
      <c r="D112">
        <v>1</v>
      </c>
      <c r="F112" s="2" t="s">
        <v>2904</v>
      </c>
      <c r="G112">
        <v>1</v>
      </c>
    </row>
    <row r="113" spans="3:7" x14ac:dyDescent="0.25">
      <c r="C113" s="2" t="s">
        <v>3407</v>
      </c>
      <c r="D113">
        <v>1</v>
      </c>
      <c r="F113" s="2" t="s">
        <v>166</v>
      </c>
      <c r="G113">
        <v>1</v>
      </c>
    </row>
    <row r="114" spans="3:7" x14ac:dyDescent="0.25">
      <c r="C114" s="2" t="s">
        <v>3361</v>
      </c>
      <c r="D114">
        <v>1</v>
      </c>
      <c r="F114" s="2" t="s">
        <v>235</v>
      </c>
      <c r="G114">
        <v>1</v>
      </c>
    </row>
    <row r="115" spans="3:7" x14ac:dyDescent="0.25">
      <c r="C115" s="2" t="s">
        <v>8</v>
      </c>
      <c r="D115">
        <v>1</v>
      </c>
      <c r="F115" s="2" t="s">
        <v>2899</v>
      </c>
      <c r="G115">
        <v>1</v>
      </c>
    </row>
    <row r="116" spans="3:7" x14ac:dyDescent="0.25">
      <c r="C116" s="2" t="s">
        <v>3342</v>
      </c>
      <c r="D116">
        <v>1</v>
      </c>
      <c r="F116" s="2" t="s">
        <v>2902</v>
      </c>
      <c r="G116">
        <v>1</v>
      </c>
    </row>
    <row r="117" spans="3:7" x14ac:dyDescent="0.25">
      <c r="C117" s="2" t="s">
        <v>3389</v>
      </c>
      <c r="D117">
        <v>1</v>
      </c>
      <c r="F117" s="2" t="s">
        <v>182</v>
      </c>
      <c r="G117">
        <v>1</v>
      </c>
    </row>
    <row r="118" spans="3:7" x14ac:dyDescent="0.25">
      <c r="C118" s="2" t="s">
        <v>3414</v>
      </c>
      <c r="D118">
        <v>1</v>
      </c>
      <c r="F118" s="2" t="s">
        <v>2949</v>
      </c>
      <c r="G118">
        <v>1</v>
      </c>
    </row>
    <row r="119" spans="3:7" x14ac:dyDescent="0.25">
      <c r="C119" s="2" t="s">
        <v>3391</v>
      </c>
      <c r="D119">
        <v>1</v>
      </c>
      <c r="F119" s="2" t="s">
        <v>122</v>
      </c>
      <c r="G119">
        <v>1</v>
      </c>
    </row>
    <row r="120" spans="3:7" x14ac:dyDescent="0.25">
      <c r="C120" s="2" t="s">
        <v>3418</v>
      </c>
      <c r="D120">
        <v>1</v>
      </c>
      <c r="F120" s="2" t="s">
        <v>161</v>
      </c>
      <c r="G120">
        <v>1</v>
      </c>
    </row>
    <row r="121" spans="3:7" x14ac:dyDescent="0.25">
      <c r="C121" s="2" t="s">
        <v>3398</v>
      </c>
      <c r="D121">
        <v>1</v>
      </c>
      <c r="F121" s="2" t="s">
        <v>47</v>
      </c>
      <c r="G121">
        <v>1</v>
      </c>
    </row>
    <row r="122" spans="3:7" x14ac:dyDescent="0.25">
      <c r="C122" s="2" t="s">
        <v>3422</v>
      </c>
      <c r="D122">
        <v>1</v>
      </c>
      <c r="F122" s="2" t="s">
        <v>2897</v>
      </c>
      <c r="G122">
        <v>1</v>
      </c>
    </row>
    <row r="123" spans="3:7" x14ac:dyDescent="0.25">
      <c r="C123" s="2" t="s">
        <v>3354</v>
      </c>
      <c r="D123">
        <v>1</v>
      </c>
      <c r="F123" s="2" t="s">
        <v>218</v>
      </c>
      <c r="G123">
        <v>1</v>
      </c>
    </row>
    <row r="124" spans="3:7" x14ac:dyDescent="0.25">
      <c r="C124" s="2" t="s">
        <v>3341</v>
      </c>
      <c r="D124">
        <v>1</v>
      </c>
      <c r="F124" s="2" t="s">
        <v>198</v>
      </c>
      <c r="G124">
        <v>1</v>
      </c>
    </row>
    <row r="125" spans="3:7" x14ac:dyDescent="0.25">
      <c r="C125" s="2" t="s">
        <v>3396</v>
      </c>
      <c r="D125">
        <v>1</v>
      </c>
      <c r="F125" s="2" t="s">
        <v>228</v>
      </c>
      <c r="G125">
        <v>1</v>
      </c>
    </row>
    <row r="126" spans="3:7" x14ac:dyDescent="0.25">
      <c r="C126" s="2" t="s">
        <v>11</v>
      </c>
      <c r="D126">
        <v>1</v>
      </c>
      <c r="F126" s="2" t="s">
        <v>2909</v>
      </c>
      <c r="G126">
        <v>1</v>
      </c>
    </row>
    <row r="127" spans="3:7" x14ac:dyDescent="0.25">
      <c r="C127" s="2" t="s">
        <v>2</v>
      </c>
      <c r="D127">
        <v>1</v>
      </c>
      <c r="F127" s="2" t="s">
        <v>92</v>
      </c>
      <c r="G127">
        <v>1</v>
      </c>
    </row>
    <row r="128" spans="3:7" x14ac:dyDescent="0.25">
      <c r="C128" s="2" t="s">
        <v>3400</v>
      </c>
      <c r="D128">
        <v>1</v>
      </c>
      <c r="F128" s="2" t="s">
        <v>59</v>
      </c>
      <c r="G128">
        <v>1</v>
      </c>
    </row>
    <row r="129" spans="3:7" x14ac:dyDescent="0.25">
      <c r="C129" s="2" t="s">
        <v>3399</v>
      </c>
      <c r="D129">
        <v>1</v>
      </c>
      <c r="F129" s="2" t="s">
        <v>37</v>
      </c>
      <c r="G129">
        <v>1</v>
      </c>
    </row>
    <row r="130" spans="3:7" x14ac:dyDescent="0.25">
      <c r="C130" s="2" t="s">
        <v>3370</v>
      </c>
      <c r="D130">
        <v>1</v>
      </c>
      <c r="F130" s="2" t="s">
        <v>193</v>
      </c>
      <c r="G130">
        <v>1</v>
      </c>
    </row>
    <row r="131" spans="3:7" x14ac:dyDescent="0.25">
      <c r="C131" s="2" t="s">
        <v>3401</v>
      </c>
      <c r="D131">
        <v>1</v>
      </c>
      <c r="F131" s="2" t="s">
        <v>2906</v>
      </c>
      <c r="G131">
        <v>1</v>
      </c>
    </row>
    <row r="132" spans="3:7" x14ac:dyDescent="0.25">
      <c r="C132" s="2" t="s">
        <v>3404</v>
      </c>
      <c r="D132">
        <v>1</v>
      </c>
      <c r="F132" s="2" t="s">
        <v>139</v>
      </c>
      <c r="G132">
        <v>1</v>
      </c>
    </row>
    <row r="133" spans="3:7" x14ac:dyDescent="0.25">
      <c r="C133" s="2" t="s">
        <v>3403</v>
      </c>
      <c r="D133">
        <v>1</v>
      </c>
      <c r="F133" s="2" t="s">
        <v>199</v>
      </c>
      <c r="G133">
        <v>1</v>
      </c>
    </row>
    <row r="134" spans="3:7" x14ac:dyDescent="0.25">
      <c r="C134" s="2" t="s">
        <v>3372</v>
      </c>
      <c r="D134">
        <v>1</v>
      </c>
      <c r="F134" s="2" t="s">
        <v>169</v>
      </c>
      <c r="G134">
        <v>1</v>
      </c>
    </row>
    <row r="135" spans="3:7" x14ac:dyDescent="0.25">
      <c r="C135" s="2" t="s">
        <v>3405</v>
      </c>
      <c r="D135">
        <v>1</v>
      </c>
      <c r="F135" s="2" t="s">
        <v>137</v>
      </c>
      <c r="G135">
        <v>1</v>
      </c>
    </row>
    <row r="136" spans="3:7" x14ac:dyDescent="0.25">
      <c r="C136" s="2" t="s">
        <v>3408</v>
      </c>
      <c r="D136">
        <v>1</v>
      </c>
      <c r="F136" s="2" t="s">
        <v>201</v>
      </c>
      <c r="G136">
        <v>1</v>
      </c>
    </row>
    <row r="137" spans="3:7" x14ac:dyDescent="0.25">
      <c r="C137" s="2" t="s">
        <v>3416</v>
      </c>
      <c r="D137">
        <v>1</v>
      </c>
      <c r="F137" s="2" t="s">
        <v>206</v>
      </c>
      <c r="G137">
        <v>1</v>
      </c>
    </row>
    <row r="138" spans="3:7" x14ac:dyDescent="0.25">
      <c r="C138" s="2" t="s">
        <v>3410</v>
      </c>
      <c r="D138">
        <v>1</v>
      </c>
      <c r="F138" s="2" t="s">
        <v>124</v>
      </c>
      <c r="G138">
        <v>1</v>
      </c>
    </row>
    <row r="139" spans="3:7" x14ac:dyDescent="0.25">
      <c r="C139" s="2" t="s">
        <v>3409</v>
      </c>
      <c r="D139">
        <v>1</v>
      </c>
      <c r="F139" s="2" t="s">
        <v>162</v>
      </c>
      <c r="G139">
        <v>1</v>
      </c>
    </row>
    <row r="140" spans="3:7" x14ac:dyDescent="0.25">
      <c r="C140" s="2" t="s">
        <v>3411</v>
      </c>
      <c r="D140">
        <v>1</v>
      </c>
      <c r="F140" s="2" t="s">
        <v>233</v>
      </c>
      <c r="G140">
        <v>1</v>
      </c>
    </row>
    <row r="141" spans="3:7" x14ac:dyDescent="0.25">
      <c r="C141" s="2" t="s">
        <v>3444</v>
      </c>
      <c r="D141">
        <v>1</v>
      </c>
      <c r="F141" s="2" t="s">
        <v>180</v>
      </c>
      <c r="G141">
        <v>1</v>
      </c>
    </row>
    <row r="142" spans="3:7" x14ac:dyDescent="0.25">
      <c r="C142" s="2" t="s">
        <v>3413</v>
      </c>
      <c r="D142">
        <v>1</v>
      </c>
      <c r="F142"/>
      <c r="G142"/>
    </row>
    <row r="143" spans="3:7" x14ac:dyDescent="0.25">
      <c r="C143" s="2" t="s">
        <v>3456</v>
      </c>
      <c r="D143">
        <v>1</v>
      </c>
      <c r="F143"/>
      <c r="G143"/>
    </row>
    <row r="144" spans="3:7" x14ac:dyDescent="0.25">
      <c r="C144" s="2" t="s">
        <v>3415</v>
      </c>
      <c r="D144">
        <v>1</v>
      </c>
      <c r="F144"/>
      <c r="G144"/>
    </row>
    <row r="145" spans="3:7" x14ac:dyDescent="0.25">
      <c r="C145" s="2" t="s">
        <v>15</v>
      </c>
      <c r="D145">
        <v>1</v>
      </c>
      <c r="F145"/>
      <c r="G145"/>
    </row>
    <row r="146" spans="3:7" x14ac:dyDescent="0.25">
      <c r="C146" s="2" t="s">
        <v>3417</v>
      </c>
      <c r="D146">
        <v>1</v>
      </c>
      <c r="F146"/>
      <c r="G146"/>
    </row>
    <row r="147" spans="3:7" x14ac:dyDescent="0.25">
      <c r="C147" s="2" t="s">
        <v>3451</v>
      </c>
      <c r="D147">
        <v>1</v>
      </c>
      <c r="F147"/>
      <c r="G147"/>
    </row>
    <row r="148" spans="3:7" x14ac:dyDescent="0.25">
      <c r="C148" s="2" t="s">
        <v>3419</v>
      </c>
      <c r="D148">
        <v>1</v>
      </c>
      <c r="F148"/>
      <c r="G148"/>
    </row>
    <row r="149" spans="3:7" x14ac:dyDescent="0.25">
      <c r="C149" s="2" t="s">
        <v>3461</v>
      </c>
      <c r="D149">
        <v>1</v>
      </c>
      <c r="F149"/>
      <c r="G149"/>
    </row>
    <row r="150" spans="3:7" x14ac:dyDescent="0.25">
      <c r="C150" s="2" t="s">
        <v>3406</v>
      </c>
      <c r="D150">
        <v>1</v>
      </c>
      <c r="F150"/>
      <c r="G150"/>
    </row>
    <row r="151" spans="3:7" x14ac:dyDescent="0.25">
      <c r="C151" s="2" t="s">
        <v>3453</v>
      </c>
      <c r="D151">
        <v>1</v>
      </c>
      <c r="F151"/>
      <c r="G151"/>
    </row>
    <row r="152" spans="3:7" x14ac:dyDescent="0.25">
      <c r="C152" s="2" t="s">
        <v>3339</v>
      </c>
      <c r="D152">
        <v>1</v>
      </c>
      <c r="F152"/>
      <c r="G152"/>
    </row>
    <row r="153" spans="3:7" x14ac:dyDescent="0.25">
      <c r="C153" s="2" t="s">
        <v>3455</v>
      </c>
      <c r="D153">
        <v>1</v>
      </c>
      <c r="F153"/>
      <c r="G153"/>
    </row>
    <row r="154" spans="3:7" x14ac:dyDescent="0.25">
      <c r="C154" s="2" t="s">
        <v>3425</v>
      </c>
      <c r="D154">
        <v>1</v>
      </c>
      <c r="F154"/>
      <c r="G154"/>
    </row>
    <row r="155" spans="3:7" x14ac:dyDescent="0.25">
      <c r="C155" s="2" t="s">
        <v>3446</v>
      </c>
      <c r="D155">
        <v>1</v>
      </c>
      <c r="F155"/>
      <c r="G155"/>
    </row>
    <row r="156" spans="3:7" x14ac:dyDescent="0.25">
      <c r="C156" s="2" t="s">
        <v>3423</v>
      </c>
      <c r="D156">
        <v>1</v>
      </c>
      <c r="F156"/>
      <c r="G156"/>
    </row>
    <row r="157" spans="3:7" x14ac:dyDescent="0.25">
      <c r="C157" s="2" t="s">
        <v>3448</v>
      </c>
      <c r="D157">
        <v>1</v>
      </c>
      <c r="F157"/>
      <c r="G157"/>
    </row>
    <row r="158" spans="3:7" x14ac:dyDescent="0.25">
      <c r="C158" s="2" t="s">
        <v>3428</v>
      </c>
      <c r="D158">
        <v>1</v>
      </c>
      <c r="F158"/>
      <c r="G158"/>
    </row>
    <row r="159" spans="3:7" x14ac:dyDescent="0.25">
      <c r="C159" s="2" t="s">
        <v>3431</v>
      </c>
      <c r="D159">
        <v>1</v>
      </c>
      <c r="F159"/>
      <c r="G159"/>
    </row>
    <row r="160" spans="3:7" x14ac:dyDescent="0.25">
      <c r="C160" s="2" t="s">
        <v>3430</v>
      </c>
      <c r="D160">
        <v>1</v>
      </c>
      <c r="F160"/>
      <c r="G160"/>
    </row>
    <row r="161" spans="3:7" x14ac:dyDescent="0.25">
      <c r="C161" s="2" t="s">
        <v>3424</v>
      </c>
      <c r="D161">
        <v>1</v>
      </c>
      <c r="F161"/>
      <c r="G161"/>
    </row>
    <row r="162" spans="3:7" x14ac:dyDescent="0.25">
      <c r="C162" s="2" t="s">
        <v>3385</v>
      </c>
      <c r="D162">
        <v>1</v>
      </c>
      <c r="F162"/>
      <c r="G162"/>
    </row>
    <row r="163" spans="3:7" x14ac:dyDescent="0.25">
      <c r="C163" s="2" t="s">
        <v>3434</v>
      </c>
      <c r="D163">
        <v>1</v>
      </c>
      <c r="F163"/>
      <c r="G163"/>
    </row>
    <row r="164" spans="3:7" x14ac:dyDescent="0.25">
      <c r="C164" s="2" t="s">
        <v>3433</v>
      </c>
      <c r="D164">
        <v>1</v>
      </c>
      <c r="F164"/>
      <c r="G164"/>
    </row>
    <row r="165" spans="3:7" x14ac:dyDescent="0.25">
      <c r="C165" s="2" t="s">
        <v>3436</v>
      </c>
      <c r="D165">
        <v>1</v>
      </c>
      <c r="F165"/>
      <c r="G165"/>
    </row>
    <row r="166" spans="3:7" x14ac:dyDescent="0.25">
      <c r="C166" s="2" t="s">
        <v>3435</v>
      </c>
      <c r="D166">
        <v>1</v>
      </c>
      <c r="F166"/>
      <c r="G166"/>
    </row>
    <row r="167" spans="3:7" x14ac:dyDescent="0.25">
      <c r="C167" s="2" t="s">
        <v>3438</v>
      </c>
      <c r="D167">
        <v>1</v>
      </c>
      <c r="F167"/>
      <c r="G167"/>
    </row>
    <row r="168" spans="3:7" x14ac:dyDescent="0.25">
      <c r="C168" s="2" t="s">
        <v>3362</v>
      </c>
      <c r="D168">
        <v>1</v>
      </c>
      <c r="F168"/>
      <c r="G168"/>
    </row>
    <row r="169" spans="3:7" x14ac:dyDescent="0.25">
      <c r="C169" s="2" t="s">
        <v>3440</v>
      </c>
      <c r="D169">
        <v>1</v>
      </c>
      <c r="F169"/>
      <c r="G169"/>
    </row>
    <row r="170" spans="3:7" x14ac:dyDescent="0.25">
      <c r="C170" s="2" t="s">
        <v>3439</v>
      </c>
      <c r="D170">
        <v>1</v>
      </c>
      <c r="F170"/>
      <c r="G170"/>
    </row>
    <row r="171" spans="3:7" x14ac:dyDescent="0.25">
      <c r="C171" s="2" t="s">
        <v>3442</v>
      </c>
      <c r="D171">
        <v>1</v>
      </c>
      <c r="F171"/>
      <c r="G171"/>
    </row>
    <row r="172" spans="3:7" x14ac:dyDescent="0.25">
      <c r="C172" s="2" t="s">
        <v>3426</v>
      </c>
      <c r="D172">
        <v>1</v>
      </c>
      <c r="F172"/>
      <c r="G172"/>
    </row>
    <row r="173" spans="3:7" x14ac:dyDescent="0.25">
      <c r="C173" s="2" t="s">
        <v>3443</v>
      </c>
      <c r="D173">
        <v>1</v>
      </c>
      <c r="F173"/>
      <c r="G173"/>
    </row>
    <row r="174" spans="3:7" x14ac:dyDescent="0.25">
      <c r="C174" s="2" t="s">
        <v>1</v>
      </c>
      <c r="D174">
        <v>1</v>
      </c>
      <c r="F174"/>
      <c r="G174"/>
    </row>
    <row r="175" spans="3:7" x14ac:dyDescent="0.25">
      <c r="C175" s="2" t="s">
        <v>3427</v>
      </c>
      <c r="D175">
        <v>1</v>
      </c>
      <c r="F175"/>
      <c r="G175"/>
    </row>
    <row r="176" spans="3:7" x14ac:dyDescent="0.25">
      <c r="C176" s="2" t="s">
        <v>3445</v>
      </c>
      <c r="D176">
        <v>1</v>
      </c>
      <c r="F176"/>
      <c r="G176"/>
    </row>
    <row r="177" spans="3:7" x14ac:dyDescent="0.25">
      <c r="C177" s="2" t="s">
        <v>3390</v>
      </c>
      <c r="D177">
        <v>1</v>
      </c>
      <c r="F177"/>
      <c r="G177"/>
    </row>
    <row r="178" spans="3:7" x14ac:dyDescent="0.25">
      <c r="C178" s="2" t="s">
        <v>3447</v>
      </c>
      <c r="D178">
        <v>1</v>
      </c>
      <c r="F178"/>
      <c r="G178"/>
    </row>
    <row r="179" spans="3:7" x14ac:dyDescent="0.25">
      <c r="C179" s="2" t="s">
        <v>3364</v>
      </c>
      <c r="D179">
        <v>1</v>
      </c>
      <c r="F179"/>
      <c r="G179"/>
    </row>
    <row r="180" spans="3:7" x14ac:dyDescent="0.25">
      <c r="C180" s="2" t="s">
        <v>3449</v>
      </c>
      <c r="D180">
        <v>1</v>
      </c>
      <c r="F180"/>
      <c r="G180"/>
    </row>
    <row r="181" spans="3:7" x14ac:dyDescent="0.25">
      <c r="C181" s="2" t="s">
        <v>3392</v>
      </c>
      <c r="D181">
        <v>1</v>
      </c>
      <c r="F181"/>
      <c r="G181"/>
    </row>
    <row r="182" spans="3:7" x14ac:dyDescent="0.25">
      <c r="C182" s="2" t="s">
        <v>3450</v>
      </c>
      <c r="D182">
        <v>1</v>
      </c>
      <c r="F182"/>
      <c r="G182"/>
    </row>
    <row r="183" spans="3:7" x14ac:dyDescent="0.25">
      <c r="C183" s="2" t="s">
        <v>3338</v>
      </c>
      <c r="D183">
        <v>1</v>
      </c>
      <c r="F183"/>
      <c r="G183"/>
    </row>
    <row r="184" spans="3:7" x14ac:dyDescent="0.25">
      <c r="C184" s="2" t="s">
        <v>3452</v>
      </c>
      <c r="D184">
        <v>1</v>
      </c>
      <c r="F184"/>
      <c r="G184"/>
    </row>
    <row r="185" spans="3:7" x14ac:dyDescent="0.25">
      <c r="C185" s="2" t="s">
        <v>3432</v>
      </c>
      <c r="D185">
        <v>1</v>
      </c>
      <c r="F185"/>
      <c r="G185"/>
    </row>
    <row r="186" spans="3:7" x14ac:dyDescent="0.25">
      <c r="C186" s="2" t="s">
        <v>3454</v>
      </c>
      <c r="D186">
        <v>1</v>
      </c>
      <c r="F186"/>
      <c r="G186"/>
    </row>
    <row r="187" spans="3:7" x14ac:dyDescent="0.25">
      <c r="C187" s="2" t="s">
        <v>3366</v>
      </c>
      <c r="D187">
        <v>1</v>
      </c>
      <c r="F187"/>
      <c r="G187"/>
    </row>
    <row r="188" spans="3:7" x14ac:dyDescent="0.25">
      <c r="C188" s="2" t="s">
        <v>14</v>
      </c>
      <c r="D188">
        <v>1</v>
      </c>
      <c r="F188"/>
      <c r="G188"/>
    </row>
    <row r="189" spans="3:7" x14ac:dyDescent="0.25">
      <c r="C189" s="2" t="s">
        <v>3350</v>
      </c>
      <c r="D189">
        <v>1</v>
      </c>
      <c r="F189"/>
      <c r="G189"/>
    </row>
    <row r="190" spans="3:7" x14ac:dyDescent="0.25">
      <c r="C190" s="2" t="s">
        <v>3397</v>
      </c>
      <c r="D190">
        <v>1</v>
      </c>
      <c r="F190"/>
      <c r="G190"/>
    </row>
    <row r="191" spans="3:7" x14ac:dyDescent="0.25">
      <c r="C191" s="2" t="s">
        <v>3395</v>
      </c>
      <c r="D191">
        <v>1</v>
      </c>
      <c r="F191"/>
      <c r="G191"/>
    </row>
    <row r="192" spans="3:7" x14ac:dyDescent="0.25">
      <c r="C192" s="2" t="s">
        <v>3429</v>
      </c>
      <c r="D192">
        <v>1</v>
      </c>
      <c r="F192"/>
      <c r="G192"/>
    </row>
    <row r="193" spans="3:7" x14ac:dyDescent="0.25">
      <c r="C193" s="2" t="s">
        <v>3458</v>
      </c>
      <c r="D193">
        <v>1</v>
      </c>
      <c r="F193"/>
      <c r="G193"/>
    </row>
    <row r="194" spans="3:7" x14ac:dyDescent="0.25">
      <c r="C194" s="2" t="s">
        <v>3457</v>
      </c>
      <c r="D194">
        <v>1</v>
      </c>
      <c r="F194"/>
      <c r="G194"/>
    </row>
    <row r="195" spans="3:7" x14ac:dyDescent="0.25">
      <c r="C195" s="2" t="s">
        <v>3460</v>
      </c>
      <c r="D195">
        <v>1</v>
      </c>
      <c r="F195"/>
      <c r="G195"/>
    </row>
    <row r="196" spans="3:7" x14ac:dyDescent="0.25">
      <c r="C196" s="2" t="s">
        <v>3459</v>
      </c>
      <c r="D196">
        <v>1</v>
      </c>
      <c r="F196"/>
      <c r="G196"/>
    </row>
    <row r="197" spans="3:7" x14ac:dyDescent="0.25">
      <c r="C197" s="2" t="s">
        <v>16</v>
      </c>
      <c r="D197">
        <v>255</v>
      </c>
      <c r="F197"/>
      <c r="G197"/>
    </row>
    <row r="198" spans="3:7" x14ac:dyDescent="0.25">
      <c r="C198"/>
      <c r="D198"/>
      <c r="F198"/>
      <c r="G198"/>
    </row>
    <row r="199" spans="3:7" x14ac:dyDescent="0.25">
      <c r="C199"/>
      <c r="D199"/>
      <c r="F199"/>
      <c r="G199"/>
    </row>
    <row r="200" spans="3:7" x14ac:dyDescent="0.25">
      <c r="C200"/>
      <c r="D200"/>
      <c r="F200"/>
      <c r="G200"/>
    </row>
    <row r="201" spans="3:7" x14ac:dyDescent="0.25">
      <c r="C201"/>
      <c r="D201"/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248</v>
      </c>
      <c r="B1" t="s">
        <v>3462</v>
      </c>
      <c r="C1" t="s">
        <v>3464</v>
      </c>
      <c r="D1" t="s">
        <v>252</v>
      </c>
      <c r="E1" t="s">
        <v>251</v>
      </c>
      <c r="F1" t="s">
        <v>3463</v>
      </c>
    </row>
    <row r="2" spans="1:9" x14ac:dyDescent="0.25">
      <c r="A2" s="2" t="s">
        <v>3294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3295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3297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3296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3298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3301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3300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9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3299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3302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3303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3304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3305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28"/>
  <sheetViews>
    <sheetView tabSelected="1" topLeftCell="C1" zoomScale="85" zoomScaleNormal="85" workbookViewId="0">
      <pane ySplit="1" topLeftCell="A792" activePane="bottomLeft" state="frozen"/>
      <selection pane="bottomLeft" activeCell="Y828" sqref="Y828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3057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3056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3031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3055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3051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3030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3050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3054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3052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3053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3047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3049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3045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3048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3044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3046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3041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3039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3042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3034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3043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3040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3038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3036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3037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3033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3035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3029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3032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3090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3063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3081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3078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3067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3098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3082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3080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3068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3096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3066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3100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3083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3059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3093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3088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3065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3085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3087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3084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3079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3064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3071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3060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3075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3073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3072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3099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3076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3062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3086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3069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3092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3070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3089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3058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3061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3097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3077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3095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3091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3074</v>
      </c>
      <c r="V599" s="8">
        <v>1</v>
      </c>
      <c r="W599" s="8"/>
      <c r="X599" t="s">
        <v>57</v>
      </c>
      <c r="Y599" t="s">
        <v>66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3094</v>
      </c>
      <c r="V600" s="8">
        <v>1</v>
      </c>
      <c r="W600" s="8"/>
      <c r="X600" t="s">
        <v>57</v>
      </c>
      <c r="Y600" t="s">
        <v>20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3131</v>
      </c>
      <c r="V601" s="8">
        <v>1</v>
      </c>
      <c r="W601" s="20"/>
      <c r="X601" t="s">
        <v>57</v>
      </c>
      <c r="Y601" s="15" t="s">
        <v>94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3132</v>
      </c>
      <c r="V602" s="8">
        <v>1</v>
      </c>
      <c r="W602" s="8"/>
      <c r="X602" t="s">
        <v>57</v>
      </c>
      <c r="Y602" t="s">
        <v>95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3129</v>
      </c>
      <c r="V603" s="8">
        <v>1</v>
      </c>
      <c r="W603" s="8"/>
      <c r="X603" t="s">
        <v>57</v>
      </c>
      <c r="Y603" t="s">
        <v>18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3102</v>
      </c>
      <c r="V604" s="8">
        <v>1</v>
      </c>
      <c r="W604" s="8"/>
      <c r="X604" t="s">
        <v>57</v>
      </c>
      <c r="Y604" t="s">
        <v>61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3133</v>
      </c>
      <c r="V605" s="8">
        <v>1</v>
      </c>
      <c r="W605" s="8"/>
      <c r="X605" t="s">
        <v>57</v>
      </c>
      <c r="Y605" t="s">
        <v>26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3134</v>
      </c>
      <c r="V606" s="8">
        <v>1</v>
      </c>
      <c r="W606" s="8"/>
      <c r="X606" t="s">
        <v>57</v>
      </c>
      <c r="Y606" t="s">
        <v>87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3135</v>
      </c>
      <c r="V607" s="8">
        <v>1</v>
      </c>
      <c r="W607" s="8"/>
      <c r="X607" t="s">
        <v>57</v>
      </c>
      <c r="Y607" t="s">
        <v>154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3136</v>
      </c>
      <c r="V608" s="8">
        <v>1</v>
      </c>
      <c r="W608" s="8"/>
      <c r="X608" t="s">
        <v>57</v>
      </c>
      <c r="Y608" t="s">
        <v>103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3137</v>
      </c>
      <c r="V609" s="8"/>
      <c r="W609" s="8">
        <v>1</v>
      </c>
      <c r="X609" t="s">
        <v>58</v>
      </c>
      <c r="Y609" t="s">
        <v>19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3138</v>
      </c>
      <c r="V610" s="8">
        <v>1</v>
      </c>
      <c r="W610" s="8"/>
      <c r="X610" t="s">
        <v>57</v>
      </c>
      <c r="Y610" t="s">
        <v>27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3116</v>
      </c>
      <c r="V611" s="8">
        <v>1</v>
      </c>
      <c r="W611" s="8"/>
      <c r="X611" t="s">
        <v>57</v>
      </c>
      <c r="Y611" t="s">
        <v>18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3140</v>
      </c>
      <c r="V612" s="8">
        <v>1</v>
      </c>
      <c r="W612" s="8"/>
      <c r="X612" t="s">
        <v>57</v>
      </c>
      <c r="Y612" t="s">
        <v>21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3139</v>
      </c>
      <c r="V613" s="8">
        <v>1</v>
      </c>
      <c r="W613" s="8"/>
      <c r="X613" t="s">
        <v>57</v>
      </c>
      <c r="Y613" t="s">
        <v>143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3123</v>
      </c>
      <c r="V614" s="8"/>
      <c r="W614" s="8">
        <v>1</v>
      </c>
      <c r="X614" t="s">
        <v>58</v>
      </c>
      <c r="Y614" t="s">
        <v>228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3141</v>
      </c>
      <c r="V615" s="8">
        <v>1</v>
      </c>
      <c r="W615" s="8"/>
      <c r="X615" t="s">
        <v>57</v>
      </c>
      <c r="Y615" t="s">
        <v>52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3114</v>
      </c>
      <c r="V616" s="8">
        <v>1</v>
      </c>
      <c r="W616" s="8"/>
      <c r="X616" t="s">
        <v>57</v>
      </c>
      <c r="Y616" t="s">
        <v>61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3110</v>
      </c>
      <c r="V617" s="8">
        <v>1</v>
      </c>
      <c r="W617" s="8"/>
      <c r="X617" t="s">
        <v>57</v>
      </c>
      <c r="Y617" t="s">
        <v>51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3111</v>
      </c>
      <c r="V618" s="8">
        <v>1</v>
      </c>
      <c r="W618" s="8"/>
      <c r="X618" t="s">
        <v>57</v>
      </c>
      <c r="Y618" t="s">
        <v>116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3117</v>
      </c>
      <c r="V619" s="8">
        <v>1</v>
      </c>
      <c r="W619" s="8"/>
      <c r="X619" t="s">
        <v>57</v>
      </c>
      <c r="Y619" t="s">
        <v>169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3101</v>
      </c>
      <c r="V620" s="8">
        <v>1</v>
      </c>
      <c r="W620" s="20"/>
      <c r="X620" t="s">
        <v>57</v>
      </c>
      <c r="Y620" s="15" t="s">
        <v>102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3127</v>
      </c>
      <c r="V621" s="8"/>
      <c r="W621" s="8">
        <v>1</v>
      </c>
      <c r="X621" t="s">
        <v>58</v>
      </c>
      <c r="Y621" t="s">
        <v>68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3104</v>
      </c>
      <c r="V622" s="8">
        <v>1</v>
      </c>
      <c r="W622" s="8"/>
      <c r="X622" t="s">
        <v>57</v>
      </c>
      <c r="Y622" t="s">
        <v>18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3107</v>
      </c>
      <c r="V623" s="8">
        <v>1</v>
      </c>
      <c r="W623" s="8"/>
      <c r="X623" t="s">
        <v>57</v>
      </c>
      <c r="Y623" t="s">
        <v>24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3115</v>
      </c>
      <c r="V624" s="8">
        <v>1</v>
      </c>
      <c r="W624" s="8"/>
      <c r="X624" t="s">
        <v>57</v>
      </c>
      <c r="Y624" t="s">
        <v>142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3121</v>
      </c>
      <c r="V625" s="8">
        <v>1</v>
      </c>
      <c r="W625" s="8"/>
      <c r="X625" t="s">
        <v>57</v>
      </c>
      <c r="Y625" t="s">
        <v>95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3105</v>
      </c>
      <c r="V626" s="8">
        <v>1</v>
      </c>
      <c r="W626" s="8"/>
      <c r="X626" t="s">
        <v>57</v>
      </c>
      <c r="Y626" t="s">
        <v>166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3122</v>
      </c>
      <c r="V627" s="8">
        <v>1</v>
      </c>
      <c r="W627" s="8"/>
      <c r="X627" t="s">
        <v>57</v>
      </c>
      <c r="Y627" t="s">
        <v>181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3130</v>
      </c>
      <c r="V628" s="8">
        <v>1</v>
      </c>
      <c r="W628" s="8"/>
      <c r="X628" t="s">
        <v>57</v>
      </c>
      <c r="Y628" t="s">
        <v>182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3120</v>
      </c>
      <c r="V629" s="8">
        <v>1</v>
      </c>
      <c r="W629" s="8"/>
      <c r="X629" t="s">
        <v>57</v>
      </c>
      <c r="Y629" t="s">
        <v>88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3109</v>
      </c>
      <c r="V630" s="8">
        <v>1</v>
      </c>
      <c r="W630" s="8"/>
      <c r="X630" t="s">
        <v>57</v>
      </c>
      <c r="Y630" t="s">
        <v>26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3106</v>
      </c>
      <c r="V631" s="8">
        <v>1</v>
      </c>
      <c r="W631" s="8"/>
      <c r="X631" t="s">
        <v>57</v>
      </c>
      <c r="Y631" t="s">
        <v>64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3113</v>
      </c>
      <c r="V632" s="8">
        <v>1</v>
      </c>
      <c r="W632" s="8"/>
      <c r="X632" t="s">
        <v>57</v>
      </c>
      <c r="Y632" t="s">
        <v>53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3119</v>
      </c>
      <c r="V633" s="8">
        <v>1</v>
      </c>
      <c r="W633" s="8"/>
      <c r="X633" t="s">
        <v>57</v>
      </c>
      <c r="Y633" t="s">
        <v>372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3112</v>
      </c>
      <c r="V634" s="8">
        <v>1</v>
      </c>
      <c r="W634" s="8"/>
      <c r="X634" t="s">
        <v>57</v>
      </c>
      <c r="Y634" t="s">
        <v>53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3125</v>
      </c>
      <c r="V635" s="8">
        <v>1</v>
      </c>
      <c r="W635" s="8"/>
      <c r="X635" t="s">
        <v>57</v>
      </c>
      <c r="Y635" t="s">
        <v>151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3128</v>
      </c>
      <c r="V636" s="8"/>
      <c r="W636" s="8">
        <v>1</v>
      </c>
      <c r="X636" t="s">
        <v>58</v>
      </c>
      <c r="Y636" t="s">
        <v>103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3118</v>
      </c>
      <c r="V637" s="8">
        <v>1</v>
      </c>
      <c r="W637" s="8"/>
      <c r="X637" t="s">
        <v>57</v>
      </c>
      <c r="Y637" t="s">
        <v>18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3169</v>
      </c>
      <c r="V638" s="8"/>
      <c r="W638" s="8">
        <v>1</v>
      </c>
      <c r="X638" t="s">
        <v>58</v>
      </c>
      <c r="Y638" t="s">
        <v>25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3170</v>
      </c>
      <c r="V639" s="8"/>
      <c r="W639" s="8">
        <v>1</v>
      </c>
      <c r="X639" t="s">
        <v>58</v>
      </c>
      <c r="Y639" t="s">
        <v>52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3149</v>
      </c>
      <c r="V640" s="8">
        <v>1</v>
      </c>
      <c r="W640" s="8"/>
      <c r="X640" t="s">
        <v>57</v>
      </c>
      <c r="Y640" t="s">
        <v>61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3146</v>
      </c>
      <c r="V641" s="8">
        <v>1</v>
      </c>
      <c r="W641" s="8"/>
      <c r="X641" t="s">
        <v>57</v>
      </c>
      <c r="Y641" t="s">
        <v>45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3147</v>
      </c>
      <c r="V642" s="8">
        <v>1</v>
      </c>
      <c r="W642" s="8"/>
      <c r="X642" t="s">
        <v>57</v>
      </c>
      <c r="Y642" t="s">
        <v>45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3154</v>
      </c>
      <c r="V643" s="8">
        <v>1</v>
      </c>
      <c r="W643" s="8"/>
      <c r="X643" t="s">
        <v>57</v>
      </c>
      <c r="Y643" t="s">
        <v>39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3179</v>
      </c>
      <c r="V644" s="8"/>
      <c r="W644" s="8">
        <v>1</v>
      </c>
      <c r="X644" t="s">
        <v>58</v>
      </c>
      <c r="Y644" t="s">
        <v>70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3143</v>
      </c>
      <c r="V645" s="8">
        <v>1</v>
      </c>
      <c r="W645" s="8"/>
      <c r="X645" t="s">
        <v>57</v>
      </c>
      <c r="Y645" t="s">
        <v>128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3151</v>
      </c>
      <c r="V646" s="8">
        <v>1</v>
      </c>
      <c r="W646" s="8"/>
      <c r="X646" t="s">
        <v>57</v>
      </c>
      <c r="Y646" t="s">
        <v>24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3153</v>
      </c>
      <c r="V647" s="8">
        <v>1</v>
      </c>
      <c r="W647" s="8"/>
      <c r="X647" t="s">
        <v>57</v>
      </c>
      <c r="Y647" t="s">
        <v>26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3166</v>
      </c>
      <c r="V648" s="8"/>
      <c r="W648" s="8">
        <v>1</v>
      </c>
      <c r="X648" t="s">
        <v>58</v>
      </c>
      <c r="Y648" t="s">
        <v>19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3180</v>
      </c>
      <c r="V649" s="8"/>
      <c r="W649" s="8">
        <v>1</v>
      </c>
      <c r="X649" t="s">
        <v>58</v>
      </c>
      <c r="Y649" t="s">
        <v>201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3181</v>
      </c>
      <c r="V650" s="8">
        <v>1</v>
      </c>
      <c r="W650" s="8"/>
      <c r="X650" t="s">
        <v>57</v>
      </c>
      <c r="Y650" t="s">
        <v>21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3176</v>
      </c>
      <c r="V651" s="8"/>
      <c r="W651" s="8">
        <v>1</v>
      </c>
      <c r="X651" t="s">
        <v>58</v>
      </c>
      <c r="Y651" t="s">
        <v>19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3182</v>
      </c>
      <c r="V652" s="8">
        <v>1</v>
      </c>
      <c r="W652" s="8"/>
      <c r="X652" t="s">
        <v>57</v>
      </c>
      <c r="Y652" t="s">
        <v>372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3171</v>
      </c>
      <c r="V653" s="8"/>
      <c r="W653" s="8">
        <v>1</v>
      </c>
      <c r="X653" t="s">
        <v>58</v>
      </c>
      <c r="Y653" t="s">
        <v>89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3155</v>
      </c>
      <c r="V654" s="8">
        <v>1</v>
      </c>
      <c r="W654" s="8"/>
      <c r="X654" t="s">
        <v>57</v>
      </c>
      <c r="Y654" t="s">
        <v>222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3173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3152</v>
      </c>
      <c r="V656" s="8">
        <v>1</v>
      </c>
      <c r="W656" s="8"/>
      <c r="X656" t="s">
        <v>57</v>
      </c>
      <c r="Y656" t="s">
        <v>178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3158</v>
      </c>
      <c r="V657" s="8">
        <v>1</v>
      </c>
      <c r="W657" s="8"/>
      <c r="X657" t="s">
        <v>57</v>
      </c>
      <c r="Y657" t="s">
        <v>105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3165</v>
      </c>
      <c r="V658" s="8"/>
      <c r="W658" s="8">
        <v>1</v>
      </c>
      <c r="X658" t="s">
        <v>58</v>
      </c>
      <c r="Y658" t="s">
        <v>18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3172</v>
      </c>
      <c r="V659" s="8"/>
      <c r="W659" s="8">
        <v>1</v>
      </c>
      <c r="X659" t="s">
        <v>58</v>
      </c>
      <c r="Y659" t="s">
        <v>108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3144</v>
      </c>
      <c r="V660" s="8">
        <v>1</v>
      </c>
      <c r="W660" s="8"/>
      <c r="X660" t="s">
        <v>57</v>
      </c>
      <c r="Y660" t="s">
        <v>55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3161</v>
      </c>
      <c r="V661" s="8">
        <v>1</v>
      </c>
      <c r="W661" s="8"/>
      <c r="X661" t="s">
        <v>57</v>
      </c>
      <c r="Y661" t="s">
        <v>21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3162</v>
      </c>
      <c r="V662" s="8">
        <v>1</v>
      </c>
      <c r="W662" s="8"/>
      <c r="X662" t="s">
        <v>57</v>
      </c>
      <c r="Y662" t="s">
        <v>197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3177</v>
      </c>
      <c r="V663" s="8">
        <v>1</v>
      </c>
      <c r="W663" s="8"/>
      <c r="X663" t="s">
        <v>57</v>
      </c>
      <c r="Y663" t="s">
        <v>160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3157</v>
      </c>
      <c r="V664" s="8">
        <v>1</v>
      </c>
      <c r="W664" s="8"/>
      <c r="X664" t="s">
        <v>57</v>
      </c>
      <c r="Y664" t="s">
        <v>186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3183</v>
      </c>
      <c r="V665" s="24"/>
      <c r="W665" s="24">
        <v>1</v>
      </c>
      <c r="X665" t="s">
        <v>58</v>
      </c>
      <c r="Y665" t="s">
        <v>25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3167</v>
      </c>
      <c r="V666" s="8"/>
      <c r="W666" s="8">
        <v>1</v>
      </c>
      <c r="X666" t="s">
        <v>58</v>
      </c>
      <c r="Y666" t="s">
        <v>124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2919</v>
      </c>
      <c r="D667" t="s">
        <v>2919</v>
      </c>
      <c r="E667" t="s">
        <v>810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3178</v>
      </c>
      <c r="V667" s="8">
        <v>1</v>
      </c>
      <c r="W667" s="8"/>
      <c r="X667" t="s">
        <v>57</v>
      </c>
      <c r="Y667" t="s">
        <v>19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3160</v>
      </c>
      <c r="V668" s="8">
        <v>1</v>
      </c>
      <c r="W668" s="8"/>
      <c r="X668" t="s">
        <v>57</v>
      </c>
      <c r="Y668" t="s">
        <v>43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3164</v>
      </c>
      <c r="V669" s="8">
        <v>1</v>
      </c>
      <c r="W669" s="8"/>
      <c r="X669" t="s">
        <v>57</v>
      </c>
      <c r="Y669" t="s">
        <v>92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3145</v>
      </c>
      <c r="V670" s="8">
        <v>1</v>
      </c>
      <c r="W670" s="8"/>
      <c r="X670" t="s">
        <v>57</v>
      </c>
      <c r="Y670" t="s">
        <v>161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3148</v>
      </c>
      <c r="V671" s="8">
        <v>1</v>
      </c>
      <c r="W671" s="8"/>
      <c r="X671" t="s">
        <v>57</v>
      </c>
      <c r="Y671" t="s">
        <v>91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3156</v>
      </c>
      <c r="V672" s="8">
        <v>1</v>
      </c>
      <c r="W672" s="8"/>
      <c r="X672" t="s">
        <v>57</v>
      </c>
      <c r="Y672" t="s">
        <v>112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3163</v>
      </c>
      <c r="V673" s="8">
        <v>1</v>
      </c>
      <c r="W673" s="8"/>
      <c r="X673" t="s">
        <v>57</v>
      </c>
      <c r="Y673" t="s">
        <v>93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3174</v>
      </c>
      <c r="V674" s="8">
        <v>1</v>
      </c>
      <c r="W674" s="8"/>
      <c r="X674" t="s">
        <v>57</v>
      </c>
      <c r="Y674" t="s">
        <v>246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3184</v>
      </c>
      <c r="V675" s="8">
        <v>1</v>
      </c>
      <c r="W675" s="8"/>
      <c r="X675" t="s">
        <v>57</v>
      </c>
      <c r="Y675" t="s">
        <v>24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3159</v>
      </c>
      <c r="V676" s="8">
        <v>1</v>
      </c>
      <c r="W676" s="8"/>
      <c r="X676" t="s">
        <v>57</v>
      </c>
      <c r="Y676" t="s">
        <v>89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3202</v>
      </c>
      <c r="V677" s="8">
        <v>1</v>
      </c>
      <c r="W677" s="8"/>
      <c r="X677" t="s">
        <v>57</v>
      </c>
      <c r="Y677" t="s">
        <v>28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2928</v>
      </c>
      <c r="V678" s="8">
        <v>1</v>
      </c>
      <c r="W678" s="8"/>
      <c r="X678" t="s">
        <v>57</v>
      </c>
      <c r="Y678" t="s">
        <v>61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3211</v>
      </c>
      <c r="V679" s="24">
        <v>1</v>
      </c>
      <c r="W679" s="24"/>
      <c r="X679" t="s">
        <v>57</v>
      </c>
      <c r="Y679" t="s">
        <v>61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3210</v>
      </c>
      <c r="V680" s="8">
        <v>1</v>
      </c>
      <c r="W680" s="8"/>
      <c r="X680" t="s">
        <v>57</v>
      </c>
      <c r="Y680" t="s">
        <v>20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3201</v>
      </c>
      <c r="V681" s="8"/>
      <c r="W681" s="8">
        <v>1</v>
      </c>
      <c r="X681" t="s">
        <v>58</v>
      </c>
      <c r="Y681" t="s">
        <v>19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3209</v>
      </c>
      <c r="V682" s="8">
        <v>1</v>
      </c>
      <c r="W682" s="8"/>
      <c r="X682" t="s">
        <v>57</v>
      </c>
      <c r="Y682" t="s">
        <v>21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3198</v>
      </c>
      <c r="V683" s="8">
        <v>1</v>
      </c>
      <c r="W683" s="8"/>
      <c r="X683" t="s">
        <v>57</v>
      </c>
      <c r="Y683" t="s">
        <v>45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3206</v>
      </c>
      <c r="V684" s="8">
        <v>1</v>
      </c>
      <c r="W684" s="8"/>
      <c r="X684" t="s">
        <v>57</v>
      </c>
      <c r="Y684" t="s">
        <v>235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3205</v>
      </c>
      <c r="V685" s="8">
        <v>1</v>
      </c>
      <c r="W685" s="8"/>
      <c r="X685" t="s">
        <v>57</v>
      </c>
      <c r="Y685" t="s">
        <v>243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3204</v>
      </c>
      <c r="V686" s="8">
        <v>1</v>
      </c>
      <c r="W686" s="8"/>
      <c r="X686" t="s">
        <v>57</v>
      </c>
      <c r="Y686" t="s">
        <v>148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3200</v>
      </c>
      <c r="V687" s="8"/>
      <c r="W687" s="8">
        <v>1</v>
      </c>
      <c r="X687" t="s">
        <v>58</v>
      </c>
      <c r="Y687" t="s">
        <v>27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3472</v>
      </c>
      <c r="V688" s="8">
        <v>1</v>
      </c>
      <c r="W688" s="8"/>
      <c r="X688" t="s">
        <v>57</v>
      </c>
      <c r="Y688" t="s">
        <v>24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3203</v>
      </c>
      <c r="V689" s="8">
        <v>1</v>
      </c>
      <c r="W689" s="8"/>
      <c r="X689" t="s">
        <v>57</v>
      </c>
      <c r="Y689" t="s">
        <v>47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3192</v>
      </c>
      <c r="V690" s="8">
        <v>1</v>
      </c>
      <c r="W690" s="8"/>
      <c r="X690" t="s">
        <v>57</v>
      </c>
      <c r="Y690" t="s">
        <v>21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793</v>
      </c>
      <c r="V691" s="8">
        <v>1</v>
      </c>
      <c r="W691" s="8"/>
      <c r="X691" t="s">
        <v>57</v>
      </c>
      <c r="Y691" t="s">
        <v>189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3199</v>
      </c>
      <c r="V692" s="8"/>
      <c r="W692" s="8">
        <v>1</v>
      </c>
      <c r="X692" t="s">
        <v>58</v>
      </c>
      <c r="Y692" t="s">
        <v>18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3197</v>
      </c>
      <c r="V693" s="8">
        <v>1</v>
      </c>
      <c r="W693" s="8"/>
      <c r="X693" t="s">
        <v>57</v>
      </c>
      <c r="Y693" t="s">
        <v>156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3196</v>
      </c>
      <c r="V694" s="8">
        <v>1</v>
      </c>
      <c r="W694" s="8"/>
      <c r="X694" t="s">
        <v>57</v>
      </c>
      <c r="Y694" t="s">
        <v>138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3195</v>
      </c>
      <c r="V695" s="8"/>
      <c r="W695" s="8">
        <v>1</v>
      </c>
      <c r="X695" t="s">
        <v>58</v>
      </c>
      <c r="Y695" t="s">
        <v>158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3193</v>
      </c>
      <c r="V696" s="8">
        <v>1</v>
      </c>
      <c r="W696" s="8"/>
      <c r="X696" t="s">
        <v>57</v>
      </c>
      <c r="Y696" t="s">
        <v>52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3185</v>
      </c>
      <c r="V697" s="24">
        <v>1</v>
      </c>
      <c r="W697" s="24"/>
      <c r="X697" t="s">
        <v>57</v>
      </c>
      <c r="Y697" t="s">
        <v>18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794</v>
      </c>
      <c r="V698" s="8">
        <v>1</v>
      </c>
      <c r="X698" t="s">
        <v>57</v>
      </c>
      <c r="Y698" t="s">
        <v>30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3194</v>
      </c>
      <c r="V699" s="8">
        <v>1</v>
      </c>
      <c r="W699" s="8"/>
      <c r="X699" t="s">
        <v>57</v>
      </c>
      <c r="Y699" t="s">
        <v>20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3191</v>
      </c>
      <c r="V700" s="8"/>
      <c r="W700" s="8">
        <v>1</v>
      </c>
      <c r="X700" t="s">
        <v>58</v>
      </c>
      <c r="Y700" t="s">
        <v>96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3186</v>
      </c>
      <c r="V701" s="8">
        <v>1</v>
      </c>
      <c r="W701" s="8"/>
      <c r="X701" t="s">
        <v>57</v>
      </c>
      <c r="Y701" t="s">
        <v>116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3190</v>
      </c>
      <c r="V702" s="8"/>
      <c r="W702" s="8">
        <v>1</v>
      </c>
      <c r="X702" t="s">
        <v>58</v>
      </c>
      <c r="Y702" t="s">
        <v>97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3188</v>
      </c>
      <c r="V703" s="8">
        <v>1</v>
      </c>
      <c r="W703" s="8"/>
      <c r="X703" t="s">
        <v>57</v>
      </c>
      <c r="Y703" t="s">
        <v>114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3232</v>
      </c>
      <c r="V704" s="8">
        <v>1</v>
      </c>
      <c r="W704" s="8"/>
      <c r="X704" t="s">
        <v>57</v>
      </c>
      <c r="Y704" t="s">
        <v>140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3187</v>
      </c>
      <c r="V705" s="8"/>
      <c r="W705" s="8">
        <v>1</v>
      </c>
      <c r="X705" t="s">
        <v>58</v>
      </c>
      <c r="Y705" t="s">
        <v>19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3219</v>
      </c>
      <c r="V706" s="8">
        <v>1</v>
      </c>
      <c r="W706" s="8"/>
      <c r="X706" t="s">
        <v>57</v>
      </c>
      <c r="Y706" t="s">
        <v>111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3225</v>
      </c>
      <c r="V707" s="8">
        <v>1</v>
      </c>
      <c r="W707" s="8"/>
      <c r="X707" t="s">
        <v>57</v>
      </c>
      <c r="Y707" t="s">
        <v>41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3233</v>
      </c>
      <c r="V708" s="8">
        <v>1</v>
      </c>
      <c r="W708" s="8"/>
      <c r="X708" t="s">
        <v>57</v>
      </c>
      <c r="Y708" t="s">
        <v>88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3240</v>
      </c>
      <c r="V709" s="8"/>
      <c r="W709" s="8">
        <v>1</v>
      </c>
      <c r="X709" t="s">
        <v>58</v>
      </c>
      <c r="Y709" t="s">
        <v>34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3217</v>
      </c>
      <c r="V710" s="24">
        <v>1</v>
      </c>
      <c r="W710" s="24"/>
      <c r="X710" t="s">
        <v>57</v>
      </c>
      <c r="Y710" t="s">
        <v>19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3230</v>
      </c>
      <c r="V711" s="8">
        <v>1</v>
      </c>
      <c r="W711" s="8"/>
      <c r="X711" t="s">
        <v>57</v>
      </c>
      <c r="Y711" t="s">
        <v>233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3234</v>
      </c>
      <c r="V712" s="8">
        <v>1</v>
      </c>
      <c r="W712" s="8"/>
      <c r="X712" t="s">
        <v>57</v>
      </c>
      <c r="Y712" t="s">
        <v>187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3247</v>
      </c>
      <c r="V713" s="24">
        <v>1</v>
      </c>
      <c r="W713" s="24"/>
      <c r="X713" t="s">
        <v>57</v>
      </c>
      <c r="Y713" t="s">
        <v>2897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3220</v>
      </c>
      <c r="V714" s="8">
        <v>1</v>
      </c>
      <c r="W714" s="8"/>
      <c r="X714" t="s">
        <v>57</v>
      </c>
      <c r="Y714" t="s">
        <v>62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3221</v>
      </c>
      <c r="V715" s="8">
        <v>1</v>
      </c>
      <c r="W715" s="8"/>
      <c r="X715" t="s">
        <v>57</v>
      </c>
      <c r="Y715" t="s">
        <v>20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3243</v>
      </c>
      <c r="V716" s="24"/>
      <c r="W716" s="24">
        <v>1</v>
      </c>
      <c r="X716" t="s">
        <v>58</v>
      </c>
      <c r="Y716" t="s">
        <v>27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3238</v>
      </c>
      <c r="V717" s="24"/>
      <c r="W717" s="24">
        <v>1</v>
      </c>
      <c r="X717" t="s">
        <v>58</v>
      </c>
      <c r="Y717" t="s">
        <v>18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3227</v>
      </c>
      <c r="V718" s="24">
        <v>1</v>
      </c>
      <c r="W718" s="24"/>
      <c r="X718" t="s">
        <v>57</v>
      </c>
      <c r="Y718" t="s">
        <v>29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3244</v>
      </c>
      <c r="V719" s="24">
        <v>1</v>
      </c>
      <c r="W719" s="24"/>
      <c r="X719" t="s">
        <v>57</v>
      </c>
      <c r="Y719" t="s">
        <v>178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3213</v>
      </c>
      <c r="V720" s="24">
        <v>1</v>
      </c>
      <c r="W720" s="24"/>
      <c r="X720" t="s">
        <v>57</v>
      </c>
      <c r="Y720" t="s">
        <v>28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3224</v>
      </c>
      <c r="V721" s="24">
        <v>1</v>
      </c>
      <c r="W721" s="24"/>
      <c r="X721" t="s">
        <v>57</v>
      </c>
      <c r="Y721" t="s">
        <v>2896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3248</v>
      </c>
      <c r="V722" s="24">
        <v>1</v>
      </c>
      <c r="W722" s="24"/>
      <c r="X722" t="s">
        <v>57</v>
      </c>
      <c r="Y722" t="s">
        <v>2896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3241</v>
      </c>
      <c r="V723" s="24"/>
      <c r="W723" s="24">
        <v>1</v>
      </c>
      <c r="X723" t="s">
        <v>58</v>
      </c>
      <c r="Y723" t="s">
        <v>74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3249</v>
      </c>
      <c r="V724" s="24"/>
      <c r="W724" s="24">
        <v>1</v>
      </c>
      <c r="X724" t="s">
        <v>58</v>
      </c>
      <c r="Y724" t="s">
        <v>18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3235</v>
      </c>
      <c r="V725" s="24">
        <v>1</v>
      </c>
      <c r="W725" s="24"/>
      <c r="X725" t="s">
        <v>57</v>
      </c>
      <c r="Y725" t="s">
        <v>140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3236</v>
      </c>
      <c r="V726" s="24"/>
      <c r="W726" s="24">
        <v>1</v>
      </c>
      <c r="X726" t="s">
        <v>58</v>
      </c>
      <c r="Y726" t="s">
        <v>25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3226</v>
      </c>
      <c r="V727" s="24">
        <v>1</v>
      </c>
      <c r="W727" s="24"/>
      <c r="X727" t="s">
        <v>57</v>
      </c>
      <c r="Y727" t="s">
        <v>22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3228</v>
      </c>
      <c r="V728" s="24">
        <v>1</v>
      </c>
      <c r="W728" s="24"/>
      <c r="X728" t="s">
        <v>57</v>
      </c>
      <c r="Y728" t="s">
        <v>132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3231</v>
      </c>
      <c r="V729" s="24">
        <v>1</v>
      </c>
      <c r="W729" s="24"/>
      <c r="X729" t="s">
        <v>57</v>
      </c>
      <c r="Y729" t="s">
        <v>29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3245</v>
      </c>
      <c r="V730" s="24">
        <v>1</v>
      </c>
      <c r="W730" s="24"/>
      <c r="X730" t="s">
        <v>57</v>
      </c>
      <c r="Y730" t="s">
        <v>41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3222</v>
      </c>
      <c r="V731" s="24">
        <v>1</v>
      </c>
      <c r="W731" s="24"/>
      <c r="X731" t="s">
        <v>57</v>
      </c>
      <c r="Y731" t="s">
        <v>53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3229</v>
      </c>
      <c r="V732" s="24">
        <v>1</v>
      </c>
      <c r="W732" s="24"/>
      <c r="X732" t="s">
        <v>57</v>
      </c>
      <c r="Y732" t="s">
        <v>93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3239</v>
      </c>
      <c r="V733" s="24"/>
      <c r="W733" s="24">
        <v>1</v>
      </c>
      <c r="X733" t="s">
        <v>58</v>
      </c>
      <c r="Y733" t="s">
        <v>113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3218</v>
      </c>
      <c r="V734" s="24">
        <v>1</v>
      </c>
      <c r="W734" s="24"/>
      <c r="X734" t="s">
        <v>57</v>
      </c>
      <c r="Y734" t="s">
        <v>222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3223</v>
      </c>
      <c r="V735" s="24">
        <v>1</v>
      </c>
      <c r="W735" s="24"/>
      <c r="X735" t="s">
        <v>57</v>
      </c>
      <c r="Y735" t="s">
        <v>2899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3214</v>
      </c>
      <c r="V736" s="24">
        <v>1</v>
      </c>
      <c r="W736" s="24"/>
      <c r="X736" t="s">
        <v>57</v>
      </c>
      <c r="Y736" t="s">
        <v>39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3215</v>
      </c>
      <c r="V737" s="24">
        <v>1</v>
      </c>
      <c r="W737" s="24"/>
      <c r="X737" t="s">
        <v>57</v>
      </c>
      <c r="Y737" t="s">
        <v>53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3216</v>
      </c>
      <c r="V738" s="24">
        <v>1</v>
      </c>
      <c r="W738" s="24"/>
      <c r="X738" t="s">
        <v>57</v>
      </c>
      <c r="Y738" t="s">
        <v>2907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3281</v>
      </c>
      <c r="V739" s="24">
        <v>1</v>
      </c>
      <c r="W739" s="24"/>
      <c r="X739" t="s">
        <v>57</v>
      </c>
      <c r="Y739" t="s">
        <v>43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3292</v>
      </c>
      <c r="V740" s="24">
        <v>1</v>
      </c>
      <c r="W740" s="24"/>
      <c r="X740" t="s">
        <v>57</v>
      </c>
      <c r="Y740" t="s">
        <v>2900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3290</v>
      </c>
      <c r="V741" s="24"/>
      <c r="W741" s="24">
        <v>1</v>
      </c>
      <c r="X741" t="s">
        <v>58</v>
      </c>
      <c r="Y741" t="s">
        <v>70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3288</v>
      </c>
      <c r="V742" s="24"/>
      <c r="W742" s="24">
        <v>1</v>
      </c>
      <c r="X742" t="s">
        <v>58</v>
      </c>
      <c r="Y742" t="s">
        <v>52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3289</v>
      </c>
      <c r="V743" s="24"/>
      <c r="W743" s="24">
        <v>1</v>
      </c>
      <c r="X743" t="s">
        <v>58</v>
      </c>
      <c r="Y743" t="s">
        <v>19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3283</v>
      </c>
      <c r="V744" s="24">
        <v>1</v>
      </c>
      <c r="W744" s="24"/>
      <c r="X744" t="s">
        <v>57</v>
      </c>
      <c r="Y744" t="s">
        <v>111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3284</v>
      </c>
      <c r="V745" s="24">
        <v>1</v>
      </c>
      <c r="W745" s="24"/>
      <c r="X745" t="s">
        <v>57</v>
      </c>
      <c r="Y745" t="s">
        <v>389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3282</v>
      </c>
      <c r="V746" s="24">
        <v>1</v>
      </c>
      <c r="W746" s="24"/>
      <c r="X746" t="s">
        <v>57</v>
      </c>
      <c r="Y746" t="s">
        <v>26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3286</v>
      </c>
      <c r="V747" s="24"/>
      <c r="W747" s="24">
        <v>1</v>
      </c>
      <c r="X747" t="s">
        <v>58</v>
      </c>
      <c r="Y747" t="s">
        <v>2902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3279</v>
      </c>
      <c r="V748" s="24">
        <v>1</v>
      </c>
      <c r="W748" s="24"/>
      <c r="X748" t="s">
        <v>57</v>
      </c>
      <c r="Y748" t="s">
        <v>28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3277</v>
      </c>
      <c r="V749" s="24">
        <v>1</v>
      </c>
      <c r="W749" s="24"/>
      <c r="X749" t="s">
        <v>57</v>
      </c>
      <c r="Y749" t="s">
        <v>64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2903</v>
      </c>
      <c r="D750" t="s">
        <v>1329</v>
      </c>
      <c r="E750" t="s">
        <v>2926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3278</v>
      </c>
      <c r="V750" s="24">
        <v>1</v>
      </c>
      <c r="W750" s="24"/>
      <c r="X750" t="s">
        <v>57</v>
      </c>
      <c r="Y750" t="s">
        <v>29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3280</v>
      </c>
      <c r="V751" s="24"/>
      <c r="W751" s="24">
        <v>1</v>
      </c>
      <c r="X751" t="s">
        <v>58</v>
      </c>
      <c r="Y751" t="s">
        <v>68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3272</v>
      </c>
      <c r="V752" s="24">
        <v>1</v>
      </c>
      <c r="W752" s="24"/>
      <c r="X752" t="s">
        <v>57</v>
      </c>
      <c r="Y752" t="s">
        <v>114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3273</v>
      </c>
      <c r="V753" s="24">
        <v>1</v>
      </c>
      <c r="W753" s="24"/>
      <c r="X753" t="s">
        <v>57</v>
      </c>
      <c r="Y753" t="s">
        <v>2905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3276</v>
      </c>
      <c r="V754" s="24">
        <v>1</v>
      </c>
      <c r="W754" s="24"/>
      <c r="X754" t="s">
        <v>57</v>
      </c>
      <c r="Y754" t="s">
        <v>29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3271</v>
      </c>
      <c r="V755" s="24">
        <v>1</v>
      </c>
      <c r="W755" s="24"/>
      <c r="X755" t="s">
        <v>57</v>
      </c>
      <c r="Y755" t="s">
        <v>30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3274</v>
      </c>
      <c r="V756" s="24">
        <v>1</v>
      </c>
      <c r="W756" s="24"/>
      <c r="X756" t="s">
        <v>57</v>
      </c>
      <c r="Y756" t="s">
        <v>93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3275</v>
      </c>
      <c r="V757" s="24"/>
      <c r="W757" s="24">
        <v>1</v>
      </c>
      <c r="X757" t="s">
        <v>58</v>
      </c>
      <c r="Y757" t="s">
        <v>2904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3269</v>
      </c>
      <c r="V758" s="24">
        <v>1</v>
      </c>
      <c r="W758" s="24"/>
      <c r="X758" t="s">
        <v>57</v>
      </c>
      <c r="Y758" t="s">
        <v>28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3270</v>
      </c>
      <c r="V759" s="24">
        <v>1</v>
      </c>
      <c r="W759" s="24"/>
      <c r="X759" t="s">
        <v>57</v>
      </c>
      <c r="Y759" t="s">
        <v>2906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3261</v>
      </c>
      <c r="V760" s="24">
        <v>1</v>
      </c>
      <c r="W760" s="24"/>
      <c r="X760" t="s">
        <v>57</v>
      </c>
      <c r="Y760" t="s">
        <v>2909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3268</v>
      </c>
      <c r="V761" s="24">
        <v>1</v>
      </c>
      <c r="W761" s="24"/>
      <c r="X761" t="s">
        <v>57</v>
      </c>
      <c r="Y761" t="s">
        <v>70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3265</v>
      </c>
      <c r="V762" s="24">
        <v>1</v>
      </c>
      <c r="W762" s="24"/>
      <c r="X762" t="s">
        <v>57</v>
      </c>
      <c r="Y762" t="s">
        <v>155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3267</v>
      </c>
      <c r="V763" s="24">
        <v>1</v>
      </c>
      <c r="W763" s="24"/>
      <c r="X763" t="s">
        <v>57</v>
      </c>
      <c r="Y763" t="s">
        <v>41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3262</v>
      </c>
      <c r="V764" s="24">
        <v>1</v>
      </c>
      <c r="W764" s="24"/>
      <c r="X764" t="s">
        <v>57</v>
      </c>
      <c r="Y764" t="s">
        <v>18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3256</v>
      </c>
      <c r="V765" s="24">
        <v>1</v>
      </c>
      <c r="W765" s="24"/>
      <c r="X765" t="s">
        <v>57</v>
      </c>
      <c r="Y765" t="s">
        <v>2911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3028</v>
      </c>
      <c r="V766" s="24">
        <v>1</v>
      </c>
      <c r="W766" s="24"/>
      <c r="X766" t="s">
        <v>57</v>
      </c>
      <c r="Y766" t="s">
        <v>157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3251</v>
      </c>
      <c r="V767" s="24">
        <v>1</v>
      </c>
      <c r="W767" s="24"/>
      <c r="X767" t="s">
        <v>57</v>
      </c>
      <c r="Y767" t="s">
        <v>2920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3264</v>
      </c>
      <c r="V768" s="24">
        <v>1</v>
      </c>
      <c r="W768" s="24"/>
      <c r="X768" t="s">
        <v>57</v>
      </c>
      <c r="Y768" t="s">
        <v>35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3250</v>
      </c>
      <c r="V769" s="24"/>
      <c r="W769" s="24">
        <v>1</v>
      </c>
      <c r="X769" t="s">
        <v>58</v>
      </c>
      <c r="Y769" t="s">
        <v>139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3257</v>
      </c>
      <c r="V770" s="24">
        <v>1</v>
      </c>
      <c r="W770" s="24"/>
      <c r="X770" t="s">
        <v>57</v>
      </c>
      <c r="Y770" t="s">
        <v>29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3263</v>
      </c>
      <c r="V771" s="24"/>
      <c r="W771" s="24">
        <v>1</v>
      </c>
      <c r="X771" t="s">
        <v>58</v>
      </c>
      <c r="Y771" t="s">
        <v>2908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3260</v>
      </c>
      <c r="V772" s="24">
        <v>1</v>
      </c>
      <c r="W772" s="24"/>
      <c r="X772" t="s">
        <v>57</v>
      </c>
      <c r="Y772" t="s">
        <v>59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3255</v>
      </c>
      <c r="V773" s="24">
        <v>1</v>
      </c>
      <c r="W773" s="24"/>
      <c r="X773" t="s">
        <v>57</v>
      </c>
      <c r="Y773" t="s">
        <v>2912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2948</v>
      </c>
      <c r="V774" s="24">
        <v>1</v>
      </c>
      <c r="W774" s="24"/>
      <c r="X774" t="s">
        <v>57</v>
      </c>
      <c r="Y774" t="s">
        <v>2949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1320</v>
      </c>
      <c r="D775" t="s">
        <v>2946</v>
      </c>
      <c r="E775" t="s">
        <v>2926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2947</v>
      </c>
      <c r="V775" s="24">
        <v>1</v>
      </c>
      <c r="W775" s="24"/>
      <c r="X775" t="s">
        <v>57</v>
      </c>
      <c r="Y775" t="s">
        <v>29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3291</v>
      </c>
      <c r="V776" s="24">
        <v>1</v>
      </c>
      <c r="W776" s="24"/>
      <c r="X776" t="s">
        <v>57</v>
      </c>
      <c r="Y776" t="s">
        <v>24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2925</v>
      </c>
      <c r="V777" s="24">
        <v>1</v>
      </c>
      <c r="W777" s="24"/>
      <c r="X777" t="s">
        <v>57</v>
      </c>
      <c r="Y777" t="s">
        <v>2924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2939</v>
      </c>
      <c r="V778" s="24">
        <v>1</v>
      </c>
      <c r="W778" s="24"/>
      <c r="X778" t="s">
        <v>57</v>
      </c>
      <c r="Y778" t="s">
        <v>28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2940</v>
      </c>
      <c r="V779" s="24">
        <v>1</v>
      </c>
      <c r="W779" s="24"/>
      <c r="X779" t="s">
        <v>57</v>
      </c>
      <c r="Y779" t="s">
        <v>18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2945</v>
      </c>
      <c r="V780" s="24">
        <v>1</v>
      </c>
      <c r="W780" s="24"/>
      <c r="X780" t="s">
        <v>57</v>
      </c>
      <c r="Y780" t="s">
        <v>20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2944</v>
      </c>
      <c r="V781" s="24">
        <v>1</v>
      </c>
      <c r="W781" s="24"/>
      <c r="X781" t="s">
        <v>57</v>
      </c>
      <c r="Y781" t="s">
        <v>22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2943</v>
      </c>
      <c r="V782" s="24">
        <v>1</v>
      </c>
      <c r="W782" s="24"/>
      <c r="X782" t="s">
        <v>57</v>
      </c>
      <c r="Y782" t="s">
        <v>2942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2950</v>
      </c>
      <c r="V783" s="24"/>
      <c r="W783" s="24">
        <v>1</v>
      </c>
      <c r="X783" t="s">
        <v>58</v>
      </c>
      <c r="Y783" t="s">
        <v>19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3467</v>
      </c>
      <c r="V784" s="24">
        <v>1</v>
      </c>
      <c r="W784" s="24"/>
      <c r="X784" t="s">
        <v>57</v>
      </c>
      <c r="Y784" t="s">
        <v>28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3465</v>
      </c>
      <c r="V785" s="24">
        <v>1</v>
      </c>
      <c r="W785" s="24"/>
      <c r="X785" t="s">
        <v>57</v>
      </c>
      <c r="Y785" t="s">
        <v>72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751</v>
      </c>
      <c r="V786" s="8">
        <v>1</v>
      </c>
      <c r="W786" s="8"/>
      <c r="X786" t="s">
        <v>57</v>
      </c>
      <c r="Y786" t="s">
        <v>176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796</v>
      </c>
      <c r="V787" s="8">
        <v>1</v>
      </c>
      <c r="W787" s="8"/>
      <c r="X787" t="s">
        <v>57</v>
      </c>
      <c r="Y787" t="s">
        <v>81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798</v>
      </c>
      <c r="V788" s="8">
        <v>1</v>
      </c>
      <c r="W788" s="8"/>
      <c r="X788" t="s">
        <v>57</v>
      </c>
      <c r="Y788" t="s">
        <v>202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799</v>
      </c>
      <c r="V789" s="8">
        <v>1</v>
      </c>
      <c r="W789" s="8"/>
      <c r="X789" t="s">
        <v>57</v>
      </c>
      <c r="Y789" t="s">
        <v>64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800</v>
      </c>
      <c r="V790" s="8">
        <v>1</v>
      </c>
      <c r="W790" s="8"/>
      <c r="X790" t="s">
        <v>57</v>
      </c>
      <c r="Y790" t="s">
        <v>35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3208</v>
      </c>
      <c r="V791" s="8">
        <v>1</v>
      </c>
      <c r="W791" s="8"/>
      <c r="X791" t="s">
        <v>57</v>
      </c>
      <c r="Y791" t="s">
        <v>33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801</v>
      </c>
      <c r="V792" s="8">
        <v>1</v>
      </c>
      <c r="W792" s="8"/>
      <c r="X792" t="s">
        <v>57</v>
      </c>
      <c r="Y792" t="s">
        <v>39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802</v>
      </c>
      <c r="V793" s="8">
        <v>1</v>
      </c>
      <c r="W793" s="8"/>
      <c r="X793" t="s">
        <v>57</v>
      </c>
      <c r="Y793" t="s">
        <v>35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3207</v>
      </c>
      <c r="V794" s="8">
        <v>1</v>
      </c>
      <c r="W794" s="8"/>
      <c r="X794" t="s">
        <v>57</v>
      </c>
      <c r="Y794" t="s">
        <v>20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803</v>
      </c>
      <c r="V795" s="8"/>
      <c r="W795" s="8">
        <v>1</v>
      </c>
      <c r="X795" t="s">
        <v>58</v>
      </c>
      <c r="Y795" t="s">
        <v>34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804</v>
      </c>
      <c r="V796" s="8"/>
      <c r="W796" s="8">
        <v>1</v>
      </c>
      <c r="X796" t="s">
        <v>58</v>
      </c>
      <c r="Y796" t="s">
        <v>127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3246</v>
      </c>
      <c r="V797" s="24">
        <v>1</v>
      </c>
      <c r="W797" s="24"/>
      <c r="X797" t="s">
        <v>57</v>
      </c>
      <c r="Y797" t="s">
        <v>2898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805</v>
      </c>
      <c r="V798" s="8"/>
      <c r="W798" s="8">
        <v>1</v>
      </c>
      <c r="X798" t="s">
        <v>58</v>
      </c>
      <c r="Y798" t="s">
        <v>126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806</v>
      </c>
      <c r="V799" s="8"/>
      <c r="W799" s="8">
        <v>1</v>
      </c>
      <c r="X799" t="s">
        <v>58</v>
      </c>
      <c r="Y799" t="s">
        <v>27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3142</v>
      </c>
      <c r="V800" s="8">
        <v>1</v>
      </c>
      <c r="W800" s="8"/>
      <c r="X800" t="s">
        <v>57</v>
      </c>
      <c r="Y800" t="s">
        <v>152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3150</v>
      </c>
      <c r="V801" s="8">
        <v>1</v>
      </c>
      <c r="W801" s="8"/>
      <c r="X801" t="s">
        <v>57</v>
      </c>
      <c r="Y801" t="s">
        <v>19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3168</v>
      </c>
      <c r="V802" s="8"/>
      <c r="W802" s="8">
        <v>1</v>
      </c>
      <c r="X802" t="s">
        <v>58</v>
      </c>
      <c r="Y802" t="s">
        <v>144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3175</v>
      </c>
      <c r="V803" s="8"/>
      <c r="W803" s="8">
        <v>1</v>
      </c>
      <c r="X803" t="s">
        <v>58</v>
      </c>
      <c r="Y803" t="s">
        <v>19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3189</v>
      </c>
      <c r="V804" s="8">
        <v>1</v>
      </c>
      <c r="W804" s="8"/>
      <c r="X804" t="s">
        <v>57</v>
      </c>
      <c r="Y804" t="s">
        <v>105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3242</v>
      </c>
      <c r="V805" s="24"/>
      <c r="W805" s="24">
        <v>1</v>
      </c>
      <c r="X805" t="s">
        <v>58</v>
      </c>
      <c r="Y805" t="s">
        <v>123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3212</v>
      </c>
      <c r="V806" s="24">
        <v>1</v>
      </c>
      <c r="W806" s="24"/>
      <c r="X806" t="s">
        <v>57</v>
      </c>
      <c r="Y806" t="s">
        <v>49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3103</v>
      </c>
      <c r="V807" s="8">
        <v>1</v>
      </c>
      <c r="W807" s="8"/>
      <c r="X807" t="s">
        <v>57</v>
      </c>
      <c r="Y807" t="s">
        <v>797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3108</v>
      </c>
      <c r="V808" s="8">
        <v>1</v>
      </c>
      <c r="W808" s="8"/>
      <c r="X808" t="s">
        <v>57</v>
      </c>
      <c r="Y808" t="s">
        <v>27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3237</v>
      </c>
      <c r="V809" s="24"/>
      <c r="W809" s="24">
        <v>1</v>
      </c>
      <c r="X809" t="s">
        <v>58</v>
      </c>
      <c r="Y809" t="s">
        <v>25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3124</v>
      </c>
      <c r="V810" s="8"/>
      <c r="W810" s="8">
        <v>1</v>
      </c>
      <c r="X810" t="s">
        <v>58</v>
      </c>
      <c r="Y810" t="s">
        <v>164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3126</v>
      </c>
      <c r="V811" s="8"/>
      <c r="W811" s="8">
        <v>1</v>
      </c>
      <c r="X811" t="s">
        <v>58</v>
      </c>
      <c r="Y811" t="s">
        <v>133</v>
      </c>
    </row>
    <row r="812" spans="1:25" x14ac:dyDescent="0.25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3466</v>
      </c>
      <c r="V812" s="8">
        <v>1</v>
      </c>
      <c r="W812" s="8"/>
      <c r="X812" t="s">
        <v>57</v>
      </c>
      <c r="Y812" t="s">
        <v>18</v>
      </c>
    </row>
    <row r="813" spans="1:25" x14ac:dyDescent="0.25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3285</v>
      </c>
      <c r="V813" s="24">
        <v>1</v>
      </c>
      <c r="W813" s="24"/>
      <c r="X813" t="s">
        <v>57</v>
      </c>
      <c r="Y813" t="s">
        <v>2900</v>
      </c>
    </row>
    <row r="814" spans="1:25" x14ac:dyDescent="0.25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3287</v>
      </c>
      <c r="V814" s="24">
        <v>1</v>
      </c>
      <c r="W814" s="24"/>
      <c r="X814" t="s">
        <v>57</v>
      </c>
      <c r="Y814" t="s">
        <v>2901</v>
      </c>
    </row>
    <row r="815" spans="1:25" x14ac:dyDescent="0.25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3259</v>
      </c>
      <c r="V815" s="24">
        <v>1</v>
      </c>
      <c r="W815" s="24"/>
      <c r="X815" t="s">
        <v>57</v>
      </c>
      <c r="Y815" t="s">
        <v>138</v>
      </c>
    </row>
    <row r="816" spans="1:25" x14ac:dyDescent="0.25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3258</v>
      </c>
      <c r="V816" s="24">
        <v>1</v>
      </c>
      <c r="W816" s="24"/>
      <c r="X816" t="s">
        <v>57</v>
      </c>
      <c r="Y816" t="s">
        <v>29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3254</v>
      </c>
      <c r="V817" s="24"/>
      <c r="W817" s="24">
        <v>1</v>
      </c>
      <c r="X817" t="s">
        <v>58</v>
      </c>
      <c r="Y817" t="s">
        <v>89</v>
      </c>
    </row>
    <row r="818" spans="1:25" x14ac:dyDescent="0.25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3253</v>
      </c>
      <c r="V818" s="24"/>
      <c r="W818" s="24">
        <v>1</v>
      </c>
      <c r="X818" t="s">
        <v>58</v>
      </c>
      <c r="Y818" t="s">
        <v>2913</v>
      </c>
    </row>
    <row r="819" spans="1:25" x14ac:dyDescent="0.25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3252</v>
      </c>
      <c r="V819" s="24"/>
      <c r="W819" s="24">
        <v>1</v>
      </c>
      <c r="X819" t="s">
        <v>58</v>
      </c>
      <c r="Y819" t="s">
        <v>127</v>
      </c>
    </row>
    <row r="820" spans="1:25" x14ac:dyDescent="0.25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3266</v>
      </c>
      <c r="V820" s="24"/>
      <c r="W820" s="24">
        <v>1</v>
      </c>
      <c r="X820" t="s">
        <v>58</v>
      </c>
      <c r="Y820" t="s">
        <v>168</v>
      </c>
    </row>
    <row r="821" spans="1:25" x14ac:dyDescent="0.25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2941</v>
      </c>
      <c r="V821" s="24">
        <v>1</v>
      </c>
      <c r="W821" s="24"/>
      <c r="X821" t="s">
        <v>57</v>
      </c>
      <c r="Y821" t="s">
        <v>222</v>
      </c>
    </row>
    <row r="822" spans="1:25" x14ac:dyDescent="0.25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3468</v>
      </c>
      <c r="V822" s="24">
        <v>1</v>
      </c>
      <c r="W822" s="24"/>
      <c r="X822" t="s">
        <v>57</v>
      </c>
      <c r="Y822" t="s">
        <v>389</v>
      </c>
    </row>
    <row r="823" spans="1:25" x14ac:dyDescent="0.25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3469</v>
      </c>
      <c r="V823" s="24">
        <v>1</v>
      </c>
      <c r="W823" s="24"/>
      <c r="X823" t="s">
        <v>57</v>
      </c>
      <c r="Y823" t="s">
        <v>26</v>
      </c>
    </row>
    <row r="824" spans="1:25" x14ac:dyDescent="0.25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1951</v>
      </c>
      <c r="D824" t="s">
        <v>3470</v>
      </c>
      <c r="E824" t="s">
        <v>2926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3471</v>
      </c>
      <c r="V824" s="24">
        <v>1</v>
      </c>
      <c r="W824" s="24"/>
      <c r="X824" t="s">
        <v>57</v>
      </c>
      <c r="Y824" t="s">
        <v>19</v>
      </c>
    </row>
    <row r="825" spans="1:25" x14ac:dyDescent="0.25">
      <c r="A825">
        <v>39651</v>
      </c>
      <c r="B825" t="str">
        <f>_xlfn.CONCAT(bron[[#This Row],[personeelsnr]]," ",bron[[#This Row],[achternaam]]," ",bron[[#This Row],[voornaam]])</f>
        <v>39651 Kallenbach Sunny</v>
      </c>
      <c r="C825" t="str">
        <f>VLOOKUP(bron[[#This Row],[personeelsnr]],'data hastus'!$A:$C,2,0)</f>
        <v>Kallenbach</v>
      </c>
      <c r="D825" t="str">
        <f>VLOOKUP(bron[[#This Row],[personeelsnr]],'data hastus'!$A:$C,3,0)</f>
        <v>Sunny</v>
      </c>
      <c r="E825" t="str">
        <f>VLOOKUP(bron[[#This Row],[personeelsnr]],'data hastus'!A:K,11,FALSE)</f>
        <v>Kenneth De Rick</v>
      </c>
      <c r="F825" s="10"/>
      <c r="G825" s="7"/>
      <c r="H825" s="7"/>
      <c r="I825" s="7"/>
      <c r="N825" s="5">
        <v>1</v>
      </c>
      <c r="S825" s="35">
        <f>SUM(bron[[#This Row],[Januari]:[December]])</f>
        <v>1</v>
      </c>
      <c r="T825" s="9">
        <v>45891</v>
      </c>
      <c r="U825" s="5" t="s">
        <v>3473</v>
      </c>
      <c r="V825" s="24">
        <v>1</v>
      </c>
      <c r="W825" s="24"/>
      <c r="X825" t="s">
        <v>57</v>
      </c>
      <c r="Y825" t="s">
        <v>35</v>
      </c>
    </row>
    <row r="826" spans="1:25" x14ac:dyDescent="0.25">
      <c r="A826">
        <v>41619</v>
      </c>
      <c r="B826" t="str">
        <f>_xlfn.CONCAT(bron[[#This Row],[personeelsnr]]," ",bron[[#This Row],[achternaam]]," ",bron[[#This Row],[voornaam]])</f>
        <v>41619 Bachiri Ousama</v>
      </c>
      <c r="C826" t="str">
        <f>VLOOKUP(bron[[#This Row],[personeelsnr]],'data hastus'!$A:$C,2,0)</f>
        <v>Bachiri</v>
      </c>
      <c r="D826" t="str">
        <f>VLOOKUP(bron[[#This Row],[personeelsnr]],'data hastus'!$A:$C,3,0)</f>
        <v>Ousama</v>
      </c>
      <c r="E826" t="str">
        <f>VLOOKUP(bron[[#This Row],[personeelsnr]],'data hastus'!A:K,11,FALSE)</f>
        <v>Bart Van Der Beken</v>
      </c>
      <c r="F826" s="10"/>
      <c r="G826" s="7"/>
      <c r="H826" s="7"/>
      <c r="I826" s="7"/>
      <c r="N826" s="5">
        <v>1</v>
      </c>
      <c r="S826" s="35">
        <f>SUM(bron[[#This Row],[Januari]:[December]])</f>
        <v>1</v>
      </c>
      <c r="T826" s="9">
        <v>45892</v>
      </c>
      <c r="U826" s="5" t="s">
        <v>3474</v>
      </c>
      <c r="V826" s="24">
        <v>1</v>
      </c>
      <c r="W826" s="24"/>
      <c r="X826" t="s">
        <v>57</v>
      </c>
      <c r="Y826" t="s">
        <v>222</v>
      </c>
    </row>
    <row r="827" spans="1:25" x14ac:dyDescent="0.25">
      <c r="A827">
        <v>25829</v>
      </c>
      <c r="B827" t="str">
        <f>_xlfn.CONCAT(bron[[#This Row],[personeelsnr]]," ",bron[[#This Row],[achternaam]]," ",bron[[#This Row],[voornaam]])</f>
        <v>25829 Kayim Akin</v>
      </c>
      <c r="C827" t="str">
        <f>VLOOKUP(bron[[#This Row],[personeelsnr]],'data hastus'!$A:$C,2,0)</f>
        <v>Kayim</v>
      </c>
      <c r="D827" t="str">
        <f>VLOOKUP(bron[[#This Row],[personeelsnr]],'data hastus'!$A:$C,3,0)</f>
        <v>Akin</v>
      </c>
      <c r="E827" t="str">
        <f>VLOOKUP(bron[[#This Row],[personeelsnr]],'data hastus'!A:K,11,FALSE)</f>
        <v>Steven Storm</v>
      </c>
      <c r="F827" s="10">
        <v>45891</v>
      </c>
      <c r="G827" s="7"/>
      <c r="H827" s="7"/>
      <c r="I827" s="7"/>
      <c r="N827" s="5">
        <v>1</v>
      </c>
      <c r="S827" s="35">
        <f>SUM(bron[[#This Row],[Januari]:[December]])</f>
        <v>1</v>
      </c>
      <c r="U827" s="5" t="s">
        <v>3475</v>
      </c>
      <c r="V827" s="24"/>
      <c r="W827" s="24">
        <v>1</v>
      </c>
      <c r="X827" t="s">
        <v>58</v>
      </c>
      <c r="Y827" t="s">
        <v>133</v>
      </c>
    </row>
    <row r="828" spans="1:25" x14ac:dyDescent="0.25">
      <c r="A828">
        <v>34198</v>
      </c>
      <c r="B828" t="str">
        <f>_xlfn.CONCAT(bron[[#This Row],[personeelsnr]]," ",bron[[#This Row],[achternaam]]," ",bron[[#This Row],[voornaam]])</f>
        <v>34198 Pelfrene Toby</v>
      </c>
      <c r="C828" t="str">
        <f>VLOOKUP(bron[[#This Row],[personeelsnr]],'data hastus'!$A:$C,2,0)</f>
        <v>Pelfrene</v>
      </c>
      <c r="D828" t="str">
        <f>VLOOKUP(bron[[#This Row],[personeelsnr]],'data hastus'!$A:$C,3,0)</f>
        <v>Toby</v>
      </c>
      <c r="E828" t="str">
        <f>VLOOKUP(bron[[#This Row],[personeelsnr]],'data hastus'!A:K,11,FALSE)</f>
        <v>Els Vanhoe</v>
      </c>
      <c r="F828" s="10"/>
      <c r="G828" s="7"/>
      <c r="H828" s="7"/>
      <c r="I828" s="7"/>
      <c r="N828" s="5">
        <v>1</v>
      </c>
      <c r="S828" s="35">
        <f>SUM(bron[[#This Row],[Januari]:[December]])</f>
        <v>1</v>
      </c>
      <c r="T828" s="9">
        <v>45895</v>
      </c>
      <c r="U828" s="5" t="s">
        <v>3476</v>
      </c>
      <c r="V828" s="24"/>
      <c r="W828" s="24">
        <v>1</v>
      </c>
      <c r="X828" t="s">
        <v>58</v>
      </c>
      <c r="Y828" t="s">
        <v>19</v>
      </c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28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2951</v>
      </c>
      <c r="C21" t="s">
        <v>906</v>
      </c>
      <c r="D21" s="3">
        <v>24230</v>
      </c>
      <c r="E21" t="s">
        <v>833</v>
      </c>
      <c r="G21" s="3">
        <v>45831</v>
      </c>
      <c r="H21" t="s">
        <v>2952</v>
      </c>
      <c r="J21" t="s">
        <v>841</v>
      </c>
      <c r="K21" t="s">
        <v>44</v>
      </c>
      <c r="L21" s="3">
        <v>47677</v>
      </c>
      <c r="M21" s="3">
        <v>47610</v>
      </c>
      <c r="N21" t="s">
        <v>2953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2954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2955</v>
      </c>
      <c r="C80" t="s">
        <v>2956</v>
      </c>
      <c r="D80" s="3">
        <v>36894</v>
      </c>
      <c r="E80" t="s">
        <v>833</v>
      </c>
      <c r="G80" s="3">
        <v>45874</v>
      </c>
      <c r="H80" t="s">
        <v>2957</v>
      </c>
      <c r="J80" t="s">
        <v>846</v>
      </c>
      <c r="K80" t="s">
        <v>50</v>
      </c>
      <c r="L80" s="3">
        <v>1</v>
      </c>
      <c r="M80" s="3">
        <v>1</v>
      </c>
      <c r="N80" t="s">
        <v>2958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2959</v>
      </c>
      <c r="C110" t="s">
        <v>2960</v>
      </c>
      <c r="D110" s="3">
        <v>30683</v>
      </c>
      <c r="E110" t="s">
        <v>833</v>
      </c>
      <c r="G110" s="3">
        <v>45831</v>
      </c>
      <c r="H110" t="s">
        <v>2961</v>
      </c>
      <c r="J110" t="s">
        <v>841</v>
      </c>
      <c r="K110" t="s">
        <v>40</v>
      </c>
      <c r="L110" s="3">
        <v>47673</v>
      </c>
      <c r="M110" s="3">
        <v>47608</v>
      </c>
      <c r="N110" t="s">
        <v>2962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2963</v>
      </c>
      <c r="C121" t="s">
        <v>2964</v>
      </c>
      <c r="D121" s="3">
        <v>30767</v>
      </c>
      <c r="E121" t="s">
        <v>833</v>
      </c>
      <c r="G121" s="3">
        <v>45870</v>
      </c>
      <c r="H121" t="s">
        <v>2965</v>
      </c>
      <c r="I121" t="s">
        <v>2966</v>
      </c>
      <c r="J121" t="s">
        <v>2967</v>
      </c>
      <c r="K121" t="s">
        <v>36</v>
      </c>
      <c r="L121" s="3">
        <v>46301</v>
      </c>
      <c r="M121" s="3">
        <v>47644</v>
      </c>
      <c r="N121" t="s">
        <v>2968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2969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2970</v>
      </c>
      <c r="D174" s="3">
        <v>37796</v>
      </c>
      <c r="E174" t="s">
        <v>833</v>
      </c>
      <c r="G174" s="3">
        <v>45853</v>
      </c>
      <c r="H174" t="s">
        <v>2971</v>
      </c>
      <c r="J174" t="s">
        <v>841</v>
      </c>
      <c r="K174" t="s">
        <v>36</v>
      </c>
      <c r="L174" s="3">
        <v>1</v>
      </c>
      <c r="M174" s="3">
        <v>1</v>
      </c>
      <c r="N174" t="s">
        <v>2972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2973</v>
      </c>
      <c r="C183" t="s">
        <v>2974</v>
      </c>
      <c r="D183" s="3">
        <v>28657</v>
      </c>
      <c r="E183" t="s">
        <v>833</v>
      </c>
      <c r="G183" s="3">
        <v>45860</v>
      </c>
      <c r="H183" t="s">
        <v>2975</v>
      </c>
      <c r="J183" t="s">
        <v>841</v>
      </c>
      <c r="K183" t="s">
        <v>50</v>
      </c>
      <c r="L183" s="3">
        <v>1</v>
      </c>
      <c r="M183" s="3">
        <v>1</v>
      </c>
      <c r="N183" t="s">
        <v>2976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2977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2978</v>
      </c>
      <c r="C219" t="s">
        <v>1615</v>
      </c>
      <c r="D219" s="3">
        <v>34485</v>
      </c>
      <c r="E219" t="s">
        <v>833</v>
      </c>
      <c r="G219" s="3">
        <v>45868</v>
      </c>
      <c r="H219" t="s">
        <v>2979</v>
      </c>
      <c r="J219" t="s">
        <v>846</v>
      </c>
      <c r="K219" t="s">
        <v>40</v>
      </c>
      <c r="L219" s="3">
        <v>47428</v>
      </c>
      <c r="M219" s="3">
        <v>47243</v>
      </c>
      <c r="N219" t="s">
        <v>2980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2981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2982</v>
      </c>
      <c r="J220" t="s">
        <v>841</v>
      </c>
      <c r="K220" t="s">
        <v>40</v>
      </c>
      <c r="L220" s="3">
        <v>47688</v>
      </c>
      <c r="M220" s="3">
        <v>47616</v>
      </c>
      <c r="N220" t="s">
        <v>2983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2984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2985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2986</v>
      </c>
      <c r="J296" t="s">
        <v>841</v>
      </c>
      <c r="K296" t="s">
        <v>42</v>
      </c>
      <c r="L296" s="3">
        <v>47660</v>
      </c>
      <c r="M296" s="3">
        <v>47622</v>
      </c>
      <c r="N296" t="s">
        <v>2987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2988</v>
      </c>
      <c r="C315" t="s">
        <v>2989</v>
      </c>
      <c r="D315" s="3">
        <v>33500</v>
      </c>
      <c r="E315" t="s">
        <v>833</v>
      </c>
      <c r="G315" s="3">
        <v>45854</v>
      </c>
      <c r="H315" t="s">
        <v>2990</v>
      </c>
      <c r="J315" t="s">
        <v>841</v>
      </c>
      <c r="K315" t="s">
        <v>36</v>
      </c>
      <c r="L315" s="3">
        <v>46678</v>
      </c>
      <c r="M315" s="3">
        <v>46606</v>
      </c>
      <c r="N315" t="s">
        <v>2991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2992</v>
      </c>
      <c r="C317" t="s">
        <v>2993</v>
      </c>
      <c r="D317" s="3">
        <v>34251</v>
      </c>
      <c r="E317" t="s">
        <v>833</v>
      </c>
      <c r="G317" s="3">
        <v>45874</v>
      </c>
      <c r="H317" t="s">
        <v>2994</v>
      </c>
      <c r="J317" t="s">
        <v>846</v>
      </c>
      <c r="K317" t="s">
        <v>50</v>
      </c>
      <c r="L317" s="3">
        <v>1</v>
      </c>
      <c r="M317" s="3">
        <v>1</v>
      </c>
      <c r="N317" t="s">
        <v>2995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2996</v>
      </c>
      <c r="C349" t="s">
        <v>2997</v>
      </c>
      <c r="D349" s="3">
        <v>37799</v>
      </c>
      <c r="E349" t="s">
        <v>833</v>
      </c>
      <c r="G349" s="3">
        <v>45860</v>
      </c>
      <c r="H349" t="s">
        <v>2998</v>
      </c>
      <c r="J349" t="s">
        <v>841</v>
      </c>
      <c r="K349" t="s">
        <v>44</v>
      </c>
      <c r="L349" s="3">
        <v>1</v>
      </c>
      <c r="M349" s="3">
        <v>1</v>
      </c>
      <c r="N349" t="s">
        <v>2999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3000</v>
      </c>
      <c r="C398" t="s">
        <v>3001</v>
      </c>
      <c r="D398" s="3">
        <v>28890</v>
      </c>
      <c r="E398" t="s">
        <v>833</v>
      </c>
      <c r="G398" s="3">
        <v>45874</v>
      </c>
      <c r="H398" t="s">
        <v>3002</v>
      </c>
      <c r="J398" t="s">
        <v>2967</v>
      </c>
      <c r="K398" t="s">
        <v>48</v>
      </c>
      <c r="L398" s="3">
        <v>1</v>
      </c>
      <c r="M398" s="3">
        <v>1</v>
      </c>
      <c r="N398" t="s">
        <v>3003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3004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3005</v>
      </c>
      <c r="J448" t="s">
        <v>841</v>
      </c>
      <c r="K448" t="s">
        <v>46</v>
      </c>
      <c r="L448" s="3">
        <v>1</v>
      </c>
      <c r="M448" s="3">
        <v>1</v>
      </c>
      <c r="N448" t="s">
        <v>3006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3007</v>
      </c>
      <c r="D466" s="3">
        <v>26685</v>
      </c>
      <c r="E466" t="s">
        <v>833</v>
      </c>
      <c r="G466" s="3">
        <v>42975</v>
      </c>
      <c r="H466" t="s">
        <v>3008</v>
      </c>
      <c r="J466" t="s">
        <v>2967</v>
      </c>
      <c r="K466" t="s">
        <v>38</v>
      </c>
      <c r="L466" s="3">
        <v>46565</v>
      </c>
      <c r="M466" s="3">
        <v>46494</v>
      </c>
      <c r="N466" t="s">
        <v>3009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3010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3011</v>
      </c>
      <c r="J511" t="s">
        <v>841</v>
      </c>
      <c r="K511" t="s">
        <v>36</v>
      </c>
      <c r="L511" s="3">
        <v>47659</v>
      </c>
      <c r="M511" s="3">
        <v>47596</v>
      </c>
      <c r="N511" t="s">
        <v>3012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3013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3014</v>
      </c>
      <c r="J518" t="s">
        <v>841</v>
      </c>
      <c r="K518" t="s">
        <v>46</v>
      </c>
      <c r="L518" s="3">
        <v>47678</v>
      </c>
      <c r="M518" s="3">
        <v>47594</v>
      </c>
      <c r="N518" t="s">
        <v>3015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3016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3017</v>
      </c>
      <c r="J532" t="s">
        <v>841</v>
      </c>
      <c r="K532" t="s">
        <v>42</v>
      </c>
      <c r="L532" s="3">
        <v>47673</v>
      </c>
      <c r="M532" s="3">
        <v>47568</v>
      </c>
      <c r="N532" t="s">
        <v>3018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3019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3020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3021</v>
      </c>
      <c r="C564" t="s">
        <v>3022</v>
      </c>
      <c r="D564" s="3">
        <v>36225</v>
      </c>
      <c r="E564" t="s">
        <v>833</v>
      </c>
      <c r="G564" s="3">
        <v>45840</v>
      </c>
      <c r="H564" t="s">
        <v>3023</v>
      </c>
      <c r="J564" t="s">
        <v>841</v>
      </c>
      <c r="K564" t="s">
        <v>42</v>
      </c>
      <c r="L564" s="3">
        <v>47538</v>
      </c>
      <c r="M564" s="3">
        <v>47243</v>
      </c>
      <c r="N564" t="s">
        <v>3024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3025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3026</v>
      </c>
      <c r="J570" t="s">
        <v>841</v>
      </c>
      <c r="K570" t="s">
        <v>42</v>
      </c>
      <c r="L570" s="3">
        <v>47679</v>
      </c>
      <c r="M570" s="3">
        <v>47636</v>
      </c>
      <c r="N570" t="s">
        <v>3027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2025-08-26T10:35:52Z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