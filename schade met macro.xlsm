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15" documentId="13_ncr:1_{10FCACA5-8197-478D-90D3-5F83063FB753}" xr6:coauthVersionLast="47" xr6:coauthVersionMax="47" xr10:uidLastSave="{1FCE06E4-8CBC-4125-8656-B8EE1ECB7F8D}"/>
  <bookViews>
    <workbookView minimized="1" xWindow="2340" yWindow="2340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45" i="1" l="1"/>
  <c r="D945" i="1"/>
  <c r="E945" i="1"/>
  <c r="S945" i="1"/>
  <c r="Y937" i="1" l="1"/>
  <c r="C944" i="1" l="1"/>
  <c r="B944" i="1" s="1"/>
  <c r="D944" i="1"/>
  <c r="E944" i="1"/>
  <c r="S944" i="1"/>
  <c r="C943" i="1"/>
  <c r="B943" i="1" s="1"/>
  <c r="D943" i="1"/>
  <c r="E943" i="1"/>
  <c r="S943" i="1"/>
  <c r="C942" i="1"/>
  <c r="B942" i="1" s="1"/>
  <c r="D942" i="1"/>
  <c r="E942" i="1"/>
  <c r="S942" i="1"/>
  <c r="C941" i="1"/>
  <c r="B941" i="1" s="1"/>
  <c r="D941" i="1"/>
  <c r="E941" i="1"/>
  <c r="S941" i="1"/>
  <c r="C940" i="1"/>
  <c r="B940" i="1" s="1"/>
  <c r="D940" i="1"/>
  <c r="E940" i="1"/>
  <c r="S940" i="1"/>
  <c r="C939" i="1"/>
  <c r="D939" i="1"/>
  <c r="E939" i="1"/>
  <c r="S939" i="1"/>
  <c r="C938" i="1"/>
  <c r="D938" i="1"/>
  <c r="E938" i="1"/>
  <c r="S938" i="1"/>
  <c r="C937" i="1"/>
  <c r="B937" i="1" s="1"/>
  <c r="D937" i="1"/>
  <c r="E937" i="1"/>
  <c r="S937" i="1"/>
  <c r="C936" i="1"/>
  <c r="B936" i="1" s="1"/>
  <c r="D936" i="1"/>
  <c r="E936" i="1"/>
  <c r="S936" i="1"/>
  <c r="C935" i="1"/>
  <c r="D935" i="1"/>
  <c r="E935" i="1"/>
  <c r="S935" i="1"/>
  <c r="C934" i="1"/>
  <c r="B934" i="1" s="1"/>
  <c r="D934" i="1"/>
  <c r="E934" i="1"/>
  <c r="S934" i="1"/>
  <c r="C924" i="1"/>
  <c r="B924" i="1" s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B931" i="1" s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9" i="1" l="1"/>
  <c r="B938" i="1"/>
  <c r="B935" i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<sst xmlns="http://schemas.openxmlformats.org/spreadsheetml/2006/main" count="8793" uniqueCount="3767">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</sst>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NumberFormat="1"/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10</v>
          </cell>
          <cell r="B2" t="str">
            <v>Christoff Rotty</v>
          </cell>
          <cell r="D2">
            <v>32</v>
          </cell>
        </row>
        <row r="3">
          <cell r="A3">
            <v>17</v>
          </cell>
          <cell r="B3" t="str">
            <v>Bart Van der Beken</v>
          </cell>
          <cell r="D3">
            <v>28</v>
          </cell>
        </row>
        <row r="4">
          <cell r="A4">
            <v>14</v>
          </cell>
          <cell r="B4" t="str">
            <v>Els Dewulf</v>
          </cell>
          <cell r="D4">
            <v>24</v>
          </cell>
        </row>
        <row r="5">
          <cell r="A5">
            <v>9</v>
          </cell>
          <cell r="B5" t="str">
            <v>Els Vanhoe</v>
          </cell>
          <cell r="D5">
            <v>29</v>
          </cell>
        </row>
        <row r="6">
          <cell r="A6">
            <v>9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18</v>
          </cell>
        </row>
        <row r="8">
          <cell r="A8">
            <v>11</v>
          </cell>
          <cell r="B8" t="str">
            <v>Lucie Vande Velde</v>
          </cell>
          <cell r="D8">
            <v>26</v>
          </cell>
        </row>
        <row r="9">
          <cell r="A9">
            <v>10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45" totalsRowShown="0" headerRowDxfId="10">
  <autoFilter ref="A1:AA945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10</v>
      </c>
      <c r="J42" s="13" t="str">
        <f>'[1]Ingeplande per TC'!$B$2</f>
        <v>Christoff Rotty</v>
      </c>
      <c r="K42" s="13"/>
      <c r="L42" s="25"/>
      <c r="M42" s="13">
        <f>'[1]Ingeplande per TC'!$D$2</f>
        <v>32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17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14</v>
      </c>
      <c r="J44" s="13" t="str">
        <f>'[1]Ingeplande per TC'!$B$4</f>
        <v>Els Dewulf</v>
      </c>
      <c r="K44" s="13"/>
      <c r="L44" s="25"/>
      <c r="M44" s="13">
        <f>'[1]Ingeplande per TC'!$D$4</f>
        <v>24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29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18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26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220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45"/>
  <sheetViews>
    <sheetView tabSelected="1" zoomScale="85" zoomScaleNormal="85" workbookViewId="0">
      <pane ySplit="1" topLeftCell="A917" activePane="bottomLeft" state="frozen"/>
      <selection activeCell="F1" sqref="F1"/>
      <selection pane="bottomLeft" activeCell="X945" sqref="X94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25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25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25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36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36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25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3754</v>
      </c>
      <c r="V936" s="37"/>
      <c r="W936" s="37"/>
      <c r="X936" t="s">
        <v>3512</v>
      </c>
      <c r="Y936" t="s">
        <v>3755</v>
      </c>
      <c r="Z936" s="2">
        <v>5935</v>
      </c>
      <c r="AA936" s="43" t="s">
        <v>3558</v>
      </c>
    </row>
    <row r="937" spans="1:27" x14ac:dyDescent="0.25">
      <c r="A937">
        <v>42143</v>
      </c>
      <c r="B937" t="str">
        <f>_xlfn.CONCAT(bron[[#This Row],[personeelsnr]]," ",bron[[#This Row],[achternaam]]," ",bron[[#This Row],[voornaam]])</f>
        <v>42143 Rahoens Christ</v>
      </c>
      <c r="C937" t="str">
        <f>VLOOKUP(bron[[#This Row],[personeelsnr]],'data hastus'!$A:$C,2,0)</f>
        <v>Rahoens</v>
      </c>
      <c r="D937" t="str">
        <f>VLOOKUP(bron[[#This Row],[personeelsnr]],'data hastus'!$A:$C,3,0)</f>
        <v>Christ</v>
      </c>
      <c r="E937" s="2" t="str">
        <f>VLOOKUP(bron[[#This Row],[personeelsnr]],'data hastus'!A:K,11,FALSE)</f>
        <v>Bart Van Der Beken</v>
      </c>
      <c r="F937" s="10"/>
      <c r="G937" s="39"/>
      <c r="H937" s="39"/>
      <c r="I937" s="39"/>
      <c r="S937" s="36">
        <f>SUM(bron[[#This Row],[Januari]:[December]])</f>
        <v>0</v>
      </c>
      <c r="T937" s="41">
        <v>45964</v>
      </c>
      <c r="U937" s="5" t="s">
        <v>3756</v>
      </c>
      <c r="V937" s="37"/>
      <c r="W937" s="37"/>
      <c r="X937" t="s">
        <v>3512</v>
      </c>
      <c r="Y937" t="str">
        <f>Y936</f>
        <v>Port Arthurlaan</v>
      </c>
      <c r="Z937" s="2">
        <v>550821</v>
      </c>
      <c r="AA937" s="43" t="s">
        <v>3631</v>
      </c>
    </row>
    <row r="938" spans="1:27" x14ac:dyDescent="0.25">
      <c r="A938">
        <v>41384</v>
      </c>
      <c r="B938" t="str">
        <f>_xlfn.CONCAT(bron[[#This Row],[personeelsnr]]," ",bron[[#This Row],[achternaam]]," ",bron[[#This Row],[voornaam]])</f>
        <v>41384 Hillaert Thimo</v>
      </c>
      <c r="C938" t="str">
        <f>VLOOKUP(bron[[#This Row],[personeelsnr]],'data hastus'!$A:$C,2,0)</f>
        <v>Hillaert</v>
      </c>
      <c r="D938" t="str">
        <f>VLOOKUP(bron[[#This Row],[personeelsnr]],'data hastus'!$A:$C,3,0)</f>
        <v>Thimo</v>
      </c>
      <c r="E938" s="2" t="str">
        <f>VLOOKUP(bron[[#This Row],[personeelsnr]],'data hastus'!A:K,11,FALSE)</f>
        <v>Christoff Rotty</v>
      </c>
      <c r="F938" s="10"/>
      <c r="G938" s="39"/>
      <c r="H938" s="39"/>
      <c r="I938" s="39"/>
      <c r="S938" s="36">
        <f>SUM(bron[[#This Row],[Januari]:[December]])</f>
        <v>0</v>
      </c>
      <c r="T938" s="41">
        <v>45962</v>
      </c>
      <c r="U938" s="5" t="s">
        <v>3757</v>
      </c>
      <c r="V938" s="37"/>
      <c r="W938" s="37"/>
      <c r="X938" t="s">
        <v>3512</v>
      </c>
      <c r="Y938" t="s">
        <v>3636</v>
      </c>
      <c r="Z938" s="2">
        <v>5916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3758</v>
      </c>
      <c r="V939" s="37"/>
      <c r="W939" s="37"/>
      <c r="X939" t="s">
        <v>3512</v>
      </c>
      <c r="Y939" t="s">
        <v>3759</v>
      </c>
      <c r="Z939" s="2">
        <v>5938</v>
      </c>
      <c r="AA939" s="43" t="s">
        <v>3558</v>
      </c>
    </row>
    <row r="940" spans="1:27" x14ac:dyDescent="0.25">
      <c r="A940">
        <v>39651</v>
      </c>
      <c r="B940" t="str">
        <f>_xlfn.CONCAT(bron[[#This Row],[personeelsnr]]," ",bron[[#This Row],[achternaam]]," ",bron[[#This Row],[voornaam]])</f>
        <v>39651 Kallenbach Sunny</v>
      </c>
      <c r="C940" t="str">
        <f>VLOOKUP(bron[[#This Row],[personeelsnr]],'data hastus'!$A:$C,2,0)</f>
        <v>Kallenbach</v>
      </c>
      <c r="D940" t="str">
        <f>VLOOKUP(bron[[#This Row],[personeelsnr]],'data hastus'!$A:$C,3,0)</f>
        <v>Sunny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3760</v>
      </c>
      <c r="V940" s="37"/>
      <c r="W940" s="37"/>
      <c r="X940" t="s">
        <v>3513</v>
      </c>
      <c r="Y940" t="s">
        <v>737</v>
      </c>
      <c r="Z940" s="2">
        <v>5263</v>
      </c>
      <c r="AA940" s="43" t="s">
        <v>3558</v>
      </c>
    </row>
    <row r="941" spans="1:27" x14ac:dyDescent="0.25">
      <c r="A941">
        <v>34328</v>
      </c>
      <c r="B941" t="str">
        <f>_xlfn.CONCAT(bron[[#This Row],[personeelsnr]]," ",bron[[#This Row],[achternaam]]," ",bron[[#This Row],[voornaam]])</f>
        <v>34328 Kerremans Jürgen</v>
      </c>
      <c r="C941" t="str">
        <f>VLOOKUP(bron[[#This Row],[personeelsnr]],'data hastus'!$A:$C,2,0)</f>
        <v>Kerremans</v>
      </c>
      <c r="D941" t="str">
        <f>VLOOKUP(bron[[#This Row],[personeelsnr]],'data hastus'!$A:$C,3,0)</f>
        <v>Jürgen</v>
      </c>
      <c r="E941" s="2" t="str">
        <f>VLOOKUP(bron[[#This Row],[personeelsnr]],'data hastus'!A:K,11,FALSE)</f>
        <v>Kenneth De Rick</v>
      </c>
      <c r="F941" s="10"/>
      <c r="G941" s="39"/>
      <c r="H941" s="39"/>
      <c r="I941" s="39"/>
      <c r="S941" s="36">
        <f>SUM(bron[[#This Row],[Januari]:[December]])</f>
        <v>0</v>
      </c>
      <c r="T941" s="41">
        <v>45959</v>
      </c>
      <c r="U941" s="5" t="s">
        <v>3761</v>
      </c>
      <c r="V941" s="37"/>
      <c r="W941" s="37"/>
      <c r="X941" t="s">
        <v>3547</v>
      </c>
      <c r="Y941" t="s">
        <v>5</v>
      </c>
      <c r="Z941" s="2">
        <v>6334</v>
      </c>
      <c r="AA941" s="43" t="s">
        <v>3558</v>
      </c>
    </row>
    <row r="942" spans="1:27" x14ac:dyDescent="0.25">
      <c r="A942">
        <v>11023</v>
      </c>
      <c r="B942" t="str">
        <f>_xlfn.CONCAT(bron[[#This Row],[personeelsnr]]," ",bron[[#This Row],[achternaam]]," ",bron[[#This Row],[voornaam]])</f>
        <v>11023 Goethals Jeffrey</v>
      </c>
      <c r="C942" t="str">
        <f>VLOOKUP(bron[[#This Row],[personeelsnr]],'data hastus'!$A:$C,2,0)</f>
        <v>Goethals</v>
      </c>
      <c r="D942" t="str">
        <f>VLOOKUP(bron[[#This Row],[personeelsnr]],'data hastus'!$A:$C,3,0)</f>
        <v>Jeffrey</v>
      </c>
      <c r="E942" s="2" t="str">
        <f>VLOOKUP(bron[[#This Row],[personeelsnr]],'data hastus'!A:K,11,FALSE)</f>
        <v>Els Vanhoe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3762</v>
      </c>
      <c r="V942" s="37"/>
      <c r="W942" s="37"/>
      <c r="X942" t="s">
        <v>3548</v>
      </c>
      <c r="Y942" t="s">
        <v>265</v>
      </c>
      <c r="Z942" s="2">
        <v>6364</v>
      </c>
      <c r="AA942" s="43" t="s">
        <v>3558</v>
      </c>
    </row>
    <row r="943" spans="1:27" x14ac:dyDescent="0.25">
      <c r="A943">
        <v>38938</v>
      </c>
      <c r="B943" t="str">
        <f>_xlfn.CONCAT(bron[[#This Row],[personeelsnr]]," ",bron[[#This Row],[achternaam]]," ",bron[[#This Row],[voornaam]])</f>
        <v>38938 Sedighi Hamid</v>
      </c>
      <c r="C943" t="str">
        <f>VLOOKUP(bron[[#This Row],[personeelsnr]],'data hastus'!$A:$C,2,0)</f>
        <v>Sedighi</v>
      </c>
      <c r="D943" t="str">
        <f>VLOOKUP(bron[[#This Row],[personeelsnr]],'data hastus'!$A:$C,3,0)</f>
        <v>Hamid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45967</v>
      </c>
      <c r="U943" s="5" t="s">
        <v>3763</v>
      </c>
      <c r="V943" s="37"/>
      <c r="W943" s="37"/>
      <c r="X943" t="s">
        <v>3547</v>
      </c>
      <c r="Y943" t="s">
        <v>169</v>
      </c>
      <c r="Z943" s="2">
        <v>6318</v>
      </c>
      <c r="AA943" s="43" t="s">
        <v>3558</v>
      </c>
    </row>
    <row r="944" spans="1:27" x14ac:dyDescent="0.25">
      <c r="A944">
        <v>14072</v>
      </c>
      <c r="B944" t="str">
        <f>_xlfn.CONCAT(bron[[#This Row],[personeelsnr]]," ",bron[[#This Row],[achternaam]]," ",bron[[#This Row],[voornaam]])</f>
        <v>14072 Vervoort Koen</v>
      </c>
      <c r="C944" t="str">
        <f>VLOOKUP(bron[[#This Row],[personeelsnr]],'data hastus'!$A:$C,2,0)</f>
        <v>Vervoort</v>
      </c>
      <c r="D944" t="str">
        <f>VLOOKUP(bron[[#This Row],[personeelsnr]],'data hastus'!$A:$C,3,0)</f>
        <v>Koen</v>
      </c>
      <c r="E944" s="2" t="str">
        <f>VLOOKUP(bron[[#This Row],[personeelsnr]],'data hastus'!A:K,11,FALSE)</f>
        <v>Lucie Vande Velde</v>
      </c>
      <c r="F944" s="10"/>
      <c r="G944" s="39"/>
      <c r="H944" s="39"/>
      <c r="I944" s="39"/>
      <c r="S944" s="36">
        <f>SUM(bron[[#This Row],[Januari]:[December]])</f>
        <v>0</v>
      </c>
      <c r="T944" s="41">
        <v>45961</v>
      </c>
      <c r="U944" s="5" t="s">
        <v>3764</v>
      </c>
      <c r="V944" s="37"/>
      <c r="W944" s="37"/>
      <c r="X944" t="s">
        <v>3548</v>
      </c>
      <c r="Y944" t="s">
        <v>10</v>
      </c>
      <c r="Z944" s="2">
        <v>6363</v>
      </c>
      <c r="AA944" s="43" t="s">
        <v>3558</v>
      </c>
    </row>
    <row r="945" spans="1:27" x14ac:dyDescent="0.25">
      <c r="A945">
        <v>40110</v>
      </c>
      <c r="B945" s="44"/>
      <c r="C945" t="str">
        <f>VLOOKUP(bron[[#This Row],[personeelsnr]],'data hastus'!$A:$C,2,0)</f>
        <v>Vanlerberghe</v>
      </c>
      <c r="D945" t="str">
        <f>VLOOKUP(bron[[#This Row],[personeelsnr]],'data hastus'!$A:$C,3,0)</f>
        <v>Sandra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5">
        <f>SUM(bron[[#This Row],[Januari]:[December]])</f>
        <v>0</v>
      </c>
      <c r="T945" s="41">
        <v>45965</v>
      </c>
      <c r="U945" s="5" t="s">
        <v>3766</v>
      </c>
      <c r="V945" s="37"/>
      <c r="W945" s="37"/>
      <c r="X945" t="s">
        <v>3511</v>
      </c>
      <c r="Y945" t="s">
        <v>3765</v>
      </c>
      <c r="Z945" s="2">
        <v>5265</v>
      </c>
      <c r="AA945" s="43" t="s">
        <v>3558</v>
      </c>
    </row>
  </sheetData>
  <sheetProtection sort="0" autoFilter="0"/>
  <phoneticPr fontId="1" type="noConversion"/>
  <conditionalFormatting sqref="F2:F945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2025-11-06T07:51:44Z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