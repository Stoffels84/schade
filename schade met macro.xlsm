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9076\OneDrive - DeLijn\CTM-OT Gent Stad - Teamcoaches - Alle info chauffeurs\actieplan schade\"/>
    </mc:Choice>
  </mc:AlternateContent>
  <xr:revisionPtr revIDLastSave="0" documentId="13_ncr:1_{10FCACA5-8197-478D-90D3-5F83063FB753}" xr6:coauthVersionLast="47" xr6:coauthVersionMax="47" xr10:uidLastSave="{00000000-0000-0000-0000-00000000000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D908" i="1"/>
  <c r="E908" i="1"/>
  <c r="S908" i="1"/>
  <c r="C907" i="1"/>
  <c r="B907" i="1" s="1"/>
  <c r="D907" i="1"/>
  <c r="E907" i="1"/>
  <c r="S907" i="1"/>
  <c r="C906" i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8" i="1" l="1"/>
  <c r="B906" i="1"/>
  <c r="B882" i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<sst xmlns="http://schemas.openxmlformats.org/spreadsheetml/2006/main" count="8650" uniqueCount="3721">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</sst>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https://delijn.sharepoint.com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10" sqref="A91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U905" s="5" t="s">
        <v>3716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25">
      <c r="A906">
        <v>40138</v>
      </c>
      <c r="B906" t="str">
        <f>_xlfn.CONCAT(bron[[#This Row],[personeelsnr]]," ",bron[[#This Row],[achternaam]]," ",bron[[#This Row],[voornaam]])</f>
        <v>40138 Moerman Tjimmy</v>
      </c>
      <c r="C906" t="str">
        <f>VLOOKUP(bron[[#This Row],[personeelsnr]],'data hastus'!$A:$C,2,0)</f>
        <v>Moerman</v>
      </c>
      <c r="D906" t="str">
        <f>VLOOKUP(bron[[#This Row],[personeelsnr]],'data hastus'!$A:$C,3,0)</f>
        <v>Tjimmy</v>
      </c>
      <c r="E906" s="2" t="str">
        <f>VLOOKUP(bron[[#This Row],[personeelsnr]],'data hastus'!A:K,11,FALSE)</f>
        <v>Christoff Rotty</v>
      </c>
      <c r="G906" s="39"/>
      <c r="H906" s="39"/>
      <c r="I906" s="39"/>
      <c r="S906" s="36">
        <f>SUM(bron[[#This Row],[Januari]:[December]])</f>
        <v>0</v>
      </c>
      <c r="T906" s="41">
        <v>45939</v>
      </c>
      <c r="U906" s="5" t="s">
        <v>3717</v>
      </c>
      <c r="V906" s="37"/>
      <c r="W906" s="37"/>
      <c r="X906" t="s">
        <v>3513</v>
      </c>
      <c r="Y906" t="s">
        <v>236</v>
      </c>
      <c r="Z906" s="2">
        <v>5041</v>
      </c>
      <c r="AA906" s="43" t="s">
        <v>3559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20542</v>
      </c>
      <c r="B909" t="str">
        <f>_xlfn.CONCAT(bron[[#This Row],[personeelsnr]]," ",bron[[#This Row],[achternaam]]," ",bron[[#This Row],[voornaam]])</f>
        <v>20542 Kizilmese Emra</v>
      </c>
      <c r="C909" t="str">
        <f>VLOOKUP(bron[[#This Row],[personeelsnr]],'data hastus'!$A:$C,2,0)</f>
        <v>Kizilmese</v>
      </c>
      <c r="D909" t="str">
        <f>VLOOKUP(bron[[#This Row],[personeelsnr]],'data hastus'!$A:$C,3,0)</f>
        <v>Emra</v>
      </c>
      <c r="E909" s="2" t="str">
        <f>VLOOKUP(bron[[#This Row],[personeelsnr]],'data hastus'!A:K,11,FALSE)</f>
        <v>Els Dewulf</v>
      </c>
      <c r="G909" s="39"/>
      <c r="H909" s="39"/>
      <c r="I909" s="39"/>
      <c r="S909" s="36">
        <f>SUM(bron[[#This Row],[Januari]:[December]])</f>
        <v>0</v>
      </c>
      <c r="T909" s="41">
        <v>45940</v>
      </c>
      <c r="U909" s="5" t="s">
        <v>3720</v>
      </c>
      <c r="V909" s="37"/>
      <c r="W909" s="37"/>
      <c r="X909" t="s">
        <v>3513</v>
      </c>
      <c r="Y909" t="s">
        <v>25</v>
      </c>
      <c r="Z909" s="2">
        <v>5235</v>
      </c>
      <c r="AA909" s="43" t="s">
        <v>3558</v>
      </c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Een nieuw document maken." ma:contentTypeScope="" ma:versionID="1fbfde576c48415f7abc588b2968e97a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b43b26f0a0c9dd4ea160fe5b972d997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D96F260-92E6-4B59-9E6E-25BAF55D5A7C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2025-10-20T07:22:07Z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