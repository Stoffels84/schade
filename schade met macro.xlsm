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7" documentId="8_{21511603-A870-4D4C-809B-4C28D285AF8F}" xr6:coauthVersionLast="47" xr6:coauthVersionMax="47" xr10:uidLastSave="{BD883AF7-6E89-47D2-82E4-D119A0E23D2A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<sst xmlns="http://schemas.openxmlformats.org/spreadsheetml/2006/main" count="8483" uniqueCount="3659">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</sst>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14</v>
          </cell>
          <cell r="B3" t="str">
            <v>Bart Van der Beken</v>
          </cell>
          <cell r="D3">
            <v>21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20</v>
          </cell>
        </row>
        <row r="6">
          <cell r="A6">
            <v>9</v>
          </cell>
          <cell r="B6" t="str">
            <v>Dominique De Clercq</v>
          </cell>
          <cell r="D6">
            <v>32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1" totalsRowShown="0">
  <autoFilter ref="A1:C41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table" Target="../tables/table3.xm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42578125" style="27" bestFit="1" customWidth="1"/>
    <col min="10" max="10" width="16.28515625" style="27" bestFit="1" customWidth="1"/>
    <col min="11" max="11" width="5.5703125" style="27" bestFit="1" customWidth="1"/>
    <col min="12" max="12" width="10.140625" style="27" bestFit="1" customWidth="1"/>
    <col min="13" max="13" width="18.85546875" style="27" bestFit="1" customWidth="1"/>
    <col min="14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1" t="s">
        <v>45</v>
      </c>
      <c r="D26">
        <v>3</v>
      </c>
      <c r="F26" s="2" t="s">
        <v>46</v>
      </c>
      <c r="G26">
        <v>5</v>
      </c>
    </row>
    <row r="27" spans="2:11" x14ac:dyDescent="0.25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1" t="s">
        <v>85</v>
      </c>
      <c r="D40">
        <v>2</v>
      </c>
      <c r="F40" s="2" t="s">
        <v>86</v>
      </c>
      <c r="G40">
        <v>2</v>
      </c>
    </row>
    <row r="41" spans="3:15" x14ac:dyDescent="0.25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21</v>
      </c>
      <c r="N43" s="13" t="str">
        <f>'[1]Ingeplande per TC'!$B$3</f>
        <v>Bart Van der Beken</v>
      </c>
      <c r="O43" s="13"/>
    </row>
    <row r="44" spans="3:15" x14ac:dyDescent="0.25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20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32</v>
      </c>
      <c r="N46" s="13" t="str">
        <f>'[1]Ingeplande per TC'!$B$6</f>
        <v>Dominique De Clercq</v>
      </c>
      <c r="O46" s="13"/>
    </row>
    <row r="47" spans="3:15" x14ac:dyDescent="0.25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175</v>
      </c>
      <c r="N50" s="14" t="s">
        <v>109</v>
      </c>
      <c r="O50" s="14"/>
    </row>
    <row r="51" spans="3:15" x14ac:dyDescent="0.25">
      <c r="C51" s="31" t="s">
        <v>110</v>
      </c>
      <c r="D51">
        <v>2</v>
      </c>
      <c r="F51" s="2" t="s">
        <v>111</v>
      </c>
      <c r="G51">
        <v>2</v>
      </c>
    </row>
    <row r="52" spans="3:15" x14ac:dyDescent="0.25">
      <c r="C52" s="34" t="s">
        <v>112</v>
      </c>
      <c r="D52">
        <v>2</v>
      </c>
      <c r="F52" s="2" t="s">
        <v>113</v>
      </c>
      <c r="G52">
        <v>2</v>
      </c>
    </row>
    <row r="53" spans="3:15" x14ac:dyDescent="0.25">
      <c r="C53" s="31" t="s">
        <v>114</v>
      </c>
      <c r="D53">
        <v>2</v>
      </c>
      <c r="F53" s="2" t="s">
        <v>115</v>
      </c>
      <c r="G53">
        <v>2</v>
      </c>
    </row>
    <row r="54" spans="3:15" x14ac:dyDescent="0.25">
      <c r="C54" s="34" t="s">
        <v>116</v>
      </c>
      <c r="D54">
        <v>2</v>
      </c>
      <c r="F54" s="2" t="s">
        <v>117</v>
      </c>
      <c r="G54">
        <v>2</v>
      </c>
    </row>
    <row r="55" spans="3:15" x14ac:dyDescent="0.25">
      <c r="C55" s="34" t="s">
        <v>118</v>
      </c>
      <c r="D55">
        <v>2</v>
      </c>
      <c r="F55" s="2" t="s">
        <v>119</v>
      </c>
      <c r="G55">
        <v>2</v>
      </c>
    </row>
    <row r="56" spans="3:15" x14ac:dyDescent="0.25">
      <c r="C56" s="34" t="s">
        <v>120</v>
      </c>
      <c r="D56">
        <v>2</v>
      </c>
      <c r="F56" s="2" t="s">
        <v>121</v>
      </c>
      <c r="G56">
        <v>2</v>
      </c>
    </row>
    <row r="57" spans="3:15" x14ac:dyDescent="0.25">
      <c r="C57" s="31" t="s">
        <v>122</v>
      </c>
      <c r="D57">
        <v>2</v>
      </c>
      <c r="F57" s="2" t="s">
        <v>123</v>
      </c>
      <c r="G57">
        <v>2</v>
      </c>
    </row>
    <row r="58" spans="3:15" x14ac:dyDescent="0.25">
      <c r="C58" s="31" t="s">
        <v>124</v>
      </c>
      <c r="D58">
        <v>2</v>
      </c>
      <c r="F58" s="2" t="s">
        <v>125</v>
      </c>
      <c r="G58">
        <v>2</v>
      </c>
    </row>
    <row r="59" spans="3:15" x14ac:dyDescent="0.25">
      <c r="C59" s="34" t="s">
        <v>126</v>
      </c>
      <c r="D59">
        <v>2</v>
      </c>
      <c r="F59" s="2" t="s">
        <v>127</v>
      </c>
      <c r="G59">
        <v>2</v>
      </c>
    </row>
    <row r="60" spans="3:15" x14ac:dyDescent="0.25">
      <c r="C60" s="31" t="s">
        <v>128</v>
      </c>
      <c r="D60">
        <v>2</v>
      </c>
      <c r="F60" s="2" t="s">
        <v>129</v>
      </c>
      <c r="G60">
        <v>2</v>
      </c>
    </row>
    <row r="61" spans="3:15" x14ac:dyDescent="0.25">
      <c r="C61" s="31" t="s">
        <v>130</v>
      </c>
      <c r="D61">
        <v>2</v>
      </c>
      <c r="F61" s="2" t="s">
        <v>131</v>
      </c>
      <c r="G61">
        <v>2</v>
      </c>
    </row>
    <row r="62" spans="3:15" x14ac:dyDescent="0.25">
      <c r="C62" s="34" t="s">
        <v>132</v>
      </c>
      <c r="D62">
        <v>2</v>
      </c>
      <c r="F62" s="2" t="s">
        <v>133</v>
      </c>
      <c r="G62">
        <v>2</v>
      </c>
    </row>
    <row r="63" spans="3:15" x14ac:dyDescent="0.25">
      <c r="C63" s="34" t="s">
        <v>134</v>
      </c>
      <c r="D63">
        <v>2</v>
      </c>
      <c r="F63" s="2" t="s">
        <v>135</v>
      </c>
      <c r="G63">
        <v>2</v>
      </c>
    </row>
    <row r="64" spans="3:15" x14ac:dyDescent="0.25">
      <c r="C64" s="31" t="s">
        <v>136</v>
      </c>
      <c r="D64">
        <v>2</v>
      </c>
      <c r="F64" s="2" t="s">
        <v>137</v>
      </c>
      <c r="G64">
        <v>1</v>
      </c>
    </row>
    <row r="65" spans="3:7" x14ac:dyDescent="0.25">
      <c r="C65" s="34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8" activePane="bottomLeft" state="frozen"/>
      <selection activeCell="F1" sqref="F1"/>
      <selection pane="bottomLeft" activeCell="AA888" sqref="AA88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3644</v>
      </c>
      <c r="V878" s="37"/>
      <c r="W878" s="37"/>
      <c r="X878" t="s">
        <v>3514</v>
      </c>
      <c r="Y878" t="s">
        <v>610</v>
      </c>
      <c r="Z878" s="2">
        <v>5768</v>
      </c>
      <c r="AA878" s="43" t="s">
        <v>3560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3645</v>
      </c>
      <c r="V879" s="37"/>
      <c r="W879" s="37"/>
      <c r="X879" t="s">
        <v>3514</v>
      </c>
      <c r="Y879" t="s">
        <v>3504</v>
      </c>
      <c r="Z879" s="2">
        <v>5913</v>
      </c>
      <c r="AA879" s="43" t="s">
        <v>3560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3646</v>
      </c>
      <c r="V880" s="37"/>
      <c r="W880" s="37"/>
      <c r="X880" t="s">
        <v>3515</v>
      </c>
      <c r="Y880" t="s">
        <v>100</v>
      </c>
      <c r="Z880" s="2">
        <v>2201</v>
      </c>
      <c r="AA880" s="43" t="s">
        <v>3561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3647</v>
      </c>
      <c r="V881" s="37"/>
      <c r="W881" s="37"/>
      <c r="X881" t="s">
        <v>3514</v>
      </c>
      <c r="Y881" t="s">
        <v>243</v>
      </c>
      <c r="Z881" s="2">
        <v>550822</v>
      </c>
      <c r="AA881" s="43" t="s">
        <v>3560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3648</v>
      </c>
      <c r="V882" s="37"/>
      <c r="W882" s="37"/>
      <c r="X882" t="s">
        <v>3549</v>
      </c>
      <c r="Y882" t="s">
        <v>625</v>
      </c>
      <c r="Z882" s="2">
        <v>6312</v>
      </c>
      <c r="AA882" s="43" t="s">
        <v>3560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3649</v>
      </c>
      <c r="V883" s="37"/>
      <c r="W883" s="37"/>
      <c r="X883" t="s">
        <v>3515</v>
      </c>
      <c r="Y883" t="s">
        <v>3650</v>
      </c>
      <c r="Z883" s="2">
        <v>2191</v>
      </c>
      <c r="AA883" s="43" t="s">
        <v>3560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3651</v>
      </c>
      <c r="V884" s="37"/>
      <c r="W884" s="37"/>
      <c r="X884" t="s">
        <v>3514</v>
      </c>
      <c r="Y884" t="s">
        <v>46</v>
      </c>
      <c r="Z884" s="2">
        <v>5486</v>
      </c>
      <c r="AA884" s="43" t="s">
        <v>3560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3654</v>
      </c>
      <c r="V885" s="37"/>
      <c r="W885" s="37"/>
      <c r="X885" t="s">
        <v>3515</v>
      </c>
      <c r="Y885" t="s">
        <v>51</v>
      </c>
      <c r="Z885" s="2">
        <v>5048</v>
      </c>
      <c r="AA885" s="43" t="s">
        <v>3560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3655</v>
      </c>
      <c r="V886" s="37"/>
      <c r="W886" s="37"/>
      <c r="X886" t="s">
        <v>3549</v>
      </c>
      <c r="Y886" t="s">
        <v>3656</v>
      </c>
      <c r="Z886" s="2">
        <v>6325</v>
      </c>
      <c r="AA886" s="43" t="s">
        <v>3561</v>
      </c>
    </row>
    <row r="887" spans="1:27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3657</v>
      </c>
      <c r="V887" s="37"/>
      <c r="W887" s="37"/>
      <c r="X887" t="s">
        <v>3514</v>
      </c>
      <c r="Y887" t="s">
        <v>580</v>
      </c>
      <c r="Z887" s="2">
        <v>2548</v>
      </c>
      <c r="AA887" s="43" t="s">
        <v>3560</v>
      </c>
    </row>
    <row r="888" spans="1:27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3658</v>
      </c>
      <c r="V888" s="37"/>
      <c r="W888" s="37"/>
      <c r="X888" t="s">
        <v>3515</v>
      </c>
      <c r="Y888" t="s">
        <v>5</v>
      </c>
      <c r="Z888" s="2">
        <v>5273</v>
      </c>
      <c r="AA888" s="43" t="s">
        <v>3560</v>
      </c>
    </row>
    <row r="889" spans="1:27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39"/>
      <c r="H889" s="39"/>
      <c r="I889" s="39"/>
      <c r="S889" s="36">
        <f>SUM(bron[[#This Row],[Januari]:[December]])</f>
        <v>0</v>
      </c>
      <c r="V889" s="37"/>
      <c r="W889" s="37"/>
    </row>
    <row r="890" spans="1:27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1:27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1:27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1:27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1:27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1"/>
  <sheetViews>
    <sheetView topLeftCell="A17" workbookViewId="0">
      <selection activeCell="C47" sqref="C4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  <row r="41" spans="1:3" x14ac:dyDescent="0.25">
      <c r="A41">
        <v>10865</v>
      </c>
      <c r="B41" t="s">
        <v>3652</v>
      </c>
      <c r="C41" s="8" t="s">
        <v>3653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</hyperlinks>
  <pageMargins left="0.7" right="0.7" top="0.75" bottom="0.75" header="0.3" footer="0.3"/>
  <tableParts count="1">
    <tablePart r:id="rId4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2025-10-06T13:26:16Z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