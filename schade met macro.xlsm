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22" documentId="8_{21511603-A870-4D4C-809B-4C28D285AF8F}" xr6:coauthVersionLast="47" xr6:coauthVersionMax="47" xr10:uidLastSave="{6D3E6B67-C0B8-46A5-9282-AE4B9CCFE7DC}"/>
  <bookViews>
    <workbookView xWindow="1905" yWindow="1905" windowWidth="21600" windowHeight="11295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10" i="1" l="1"/>
  <c r="B910" i="1" s="1"/>
  <c r="D910" i="1"/>
  <c r="E910" i="1"/>
  <c r="S910" i="1"/>
  <c r="C909" i="1"/>
  <c r="B909" i="1" s="1"/>
  <c r="D909" i="1"/>
  <c r="E909" i="1"/>
  <c r="S909" i="1"/>
  <c r="C908" i="1"/>
  <c r="B908" i="1" s="1"/>
  <c r="D908" i="1"/>
  <c r="E908" i="1"/>
  <c r="S908" i="1"/>
  <c r="C907" i="1"/>
  <c r="B907" i="1" s="1"/>
  <c r="D907" i="1"/>
  <c r="E907" i="1"/>
  <c r="S907" i="1"/>
  <c r="C906" i="1"/>
  <c r="B906" i="1" s="1"/>
  <c r="D906" i="1"/>
  <c r="E906" i="1"/>
  <c r="S906" i="1"/>
  <c r="C905" i="1"/>
  <c r="B905" i="1" s="1"/>
  <c r="D905" i="1"/>
  <c r="E905" i="1"/>
  <c r="S905" i="1"/>
  <c r="C904" i="1"/>
  <c r="B904" i="1" s="1"/>
  <c r="D904" i="1"/>
  <c r="E904" i="1"/>
  <c r="S904" i="1"/>
  <c r="C903" i="1"/>
  <c r="B903" i="1" s="1"/>
  <c r="D903" i="1"/>
  <c r="E903" i="1"/>
  <c r="S903" i="1"/>
  <c r="C902" i="1"/>
  <c r="B902" i="1" s="1"/>
  <c r="D902" i="1"/>
  <c r="E902" i="1"/>
  <c r="S902" i="1"/>
  <c r="C901" i="1"/>
  <c r="B901" i="1" s="1"/>
  <c r="D901" i="1"/>
  <c r="E901" i="1"/>
  <c r="S901" i="1"/>
  <c r="C900" i="1"/>
  <c r="B900" i="1" s="1"/>
  <c r="D900" i="1"/>
  <c r="E900" i="1"/>
  <c r="S900" i="1"/>
  <c r="C899" i="1"/>
  <c r="B899" i="1" s="1"/>
  <c r="D899" i="1"/>
  <c r="E899" i="1"/>
  <c r="S899" i="1"/>
  <c r="C898" i="1"/>
  <c r="B898" i="1" s="1"/>
  <c r="D898" i="1"/>
  <c r="E898" i="1"/>
  <c r="S898" i="1"/>
  <c r="C897" i="1"/>
  <c r="B897" i="1" s="1"/>
  <c r="D897" i="1"/>
  <c r="E897" i="1"/>
  <c r="S897" i="1"/>
  <c r="C896" i="1"/>
  <c r="B896" i="1" s="1"/>
  <c r="D896" i="1"/>
  <c r="E896" i="1"/>
  <c r="S896" i="1"/>
  <c r="C895" i="1"/>
  <c r="B895" i="1" s="1"/>
  <c r="D895" i="1"/>
  <c r="E895" i="1"/>
  <c r="S895" i="1"/>
  <c r="C894" i="1"/>
  <c r="B894" i="1" s="1"/>
  <c r="D894" i="1"/>
  <c r="E894" i="1"/>
  <c r="S894" i="1"/>
  <c r="C893" i="1"/>
  <c r="B893" i="1" s="1"/>
  <c r="D893" i="1"/>
  <c r="E893" i="1"/>
  <c r="S893" i="1"/>
  <c r="C892" i="1"/>
  <c r="B892" i="1" s="1"/>
  <c r="D892" i="1"/>
  <c r="E892" i="1"/>
  <c r="S892" i="1"/>
  <c r="C891" i="1"/>
  <c r="B891" i="1" s="1"/>
  <c r="D891" i="1"/>
  <c r="E891" i="1"/>
  <c r="S891" i="1"/>
  <c r="C890" i="1"/>
  <c r="B890" i="1" s="1"/>
  <c r="D890" i="1"/>
  <c r="E890" i="1"/>
  <c r="S890" i="1"/>
  <c r="C889" i="1"/>
  <c r="B889" i="1" s="1"/>
  <c r="D889" i="1"/>
  <c r="E889" i="1"/>
  <c r="S889" i="1"/>
  <c r="C888" i="1"/>
  <c r="B888" i="1" s="1"/>
  <c r="D888" i="1"/>
  <c r="E888" i="1"/>
  <c r="S888" i="1"/>
  <c r="C887" i="1"/>
  <c r="B887" i="1" s="1"/>
  <c r="D887" i="1"/>
  <c r="E887" i="1"/>
  <c r="S887" i="1"/>
  <c r="C886" i="1"/>
  <c r="B886" i="1" s="1"/>
  <c r="D886" i="1"/>
  <c r="E886" i="1"/>
  <c r="S886" i="1"/>
  <c r="C885" i="1"/>
  <c r="B885" i="1" s="1"/>
  <c r="D885" i="1"/>
  <c r="E885" i="1"/>
  <c r="S885" i="1"/>
  <c r="C884" i="1"/>
  <c r="B884" i="1" s="1"/>
  <c r="D884" i="1"/>
  <c r="E884" i="1"/>
  <c r="S884" i="1"/>
  <c r="C883" i="1"/>
  <c r="B883" i="1" s="1"/>
  <c r="D883" i="1"/>
  <c r="E883" i="1"/>
  <c r="S883" i="1"/>
  <c r="C882" i="1"/>
  <c r="B882" i="1" s="1"/>
  <c r="D882" i="1"/>
  <c r="E882" i="1"/>
  <c r="S882" i="1"/>
  <c r="C881" i="1"/>
  <c r="B881" i="1" s="1"/>
  <c r="D881" i="1"/>
  <c r="E881" i="1"/>
  <c r="S881" i="1"/>
  <c r="C880" i="1"/>
  <c r="B880" i="1" s="1"/>
  <c r="D880" i="1"/>
  <c r="E880" i="1"/>
  <c r="S880" i="1"/>
  <c r="C879" i="1"/>
  <c r="B879" i="1" s="1"/>
  <c r="D879" i="1"/>
  <c r="E879" i="1"/>
  <c r="S879" i="1"/>
  <c r="C872" i="1"/>
  <c r="D872" i="1"/>
  <c r="E872" i="1"/>
  <c r="S872" i="1"/>
  <c r="C870" i="1"/>
  <c r="D870" i="1"/>
  <c r="E870" i="1"/>
  <c r="S870" i="1"/>
  <c r="C871" i="1"/>
  <c r="D871" i="1"/>
  <c r="E871" i="1"/>
  <c r="S871" i="1"/>
  <c r="C869" i="1"/>
  <c r="D869" i="1"/>
  <c r="E869" i="1"/>
  <c r="S869" i="1"/>
  <c r="C868" i="1"/>
  <c r="D868" i="1"/>
  <c r="E868" i="1"/>
  <c r="S868" i="1"/>
  <c r="C865" i="1"/>
  <c r="D865" i="1"/>
  <c r="E865" i="1"/>
  <c r="S865" i="1"/>
  <c r="C867" i="1"/>
  <c r="D867" i="1"/>
  <c r="E867" i="1"/>
  <c r="S867" i="1"/>
  <c r="C878" i="1"/>
  <c r="B878" i="1" s="1"/>
  <c r="D878" i="1"/>
  <c r="E878" i="1"/>
  <c r="S878" i="1"/>
  <c r="C877" i="1"/>
  <c r="D877" i="1"/>
  <c r="E877" i="1"/>
  <c r="S877" i="1"/>
  <c r="C876" i="1"/>
  <c r="D876" i="1"/>
  <c r="E876" i="1"/>
  <c r="S876" i="1"/>
  <c r="C875" i="1"/>
  <c r="D875" i="1"/>
  <c r="E875" i="1"/>
  <c r="S875" i="1"/>
  <c r="C874" i="1"/>
  <c r="D874" i="1"/>
  <c r="E874" i="1"/>
  <c r="S874" i="1"/>
  <c r="C873" i="1"/>
  <c r="D873" i="1"/>
  <c r="E873" i="1"/>
  <c r="S873" i="1"/>
  <c r="E863" i="1"/>
  <c r="E866" i="1"/>
  <c r="C866" i="1"/>
  <c r="D866" i="1"/>
  <c r="S866" i="1"/>
  <c r="C863" i="1"/>
  <c r="D863" i="1"/>
  <c r="S863" i="1"/>
  <c r="C864" i="1"/>
  <c r="D864" i="1"/>
  <c r="E864" i="1"/>
  <c r="S864" i="1"/>
  <c r="C812" i="1"/>
  <c r="D812" i="1"/>
  <c r="E812" i="1"/>
  <c r="S812" i="1"/>
  <c r="C856" i="1"/>
  <c r="D856" i="1"/>
  <c r="E856" i="1"/>
  <c r="S856" i="1"/>
  <c r="C862" i="1"/>
  <c r="D862" i="1"/>
  <c r="E862" i="1"/>
  <c r="S862" i="1"/>
  <c r="B877" i="1" l="1"/>
  <c r="B876" i="1"/>
  <c r="B875" i="1"/>
  <c r="B874" i="1"/>
  <c r="B873" i="1"/>
  <c r="B872" i="1"/>
  <c r="B870" i="1"/>
  <c r="B871" i="1"/>
  <c r="B869" i="1"/>
  <c r="B867" i="1"/>
  <c r="B865" i="1"/>
  <c r="B868" i="1"/>
  <c r="B866" i="1"/>
  <c r="B864" i="1"/>
  <c r="B863" i="1"/>
  <c r="B812" i="1"/>
  <c r="B856" i="1"/>
  <c r="B862" i="1"/>
  <c r="C855" i="1"/>
  <c r="D855" i="1"/>
  <c r="E855" i="1"/>
  <c r="S855" i="1"/>
  <c r="B855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1" i="1"/>
  <c r="D861" i="1"/>
  <c r="E861" i="1"/>
  <c r="S861" i="1"/>
  <c r="C859" i="1"/>
  <c r="D859" i="1"/>
  <c r="E859" i="1"/>
  <c r="S859" i="1"/>
  <c r="C860" i="1"/>
  <c r="D860" i="1"/>
  <c r="E860" i="1"/>
  <c r="S860" i="1"/>
  <c r="C858" i="1"/>
  <c r="D858" i="1"/>
  <c r="E858" i="1"/>
  <c r="S858" i="1"/>
  <c r="C857" i="1"/>
  <c r="D857" i="1"/>
  <c r="E857" i="1"/>
  <c r="S857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I42" i="11"/>
  <c r="I43" i="11"/>
  <c r="I48" i="11"/>
  <c r="I44" i="11"/>
  <c r="I49" i="11"/>
  <c r="I45" i="11"/>
  <c r="I47" i="11"/>
  <c r="I46" i="11"/>
  <c r="B806" i="1" l="1"/>
  <c r="B861" i="1"/>
  <c r="B853" i="1"/>
  <c r="B857" i="1"/>
  <c r="B860" i="1"/>
  <c r="B858" i="1"/>
  <c r="B859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<sst xmlns="http://schemas.openxmlformats.org/spreadsheetml/2006/main" count="8475" uniqueCount="3657">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</sst>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10" fillId="2" borderId="0" xfId="0" applyNumberFormat="1" applyFont="1" applyFill="1" applyAlignment="1">
      <alignment horizontal="center"/>
    </xf>
    <xf numFmtId="14" fontId="10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9</v>
          </cell>
          <cell r="B2" t="str">
            <v>Christoff Rotty</v>
          </cell>
          <cell r="D2">
            <v>26</v>
          </cell>
        </row>
        <row r="3">
          <cell r="A3">
            <v>14</v>
          </cell>
          <cell r="B3" t="str">
            <v>Bart Van der Beken</v>
          </cell>
          <cell r="D3">
            <v>21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20</v>
          </cell>
        </row>
        <row r="6">
          <cell r="A6">
            <v>9</v>
          </cell>
          <cell r="B6" t="str">
            <v>Dominique De Clercq</v>
          </cell>
          <cell r="D6">
            <v>32</v>
          </cell>
        </row>
        <row r="7">
          <cell r="A7">
            <v>8</v>
          </cell>
          <cell r="B7" t="str">
            <v>Steven Storm</v>
          </cell>
          <cell r="D7">
            <v>11</v>
          </cell>
        </row>
        <row r="8">
          <cell r="A8">
            <v>10</v>
          </cell>
          <cell r="B8" t="str">
            <v>Lucie Vande Velde</v>
          </cell>
          <cell r="D8">
            <v>21</v>
          </cell>
        </row>
        <row r="9">
          <cell r="A9">
            <v>11</v>
          </cell>
          <cell r="B9" t="str">
            <v>Kenneth De Rick</v>
          </cell>
          <cell r="D9">
            <v>23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10" totalsRowShown="0" headerRowDxfId="10">
  <autoFilter ref="A1:AA910" xr:uid="{2FDE3AF6-1CE1-4F38-BD72-1F03CD30F4FC}">
    <filterColumn colId="19">
      <filters blank="1">
        <dateGroupItem year="2025" month="9" dateTimeGrouping="month"/>
      </filters>
    </filterColumn>
  </autoFilter>
  <sortState xmlns:xlrd2="http://schemas.microsoft.com/office/spreadsheetml/2017/richdata2" ref="A2:AA910">
    <sortCondition ref="T1:T910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1" totalsRowShown="0">
  <autoFilter ref="A1:C41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table" Target="../tables/table3.xm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39.7109375" style="27" bestFit="1" customWidth="1"/>
    <col min="4" max="4" width="16.28515625" style="27" bestFit="1" customWidth="1"/>
    <col min="5" max="5" width="8.85546875" style="27"/>
    <col min="6" max="6" width="30.140625" style="27" bestFit="1" customWidth="1"/>
    <col min="7" max="7" width="16.28515625" style="27" bestFit="1" customWidth="1"/>
    <col min="8" max="8" width="5.42578125" style="27" bestFit="1" customWidth="1"/>
    <col min="9" max="9" width="19.42578125" style="27" bestFit="1" customWidth="1"/>
    <col min="10" max="10" width="16.28515625" style="27" bestFit="1" customWidth="1"/>
    <col min="11" max="11" width="5.5703125" style="27" bestFit="1" customWidth="1"/>
    <col min="12" max="12" width="10.140625" style="27" bestFit="1" customWidth="1"/>
    <col min="13" max="13" width="18.85546875" style="27" bestFit="1" customWidth="1"/>
    <col min="14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1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1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1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4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4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1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3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4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1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4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2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1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4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1" t="s">
        <v>45</v>
      </c>
      <c r="D26">
        <v>3</v>
      </c>
      <c r="F26" s="2" t="s">
        <v>46</v>
      </c>
      <c r="G26">
        <v>5</v>
      </c>
    </row>
    <row r="27" spans="2:11" x14ac:dyDescent="0.25">
      <c r="C27" s="34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1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4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1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0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3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1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1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4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1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1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1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4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1" t="s">
        <v>85</v>
      </c>
      <c r="D40">
        <v>2</v>
      </c>
      <c r="F40" s="2" t="s">
        <v>86</v>
      </c>
      <c r="G40">
        <v>2</v>
      </c>
    </row>
    <row r="41" spans="3:15" x14ac:dyDescent="0.25">
      <c r="C41" s="34" t="s">
        <v>87</v>
      </c>
      <c r="D41">
        <v>2</v>
      </c>
      <c r="F41" s="2" t="s">
        <v>88</v>
      </c>
      <c r="G41">
        <v>2</v>
      </c>
      <c r="I41" s="44" t="s">
        <v>89</v>
      </c>
      <c r="J41" s="44"/>
      <c r="K41" s="44"/>
      <c r="L41" s="25"/>
      <c r="M41" s="44" t="s">
        <v>90</v>
      </c>
      <c r="N41" s="44"/>
      <c r="O41" s="44"/>
    </row>
    <row r="42" spans="3:15" x14ac:dyDescent="0.25">
      <c r="C42" s="31" t="s">
        <v>91</v>
      </c>
      <c r="D42">
        <v>2</v>
      </c>
      <c r="F42" s="2" t="s">
        <v>92</v>
      </c>
      <c r="G42">
        <v>2</v>
      </c>
      <c r="I42" s="13">
        <f>'[1]Ingeplande per TC'!$A$2</f>
        <v>9</v>
      </c>
      <c r="J42" s="13" t="str">
        <f>'[1]Ingeplande per TC'!$B$2</f>
        <v>Christoff Rotty</v>
      </c>
      <c r="K42" s="13"/>
      <c r="L42" s="25"/>
      <c r="M42" s="13">
        <f>'[1]Ingeplande per TC'!$D$2</f>
        <v>26</v>
      </c>
      <c r="N42" s="13" t="str">
        <f>'[1]Ingeplande per TC'!$B$2</f>
        <v>Christoff Rotty</v>
      </c>
      <c r="O42" s="13"/>
    </row>
    <row r="43" spans="3:15" x14ac:dyDescent="0.25">
      <c r="C43" s="31" t="s">
        <v>93</v>
      </c>
      <c r="D43">
        <v>2</v>
      </c>
      <c r="F43" s="2" t="s">
        <v>94</v>
      </c>
      <c r="G43">
        <v>2</v>
      </c>
      <c r="I43" s="13">
        <f>'[1]Ingeplande per TC'!$A$3</f>
        <v>14</v>
      </c>
      <c r="J43" s="13" t="str">
        <f>'[1]Ingeplande per TC'!$B$3</f>
        <v>Bart Van der Beken</v>
      </c>
      <c r="K43" s="13"/>
      <c r="L43" s="25"/>
      <c r="M43" s="13">
        <f>'[1]Ingeplande per TC'!$D$3</f>
        <v>21</v>
      </c>
      <c r="N43" s="13" t="str">
        <f>'[1]Ingeplande per TC'!$B$3</f>
        <v>Bart Van der Beken</v>
      </c>
      <c r="O43" s="13"/>
    </row>
    <row r="44" spans="3:15" x14ac:dyDescent="0.25">
      <c r="C44" s="34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1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20</v>
      </c>
      <c r="N45" s="13" t="str">
        <f>'[1]Ingeplande per TC'!$B$5</f>
        <v>Els Vanhoe</v>
      </c>
      <c r="O45" s="13"/>
    </row>
    <row r="46" spans="3:15" x14ac:dyDescent="0.25">
      <c r="C46" s="34" t="s">
        <v>99</v>
      </c>
      <c r="D46">
        <v>2</v>
      </c>
      <c r="F46" s="2" t="s">
        <v>100</v>
      </c>
      <c r="G46">
        <v>2</v>
      </c>
      <c r="I46" s="13">
        <f>'[1]Ingeplande per TC'!$A$6</f>
        <v>9</v>
      </c>
      <c r="J46" s="13" t="str">
        <f>'[1]Ingeplande per TC'!$B$6</f>
        <v>Dominique De Clercq</v>
      </c>
      <c r="K46" s="13"/>
      <c r="L46" s="25"/>
      <c r="M46" s="13">
        <f>'[1]Ingeplande per TC'!$D$6</f>
        <v>32</v>
      </c>
      <c r="N46" s="13" t="str">
        <f>'[1]Ingeplande per TC'!$B$6</f>
        <v>Dominique De Clercq</v>
      </c>
      <c r="O46" s="13"/>
    </row>
    <row r="47" spans="3:15" x14ac:dyDescent="0.25">
      <c r="C47" s="34" t="s">
        <v>101</v>
      </c>
      <c r="D47">
        <v>2</v>
      </c>
      <c r="F47" s="2" t="s">
        <v>102</v>
      </c>
      <c r="G47">
        <v>2</v>
      </c>
      <c r="I47" s="13">
        <f>'[1]Ingeplande per TC'!$A$7</f>
        <v>8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4" t="s">
        <v>103</v>
      </c>
      <c r="D48">
        <v>2</v>
      </c>
      <c r="F48" s="2" t="s">
        <v>104</v>
      </c>
      <c r="G48">
        <v>2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21</v>
      </c>
      <c r="N48" s="13" t="str">
        <f>'[1]Ingeplande per TC'!$B$8</f>
        <v>Lucie Vande Velde</v>
      </c>
      <c r="O48" s="13"/>
    </row>
    <row r="49" spans="3:15" x14ac:dyDescent="0.25">
      <c r="C49" s="34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23</v>
      </c>
      <c r="N49" s="13" t="str">
        <f>'[1]Ingeplande per TC'!$B$9</f>
        <v>Kenneth De Rick</v>
      </c>
      <c r="O49" s="13"/>
    </row>
    <row r="50" spans="3:15" x14ac:dyDescent="0.25">
      <c r="C50" s="31" t="s">
        <v>107</v>
      </c>
      <c r="D50">
        <v>2</v>
      </c>
      <c r="F50" s="2" t="s">
        <v>108</v>
      </c>
      <c r="G50">
        <v>2</v>
      </c>
      <c r="I50" s="14">
        <f>SUM(I42:I49)</f>
        <v>86</v>
      </c>
      <c r="J50" s="14" t="s">
        <v>109</v>
      </c>
      <c r="K50" s="14"/>
      <c r="L50" s="25"/>
      <c r="M50" s="14">
        <f>SUM(M42:M49)</f>
        <v>175</v>
      </c>
      <c r="N50" s="14" t="s">
        <v>109</v>
      </c>
      <c r="O50" s="14"/>
    </row>
    <row r="51" spans="3:15" x14ac:dyDescent="0.25">
      <c r="C51" s="31" t="s">
        <v>110</v>
      </c>
      <c r="D51">
        <v>2</v>
      </c>
      <c r="F51" s="2" t="s">
        <v>111</v>
      </c>
      <c r="G51">
        <v>2</v>
      </c>
    </row>
    <row r="52" spans="3:15" x14ac:dyDescent="0.25">
      <c r="C52" s="34" t="s">
        <v>112</v>
      </c>
      <c r="D52">
        <v>2</v>
      </c>
      <c r="F52" s="2" t="s">
        <v>113</v>
      </c>
      <c r="G52">
        <v>2</v>
      </c>
    </row>
    <row r="53" spans="3:15" x14ac:dyDescent="0.25">
      <c r="C53" s="31" t="s">
        <v>114</v>
      </c>
      <c r="D53">
        <v>2</v>
      </c>
      <c r="F53" s="2" t="s">
        <v>115</v>
      </c>
      <c r="G53">
        <v>2</v>
      </c>
    </row>
    <row r="54" spans="3:15" x14ac:dyDescent="0.25">
      <c r="C54" s="34" t="s">
        <v>116</v>
      </c>
      <c r="D54">
        <v>2</v>
      </c>
      <c r="F54" s="2" t="s">
        <v>117</v>
      </c>
      <c r="G54">
        <v>2</v>
      </c>
    </row>
    <row r="55" spans="3:15" x14ac:dyDescent="0.25">
      <c r="C55" s="34" t="s">
        <v>118</v>
      </c>
      <c r="D55">
        <v>2</v>
      </c>
      <c r="F55" s="2" t="s">
        <v>119</v>
      </c>
      <c r="G55">
        <v>2</v>
      </c>
    </row>
    <row r="56" spans="3:15" x14ac:dyDescent="0.25">
      <c r="C56" s="34" t="s">
        <v>120</v>
      </c>
      <c r="D56">
        <v>2</v>
      </c>
      <c r="F56" s="2" t="s">
        <v>121</v>
      </c>
      <c r="G56">
        <v>2</v>
      </c>
    </row>
    <row r="57" spans="3:15" x14ac:dyDescent="0.25">
      <c r="C57" s="31" t="s">
        <v>122</v>
      </c>
      <c r="D57">
        <v>2</v>
      </c>
      <c r="F57" s="2" t="s">
        <v>123</v>
      </c>
      <c r="G57">
        <v>2</v>
      </c>
    </row>
    <row r="58" spans="3:15" x14ac:dyDescent="0.25">
      <c r="C58" s="31" t="s">
        <v>124</v>
      </c>
      <c r="D58">
        <v>2</v>
      </c>
      <c r="F58" s="2" t="s">
        <v>125</v>
      </c>
      <c r="G58">
        <v>2</v>
      </c>
    </row>
    <row r="59" spans="3:15" x14ac:dyDescent="0.25">
      <c r="C59" s="34" t="s">
        <v>126</v>
      </c>
      <c r="D59">
        <v>2</v>
      </c>
      <c r="F59" s="2" t="s">
        <v>127</v>
      </c>
      <c r="G59">
        <v>2</v>
      </c>
    </row>
    <row r="60" spans="3:15" x14ac:dyDescent="0.25">
      <c r="C60" s="31" t="s">
        <v>128</v>
      </c>
      <c r="D60">
        <v>2</v>
      </c>
      <c r="F60" s="2" t="s">
        <v>129</v>
      </c>
      <c r="G60">
        <v>2</v>
      </c>
    </row>
    <row r="61" spans="3:15" x14ac:dyDescent="0.25">
      <c r="C61" s="31" t="s">
        <v>130</v>
      </c>
      <c r="D61">
        <v>2</v>
      </c>
      <c r="F61" s="2" t="s">
        <v>131</v>
      </c>
      <c r="G61">
        <v>2</v>
      </c>
    </row>
    <row r="62" spans="3:15" x14ac:dyDescent="0.25">
      <c r="C62" s="34" t="s">
        <v>132</v>
      </c>
      <c r="D62">
        <v>2</v>
      </c>
      <c r="F62" s="2" t="s">
        <v>133</v>
      </c>
      <c r="G62">
        <v>2</v>
      </c>
    </row>
    <row r="63" spans="3:15" x14ac:dyDescent="0.25">
      <c r="C63" s="34" t="s">
        <v>134</v>
      </c>
      <c r="D63">
        <v>2</v>
      </c>
      <c r="F63" s="2" t="s">
        <v>135</v>
      </c>
      <c r="G63">
        <v>2</v>
      </c>
    </row>
    <row r="64" spans="3:15" x14ac:dyDescent="0.25">
      <c r="C64" s="31" t="s">
        <v>136</v>
      </c>
      <c r="D64">
        <v>2</v>
      </c>
      <c r="F64" s="2" t="s">
        <v>137</v>
      </c>
      <c r="G64">
        <v>1</v>
      </c>
    </row>
    <row r="65" spans="3:7" x14ac:dyDescent="0.25">
      <c r="C65" s="34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10"/>
  <sheetViews>
    <sheetView tabSelected="1" zoomScale="85" zoomScaleNormal="85" workbookViewId="0">
      <pane ySplit="1" topLeftCell="A852" activePane="bottomLeft" state="frozen"/>
      <selection activeCell="F1" sqref="F1"/>
      <selection pane="bottomLeft" activeCell="A887" sqref="A887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s="2" t="s">
        <v>372</v>
      </c>
      <c r="F1" s="38" t="s">
        <v>373</v>
      </c>
      <c r="G1" s="39" t="s">
        <v>374</v>
      </c>
      <c r="H1" s="39" t="s">
        <v>375</v>
      </c>
      <c r="I1" s="39" t="s">
        <v>376</v>
      </c>
      <c r="J1" s="36" t="s">
        <v>377</v>
      </c>
      <c r="K1" s="36" t="s">
        <v>378</v>
      </c>
      <c r="L1" s="36" t="s">
        <v>379</v>
      </c>
      <c r="M1" s="36" t="s">
        <v>380</v>
      </c>
      <c r="N1" s="36" t="s">
        <v>381</v>
      </c>
      <c r="O1" s="36" t="s">
        <v>382</v>
      </c>
      <c r="P1" s="36" t="s">
        <v>383</v>
      </c>
      <c r="Q1" s="36" t="s">
        <v>384</v>
      </c>
      <c r="R1" s="36" t="s">
        <v>385</v>
      </c>
      <c r="S1" s="36" t="s">
        <v>386</v>
      </c>
      <c r="T1" s="40" t="s">
        <v>387</v>
      </c>
      <c r="U1" s="26" t="s">
        <v>388</v>
      </c>
      <c r="V1" s="36" t="s">
        <v>7</v>
      </c>
      <c r="W1" s="36" t="s">
        <v>8</v>
      </c>
      <c r="X1" t="s">
        <v>389</v>
      </c>
      <c r="Y1" t="s">
        <v>390</v>
      </c>
      <c r="Z1" s="2" t="s">
        <v>3556</v>
      </c>
      <c r="AA1" s="42" t="s">
        <v>3633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 t="s">
        <v>3633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 t="s">
        <v>3633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Z4"/>
      <c r="AA4" t="s">
        <v>3633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Z5"/>
      <c r="AA5" t="s">
        <v>3633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Z6"/>
      <c r="AA6" t="s">
        <v>3633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Z7"/>
      <c r="AA7" t="s">
        <v>3633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Z8"/>
      <c r="AA8" t="s">
        <v>3633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Z9"/>
      <c r="AA9" t="s">
        <v>3633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Z10"/>
      <c r="AA10" t="s">
        <v>3633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Z11"/>
      <c r="AA11" t="s">
        <v>3633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Z12"/>
      <c r="AA12" t="s">
        <v>3633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Z13"/>
      <c r="AA13" t="s">
        <v>3633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Z14"/>
      <c r="AA14" t="s">
        <v>3633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Z15"/>
      <c r="AA15" t="s">
        <v>3633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Z16"/>
      <c r="AA16" t="s">
        <v>3633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  <c r="Z17"/>
      <c r="AA17" t="s">
        <v>3633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  <c r="Z18"/>
      <c r="AA18" t="s">
        <v>3633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  <c r="Z19"/>
      <c r="AA19" t="s">
        <v>3633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  <c r="Z20"/>
      <c r="AA20" t="s">
        <v>3633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  <c r="Z21"/>
      <c r="AA21" t="s">
        <v>3633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  <c r="Z22"/>
      <c r="AA22" t="s">
        <v>3633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  <c r="Z23"/>
      <c r="AA23" t="s">
        <v>3633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  <c r="Z24"/>
      <c r="AA24" t="s">
        <v>3633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  <c r="Z25"/>
      <c r="AA25" t="s">
        <v>3633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  <c r="Z26"/>
      <c r="AA26" t="s">
        <v>3633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  <c r="Z27"/>
      <c r="AA27" t="s">
        <v>3633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  <c r="Z28"/>
      <c r="AA28" t="s">
        <v>3633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  <c r="Z29"/>
      <c r="AA29" t="s">
        <v>3633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  <c r="Z30"/>
      <c r="AA30" t="s">
        <v>3633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  <c r="Z31"/>
      <c r="AA31" t="s">
        <v>3633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  <c r="Z32"/>
      <c r="AA32" t="s">
        <v>3633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  <c r="Z33"/>
      <c r="AA33" t="s">
        <v>3633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  <c r="Z34"/>
      <c r="AA34" t="s">
        <v>3633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  <c r="Z35"/>
      <c r="AA35" t="s">
        <v>3633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  <c r="Z36"/>
      <c r="AA36" t="s">
        <v>3633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  <c r="Z37"/>
      <c r="AA37" t="s">
        <v>3633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  <c r="Z38"/>
      <c r="AA38" t="s">
        <v>3633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  <c r="Z39"/>
      <c r="AA39" t="s">
        <v>3633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  <c r="Z40"/>
      <c r="AA40" t="s">
        <v>3633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  <c r="Z41"/>
      <c r="AA41" t="s">
        <v>3633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  <c r="Z42"/>
      <c r="AA42" t="s">
        <v>3633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  <c r="Z43"/>
      <c r="AA43" t="s">
        <v>3633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  <c r="Z44"/>
      <c r="AA44" t="s">
        <v>3633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  <c r="Z45"/>
      <c r="AA45" t="s">
        <v>3633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  <c r="Z46"/>
      <c r="AA46" t="s">
        <v>3633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  <c r="Z47"/>
      <c r="AA47" t="s">
        <v>3633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  <c r="Z48"/>
      <c r="AA48" t="s">
        <v>3633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  <c r="Z49"/>
      <c r="AA49" t="s">
        <v>3633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  <c r="Z50"/>
      <c r="AA50" t="s">
        <v>3633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  <c r="Z51"/>
      <c r="AA51" t="s">
        <v>3633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  <c r="Z52"/>
      <c r="AA52" t="s">
        <v>3633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  <c r="Z53"/>
      <c r="AA53" t="s">
        <v>3633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  <c r="Z54"/>
      <c r="AA54" t="s">
        <v>3633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  <c r="Z55"/>
      <c r="AA55" t="s">
        <v>3633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  <c r="Z56"/>
      <c r="AA56" t="s">
        <v>3633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  <c r="Z57"/>
      <c r="AA57" t="s">
        <v>3633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  <c r="Z58"/>
      <c r="AA58" t="s">
        <v>3633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  <c r="Z59"/>
      <c r="AA59" t="s">
        <v>3633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  <c r="Z60"/>
      <c r="AA60" t="s">
        <v>3633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  <c r="Z61"/>
      <c r="AA61" t="s">
        <v>3633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  <c r="Z62"/>
      <c r="AA62" t="s">
        <v>3633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  <c r="Z63"/>
      <c r="AA63" t="s">
        <v>3633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  <c r="Z64"/>
      <c r="AA64" t="s">
        <v>3633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  <c r="Z65"/>
      <c r="AA65" t="s">
        <v>3633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  <c r="Z66"/>
      <c r="AA66" t="s">
        <v>3633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  <c r="Z67"/>
      <c r="AA67" t="s">
        <v>3633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  <c r="Z68"/>
      <c r="AA68" t="s">
        <v>3633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  <c r="Z69"/>
      <c r="AA69" t="s">
        <v>3633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  <c r="Z70"/>
      <c r="AA70" t="s">
        <v>3633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  <c r="Z71"/>
      <c r="AA71" t="s">
        <v>3633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  <c r="Z72"/>
      <c r="AA72" t="s">
        <v>3633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  <c r="Z73"/>
      <c r="AA73" t="s">
        <v>3633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  <c r="Z74"/>
      <c r="AA74" t="s">
        <v>3633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  <c r="Z75"/>
      <c r="AA75" t="s">
        <v>3633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  <c r="Z76"/>
      <c r="AA76" t="s">
        <v>3633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  <c r="Z77"/>
      <c r="AA77" t="s">
        <v>3633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  <c r="Z78"/>
      <c r="AA78" t="s">
        <v>3633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  <c r="Z79"/>
      <c r="AA79" t="s">
        <v>3633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  <c r="Z80"/>
      <c r="AA80" t="s">
        <v>3633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  <c r="Z81"/>
      <c r="AA81" t="s">
        <v>3633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  <c r="Z82"/>
      <c r="AA82" t="s">
        <v>3633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  <c r="Z83"/>
      <c r="AA83" t="s">
        <v>3633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  <c r="Z84"/>
      <c r="AA84" t="s">
        <v>3633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  <c r="Z85"/>
      <c r="AA85" t="s">
        <v>3633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  <c r="Z86"/>
      <c r="AA86" t="s">
        <v>3633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  <c r="Z87"/>
      <c r="AA87" t="s">
        <v>3633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  <c r="Z88"/>
      <c r="AA88" t="s">
        <v>3633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  <c r="Z89"/>
      <c r="AA89" t="s">
        <v>3633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  <c r="Z90"/>
      <c r="AA90" t="s">
        <v>3633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  <c r="Z91"/>
      <c r="AA91" t="s">
        <v>3633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  <c r="Z92"/>
      <c r="AA92" t="s">
        <v>3633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  <c r="Z93"/>
      <c r="AA93" t="s">
        <v>3633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  <c r="Z94"/>
      <c r="AA94" t="s">
        <v>3633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  <c r="Z95"/>
      <c r="AA95" t="s">
        <v>3633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  <c r="Z96"/>
      <c r="AA96" t="s">
        <v>3633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  <c r="Z97"/>
      <c r="AA97" t="s">
        <v>3633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  <c r="Z98"/>
      <c r="AA98" t="s">
        <v>3633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  <c r="Z99"/>
      <c r="AA99" t="s">
        <v>3633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  <c r="Z100"/>
      <c r="AA100" t="s">
        <v>3633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  <c r="Z101"/>
      <c r="AA101" t="s">
        <v>3633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  <c r="Z102"/>
      <c r="AA102" t="s">
        <v>3633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  <c r="Z103"/>
      <c r="AA103" t="s">
        <v>3633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  <c r="Z104"/>
      <c r="AA104" t="s">
        <v>3633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  <c r="Z105"/>
      <c r="AA105" t="s">
        <v>3633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  <c r="Z106"/>
      <c r="AA106" t="s">
        <v>3633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  <c r="Z107"/>
      <c r="AA107" t="s">
        <v>3633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  <c r="Z108"/>
      <c r="AA108" t="s">
        <v>3633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  <c r="Z109"/>
      <c r="AA109" t="s">
        <v>3633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  <c r="Z110"/>
      <c r="AA110" t="s">
        <v>3633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  <c r="Z111"/>
      <c r="AA111" t="s">
        <v>3633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  <c r="Z112"/>
      <c r="AA112" t="s">
        <v>3633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  <c r="Z113"/>
      <c r="AA113" t="s">
        <v>3633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  <c r="Z114"/>
      <c r="AA114" t="s">
        <v>3633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  <c r="Z115"/>
      <c r="AA115" t="s">
        <v>3633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  <c r="Z116"/>
      <c r="AA116" t="s">
        <v>3633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  <c r="Z117"/>
      <c r="AA117" t="s">
        <v>3633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  <c r="Z118"/>
      <c r="AA118" t="s">
        <v>3633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  <c r="Z119"/>
      <c r="AA119" t="s">
        <v>3633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  <c r="Z120"/>
      <c r="AA120" t="s">
        <v>3633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  <c r="Z121"/>
      <c r="AA121" t="s">
        <v>3633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  <c r="Z122"/>
      <c r="AA122" t="s">
        <v>3633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  <c r="Z123"/>
      <c r="AA123" t="s">
        <v>3633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  <c r="Z124"/>
      <c r="AA124" t="s">
        <v>3633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  <c r="Z125"/>
      <c r="AA125" t="s">
        <v>3633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  <c r="Z126"/>
      <c r="AA126" t="s">
        <v>3633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  <c r="Z127"/>
      <c r="AA127" t="s">
        <v>3633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  <c r="Z128"/>
      <c r="AA128" t="s">
        <v>3633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  <c r="Z129"/>
      <c r="AA129" t="s">
        <v>3633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  <c r="Z130"/>
      <c r="AA130" t="s">
        <v>3633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  <c r="Z131"/>
      <c r="AA131" t="s">
        <v>3633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  <c r="Z132"/>
      <c r="AA132" t="s">
        <v>3633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  <c r="Z133"/>
      <c r="AA133" t="s">
        <v>3633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  <c r="Z134"/>
      <c r="AA134" t="s">
        <v>3633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  <c r="Z135"/>
      <c r="AA135" t="s">
        <v>3633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  <c r="Z136"/>
      <c r="AA136" t="s">
        <v>3633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  <c r="Z137"/>
      <c r="AA137" t="s">
        <v>3633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  <c r="Z138"/>
      <c r="AA138" t="s">
        <v>3633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  <c r="Z139"/>
      <c r="AA139" t="s">
        <v>3633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  <c r="Z140"/>
      <c r="AA140" t="s">
        <v>3633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  <c r="Z141"/>
      <c r="AA141" t="s">
        <v>3633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  <c r="Z142"/>
      <c r="AA142" t="s">
        <v>3633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  <c r="Z143"/>
      <c r="AA143" t="s">
        <v>3633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  <c r="Z144"/>
      <c r="AA144" t="s">
        <v>3633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  <c r="Z145"/>
      <c r="AA145" t="s">
        <v>3633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  <c r="Z146"/>
      <c r="AA146" t="s">
        <v>3633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  <c r="Z147"/>
      <c r="AA147" t="s">
        <v>3633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  <c r="Z148"/>
      <c r="AA148" t="s">
        <v>3633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  <c r="Z149"/>
      <c r="AA149" t="s">
        <v>3633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  <c r="Z150"/>
      <c r="AA150" t="s">
        <v>3633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  <c r="Z151"/>
      <c r="AA151" t="s">
        <v>3633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  <c r="Z152"/>
      <c r="AA152" t="s">
        <v>3633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  <c r="Z153"/>
      <c r="AA153" t="s">
        <v>3633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  <c r="Z154"/>
      <c r="AA154" t="s">
        <v>3633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  <c r="Z155"/>
      <c r="AA155" t="s">
        <v>3633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  <c r="Z156"/>
      <c r="AA156" t="s">
        <v>3633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  <c r="Z157"/>
      <c r="AA157" t="s">
        <v>3633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  <c r="Z158"/>
      <c r="AA158" t="s">
        <v>3633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  <c r="Z159"/>
      <c r="AA159" t="s">
        <v>3633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  <c r="Z160"/>
      <c r="AA160" t="s">
        <v>3633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  <c r="Z161"/>
      <c r="AA161" t="s">
        <v>3633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  <c r="Z162"/>
      <c r="AA162" t="s">
        <v>3633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  <c r="Z163"/>
      <c r="AA163" t="s">
        <v>3633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  <c r="Z164"/>
      <c r="AA164" t="s">
        <v>3633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  <c r="Z165"/>
      <c r="AA165" t="s">
        <v>3633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  <c r="Z166"/>
      <c r="AA166" t="s">
        <v>3633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  <c r="Z167"/>
      <c r="AA167" t="s">
        <v>3633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  <c r="Z168"/>
      <c r="AA168" t="s">
        <v>3633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  <c r="Z169"/>
      <c r="AA169" t="s">
        <v>3633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  <c r="Z170"/>
      <c r="AA170" t="s">
        <v>3633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  <c r="Z171"/>
      <c r="AA171" t="s">
        <v>3633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  <c r="Z172"/>
      <c r="AA172" t="s">
        <v>3633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  <c r="Z173"/>
      <c r="AA173" t="s">
        <v>3633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  <c r="Z174"/>
      <c r="AA174" t="s">
        <v>3633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  <c r="Z175"/>
      <c r="AA175" t="s">
        <v>3633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  <c r="Z176"/>
      <c r="AA176" t="s">
        <v>3633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  <c r="Z177"/>
      <c r="AA177" t="s">
        <v>3633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  <c r="Z178"/>
      <c r="AA178" t="s">
        <v>3633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  <c r="Z179"/>
      <c r="AA179" t="s">
        <v>3633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  <c r="Z180"/>
      <c r="AA180" t="s">
        <v>3633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  <c r="Z181"/>
      <c r="AA181" t="s">
        <v>3633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  <c r="Z182"/>
      <c r="AA182" t="s">
        <v>3633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  <c r="Z183"/>
      <c r="AA183" t="s">
        <v>3633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  <c r="Z184"/>
      <c r="AA184" t="s">
        <v>3633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  <c r="Z185"/>
      <c r="AA185" t="s">
        <v>3633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  <c r="Z186"/>
      <c r="AA186" t="s">
        <v>3633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  <c r="Z187"/>
      <c r="AA187" t="s">
        <v>3633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  <c r="Z188"/>
      <c r="AA188" t="s">
        <v>3633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  <c r="Z189"/>
      <c r="AA189" t="s">
        <v>3633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  <c r="Z190"/>
      <c r="AA190" t="s">
        <v>3633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  <c r="Z191"/>
      <c r="AA191" t="s">
        <v>3633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  <c r="Z192"/>
      <c r="AA192" t="s">
        <v>3633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  <c r="Z193"/>
      <c r="AA193" t="s">
        <v>3633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  <c r="Z194"/>
      <c r="AA194" t="s">
        <v>3633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  <c r="Z195"/>
      <c r="AA195" t="s">
        <v>3633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  <c r="Z196"/>
      <c r="AA196" t="s">
        <v>3633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  <c r="Z197"/>
      <c r="AA197" t="s">
        <v>3633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  <c r="Z198"/>
      <c r="AA198" t="s">
        <v>3633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  <c r="Z199"/>
      <c r="AA199" t="s">
        <v>3633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  <c r="Z200"/>
      <c r="AA200" t="s">
        <v>3633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  <c r="Z201"/>
      <c r="AA201" t="s">
        <v>3633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  <c r="Z202"/>
      <c r="AA202" t="s">
        <v>3633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  <c r="Z203"/>
      <c r="AA203" t="s">
        <v>3633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  <c r="Z204"/>
      <c r="AA204" t="s">
        <v>3633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  <c r="Z205"/>
      <c r="AA205" t="s">
        <v>3633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  <c r="Z206"/>
      <c r="AA206" t="s">
        <v>3633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  <c r="Z207"/>
      <c r="AA207" t="s">
        <v>3633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  <c r="Z208"/>
      <c r="AA208" t="s">
        <v>3633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  <c r="Z209"/>
      <c r="AA209" t="s">
        <v>3633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  <c r="Z210"/>
      <c r="AA210" t="s">
        <v>3633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  <c r="Z211"/>
      <c r="AA211" t="s">
        <v>3633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  <c r="Z212"/>
      <c r="AA212" t="s">
        <v>3633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  <c r="Z213"/>
      <c r="AA213" t="s">
        <v>3633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  <c r="Z214"/>
      <c r="AA214" t="s">
        <v>3633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  <c r="Z215"/>
      <c r="AA215" t="s">
        <v>3633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  <c r="Z216"/>
      <c r="AA216" t="s">
        <v>3633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  <c r="Z217"/>
      <c r="AA217" t="s">
        <v>3633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  <c r="Z218"/>
      <c r="AA218" t="s">
        <v>3633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  <c r="Z219"/>
      <c r="AA219" t="s">
        <v>3633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  <c r="Z220"/>
      <c r="AA220" t="s">
        <v>3633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  <c r="Z221"/>
      <c r="AA221" t="s">
        <v>3633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  <c r="Z222"/>
      <c r="AA222" t="s">
        <v>3633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  <c r="Z223"/>
      <c r="AA223" t="s">
        <v>3633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  <c r="Z224"/>
      <c r="AA224" t="s">
        <v>3633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  <c r="Z225"/>
      <c r="AA225" t="s">
        <v>3633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  <c r="Z226"/>
      <c r="AA226" t="s">
        <v>3633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  <c r="Z227"/>
      <c r="AA227" t="s">
        <v>3633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  <c r="Z228"/>
      <c r="AA228" t="s">
        <v>3633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  <c r="Z229"/>
      <c r="AA229" t="s">
        <v>3633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  <c r="Z230"/>
      <c r="AA230" t="s">
        <v>3633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  <c r="Z231"/>
      <c r="AA231" t="s">
        <v>3633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  <c r="Z232"/>
      <c r="AA232" t="s">
        <v>3633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  <c r="Z233"/>
      <c r="AA233" t="s">
        <v>3633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  <c r="Z234"/>
      <c r="AA234" t="s">
        <v>3633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  <c r="Z235"/>
      <c r="AA235" t="s">
        <v>3633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  <c r="Z236"/>
      <c r="AA236" t="s">
        <v>3633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  <c r="Z237"/>
      <c r="AA237" t="s">
        <v>3633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  <c r="Z238"/>
      <c r="AA238" t="s">
        <v>3633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  <c r="Z239"/>
      <c r="AA239" t="s">
        <v>3633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  <c r="Z240"/>
      <c r="AA240" t="s">
        <v>3633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  <c r="Z241"/>
      <c r="AA241" t="s">
        <v>3633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  <c r="Z242"/>
      <c r="AA242" t="s">
        <v>3633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  <c r="Z243"/>
      <c r="AA243" t="s">
        <v>3633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  <c r="Z244"/>
      <c r="AA244" t="s">
        <v>3633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  <c r="Z245"/>
      <c r="AA245" t="s">
        <v>3633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  <c r="Z246"/>
      <c r="AA246" t="s">
        <v>3633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  <c r="Z247"/>
      <c r="AA247" t="s">
        <v>3633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  <c r="Z248"/>
      <c r="AA248" t="s">
        <v>3633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  <c r="Z249"/>
      <c r="AA249" t="s">
        <v>3633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  <c r="Z250"/>
      <c r="AA250" t="s">
        <v>3633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  <c r="Z251"/>
      <c r="AA251" t="s">
        <v>3633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  <c r="Z252"/>
      <c r="AA252" t="s">
        <v>3633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  <c r="Z253"/>
      <c r="AA253" t="s">
        <v>3633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  <c r="Z254"/>
      <c r="AA254" t="s">
        <v>3633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  <c r="Z255"/>
      <c r="AA255" t="s">
        <v>3633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  <c r="Z256"/>
      <c r="AA256" t="s">
        <v>3633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  <c r="Z257"/>
      <c r="AA257" t="s">
        <v>3633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  <c r="Z258"/>
      <c r="AA258" t="s">
        <v>3633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  <c r="Z259"/>
      <c r="AA259" t="s">
        <v>3633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  <c r="Z260"/>
      <c r="AA260" t="s">
        <v>3633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  <c r="Z261"/>
      <c r="AA261" t="s">
        <v>3633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  <c r="Z262"/>
      <c r="AA262" t="s">
        <v>3633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  <c r="Z263"/>
      <c r="AA263" t="s">
        <v>3633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  <c r="Z264"/>
      <c r="AA264" t="s">
        <v>3633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  <c r="Z265"/>
      <c r="AA265" t="s">
        <v>3633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  <c r="Z266"/>
      <c r="AA266" t="s">
        <v>3633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  <c r="Z267"/>
      <c r="AA267" t="s">
        <v>3633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  <c r="Z268"/>
      <c r="AA268" t="s">
        <v>3633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  <c r="Z269"/>
      <c r="AA269" t="s">
        <v>3633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  <c r="Z270"/>
      <c r="AA270" t="s">
        <v>3633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  <c r="Z271"/>
      <c r="AA271" t="s">
        <v>3633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  <c r="Z272"/>
      <c r="AA272" t="s">
        <v>3633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  <c r="Z273"/>
      <c r="AA273" t="s">
        <v>3633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  <c r="Z274"/>
      <c r="AA274" t="s">
        <v>3633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  <c r="Z275"/>
      <c r="AA275" t="s">
        <v>3633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  <c r="Z276"/>
      <c r="AA276" t="s">
        <v>3633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  <c r="Z277"/>
      <c r="AA277" t="s">
        <v>3633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  <c r="Z278"/>
      <c r="AA278" t="s">
        <v>3633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  <c r="Z279"/>
      <c r="AA279" t="s">
        <v>3633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  <c r="Z280"/>
      <c r="AA280" t="s">
        <v>3633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  <c r="Z281"/>
      <c r="AA281" t="s">
        <v>3633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  <c r="Z282"/>
      <c r="AA282" t="s">
        <v>3633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  <c r="Z283"/>
      <c r="AA283" t="s">
        <v>3633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  <c r="Z284"/>
      <c r="AA284" t="s">
        <v>3633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  <c r="Z285"/>
      <c r="AA285" t="s">
        <v>3633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  <c r="Z286"/>
      <c r="AA286" t="s">
        <v>3633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  <c r="Z287"/>
      <c r="AA287" t="s">
        <v>3633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  <c r="Z288"/>
      <c r="AA288" t="s">
        <v>3633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  <c r="Z289"/>
      <c r="AA289" t="s">
        <v>3633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  <c r="Z290"/>
      <c r="AA290" t="s">
        <v>3633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  <c r="Z291"/>
      <c r="AA291" t="s">
        <v>3633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  <c r="Z292"/>
      <c r="AA292" t="s">
        <v>3633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  <c r="Z293"/>
      <c r="AA293" t="s">
        <v>3633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  <c r="Z294"/>
      <c r="AA294" t="s">
        <v>3633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  <c r="Z295"/>
      <c r="AA295" t="s">
        <v>3633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  <c r="Z296"/>
      <c r="AA296" t="s">
        <v>3633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  <c r="Z297"/>
      <c r="AA297" t="s">
        <v>3633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  <c r="Z298"/>
      <c r="AA298" t="s">
        <v>3633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  <c r="Z299"/>
      <c r="AA299" t="s">
        <v>3633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  <c r="Z300"/>
      <c r="AA300" t="s">
        <v>3633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  <c r="Z301"/>
      <c r="AA301" t="s">
        <v>3633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  <c r="Z302"/>
      <c r="AA302" t="s">
        <v>3633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  <c r="Z303"/>
      <c r="AA303" t="s">
        <v>3633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  <c r="Z304"/>
      <c r="AA304" t="s">
        <v>3633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  <c r="Z305"/>
      <c r="AA305" t="s">
        <v>3633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  <c r="Z306"/>
      <c r="AA306" t="s">
        <v>3633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  <c r="Z307"/>
      <c r="AA307" t="s">
        <v>3633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  <c r="Z308"/>
      <c r="AA308" t="s">
        <v>3633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  <c r="Z309"/>
      <c r="AA309" t="s">
        <v>3633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  <c r="Z310"/>
      <c r="AA310" t="s">
        <v>3633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  <c r="Z311"/>
      <c r="AA311" t="s">
        <v>3633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  <c r="Z312"/>
      <c r="AA312" t="s">
        <v>3633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  <c r="Z313"/>
      <c r="AA313" t="s">
        <v>3633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  <c r="Z314"/>
      <c r="AA314" t="s">
        <v>3633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  <c r="Z315"/>
      <c r="AA315" t="s">
        <v>3633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  <c r="Z316"/>
      <c r="AA316" t="s">
        <v>3633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  <c r="Z317"/>
      <c r="AA317" t="s">
        <v>3633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  <c r="Z318"/>
      <c r="AA318" t="s">
        <v>3633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  <c r="Z319"/>
      <c r="AA319" t="s">
        <v>3633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  <c r="Z320"/>
      <c r="AA320" t="s">
        <v>3633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  <c r="Z321"/>
      <c r="AA321" t="s">
        <v>3633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  <c r="Z322"/>
      <c r="AA322" t="s">
        <v>3633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  <c r="Z323"/>
      <c r="AA323" t="s">
        <v>3633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  <c r="Z324"/>
      <c r="AA324" t="s">
        <v>3633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  <c r="Z325"/>
      <c r="AA325" t="s">
        <v>3633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  <c r="Z326"/>
      <c r="AA326" t="s">
        <v>3633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  <c r="Z327"/>
      <c r="AA327" t="s">
        <v>3633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  <c r="Z328"/>
      <c r="AA328" t="s">
        <v>3633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  <c r="Z329"/>
      <c r="AA329" t="s">
        <v>3633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  <c r="Z330"/>
      <c r="AA330" t="s">
        <v>3633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  <c r="Z331"/>
      <c r="AA331" t="s">
        <v>3633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  <c r="Z332"/>
      <c r="AA332" t="s">
        <v>3633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  <c r="Z333"/>
      <c r="AA333" t="s">
        <v>3633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  <c r="Z334"/>
      <c r="AA334" t="s">
        <v>3633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  <c r="Z335"/>
      <c r="AA335" t="s">
        <v>3633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  <c r="Z336"/>
      <c r="AA336" t="s">
        <v>3633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  <c r="Z337"/>
      <c r="AA337" t="s">
        <v>3633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  <c r="Z338"/>
      <c r="AA338" t="s">
        <v>3633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  <c r="Z339"/>
      <c r="AA339" t="s">
        <v>3633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  <c r="Z340"/>
      <c r="AA340" t="s">
        <v>3633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  <c r="Z341"/>
      <c r="AA341" t="s">
        <v>3633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  <c r="Z342"/>
      <c r="AA342" t="s">
        <v>3633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  <c r="Z343"/>
      <c r="AA343" t="s">
        <v>3633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  <c r="Z344"/>
      <c r="AA344" t="s">
        <v>3633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  <c r="Z345"/>
      <c r="AA345" t="s">
        <v>3633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  <c r="Z346"/>
      <c r="AA346" t="s">
        <v>3633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  <c r="Z347"/>
      <c r="AA347" t="s">
        <v>3633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  <c r="Z348"/>
      <c r="AA348" t="s">
        <v>3633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  <c r="Z349"/>
      <c r="AA349" t="s">
        <v>3633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  <c r="Z350"/>
      <c r="AA350" t="s">
        <v>3633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  <c r="Z351"/>
      <c r="AA351" t="s">
        <v>3633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  <c r="Z352"/>
      <c r="AA352" t="s">
        <v>3633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  <c r="Z353"/>
      <c r="AA353" t="s">
        <v>3633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  <c r="Z354"/>
      <c r="AA354" t="s">
        <v>3633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  <c r="Z355"/>
      <c r="AA355" t="s">
        <v>3633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  <c r="Z356"/>
      <c r="AA356" t="s">
        <v>3633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  <c r="Z357"/>
      <c r="AA357" t="s">
        <v>3633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  <c r="Z358"/>
      <c r="AA358" t="s">
        <v>3633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  <c r="Z359"/>
      <c r="AA359" t="s">
        <v>3633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  <c r="Z360"/>
      <c r="AA360" t="s">
        <v>3633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  <c r="Z361"/>
      <c r="AA361" t="s">
        <v>3633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  <c r="Z362"/>
      <c r="AA362" t="s">
        <v>3633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  <c r="Z363"/>
      <c r="AA363" t="s">
        <v>3633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  <c r="Z364"/>
      <c r="AA364" t="s">
        <v>3633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  <c r="Z365"/>
      <c r="AA365" t="s">
        <v>3633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  <c r="Z366"/>
      <c r="AA366" t="s">
        <v>3633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  <c r="Z367"/>
      <c r="AA367" t="s">
        <v>3633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  <c r="Z368"/>
      <c r="AA368" t="s">
        <v>3633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  <c r="Z369"/>
      <c r="AA369" t="s">
        <v>3633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  <c r="Z370"/>
      <c r="AA370" t="s">
        <v>3633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  <c r="Z371"/>
      <c r="AA371" t="s">
        <v>3633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  <c r="Z372"/>
      <c r="AA372" t="s">
        <v>3633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  <c r="Z373"/>
      <c r="AA373" t="s">
        <v>3633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  <c r="Z374"/>
      <c r="AA374" t="s">
        <v>3633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  <c r="Z375"/>
      <c r="AA375" t="s">
        <v>3633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  <c r="Z376"/>
      <c r="AA376" t="s">
        <v>3633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  <c r="Z377"/>
      <c r="AA377" t="s">
        <v>3633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  <c r="Z378"/>
      <c r="AA378" t="s">
        <v>3633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  <c r="Z379"/>
      <c r="AA379" t="s">
        <v>3633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  <c r="Z380"/>
      <c r="AA380" t="s">
        <v>3633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  <c r="Z381"/>
      <c r="AA381" t="s">
        <v>3633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  <c r="Z382"/>
      <c r="AA382" t="s">
        <v>3633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  <c r="Z383"/>
      <c r="AA383" t="s">
        <v>3633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  <c r="Z384"/>
      <c r="AA384" t="s">
        <v>3633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  <c r="Z385"/>
      <c r="AA385" t="s">
        <v>3633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  <c r="Z386"/>
      <c r="AA386" t="s">
        <v>3633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  <c r="Z387"/>
      <c r="AA387" t="s">
        <v>3633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  <c r="Z388"/>
      <c r="AA388" t="s">
        <v>3633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  <c r="Z389"/>
      <c r="AA389" t="s">
        <v>3633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  <c r="Z390"/>
      <c r="AA390" t="s">
        <v>3633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  <c r="Z391"/>
      <c r="AA391" t="s">
        <v>3633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  <c r="Z392"/>
      <c r="AA392" t="s">
        <v>3633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  <c r="Z393"/>
      <c r="AA393" t="s">
        <v>3633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  <c r="Z394"/>
      <c r="AA394" t="s">
        <v>3633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  <c r="Z395"/>
      <c r="AA395" t="s">
        <v>3633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  <c r="Z396"/>
      <c r="AA396" t="s">
        <v>3633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  <c r="Z397"/>
      <c r="AA397" t="s">
        <v>3633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  <c r="Z398"/>
      <c r="AA398" t="s">
        <v>3633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  <c r="Z399"/>
      <c r="AA399" t="s">
        <v>3633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  <c r="Z400"/>
      <c r="AA400" t="s">
        <v>3633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  <c r="Z401"/>
      <c r="AA401" t="s">
        <v>3633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  <c r="Z402"/>
      <c r="AA402" t="s">
        <v>3633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  <c r="Z403"/>
      <c r="AA403" t="s">
        <v>3633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  <c r="Z404"/>
      <c r="AA404" t="s">
        <v>3633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  <c r="Z405"/>
      <c r="AA405" t="s">
        <v>3633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  <c r="Z406"/>
      <c r="AA406" t="s">
        <v>3633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  <c r="Z407"/>
      <c r="AA407" t="s">
        <v>3633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  <c r="Z408"/>
      <c r="AA408" t="s">
        <v>3633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  <c r="Z409"/>
      <c r="AA409" t="s">
        <v>3633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  <c r="Z410"/>
      <c r="AA410" t="s">
        <v>3633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  <c r="Z411"/>
      <c r="AA411" t="s">
        <v>3633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  <c r="Z412"/>
      <c r="AA412" t="s">
        <v>3633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  <c r="Z413"/>
      <c r="AA413" t="s">
        <v>3633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  <c r="Z414"/>
      <c r="AA414" t="s">
        <v>3633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  <c r="Z415"/>
      <c r="AA415" t="s">
        <v>3633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  <c r="Z416"/>
      <c r="AA416" t="s">
        <v>3633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  <c r="Z417"/>
      <c r="AA417" t="s">
        <v>3633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  <c r="Z418"/>
      <c r="AA418" t="s">
        <v>3633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  <c r="Z419"/>
      <c r="AA419" t="s">
        <v>3633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  <c r="Z420"/>
      <c r="AA420" t="s">
        <v>3633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  <c r="Z421"/>
      <c r="AA421" t="s">
        <v>3633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  <c r="Z422"/>
      <c r="AA422" t="s">
        <v>3633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  <c r="Z423"/>
      <c r="AA423" t="s">
        <v>3633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  <c r="Z424"/>
      <c r="AA424" t="s">
        <v>3633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  <c r="Z425"/>
      <c r="AA425" t="s">
        <v>3633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  <c r="Z426"/>
      <c r="AA426" t="s">
        <v>3633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  <c r="Z427"/>
      <c r="AA427" t="s">
        <v>3633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  <c r="Z428"/>
      <c r="AA428" t="s">
        <v>3633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  <c r="Z429"/>
      <c r="AA429" t="s">
        <v>3633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  <c r="Z430"/>
      <c r="AA430" t="s">
        <v>3633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  <c r="Z431"/>
      <c r="AA431" t="s">
        <v>3633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  <c r="Z432"/>
      <c r="AA432" t="s">
        <v>3633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  <c r="Z433"/>
      <c r="AA433" t="s">
        <v>3633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  <c r="Z434"/>
      <c r="AA434" t="s">
        <v>3633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  <c r="Z435"/>
      <c r="AA435" t="s">
        <v>3633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  <c r="Z436"/>
      <c r="AA436" t="s">
        <v>3633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  <c r="Z437"/>
      <c r="AA437" t="s">
        <v>3633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  <c r="Z438"/>
      <c r="AA438" t="s">
        <v>3633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  <c r="Z439"/>
      <c r="AA439" t="s">
        <v>3633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  <c r="Z440"/>
      <c r="AA440" t="s">
        <v>3633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  <c r="Z441"/>
      <c r="AA441" t="s">
        <v>3633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  <c r="Z442"/>
      <c r="AA442" t="s">
        <v>3633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  <c r="Z443"/>
      <c r="AA443" t="s">
        <v>3633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  <c r="Z444"/>
      <c r="AA444" t="s">
        <v>3633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  <c r="Z445"/>
      <c r="AA445" t="s">
        <v>3633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  <c r="Z446"/>
      <c r="AA446" t="s">
        <v>3633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  <c r="Z447"/>
      <c r="AA447" t="s">
        <v>3633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  <c r="Z448"/>
      <c r="AA448" t="s">
        <v>3633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  <c r="Z449"/>
      <c r="AA449" t="s">
        <v>3633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  <c r="Z450"/>
      <c r="AA450" t="s">
        <v>3633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  <c r="Z451"/>
      <c r="AA451" t="s">
        <v>3633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  <c r="Z452"/>
      <c r="AA452" t="s">
        <v>3633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  <c r="Z453"/>
      <c r="AA453" t="s">
        <v>3633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  <c r="Z454"/>
      <c r="AA454" t="s">
        <v>3633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  <c r="Z455"/>
      <c r="AA455" t="s">
        <v>3633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  <c r="Z456"/>
      <c r="AA456" t="s">
        <v>3633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  <c r="Z457"/>
      <c r="AA457" t="s">
        <v>3633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  <c r="Z458"/>
      <c r="AA458" t="s">
        <v>3633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  <c r="Z459"/>
      <c r="AA459" t="s">
        <v>3633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  <c r="Z460"/>
      <c r="AA460" t="s">
        <v>3633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  <c r="Z461"/>
      <c r="AA461" t="s">
        <v>3633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  <c r="Z462"/>
      <c r="AA462" t="s">
        <v>3633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  <c r="Z463"/>
      <c r="AA463" t="s">
        <v>3633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  <c r="Z464"/>
      <c r="AA464" t="s">
        <v>3633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  <c r="Z465"/>
      <c r="AA465" t="s">
        <v>3633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  <c r="Z466"/>
      <c r="AA466" t="s">
        <v>3633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  <c r="Z467"/>
      <c r="AA467" t="s">
        <v>3633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  <c r="Z468"/>
      <c r="AA468" t="s">
        <v>3633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  <c r="Z469"/>
      <c r="AA469" t="s">
        <v>3633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  <c r="Z470"/>
      <c r="AA470" t="s">
        <v>3633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  <c r="Z471"/>
      <c r="AA471" t="s">
        <v>3633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  <c r="Z472"/>
      <c r="AA472" t="s">
        <v>3633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  <c r="Z473"/>
      <c r="AA473" t="s">
        <v>3633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  <c r="Z474"/>
      <c r="AA474" t="s">
        <v>3633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  <c r="Z475"/>
      <c r="AA475" t="s">
        <v>3633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  <c r="Z476"/>
      <c r="AA476" t="s">
        <v>3633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  <c r="Z477"/>
      <c r="AA477" t="s">
        <v>3633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  <c r="Z478"/>
      <c r="AA478" t="s">
        <v>3633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  <c r="Z479"/>
      <c r="AA479" t="s">
        <v>3633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956</v>
      </c>
      <c r="V480" s="8">
        <v>1</v>
      </c>
      <c r="W480" s="8"/>
      <c r="X480" t="s">
        <v>7</v>
      </c>
      <c r="Y480" t="s">
        <v>1291</v>
      </c>
      <c r="Z480" t="s">
        <v>391</v>
      </c>
      <c r="AA480" t="s">
        <v>3633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958</v>
      </c>
      <c r="V481" s="8"/>
      <c r="W481" s="8">
        <v>1</v>
      </c>
      <c r="X481" t="s">
        <v>8</v>
      </c>
      <c r="Y481" t="s">
        <v>702</v>
      </c>
      <c r="Z481"/>
      <c r="AA481" t="s">
        <v>3633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959</v>
      </c>
      <c r="V482" s="8"/>
      <c r="W482" s="8">
        <v>1</v>
      </c>
      <c r="X482" t="s">
        <v>8</v>
      </c>
      <c r="Y482" t="s">
        <v>960</v>
      </c>
      <c r="Z482"/>
      <c r="AA482" t="s">
        <v>3633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961</v>
      </c>
      <c r="V483" s="8">
        <v>1</v>
      </c>
      <c r="W483" s="8"/>
      <c r="X483" t="s">
        <v>7</v>
      </c>
      <c r="Y483" t="s">
        <v>962</v>
      </c>
      <c r="Z483"/>
      <c r="AA483" t="s">
        <v>3633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963</v>
      </c>
      <c r="V484" s="8">
        <v>1</v>
      </c>
      <c r="W484" s="8"/>
      <c r="X484" t="s">
        <v>7</v>
      </c>
      <c r="Y484" t="s">
        <v>399</v>
      </c>
      <c r="Z484"/>
      <c r="AA484" t="s">
        <v>3633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964</v>
      </c>
      <c r="V485" s="8"/>
      <c r="W485" s="8">
        <v>1</v>
      </c>
      <c r="X485" t="s">
        <v>8</v>
      </c>
      <c r="Y485" t="s">
        <v>965</v>
      </c>
      <c r="Z485"/>
      <c r="AA485" t="s">
        <v>3633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966</v>
      </c>
      <c r="V486" s="8"/>
      <c r="W486" s="8">
        <v>1</v>
      </c>
      <c r="X486" t="s">
        <v>8</v>
      </c>
      <c r="Y486" t="s">
        <v>967</v>
      </c>
      <c r="Z486"/>
      <c r="AA486" t="s">
        <v>3633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968</v>
      </c>
      <c r="V487" s="8">
        <v>1</v>
      </c>
      <c r="W487" s="8"/>
      <c r="X487" t="s">
        <v>7</v>
      </c>
      <c r="Y487" t="s">
        <v>72</v>
      </c>
      <c r="Z487"/>
      <c r="AA487" t="s">
        <v>3633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969</v>
      </c>
      <c r="V488" s="8">
        <v>1</v>
      </c>
      <c r="W488" s="8"/>
      <c r="X488" t="s">
        <v>7</v>
      </c>
      <c r="Y488" t="s">
        <v>72</v>
      </c>
      <c r="Z488"/>
      <c r="AA488" t="s">
        <v>3633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970</v>
      </c>
      <c r="V489" s="8">
        <v>1</v>
      </c>
      <c r="W489" s="8"/>
      <c r="X489" t="s">
        <v>7</v>
      </c>
      <c r="Y489" t="s">
        <v>106</v>
      </c>
      <c r="Z489"/>
      <c r="AA489" t="s">
        <v>3633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971</v>
      </c>
      <c r="V490" s="8">
        <v>1</v>
      </c>
      <c r="W490" s="8"/>
      <c r="X490" t="s">
        <v>7</v>
      </c>
      <c r="Y490" t="s">
        <v>840</v>
      </c>
      <c r="Z490"/>
      <c r="AA490" t="s">
        <v>3633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972</v>
      </c>
      <c r="V491" s="8"/>
      <c r="W491" s="8">
        <v>1</v>
      </c>
      <c r="X491" t="s">
        <v>8</v>
      </c>
      <c r="Y491" t="s">
        <v>147</v>
      </c>
      <c r="Z491"/>
      <c r="AA491" t="s">
        <v>3633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973</v>
      </c>
      <c r="V492" s="8">
        <v>1</v>
      </c>
      <c r="W492" s="8"/>
      <c r="X492" t="s">
        <v>7</v>
      </c>
      <c r="Y492" t="s">
        <v>22</v>
      </c>
      <c r="Z492"/>
      <c r="AA492" t="s">
        <v>3633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974</v>
      </c>
      <c r="V493" s="8"/>
      <c r="W493" s="8">
        <v>1</v>
      </c>
      <c r="X493" t="s">
        <v>8</v>
      </c>
      <c r="Y493" t="s">
        <v>674</v>
      </c>
      <c r="Z493"/>
      <c r="AA493" t="s">
        <v>3633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975</v>
      </c>
      <c r="V494" s="8">
        <v>1</v>
      </c>
      <c r="W494" s="8"/>
      <c r="X494" t="s">
        <v>7</v>
      </c>
      <c r="Y494" t="s">
        <v>483</v>
      </c>
      <c r="Z494"/>
      <c r="AA494" t="s">
        <v>3633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976</v>
      </c>
      <c r="V495" s="8">
        <v>1</v>
      </c>
      <c r="W495" s="8"/>
      <c r="X495" t="s">
        <v>7</v>
      </c>
      <c r="Y495" t="s">
        <v>10</v>
      </c>
      <c r="Z495"/>
      <c r="AA495" t="s">
        <v>3633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977</v>
      </c>
      <c r="V496" s="8">
        <v>1</v>
      </c>
      <c r="W496" s="8"/>
      <c r="X496" t="s">
        <v>7</v>
      </c>
      <c r="Y496" t="s">
        <v>161</v>
      </c>
      <c r="Z496"/>
      <c r="AA496" t="s">
        <v>3633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978</v>
      </c>
      <c r="V497" s="8">
        <v>1</v>
      </c>
      <c r="W497" s="8"/>
      <c r="X497" t="s">
        <v>7</v>
      </c>
      <c r="Y497" t="s">
        <v>10</v>
      </c>
      <c r="Z497"/>
      <c r="AA497" t="s">
        <v>3633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979</v>
      </c>
      <c r="V498" s="8">
        <v>1</v>
      </c>
      <c r="W498" s="8"/>
      <c r="X498" t="s">
        <v>7</v>
      </c>
      <c r="Y498" t="s">
        <v>37</v>
      </c>
      <c r="Z498"/>
      <c r="AA498" t="s">
        <v>3633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980</v>
      </c>
      <c r="V499" s="8">
        <v>1</v>
      </c>
      <c r="W499" s="8"/>
      <c r="X499" t="s">
        <v>7</v>
      </c>
      <c r="Y499" t="s">
        <v>46</v>
      </c>
      <c r="Z499"/>
      <c r="AA499" t="s">
        <v>3633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981</v>
      </c>
      <c r="V500" s="8">
        <v>1</v>
      </c>
      <c r="W500" s="8"/>
      <c r="X500" t="s">
        <v>7</v>
      </c>
      <c r="Y500" t="s">
        <v>427</v>
      </c>
      <c r="Z500"/>
      <c r="AA500" t="s">
        <v>3633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982</v>
      </c>
      <c r="V501" s="8"/>
      <c r="W501" s="8">
        <v>1</v>
      </c>
      <c r="X501" t="s">
        <v>8</v>
      </c>
      <c r="Y501" t="s">
        <v>31</v>
      </c>
      <c r="Z501"/>
      <c r="AA501" t="s">
        <v>3633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983</v>
      </c>
      <c r="V502" s="8"/>
      <c r="W502" s="8">
        <v>1</v>
      </c>
      <c r="X502" t="s">
        <v>8</v>
      </c>
      <c r="Y502" t="s">
        <v>185</v>
      </c>
      <c r="Z502"/>
      <c r="AA502" t="s">
        <v>3633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984</v>
      </c>
      <c r="V503" s="8">
        <v>1</v>
      </c>
      <c r="W503" s="8"/>
      <c r="X503" t="s">
        <v>7</v>
      </c>
      <c r="Y503" t="s">
        <v>203</v>
      </c>
      <c r="Z503"/>
      <c r="AA503" t="s">
        <v>3633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985</v>
      </c>
      <c r="V504" s="8"/>
      <c r="W504" s="8">
        <v>1</v>
      </c>
      <c r="X504" t="s">
        <v>8</v>
      </c>
      <c r="Y504" t="s">
        <v>10</v>
      </c>
      <c r="Z504"/>
      <c r="AA504" t="s">
        <v>3633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986</v>
      </c>
      <c r="V505" s="8"/>
      <c r="W505" s="8">
        <v>1</v>
      </c>
      <c r="X505" t="s">
        <v>8</v>
      </c>
      <c r="Y505" t="s">
        <v>5</v>
      </c>
      <c r="Z505"/>
      <c r="AA505" t="s">
        <v>3633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987</v>
      </c>
      <c r="V506" s="8"/>
      <c r="W506" s="8">
        <v>1</v>
      </c>
      <c r="X506" t="s">
        <v>8</v>
      </c>
      <c r="Y506" t="s">
        <v>69</v>
      </c>
      <c r="Z506"/>
      <c r="AA506" t="s">
        <v>3633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988</v>
      </c>
      <c r="V507" s="8">
        <v>1</v>
      </c>
      <c r="W507" s="8"/>
      <c r="X507" t="s">
        <v>7</v>
      </c>
      <c r="Y507" t="s">
        <v>113</v>
      </c>
      <c r="Z507"/>
      <c r="AA507" t="s">
        <v>3633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989</v>
      </c>
      <c r="V508" s="8">
        <v>1</v>
      </c>
      <c r="W508" s="8"/>
      <c r="X508" t="s">
        <v>7</v>
      </c>
      <c r="Y508" t="s">
        <v>19</v>
      </c>
      <c r="Z508"/>
      <c r="AA508" t="s">
        <v>3633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990</v>
      </c>
      <c r="V509" s="8">
        <v>1</v>
      </c>
      <c r="W509" s="8"/>
      <c r="X509" t="s">
        <v>7</v>
      </c>
      <c r="Y509" t="s">
        <v>10</v>
      </c>
      <c r="Z509"/>
      <c r="AA509" t="s">
        <v>3633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391</v>
      </c>
      <c r="D510" t="s">
        <v>391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991</v>
      </c>
      <c r="V510" s="8"/>
      <c r="W510" s="8">
        <v>1</v>
      </c>
      <c r="X510" t="s">
        <v>8</v>
      </c>
      <c r="Y510" t="s">
        <v>442</v>
      </c>
      <c r="Z510"/>
      <c r="AA510" t="s">
        <v>3633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992</v>
      </c>
      <c r="V511" s="8">
        <v>1</v>
      </c>
      <c r="W511" s="8"/>
      <c r="X511" t="s">
        <v>7</v>
      </c>
      <c r="Y511" t="s">
        <v>161</v>
      </c>
      <c r="Z511"/>
      <c r="AA511" t="s">
        <v>3633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993</v>
      </c>
      <c r="V512" s="8">
        <v>1</v>
      </c>
      <c r="W512" s="8"/>
      <c r="X512" t="s">
        <v>7</v>
      </c>
      <c r="Y512" t="s">
        <v>5</v>
      </c>
      <c r="Z512"/>
      <c r="AA512" t="s">
        <v>3633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994</v>
      </c>
      <c r="V513" s="8">
        <v>1</v>
      </c>
      <c r="W513" s="8"/>
      <c r="X513" t="s">
        <v>7</v>
      </c>
      <c r="Y513" t="s">
        <v>81</v>
      </c>
      <c r="Z513"/>
      <c r="AA513" t="s">
        <v>3633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995</v>
      </c>
      <c r="V514" s="8"/>
      <c r="W514" s="8">
        <v>1</v>
      </c>
      <c r="X514" t="s">
        <v>8</v>
      </c>
      <c r="Y514" t="s">
        <v>5</v>
      </c>
      <c r="Z514"/>
      <c r="AA514" t="s">
        <v>3633</v>
      </c>
    </row>
    <row r="515" spans="1:27" hidden="1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998</v>
      </c>
      <c r="V515" s="8"/>
      <c r="W515" s="8">
        <v>1</v>
      </c>
      <c r="X515" t="s">
        <v>3549</v>
      </c>
      <c r="Y515" t="s">
        <v>169</v>
      </c>
      <c r="Z515">
        <v>6312</v>
      </c>
      <c r="AA515" s="35" t="s">
        <v>3560</v>
      </c>
    </row>
    <row r="516" spans="1:27" hidden="1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1000</v>
      </c>
      <c r="D516" t="s">
        <v>1001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1002</v>
      </c>
      <c r="V516" s="8">
        <v>1</v>
      </c>
      <c r="W516" s="8"/>
      <c r="X516" t="s">
        <v>3514</v>
      </c>
      <c r="Y516" t="s">
        <v>16</v>
      </c>
      <c r="Z516">
        <v>5934</v>
      </c>
      <c r="AA516" s="35" t="s">
        <v>3560</v>
      </c>
    </row>
    <row r="517" spans="1:27" hidden="1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999</v>
      </c>
      <c r="V517" s="8">
        <v>1</v>
      </c>
      <c r="W517" s="8"/>
      <c r="X517" t="s">
        <v>3513</v>
      </c>
      <c r="Y517" t="s">
        <v>19</v>
      </c>
      <c r="Z517">
        <v>5048</v>
      </c>
      <c r="AA517" s="35" t="s">
        <v>3560</v>
      </c>
    </row>
    <row r="518" spans="1:27" hidden="1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1290</v>
      </c>
      <c r="V518" s="8"/>
      <c r="W518" s="8">
        <v>1</v>
      </c>
      <c r="X518" t="s">
        <v>8</v>
      </c>
      <c r="Y518" t="s">
        <v>235</v>
      </c>
      <c r="Z518">
        <v>6311</v>
      </c>
      <c r="AA518" s="35" t="s">
        <v>3561</v>
      </c>
    </row>
    <row r="519" spans="1:27" hidden="1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996</v>
      </c>
      <c r="V519" s="8">
        <v>1</v>
      </c>
      <c r="W519" s="8"/>
      <c r="X519" t="s">
        <v>3515</v>
      </c>
      <c r="Y519" t="s">
        <v>263</v>
      </c>
      <c r="Z519">
        <v>5048</v>
      </c>
      <c r="AA519" s="35" t="s">
        <v>3560</v>
      </c>
    </row>
    <row r="520" spans="1:27" hidden="1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997</v>
      </c>
      <c r="V520" s="8">
        <v>1</v>
      </c>
      <c r="W520" s="8"/>
      <c r="X520" t="s">
        <v>3515</v>
      </c>
      <c r="Y520" t="s">
        <v>13</v>
      </c>
      <c r="Z520">
        <v>5229</v>
      </c>
      <c r="AA520" s="35" t="s">
        <v>3560</v>
      </c>
    </row>
    <row r="521" spans="1:27" hidden="1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1299</v>
      </c>
      <c r="V521" s="8">
        <v>1</v>
      </c>
      <c r="W521" s="8"/>
      <c r="X521" t="s">
        <v>3513</v>
      </c>
      <c r="Y521" t="s">
        <v>119</v>
      </c>
      <c r="Z521">
        <v>5047</v>
      </c>
      <c r="AA521" s="35" t="s">
        <v>3561</v>
      </c>
    </row>
    <row r="522" spans="1:27" hidden="1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1004</v>
      </c>
      <c r="V522" s="8">
        <v>1</v>
      </c>
      <c r="W522"/>
      <c r="X522" t="s">
        <v>3514</v>
      </c>
      <c r="Z522">
        <v>0</v>
      </c>
      <c r="AA522" s="35" t="s">
        <v>3560</v>
      </c>
    </row>
    <row r="523" spans="1:27" hidden="1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1003</v>
      </c>
      <c r="V523" s="8">
        <v>1</v>
      </c>
      <c r="W523" s="8"/>
      <c r="X523" t="s">
        <v>3515</v>
      </c>
      <c r="Y523" t="s">
        <v>257</v>
      </c>
      <c r="Z523">
        <v>5051</v>
      </c>
      <c r="AA523" s="35" t="s">
        <v>3560</v>
      </c>
    </row>
    <row r="524" spans="1:27" hidden="1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1005</v>
      </c>
      <c r="V524" s="8">
        <v>1</v>
      </c>
      <c r="W524" s="8"/>
      <c r="X524" t="s">
        <v>3514</v>
      </c>
      <c r="Y524" t="s">
        <v>117</v>
      </c>
      <c r="Z524">
        <v>5931</v>
      </c>
      <c r="AA524" s="35" t="s">
        <v>3560</v>
      </c>
    </row>
    <row r="525" spans="1:27" hidden="1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1006</v>
      </c>
      <c r="V525" s="24">
        <v>1</v>
      </c>
      <c r="W525" s="24"/>
      <c r="X525" t="s">
        <v>3514</v>
      </c>
      <c r="Y525" t="s">
        <v>31</v>
      </c>
      <c r="Z525">
        <v>5926</v>
      </c>
      <c r="AA525" s="35" t="s">
        <v>3560</v>
      </c>
    </row>
    <row r="526" spans="1:27" hidden="1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1007</v>
      </c>
      <c r="V526" s="8">
        <v>1</v>
      </c>
      <c r="W526" s="8"/>
      <c r="X526" t="s">
        <v>3514</v>
      </c>
      <c r="Y526" t="s">
        <v>28</v>
      </c>
      <c r="Z526">
        <v>5767</v>
      </c>
      <c r="AA526" s="35" t="s">
        <v>3560</v>
      </c>
    </row>
    <row r="527" spans="1:27" hidden="1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1009</v>
      </c>
      <c r="V527" s="8"/>
      <c r="W527" s="8">
        <v>1</v>
      </c>
      <c r="X527" t="s">
        <v>3550</v>
      </c>
      <c r="Y527" t="s">
        <v>297</v>
      </c>
      <c r="Z527">
        <v>6366</v>
      </c>
      <c r="AA527" s="35" t="s">
        <v>3560</v>
      </c>
    </row>
    <row r="528" spans="1:27" hidden="1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1008</v>
      </c>
      <c r="V528" s="8">
        <v>1</v>
      </c>
      <c r="W528" s="8"/>
      <c r="X528" t="s">
        <v>3514</v>
      </c>
      <c r="Y528" t="s">
        <v>102</v>
      </c>
      <c r="Z528">
        <v>5912</v>
      </c>
      <c r="AA528" s="35" t="s">
        <v>3560</v>
      </c>
    </row>
    <row r="529" spans="1:27" hidden="1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1010</v>
      </c>
      <c r="V529" s="8">
        <v>1</v>
      </c>
      <c r="W529" s="8"/>
      <c r="X529" t="s">
        <v>3515</v>
      </c>
      <c r="Y529" t="s">
        <v>249</v>
      </c>
      <c r="Z529">
        <v>5267</v>
      </c>
      <c r="AA529" s="35" t="s">
        <v>3560</v>
      </c>
    </row>
    <row r="530" spans="1:27" hidden="1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1011</v>
      </c>
      <c r="V530" s="8">
        <v>1</v>
      </c>
      <c r="W530" s="8"/>
      <c r="X530" t="s">
        <v>3513</v>
      </c>
      <c r="Y530" t="s">
        <v>13</v>
      </c>
      <c r="Z530">
        <v>5328</v>
      </c>
      <c r="AA530" s="35" t="s">
        <v>3560</v>
      </c>
    </row>
    <row r="531" spans="1:27" hidden="1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1312</v>
      </c>
      <c r="V531" s="8">
        <v>1</v>
      </c>
      <c r="W531" s="8"/>
      <c r="X531" t="s">
        <v>3513</v>
      </c>
      <c r="Y531" t="s">
        <v>113</v>
      </c>
      <c r="Z531">
        <v>5263</v>
      </c>
      <c r="AA531" s="35" t="s">
        <v>3561</v>
      </c>
    </row>
    <row r="532" spans="1:27" hidden="1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1012</v>
      </c>
      <c r="V532" s="8">
        <v>1</v>
      </c>
      <c r="W532" s="8"/>
      <c r="X532" t="s">
        <v>3515</v>
      </c>
      <c r="Y532" t="s">
        <v>100</v>
      </c>
      <c r="Z532">
        <v>5260</v>
      </c>
      <c r="AA532" s="35" t="s">
        <v>3560</v>
      </c>
    </row>
    <row r="533" spans="1:27" hidden="1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1014</v>
      </c>
      <c r="V533" s="8">
        <v>1</v>
      </c>
      <c r="W533" s="8"/>
      <c r="X533" t="s">
        <v>3514</v>
      </c>
      <c r="Y533" t="s">
        <v>92</v>
      </c>
      <c r="Z533">
        <v>5912</v>
      </c>
      <c r="AA533" s="35" t="s">
        <v>3560</v>
      </c>
    </row>
    <row r="534" spans="1:27" hidden="1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1013</v>
      </c>
      <c r="V534" s="8">
        <v>1</v>
      </c>
      <c r="W534" s="8"/>
      <c r="X534" t="s">
        <v>3514</v>
      </c>
      <c r="Y534" t="s">
        <v>22</v>
      </c>
      <c r="Z534">
        <v>5927</v>
      </c>
      <c r="AA534" s="35" t="s">
        <v>3560</v>
      </c>
    </row>
    <row r="535" spans="1:27" hidden="1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1015</v>
      </c>
      <c r="V535" s="8">
        <v>1</v>
      </c>
      <c r="W535" s="8"/>
      <c r="X535" t="s">
        <v>3514</v>
      </c>
      <c r="Y535" t="s">
        <v>16</v>
      </c>
      <c r="Z535">
        <v>5929</v>
      </c>
      <c r="AA535" s="35" t="s">
        <v>3560</v>
      </c>
    </row>
    <row r="536" spans="1:27" hidden="1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1017</v>
      </c>
      <c r="V536" s="8"/>
      <c r="W536" s="8">
        <v>1</v>
      </c>
      <c r="X536" t="s">
        <v>3549</v>
      </c>
      <c r="Y536" t="s">
        <v>63</v>
      </c>
      <c r="Z536">
        <v>6334</v>
      </c>
      <c r="AA536" s="35" t="s">
        <v>3560</v>
      </c>
    </row>
    <row r="537" spans="1:27" hidden="1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1016</v>
      </c>
      <c r="V537" s="8">
        <v>1</v>
      </c>
      <c r="W537" s="8"/>
      <c r="X537" t="s">
        <v>3514</v>
      </c>
      <c r="Y537" t="s">
        <v>185</v>
      </c>
      <c r="Z537">
        <v>5920</v>
      </c>
      <c r="AA537" s="35" t="s">
        <v>3560</v>
      </c>
    </row>
    <row r="538" spans="1:27" hidden="1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1018</v>
      </c>
      <c r="V538" s="8"/>
      <c r="W538" s="8">
        <v>1</v>
      </c>
      <c r="X538" t="s">
        <v>3550</v>
      </c>
      <c r="Y538" t="s">
        <v>5</v>
      </c>
      <c r="Z538">
        <v>6357</v>
      </c>
      <c r="AA538" s="35" t="s">
        <v>3560</v>
      </c>
    </row>
    <row r="539" spans="1:27" hidden="1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1019</v>
      </c>
      <c r="V539" s="8">
        <v>1</v>
      </c>
      <c r="W539" s="8"/>
      <c r="X539" t="s">
        <v>3514</v>
      </c>
      <c r="Y539" t="s">
        <v>28</v>
      </c>
      <c r="Z539">
        <v>5771</v>
      </c>
      <c r="AA539" s="35" t="s">
        <v>3560</v>
      </c>
    </row>
    <row r="540" spans="1:27" hidden="1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1328</v>
      </c>
      <c r="V540" s="8"/>
      <c r="W540" s="8">
        <v>1</v>
      </c>
      <c r="X540" t="s">
        <v>8</v>
      </c>
      <c r="Y540" t="s">
        <v>580</v>
      </c>
      <c r="Z540">
        <v>6337</v>
      </c>
      <c r="AA540" s="35" t="s">
        <v>3561</v>
      </c>
    </row>
    <row r="541" spans="1:27" hidden="1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1020</v>
      </c>
      <c r="V541" s="8"/>
      <c r="W541" s="8">
        <v>1</v>
      </c>
      <c r="X541" t="s">
        <v>3550</v>
      </c>
      <c r="Y541" t="s">
        <v>187</v>
      </c>
      <c r="Z541">
        <v>6355</v>
      </c>
      <c r="AA541" s="35" t="s">
        <v>3560</v>
      </c>
    </row>
    <row r="542" spans="1:27" hidden="1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1329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3561</v>
      </c>
    </row>
    <row r="543" spans="1:27" hidden="1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1022</v>
      </c>
      <c r="V543" s="8">
        <v>1</v>
      </c>
      <c r="W543" s="8"/>
      <c r="X543" t="s">
        <v>3513</v>
      </c>
      <c r="Y543" t="s">
        <v>285</v>
      </c>
      <c r="Z543">
        <v>5039</v>
      </c>
      <c r="AA543" s="35" t="s">
        <v>3560</v>
      </c>
    </row>
    <row r="544" spans="1:27" hidden="1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1021</v>
      </c>
      <c r="V544" s="8"/>
      <c r="W544" s="8">
        <v>1</v>
      </c>
      <c r="X544" t="s">
        <v>3549</v>
      </c>
      <c r="Y544" t="s">
        <v>31</v>
      </c>
      <c r="Z544">
        <v>6327</v>
      </c>
      <c r="AA544" s="35" t="s">
        <v>3560</v>
      </c>
    </row>
    <row r="545" spans="1:27" hidden="1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1324</v>
      </c>
      <c r="V545" s="8">
        <v>1</v>
      </c>
      <c r="W545" s="8"/>
      <c r="X545" t="s">
        <v>3513</v>
      </c>
      <c r="Y545" t="s">
        <v>1325</v>
      </c>
      <c r="Z545">
        <v>5040</v>
      </c>
      <c r="AA545" s="35" t="s">
        <v>3561</v>
      </c>
    </row>
    <row r="546" spans="1:27" hidden="1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1023</v>
      </c>
      <c r="V546" s="8">
        <v>1</v>
      </c>
      <c r="W546" s="8"/>
      <c r="X546" t="s">
        <v>3514</v>
      </c>
      <c r="Y546" t="s">
        <v>92</v>
      </c>
      <c r="Z546">
        <v>5922</v>
      </c>
      <c r="AA546" s="35" t="s">
        <v>3560</v>
      </c>
    </row>
    <row r="547" spans="1:27" hidden="1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1026</v>
      </c>
      <c r="V547" s="8"/>
      <c r="W547" s="8">
        <v>1</v>
      </c>
      <c r="X547" t="s">
        <v>3549</v>
      </c>
      <c r="Y547" t="s">
        <v>159</v>
      </c>
      <c r="Z547">
        <v>6324</v>
      </c>
      <c r="AA547" s="35" t="s">
        <v>3560</v>
      </c>
    </row>
    <row r="548" spans="1:27" hidden="1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1024</v>
      </c>
      <c r="V548" s="8">
        <v>1</v>
      </c>
      <c r="W548" s="8"/>
      <c r="X548" t="s">
        <v>3515</v>
      </c>
      <c r="Y548" t="s">
        <v>48</v>
      </c>
      <c r="Z548">
        <v>5264</v>
      </c>
      <c r="AA548" s="35" t="s">
        <v>3560</v>
      </c>
    </row>
    <row r="549" spans="1:27" hidden="1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1025</v>
      </c>
      <c r="V549" s="8">
        <v>1</v>
      </c>
      <c r="W549" s="8"/>
      <c r="X549" t="s">
        <v>3514</v>
      </c>
      <c r="Y549" t="s">
        <v>127</v>
      </c>
      <c r="Z549">
        <v>5929</v>
      </c>
      <c r="AA549" s="35" t="s">
        <v>3560</v>
      </c>
    </row>
    <row r="550" spans="1:27" hidden="1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1027</v>
      </c>
      <c r="V550" s="8"/>
      <c r="W550" s="8">
        <v>1</v>
      </c>
      <c r="X550" t="s">
        <v>3549</v>
      </c>
      <c r="Y550" t="s">
        <v>75</v>
      </c>
      <c r="Z550">
        <v>6325</v>
      </c>
      <c r="AA550" s="35" t="s">
        <v>3560</v>
      </c>
    </row>
    <row r="551" spans="1:27" hidden="1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1028</v>
      </c>
      <c r="V551" s="8"/>
      <c r="W551" s="8">
        <v>1</v>
      </c>
      <c r="X551" t="s">
        <v>3549</v>
      </c>
      <c r="Y551" t="s">
        <v>171</v>
      </c>
      <c r="Z551">
        <v>6320</v>
      </c>
      <c r="AA551" s="35" t="s">
        <v>3560</v>
      </c>
    </row>
    <row r="552" spans="1:27" hidden="1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1029</v>
      </c>
      <c r="V552" s="8"/>
      <c r="W552" s="8">
        <v>1</v>
      </c>
      <c r="X552" t="s">
        <v>3549</v>
      </c>
      <c r="Y552" t="s">
        <v>129</v>
      </c>
      <c r="Z552">
        <v>6333</v>
      </c>
      <c r="AA552" s="35" t="s">
        <v>3560</v>
      </c>
    </row>
    <row r="553" spans="1:27" hidden="1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1305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3561</v>
      </c>
    </row>
    <row r="554" spans="1:27" hidden="1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1030</v>
      </c>
      <c r="V554" s="8">
        <v>1</v>
      </c>
      <c r="W554" s="8"/>
      <c r="X554" t="s">
        <v>3515</v>
      </c>
      <c r="Y554" t="s">
        <v>81</v>
      </c>
      <c r="Z554">
        <v>5267</v>
      </c>
      <c r="AA554" s="35" t="s">
        <v>3560</v>
      </c>
    </row>
    <row r="555" spans="1:27" hidden="1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1032</v>
      </c>
      <c r="V555" s="8">
        <v>1</v>
      </c>
      <c r="W555" s="8"/>
      <c r="X555" t="s">
        <v>3513</v>
      </c>
      <c r="Y555" t="s">
        <v>22</v>
      </c>
      <c r="Z555">
        <v>5235</v>
      </c>
      <c r="AA555" s="35" t="s">
        <v>3560</v>
      </c>
    </row>
    <row r="556" spans="1:27" hidden="1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1031</v>
      </c>
      <c r="V556" s="8">
        <v>1</v>
      </c>
      <c r="W556" s="8"/>
      <c r="X556" t="s">
        <v>3514</v>
      </c>
      <c r="Y556" t="s">
        <v>54</v>
      </c>
      <c r="Z556">
        <v>5923</v>
      </c>
      <c r="AA556" s="35" t="s">
        <v>3560</v>
      </c>
    </row>
    <row r="557" spans="1:27" hidden="1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1034</v>
      </c>
      <c r="V557" s="8"/>
      <c r="W557" s="8">
        <v>1</v>
      </c>
      <c r="X557" t="s">
        <v>3549</v>
      </c>
      <c r="Y557" t="s">
        <v>75</v>
      </c>
      <c r="Z557">
        <v>6337</v>
      </c>
      <c r="AA557" s="35" t="s">
        <v>3560</v>
      </c>
    </row>
    <row r="558" spans="1:27" hidden="1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1033</v>
      </c>
      <c r="V558" s="8"/>
      <c r="W558" s="8">
        <v>1</v>
      </c>
      <c r="X558" t="s">
        <v>3550</v>
      </c>
      <c r="Y558" t="s">
        <v>31</v>
      </c>
      <c r="Z558">
        <v>6368</v>
      </c>
      <c r="AA558" s="35" t="s">
        <v>3560</v>
      </c>
    </row>
    <row r="559" spans="1:27" hidden="1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1035</v>
      </c>
      <c r="V559" s="8">
        <v>1</v>
      </c>
      <c r="W559" s="8"/>
      <c r="X559" t="s">
        <v>3514</v>
      </c>
      <c r="Y559" t="s">
        <v>215</v>
      </c>
      <c r="Z559">
        <v>5763</v>
      </c>
      <c r="AA559" s="35" t="s">
        <v>3560</v>
      </c>
    </row>
    <row r="560" spans="1:27" hidden="1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1036</v>
      </c>
      <c r="V560" s="8">
        <v>1</v>
      </c>
      <c r="W560" s="8"/>
      <c r="X560" t="s">
        <v>3515</v>
      </c>
      <c r="Y560" t="s">
        <v>241</v>
      </c>
      <c r="Z560">
        <v>2204</v>
      </c>
      <c r="AA560" s="35" t="s">
        <v>3560</v>
      </c>
    </row>
    <row r="561" spans="1:27" hidden="1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1037</v>
      </c>
      <c r="V561" s="8">
        <v>1</v>
      </c>
      <c r="W561" s="8"/>
      <c r="X561" t="s">
        <v>3514</v>
      </c>
      <c r="Y561" t="s">
        <v>13</v>
      </c>
      <c r="Z561">
        <v>5053</v>
      </c>
      <c r="AA561" s="35" t="s">
        <v>3560</v>
      </c>
    </row>
    <row r="562" spans="1:27" hidden="1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1038</v>
      </c>
      <c r="V562" s="8">
        <v>1</v>
      </c>
      <c r="W562" s="8"/>
      <c r="X562" t="s">
        <v>3515</v>
      </c>
      <c r="Y562" t="s">
        <v>13</v>
      </c>
      <c r="Z562">
        <v>5048</v>
      </c>
      <c r="AA562" s="35" t="s">
        <v>3560</v>
      </c>
    </row>
    <row r="563" spans="1:27" hidden="1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1039</v>
      </c>
      <c r="V563" s="8"/>
      <c r="W563" s="8">
        <v>1</v>
      </c>
      <c r="X563" t="s">
        <v>3549</v>
      </c>
      <c r="Y563" t="s">
        <v>5</v>
      </c>
      <c r="Z563">
        <v>6327</v>
      </c>
      <c r="AA563" s="35" t="s">
        <v>3560</v>
      </c>
    </row>
    <row r="564" spans="1:27" hidden="1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1042</v>
      </c>
      <c r="V564" s="8"/>
      <c r="W564" s="8">
        <v>1</v>
      </c>
      <c r="X564" t="s">
        <v>3549</v>
      </c>
      <c r="Y564" t="s">
        <v>147</v>
      </c>
      <c r="Z564">
        <v>6314</v>
      </c>
      <c r="AA564" s="35" t="s">
        <v>3560</v>
      </c>
    </row>
    <row r="565" spans="1:27" hidden="1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1043</v>
      </c>
      <c r="V565" s="8">
        <v>1</v>
      </c>
      <c r="W565" s="8"/>
      <c r="X565" t="s">
        <v>3514</v>
      </c>
      <c r="Y565" t="s">
        <v>149</v>
      </c>
      <c r="Z565">
        <v>5916</v>
      </c>
      <c r="AA565" s="35" t="s">
        <v>3560</v>
      </c>
    </row>
    <row r="566" spans="1:27" hidden="1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1040</v>
      </c>
      <c r="V566" s="8">
        <v>1</v>
      </c>
      <c r="W566" s="8"/>
      <c r="X566" t="s">
        <v>3513</v>
      </c>
      <c r="Y566" t="s">
        <v>19</v>
      </c>
      <c r="Z566">
        <v>5327</v>
      </c>
      <c r="AA566" s="35" t="s">
        <v>3560</v>
      </c>
    </row>
    <row r="567" spans="1:27" hidden="1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1041</v>
      </c>
      <c r="V567" s="8">
        <v>1</v>
      </c>
      <c r="W567" s="8"/>
      <c r="X567" t="s">
        <v>3514</v>
      </c>
      <c r="Y567" t="s">
        <v>78</v>
      </c>
      <c r="Z567">
        <v>5911</v>
      </c>
      <c r="AA567" s="35" t="s">
        <v>3560</v>
      </c>
    </row>
    <row r="568" spans="1:27" hidden="1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1044</v>
      </c>
      <c r="V568" s="8">
        <v>1</v>
      </c>
      <c r="W568" s="8"/>
      <c r="X568" t="s">
        <v>3515</v>
      </c>
      <c r="Y568" t="s">
        <v>43</v>
      </c>
      <c r="Z568">
        <v>2199</v>
      </c>
      <c r="AA568" s="35" t="s">
        <v>3560</v>
      </c>
    </row>
    <row r="569" spans="1:27" hidden="1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1047</v>
      </c>
      <c r="V569" s="8">
        <v>1</v>
      </c>
      <c r="W569" s="8"/>
      <c r="X569" t="s">
        <v>3513</v>
      </c>
      <c r="Y569" t="s">
        <v>273</v>
      </c>
      <c r="Z569">
        <v>5325</v>
      </c>
      <c r="AA569" s="35" t="s">
        <v>3560</v>
      </c>
    </row>
    <row r="570" spans="1:27" hidden="1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1046</v>
      </c>
      <c r="V570" s="8">
        <v>1</v>
      </c>
      <c r="W570" s="8"/>
      <c r="X570" t="s">
        <v>3514</v>
      </c>
      <c r="Y570" t="s">
        <v>57</v>
      </c>
      <c r="Z570">
        <v>5935</v>
      </c>
      <c r="AA570" s="35" t="s">
        <v>3560</v>
      </c>
    </row>
    <row r="571" spans="1:27" hidden="1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1045</v>
      </c>
      <c r="V571" s="8">
        <v>1</v>
      </c>
      <c r="W571" s="8"/>
      <c r="X571" t="s">
        <v>3514</v>
      </c>
      <c r="Y571" t="s">
        <v>261</v>
      </c>
      <c r="Z571">
        <v>5769</v>
      </c>
      <c r="AA571" s="35" t="s">
        <v>3560</v>
      </c>
    </row>
    <row r="572" spans="1:27" hidden="1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1048</v>
      </c>
      <c r="V572" s="8"/>
      <c r="W572" s="8">
        <v>1</v>
      </c>
      <c r="X572" t="s">
        <v>3549</v>
      </c>
      <c r="Y572" t="s">
        <v>121</v>
      </c>
      <c r="Z572">
        <v>6317</v>
      </c>
      <c r="AA572" s="35" t="s">
        <v>3560</v>
      </c>
    </row>
    <row r="573" spans="1:27" hidden="1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1049</v>
      </c>
      <c r="V573" s="8">
        <v>1</v>
      </c>
      <c r="W573" s="8"/>
      <c r="X573" t="s">
        <v>3513</v>
      </c>
      <c r="Y573" t="s">
        <v>211</v>
      </c>
      <c r="Z573">
        <v>2208</v>
      </c>
      <c r="AA573" s="35" t="s">
        <v>3560</v>
      </c>
    </row>
    <row r="574" spans="1:27" hidden="1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1051</v>
      </c>
      <c r="V574" s="8">
        <v>1</v>
      </c>
      <c r="W574" s="8"/>
      <c r="X574" t="s">
        <v>3513</v>
      </c>
      <c r="Y574" t="s">
        <v>10</v>
      </c>
      <c r="Z574">
        <v>2195</v>
      </c>
      <c r="AA574" s="35" t="s">
        <v>3560</v>
      </c>
    </row>
    <row r="575" spans="1:27" hidden="1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1050</v>
      </c>
      <c r="V575" s="8">
        <v>1</v>
      </c>
      <c r="W575" s="8"/>
      <c r="X575" t="s">
        <v>3513</v>
      </c>
      <c r="Y575" t="s">
        <v>19</v>
      </c>
      <c r="Z575">
        <v>5261</v>
      </c>
      <c r="AA575" s="35" t="s">
        <v>3560</v>
      </c>
    </row>
    <row r="576" spans="1:27" hidden="1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1052</v>
      </c>
      <c r="V576" s="8"/>
      <c r="W576" s="8">
        <v>1</v>
      </c>
      <c r="X576" t="s">
        <v>3550</v>
      </c>
      <c r="Y576" t="s">
        <v>221</v>
      </c>
      <c r="Z576">
        <v>6369</v>
      </c>
      <c r="AA576" s="35" t="s">
        <v>3560</v>
      </c>
    </row>
    <row r="577" spans="1:27" hidden="1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1053</v>
      </c>
      <c r="V577" s="8">
        <v>1</v>
      </c>
      <c r="W577" s="8"/>
      <c r="X577" t="s">
        <v>3514</v>
      </c>
      <c r="Y577" t="s">
        <v>10</v>
      </c>
      <c r="Z577">
        <v>4676</v>
      </c>
      <c r="AA577" s="35" t="s">
        <v>3560</v>
      </c>
    </row>
    <row r="578" spans="1:27" hidden="1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1054</v>
      </c>
      <c r="V578" s="8">
        <v>1</v>
      </c>
      <c r="W578" s="8"/>
      <c r="X578" t="s">
        <v>3515</v>
      </c>
      <c r="Y578" t="s">
        <v>299</v>
      </c>
      <c r="Z578">
        <v>5052</v>
      </c>
      <c r="AA578" s="35" t="s">
        <v>3560</v>
      </c>
    </row>
    <row r="579" spans="1:27" hidden="1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1055</v>
      </c>
      <c r="V579" s="8"/>
      <c r="W579" s="8">
        <v>1</v>
      </c>
      <c r="X579" t="s">
        <v>3549</v>
      </c>
      <c r="Y579" t="s">
        <v>81</v>
      </c>
      <c r="Z579">
        <v>6317</v>
      </c>
      <c r="AA579" s="35" t="s">
        <v>3560</v>
      </c>
    </row>
    <row r="580" spans="1:27" hidden="1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1056</v>
      </c>
      <c r="V580" s="8">
        <v>1</v>
      </c>
      <c r="W580" s="8"/>
      <c r="X580" t="s">
        <v>3513</v>
      </c>
      <c r="Y580" t="s">
        <v>193</v>
      </c>
      <c r="Z580">
        <v>5240</v>
      </c>
      <c r="AA580" s="35" t="s">
        <v>3560</v>
      </c>
    </row>
    <row r="581" spans="1:27" hidden="1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1058</v>
      </c>
      <c r="V581" s="8">
        <v>1</v>
      </c>
      <c r="W581" s="8"/>
      <c r="X581" t="s">
        <v>3513</v>
      </c>
      <c r="Y581" t="s">
        <v>66</v>
      </c>
      <c r="Z581">
        <v>5241</v>
      </c>
      <c r="AA581" s="35" t="s">
        <v>3560</v>
      </c>
    </row>
    <row r="582" spans="1:27" hidden="1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1059</v>
      </c>
      <c r="V582" s="8"/>
      <c r="W582" s="8">
        <v>1</v>
      </c>
      <c r="X582" t="s">
        <v>3549</v>
      </c>
      <c r="Y582" t="s">
        <v>88</v>
      </c>
      <c r="Z582">
        <v>6322</v>
      </c>
      <c r="AA582" s="35" t="s">
        <v>3560</v>
      </c>
    </row>
    <row r="583" spans="1:27" hidden="1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1057</v>
      </c>
      <c r="V583" s="8">
        <v>1</v>
      </c>
      <c r="W583" s="8"/>
      <c r="X583" t="s">
        <v>3513</v>
      </c>
      <c r="Y583" t="s">
        <v>217</v>
      </c>
      <c r="Z583">
        <v>5052</v>
      </c>
      <c r="AA583" s="35" t="s">
        <v>3560</v>
      </c>
    </row>
    <row r="584" spans="1:27" hidden="1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1060</v>
      </c>
      <c r="V584" s="8">
        <v>1</v>
      </c>
      <c r="W584" s="8"/>
      <c r="X584" t="s">
        <v>3514</v>
      </c>
      <c r="Y584" t="s">
        <v>60</v>
      </c>
      <c r="Z584">
        <v>5909</v>
      </c>
      <c r="AA584" s="35" t="s">
        <v>3560</v>
      </c>
    </row>
    <row r="585" spans="1:27" hidden="1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1062</v>
      </c>
      <c r="V585" s="8"/>
      <c r="W585" s="8">
        <v>1</v>
      </c>
      <c r="X585" t="s">
        <v>3550</v>
      </c>
      <c r="Y585" t="s">
        <v>163</v>
      </c>
      <c r="Z585">
        <v>6364</v>
      </c>
      <c r="AA585" s="35" t="s">
        <v>3560</v>
      </c>
    </row>
    <row r="586" spans="1:27" hidden="1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1318</v>
      </c>
      <c r="V586" s="8">
        <v>1</v>
      </c>
      <c r="W586" s="8"/>
      <c r="X586" t="s">
        <v>3515</v>
      </c>
      <c r="Y586" t="s">
        <v>106</v>
      </c>
      <c r="Z586">
        <v>2208</v>
      </c>
      <c r="AA586" s="35" t="s">
        <v>3561</v>
      </c>
    </row>
    <row r="587" spans="1:27" hidden="1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1061</v>
      </c>
      <c r="V587" s="8">
        <v>1</v>
      </c>
      <c r="W587" s="8"/>
      <c r="X587" t="s">
        <v>3514</v>
      </c>
      <c r="Y587" t="s">
        <v>111</v>
      </c>
      <c r="Z587">
        <v>5928</v>
      </c>
      <c r="AA587" s="35" t="s">
        <v>3560</v>
      </c>
    </row>
    <row r="588" spans="1:27" hidden="1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1336</v>
      </c>
      <c r="V588" s="8">
        <v>1</v>
      </c>
      <c r="W588" s="8"/>
      <c r="X588" t="s">
        <v>3514</v>
      </c>
      <c r="Y588" t="s">
        <v>219</v>
      </c>
      <c r="Z588">
        <v>5912</v>
      </c>
      <c r="AA588" s="35" t="s">
        <v>3561</v>
      </c>
    </row>
    <row r="589" spans="1:27" hidden="1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1292</v>
      </c>
      <c r="V589" s="8">
        <v>1</v>
      </c>
      <c r="W589" s="8"/>
      <c r="X589" t="s">
        <v>3515</v>
      </c>
      <c r="Y589" t="s">
        <v>1293</v>
      </c>
      <c r="Z589">
        <v>2200</v>
      </c>
      <c r="AA589" s="35" t="s">
        <v>3561</v>
      </c>
    </row>
    <row r="590" spans="1:27" hidden="1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1064</v>
      </c>
      <c r="V590" s="8">
        <v>1</v>
      </c>
      <c r="W590" s="8"/>
      <c r="X590" t="s">
        <v>3514</v>
      </c>
      <c r="Y590" t="s">
        <v>514</v>
      </c>
      <c r="Z590">
        <v>5923</v>
      </c>
      <c r="AA590" s="35" t="s">
        <v>3560</v>
      </c>
    </row>
    <row r="591" spans="1:27" hidden="1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1065</v>
      </c>
      <c r="V591" s="8">
        <v>1</v>
      </c>
      <c r="W591" s="8"/>
      <c r="X591" t="s">
        <v>3514</v>
      </c>
      <c r="Y591" t="s">
        <v>219</v>
      </c>
      <c r="Z591">
        <v>5925</v>
      </c>
      <c r="AA591" s="35" t="s">
        <v>3560</v>
      </c>
    </row>
    <row r="592" spans="1:27" hidden="1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1063</v>
      </c>
      <c r="V592" s="8">
        <v>1</v>
      </c>
      <c r="W592" s="8"/>
      <c r="X592" t="s">
        <v>3514</v>
      </c>
      <c r="Y592" t="s">
        <v>213</v>
      </c>
      <c r="Z592">
        <v>5927</v>
      </c>
      <c r="AA592" s="35" t="s">
        <v>3560</v>
      </c>
    </row>
    <row r="593" spans="1:27" hidden="1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1066</v>
      </c>
      <c r="V593" s="8">
        <v>1</v>
      </c>
      <c r="W593" s="8"/>
      <c r="X593" t="s">
        <v>3515</v>
      </c>
      <c r="Y593" t="s">
        <v>43</v>
      </c>
      <c r="Z593">
        <v>2195</v>
      </c>
      <c r="AA593" s="35" t="s">
        <v>3560</v>
      </c>
    </row>
    <row r="594" spans="1:27" hidden="1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1068</v>
      </c>
      <c r="V594" s="8"/>
      <c r="W594" s="8">
        <v>1</v>
      </c>
      <c r="X594" t="s">
        <v>3549</v>
      </c>
      <c r="Y594" t="s">
        <v>5</v>
      </c>
      <c r="Z594">
        <v>6333</v>
      </c>
      <c r="AA594" s="35" t="s">
        <v>3560</v>
      </c>
    </row>
    <row r="595" spans="1:27" hidden="1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1067</v>
      </c>
      <c r="V595" s="8">
        <v>1</v>
      </c>
      <c r="W595" s="8"/>
      <c r="X595" t="s">
        <v>3514</v>
      </c>
      <c r="Y595" t="s">
        <v>131</v>
      </c>
      <c r="Z595">
        <v>5916</v>
      </c>
      <c r="AA595" s="35" t="s">
        <v>3560</v>
      </c>
    </row>
    <row r="596" spans="1:27" hidden="1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3515</v>
      </c>
      <c r="Z596">
        <v>0</v>
      </c>
      <c r="AA596" s="35" t="s">
        <v>3560</v>
      </c>
    </row>
    <row r="597" spans="1:27" hidden="1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1069</v>
      </c>
      <c r="D597" t="s">
        <v>1070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1071</v>
      </c>
      <c r="V597" s="8">
        <v>1</v>
      </c>
      <c r="W597" s="8"/>
      <c r="X597" t="s">
        <v>3513</v>
      </c>
      <c r="Y597" t="s">
        <v>25</v>
      </c>
      <c r="Z597">
        <v>5229</v>
      </c>
      <c r="AA597" s="35" t="s">
        <v>3560</v>
      </c>
    </row>
    <row r="598" spans="1:27" hidden="1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1072</v>
      </c>
      <c r="V598" s="8">
        <v>1</v>
      </c>
      <c r="W598" s="8"/>
      <c r="X598" t="s">
        <v>3514</v>
      </c>
      <c r="Y598" t="s">
        <v>16</v>
      </c>
      <c r="Z598">
        <v>5929</v>
      </c>
      <c r="AA598" s="35" t="s">
        <v>3560</v>
      </c>
    </row>
    <row r="599" spans="1:27" hidden="1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1073</v>
      </c>
      <c r="V599" s="8">
        <v>1</v>
      </c>
      <c r="W599" s="8"/>
      <c r="X599" t="s">
        <v>3515</v>
      </c>
      <c r="Y599" t="s">
        <v>514</v>
      </c>
      <c r="Z599">
        <v>5043</v>
      </c>
      <c r="AA599" s="35" t="s">
        <v>3560</v>
      </c>
    </row>
    <row r="600" spans="1:27" hidden="1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1074</v>
      </c>
      <c r="V600" s="8">
        <v>1</v>
      </c>
      <c r="W600" s="8"/>
      <c r="X600" t="s">
        <v>3514</v>
      </c>
      <c r="Y600" t="s">
        <v>1075</v>
      </c>
      <c r="Z600">
        <v>5929</v>
      </c>
      <c r="AA600" s="35" t="s">
        <v>3560</v>
      </c>
    </row>
    <row r="601" spans="1:27" hidden="1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1311</v>
      </c>
      <c r="V601" s="8">
        <v>1</v>
      </c>
      <c r="W601" s="8"/>
      <c r="X601" t="s">
        <v>3515</v>
      </c>
      <c r="Y601" t="s">
        <v>113</v>
      </c>
      <c r="Z601">
        <v>5043</v>
      </c>
      <c r="AA601" s="35" t="s">
        <v>3561</v>
      </c>
    </row>
    <row r="602" spans="1:27" hidden="1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1078</v>
      </c>
      <c r="V602" s="8"/>
      <c r="W602" s="8">
        <v>1</v>
      </c>
      <c r="X602" t="s">
        <v>3549</v>
      </c>
      <c r="Y602" t="s">
        <v>5</v>
      </c>
      <c r="Z602">
        <v>6364</v>
      </c>
      <c r="AA602" s="35" t="s">
        <v>3560</v>
      </c>
    </row>
    <row r="603" spans="1:27" hidden="1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1077</v>
      </c>
      <c r="V603" s="8">
        <v>1</v>
      </c>
      <c r="W603" s="8"/>
      <c r="X603" t="s">
        <v>3514</v>
      </c>
      <c r="Y603" t="s">
        <v>28</v>
      </c>
      <c r="Z603">
        <v>5771</v>
      </c>
      <c r="AA603" s="35" t="s">
        <v>3560</v>
      </c>
    </row>
    <row r="604" spans="1:27" hidden="1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1076</v>
      </c>
      <c r="V604" s="8">
        <v>1</v>
      </c>
      <c r="W604" s="8"/>
      <c r="X604" t="s">
        <v>3515</v>
      </c>
      <c r="Y604" t="s">
        <v>25</v>
      </c>
      <c r="Z604">
        <v>5049</v>
      </c>
      <c r="AA604" s="35" t="s">
        <v>3560</v>
      </c>
    </row>
    <row r="605" spans="1:27" hidden="1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1079</v>
      </c>
      <c r="V605" s="8">
        <v>1</v>
      </c>
      <c r="W605" s="8"/>
      <c r="X605" t="s">
        <v>3513</v>
      </c>
      <c r="Y605" t="s">
        <v>189</v>
      </c>
      <c r="Z605">
        <v>2206</v>
      </c>
      <c r="AA605" s="35" t="s">
        <v>3560</v>
      </c>
    </row>
    <row r="606" spans="1:27" hidden="1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1080</v>
      </c>
      <c r="V606" s="8">
        <v>1</v>
      </c>
      <c r="W606" s="8"/>
      <c r="X606" t="s">
        <v>3513</v>
      </c>
      <c r="Y606" t="s">
        <v>108</v>
      </c>
      <c r="Z606">
        <v>5914</v>
      </c>
      <c r="AA606" s="35" t="s">
        <v>3560</v>
      </c>
    </row>
    <row r="607" spans="1:27" hidden="1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1327</v>
      </c>
      <c r="V607" s="8"/>
      <c r="W607" s="8">
        <v>1</v>
      </c>
      <c r="X607" t="s">
        <v>8</v>
      </c>
      <c r="Y607" t="s">
        <v>668</v>
      </c>
      <c r="Z607">
        <v>6320</v>
      </c>
      <c r="AA607" s="35" t="s">
        <v>3561</v>
      </c>
    </row>
    <row r="608" spans="1:27" hidden="1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1082</v>
      </c>
      <c r="V608" s="8">
        <v>1</v>
      </c>
      <c r="W608" s="8"/>
      <c r="X608" t="s">
        <v>3514</v>
      </c>
      <c r="Y608" t="s">
        <v>277</v>
      </c>
      <c r="Z608">
        <v>5923</v>
      </c>
      <c r="AA608" s="35" t="s">
        <v>3560</v>
      </c>
    </row>
    <row r="609" spans="1:27" hidden="1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1083</v>
      </c>
      <c r="V609" s="8">
        <v>1</v>
      </c>
      <c r="W609" s="8"/>
      <c r="X609" t="s">
        <v>3513</v>
      </c>
      <c r="Y609" t="s">
        <v>5</v>
      </c>
      <c r="Z609">
        <v>5046</v>
      </c>
      <c r="AA609" s="35" t="s">
        <v>3560</v>
      </c>
    </row>
    <row r="610" spans="1:27" hidden="1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1081</v>
      </c>
      <c r="V610" s="8">
        <v>1</v>
      </c>
      <c r="W610" s="8"/>
      <c r="X610" t="s">
        <v>3514</v>
      </c>
      <c r="Y610" t="s">
        <v>207</v>
      </c>
      <c r="Z610">
        <v>2546</v>
      </c>
      <c r="AA610" s="35" t="s">
        <v>3560</v>
      </c>
    </row>
    <row r="611" spans="1:27" hidden="1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1084</v>
      </c>
      <c r="V611" s="8">
        <v>1</v>
      </c>
      <c r="W611" s="8"/>
      <c r="X611" t="s">
        <v>3514</v>
      </c>
      <c r="Y611" t="s">
        <v>34</v>
      </c>
      <c r="Z611">
        <v>2548</v>
      </c>
      <c r="AA611" s="35" t="s">
        <v>3560</v>
      </c>
    </row>
    <row r="612" spans="1:27" hidden="1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1085</v>
      </c>
      <c r="V612" s="8">
        <v>1</v>
      </c>
      <c r="W612" s="20"/>
      <c r="X612" t="s">
        <v>3514</v>
      </c>
      <c r="Y612" s="15" t="s">
        <v>287</v>
      </c>
      <c r="Z612">
        <v>5047</v>
      </c>
      <c r="AA612" s="35" t="s">
        <v>3560</v>
      </c>
    </row>
    <row r="613" spans="1:27" hidden="1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1086</v>
      </c>
      <c r="V613" s="8">
        <v>1</v>
      </c>
      <c r="W613" s="8"/>
      <c r="X613" t="s">
        <v>3514</v>
      </c>
      <c r="Y613" t="s">
        <v>78</v>
      </c>
      <c r="Z613">
        <v>5929</v>
      </c>
      <c r="AA613" s="35" t="s">
        <v>3560</v>
      </c>
    </row>
    <row r="614" spans="1:27" hidden="1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1087</v>
      </c>
      <c r="V614" s="8"/>
      <c r="W614" s="8">
        <v>1</v>
      </c>
      <c r="X614" t="s">
        <v>3550</v>
      </c>
      <c r="Y614" t="s">
        <v>10</v>
      </c>
      <c r="Z614">
        <v>6375</v>
      </c>
      <c r="AA614" s="35" t="s">
        <v>3560</v>
      </c>
    </row>
    <row r="615" spans="1:27" hidden="1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1088</v>
      </c>
      <c r="V615" s="8">
        <v>1</v>
      </c>
      <c r="W615" s="8"/>
      <c r="X615" t="s">
        <v>3513</v>
      </c>
      <c r="Y615" t="s">
        <v>40</v>
      </c>
      <c r="Z615">
        <v>2196</v>
      </c>
      <c r="AA615" s="35" t="s">
        <v>3560</v>
      </c>
    </row>
    <row r="616" spans="1:27" hidden="1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1089</v>
      </c>
      <c r="V616" s="8">
        <v>1</v>
      </c>
      <c r="W616" s="8"/>
      <c r="X616" t="s">
        <v>3514</v>
      </c>
      <c r="Y616" t="s">
        <v>127</v>
      </c>
      <c r="Z616">
        <v>5911</v>
      </c>
      <c r="AA616" s="35" t="s">
        <v>3560</v>
      </c>
    </row>
    <row r="617" spans="1:27" hidden="1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1090</v>
      </c>
      <c r="V617" s="8">
        <v>1</v>
      </c>
      <c r="W617" s="8"/>
      <c r="X617" t="s">
        <v>3515</v>
      </c>
      <c r="Y617" t="s">
        <v>22</v>
      </c>
      <c r="Z617">
        <v>5042</v>
      </c>
      <c r="AA617" s="35" t="s">
        <v>3560</v>
      </c>
    </row>
    <row r="618" spans="1:27" hidden="1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1095</v>
      </c>
      <c r="V618" s="8"/>
      <c r="W618" s="8">
        <v>1</v>
      </c>
      <c r="X618" t="s">
        <v>3549</v>
      </c>
      <c r="Y618" t="s">
        <v>72</v>
      </c>
      <c r="Z618">
        <v>6314</v>
      </c>
      <c r="AA618" s="35" t="s">
        <v>3560</v>
      </c>
    </row>
    <row r="619" spans="1:27" hidden="1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1093</v>
      </c>
      <c r="V619" s="8">
        <v>1</v>
      </c>
      <c r="W619" s="8"/>
      <c r="X619" t="s">
        <v>3514</v>
      </c>
      <c r="Y619" t="s">
        <v>63</v>
      </c>
      <c r="Z619">
        <v>5916</v>
      </c>
      <c r="AA619" s="35" t="s">
        <v>3560</v>
      </c>
    </row>
    <row r="620" spans="1:27" hidden="1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1092</v>
      </c>
      <c r="V620" s="8"/>
      <c r="W620" s="8">
        <v>1</v>
      </c>
      <c r="X620" t="s">
        <v>3549</v>
      </c>
      <c r="Y620" t="s">
        <v>5</v>
      </c>
      <c r="Z620">
        <v>6313</v>
      </c>
      <c r="AA620" s="35" t="s">
        <v>3560</v>
      </c>
    </row>
    <row r="621" spans="1:27" hidden="1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1094</v>
      </c>
      <c r="V621" s="8">
        <v>1</v>
      </c>
      <c r="W621" s="8"/>
      <c r="X621" t="s">
        <v>3514</v>
      </c>
      <c r="Y621" t="s">
        <v>10</v>
      </c>
      <c r="Z621">
        <v>5911</v>
      </c>
      <c r="AA621" s="35" t="s">
        <v>3560</v>
      </c>
    </row>
    <row r="622" spans="1:27" hidden="1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1091</v>
      </c>
      <c r="V622" s="8">
        <v>1</v>
      </c>
      <c r="W622" s="8"/>
      <c r="X622" t="s">
        <v>3514</v>
      </c>
      <c r="Y622" t="s">
        <v>225</v>
      </c>
      <c r="Z622">
        <v>5909</v>
      </c>
      <c r="AA622" s="35" t="s">
        <v>3560</v>
      </c>
    </row>
    <row r="623" spans="1:27" hidden="1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1098</v>
      </c>
      <c r="V623" s="8"/>
      <c r="W623" s="8">
        <v>1</v>
      </c>
      <c r="X623" t="s">
        <v>3549</v>
      </c>
      <c r="Y623" t="s">
        <v>137</v>
      </c>
      <c r="Z623">
        <v>6303</v>
      </c>
      <c r="AA623" s="35" t="s">
        <v>3560</v>
      </c>
    </row>
    <row r="624" spans="1:27" hidden="1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1096</v>
      </c>
      <c r="V624" s="8">
        <v>1</v>
      </c>
      <c r="W624" s="8"/>
      <c r="X624" t="s">
        <v>3513</v>
      </c>
      <c r="Y624" t="s">
        <v>151</v>
      </c>
      <c r="Z624">
        <v>5040</v>
      </c>
      <c r="AA624" s="35" t="s">
        <v>3560</v>
      </c>
    </row>
    <row r="625" spans="1:27" hidden="1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1097</v>
      </c>
      <c r="V625" s="8">
        <v>1</v>
      </c>
      <c r="W625" s="8"/>
      <c r="X625" t="s">
        <v>3514</v>
      </c>
      <c r="Y625" t="s">
        <v>13</v>
      </c>
      <c r="Z625">
        <v>5932</v>
      </c>
      <c r="AA625" s="35" t="s">
        <v>3560</v>
      </c>
    </row>
    <row r="626" spans="1:27" hidden="1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1099</v>
      </c>
      <c r="V626" s="8">
        <v>1</v>
      </c>
      <c r="W626" s="8"/>
      <c r="X626" t="s">
        <v>3514</v>
      </c>
      <c r="Y626" t="s">
        <v>46</v>
      </c>
      <c r="Z626">
        <v>5938</v>
      </c>
      <c r="AA626" s="35" t="s">
        <v>3560</v>
      </c>
    </row>
    <row r="627" spans="1:27" hidden="1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1100</v>
      </c>
      <c r="V627" s="8">
        <v>1</v>
      </c>
      <c r="W627" s="8"/>
      <c r="X627" t="s">
        <v>3515</v>
      </c>
      <c r="Y627" t="s">
        <v>40</v>
      </c>
      <c r="Z627">
        <v>5325</v>
      </c>
      <c r="AA627" s="35" t="s">
        <v>3560</v>
      </c>
    </row>
    <row r="628" spans="1:27" hidden="1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1101</v>
      </c>
      <c r="V628" s="8">
        <v>1</v>
      </c>
      <c r="W628" s="8"/>
      <c r="X628" t="s">
        <v>3515</v>
      </c>
      <c r="Y628" t="s">
        <v>100</v>
      </c>
      <c r="Z628">
        <v>5237</v>
      </c>
      <c r="AA628" s="35" t="s">
        <v>3560</v>
      </c>
    </row>
    <row r="629" spans="1:27" hidden="1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1103</v>
      </c>
      <c r="V629" s="8">
        <v>1</v>
      </c>
      <c r="W629" s="8"/>
      <c r="X629" t="s">
        <v>3515</v>
      </c>
      <c r="Y629" t="s">
        <v>115</v>
      </c>
      <c r="Z629">
        <v>5240</v>
      </c>
      <c r="AA629" s="35" t="s">
        <v>3560</v>
      </c>
    </row>
    <row r="630" spans="1:27" hidden="1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1102</v>
      </c>
      <c r="V630" s="8">
        <v>1</v>
      </c>
      <c r="W630" s="8"/>
      <c r="X630" t="s">
        <v>3514</v>
      </c>
      <c r="Y630" t="s">
        <v>123</v>
      </c>
      <c r="Z630">
        <v>5915</v>
      </c>
      <c r="AA630" s="35" t="s">
        <v>3560</v>
      </c>
    </row>
    <row r="631" spans="1:27" hidden="1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1321</v>
      </c>
      <c r="V631" s="8"/>
      <c r="W631" s="8">
        <v>1</v>
      </c>
      <c r="X631" t="s">
        <v>8</v>
      </c>
      <c r="Y631" t="s">
        <v>967</v>
      </c>
      <c r="Z631">
        <v>6326</v>
      </c>
      <c r="AA631" s="35" t="s">
        <v>3561</v>
      </c>
    </row>
    <row r="632" spans="1:27" hidden="1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1104</v>
      </c>
      <c r="V632" s="8">
        <v>1</v>
      </c>
      <c r="W632" s="20"/>
      <c r="X632" t="s">
        <v>3514</v>
      </c>
      <c r="Y632" s="15" t="s">
        <v>121</v>
      </c>
      <c r="Z632">
        <v>5928</v>
      </c>
      <c r="AA632" s="35" t="s">
        <v>3560</v>
      </c>
    </row>
    <row r="633" spans="1:27" hidden="1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1105</v>
      </c>
      <c r="V633" s="8"/>
      <c r="W633" s="8">
        <v>1</v>
      </c>
      <c r="X633" t="s">
        <v>3549</v>
      </c>
      <c r="Y633" t="s">
        <v>104</v>
      </c>
      <c r="Z633">
        <v>6331</v>
      </c>
      <c r="AA633" s="35" t="s">
        <v>3560</v>
      </c>
    </row>
    <row r="634" spans="1:27" hidden="1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1109</v>
      </c>
      <c r="V634" s="8">
        <v>1</v>
      </c>
      <c r="W634" s="8"/>
      <c r="X634" t="s">
        <v>3514</v>
      </c>
      <c r="Y634" t="s">
        <v>78</v>
      </c>
      <c r="Z634">
        <v>5922</v>
      </c>
      <c r="AA634" s="35" t="s">
        <v>3560</v>
      </c>
    </row>
    <row r="635" spans="1:27" hidden="1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1108</v>
      </c>
      <c r="V635" s="8">
        <v>1</v>
      </c>
      <c r="W635" s="8"/>
      <c r="X635" t="s">
        <v>3513</v>
      </c>
      <c r="Y635" t="s">
        <v>25</v>
      </c>
      <c r="Z635">
        <v>5045</v>
      </c>
      <c r="AA635" s="35" t="s">
        <v>3560</v>
      </c>
    </row>
    <row r="636" spans="1:27" hidden="1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1106</v>
      </c>
      <c r="V636" s="8">
        <v>1</v>
      </c>
      <c r="W636" s="8"/>
      <c r="X636" t="s">
        <v>3514</v>
      </c>
      <c r="Y636" t="s">
        <v>10</v>
      </c>
      <c r="Z636">
        <v>2549</v>
      </c>
      <c r="AA636" s="35" t="s">
        <v>3560</v>
      </c>
    </row>
    <row r="637" spans="1:27" hidden="1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1107</v>
      </c>
      <c r="V637" s="8">
        <v>1</v>
      </c>
      <c r="W637" s="8"/>
      <c r="X637" t="s">
        <v>3514</v>
      </c>
      <c r="Y637" t="s">
        <v>102</v>
      </c>
      <c r="Z637">
        <v>5770</v>
      </c>
      <c r="AA637" s="35" t="s">
        <v>3560</v>
      </c>
    </row>
    <row r="638" spans="1:27" hidden="1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1331</v>
      </c>
      <c r="V638" s="8"/>
      <c r="W638" s="8">
        <v>1</v>
      </c>
      <c r="X638" t="s">
        <v>8</v>
      </c>
      <c r="Y638" t="s">
        <v>1332</v>
      </c>
      <c r="Z638">
        <v>6322</v>
      </c>
      <c r="AA638" s="35" t="s">
        <v>3561</v>
      </c>
    </row>
    <row r="639" spans="1:27" hidden="1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1111</v>
      </c>
      <c r="V639" s="8">
        <v>1</v>
      </c>
      <c r="W639" s="8"/>
      <c r="X639" t="s">
        <v>3514</v>
      </c>
      <c r="Y639" t="s">
        <v>153</v>
      </c>
      <c r="Z639">
        <v>5924</v>
      </c>
      <c r="AA639" s="35" t="s">
        <v>3560</v>
      </c>
    </row>
    <row r="640" spans="1:27" hidden="1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1110</v>
      </c>
      <c r="V640" s="8">
        <v>1</v>
      </c>
      <c r="W640" s="8"/>
      <c r="X640" t="s">
        <v>3514</v>
      </c>
      <c r="Y640" t="s">
        <v>255</v>
      </c>
      <c r="Z640">
        <v>4665</v>
      </c>
      <c r="AA640" s="35" t="s">
        <v>3560</v>
      </c>
    </row>
    <row r="641" spans="1:27" hidden="1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1296</v>
      </c>
      <c r="V641" s="8">
        <v>1</v>
      </c>
      <c r="W641" s="8"/>
      <c r="X641" t="s">
        <v>3515</v>
      </c>
      <c r="Y641" t="s">
        <v>72</v>
      </c>
      <c r="Z641">
        <v>5054</v>
      </c>
      <c r="AA641" s="35" t="s">
        <v>3561</v>
      </c>
    </row>
    <row r="642" spans="1:27" hidden="1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1112</v>
      </c>
      <c r="V642" s="8">
        <v>1</v>
      </c>
      <c r="W642" s="8"/>
      <c r="X642" t="s">
        <v>3514</v>
      </c>
      <c r="Y642" t="s">
        <v>145</v>
      </c>
      <c r="Z642">
        <v>8138</v>
      </c>
      <c r="AA642" s="35" t="s">
        <v>3560</v>
      </c>
    </row>
    <row r="643" spans="1:27" hidden="1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1313</v>
      </c>
      <c r="V643" s="8">
        <v>1</v>
      </c>
      <c r="W643" s="8"/>
      <c r="X643" t="s">
        <v>3513</v>
      </c>
      <c r="Y643" t="s">
        <v>1314</v>
      </c>
      <c r="Z643">
        <v>2197</v>
      </c>
      <c r="AA643" s="35" t="s">
        <v>3561</v>
      </c>
    </row>
    <row r="644" spans="1:27" hidden="1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1113</v>
      </c>
      <c r="V644" s="8">
        <v>1</v>
      </c>
      <c r="W644" s="8"/>
      <c r="X644" t="s">
        <v>3514</v>
      </c>
      <c r="Y644" t="s">
        <v>60</v>
      </c>
      <c r="Z644">
        <v>5922</v>
      </c>
      <c r="AA644" s="35" t="s">
        <v>3560</v>
      </c>
    </row>
    <row r="645" spans="1:27" hidden="1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1114</v>
      </c>
      <c r="V645" s="8">
        <v>1</v>
      </c>
      <c r="W645" s="8"/>
      <c r="X645" t="s">
        <v>3513</v>
      </c>
      <c r="Y645" t="s">
        <v>22</v>
      </c>
      <c r="Z645">
        <v>5235</v>
      </c>
      <c r="AA645" s="35" t="s">
        <v>3560</v>
      </c>
    </row>
    <row r="646" spans="1:27" hidden="1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1115</v>
      </c>
      <c r="V646" s="8">
        <v>1</v>
      </c>
      <c r="W646" s="8"/>
      <c r="X646" t="s">
        <v>3515</v>
      </c>
      <c r="Y646" t="s">
        <v>48</v>
      </c>
      <c r="Z646">
        <v>5266</v>
      </c>
      <c r="AA646" s="35" t="s">
        <v>3560</v>
      </c>
    </row>
    <row r="647" spans="1:27" hidden="1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1116</v>
      </c>
      <c r="V647" s="8">
        <v>1</v>
      </c>
      <c r="W647" s="8"/>
      <c r="X647" t="s">
        <v>3513</v>
      </c>
      <c r="Y647" t="s">
        <v>106</v>
      </c>
      <c r="Z647">
        <v>5043</v>
      </c>
      <c r="AA647" s="35" t="s">
        <v>3560</v>
      </c>
    </row>
    <row r="648" spans="1:27" hidden="1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1117</v>
      </c>
      <c r="V648" s="8">
        <v>1</v>
      </c>
      <c r="W648" s="8"/>
      <c r="X648" t="s">
        <v>3514</v>
      </c>
      <c r="Y648" t="s">
        <v>514</v>
      </c>
      <c r="Z648">
        <v>5922</v>
      </c>
      <c r="AA648" s="35" t="s">
        <v>3560</v>
      </c>
    </row>
    <row r="649" spans="1:27" hidden="1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1119</v>
      </c>
      <c r="V649" s="8"/>
      <c r="W649" s="8">
        <v>1</v>
      </c>
      <c r="X649" t="s">
        <v>3550</v>
      </c>
      <c r="Y649" t="s">
        <v>63</v>
      </c>
      <c r="Z649">
        <v>6370</v>
      </c>
      <c r="AA649" s="35" t="s">
        <v>3560</v>
      </c>
    </row>
    <row r="650" spans="1:27" hidden="1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1120</v>
      </c>
      <c r="V650" s="8"/>
      <c r="W650" s="8">
        <v>1</v>
      </c>
      <c r="X650" t="s">
        <v>3549</v>
      </c>
      <c r="Y650" t="s">
        <v>167</v>
      </c>
      <c r="Z650">
        <v>6325</v>
      </c>
      <c r="AA650" s="35" t="s">
        <v>3560</v>
      </c>
    </row>
    <row r="651" spans="1:27" hidden="1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1118</v>
      </c>
      <c r="V651" s="8">
        <v>1</v>
      </c>
      <c r="W651" s="8"/>
      <c r="X651" t="s">
        <v>3515</v>
      </c>
      <c r="Y651" t="s">
        <v>48</v>
      </c>
      <c r="Z651">
        <v>5261</v>
      </c>
      <c r="AA651" s="35" t="s">
        <v>3560</v>
      </c>
    </row>
    <row r="652" spans="1:27" hidden="1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1121</v>
      </c>
      <c r="V652" s="8">
        <v>1</v>
      </c>
      <c r="W652" s="8"/>
      <c r="X652" t="s">
        <v>3514</v>
      </c>
      <c r="Y652" t="s">
        <v>10</v>
      </c>
      <c r="Z652">
        <v>5918</v>
      </c>
      <c r="AA652" s="35" t="s">
        <v>3560</v>
      </c>
    </row>
    <row r="653" spans="1:27" hidden="1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3562</v>
      </c>
      <c r="V653" s="8"/>
      <c r="W653" s="8">
        <v>1</v>
      </c>
      <c r="X653" t="s">
        <v>3549</v>
      </c>
      <c r="Y653" t="s">
        <v>31</v>
      </c>
      <c r="Z653">
        <v>6324</v>
      </c>
      <c r="AA653" s="35" t="s">
        <v>3560</v>
      </c>
    </row>
    <row r="654" spans="1:27" hidden="1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1122</v>
      </c>
      <c r="V654" s="8"/>
      <c r="W654" s="8">
        <v>1</v>
      </c>
      <c r="X654" t="s">
        <v>3549</v>
      </c>
      <c r="Y654" t="s">
        <v>46</v>
      </c>
      <c r="Z654">
        <v>6929</v>
      </c>
      <c r="AA654" s="35" t="s">
        <v>3560</v>
      </c>
    </row>
    <row r="655" spans="1:27" hidden="1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1123</v>
      </c>
      <c r="V655" s="8">
        <v>1</v>
      </c>
      <c r="W655" s="8"/>
      <c r="X655" t="s">
        <v>3515</v>
      </c>
      <c r="Y655" t="s">
        <v>40</v>
      </c>
      <c r="Z655">
        <v>5046</v>
      </c>
      <c r="AA655" s="35" t="s">
        <v>3560</v>
      </c>
    </row>
    <row r="656" spans="1:27" hidden="1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1125</v>
      </c>
      <c r="V656" s="8">
        <v>1</v>
      </c>
      <c r="W656" s="8"/>
      <c r="X656" t="s">
        <v>3515</v>
      </c>
      <c r="Y656" t="s">
        <v>43</v>
      </c>
      <c r="Z656">
        <v>2198</v>
      </c>
      <c r="AA656" s="35" t="s">
        <v>3560</v>
      </c>
    </row>
    <row r="657" spans="1:27" hidden="1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1124</v>
      </c>
      <c r="V657" s="8">
        <v>1</v>
      </c>
      <c r="W657" s="8"/>
      <c r="X657" t="s">
        <v>3513</v>
      </c>
      <c r="Y657" t="s">
        <v>43</v>
      </c>
      <c r="Z657">
        <v>2198</v>
      </c>
      <c r="AA657" s="35" t="s">
        <v>3560</v>
      </c>
    </row>
    <row r="658" spans="1:27" hidden="1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1319</v>
      </c>
      <c r="V658" s="8">
        <v>1</v>
      </c>
      <c r="W658" s="8"/>
      <c r="X658" t="s">
        <v>3515</v>
      </c>
      <c r="Y658" t="s">
        <v>1320</v>
      </c>
      <c r="Z658">
        <v>2197</v>
      </c>
      <c r="AA658" s="35" t="s">
        <v>3561</v>
      </c>
    </row>
    <row r="659" spans="1:27" hidden="1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1126</v>
      </c>
      <c r="V659" s="8">
        <v>1</v>
      </c>
      <c r="W659" s="8"/>
      <c r="X659" t="s">
        <v>3514</v>
      </c>
      <c r="Y659" t="s">
        <v>119</v>
      </c>
      <c r="Z659">
        <v>5766</v>
      </c>
      <c r="AA659" s="35" t="s">
        <v>3560</v>
      </c>
    </row>
    <row r="660" spans="1:27" hidden="1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1127</v>
      </c>
      <c r="V660" s="8"/>
      <c r="W660" s="8">
        <v>1</v>
      </c>
      <c r="X660" t="s">
        <v>3549</v>
      </c>
      <c r="Y660" t="s">
        <v>69</v>
      </c>
      <c r="Z660">
        <v>6306</v>
      </c>
      <c r="AA660" s="35" t="s">
        <v>3560</v>
      </c>
    </row>
    <row r="661" spans="1:27" hidden="1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1131</v>
      </c>
      <c r="V661" s="8"/>
      <c r="W661" s="8">
        <v>1</v>
      </c>
      <c r="X661" t="s">
        <v>3549</v>
      </c>
      <c r="Y661" t="s">
        <v>5</v>
      </c>
      <c r="Z661">
        <v>6308</v>
      </c>
      <c r="AA661" s="35" t="s">
        <v>3560</v>
      </c>
    </row>
    <row r="662" spans="1:27" hidden="1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1128</v>
      </c>
      <c r="V662" s="8">
        <v>1</v>
      </c>
      <c r="W662" s="8"/>
      <c r="X662" t="s">
        <v>3514</v>
      </c>
      <c r="Y662" t="s">
        <v>22</v>
      </c>
      <c r="Z662">
        <v>5765</v>
      </c>
      <c r="AA662" s="35" t="s">
        <v>3560</v>
      </c>
    </row>
    <row r="663" spans="1:27" hidden="1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1130</v>
      </c>
      <c r="V663" s="8">
        <v>1</v>
      </c>
      <c r="W663" s="8"/>
      <c r="X663" t="s">
        <v>3515</v>
      </c>
      <c r="Y663" t="s">
        <v>25</v>
      </c>
      <c r="Z663">
        <v>5238</v>
      </c>
      <c r="AA663" s="35" t="s">
        <v>3560</v>
      </c>
    </row>
    <row r="664" spans="1:27" hidden="1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1129</v>
      </c>
      <c r="V664" s="8">
        <v>1</v>
      </c>
      <c r="W664" s="8"/>
      <c r="X664" t="s">
        <v>3513</v>
      </c>
      <c r="Y664" t="s">
        <v>253</v>
      </c>
      <c r="Z664">
        <v>2197</v>
      </c>
      <c r="AA664" s="35" t="s">
        <v>3560</v>
      </c>
    </row>
    <row r="665" spans="1:27" hidden="1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1132</v>
      </c>
      <c r="V665" s="8"/>
      <c r="W665" s="8">
        <v>1</v>
      </c>
      <c r="X665" t="s">
        <v>3550</v>
      </c>
      <c r="Y665" t="s">
        <v>275</v>
      </c>
      <c r="Z665">
        <v>6364</v>
      </c>
      <c r="AA665" s="35" t="s">
        <v>3560</v>
      </c>
    </row>
    <row r="666" spans="1:27" hidden="1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1134</v>
      </c>
      <c r="V666" s="8"/>
      <c r="W666" s="8">
        <v>1</v>
      </c>
      <c r="X666" t="s">
        <v>3550</v>
      </c>
      <c r="Y666" t="s">
        <v>5</v>
      </c>
      <c r="Z666">
        <v>6373</v>
      </c>
      <c r="AA666" s="35" t="s">
        <v>3560</v>
      </c>
    </row>
    <row r="667" spans="1:27" hidden="1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1133</v>
      </c>
      <c r="V667" s="8">
        <v>1</v>
      </c>
      <c r="W667" s="8"/>
      <c r="X667" t="s">
        <v>3513</v>
      </c>
      <c r="Y667" t="s">
        <v>13</v>
      </c>
      <c r="Z667">
        <v>5238</v>
      </c>
      <c r="AA667" s="35" t="s">
        <v>3560</v>
      </c>
    </row>
    <row r="668" spans="1:27" hidden="1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1135</v>
      </c>
      <c r="V668" s="8"/>
      <c r="W668" s="8">
        <v>1</v>
      </c>
      <c r="X668" t="s">
        <v>3549</v>
      </c>
      <c r="Y668" t="s">
        <v>133</v>
      </c>
      <c r="Z668">
        <v>6329</v>
      </c>
      <c r="AA668" s="35" t="s">
        <v>3560</v>
      </c>
    </row>
    <row r="669" spans="1:27" hidden="1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1136</v>
      </c>
      <c r="V669" s="8">
        <v>1</v>
      </c>
      <c r="W669" s="8"/>
      <c r="X669" t="s">
        <v>3515</v>
      </c>
      <c r="Y669" t="s">
        <v>514</v>
      </c>
      <c r="Z669">
        <v>5229</v>
      </c>
      <c r="AA669" s="35" t="s">
        <v>3560</v>
      </c>
    </row>
    <row r="670" spans="1:27" hidden="1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1137</v>
      </c>
      <c r="V670" s="8">
        <v>1</v>
      </c>
      <c r="W670" s="8"/>
      <c r="X670" t="s">
        <v>3514</v>
      </c>
      <c r="Y670" t="s">
        <v>51</v>
      </c>
      <c r="Z670">
        <v>5767</v>
      </c>
      <c r="AA670" s="35" t="s">
        <v>3560</v>
      </c>
    </row>
    <row r="671" spans="1:27" hidden="1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1308</v>
      </c>
      <c r="V671" s="8">
        <v>1</v>
      </c>
      <c r="W671" s="8"/>
      <c r="X671" t="s">
        <v>3513</v>
      </c>
      <c r="Y671" t="s">
        <v>5</v>
      </c>
      <c r="Z671">
        <v>5235</v>
      </c>
      <c r="AA671" s="35" t="s">
        <v>3561</v>
      </c>
    </row>
    <row r="672" spans="1:27" hidden="1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1138</v>
      </c>
      <c r="V672" s="8"/>
      <c r="W672" s="8">
        <v>1</v>
      </c>
      <c r="X672" t="s">
        <v>3550</v>
      </c>
      <c r="Y672" t="s">
        <v>46</v>
      </c>
      <c r="Z672">
        <v>6357</v>
      </c>
      <c r="AA672" s="35" t="s">
        <v>3560</v>
      </c>
    </row>
    <row r="673" spans="1:27" hidden="1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1142</v>
      </c>
      <c r="V673" s="8"/>
      <c r="W673" s="8">
        <v>1</v>
      </c>
      <c r="X673" t="s">
        <v>3549</v>
      </c>
      <c r="Y673" t="s">
        <v>10</v>
      </c>
      <c r="Z673">
        <v>6305</v>
      </c>
      <c r="AA673" s="35" t="s">
        <v>3560</v>
      </c>
    </row>
    <row r="674" spans="1:27" hidden="1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1139</v>
      </c>
      <c r="V674" s="8">
        <v>1</v>
      </c>
      <c r="W674" s="8"/>
      <c r="X674" t="s">
        <v>3513</v>
      </c>
      <c r="Y674" t="s">
        <v>86</v>
      </c>
      <c r="Z674">
        <v>5325</v>
      </c>
      <c r="AA674" s="35" t="s">
        <v>3560</v>
      </c>
    </row>
    <row r="675" spans="1:27" hidden="1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1141</v>
      </c>
      <c r="V675" s="8"/>
      <c r="W675" s="8">
        <v>1</v>
      </c>
      <c r="X675" t="s">
        <v>3549</v>
      </c>
      <c r="Y675" t="s">
        <v>88</v>
      </c>
      <c r="Z675">
        <v>6339</v>
      </c>
      <c r="AA675" s="35" t="s">
        <v>3560</v>
      </c>
    </row>
    <row r="676" spans="1:27" hidden="1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1140</v>
      </c>
      <c r="V676" s="8">
        <v>1</v>
      </c>
      <c r="W676" s="8"/>
      <c r="X676" t="s">
        <v>3514</v>
      </c>
      <c r="Y676" t="s">
        <v>131</v>
      </c>
      <c r="Z676">
        <v>5910</v>
      </c>
      <c r="AA676" s="35" t="s">
        <v>3560</v>
      </c>
    </row>
    <row r="677" spans="1:27" hidden="1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1145</v>
      </c>
      <c r="V677" s="8">
        <v>1</v>
      </c>
      <c r="W677" s="8"/>
      <c r="X677" t="s">
        <v>3514</v>
      </c>
      <c r="Y677" t="s">
        <v>13</v>
      </c>
      <c r="Z677">
        <v>5918</v>
      </c>
      <c r="AA677" s="35" t="s">
        <v>3560</v>
      </c>
    </row>
    <row r="678" spans="1:27" hidden="1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1143</v>
      </c>
      <c r="V678" s="8">
        <v>1</v>
      </c>
      <c r="W678" s="8"/>
      <c r="X678" t="s">
        <v>3513</v>
      </c>
      <c r="Y678" t="s">
        <v>177</v>
      </c>
      <c r="Z678">
        <v>2197</v>
      </c>
      <c r="AA678" s="35" t="s">
        <v>3560</v>
      </c>
    </row>
    <row r="679" spans="1:27" hidden="1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1144</v>
      </c>
      <c r="V679" s="8">
        <v>1</v>
      </c>
      <c r="W679" s="8"/>
      <c r="X679" t="s">
        <v>3514</v>
      </c>
      <c r="Y679" t="s">
        <v>269</v>
      </c>
      <c r="Z679">
        <v>5919</v>
      </c>
      <c r="AA679" s="35" t="s">
        <v>3560</v>
      </c>
    </row>
    <row r="680" spans="1:27" hidden="1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1146</v>
      </c>
      <c r="V680" s="8">
        <v>1</v>
      </c>
      <c r="W680" s="8"/>
      <c r="X680" t="s">
        <v>3514</v>
      </c>
      <c r="Y680" t="s">
        <v>245</v>
      </c>
      <c r="Z680">
        <v>5772</v>
      </c>
      <c r="AA680" s="35" t="s">
        <v>3560</v>
      </c>
    </row>
    <row r="681" spans="1:27" hidden="1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1147</v>
      </c>
      <c r="V681" s="8">
        <v>1</v>
      </c>
      <c r="W681" s="8"/>
      <c r="X681" t="s">
        <v>3514</v>
      </c>
      <c r="Y681" t="s">
        <v>183</v>
      </c>
      <c r="Z681">
        <v>7897</v>
      </c>
      <c r="AA681" s="35" t="s">
        <v>3560</v>
      </c>
    </row>
    <row r="682" spans="1:27" hidden="1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1149</v>
      </c>
      <c r="V682" s="24"/>
      <c r="W682" s="24">
        <v>1</v>
      </c>
      <c r="X682" t="s">
        <v>3549</v>
      </c>
      <c r="Y682" t="s">
        <v>31</v>
      </c>
      <c r="Z682">
        <v>6313</v>
      </c>
      <c r="AA682" s="35" t="s">
        <v>3560</v>
      </c>
    </row>
    <row r="683" spans="1:27" hidden="1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1148</v>
      </c>
      <c r="V683" s="8"/>
      <c r="W683" s="8">
        <v>1</v>
      </c>
      <c r="X683" t="s">
        <v>3549</v>
      </c>
      <c r="Y683" t="s">
        <v>279</v>
      </c>
      <c r="Z683">
        <v>6320</v>
      </c>
      <c r="AA683" s="35" t="s">
        <v>3560</v>
      </c>
    </row>
    <row r="684" spans="1:27" hidden="1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1152</v>
      </c>
      <c r="V684" s="8">
        <v>1</v>
      </c>
      <c r="W684" s="8"/>
      <c r="X684" t="s">
        <v>391</v>
      </c>
      <c r="Y684" t="s">
        <v>5</v>
      </c>
      <c r="Z684">
        <v>8232</v>
      </c>
      <c r="AA684" s="35" t="s">
        <v>3560</v>
      </c>
    </row>
    <row r="685" spans="1:27" hidden="1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1151</v>
      </c>
      <c r="V685" s="8">
        <v>1</v>
      </c>
      <c r="W685" s="8"/>
      <c r="X685" t="s">
        <v>3514</v>
      </c>
      <c r="Y685" t="s">
        <v>66</v>
      </c>
      <c r="Z685">
        <v>5917</v>
      </c>
      <c r="AA685" s="35" t="s">
        <v>3560</v>
      </c>
    </row>
    <row r="686" spans="1:27" hidden="1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1150</v>
      </c>
      <c r="V686" s="8">
        <v>1</v>
      </c>
      <c r="W686" s="8"/>
      <c r="X686" t="s">
        <v>3514</v>
      </c>
      <c r="Y686" t="s">
        <v>197</v>
      </c>
      <c r="Z686">
        <v>5933</v>
      </c>
      <c r="AA686" s="35" t="s">
        <v>3560</v>
      </c>
    </row>
    <row r="687" spans="1:27" hidden="1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1337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3561</v>
      </c>
    </row>
    <row r="688" spans="1:27" hidden="1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1153</v>
      </c>
      <c r="V688" s="8">
        <v>1</v>
      </c>
      <c r="W688" s="8"/>
      <c r="X688" t="s">
        <v>3515</v>
      </c>
      <c r="Y688" t="s">
        <v>139</v>
      </c>
      <c r="Z688">
        <v>2198</v>
      </c>
      <c r="AA688" s="35" t="s">
        <v>3560</v>
      </c>
    </row>
    <row r="689" spans="1:27" hidden="1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1156</v>
      </c>
      <c r="V689" s="8">
        <v>1</v>
      </c>
      <c r="W689" s="8"/>
      <c r="X689" t="s">
        <v>3514</v>
      </c>
      <c r="Y689" t="s">
        <v>84</v>
      </c>
      <c r="Z689">
        <v>5930</v>
      </c>
      <c r="AA689" s="35" t="s">
        <v>3560</v>
      </c>
    </row>
    <row r="690" spans="1:27" hidden="1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1155</v>
      </c>
      <c r="V690" s="8">
        <v>1</v>
      </c>
      <c r="W690" s="8"/>
      <c r="X690" t="s">
        <v>3514</v>
      </c>
      <c r="Y690" t="s">
        <v>179</v>
      </c>
      <c r="Z690">
        <v>5770</v>
      </c>
      <c r="AA690" s="35" t="s">
        <v>3560</v>
      </c>
    </row>
    <row r="691" spans="1:27" hidden="1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1154</v>
      </c>
      <c r="V691" s="8">
        <v>1</v>
      </c>
      <c r="W691" s="8"/>
      <c r="X691" t="s">
        <v>3515</v>
      </c>
      <c r="Y691" t="s">
        <v>157</v>
      </c>
      <c r="Z691">
        <v>2208</v>
      </c>
      <c r="AA691" s="35" t="s">
        <v>3560</v>
      </c>
    </row>
    <row r="692" spans="1:27" hidden="1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1157</v>
      </c>
      <c r="V692" s="8"/>
      <c r="W692" s="8">
        <v>1</v>
      </c>
      <c r="X692" t="s">
        <v>3550</v>
      </c>
      <c r="Y692" t="s">
        <v>223</v>
      </c>
      <c r="Z692">
        <v>6368</v>
      </c>
      <c r="AA692" s="35" t="s">
        <v>3560</v>
      </c>
    </row>
    <row r="693" spans="1:27" hidden="1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1159</v>
      </c>
      <c r="V693" s="8">
        <v>1</v>
      </c>
      <c r="W693" s="8"/>
      <c r="X693" t="s">
        <v>3513</v>
      </c>
      <c r="Y693" t="s">
        <v>25</v>
      </c>
      <c r="Z693">
        <v>5054</v>
      </c>
      <c r="AA693" s="35" t="s">
        <v>3560</v>
      </c>
    </row>
    <row r="694" spans="1:27" hidden="1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1300</v>
      </c>
      <c r="V694" s="8"/>
      <c r="W694" s="8">
        <v>1</v>
      </c>
      <c r="X694" t="s">
        <v>8</v>
      </c>
      <c r="Y694" t="s">
        <v>859</v>
      </c>
      <c r="Z694">
        <v>6322</v>
      </c>
      <c r="AA694" s="35" t="s">
        <v>3561</v>
      </c>
    </row>
    <row r="695" spans="1:27" hidden="1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1158</v>
      </c>
      <c r="V695" s="8">
        <v>1</v>
      </c>
      <c r="W695" s="8"/>
      <c r="X695" t="s">
        <v>3514</v>
      </c>
      <c r="Y695" t="s">
        <v>133</v>
      </c>
      <c r="Z695">
        <v>5912</v>
      </c>
      <c r="AA695" s="35" t="s">
        <v>3560</v>
      </c>
    </row>
    <row r="696" spans="1:27" hidden="1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1160</v>
      </c>
      <c r="V696" s="8">
        <v>1</v>
      </c>
      <c r="W696" s="8"/>
      <c r="X696" t="s">
        <v>3513</v>
      </c>
      <c r="Y696" t="s">
        <v>19</v>
      </c>
      <c r="Z696">
        <v>2205</v>
      </c>
      <c r="AA696" s="35" t="s">
        <v>3560</v>
      </c>
    </row>
    <row r="697" spans="1:27" hidden="1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1022</v>
      </c>
      <c r="V697" s="8">
        <v>1</v>
      </c>
      <c r="W697" s="8"/>
      <c r="X697" t="s">
        <v>3515</v>
      </c>
      <c r="Y697" t="s">
        <v>40</v>
      </c>
      <c r="Z697">
        <v>5039</v>
      </c>
      <c r="AA697" s="35" t="s">
        <v>3560</v>
      </c>
    </row>
    <row r="698" spans="1:27" hidden="1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1161</v>
      </c>
      <c r="V698" s="24">
        <v>1</v>
      </c>
      <c r="W698" s="24"/>
      <c r="X698" t="s">
        <v>3515</v>
      </c>
      <c r="Y698" t="s">
        <v>40</v>
      </c>
      <c r="Z698">
        <v>2198</v>
      </c>
      <c r="AA698" s="35" t="s">
        <v>3560</v>
      </c>
    </row>
    <row r="699" spans="1:27" hidden="1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1162</v>
      </c>
      <c r="V699" s="8">
        <v>1</v>
      </c>
      <c r="W699" s="8"/>
      <c r="X699" t="s">
        <v>3513</v>
      </c>
      <c r="Y699" t="s">
        <v>34</v>
      </c>
      <c r="Z699">
        <v>2208</v>
      </c>
      <c r="AA699" s="35" t="s">
        <v>3560</v>
      </c>
    </row>
    <row r="700" spans="1:27" hidden="1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1163</v>
      </c>
      <c r="V700" s="8"/>
      <c r="W700" s="8">
        <v>1</v>
      </c>
      <c r="X700" t="s">
        <v>3549</v>
      </c>
      <c r="Y700" t="s">
        <v>5</v>
      </c>
      <c r="Z700">
        <v>6325</v>
      </c>
      <c r="AA700" s="35" t="s">
        <v>3560</v>
      </c>
    </row>
    <row r="701" spans="1:27" hidden="1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1164</v>
      </c>
      <c r="V701" s="8">
        <v>1</v>
      </c>
      <c r="W701" s="8"/>
      <c r="X701" t="s">
        <v>3515</v>
      </c>
      <c r="Y701" t="s">
        <v>13</v>
      </c>
      <c r="Z701">
        <v>5053</v>
      </c>
      <c r="AA701" s="35" t="s">
        <v>3560</v>
      </c>
    </row>
    <row r="702" spans="1:27" hidden="1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1326</v>
      </c>
      <c r="V702" s="8">
        <v>1</v>
      </c>
      <c r="W702" s="8"/>
      <c r="X702" t="s">
        <v>3514</v>
      </c>
      <c r="Y702" t="s">
        <v>489</v>
      </c>
      <c r="Z702">
        <v>4667</v>
      </c>
      <c r="AA702" s="35" t="s">
        <v>3561</v>
      </c>
    </row>
    <row r="703" spans="1:27" hidden="1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1294</v>
      </c>
      <c r="V703" s="8">
        <v>1</v>
      </c>
      <c r="W703" s="8"/>
      <c r="X703" t="s">
        <v>3513</v>
      </c>
      <c r="Y703" t="s">
        <v>34</v>
      </c>
      <c r="Z703">
        <v>5044</v>
      </c>
      <c r="AA703" s="35" t="s">
        <v>3561</v>
      </c>
    </row>
    <row r="704" spans="1:27" hidden="1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1165</v>
      </c>
      <c r="V704" s="8">
        <v>1</v>
      </c>
      <c r="W704" s="8"/>
      <c r="X704" t="s">
        <v>3513</v>
      </c>
      <c r="Y704" t="s">
        <v>43</v>
      </c>
      <c r="Z704">
        <v>2196</v>
      </c>
      <c r="AA704" s="35" t="s">
        <v>3560</v>
      </c>
    </row>
    <row r="705" spans="1:27" hidden="1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1166</v>
      </c>
      <c r="V705" s="8">
        <v>1</v>
      </c>
      <c r="W705" s="8"/>
      <c r="X705" t="s">
        <v>3515</v>
      </c>
      <c r="Y705" t="s">
        <v>295</v>
      </c>
      <c r="Z705">
        <v>2196</v>
      </c>
      <c r="AA705" s="35" t="s">
        <v>3560</v>
      </c>
    </row>
    <row r="706" spans="1:27" hidden="1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1167</v>
      </c>
      <c r="V706" s="8">
        <v>1</v>
      </c>
      <c r="W706" s="8"/>
      <c r="X706" t="s">
        <v>3514</v>
      </c>
      <c r="Y706" t="s">
        <v>165</v>
      </c>
      <c r="Z706">
        <v>4678</v>
      </c>
      <c r="AA706" s="35" t="s">
        <v>3560</v>
      </c>
    </row>
    <row r="707" spans="1:27" hidden="1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1169</v>
      </c>
      <c r="V707" s="8"/>
      <c r="W707" s="8">
        <v>1</v>
      </c>
      <c r="X707" t="s">
        <v>3549</v>
      </c>
      <c r="Y707" t="s">
        <v>72</v>
      </c>
      <c r="Z707">
        <v>6311</v>
      </c>
      <c r="AA707" s="35" t="s">
        <v>3560</v>
      </c>
    </row>
    <row r="708" spans="1:27" hidden="1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1168</v>
      </c>
      <c r="V708" s="8">
        <v>1</v>
      </c>
      <c r="W708" s="8"/>
      <c r="X708" t="s">
        <v>3513</v>
      </c>
      <c r="Y708" t="s">
        <v>135</v>
      </c>
      <c r="Z708">
        <v>5048</v>
      </c>
      <c r="AA708" s="35" t="s">
        <v>3560</v>
      </c>
    </row>
    <row r="709" spans="1:27" hidden="1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1170</v>
      </c>
      <c r="V709" s="8">
        <v>1</v>
      </c>
      <c r="W709" s="8"/>
      <c r="X709" t="s">
        <v>3515</v>
      </c>
      <c r="Y709" t="s">
        <v>25</v>
      </c>
      <c r="Z709">
        <v>5047</v>
      </c>
      <c r="AA709" s="35" t="s">
        <v>3560</v>
      </c>
    </row>
    <row r="710" spans="1:27" hidden="1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1171</v>
      </c>
      <c r="V710" s="8">
        <v>1</v>
      </c>
      <c r="W710" s="8"/>
      <c r="X710" t="s">
        <v>3513</v>
      </c>
      <c r="Y710" t="s">
        <v>161</v>
      </c>
      <c r="Z710">
        <v>5265</v>
      </c>
      <c r="AA710" s="35" t="s">
        <v>3560</v>
      </c>
    </row>
    <row r="711" spans="1:27" hidden="1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1172</v>
      </c>
      <c r="V711" s="8">
        <v>1</v>
      </c>
      <c r="W711" s="8"/>
      <c r="X711" t="s">
        <v>3513</v>
      </c>
      <c r="Y711" t="s">
        <v>13</v>
      </c>
      <c r="Z711">
        <v>5231</v>
      </c>
      <c r="AA711" s="35" t="s">
        <v>3560</v>
      </c>
    </row>
    <row r="712" spans="1:27" hidden="1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1174</v>
      </c>
      <c r="V712" s="8"/>
      <c r="W712" s="8">
        <v>1</v>
      </c>
      <c r="X712" t="s">
        <v>3550</v>
      </c>
      <c r="Y712" t="s">
        <v>10</v>
      </c>
      <c r="Z712">
        <v>6367</v>
      </c>
      <c r="AA712" s="35" t="s">
        <v>3560</v>
      </c>
    </row>
    <row r="713" spans="1:27" hidden="1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1173</v>
      </c>
      <c r="V713" s="8">
        <v>1</v>
      </c>
      <c r="W713" s="8"/>
      <c r="X713" t="s">
        <v>3514</v>
      </c>
      <c r="Y713" t="s">
        <v>175</v>
      </c>
      <c r="Z713">
        <v>7897</v>
      </c>
      <c r="AA713" s="35" t="s">
        <v>3560</v>
      </c>
    </row>
    <row r="714" spans="1:27" hidden="1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1175</v>
      </c>
      <c r="V714" s="8">
        <v>1</v>
      </c>
      <c r="W714" s="8"/>
      <c r="X714" t="s">
        <v>3514</v>
      </c>
      <c r="Y714" t="s">
        <v>281</v>
      </c>
      <c r="Z714">
        <v>5924</v>
      </c>
      <c r="AA714" s="35" t="s">
        <v>3560</v>
      </c>
    </row>
    <row r="715" spans="1:27" hidden="1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1316</v>
      </c>
      <c r="V715" s="8">
        <v>1</v>
      </c>
      <c r="W715" s="8"/>
      <c r="X715" t="s">
        <v>3514</v>
      </c>
      <c r="Y715" t="s">
        <v>131</v>
      </c>
      <c r="Z715">
        <v>5935</v>
      </c>
      <c r="AA715" s="35" t="s">
        <v>3561</v>
      </c>
    </row>
    <row r="716" spans="1:27" hidden="1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1177</v>
      </c>
      <c r="V716" s="8"/>
      <c r="W716" s="8">
        <v>1</v>
      </c>
      <c r="X716" t="s">
        <v>3549</v>
      </c>
      <c r="Y716" t="s">
        <v>173</v>
      </c>
      <c r="Z716">
        <v>6333</v>
      </c>
      <c r="AA716" s="35" t="s">
        <v>3560</v>
      </c>
    </row>
    <row r="717" spans="1:27" hidden="1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1176</v>
      </c>
      <c r="V717" s="8">
        <v>1</v>
      </c>
      <c r="W717" s="8"/>
      <c r="X717" t="s">
        <v>3514</v>
      </c>
      <c r="Y717" t="s">
        <v>108</v>
      </c>
      <c r="Z717">
        <v>2546</v>
      </c>
      <c r="AA717" s="35" t="s">
        <v>3560</v>
      </c>
    </row>
    <row r="718" spans="1:27" hidden="1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1178</v>
      </c>
      <c r="V718" s="8">
        <v>1</v>
      </c>
      <c r="W718" s="8"/>
      <c r="X718" t="s">
        <v>3514</v>
      </c>
      <c r="Y718" t="s">
        <v>46</v>
      </c>
      <c r="Z718">
        <v>8232</v>
      </c>
      <c r="AA718" s="35" t="s">
        <v>3560</v>
      </c>
    </row>
    <row r="719" spans="1:27" hidden="1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1181</v>
      </c>
      <c r="V719" s="24">
        <v>1</v>
      </c>
      <c r="W719" s="24"/>
      <c r="X719" t="s">
        <v>3514</v>
      </c>
      <c r="Y719" t="s">
        <v>10</v>
      </c>
      <c r="Z719">
        <v>5238</v>
      </c>
      <c r="AA719" s="35" t="s">
        <v>3561</v>
      </c>
    </row>
    <row r="720" spans="1:27" hidden="1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1180</v>
      </c>
      <c r="V720" s="8">
        <v>1</v>
      </c>
      <c r="W720" s="5"/>
      <c r="X720" t="s">
        <v>3515</v>
      </c>
      <c r="Y720" t="s">
        <v>37</v>
      </c>
      <c r="Z720">
        <v>0</v>
      </c>
      <c r="AA720" s="35" t="s">
        <v>3560</v>
      </c>
    </row>
    <row r="721" spans="1:27" hidden="1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1179</v>
      </c>
      <c r="V721" s="8">
        <v>1</v>
      </c>
      <c r="W721" s="8"/>
      <c r="X721" t="s">
        <v>3514</v>
      </c>
      <c r="Y721" t="s">
        <v>34</v>
      </c>
      <c r="Z721">
        <v>5928</v>
      </c>
      <c r="AA721" s="35" t="s">
        <v>3560</v>
      </c>
    </row>
    <row r="722" spans="1:27" hidden="1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1184</v>
      </c>
      <c r="V722" s="8"/>
      <c r="W722" s="8">
        <v>1</v>
      </c>
      <c r="X722" t="s">
        <v>3549</v>
      </c>
      <c r="Y722" t="s">
        <v>129</v>
      </c>
      <c r="Z722">
        <v>6322</v>
      </c>
      <c r="AA722" s="35" t="s">
        <v>3560</v>
      </c>
    </row>
    <row r="723" spans="1:27" hidden="1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1182</v>
      </c>
      <c r="V723" s="8">
        <v>1</v>
      </c>
      <c r="W723" s="8"/>
      <c r="X723" t="s">
        <v>3515</v>
      </c>
      <c r="Y723" t="s">
        <v>115</v>
      </c>
      <c r="Z723">
        <v>5266</v>
      </c>
      <c r="AA723" s="35" t="s">
        <v>3560</v>
      </c>
    </row>
    <row r="724" spans="1:27" hidden="1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1183</v>
      </c>
      <c r="V724" s="8"/>
      <c r="W724" s="8">
        <v>1</v>
      </c>
      <c r="X724" t="s">
        <v>3549</v>
      </c>
      <c r="Y724" t="s">
        <v>75</v>
      </c>
      <c r="Z724">
        <v>6314</v>
      </c>
      <c r="AA724" s="35" t="s">
        <v>3560</v>
      </c>
    </row>
    <row r="725" spans="1:27" hidden="1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1185</v>
      </c>
      <c r="V725" s="8">
        <v>1</v>
      </c>
      <c r="W725" s="8"/>
      <c r="X725" t="s">
        <v>3513</v>
      </c>
      <c r="Y725" t="s">
        <v>125</v>
      </c>
      <c r="Z725">
        <v>5630</v>
      </c>
      <c r="AA725" s="35" t="s">
        <v>3560</v>
      </c>
    </row>
    <row r="726" spans="1:27" hidden="1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1186</v>
      </c>
      <c r="V726" s="8">
        <v>1</v>
      </c>
      <c r="W726" s="8"/>
      <c r="X726" t="s">
        <v>3514</v>
      </c>
      <c r="Y726" t="s">
        <v>57</v>
      </c>
      <c r="Z726">
        <v>5927</v>
      </c>
      <c r="AA726" s="35" t="s">
        <v>3560</v>
      </c>
    </row>
    <row r="727" spans="1:27" hidden="1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1187</v>
      </c>
      <c r="V727" s="8"/>
      <c r="W727" s="8">
        <v>1</v>
      </c>
      <c r="X727" t="s">
        <v>3550</v>
      </c>
      <c r="Y727" t="s">
        <v>5</v>
      </c>
      <c r="Z727">
        <v>6355</v>
      </c>
      <c r="AA727" s="35" t="s">
        <v>3560</v>
      </c>
    </row>
    <row r="728" spans="1:27" hidden="1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1190</v>
      </c>
      <c r="V728" s="8">
        <v>1</v>
      </c>
      <c r="W728" s="8"/>
      <c r="X728" t="s">
        <v>3514</v>
      </c>
      <c r="Y728" t="s">
        <v>60</v>
      </c>
      <c r="Z728">
        <v>5931</v>
      </c>
      <c r="AA728" s="35" t="s">
        <v>3560</v>
      </c>
    </row>
    <row r="729" spans="1:27" hidden="1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1188</v>
      </c>
      <c r="V729" s="8">
        <v>1</v>
      </c>
      <c r="W729" s="8"/>
      <c r="X729" t="s">
        <v>3515</v>
      </c>
      <c r="Y729" t="s">
        <v>98</v>
      </c>
      <c r="Z729">
        <v>5236</v>
      </c>
      <c r="AA729" s="35" t="s">
        <v>3560</v>
      </c>
    </row>
    <row r="730" spans="1:27" hidden="1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1189</v>
      </c>
      <c r="V730" s="8">
        <v>1</v>
      </c>
      <c r="W730" s="8"/>
      <c r="X730" t="s">
        <v>3514</v>
      </c>
      <c r="Y730" t="s">
        <v>28</v>
      </c>
      <c r="Z730">
        <v>5489</v>
      </c>
      <c r="AA730" s="35" t="s">
        <v>3560</v>
      </c>
    </row>
    <row r="731" spans="1:27" hidden="1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1193</v>
      </c>
      <c r="V731" s="8">
        <v>1</v>
      </c>
      <c r="W731" s="8"/>
      <c r="X731" t="s">
        <v>3514</v>
      </c>
      <c r="Y731" t="s">
        <v>155</v>
      </c>
      <c r="Z731">
        <v>5931</v>
      </c>
      <c r="AA731" s="35" t="s">
        <v>3560</v>
      </c>
    </row>
    <row r="732" spans="1:27" hidden="1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1194</v>
      </c>
      <c r="V732" s="8"/>
      <c r="W732" s="8">
        <v>1</v>
      </c>
      <c r="X732" t="s">
        <v>3550</v>
      </c>
      <c r="Y732" t="s">
        <v>81</v>
      </c>
      <c r="Z732">
        <v>6356</v>
      </c>
      <c r="AA732" s="35" t="s">
        <v>3560</v>
      </c>
    </row>
    <row r="733" spans="1:27" hidden="1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1191</v>
      </c>
      <c r="V733" s="24">
        <v>1</v>
      </c>
      <c r="W733" s="24"/>
      <c r="X733" t="s">
        <v>3514</v>
      </c>
      <c r="Y733" t="s">
        <v>5</v>
      </c>
      <c r="Z733">
        <v>5048</v>
      </c>
      <c r="AA733" s="35" t="s">
        <v>3560</v>
      </c>
    </row>
    <row r="734" spans="1:27" hidden="1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1192</v>
      </c>
      <c r="V734" s="8">
        <v>1</v>
      </c>
      <c r="W734" s="8"/>
      <c r="X734" t="s">
        <v>3514</v>
      </c>
      <c r="Y734" t="s">
        <v>283</v>
      </c>
      <c r="Z734">
        <v>5920</v>
      </c>
      <c r="AA734" s="35" t="s">
        <v>3560</v>
      </c>
    </row>
    <row r="735" spans="1:27" hidden="1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1195</v>
      </c>
      <c r="V735" s="24">
        <v>1</v>
      </c>
      <c r="W735" s="24"/>
      <c r="X735" t="s">
        <v>3514</v>
      </c>
      <c r="Y735" t="s">
        <v>247</v>
      </c>
      <c r="Z735">
        <v>0</v>
      </c>
      <c r="AA735" s="35" t="s">
        <v>3560</v>
      </c>
    </row>
    <row r="736" spans="1:27" hidden="1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1309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3561</v>
      </c>
    </row>
    <row r="737" spans="1:27" hidden="1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1196</v>
      </c>
      <c r="V737" s="8">
        <v>1</v>
      </c>
      <c r="W737" s="8"/>
      <c r="X737" t="s">
        <v>3515</v>
      </c>
      <c r="Y737" t="s">
        <v>117</v>
      </c>
      <c r="Z737">
        <v>5237</v>
      </c>
      <c r="AA737" s="35" t="s">
        <v>3560</v>
      </c>
    </row>
    <row r="738" spans="1:27" hidden="1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1197</v>
      </c>
      <c r="V738" s="8">
        <v>1</v>
      </c>
      <c r="W738" s="8"/>
      <c r="X738" t="s">
        <v>3515</v>
      </c>
      <c r="Y738" t="s">
        <v>34</v>
      </c>
      <c r="Z738">
        <v>5237</v>
      </c>
      <c r="AA738" s="35" t="s">
        <v>3560</v>
      </c>
    </row>
    <row r="739" spans="1:27" hidden="1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1198</v>
      </c>
      <c r="V739" s="24"/>
      <c r="W739" s="24">
        <v>1</v>
      </c>
      <c r="X739" t="s">
        <v>3550</v>
      </c>
      <c r="Y739" t="s">
        <v>72</v>
      </c>
      <c r="Z739">
        <v>6374</v>
      </c>
      <c r="AA739" s="35" t="s">
        <v>3560</v>
      </c>
    </row>
    <row r="740" spans="1:27" hidden="1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1199</v>
      </c>
      <c r="V740" s="24"/>
      <c r="W740" s="24">
        <v>1</v>
      </c>
      <c r="X740" t="s">
        <v>3549</v>
      </c>
      <c r="Y740" t="s">
        <v>10</v>
      </c>
      <c r="Z740">
        <v>6329</v>
      </c>
      <c r="AA740" s="35" t="s">
        <v>3560</v>
      </c>
    </row>
    <row r="741" spans="1:27" hidden="1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1200</v>
      </c>
      <c r="V741" s="24">
        <v>1</v>
      </c>
      <c r="W741" s="24"/>
      <c r="X741" t="s">
        <v>3514</v>
      </c>
      <c r="Y741" t="s">
        <v>16</v>
      </c>
      <c r="Z741">
        <v>5909</v>
      </c>
      <c r="AA741" s="35" t="s">
        <v>3560</v>
      </c>
    </row>
    <row r="742" spans="1:27" hidden="1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1201</v>
      </c>
      <c r="V742" s="24">
        <v>1</v>
      </c>
      <c r="W742" s="24"/>
      <c r="X742" t="s">
        <v>3514</v>
      </c>
      <c r="Y742" t="s">
        <v>86</v>
      </c>
      <c r="Z742">
        <v>5934</v>
      </c>
      <c r="AA742" s="35" t="s">
        <v>3560</v>
      </c>
    </row>
    <row r="743" spans="1:27" hidden="1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1202</v>
      </c>
      <c r="V743" s="24">
        <v>1</v>
      </c>
      <c r="W743" s="24"/>
      <c r="X743" t="s">
        <v>3514</v>
      </c>
      <c r="Y743" t="s">
        <v>94</v>
      </c>
      <c r="Z743">
        <v>5488</v>
      </c>
      <c r="AA743" s="35" t="s">
        <v>3560</v>
      </c>
    </row>
    <row r="744" spans="1:27" hidden="1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1203</v>
      </c>
      <c r="V744" s="24">
        <v>1</v>
      </c>
      <c r="W744" s="24"/>
      <c r="X744" t="s">
        <v>3513</v>
      </c>
      <c r="Y744" t="s">
        <v>19</v>
      </c>
      <c r="Z744">
        <v>5039</v>
      </c>
      <c r="AA744" s="35" t="s">
        <v>3560</v>
      </c>
    </row>
    <row r="745" spans="1:27" hidden="1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1204</v>
      </c>
      <c r="V745" s="24">
        <v>1</v>
      </c>
      <c r="W745" s="24"/>
      <c r="X745" t="s">
        <v>3514</v>
      </c>
      <c r="Y745" t="s">
        <v>94</v>
      </c>
      <c r="Z745">
        <v>5489</v>
      </c>
      <c r="AA745" s="35" t="s">
        <v>3561</v>
      </c>
    </row>
    <row r="746" spans="1:27" hidden="1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1330</v>
      </c>
      <c r="V746" s="24">
        <v>1</v>
      </c>
      <c r="W746" s="24"/>
      <c r="X746" t="s">
        <v>3513</v>
      </c>
      <c r="Y746" t="s">
        <v>427</v>
      </c>
      <c r="Z746">
        <v>2209</v>
      </c>
      <c r="AA746" s="35" t="s">
        <v>3561</v>
      </c>
    </row>
    <row r="747" spans="1:27" hidden="1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1206</v>
      </c>
      <c r="V747" s="24"/>
      <c r="W747" s="24">
        <v>1</v>
      </c>
      <c r="X747" t="s">
        <v>3549</v>
      </c>
      <c r="Y747" t="s">
        <v>10</v>
      </c>
      <c r="Z747">
        <v>6361</v>
      </c>
      <c r="AA747" s="35" t="s">
        <v>3560</v>
      </c>
    </row>
    <row r="748" spans="1:27" hidden="1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1205</v>
      </c>
      <c r="V748" s="24"/>
      <c r="W748" s="24">
        <v>1</v>
      </c>
      <c r="X748" t="s">
        <v>3550</v>
      </c>
      <c r="Y748" t="s">
        <v>301</v>
      </c>
      <c r="Z748">
        <v>6364</v>
      </c>
      <c r="AA748" s="35" t="s">
        <v>3560</v>
      </c>
    </row>
    <row r="749" spans="1:27" hidden="1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1207</v>
      </c>
      <c r="V749" s="24"/>
      <c r="W749" s="24">
        <v>1</v>
      </c>
      <c r="X749" t="s">
        <v>3549</v>
      </c>
      <c r="Y749" t="s">
        <v>31</v>
      </c>
      <c r="Z749">
        <v>6321</v>
      </c>
      <c r="AA749" s="35" t="s">
        <v>3560</v>
      </c>
    </row>
    <row r="750" spans="1:27" hidden="1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1208</v>
      </c>
      <c r="V750" s="24">
        <v>1</v>
      </c>
      <c r="W750" s="24"/>
      <c r="X750" t="s">
        <v>3514</v>
      </c>
      <c r="Y750" t="s">
        <v>57</v>
      </c>
      <c r="Z750">
        <v>5938</v>
      </c>
      <c r="AA750" s="35" t="s">
        <v>3560</v>
      </c>
    </row>
    <row r="751" spans="1:27" hidden="1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1209</v>
      </c>
      <c r="V751" s="24">
        <v>1</v>
      </c>
      <c r="W751" s="24"/>
      <c r="X751" t="s">
        <v>3514</v>
      </c>
      <c r="Y751" t="s">
        <v>259</v>
      </c>
      <c r="Z751">
        <v>5910</v>
      </c>
      <c r="AA751" s="35" t="s">
        <v>3560</v>
      </c>
    </row>
    <row r="752" spans="1:27" hidden="1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1210</v>
      </c>
      <c r="V752" s="24">
        <v>1</v>
      </c>
      <c r="W752" s="24"/>
      <c r="X752" t="s">
        <v>3514</v>
      </c>
      <c r="Y752" t="s">
        <v>54</v>
      </c>
      <c r="Z752">
        <v>5771</v>
      </c>
      <c r="AA752" s="35" t="s">
        <v>3560</v>
      </c>
    </row>
    <row r="753" spans="1:27" hidden="1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1211</v>
      </c>
      <c r="V753" s="24">
        <v>1</v>
      </c>
      <c r="W753" s="24"/>
      <c r="X753" t="s">
        <v>3514</v>
      </c>
      <c r="Y753" t="s">
        <v>16</v>
      </c>
      <c r="Z753">
        <v>5926</v>
      </c>
      <c r="AA753" s="35" t="s">
        <v>3560</v>
      </c>
    </row>
    <row r="754" spans="1:27" hidden="1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1212</v>
      </c>
      <c r="V754" s="24">
        <v>1</v>
      </c>
      <c r="W754" s="24"/>
      <c r="X754" t="s">
        <v>3513</v>
      </c>
      <c r="Y754" t="s">
        <v>48</v>
      </c>
      <c r="Z754">
        <v>5260</v>
      </c>
      <c r="AA754" s="35" t="s">
        <v>3560</v>
      </c>
    </row>
    <row r="755" spans="1:27" hidden="1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1295</v>
      </c>
      <c r="V755" s="24"/>
      <c r="W755" s="24">
        <v>1</v>
      </c>
      <c r="X755" t="s">
        <v>8</v>
      </c>
      <c r="Y755" t="s">
        <v>739</v>
      </c>
      <c r="Z755">
        <v>6368</v>
      </c>
      <c r="AA755" s="35" t="s">
        <v>3561</v>
      </c>
    </row>
    <row r="756" spans="1:27" hidden="1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1214</v>
      </c>
      <c r="V756" s="24">
        <v>1</v>
      </c>
      <c r="W756" s="24"/>
      <c r="X756" t="s">
        <v>3513</v>
      </c>
      <c r="Y756" t="s">
        <v>28</v>
      </c>
      <c r="Z756">
        <v>2269</v>
      </c>
      <c r="AA756" s="35" t="s">
        <v>3560</v>
      </c>
    </row>
    <row r="757" spans="1:27" hidden="1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1213</v>
      </c>
      <c r="V757" s="24">
        <v>1</v>
      </c>
      <c r="W757" s="24"/>
      <c r="X757" t="s">
        <v>3514</v>
      </c>
      <c r="Y757" t="s">
        <v>84</v>
      </c>
      <c r="Z757">
        <v>5911</v>
      </c>
      <c r="AA757" s="35" t="s">
        <v>3560</v>
      </c>
    </row>
    <row r="758" spans="1:27" hidden="1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1215</v>
      </c>
      <c r="V758" s="24"/>
      <c r="W758" s="24">
        <v>1</v>
      </c>
      <c r="X758" t="s">
        <v>3549</v>
      </c>
      <c r="Y758" t="s">
        <v>239</v>
      </c>
      <c r="Z758">
        <v>6339</v>
      </c>
      <c r="AA758" s="35" t="s">
        <v>3560</v>
      </c>
    </row>
    <row r="759" spans="1:27" hidden="1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1216</v>
      </c>
      <c r="V759" s="24">
        <v>1</v>
      </c>
      <c r="W759" s="24"/>
      <c r="X759" t="s">
        <v>3515</v>
      </c>
      <c r="Y759" t="s">
        <v>205</v>
      </c>
      <c r="Z759">
        <v>5261</v>
      </c>
      <c r="AA759" s="35" t="s">
        <v>3560</v>
      </c>
    </row>
    <row r="760" spans="1:27" hidden="1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1217</v>
      </c>
      <c r="V760" s="24">
        <v>1</v>
      </c>
      <c r="W760" s="24"/>
      <c r="X760" t="s">
        <v>3515</v>
      </c>
      <c r="Y760" t="s">
        <v>51</v>
      </c>
      <c r="Z760">
        <v>5235</v>
      </c>
      <c r="AA760" s="35" t="s">
        <v>3560</v>
      </c>
    </row>
    <row r="761" spans="1:27" hidden="1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1306</v>
      </c>
      <c r="V761" s="24">
        <v>1</v>
      </c>
      <c r="W761" s="24"/>
      <c r="X761" t="s">
        <v>3514</v>
      </c>
      <c r="Y761" t="s">
        <v>1307</v>
      </c>
      <c r="Z761">
        <v>5912</v>
      </c>
      <c r="AA761" s="35" t="s">
        <v>3561</v>
      </c>
    </row>
    <row r="762" spans="1:27" hidden="1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1315</v>
      </c>
      <c r="V762" s="24">
        <v>1</v>
      </c>
      <c r="W762" s="24"/>
      <c r="X762" t="s">
        <v>3513</v>
      </c>
      <c r="Y762" t="s">
        <v>48</v>
      </c>
      <c r="Z762">
        <v>5046</v>
      </c>
      <c r="AA762" s="35" t="s">
        <v>3561</v>
      </c>
    </row>
    <row r="763" spans="1:27" hidden="1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1218</v>
      </c>
      <c r="V763" s="24">
        <v>1</v>
      </c>
      <c r="W763" s="24"/>
      <c r="X763" t="s">
        <v>3513</v>
      </c>
      <c r="Y763" t="s">
        <v>119</v>
      </c>
      <c r="Z763">
        <v>5042</v>
      </c>
      <c r="AA763" s="35" t="s">
        <v>3560</v>
      </c>
    </row>
    <row r="764" spans="1:27" hidden="1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1219</v>
      </c>
      <c r="V764" s="24">
        <v>1</v>
      </c>
      <c r="W764" s="24"/>
      <c r="X764" t="s">
        <v>3515</v>
      </c>
      <c r="Y764" t="s">
        <v>271</v>
      </c>
      <c r="Z764">
        <v>5047</v>
      </c>
      <c r="AA764" s="35" t="s">
        <v>3560</v>
      </c>
    </row>
    <row r="765" spans="1:27" hidden="1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1221</v>
      </c>
      <c r="V765" s="24">
        <v>1</v>
      </c>
      <c r="W765" s="24"/>
      <c r="X765" t="s">
        <v>3513</v>
      </c>
      <c r="Y765" t="s">
        <v>227</v>
      </c>
      <c r="Z765">
        <v>2195</v>
      </c>
      <c r="AA765" s="35" t="s">
        <v>3560</v>
      </c>
    </row>
    <row r="766" spans="1:27" hidden="1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1220</v>
      </c>
      <c r="V766" s="24"/>
      <c r="W766" s="24">
        <v>1</v>
      </c>
      <c r="X766" t="s">
        <v>3549</v>
      </c>
      <c r="Y766" t="s">
        <v>69</v>
      </c>
      <c r="Z766">
        <v>6319</v>
      </c>
      <c r="AA766" s="35" t="s">
        <v>3560</v>
      </c>
    </row>
    <row r="767" spans="1:27" hidden="1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1222</v>
      </c>
      <c r="V767" s="24">
        <v>1</v>
      </c>
      <c r="W767" s="24"/>
      <c r="X767" t="s">
        <v>3513</v>
      </c>
      <c r="Y767" t="s">
        <v>66</v>
      </c>
      <c r="Z767">
        <v>5264</v>
      </c>
      <c r="AA767" s="35" t="s">
        <v>3560</v>
      </c>
    </row>
    <row r="768" spans="1:27" hidden="1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1223</v>
      </c>
      <c r="V768" s="24"/>
      <c r="W768" s="24">
        <v>1</v>
      </c>
      <c r="X768" t="s">
        <v>3550</v>
      </c>
      <c r="Y768" t="s">
        <v>46</v>
      </c>
      <c r="Z768">
        <v>6362</v>
      </c>
      <c r="AA768" s="35" t="s">
        <v>3560</v>
      </c>
    </row>
    <row r="769" spans="1:27" hidden="1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1224</v>
      </c>
      <c r="V769" s="24"/>
      <c r="W769" s="24">
        <v>1</v>
      </c>
      <c r="X769" t="s">
        <v>3550</v>
      </c>
      <c r="Y769" t="s">
        <v>5</v>
      </c>
      <c r="Z769">
        <v>6368</v>
      </c>
      <c r="AA769" s="35" t="s">
        <v>3560</v>
      </c>
    </row>
    <row r="770" spans="1:27" hidden="1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1333</v>
      </c>
      <c r="V770" s="24">
        <v>1</v>
      </c>
      <c r="W770" s="24"/>
      <c r="X770" t="s">
        <v>3513</v>
      </c>
      <c r="Y770" t="s">
        <v>1334</v>
      </c>
      <c r="Z770">
        <v>2193</v>
      </c>
      <c r="AA770" s="35" t="s">
        <v>3561</v>
      </c>
    </row>
    <row r="771" spans="1:27" hidden="1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1225</v>
      </c>
      <c r="V771" s="24">
        <v>1</v>
      </c>
      <c r="W771" s="24"/>
      <c r="X771" t="s">
        <v>3513</v>
      </c>
      <c r="Y771" t="s">
        <v>98</v>
      </c>
      <c r="Z771">
        <v>5259</v>
      </c>
      <c r="AA771" s="35" t="s">
        <v>3560</v>
      </c>
    </row>
    <row r="772" spans="1:27" hidden="1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1226</v>
      </c>
      <c r="V772" s="24">
        <v>1</v>
      </c>
      <c r="W772" s="24"/>
      <c r="X772" t="s">
        <v>3513</v>
      </c>
      <c r="Y772" t="s">
        <v>537</v>
      </c>
      <c r="Z772">
        <v>5046</v>
      </c>
      <c r="AA772" s="35" t="s">
        <v>3560</v>
      </c>
    </row>
    <row r="773" spans="1:27" hidden="1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1297</v>
      </c>
      <c r="V773" s="24">
        <v>1</v>
      </c>
      <c r="W773" s="24"/>
      <c r="X773" t="s">
        <v>3515</v>
      </c>
      <c r="Y773" t="s">
        <v>227</v>
      </c>
      <c r="Z773">
        <v>2190</v>
      </c>
      <c r="AA773" s="35" t="s">
        <v>3561</v>
      </c>
    </row>
    <row r="774" spans="1:27" hidden="1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1227</v>
      </c>
      <c r="V774" s="24"/>
      <c r="W774" s="24">
        <v>1</v>
      </c>
      <c r="X774" t="s">
        <v>3550</v>
      </c>
      <c r="Y774" t="s">
        <v>231</v>
      </c>
      <c r="Z774">
        <v>6355</v>
      </c>
      <c r="AA774" s="35" t="s">
        <v>3560</v>
      </c>
    </row>
    <row r="775" spans="1:27" hidden="1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1228</v>
      </c>
      <c r="V775" s="24">
        <v>1</v>
      </c>
      <c r="W775" s="24"/>
      <c r="X775" t="s">
        <v>3513</v>
      </c>
      <c r="Y775" t="s">
        <v>22</v>
      </c>
      <c r="Z775">
        <v>5046</v>
      </c>
      <c r="AA775" s="35" t="s">
        <v>3560</v>
      </c>
    </row>
    <row r="776" spans="1:27" hidden="1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1229</v>
      </c>
      <c r="V776" s="24">
        <v>1</v>
      </c>
      <c r="W776" s="24"/>
      <c r="X776" t="s">
        <v>3513</v>
      </c>
      <c r="Y776" t="s">
        <v>19</v>
      </c>
      <c r="Z776">
        <v>2198</v>
      </c>
      <c r="AA776" s="35" t="s">
        <v>3560</v>
      </c>
    </row>
    <row r="777" spans="1:27" hidden="1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1233</v>
      </c>
      <c r="V777" s="24">
        <v>1</v>
      </c>
      <c r="W777" s="24"/>
      <c r="X777" t="s">
        <v>3514</v>
      </c>
      <c r="Y777" t="s">
        <v>106</v>
      </c>
      <c r="Z777">
        <v>5486</v>
      </c>
      <c r="AA777" s="35" t="s">
        <v>3560</v>
      </c>
    </row>
    <row r="778" spans="1:27" hidden="1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1230</v>
      </c>
      <c r="D778" t="s">
        <v>1231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1232</v>
      </c>
      <c r="V778" s="24">
        <v>1</v>
      </c>
      <c r="W778" s="24"/>
      <c r="X778" t="s">
        <v>3514</v>
      </c>
      <c r="Y778" t="s">
        <v>16</v>
      </c>
      <c r="Z778">
        <v>5921</v>
      </c>
      <c r="AA778" s="35" t="s">
        <v>3560</v>
      </c>
    </row>
    <row r="779" spans="1:27" hidden="1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1234</v>
      </c>
      <c r="V779" s="24"/>
      <c r="W779" s="24">
        <v>1</v>
      </c>
      <c r="X779" t="s">
        <v>3549</v>
      </c>
      <c r="Y779" t="s">
        <v>104</v>
      </c>
      <c r="Z779">
        <v>6313</v>
      </c>
      <c r="AA779" s="35" t="s">
        <v>3560</v>
      </c>
    </row>
    <row r="780" spans="1:27" hidden="1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1236</v>
      </c>
      <c r="V780" s="24">
        <v>1</v>
      </c>
      <c r="W780" s="24"/>
      <c r="X780" t="s">
        <v>3514</v>
      </c>
      <c r="Y780" t="s">
        <v>191</v>
      </c>
      <c r="Z780">
        <v>5772</v>
      </c>
      <c r="AA780" s="35" t="s">
        <v>3560</v>
      </c>
    </row>
    <row r="781" spans="1:27" hidden="1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1235</v>
      </c>
      <c r="V781" s="24">
        <v>1</v>
      </c>
      <c r="W781" s="24"/>
      <c r="X781" t="s">
        <v>3513</v>
      </c>
      <c r="Y781" t="s">
        <v>125</v>
      </c>
      <c r="Z781">
        <v>2189</v>
      </c>
      <c r="AA781" s="35" t="s">
        <v>3560</v>
      </c>
    </row>
    <row r="782" spans="1:27" hidden="1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1238</v>
      </c>
      <c r="V782" s="24">
        <v>1</v>
      </c>
      <c r="W782" s="24"/>
      <c r="X782" t="s">
        <v>3513</v>
      </c>
      <c r="Y782" t="s">
        <v>37</v>
      </c>
      <c r="Z782">
        <v>5046</v>
      </c>
      <c r="AA782" s="35" t="s">
        <v>3560</v>
      </c>
    </row>
    <row r="783" spans="1:27" hidden="1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1237</v>
      </c>
      <c r="V783" s="24">
        <v>1</v>
      </c>
      <c r="W783" s="24"/>
      <c r="X783" t="s">
        <v>3513</v>
      </c>
      <c r="Y783" t="s">
        <v>16</v>
      </c>
      <c r="Z783">
        <v>2196</v>
      </c>
      <c r="AA783" s="35" t="s">
        <v>3560</v>
      </c>
    </row>
    <row r="784" spans="1:27" hidden="1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1240</v>
      </c>
      <c r="V784" s="24"/>
      <c r="W784" s="24">
        <v>1</v>
      </c>
      <c r="X784" t="s">
        <v>3550</v>
      </c>
      <c r="Y784" t="s">
        <v>181</v>
      </c>
      <c r="Z784">
        <v>6355</v>
      </c>
      <c r="AA784" s="35" t="s">
        <v>3560</v>
      </c>
    </row>
    <row r="785" spans="1:27" hidden="1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1239</v>
      </c>
      <c r="V785" s="24">
        <v>1</v>
      </c>
      <c r="W785" s="24"/>
      <c r="X785" t="s">
        <v>3514</v>
      </c>
      <c r="Y785" t="s">
        <v>519</v>
      </c>
      <c r="Z785">
        <v>5915</v>
      </c>
      <c r="AA785" s="35" t="s">
        <v>3560</v>
      </c>
    </row>
    <row r="786" spans="1:27" hidden="1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1241</v>
      </c>
      <c r="V786" s="24">
        <v>1</v>
      </c>
      <c r="W786" s="24"/>
      <c r="X786" t="s">
        <v>3515</v>
      </c>
      <c r="Y786" t="s">
        <v>135</v>
      </c>
      <c r="Z786">
        <v>5324</v>
      </c>
      <c r="AA786" s="35" t="s">
        <v>3560</v>
      </c>
    </row>
    <row r="787" spans="1:27" hidden="1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1242</v>
      </c>
      <c r="V787" s="24">
        <v>1</v>
      </c>
      <c r="W787" s="24"/>
      <c r="X787" t="s">
        <v>3513</v>
      </c>
      <c r="Y787" t="s">
        <v>19</v>
      </c>
      <c r="Z787">
        <v>5043</v>
      </c>
      <c r="AA787" s="35" t="s">
        <v>3560</v>
      </c>
    </row>
    <row r="788" spans="1:27" hidden="1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1243</v>
      </c>
      <c r="V788" s="24">
        <v>1</v>
      </c>
      <c r="W788" s="24"/>
      <c r="X788" t="s">
        <v>3514</v>
      </c>
      <c r="Y788" t="s">
        <v>201</v>
      </c>
      <c r="Z788">
        <v>5763</v>
      </c>
      <c r="AA788" s="35" t="s">
        <v>3560</v>
      </c>
    </row>
    <row r="789" spans="1:27" hidden="1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1244</v>
      </c>
      <c r="V789" s="24">
        <v>1</v>
      </c>
      <c r="W789" s="24"/>
      <c r="X789" t="s">
        <v>3514</v>
      </c>
      <c r="Y789" t="s">
        <v>229</v>
      </c>
      <c r="Z789">
        <v>5911</v>
      </c>
      <c r="AA789" s="35" t="s">
        <v>3560</v>
      </c>
    </row>
    <row r="790" spans="1:27" hidden="1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1245</v>
      </c>
      <c r="V790" s="24"/>
      <c r="W790" s="24">
        <v>1</v>
      </c>
      <c r="X790" t="s">
        <v>3550</v>
      </c>
      <c r="Y790" t="s">
        <v>69</v>
      </c>
      <c r="Z790">
        <v>6353</v>
      </c>
      <c r="AA790" s="35" t="s">
        <v>3560</v>
      </c>
    </row>
    <row r="791" spans="1:27" hidden="1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1247</v>
      </c>
      <c r="V791" s="24">
        <v>1</v>
      </c>
      <c r="W791" s="24"/>
      <c r="X791" t="s">
        <v>3513</v>
      </c>
      <c r="Y791" t="s">
        <v>237</v>
      </c>
      <c r="Z791">
        <v>5044</v>
      </c>
      <c r="AA791" s="35" t="s">
        <v>3560</v>
      </c>
    </row>
    <row r="792" spans="1:27" hidden="1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1246</v>
      </c>
      <c r="V792" s="24">
        <v>1</v>
      </c>
      <c r="W792" s="24"/>
      <c r="X792" t="s">
        <v>3513</v>
      </c>
      <c r="Y792" t="s">
        <v>28</v>
      </c>
      <c r="Z792">
        <v>5231</v>
      </c>
      <c r="AA792" s="35" t="s">
        <v>3560</v>
      </c>
    </row>
    <row r="793" spans="1:27" hidden="1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1304</v>
      </c>
      <c r="V793" s="24"/>
      <c r="W793" s="24">
        <v>1</v>
      </c>
      <c r="X793" t="s">
        <v>8</v>
      </c>
      <c r="Y793" t="s">
        <v>962</v>
      </c>
      <c r="Z793">
        <v>6375</v>
      </c>
      <c r="AA793" s="35" t="s">
        <v>3561</v>
      </c>
    </row>
    <row r="794" spans="1:27" hidden="1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1248</v>
      </c>
      <c r="V794" s="24">
        <v>1</v>
      </c>
      <c r="W794" s="24"/>
      <c r="X794" t="s">
        <v>3513</v>
      </c>
      <c r="Y794" t="s">
        <v>10</v>
      </c>
      <c r="Z794">
        <v>2807</v>
      </c>
      <c r="AA794" s="35" t="s">
        <v>3560</v>
      </c>
    </row>
    <row r="795" spans="1:27" hidden="1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1249</v>
      </c>
      <c r="V795" s="24">
        <v>1</v>
      </c>
      <c r="W795" s="24"/>
      <c r="X795" t="s">
        <v>3515</v>
      </c>
      <c r="Y795" t="s">
        <v>251</v>
      </c>
      <c r="Z795">
        <v>5266</v>
      </c>
      <c r="AA795" s="35" t="s">
        <v>3560</v>
      </c>
    </row>
    <row r="796" spans="1:27" hidden="1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1250</v>
      </c>
      <c r="V796" s="24">
        <v>1</v>
      </c>
      <c r="W796" s="24"/>
      <c r="X796" t="s">
        <v>3514</v>
      </c>
      <c r="Y796" t="s">
        <v>111</v>
      </c>
      <c r="Z796">
        <v>5767</v>
      </c>
      <c r="AA796" s="35" t="s">
        <v>3560</v>
      </c>
    </row>
    <row r="797" spans="1:27" hidden="1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1254</v>
      </c>
      <c r="V797" s="24"/>
      <c r="W797" s="24">
        <v>1</v>
      </c>
      <c r="X797" t="s">
        <v>3549</v>
      </c>
      <c r="Y797" t="s">
        <v>267</v>
      </c>
      <c r="Z797">
        <v>6323</v>
      </c>
      <c r="AA797" s="35" t="s">
        <v>3560</v>
      </c>
    </row>
    <row r="798" spans="1:27" hidden="1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1253</v>
      </c>
      <c r="V798" s="24">
        <v>1</v>
      </c>
      <c r="W798" s="24"/>
      <c r="X798" t="s">
        <v>3515</v>
      </c>
      <c r="Y798" t="s">
        <v>113</v>
      </c>
      <c r="Z798">
        <v>5260</v>
      </c>
      <c r="AA798" s="35" t="s">
        <v>3560</v>
      </c>
    </row>
    <row r="799" spans="1:27" hidden="1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1251</v>
      </c>
      <c r="V799" s="24">
        <v>1</v>
      </c>
      <c r="W799" s="24"/>
      <c r="X799" t="s">
        <v>3515</v>
      </c>
      <c r="Y799" t="s">
        <v>1252</v>
      </c>
      <c r="Z799">
        <v>5046</v>
      </c>
      <c r="AA799" s="35" t="s">
        <v>3560</v>
      </c>
    </row>
    <row r="800" spans="1:27" hidden="1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1255</v>
      </c>
      <c r="V800" s="24"/>
      <c r="W800" s="24">
        <v>1</v>
      </c>
      <c r="X800" t="s">
        <v>3549</v>
      </c>
      <c r="Y800" t="s">
        <v>233</v>
      </c>
      <c r="Z800">
        <v>6331</v>
      </c>
      <c r="AA800" s="35" t="s">
        <v>3560</v>
      </c>
    </row>
    <row r="801" spans="1:27" hidden="1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1256</v>
      </c>
      <c r="V801" s="24">
        <v>1</v>
      </c>
      <c r="W801" s="24"/>
      <c r="X801" t="s">
        <v>3514</v>
      </c>
      <c r="Y801" t="s">
        <v>16</v>
      </c>
      <c r="Z801">
        <v>5933</v>
      </c>
      <c r="AA801" s="35" t="s">
        <v>3560</v>
      </c>
    </row>
    <row r="802" spans="1:27" hidden="1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1317</v>
      </c>
      <c r="V802" s="24">
        <v>1</v>
      </c>
      <c r="W802" s="24"/>
      <c r="X802" t="s">
        <v>3514</v>
      </c>
      <c r="Y802" t="s">
        <v>16</v>
      </c>
      <c r="Z802">
        <v>5924</v>
      </c>
      <c r="AA802" s="35" t="s">
        <v>3561</v>
      </c>
    </row>
    <row r="803" spans="1:27" hidden="1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1257</v>
      </c>
      <c r="V803" s="24">
        <v>1</v>
      </c>
      <c r="W803" s="24"/>
      <c r="X803" t="s">
        <v>3513</v>
      </c>
      <c r="Y803" t="s">
        <v>203</v>
      </c>
      <c r="Z803">
        <v>5041</v>
      </c>
      <c r="AA803" s="35" t="s">
        <v>3560</v>
      </c>
    </row>
    <row r="804" spans="1:27" hidden="1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1303</v>
      </c>
      <c r="V804" s="24"/>
      <c r="W804" s="24">
        <v>1</v>
      </c>
      <c r="X804" t="s">
        <v>8</v>
      </c>
      <c r="Y804" t="s">
        <v>668</v>
      </c>
      <c r="Z804">
        <v>6359</v>
      </c>
      <c r="AA804" s="35" t="s">
        <v>3561</v>
      </c>
    </row>
    <row r="805" spans="1:27" hidden="1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1302</v>
      </c>
      <c r="V805" s="24">
        <v>1</v>
      </c>
      <c r="W805" s="24"/>
      <c r="X805" t="s">
        <v>3514</v>
      </c>
      <c r="Y805" t="s">
        <v>108</v>
      </c>
      <c r="Z805">
        <v>5767</v>
      </c>
      <c r="AA805" s="35" t="s">
        <v>3561</v>
      </c>
    </row>
    <row r="806" spans="1:27" hidden="1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1259</v>
      </c>
      <c r="V806" s="24">
        <v>1</v>
      </c>
      <c r="W806" s="24"/>
      <c r="X806" t="s">
        <v>3515</v>
      </c>
      <c r="Y806" t="s">
        <v>19</v>
      </c>
      <c r="Z806">
        <v>2195</v>
      </c>
      <c r="AA806" s="35" t="s">
        <v>3560</v>
      </c>
    </row>
    <row r="807" spans="1:27" hidden="1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1258</v>
      </c>
      <c r="V807" s="24">
        <v>1</v>
      </c>
      <c r="W807" s="24"/>
      <c r="X807" t="s">
        <v>3515</v>
      </c>
      <c r="Y807" t="s">
        <v>265</v>
      </c>
      <c r="Z807">
        <v>2192</v>
      </c>
      <c r="AA807" s="35" t="s">
        <v>3560</v>
      </c>
    </row>
    <row r="808" spans="1:27" hidden="1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1298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3561</v>
      </c>
    </row>
    <row r="809" spans="1:27" hidden="1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1261</v>
      </c>
      <c r="D809" t="s">
        <v>1262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1263</v>
      </c>
      <c r="V809" s="24">
        <v>1</v>
      </c>
      <c r="W809" s="24"/>
      <c r="X809" t="s">
        <v>3514</v>
      </c>
      <c r="Y809" t="s">
        <v>16</v>
      </c>
      <c r="Z809">
        <v>5923</v>
      </c>
      <c r="AA809" s="35" t="s">
        <v>3560</v>
      </c>
    </row>
    <row r="810" spans="1:27" hidden="1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1260</v>
      </c>
      <c r="V810" s="24">
        <v>1</v>
      </c>
      <c r="W810" s="24"/>
      <c r="X810" t="s">
        <v>3515</v>
      </c>
      <c r="Y810" t="s">
        <v>141</v>
      </c>
      <c r="Z810">
        <v>5271</v>
      </c>
      <c r="AA810" s="35" t="s">
        <v>3560</v>
      </c>
    </row>
    <row r="811" spans="1:27" hidden="1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1322</v>
      </c>
      <c r="V811" s="24"/>
      <c r="W811" s="24">
        <v>1</v>
      </c>
      <c r="X811" t="s">
        <v>8</v>
      </c>
      <c r="Y811" t="s">
        <v>1323</v>
      </c>
      <c r="Z811">
        <v>6337</v>
      </c>
      <c r="AA811" s="35" t="s">
        <v>3561</v>
      </c>
    </row>
    <row r="812" spans="1:27" hidden="1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3622</v>
      </c>
      <c r="V812" s="24">
        <v>1</v>
      </c>
      <c r="W812" s="24"/>
      <c r="X812" t="s">
        <v>3515</v>
      </c>
      <c r="Y812" t="s">
        <v>514</v>
      </c>
      <c r="Z812">
        <v>5042</v>
      </c>
      <c r="AA812" s="35" t="s">
        <v>3560</v>
      </c>
    </row>
    <row r="813" spans="1:27" hidden="1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1264</v>
      </c>
      <c r="V813" s="24">
        <v>1</v>
      </c>
      <c r="W813" s="24"/>
      <c r="X813" t="s">
        <v>3514</v>
      </c>
      <c r="Y813" t="s">
        <v>25</v>
      </c>
      <c r="Z813">
        <v>5915</v>
      </c>
      <c r="AA813" s="35" t="s">
        <v>3560</v>
      </c>
    </row>
    <row r="814" spans="1:27" hidden="1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1265</v>
      </c>
      <c r="V814" s="24">
        <v>1</v>
      </c>
      <c r="W814" s="24"/>
      <c r="X814" t="s">
        <v>3513</v>
      </c>
      <c r="Y814" t="s">
        <v>209</v>
      </c>
      <c r="Z814">
        <v>2190</v>
      </c>
      <c r="AA814" s="35" t="s">
        <v>3560</v>
      </c>
    </row>
    <row r="815" spans="1:27" hidden="1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1335</v>
      </c>
      <c r="V815" s="24">
        <v>1</v>
      </c>
      <c r="W815" s="24"/>
      <c r="X815" t="s">
        <v>3513</v>
      </c>
      <c r="Y815" t="s">
        <v>51</v>
      </c>
      <c r="Z815">
        <v>5042</v>
      </c>
      <c r="AA815" s="35" t="s">
        <v>3561</v>
      </c>
    </row>
    <row r="816" spans="1:27" hidden="1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1267</v>
      </c>
      <c r="V816" s="24"/>
      <c r="W816" s="24">
        <v>1</v>
      </c>
      <c r="X816" t="s">
        <v>3550</v>
      </c>
      <c r="Y816" t="s">
        <v>10</v>
      </c>
      <c r="Z816">
        <v>6372</v>
      </c>
      <c r="AA816" s="35" t="s">
        <v>3560</v>
      </c>
    </row>
    <row r="817" spans="1:27" hidden="1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1266</v>
      </c>
      <c r="V817" s="24">
        <v>1</v>
      </c>
      <c r="W817" s="24"/>
      <c r="X817" t="s">
        <v>3515</v>
      </c>
      <c r="Y817" t="s">
        <v>19</v>
      </c>
      <c r="Z817">
        <v>2200</v>
      </c>
      <c r="AA817" s="35" t="s">
        <v>3560</v>
      </c>
    </row>
    <row r="818" spans="1:27" hidden="1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1269</v>
      </c>
      <c r="V818" s="24">
        <v>1</v>
      </c>
      <c r="W818" s="24"/>
      <c r="X818" t="s">
        <v>3515</v>
      </c>
      <c r="Y818" t="s">
        <v>34</v>
      </c>
      <c r="Z818">
        <v>5053</v>
      </c>
      <c r="AA818" s="35" t="s">
        <v>3560</v>
      </c>
    </row>
    <row r="819" spans="1:27" hidden="1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1268</v>
      </c>
      <c r="V819" s="24">
        <v>1</v>
      </c>
      <c r="W819" s="24"/>
      <c r="X819" t="s">
        <v>3514</v>
      </c>
      <c r="Y819" t="s">
        <v>54</v>
      </c>
      <c r="Z819">
        <v>5923</v>
      </c>
      <c r="AA819" s="35" t="s">
        <v>3560</v>
      </c>
    </row>
    <row r="820" spans="1:27" hidden="1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1270</v>
      </c>
      <c r="V820" s="24">
        <v>1</v>
      </c>
      <c r="W820" s="24"/>
      <c r="X820" t="s">
        <v>3515</v>
      </c>
      <c r="Y820" t="s">
        <v>289</v>
      </c>
      <c r="Z820">
        <v>2194</v>
      </c>
      <c r="AA820" s="35" t="s">
        <v>3560</v>
      </c>
    </row>
    <row r="821" spans="1:27" hidden="1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1271</v>
      </c>
      <c r="V821" s="24"/>
      <c r="W821" s="24">
        <v>1</v>
      </c>
      <c r="X821" t="s">
        <v>3549</v>
      </c>
      <c r="Y821" t="s">
        <v>5</v>
      </c>
      <c r="Z821">
        <v>6321</v>
      </c>
      <c r="AA821" s="35" t="s">
        <v>3560</v>
      </c>
    </row>
    <row r="822" spans="1:27" hidden="1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1272</v>
      </c>
      <c r="V822" s="24">
        <v>1</v>
      </c>
      <c r="W822" s="24"/>
      <c r="X822" t="s">
        <v>3513</v>
      </c>
      <c r="Y822" t="s">
        <v>19</v>
      </c>
      <c r="Z822">
        <v>5266</v>
      </c>
      <c r="AA822" s="35" t="s">
        <v>3560</v>
      </c>
    </row>
    <row r="823" spans="1:27" hidden="1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1301</v>
      </c>
      <c r="V823" s="8">
        <v>1</v>
      </c>
      <c r="W823" s="8"/>
      <c r="X823" t="s">
        <v>3514</v>
      </c>
      <c r="Y823" t="s">
        <v>10</v>
      </c>
      <c r="Z823">
        <v>5927</v>
      </c>
      <c r="AA823" s="35" t="s">
        <v>3561</v>
      </c>
    </row>
    <row r="824" spans="1:27" hidden="1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1273</v>
      </c>
      <c r="V824" s="24">
        <v>1</v>
      </c>
      <c r="W824" s="24"/>
      <c r="X824" t="s">
        <v>3514</v>
      </c>
      <c r="Y824" t="s">
        <v>243</v>
      </c>
      <c r="Z824">
        <v>5912</v>
      </c>
      <c r="AA824" t="s">
        <v>3560</v>
      </c>
    </row>
    <row r="825" spans="1:27" hidden="1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1275</v>
      </c>
      <c r="V825" s="24"/>
      <c r="W825" s="24">
        <v>1</v>
      </c>
      <c r="X825" t="s">
        <v>3549</v>
      </c>
      <c r="Y825" t="s">
        <v>235</v>
      </c>
      <c r="Z825">
        <v>6315</v>
      </c>
      <c r="AA825" s="35" t="s">
        <v>3560</v>
      </c>
    </row>
    <row r="826" spans="1:27" hidden="1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1274</v>
      </c>
      <c r="V826" s="24">
        <v>1</v>
      </c>
      <c r="W826" s="24"/>
      <c r="X826" t="s">
        <v>3513</v>
      </c>
      <c r="Y826" t="s">
        <v>123</v>
      </c>
      <c r="Z826">
        <v>5233</v>
      </c>
      <c r="AA826" t="s">
        <v>3560</v>
      </c>
    </row>
    <row r="827" spans="1:27" hidden="1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1310</v>
      </c>
      <c r="V827" s="24">
        <v>1</v>
      </c>
      <c r="W827" s="24"/>
      <c r="X827" t="s">
        <v>3515</v>
      </c>
      <c r="Y827" t="s">
        <v>537</v>
      </c>
      <c r="Z827">
        <v>5239</v>
      </c>
      <c r="AA827" s="35" t="s">
        <v>3561</v>
      </c>
    </row>
    <row r="828" spans="1:27" hidden="1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1338</v>
      </c>
      <c r="V828" s="24"/>
      <c r="W828" s="24">
        <v>1</v>
      </c>
      <c r="X828" t="s">
        <v>8</v>
      </c>
      <c r="Y828" t="s">
        <v>967</v>
      </c>
      <c r="Z828">
        <v>6307</v>
      </c>
      <c r="AA828" s="35" t="s">
        <v>3561</v>
      </c>
    </row>
    <row r="829" spans="1:27" hidden="1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1280</v>
      </c>
      <c r="V829" s="24">
        <v>1</v>
      </c>
      <c r="W829" s="24"/>
      <c r="X829" t="s">
        <v>3515</v>
      </c>
      <c r="Y829" t="s">
        <v>113</v>
      </c>
      <c r="Z829">
        <v>5052</v>
      </c>
      <c r="AA829" t="s">
        <v>3560</v>
      </c>
    </row>
    <row r="830" spans="1:27" hidden="1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1279</v>
      </c>
      <c r="V830" s="24">
        <v>1</v>
      </c>
      <c r="W830" s="24"/>
      <c r="X830" t="s">
        <v>3515</v>
      </c>
      <c r="Y830" t="s">
        <v>22</v>
      </c>
      <c r="Z830">
        <v>5238</v>
      </c>
      <c r="AA830" t="s">
        <v>3560</v>
      </c>
    </row>
    <row r="831" spans="1:27" hidden="1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1276</v>
      </c>
      <c r="D831" t="s">
        <v>1277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1278</v>
      </c>
      <c r="V831" s="24">
        <v>1</v>
      </c>
      <c r="W831" s="24"/>
      <c r="X831" t="s">
        <v>3514</v>
      </c>
      <c r="Y831" t="s">
        <v>5</v>
      </c>
      <c r="Z831">
        <v>5765</v>
      </c>
      <c r="AA831" t="s">
        <v>3560</v>
      </c>
    </row>
    <row r="832" spans="1:27" hidden="1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1281</v>
      </c>
      <c r="V832" s="24">
        <v>1</v>
      </c>
      <c r="W832" s="24"/>
      <c r="X832" t="s">
        <v>3515</v>
      </c>
      <c r="Y832" t="s">
        <v>51</v>
      </c>
      <c r="Z832">
        <v>5048</v>
      </c>
      <c r="AA832" t="s">
        <v>3560</v>
      </c>
    </row>
    <row r="833" spans="1:27" hidden="1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1282</v>
      </c>
      <c r="V833" s="24">
        <v>1</v>
      </c>
      <c r="W833" s="24"/>
      <c r="X833" t="s">
        <v>3514</v>
      </c>
      <c r="Y833" t="s">
        <v>293</v>
      </c>
      <c r="Z833">
        <v>8137</v>
      </c>
      <c r="AA833" t="s">
        <v>3560</v>
      </c>
    </row>
    <row r="834" spans="1:27" hidden="1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1283</v>
      </c>
      <c r="V834" s="24"/>
      <c r="W834" s="24">
        <v>1</v>
      </c>
      <c r="X834" t="s">
        <v>3549</v>
      </c>
      <c r="Y834" t="s">
        <v>5</v>
      </c>
      <c r="Z834">
        <v>6308</v>
      </c>
      <c r="AA834" s="35" t="s">
        <v>3560</v>
      </c>
    </row>
    <row r="835" spans="1:27" hidden="1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1284</v>
      </c>
      <c r="V835" s="24">
        <v>1</v>
      </c>
      <c r="W835" s="24"/>
      <c r="X835" t="s">
        <v>3513</v>
      </c>
      <c r="Y835" t="s">
        <v>195</v>
      </c>
      <c r="Z835">
        <v>5046</v>
      </c>
      <c r="AA835" t="s">
        <v>3560</v>
      </c>
    </row>
    <row r="836" spans="1:27" hidden="1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1285</v>
      </c>
      <c r="V836" s="24">
        <v>1</v>
      </c>
      <c r="W836" s="24"/>
      <c r="X836" t="s">
        <v>3549</v>
      </c>
      <c r="Y836" t="s">
        <v>199</v>
      </c>
      <c r="Z836">
        <v>6332</v>
      </c>
      <c r="AA836" s="35" t="s">
        <v>3560</v>
      </c>
    </row>
    <row r="837" spans="1:27" hidden="1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1287</v>
      </c>
      <c r="V837" s="24">
        <v>1</v>
      </c>
      <c r="W837" s="24"/>
      <c r="X837" t="s">
        <v>3515</v>
      </c>
      <c r="Y837" t="s">
        <v>1288</v>
      </c>
      <c r="Z837">
        <v>5327</v>
      </c>
      <c r="AA837" t="s">
        <v>3560</v>
      </c>
    </row>
    <row r="838" spans="1:27" hidden="1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1286</v>
      </c>
      <c r="V838" s="24">
        <v>1</v>
      </c>
      <c r="W838" s="24"/>
      <c r="X838" t="s">
        <v>3513</v>
      </c>
      <c r="Y838" t="s">
        <v>5</v>
      </c>
      <c r="Z838">
        <v>2193</v>
      </c>
      <c r="AA838" t="s">
        <v>3560</v>
      </c>
    </row>
    <row r="839" spans="1:27" hidden="1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1289</v>
      </c>
      <c r="V839" s="24">
        <v>1</v>
      </c>
      <c r="W839" s="24"/>
      <c r="X839" t="s">
        <v>3515</v>
      </c>
      <c r="Y839" t="s">
        <v>560</v>
      </c>
      <c r="Z839">
        <v>5044</v>
      </c>
      <c r="AA839" t="s">
        <v>3560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1339</v>
      </c>
      <c r="V840" s="37">
        <v>1</v>
      </c>
      <c r="W840" s="37"/>
      <c r="X840" t="s">
        <v>3514</v>
      </c>
      <c r="Y840" t="s">
        <v>1340</v>
      </c>
      <c r="Z840" s="2">
        <v>5938</v>
      </c>
      <c r="AA840" s="42" t="s">
        <v>3560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3501</v>
      </c>
      <c r="V841" s="37">
        <v>1</v>
      </c>
      <c r="W841" s="37"/>
      <c r="X841" t="s">
        <v>3515</v>
      </c>
      <c r="Y841" t="s">
        <v>100</v>
      </c>
      <c r="Z841" s="2">
        <v>5263</v>
      </c>
      <c r="AA841" s="42" t="s">
        <v>3560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3501</v>
      </c>
      <c r="V842" s="37">
        <v>1</v>
      </c>
      <c r="W842" s="37"/>
      <c r="X842" t="s">
        <v>3515</v>
      </c>
      <c r="Y842" t="s">
        <v>100</v>
      </c>
      <c r="Z842" s="2">
        <v>5263</v>
      </c>
      <c r="AA842" s="43" t="s">
        <v>3561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1341</v>
      </c>
      <c r="V843" s="37">
        <v>1</v>
      </c>
      <c r="W843" s="37"/>
      <c r="X843" t="s">
        <v>3515</v>
      </c>
      <c r="Y843" t="s">
        <v>399</v>
      </c>
      <c r="Z843" s="2">
        <v>5233</v>
      </c>
      <c r="AA843" s="42" t="s">
        <v>3560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3505</v>
      </c>
      <c r="V844" s="37">
        <v>1</v>
      </c>
      <c r="W844" s="37"/>
      <c r="X844" t="s">
        <v>3514</v>
      </c>
      <c r="Y844" t="s">
        <v>3506</v>
      </c>
      <c r="Z844" s="2">
        <v>550311</v>
      </c>
      <c r="AA844" s="42" t="s">
        <v>3560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3498</v>
      </c>
      <c r="V845" s="37">
        <v>1</v>
      </c>
      <c r="W845" s="37"/>
      <c r="X845" t="s">
        <v>3513</v>
      </c>
      <c r="Y845" t="s">
        <v>3499</v>
      </c>
      <c r="Z845" s="2">
        <v>5324</v>
      </c>
      <c r="AA845" s="42" t="s">
        <v>3560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3511</v>
      </c>
      <c r="V846" s="37"/>
      <c r="W846" s="37">
        <v>1</v>
      </c>
      <c r="X846" t="s">
        <v>3549</v>
      </c>
      <c r="Y846" t="s">
        <v>3512</v>
      </c>
      <c r="Z846" s="2">
        <v>6319</v>
      </c>
      <c r="AA846" s="43" t="s">
        <v>3560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3500</v>
      </c>
      <c r="V847" s="37"/>
      <c r="W847" s="37">
        <v>1</v>
      </c>
      <c r="X847" t="s">
        <v>3549</v>
      </c>
      <c r="Y847" t="s">
        <v>5</v>
      </c>
      <c r="Z847" s="2">
        <v>6316</v>
      </c>
      <c r="AA847" s="43" t="s">
        <v>3560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3502</v>
      </c>
      <c r="V848" s="37">
        <v>1</v>
      </c>
      <c r="W848" s="37"/>
      <c r="X848" t="s">
        <v>3514</v>
      </c>
      <c r="Y848" t="s">
        <v>10</v>
      </c>
      <c r="Z848" s="2">
        <v>2548</v>
      </c>
      <c r="AA848" s="42" t="s">
        <v>3560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3503</v>
      </c>
      <c r="V849" s="37">
        <v>1</v>
      </c>
      <c r="W849" s="37"/>
      <c r="X849" t="s">
        <v>3514</v>
      </c>
      <c r="Y849" t="s">
        <v>3504</v>
      </c>
      <c r="Z849" s="2">
        <v>5931</v>
      </c>
      <c r="AA849" s="42" t="s">
        <v>3560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3548</v>
      </c>
      <c r="V850" s="37">
        <v>1</v>
      </c>
      <c r="W850" s="37"/>
      <c r="X850" t="s">
        <v>3515</v>
      </c>
      <c r="Y850" t="s">
        <v>13</v>
      </c>
      <c r="Z850" s="2">
        <v>5259</v>
      </c>
      <c r="AA850" s="42" t="s">
        <v>3560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3507</v>
      </c>
      <c r="V851" s="37"/>
      <c r="W851" s="37">
        <v>1</v>
      </c>
      <c r="X851" t="s">
        <v>3549</v>
      </c>
      <c r="Y851" t="s">
        <v>75</v>
      </c>
      <c r="Z851" s="2">
        <v>6331</v>
      </c>
      <c r="AA851" s="43" t="s">
        <v>3560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3508</v>
      </c>
      <c r="V852" s="37">
        <v>1</v>
      </c>
      <c r="W852" s="37"/>
      <c r="X852" t="s">
        <v>3513</v>
      </c>
      <c r="Y852" t="s">
        <v>119</v>
      </c>
      <c r="Z852" s="2">
        <v>5042</v>
      </c>
      <c r="AA852" s="42" t="s">
        <v>3560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3558</v>
      </c>
      <c r="V853" s="37">
        <v>1</v>
      </c>
      <c r="W853" s="37"/>
      <c r="X853" t="s">
        <v>3514</v>
      </c>
      <c r="Y853" t="s">
        <v>3559</v>
      </c>
      <c r="Z853" s="2">
        <v>4678</v>
      </c>
      <c r="AA853" s="43" t="s">
        <v>3560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3509</v>
      </c>
      <c r="V854" s="37"/>
      <c r="W854" s="37">
        <v>1</v>
      </c>
      <c r="X854" t="s">
        <v>3550</v>
      </c>
      <c r="Y854" t="s">
        <v>3510</v>
      </c>
      <c r="Z854" s="2">
        <v>6369</v>
      </c>
      <c r="AA854" s="43" t="s">
        <v>3560</v>
      </c>
    </row>
    <row r="855" spans="1:27" x14ac:dyDescent="0.25">
      <c r="A855">
        <v>31634</v>
      </c>
      <c r="B855" t="str">
        <f>_xlfn.CONCAT(bron[[#This Row],[personeelsnr]]," ",bron[[#This Row],[achternaam]]," ",bron[[#This Row],[voornaam]])</f>
        <v>31634 Kirsan Ömer</v>
      </c>
      <c r="C855" t="str">
        <f>VLOOKUP(bron[[#This Row],[personeelsnr]],'data hastus'!$A:$C,2,0)</f>
        <v>Kirsan</v>
      </c>
      <c r="D855" t="str">
        <f>VLOOKUP(bron[[#This Row],[personeelsnr]],'data hastus'!$A:$C,3,0)</f>
        <v>Ömer</v>
      </c>
      <c r="E855" s="2" t="str">
        <f>VLOOKUP(bron[[#This Row],[personeelsnr]],'data hastus'!A:K,11,FALSE)</f>
        <v>Els Vanhoe</v>
      </c>
      <c r="G855" s="39"/>
      <c r="H855" s="39"/>
      <c r="I855" s="39"/>
      <c r="S855" s="36">
        <f>SUM(bron[[#This Row],[Januari]:[December]])</f>
        <v>0</v>
      </c>
      <c r="T855" s="41">
        <v>45912</v>
      </c>
      <c r="U855" s="5" t="s">
        <v>3563</v>
      </c>
      <c r="V855" s="37">
        <v>1</v>
      </c>
      <c r="W855" s="37"/>
      <c r="X855" t="s">
        <v>3515</v>
      </c>
      <c r="Y855" t="s">
        <v>48</v>
      </c>
      <c r="Z855" s="2">
        <v>5265</v>
      </c>
      <c r="AA855" s="43" t="s">
        <v>3560</v>
      </c>
    </row>
    <row r="856" spans="1:27" x14ac:dyDescent="0.25">
      <c r="A856">
        <v>41101</v>
      </c>
      <c r="B856" t="str">
        <f>_xlfn.CONCAT(bron[[#This Row],[personeelsnr]]," ",bron[[#This Row],[achternaam]]," ",bron[[#This Row],[voornaam]])</f>
        <v>41101 Shah Sekandar</v>
      </c>
      <c r="C856" t="str">
        <f>VLOOKUP(bron[[#This Row],[personeelsnr]],'data hastus'!$A:$C,2,0)</f>
        <v>Shah</v>
      </c>
      <c r="D856" t="str">
        <f>VLOOKUP(bron[[#This Row],[personeelsnr]],'data hastus'!$A:$C,3,0)</f>
        <v>Sekandar</v>
      </c>
      <c r="E856" s="2" t="str">
        <f>VLOOKUP(bron[[#This Row],[personeelsnr]],'data hastus'!A:K,11,FALSE)</f>
        <v>Dominique De Clercq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3568</v>
      </c>
      <c r="V856" s="37">
        <v>1</v>
      </c>
      <c r="W856" s="37"/>
      <c r="X856" t="s">
        <v>3515</v>
      </c>
      <c r="Y856" t="s">
        <v>100</v>
      </c>
      <c r="Z856" s="2">
        <v>2193</v>
      </c>
      <c r="AA856" s="43" t="s">
        <v>3560</v>
      </c>
    </row>
    <row r="857" spans="1:27" x14ac:dyDescent="0.25">
      <c r="A857">
        <v>11021</v>
      </c>
      <c r="B857" t="str">
        <f>_xlfn.CONCAT(bron[[#This Row],[personeelsnr]]," ",bron[[#This Row],[achternaam]]," ",bron[[#This Row],[voornaam]])</f>
        <v>11021 Seeuws Marnic</v>
      </c>
      <c r="C857" t="str">
        <f>VLOOKUP(bron[[#This Row],[personeelsnr]],'data hastus'!$A:$C,2,0)</f>
        <v>Seeuws</v>
      </c>
      <c r="D857" t="str">
        <f>VLOOKUP(bron[[#This Row],[personeelsnr]],'data hastus'!$A:$C,3,0)</f>
        <v>Marnic</v>
      </c>
      <c r="E857" s="2" t="str">
        <f>VLOOKUP(bron[[#This Row],[personeelsnr]],'data hastus'!A:K,11,FALSE)</f>
        <v>Steven Storm</v>
      </c>
      <c r="G857" s="39"/>
      <c r="H857" s="39"/>
      <c r="I857" s="39"/>
      <c r="O857" s="36">
        <v>1</v>
      </c>
      <c r="S857" s="36">
        <f>SUM(bron[[#This Row],[Januari]:[December]])</f>
        <v>1</v>
      </c>
      <c r="T857" s="41">
        <v>45914</v>
      </c>
      <c r="U857" s="5" t="s">
        <v>3551</v>
      </c>
      <c r="V857" s="37"/>
      <c r="W857" s="37">
        <v>1</v>
      </c>
      <c r="X857" t="s">
        <v>3550</v>
      </c>
      <c r="Y857" t="s">
        <v>3552</v>
      </c>
      <c r="Z857" s="2">
        <v>6374</v>
      </c>
      <c r="AA857" s="43" t="s">
        <v>3561</v>
      </c>
    </row>
    <row r="858" spans="1:27" x14ac:dyDescent="0.25">
      <c r="A858">
        <v>37222</v>
      </c>
      <c r="B858" t="str">
        <f>_xlfn.CONCAT(bron[[#This Row],[personeelsnr]]," ",bron[[#This Row],[achternaam]]," ",bron[[#This Row],[voornaam]])</f>
        <v>37222 Blondeel Dominique</v>
      </c>
      <c r="C858" t="str">
        <f>VLOOKUP(bron[[#This Row],[personeelsnr]],'data hastus'!$A:$C,2,0)</f>
        <v>Blondeel</v>
      </c>
      <c r="D858" t="str">
        <f>VLOOKUP(bron[[#This Row],[personeelsnr]],'data hastus'!$A:$C,3,0)</f>
        <v>Dominique</v>
      </c>
      <c r="E858" s="2" t="str">
        <f>VLOOKUP(bron[[#This Row],[personeelsnr]],'data hastus'!A:K,11,FALSE)</f>
        <v>Lucie Vande Velde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45915</v>
      </c>
      <c r="U858" s="5" t="s">
        <v>3553</v>
      </c>
      <c r="V858" s="37">
        <v>1</v>
      </c>
      <c r="W858" s="37"/>
      <c r="X858" t="s">
        <v>3513</v>
      </c>
      <c r="Y858" t="s">
        <v>25</v>
      </c>
      <c r="Z858" s="2">
        <v>5237</v>
      </c>
      <c r="AA858" s="42" t="s">
        <v>3560</v>
      </c>
    </row>
    <row r="859" spans="1:27" x14ac:dyDescent="0.25">
      <c r="A859">
        <v>40645</v>
      </c>
      <c r="B859" t="str">
        <f>_xlfn.CONCAT(bron[[#This Row],[personeelsnr]]," ",bron[[#This Row],[achternaam]]," ",bron[[#This Row],[voornaam]])</f>
        <v>40645 Bytebier Jason</v>
      </c>
      <c r="C859" t="str">
        <f>VLOOKUP(bron[[#This Row],[personeelsnr]],'data hastus'!$A:$C,2,0)</f>
        <v>Bytebier</v>
      </c>
      <c r="D859" t="str">
        <f>VLOOKUP(bron[[#This Row],[personeelsnr]],'data hastus'!$A:$C,3,0)</f>
        <v>Jason</v>
      </c>
      <c r="E859" s="2" t="str">
        <f>VLOOKUP(bron[[#This Row],[personeelsnr]],'data hastus'!A:K,11,FALSE)</f>
        <v>Els Dewulf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3555</v>
      </c>
      <c r="V859" s="37">
        <v>1</v>
      </c>
      <c r="W859" s="37"/>
      <c r="X859" t="s">
        <v>3514</v>
      </c>
      <c r="Y859" t="s">
        <v>51</v>
      </c>
      <c r="Z859" s="2">
        <v>5763</v>
      </c>
      <c r="AA859" s="42" t="s">
        <v>3560</v>
      </c>
    </row>
    <row r="860" spans="1:27" x14ac:dyDescent="0.25">
      <c r="A860">
        <v>42146</v>
      </c>
      <c r="B860" t="str">
        <f>_xlfn.CONCAT(bron[[#This Row],[personeelsnr]]," ",bron[[#This Row],[achternaam]]," ",bron[[#This Row],[voornaam]])</f>
        <v>42146 Cichonski Kamil</v>
      </c>
      <c r="C860" t="str">
        <f>VLOOKUP(bron[[#This Row],[personeelsnr]],'data hastus'!$A:$C,2,0)</f>
        <v>Cichonski</v>
      </c>
      <c r="D860" t="str">
        <f>VLOOKUP(bron[[#This Row],[personeelsnr]],'data hastus'!$A:$C,3,0)</f>
        <v>Kamil</v>
      </c>
      <c r="E860" s="2" t="str">
        <f>VLOOKUP(bron[[#This Row],[personeelsnr]],'data hastus'!A:K,11,FALSE)</f>
        <v>Steven Storm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3554</v>
      </c>
      <c r="V860" s="37">
        <v>1</v>
      </c>
      <c r="W860" s="37"/>
      <c r="X860" t="s">
        <v>3514</v>
      </c>
      <c r="Y860" t="s">
        <v>3552</v>
      </c>
      <c r="Z860" s="2">
        <v>5488</v>
      </c>
      <c r="AA860" s="42" t="s">
        <v>3560</v>
      </c>
    </row>
    <row r="861" spans="1:27" x14ac:dyDescent="0.25">
      <c r="A861">
        <v>39529</v>
      </c>
      <c r="B861" t="str">
        <f>_xlfn.CONCAT(bron[[#This Row],[personeelsnr]]," ",bron[[#This Row],[achternaam]]," ",bron[[#This Row],[voornaam]])</f>
        <v>39529 Desmet Patricia</v>
      </c>
      <c r="C861" t="str">
        <f>VLOOKUP(bron[[#This Row],[personeelsnr]],'data hastus'!$A:$C,2,0)</f>
        <v>Desmet</v>
      </c>
      <c r="D861" t="str">
        <f>VLOOKUP(bron[[#This Row],[personeelsnr]],'data hastus'!$A:$C,3,0)</f>
        <v>Patricia</v>
      </c>
      <c r="E861" s="2" t="str">
        <f>VLOOKUP(bron[[#This Row],[personeelsnr]],'data hastus'!A:K,11,FALSE)</f>
        <v>Christoff Rotty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45916</v>
      </c>
      <c r="U861" s="5" t="s">
        <v>3557</v>
      </c>
      <c r="V861" s="37"/>
      <c r="W861" s="37">
        <v>1</v>
      </c>
      <c r="X861" t="s">
        <v>3549</v>
      </c>
      <c r="Y861" t="s">
        <v>1314</v>
      </c>
      <c r="Z861" s="2">
        <v>6334</v>
      </c>
      <c r="AA861" s="42" t="s">
        <v>3561</v>
      </c>
    </row>
    <row r="862" spans="1:27" x14ac:dyDescent="0.25">
      <c r="A862">
        <v>42120</v>
      </c>
      <c r="B862" t="str">
        <f>_xlfn.CONCAT(bron[[#This Row],[personeelsnr]]," ",bron[[#This Row],[achternaam]]," ",bron[[#This Row],[voornaam]])</f>
        <v>42120 De Bruycker Dylan</v>
      </c>
      <c r="C862" t="str">
        <f>VLOOKUP(bron[[#This Row],[personeelsnr]],'data hastus'!$A:$C,2,0)</f>
        <v>De Bruycker</v>
      </c>
      <c r="D862" t="str">
        <f>VLOOKUP(bron[[#This Row],[personeelsnr]],'data hastus'!$A:$C,3,0)</f>
        <v>Dylan</v>
      </c>
      <c r="E862" s="2" t="str">
        <f>VLOOKUP(bron[[#This Row],[personeelsnr]],'data hastus'!A:K,11,FALSE)</f>
        <v>Kenneth De Rick</v>
      </c>
      <c r="G862" s="39"/>
      <c r="H862" s="39"/>
      <c r="I862" s="39"/>
      <c r="S862" s="36">
        <f>SUM(bron[[#This Row],[Januari]:[December]])</f>
        <v>0</v>
      </c>
      <c r="T862" s="41">
        <v>45917</v>
      </c>
      <c r="U862" s="5" t="s">
        <v>3564</v>
      </c>
      <c r="V862" s="37"/>
      <c r="W862" s="37"/>
      <c r="X862" t="s">
        <v>3514</v>
      </c>
      <c r="Y862" t="s">
        <v>3565</v>
      </c>
      <c r="Z862" s="2">
        <v>5913</v>
      </c>
      <c r="AA862" s="43" t="s">
        <v>3560</v>
      </c>
    </row>
    <row r="863" spans="1:27" x14ac:dyDescent="0.25">
      <c r="A863">
        <v>41918</v>
      </c>
      <c r="B863" t="str">
        <f>_xlfn.CONCAT(bron[[#This Row],[personeelsnr]]," ",bron[[#This Row],[achternaam]]," ",bron[[#This Row],[voornaam]])</f>
        <v>41918 Babai Saber</v>
      </c>
      <c r="C863" t="str">
        <f>VLOOKUP(bron[[#This Row],[personeelsnr]],'data hastus'!$A:$C,2,0)</f>
        <v>Babai</v>
      </c>
      <c r="D863" t="str">
        <f>VLOOKUP(bron[[#This Row],[personeelsnr]],'data hastus'!$A:$C,3,0)</f>
        <v>Saber</v>
      </c>
      <c r="E863" s="2" t="str">
        <f>VLOOKUP(bron[[#This Row],[personeelsnr]],'data hastus'!A:K,11,FALSE)</f>
        <v>Christoff Rotty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3626</v>
      </c>
      <c r="V863" s="37"/>
      <c r="W863" s="37"/>
      <c r="X863" t="s">
        <v>3514</v>
      </c>
      <c r="Y863" t="s">
        <v>28</v>
      </c>
      <c r="Z863" s="2">
        <v>5488</v>
      </c>
      <c r="AA863" s="43" t="s">
        <v>3560</v>
      </c>
    </row>
    <row r="864" spans="1:27" x14ac:dyDescent="0.25">
      <c r="A864">
        <v>41948</v>
      </c>
      <c r="B864" t="str">
        <f>_xlfn.CONCAT(bron[[#This Row],[personeelsnr]]," ",bron[[#This Row],[achternaam]]," ",bron[[#This Row],[voornaam]])</f>
        <v>41948 Vervaecke Wim</v>
      </c>
      <c r="C864" t="str">
        <f>VLOOKUP(bron[[#This Row],[personeelsnr]],'data hastus'!$A:$C,2,0)</f>
        <v>Vervaecke</v>
      </c>
      <c r="D864" t="str">
        <f>VLOOKUP(bron[[#This Row],[personeelsnr]],'data hastus'!$A:$C,3,0)</f>
        <v>Wim</v>
      </c>
      <c r="E864" s="2" t="str">
        <f>VLOOKUP(bron[[#This Row],[personeelsnr]],'data hastus'!A:K,11,FALSE)</f>
        <v>Els Dewulf</v>
      </c>
      <c r="G864" s="39"/>
      <c r="H864" s="39"/>
      <c r="I864" s="39"/>
      <c r="S864" s="36">
        <f>SUM(bron[[#This Row],[Januari]:[December]])</f>
        <v>0</v>
      </c>
      <c r="T864" s="41">
        <v>45919</v>
      </c>
      <c r="U864" s="5" t="s">
        <v>3625</v>
      </c>
      <c r="V864" s="37">
        <v>1</v>
      </c>
      <c r="W864" s="37"/>
      <c r="X864" t="s">
        <v>3514</v>
      </c>
      <c r="Y864" t="s">
        <v>535</v>
      </c>
      <c r="Z864" s="2">
        <v>5488</v>
      </c>
      <c r="AA864" s="43" t="s">
        <v>3561</v>
      </c>
    </row>
    <row r="865" spans="1:27" x14ac:dyDescent="0.25">
      <c r="A865">
        <v>40856</v>
      </c>
      <c r="B865" t="str">
        <f>_xlfn.CONCAT(bron[[#This Row],[personeelsnr]]," ",bron[[#This Row],[achternaam]]," ",bron[[#This Row],[voornaam]])</f>
        <v>40856 Neissi Sadegh</v>
      </c>
      <c r="C865" t="str">
        <f>VLOOKUP(bron[[#This Row],[personeelsnr]],'data hastus'!$A:$C,2,0)</f>
        <v>Neissi</v>
      </c>
      <c r="D865" t="str">
        <f>VLOOKUP(bron[[#This Row],[personeelsnr]],'data hastus'!$A:$C,3,0)</f>
        <v>Sadegh</v>
      </c>
      <c r="E865" s="2" t="str">
        <f>VLOOKUP(bron[[#This Row],[personeelsnr]],'data hastus'!A:K,11,FALSE)</f>
        <v>Kenneth De Rick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3630</v>
      </c>
      <c r="V865" s="37"/>
      <c r="W865" s="37"/>
      <c r="X865" t="s">
        <v>3514</v>
      </c>
      <c r="Y865" t="s">
        <v>84</v>
      </c>
      <c r="Z865" s="2">
        <v>5923</v>
      </c>
      <c r="AA865" s="43" t="s">
        <v>3560</v>
      </c>
    </row>
    <row r="866" spans="1:27" x14ac:dyDescent="0.25">
      <c r="A866">
        <v>42252</v>
      </c>
      <c r="B866" t="str">
        <f>_xlfn.CONCAT(bron[[#This Row],[personeelsnr]]," ",bron[[#This Row],[achternaam]]," ",bron[[#This Row],[voornaam]])</f>
        <v>42252 Sular Abdullah</v>
      </c>
      <c r="C866" t="str">
        <f>VLOOKUP(bron[[#This Row],[personeelsnr]],'data hastus'!$A:$C,2,0)</f>
        <v>Sular</v>
      </c>
      <c r="D866" t="str">
        <f>VLOOKUP(bron[[#This Row],[personeelsnr]],'data hastus'!$A:$C,3,0)</f>
        <v>Abdullah</v>
      </c>
      <c r="E866" s="2" t="str">
        <f>VLOOKUP(bron[[#This Row],[personeelsnr]],'data hastus'!A:K,11,FALSE)</f>
        <v>Christoff Rotty</v>
      </c>
      <c r="G866" s="39"/>
      <c r="H866" s="39"/>
      <c r="I866" s="39"/>
      <c r="S866" s="36">
        <f>SUM(bron[[#This Row],[Januari]:[December]])</f>
        <v>0</v>
      </c>
      <c r="T866" s="41">
        <v>45922</v>
      </c>
      <c r="U866" s="5" t="s">
        <v>3627</v>
      </c>
      <c r="V866" s="37"/>
      <c r="W866" s="37"/>
      <c r="X866" t="s">
        <v>3514</v>
      </c>
      <c r="Y866" t="s">
        <v>3628</v>
      </c>
      <c r="Z866" s="2">
        <v>2047</v>
      </c>
      <c r="AA866" s="43" t="s">
        <v>3560</v>
      </c>
    </row>
    <row r="867" spans="1:27" x14ac:dyDescent="0.25">
      <c r="A867">
        <v>31360</v>
      </c>
      <c r="B867" t="str">
        <f>_xlfn.CONCAT(bron[[#This Row],[personeelsnr]]," ",bron[[#This Row],[achternaam]]," ",bron[[#This Row],[voornaam]])</f>
        <v>31360 Simsek Fatih</v>
      </c>
      <c r="C867" t="str">
        <f>VLOOKUP(bron[[#This Row],[personeelsnr]],'data hastus'!$A:$C,2,0)</f>
        <v>Simsek</v>
      </c>
      <c r="D867" t="str">
        <f>VLOOKUP(bron[[#This Row],[personeelsnr]],'data hastus'!$A:$C,3,0)</f>
        <v>Fatih</v>
      </c>
      <c r="E867" s="2" t="str">
        <f>VLOOKUP(bron[[#This Row],[personeelsnr]],'data hastus'!A:K,11,FALSE)</f>
        <v>Dominique De Clercq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3629</v>
      </c>
      <c r="V867" s="37"/>
      <c r="W867" s="37"/>
      <c r="X867" t="s">
        <v>3550</v>
      </c>
      <c r="Y867" t="s">
        <v>5</v>
      </c>
      <c r="Z867" s="2">
        <v>6375</v>
      </c>
      <c r="AA867" s="43" t="s">
        <v>3560</v>
      </c>
    </row>
    <row r="868" spans="1:27" x14ac:dyDescent="0.25">
      <c r="A868">
        <v>39850</v>
      </c>
      <c r="B868" t="str">
        <f>_xlfn.CONCAT(bron[[#This Row],[personeelsnr]]," ",bron[[#This Row],[achternaam]]," ",bron[[#This Row],[voornaam]])</f>
        <v>39850 Helleputte William</v>
      </c>
      <c r="C868" t="str">
        <f>VLOOKUP(bron[[#This Row],[personeelsnr]],'data hastus'!$A:$C,2,0)</f>
        <v>Helleputte</v>
      </c>
      <c r="D868" t="str">
        <f>VLOOKUP(bron[[#This Row],[personeelsnr]],'data hastus'!$A:$C,3,0)</f>
        <v>William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3631</v>
      </c>
      <c r="V868" s="37"/>
      <c r="W868" s="37"/>
      <c r="X868" t="s">
        <v>3515</v>
      </c>
      <c r="Y868" t="s">
        <v>3632</v>
      </c>
      <c r="Z868" s="2">
        <v>5225</v>
      </c>
      <c r="AA868" s="43" t="s">
        <v>3633</v>
      </c>
    </row>
    <row r="869" spans="1:27" x14ac:dyDescent="0.25">
      <c r="A869">
        <v>42252</v>
      </c>
      <c r="B869" t="str">
        <f>_xlfn.CONCAT(bron[[#This Row],[personeelsnr]]," ",bron[[#This Row],[achternaam]]," ",bron[[#This Row],[voornaam]])</f>
        <v>42252 Sular Abdullah</v>
      </c>
      <c r="C869" t="str">
        <f>VLOOKUP(bron[[#This Row],[personeelsnr]],'data hastus'!$A:$C,2,0)</f>
        <v>Sular</v>
      </c>
      <c r="D869" t="str">
        <f>VLOOKUP(bron[[#This Row],[personeelsnr]],'data hastus'!$A:$C,3,0)</f>
        <v>Abdullah</v>
      </c>
      <c r="E869" s="2" t="str">
        <f>VLOOKUP(bron[[#This Row],[personeelsnr]],'data hastus'!A:K,11,FALSE)</f>
        <v>Christoff Rotty</v>
      </c>
      <c r="G869" s="39"/>
      <c r="H869" s="39"/>
      <c r="I869" s="39"/>
      <c r="S869" s="36">
        <f>SUM(bron[[#This Row],[Januari]:[December]])</f>
        <v>0</v>
      </c>
      <c r="T869" s="41">
        <v>45923</v>
      </c>
      <c r="U869" s="5" t="s">
        <v>3634</v>
      </c>
      <c r="V869" s="37"/>
      <c r="W869" s="37"/>
      <c r="X869" t="s">
        <v>3514</v>
      </c>
      <c r="Y869" t="s">
        <v>40</v>
      </c>
      <c r="Z869" s="2">
        <v>2047</v>
      </c>
      <c r="AA869" s="43" t="s">
        <v>3560</v>
      </c>
    </row>
    <row r="870" spans="1:27" x14ac:dyDescent="0.25">
      <c r="A870">
        <v>21509</v>
      </c>
      <c r="B870" t="str">
        <f>_xlfn.CONCAT(bron[[#This Row],[personeelsnr]]," ",bron[[#This Row],[achternaam]]," ",bron[[#This Row],[voornaam]])</f>
        <v>21509 De Craemer Kris</v>
      </c>
      <c r="C870" t="str">
        <f>VLOOKUP(bron[[#This Row],[personeelsnr]],'data hastus'!$A:$C,2,0)</f>
        <v>De Craemer</v>
      </c>
      <c r="D870" t="str">
        <f>VLOOKUP(bron[[#This Row],[personeelsnr]],'data hastus'!$A:$C,3,0)</f>
        <v>Kris</v>
      </c>
      <c r="E870" s="2" t="str">
        <f>VLOOKUP(bron[[#This Row],[personeelsnr]],'data hastus'!A:K,11,FALSE)</f>
        <v>Dominique De Clercq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3636</v>
      </c>
      <c r="V870" s="37"/>
      <c r="W870" s="37"/>
      <c r="X870" t="s">
        <v>3549</v>
      </c>
      <c r="Y870" t="s">
        <v>75</v>
      </c>
      <c r="Z870" s="2">
        <v>6328</v>
      </c>
      <c r="AA870" s="43" t="s">
        <v>3561</v>
      </c>
    </row>
    <row r="871" spans="1:27" x14ac:dyDescent="0.25">
      <c r="A871">
        <v>42307</v>
      </c>
      <c r="B871" t="str">
        <f>_xlfn.CONCAT(bron[[#This Row],[personeelsnr]]," ",bron[[#This Row],[achternaam]]," ",bron[[#This Row],[voornaam]])</f>
        <v>42307 Helleputte Jens</v>
      </c>
      <c r="C871" t="str">
        <f>VLOOKUP(bron[[#This Row],[personeelsnr]],'data hastus'!$A:$C,2,0)</f>
        <v>Helleputte</v>
      </c>
      <c r="D871" t="str">
        <f>VLOOKUP(bron[[#This Row],[personeelsnr]],'data hastus'!$A:$C,3,0)</f>
        <v>Jens</v>
      </c>
      <c r="E871" s="2" t="str">
        <f>VLOOKUP(bron[[#This Row],[personeelsnr]],'data hastus'!A:K,11,FALSE)</f>
        <v>Christoff Rotty</v>
      </c>
      <c r="G871" s="39"/>
      <c r="H871" s="39"/>
      <c r="I871" s="39"/>
      <c r="S871" s="36">
        <f>SUM(bron[[#This Row],[Januari]:[December]])</f>
        <v>0</v>
      </c>
      <c r="T871" s="41">
        <v>45924</v>
      </c>
      <c r="U871" s="5" t="s">
        <v>3635</v>
      </c>
      <c r="V871" s="37"/>
      <c r="W871" s="37"/>
      <c r="X871" t="s">
        <v>3514</v>
      </c>
      <c r="Y871" t="s">
        <v>3628</v>
      </c>
      <c r="Z871" s="2">
        <v>2085</v>
      </c>
      <c r="AA871" s="43" t="s">
        <v>3560</v>
      </c>
    </row>
    <row r="872" spans="1:27" x14ac:dyDescent="0.25">
      <c r="A872">
        <v>41888</v>
      </c>
      <c r="B872" t="str">
        <f>_xlfn.CONCAT(bron[[#This Row],[personeelsnr]]," ",bron[[#This Row],[achternaam]]," ",bron[[#This Row],[voornaam]])</f>
        <v>41888 De Rammelaere Bjorn</v>
      </c>
      <c r="C872" t="str">
        <f>VLOOKUP(bron[[#This Row],[personeelsnr]],'data hastus'!$A:$C,2,0)</f>
        <v>De Rammelaere</v>
      </c>
      <c r="D872" t="str">
        <f>VLOOKUP(bron[[#This Row],[personeelsnr]],'data hastus'!$A:$C,3,0)</f>
        <v>Bjorn</v>
      </c>
      <c r="E872" s="2" t="str">
        <f>VLOOKUP(bron[[#This Row],[personeelsnr]],'data hastus'!A:K,11,FALSE)</f>
        <v>Kenneth De Rick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3637</v>
      </c>
      <c r="V872" s="37"/>
      <c r="W872" s="37"/>
      <c r="X872" t="s">
        <v>3514</v>
      </c>
      <c r="Y872" t="s">
        <v>3638</v>
      </c>
      <c r="Z872" s="2">
        <v>5922</v>
      </c>
      <c r="AA872" s="43" t="s">
        <v>3561</v>
      </c>
    </row>
    <row r="873" spans="1:27" x14ac:dyDescent="0.25">
      <c r="A873">
        <v>19917</v>
      </c>
      <c r="B873" t="str">
        <f>_xlfn.CONCAT(bron[[#This Row],[personeelsnr]]," ",bron[[#This Row],[achternaam]]," ",bron[[#This Row],[voornaam]])</f>
        <v>19917 Vandevyvere Frank</v>
      </c>
      <c r="C873" t="str">
        <f>VLOOKUP(bron[[#This Row],[personeelsnr]],'data hastus'!$A:$C,2,0)</f>
        <v>Vandevyvere</v>
      </c>
      <c r="D873" t="str">
        <f>VLOOKUP(bron[[#This Row],[personeelsnr]],'data hastus'!$A:$C,3,0)</f>
        <v>Frank</v>
      </c>
      <c r="E873" s="2" t="str">
        <f>VLOOKUP(bron[[#This Row],[personeelsnr]],'data hastus'!A:K,11,FALSE)</f>
        <v>Bart Van Der Beken</v>
      </c>
      <c r="G873" s="39"/>
      <c r="H873" s="39"/>
      <c r="I873" s="39"/>
      <c r="S873" s="36">
        <f>SUM(bron[[#This Row],[Januari]:[December]])</f>
        <v>0</v>
      </c>
      <c r="T873" s="41">
        <v>45925</v>
      </c>
      <c r="U873" s="5" t="s">
        <v>3639</v>
      </c>
      <c r="V873" s="37"/>
      <c r="W873" s="37"/>
      <c r="X873" t="s">
        <v>3514</v>
      </c>
      <c r="Y873" t="s">
        <v>1325</v>
      </c>
      <c r="Z873" s="2">
        <v>5938</v>
      </c>
      <c r="AA873" s="43" t="s">
        <v>3561</v>
      </c>
    </row>
    <row r="874" spans="1:27" x14ac:dyDescent="0.25">
      <c r="A874">
        <v>41874</v>
      </c>
      <c r="B874" t="str">
        <f>_xlfn.CONCAT(bron[[#This Row],[personeelsnr]]," ",bron[[#This Row],[achternaam]]," ",bron[[#This Row],[voornaam]])</f>
        <v>41874 Dobbeleire Bruno</v>
      </c>
      <c r="C874" t="str">
        <f>VLOOKUP(bron[[#This Row],[personeelsnr]],'data hastus'!$A:$C,2,0)</f>
        <v>Dobbeleire</v>
      </c>
      <c r="D874" t="str">
        <f>VLOOKUP(bron[[#This Row],[personeelsnr]],'data hastus'!$A:$C,3,0)</f>
        <v>Bruno</v>
      </c>
      <c r="E874" s="2" t="str">
        <f>VLOOKUP(bron[[#This Row],[personeelsnr]],'data hastus'!A:K,11,FALSE)</f>
        <v>Dominique De Clercq</v>
      </c>
      <c r="G874" s="39"/>
      <c r="H874" s="39"/>
      <c r="I874" s="39"/>
      <c r="S874" s="36">
        <f>SUM(bron[[#This Row],[Januari]:[December]])</f>
        <v>0</v>
      </c>
      <c r="T874" s="41">
        <v>45926</v>
      </c>
      <c r="U874" s="5" t="s">
        <v>3640</v>
      </c>
      <c r="V874" s="37"/>
      <c r="W874" s="37"/>
      <c r="X874" t="s">
        <v>3514</v>
      </c>
      <c r="Y874" t="s">
        <v>16</v>
      </c>
      <c r="Z874" s="2">
        <v>5773</v>
      </c>
      <c r="AA874" s="43" t="s">
        <v>3560</v>
      </c>
    </row>
    <row r="875" spans="1:27" x14ac:dyDescent="0.25">
      <c r="A875">
        <v>19917</v>
      </c>
      <c r="B875" t="str">
        <f>_xlfn.CONCAT(bron[[#This Row],[personeelsnr]]," ",bron[[#This Row],[achternaam]]," ",bron[[#This Row],[voornaam]])</f>
        <v>19917 Vandevyvere Frank</v>
      </c>
      <c r="C875" t="str">
        <f>VLOOKUP(bron[[#This Row],[personeelsnr]],'data hastus'!$A:$C,2,0)</f>
        <v>Vandevyvere</v>
      </c>
      <c r="D875" t="str">
        <f>VLOOKUP(bron[[#This Row],[personeelsnr]],'data hastus'!$A:$C,3,0)</f>
        <v>Frank</v>
      </c>
      <c r="E875" s="2" t="str">
        <f>VLOOKUP(bron[[#This Row],[personeelsnr]],'data hastus'!A:K,11,FALSE)</f>
        <v>Bart Van Der Beken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3641</v>
      </c>
      <c r="V875" s="37"/>
      <c r="W875" s="37"/>
      <c r="X875" t="s">
        <v>3515</v>
      </c>
      <c r="Y875" t="s">
        <v>113</v>
      </c>
      <c r="Z875" s="2">
        <v>2190</v>
      </c>
      <c r="AA875" s="43" t="s">
        <v>3560</v>
      </c>
    </row>
    <row r="876" spans="1:27" x14ac:dyDescent="0.25">
      <c r="A876">
        <v>42105</v>
      </c>
      <c r="B876" t="str">
        <f>_xlfn.CONCAT(bron[[#This Row],[personeelsnr]]," ",bron[[#This Row],[achternaam]]," ",bron[[#This Row],[voornaam]])</f>
        <v>42105 Van den Bossche Jarne</v>
      </c>
      <c r="C876" t="str">
        <f>VLOOKUP(bron[[#This Row],[personeelsnr]],'data hastus'!$A:$C,2,0)</f>
        <v>Van den Bossche</v>
      </c>
      <c r="D876" t="str">
        <f>VLOOKUP(bron[[#This Row],[personeelsnr]],'data hastus'!$A:$C,3,0)</f>
        <v>Jarne</v>
      </c>
      <c r="E876" s="2" t="str">
        <f>VLOOKUP(bron[[#This Row],[personeelsnr]],'data hastus'!A:K,11,FALSE)</f>
        <v>Els Dewulf</v>
      </c>
      <c r="G876" s="39"/>
      <c r="H876" s="39"/>
      <c r="I876" s="39"/>
      <c r="S876" s="36">
        <f>SUM(bron[[#This Row],[Januari]:[December]])</f>
        <v>0</v>
      </c>
      <c r="T876" s="41">
        <v>45926</v>
      </c>
      <c r="U876" s="5" t="s">
        <v>3642</v>
      </c>
      <c r="V876" s="37"/>
      <c r="W876" s="37"/>
      <c r="X876" t="s">
        <v>3514</v>
      </c>
      <c r="Y876" t="s">
        <v>31</v>
      </c>
      <c r="Z876" s="2">
        <v>5910</v>
      </c>
      <c r="AA876" s="43" t="s">
        <v>3560</v>
      </c>
    </row>
    <row r="877" spans="1:27" x14ac:dyDescent="0.25">
      <c r="A877">
        <v>42146</v>
      </c>
      <c r="B877" t="str">
        <f>_xlfn.CONCAT(bron[[#This Row],[personeelsnr]]," ",bron[[#This Row],[achternaam]]," ",bron[[#This Row],[voornaam]])</f>
        <v>42146 Cichonski Kamil</v>
      </c>
      <c r="C877" t="str">
        <f>VLOOKUP(bron[[#This Row],[personeelsnr]],'data hastus'!$A:$C,2,0)</f>
        <v>Cichonski</v>
      </c>
      <c r="D877" t="str">
        <f>VLOOKUP(bron[[#This Row],[personeelsnr]],'data hastus'!$A:$C,3,0)</f>
        <v>Kamil</v>
      </c>
      <c r="E877" s="2" t="str">
        <f>VLOOKUP(bron[[#This Row],[personeelsnr]],'data hastus'!A:K,11,FALSE)</f>
        <v>Steven Storm</v>
      </c>
      <c r="G877" s="39"/>
      <c r="H877" s="39"/>
      <c r="I877" s="39"/>
      <c r="S877" s="36">
        <f>SUM(bron[[#This Row],[Januari]:[December]])</f>
        <v>0</v>
      </c>
      <c r="T877" s="41">
        <v>45926</v>
      </c>
      <c r="U877" s="5" t="s">
        <v>3643</v>
      </c>
      <c r="V877" s="37"/>
      <c r="W877" s="37"/>
      <c r="X877" t="s">
        <v>3514</v>
      </c>
      <c r="Y877" t="s">
        <v>1291</v>
      </c>
      <c r="Z877" s="2">
        <v>5917</v>
      </c>
      <c r="AA877" s="43" t="s">
        <v>3560</v>
      </c>
    </row>
    <row r="878" spans="1:27" x14ac:dyDescent="0.25">
      <c r="A878">
        <v>39728</v>
      </c>
      <c r="B878" t="str">
        <f>_xlfn.CONCAT(bron[[#This Row],[personeelsnr]]," ",bron[[#This Row],[achternaam]]," ",bron[[#This Row],[voornaam]])</f>
        <v>39728 Nohut Baki</v>
      </c>
      <c r="C878" t="str">
        <f>VLOOKUP(bron[[#This Row],[personeelsnr]],'data hastus'!$A:$C,2,0)</f>
        <v>Nohut</v>
      </c>
      <c r="D878" t="str">
        <f>VLOOKUP(bron[[#This Row],[personeelsnr]],'data hastus'!$A:$C,3,0)</f>
        <v>Baki</v>
      </c>
      <c r="E878" s="2" t="str">
        <f>VLOOKUP(bron[[#This Row],[personeelsnr]],'data hastus'!A:K,11,FALSE)</f>
        <v>Lucie Vande Velde</v>
      </c>
      <c r="G878" s="39"/>
      <c r="H878" s="39"/>
      <c r="I878" s="39"/>
      <c r="S878" s="36">
        <f>SUM(bron[[#This Row],[Januari]:[December]])</f>
        <v>0</v>
      </c>
      <c r="T878" s="41">
        <v>45924</v>
      </c>
      <c r="U878" s="5" t="s">
        <v>3644</v>
      </c>
      <c r="V878" s="37"/>
      <c r="W878" s="37"/>
      <c r="X878" t="s">
        <v>3514</v>
      </c>
      <c r="Y878" t="s">
        <v>610</v>
      </c>
      <c r="Z878" s="2">
        <v>5768</v>
      </c>
      <c r="AA878" s="43" t="s">
        <v>3560</v>
      </c>
    </row>
    <row r="879" spans="1:27" x14ac:dyDescent="0.25">
      <c r="A879">
        <v>42002</v>
      </c>
      <c r="B879" t="str">
        <f>_xlfn.CONCAT(bron[[#This Row],[personeelsnr]]," ",bron[[#This Row],[achternaam]]," ",bron[[#This Row],[voornaam]])</f>
        <v>42002 Bogaert Kevin</v>
      </c>
      <c r="C879" t="str">
        <f>VLOOKUP(bron[[#This Row],[personeelsnr]],'data hastus'!$A:$C,2,0)</f>
        <v>Bogaert</v>
      </c>
      <c r="D879" t="str">
        <f>VLOOKUP(bron[[#This Row],[personeelsnr]],'data hastus'!$A:$C,3,0)</f>
        <v>Kevin</v>
      </c>
      <c r="E879" s="2" t="str">
        <f>VLOOKUP(bron[[#This Row],[personeelsnr]],'data hastus'!A:K,11,FALSE)</f>
        <v>Els Vanhoe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3645</v>
      </c>
      <c r="V879" s="37"/>
      <c r="W879" s="37"/>
      <c r="X879" t="s">
        <v>3514</v>
      </c>
      <c r="Y879" t="s">
        <v>3504</v>
      </c>
      <c r="Z879" s="2">
        <v>5913</v>
      </c>
      <c r="AA879" s="43" t="s">
        <v>3560</v>
      </c>
    </row>
    <row r="880" spans="1:27" x14ac:dyDescent="0.25">
      <c r="A880">
        <v>40110</v>
      </c>
      <c r="B880" t="str">
        <f>_xlfn.CONCAT(bron[[#This Row],[personeelsnr]]," ",bron[[#This Row],[achternaam]]," ",bron[[#This Row],[voornaam]])</f>
        <v>40110 Vanlerberghe Sandra</v>
      </c>
      <c r="C880" t="str">
        <f>VLOOKUP(bron[[#This Row],[personeelsnr]],'data hastus'!$A:$C,2,0)</f>
        <v>Vanlerberghe</v>
      </c>
      <c r="D880" t="str">
        <f>VLOOKUP(bron[[#This Row],[personeelsnr]],'data hastus'!$A:$C,3,0)</f>
        <v>Sandra</v>
      </c>
      <c r="E880" s="2" t="str">
        <f>VLOOKUP(bron[[#This Row],[personeelsnr]],'data hastus'!A:K,11,FALSE)</f>
        <v>Christoff Rotty</v>
      </c>
      <c r="G880" s="39"/>
      <c r="H880" s="39"/>
      <c r="I880" s="39"/>
      <c r="S880" s="36">
        <f>SUM(bron[[#This Row],[Januari]:[December]])</f>
        <v>0</v>
      </c>
      <c r="T880" s="41">
        <v>45925</v>
      </c>
      <c r="U880" s="5" t="s">
        <v>3646</v>
      </c>
      <c r="V880" s="37"/>
      <c r="W880" s="37"/>
      <c r="X880" t="s">
        <v>3515</v>
      </c>
      <c r="Y880" t="s">
        <v>100</v>
      </c>
      <c r="Z880" s="2">
        <v>2201</v>
      </c>
      <c r="AA880" s="43" t="s">
        <v>3561</v>
      </c>
    </row>
    <row r="881" spans="1:27" x14ac:dyDescent="0.25">
      <c r="A881">
        <v>36289</v>
      </c>
      <c r="B881" t="str">
        <f>_xlfn.CONCAT(bron[[#This Row],[personeelsnr]]," ",bron[[#This Row],[achternaam]]," ",bron[[#This Row],[voornaam]])</f>
        <v>36289 Van Rentergem Steve</v>
      </c>
      <c r="C881" t="str">
        <f>VLOOKUP(bron[[#This Row],[personeelsnr]],'data hastus'!$A:$C,2,0)</f>
        <v>Van Rentergem</v>
      </c>
      <c r="D881" t="str">
        <f>VLOOKUP(bron[[#This Row],[personeelsnr]],'data hastus'!$A:$C,3,0)</f>
        <v>Steve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45930</v>
      </c>
      <c r="U881" s="5" t="s">
        <v>3647</v>
      </c>
      <c r="V881" s="37"/>
      <c r="W881" s="37"/>
      <c r="X881" t="s">
        <v>3514</v>
      </c>
      <c r="Y881" t="s">
        <v>243</v>
      </c>
      <c r="Z881" s="2">
        <v>550822</v>
      </c>
      <c r="AA881" s="43" t="s">
        <v>3560</v>
      </c>
    </row>
    <row r="882" spans="1:27" x14ac:dyDescent="0.25">
      <c r="A882">
        <v>9062</v>
      </c>
      <c r="B882" t="str">
        <f>_xlfn.CONCAT(bron[[#This Row],[personeelsnr]]," ",bron[[#This Row],[achternaam]]," ",bron[[#This Row],[voornaam]])</f>
        <v>9062 Westelinck Davy</v>
      </c>
      <c r="C882" t="str">
        <f>VLOOKUP(bron[[#This Row],[personeelsnr]],'data hastus'!$A:$C,2,0)</f>
        <v>Westelinck</v>
      </c>
      <c r="D882" t="str">
        <f>VLOOKUP(bron[[#This Row],[personeelsnr]],'data hastus'!$A:$C,3,0)</f>
        <v>Davy</v>
      </c>
      <c r="E882" s="2" t="str">
        <f>VLOOKUP(bron[[#This Row],[personeelsnr]],'data hastus'!A:K,11,FALSE)</f>
        <v>Kenneth De Rick</v>
      </c>
      <c r="G882" s="39"/>
      <c r="H882" s="39"/>
      <c r="I882" s="39"/>
      <c r="S882" s="36">
        <f>SUM(bron[[#This Row],[Januari]:[December]])</f>
        <v>0</v>
      </c>
      <c r="T882" s="41">
        <v>45911</v>
      </c>
      <c r="U882" s="5" t="s">
        <v>3648</v>
      </c>
      <c r="V882" s="37"/>
      <c r="W882" s="37"/>
      <c r="X882" t="s">
        <v>3549</v>
      </c>
      <c r="Y882" t="s">
        <v>625</v>
      </c>
      <c r="Z882" s="2">
        <v>6312</v>
      </c>
      <c r="AA882" s="43" t="s">
        <v>3560</v>
      </c>
    </row>
    <row r="883" spans="1:27" x14ac:dyDescent="0.25">
      <c r="A883">
        <v>39014</v>
      </c>
      <c r="B883" t="str">
        <f>_xlfn.CONCAT(bron[[#This Row],[personeelsnr]]," ",bron[[#This Row],[achternaam]]," ",bron[[#This Row],[voornaam]])</f>
        <v>39014 Genbrugge Kyllian</v>
      </c>
      <c r="C883" t="str">
        <f>VLOOKUP(bron[[#This Row],[personeelsnr]],'data hastus'!$A:$C,2,0)</f>
        <v>Genbrugge</v>
      </c>
      <c r="D883" t="str">
        <f>VLOOKUP(bron[[#This Row],[personeelsnr]],'data hastus'!$A:$C,3,0)</f>
        <v>Kyllian</v>
      </c>
      <c r="E883" s="2" t="str">
        <f>VLOOKUP(bron[[#This Row],[personeelsnr]],'data hastus'!A:K,11,FALSE)</f>
        <v>Bart Van Der Beken</v>
      </c>
      <c r="G883" s="39"/>
      <c r="H883" s="39"/>
      <c r="I883" s="39"/>
      <c r="S883" s="36">
        <f>SUM(bron[[#This Row],[Januari]:[December]])</f>
        <v>0</v>
      </c>
      <c r="T883" s="41">
        <v>45926</v>
      </c>
      <c r="U883" s="5" t="s">
        <v>3649</v>
      </c>
      <c r="V883" s="37"/>
      <c r="W883" s="37"/>
      <c r="X883" t="s">
        <v>3515</v>
      </c>
      <c r="Y883" t="s">
        <v>3650</v>
      </c>
      <c r="Z883" s="2">
        <v>2191</v>
      </c>
      <c r="AA883" s="43" t="s">
        <v>3560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3651</v>
      </c>
      <c r="V884" s="37"/>
      <c r="W884" s="37"/>
      <c r="X884" t="s">
        <v>3514</v>
      </c>
      <c r="Y884" t="s">
        <v>46</v>
      </c>
      <c r="Z884" s="2">
        <v>5486</v>
      </c>
      <c r="AA884" s="43" t="s">
        <v>3560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3654</v>
      </c>
      <c r="V885" s="37"/>
      <c r="W885" s="37"/>
      <c r="X885" t="s">
        <v>3515</v>
      </c>
      <c r="Y885" t="s">
        <v>51</v>
      </c>
      <c r="Z885" s="2">
        <v>5048</v>
      </c>
      <c r="AA885" s="43" t="s">
        <v>3560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3655</v>
      </c>
      <c r="V886" s="37"/>
      <c r="W886" s="37"/>
      <c r="X886" t="s">
        <v>3549</v>
      </c>
      <c r="Y886" t="s">
        <v>3656</v>
      </c>
      <c r="Z886" s="2">
        <v>6325</v>
      </c>
      <c r="AA886" s="43" t="s">
        <v>3561</v>
      </c>
    </row>
    <row r="887" spans="1:27" x14ac:dyDescent="0.25">
      <c r="B887" t="e">
        <f>_xlfn.CONCAT(bron[[#This Row],[personeelsnr]]," ",bron[[#This Row],[achternaam]]," ",bron[[#This Row],[voornaam]])</f>
        <v>#N/A</v>
      </c>
      <c r="C887" t="e">
        <f>VLOOKUP(bron[[#This Row],[personeelsnr]],'data hastus'!$A:$C,2,0)</f>
        <v>#N/A</v>
      </c>
      <c r="D887" t="e">
        <f>VLOOKUP(bron[[#This Row],[personeelsnr]],'data hastus'!$A:$C,3,0)</f>
        <v>#N/A</v>
      </c>
      <c r="E887" s="2" t="e">
        <f>VLOOKUP(bron[[#This Row],[personeelsnr]],'data hastus'!A:K,11,FALSE)</f>
        <v>#N/A</v>
      </c>
      <c r="G887" s="39"/>
      <c r="H887" s="39"/>
      <c r="I887" s="39"/>
      <c r="S887" s="36">
        <f>SUM(bron[[#This Row],[Januari]:[December]])</f>
        <v>0</v>
      </c>
      <c r="V887" s="37"/>
      <c r="W887" s="37"/>
    </row>
    <row r="888" spans="1:27" x14ac:dyDescent="0.25">
      <c r="B888" t="e">
        <f>_xlfn.CONCAT(bron[[#This Row],[personeelsnr]]," ",bron[[#This Row],[achternaam]]," ",bron[[#This Row],[voornaam]])</f>
        <v>#N/A</v>
      </c>
      <c r="C888" t="e">
        <f>VLOOKUP(bron[[#This Row],[personeelsnr]],'data hastus'!$A:$C,2,0)</f>
        <v>#N/A</v>
      </c>
      <c r="D888" t="e">
        <f>VLOOKUP(bron[[#This Row],[personeelsnr]],'data hastus'!$A:$C,3,0)</f>
        <v>#N/A</v>
      </c>
      <c r="E888" s="2" t="e">
        <f>VLOOKUP(bron[[#This Row],[personeelsnr]],'data hastus'!A:K,11,FALSE)</f>
        <v>#N/A</v>
      </c>
      <c r="G888" s="39"/>
      <c r="H888" s="39"/>
      <c r="I888" s="39"/>
      <c r="S888" s="36">
        <f>SUM(bron[[#This Row],[Januari]:[December]])</f>
        <v>0</v>
      </c>
      <c r="V888" s="37"/>
      <c r="W888" s="37"/>
    </row>
    <row r="889" spans="1:27" x14ac:dyDescent="0.25">
      <c r="B889" t="e">
        <f>_xlfn.CONCAT(bron[[#This Row],[personeelsnr]]," ",bron[[#This Row],[achternaam]]," ",bron[[#This Row],[voornaam]])</f>
        <v>#N/A</v>
      </c>
      <c r="C889" t="e">
        <f>VLOOKUP(bron[[#This Row],[personeelsnr]],'data hastus'!$A:$C,2,0)</f>
        <v>#N/A</v>
      </c>
      <c r="D889" t="e">
        <f>VLOOKUP(bron[[#This Row],[personeelsnr]],'data hastus'!$A:$C,3,0)</f>
        <v>#N/A</v>
      </c>
      <c r="E889" s="2" t="e">
        <f>VLOOKUP(bron[[#This Row],[personeelsnr]],'data hastus'!A:K,11,FALSE)</f>
        <v>#N/A</v>
      </c>
      <c r="G889" s="39"/>
      <c r="H889" s="39"/>
      <c r="I889" s="39"/>
      <c r="S889" s="36">
        <f>SUM(bron[[#This Row],[Januari]:[December]])</f>
        <v>0</v>
      </c>
      <c r="V889" s="37"/>
      <c r="W889" s="37"/>
    </row>
    <row r="890" spans="1:27" x14ac:dyDescent="0.25">
      <c r="B890" t="e">
        <f>_xlfn.CONCAT(bron[[#This Row],[personeelsnr]]," ",bron[[#This Row],[achternaam]]," ",bron[[#This Row],[voornaam]])</f>
        <v>#N/A</v>
      </c>
      <c r="C890" t="e">
        <f>VLOOKUP(bron[[#This Row],[personeelsnr]],'data hastus'!$A:$C,2,0)</f>
        <v>#N/A</v>
      </c>
      <c r="D890" t="e">
        <f>VLOOKUP(bron[[#This Row],[personeelsnr]],'data hastus'!$A:$C,3,0)</f>
        <v>#N/A</v>
      </c>
      <c r="E890" s="2" t="e">
        <f>VLOOKUP(bron[[#This Row],[personeelsnr]],'data hastus'!A:K,11,FALSE)</f>
        <v>#N/A</v>
      </c>
      <c r="G890" s="39"/>
      <c r="H890" s="39"/>
      <c r="I890" s="39"/>
      <c r="S890" s="36">
        <f>SUM(bron[[#This Row],[Januari]:[December]])</f>
        <v>0</v>
      </c>
      <c r="V890" s="37"/>
      <c r="W890" s="37"/>
    </row>
    <row r="891" spans="1:27" x14ac:dyDescent="0.25">
      <c r="B891" t="e">
        <f>_xlfn.CONCAT(bron[[#This Row],[personeelsnr]]," ",bron[[#This Row],[achternaam]]," ",bron[[#This Row],[voornaam]])</f>
        <v>#N/A</v>
      </c>
      <c r="C891" t="e">
        <f>VLOOKUP(bron[[#This Row],[personeelsnr]],'data hastus'!$A:$C,2,0)</f>
        <v>#N/A</v>
      </c>
      <c r="D891" t="e">
        <f>VLOOKUP(bron[[#This Row],[personeelsnr]],'data hastus'!$A:$C,3,0)</f>
        <v>#N/A</v>
      </c>
      <c r="E891" s="2" t="e">
        <f>VLOOKUP(bron[[#This Row],[personeelsnr]],'data hastus'!A:K,11,FALSE)</f>
        <v>#N/A</v>
      </c>
      <c r="G891" s="39"/>
      <c r="H891" s="39"/>
      <c r="I891" s="39"/>
      <c r="S891" s="36">
        <f>SUM(bron[[#This Row],[Januari]:[December]])</f>
        <v>0</v>
      </c>
      <c r="V891" s="37"/>
      <c r="W891" s="37"/>
    </row>
    <row r="892" spans="1:27" x14ac:dyDescent="0.25">
      <c r="B892" t="e">
        <f>_xlfn.CONCAT(bron[[#This Row],[personeelsnr]]," ",bron[[#This Row],[achternaam]]," ",bron[[#This Row],[voornaam]])</f>
        <v>#N/A</v>
      </c>
      <c r="C892" t="e">
        <f>VLOOKUP(bron[[#This Row],[personeelsnr]],'data hastus'!$A:$C,2,0)</f>
        <v>#N/A</v>
      </c>
      <c r="D892" t="e">
        <f>VLOOKUP(bron[[#This Row],[personeelsnr]],'data hastus'!$A:$C,3,0)</f>
        <v>#N/A</v>
      </c>
      <c r="E892" s="2" t="e">
        <f>VLOOKUP(bron[[#This Row],[personeelsnr]],'data hastus'!A:K,11,FALSE)</f>
        <v>#N/A</v>
      </c>
      <c r="G892" s="39"/>
      <c r="H892" s="39"/>
      <c r="I892" s="39"/>
      <c r="S892" s="36">
        <f>SUM(bron[[#This Row],[Januari]:[December]])</f>
        <v>0</v>
      </c>
      <c r="V892" s="37"/>
      <c r="W892" s="37"/>
    </row>
    <row r="893" spans="1:27" x14ac:dyDescent="0.25">
      <c r="B893" t="e">
        <f>_xlfn.CONCAT(bron[[#This Row],[personeelsnr]]," ",bron[[#This Row],[achternaam]]," ",bron[[#This Row],[voornaam]])</f>
        <v>#N/A</v>
      </c>
      <c r="C893" t="e">
        <f>VLOOKUP(bron[[#This Row],[personeelsnr]],'data hastus'!$A:$C,2,0)</f>
        <v>#N/A</v>
      </c>
      <c r="D893" t="e">
        <f>VLOOKUP(bron[[#This Row],[personeelsnr]],'data hastus'!$A:$C,3,0)</f>
        <v>#N/A</v>
      </c>
      <c r="E893" s="2" t="e">
        <f>VLOOKUP(bron[[#This Row],[personeelsnr]],'data hastus'!A:K,11,FALSE)</f>
        <v>#N/A</v>
      </c>
      <c r="G893" s="39"/>
      <c r="H893" s="39"/>
      <c r="I893" s="39"/>
      <c r="S893" s="36">
        <f>SUM(bron[[#This Row],[Januari]:[December]])</f>
        <v>0</v>
      </c>
      <c r="V893" s="37"/>
      <c r="W893" s="37"/>
    </row>
    <row r="894" spans="1:27" x14ac:dyDescent="0.25">
      <c r="B894" t="e">
        <f>_xlfn.CONCAT(bron[[#This Row],[personeelsnr]]," ",bron[[#This Row],[achternaam]]," ",bron[[#This Row],[voornaam]])</f>
        <v>#N/A</v>
      </c>
      <c r="C894" t="e">
        <f>VLOOKUP(bron[[#This Row],[personeelsnr]],'data hastus'!$A:$C,2,0)</f>
        <v>#N/A</v>
      </c>
      <c r="D894" t="e">
        <f>VLOOKUP(bron[[#This Row],[personeelsnr]],'data hastus'!$A:$C,3,0)</f>
        <v>#N/A</v>
      </c>
      <c r="E894" s="2" t="e">
        <f>VLOOKUP(bron[[#This Row],[personeelsnr]],'data hastus'!A:K,11,FALSE)</f>
        <v>#N/A</v>
      </c>
      <c r="G894" s="39"/>
      <c r="H894" s="39"/>
      <c r="I894" s="39"/>
      <c r="S894" s="36">
        <f>SUM(bron[[#This Row],[Januari]:[December]])</f>
        <v>0</v>
      </c>
      <c r="V894" s="37"/>
      <c r="W894" s="37"/>
    </row>
    <row r="895" spans="1:27" x14ac:dyDescent="0.25">
      <c r="B895" t="e">
        <f>_xlfn.CONCAT(bron[[#This Row],[personeelsnr]]," ",bron[[#This Row],[achternaam]]," ",bron[[#This Row],[voornaam]])</f>
        <v>#N/A</v>
      </c>
      <c r="C895" t="e">
        <f>VLOOKUP(bron[[#This Row],[personeelsnr]],'data hastus'!$A:$C,2,0)</f>
        <v>#N/A</v>
      </c>
      <c r="D895" t="e">
        <f>VLOOKUP(bron[[#This Row],[personeelsnr]],'data hastus'!$A:$C,3,0)</f>
        <v>#N/A</v>
      </c>
      <c r="E895" s="2" t="e">
        <f>VLOOKUP(bron[[#This Row],[personeelsnr]],'data hastus'!A:K,11,FALSE)</f>
        <v>#N/A</v>
      </c>
      <c r="G895" s="39"/>
      <c r="H895" s="39"/>
      <c r="I895" s="39"/>
      <c r="S895" s="36">
        <f>SUM(bron[[#This Row],[Januari]:[December]])</f>
        <v>0</v>
      </c>
      <c r="V895" s="37"/>
      <c r="W895" s="37"/>
    </row>
    <row r="896" spans="1:27" x14ac:dyDescent="0.25">
      <c r="B896" t="e">
        <f>_xlfn.CONCAT(bron[[#This Row],[personeelsnr]]," ",bron[[#This Row],[achternaam]]," ",bron[[#This Row],[voornaam]])</f>
        <v>#N/A</v>
      </c>
      <c r="C896" t="e">
        <f>VLOOKUP(bron[[#This Row],[personeelsnr]],'data hastus'!$A:$C,2,0)</f>
        <v>#N/A</v>
      </c>
      <c r="D896" t="e">
        <f>VLOOKUP(bron[[#This Row],[personeelsnr]],'data hastus'!$A:$C,3,0)</f>
        <v>#N/A</v>
      </c>
      <c r="E896" s="2" t="e">
        <f>VLOOKUP(bron[[#This Row],[personeelsnr]],'data hastus'!A:K,11,FALSE)</f>
        <v>#N/A</v>
      </c>
      <c r="G896" s="39"/>
      <c r="H896" s="39"/>
      <c r="I896" s="39"/>
      <c r="S896" s="36">
        <f>SUM(bron[[#This Row],[Januari]:[December]])</f>
        <v>0</v>
      </c>
      <c r="V896" s="37"/>
      <c r="W896" s="37"/>
    </row>
    <row r="897" spans="2:23" x14ac:dyDescent="0.25">
      <c r="B897" t="e">
        <f>_xlfn.CONCAT(bron[[#This Row],[personeelsnr]]," ",bron[[#This Row],[achternaam]]," ",bron[[#This Row],[voornaam]])</f>
        <v>#N/A</v>
      </c>
      <c r="C897" t="e">
        <f>VLOOKUP(bron[[#This Row],[personeelsnr]],'data hastus'!$A:$C,2,0)</f>
        <v>#N/A</v>
      </c>
      <c r="D897" t="e">
        <f>VLOOKUP(bron[[#This Row],[personeelsnr]],'data hastus'!$A:$C,3,0)</f>
        <v>#N/A</v>
      </c>
      <c r="E897" s="2" t="e">
        <f>VLOOKUP(bron[[#This Row],[personeelsnr]],'data hastus'!A:K,11,FALSE)</f>
        <v>#N/A</v>
      </c>
      <c r="G897" s="39"/>
      <c r="H897" s="39"/>
      <c r="I897" s="39"/>
      <c r="S897" s="36">
        <f>SUM(bron[[#This Row],[Januari]:[December]])</f>
        <v>0</v>
      </c>
      <c r="V897" s="37"/>
      <c r="W897" s="37"/>
    </row>
    <row r="898" spans="2:23" x14ac:dyDescent="0.25">
      <c r="B898" t="e">
        <f>_xlfn.CONCAT(bron[[#This Row],[personeelsnr]]," ",bron[[#This Row],[achternaam]]," ",bron[[#This Row],[voornaam]])</f>
        <v>#N/A</v>
      </c>
      <c r="C898" t="e">
        <f>VLOOKUP(bron[[#This Row],[personeelsnr]],'data hastus'!$A:$C,2,0)</f>
        <v>#N/A</v>
      </c>
      <c r="D898" t="e">
        <f>VLOOKUP(bron[[#This Row],[personeelsnr]],'data hastus'!$A:$C,3,0)</f>
        <v>#N/A</v>
      </c>
      <c r="E898" s="2" t="e">
        <f>VLOOKUP(bron[[#This Row],[personeelsnr]],'data hastus'!A:K,11,FALSE)</f>
        <v>#N/A</v>
      </c>
      <c r="G898" s="39"/>
      <c r="H898" s="39"/>
      <c r="I898" s="39"/>
      <c r="S898" s="36">
        <f>SUM(bron[[#This Row],[Januari]:[December]])</f>
        <v>0</v>
      </c>
      <c r="V898" s="37"/>
      <c r="W898" s="37"/>
    </row>
    <row r="899" spans="2:23" x14ac:dyDescent="0.25">
      <c r="B899" t="e">
        <f>_xlfn.CONCAT(bron[[#This Row],[personeelsnr]]," ",bron[[#This Row],[achternaam]]," ",bron[[#This Row],[voornaam]])</f>
        <v>#N/A</v>
      </c>
      <c r="C899" t="e">
        <f>VLOOKUP(bron[[#This Row],[personeelsnr]],'data hastus'!$A:$C,2,0)</f>
        <v>#N/A</v>
      </c>
      <c r="D899" t="e">
        <f>VLOOKUP(bron[[#This Row],[personeelsnr]],'data hastus'!$A:$C,3,0)</f>
        <v>#N/A</v>
      </c>
      <c r="E899" s="2" t="e">
        <f>VLOOKUP(bron[[#This Row],[personeelsnr]],'data hastus'!A:K,11,FALSE)</f>
        <v>#N/A</v>
      </c>
      <c r="G899" s="39"/>
      <c r="H899" s="39"/>
      <c r="I899" s="39"/>
      <c r="S899" s="36">
        <f>SUM(bron[[#This Row],[Januari]:[December]])</f>
        <v>0</v>
      </c>
      <c r="V899" s="37"/>
      <c r="W899" s="37"/>
    </row>
    <row r="900" spans="2:23" x14ac:dyDescent="0.25">
      <c r="B900" t="e">
        <f>_xlfn.CONCAT(bron[[#This Row],[personeelsnr]]," ",bron[[#This Row],[achternaam]]," ",bron[[#This Row],[voornaam]])</f>
        <v>#N/A</v>
      </c>
      <c r="C900" t="e">
        <f>VLOOKUP(bron[[#This Row],[personeelsnr]],'data hastus'!$A:$C,2,0)</f>
        <v>#N/A</v>
      </c>
      <c r="D900" t="e">
        <f>VLOOKUP(bron[[#This Row],[personeelsnr]],'data hastus'!$A:$C,3,0)</f>
        <v>#N/A</v>
      </c>
      <c r="E900" s="2" t="e">
        <f>VLOOKUP(bron[[#This Row],[personeelsnr]],'data hastus'!A:K,11,FALSE)</f>
        <v>#N/A</v>
      </c>
      <c r="G900" s="39"/>
      <c r="H900" s="39"/>
      <c r="I900" s="39"/>
      <c r="S900" s="36">
        <f>SUM(bron[[#This Row],[Januari]:[December]])</f>
        <v>0</v>
      </c>
      <c r="V900" s="37"/>
      <c r="W900" s="37"/>
    </row>
    <row r="901" spans="2:23" x14ac:dyDescent="0.25">
      <c r="B901" t="e">
        <f>_xlfn.CONCAT(bron[[#This Row],[personeelsnr]]," ",bron[[#This Row],[achternaam]]," ",bron[[#This Row],[voornaam]])</f>
        <v>#N/A</v>
      </c>
      <c r="C901" t="e">
        <f>VLOOKUP(bron[[#This Row],[personeelsnr]],'data hastus'!$A:$C,2,0)</f>
        <v>#N/A</v>
      </c>
      <c r="D901" t="e">
        <f>VLOOKUP(bron[[#This Row],[personeelsnr]],'data hastus'!$A:$C,3,0)</f>
        <v>#N/A</v>
      </c>
      <c r="E901" s="2" t="e">
        <f>VLOOKUP(bron[[#This Row],[personeelsnr]],'data hastus'!A:K,11,FALSE)</f>
        <v>#N/A</v>
      </c>
      <c r="G901" s="39"/>
      <c r="H901" s="39"/>
      <c r="I901" s="39"/>
      <c r="S901" s="36">
        <f>SUM(bron[[#This Row],[Januari]:[December]])</f>
        <v>0</v>
      </c>
      <c r="V901" s="37"/>
      <c r="W901" s="37"/>
    </row>
    <row r="902" spans="2:23" x14ac:dyDescent="0.25">
      <c r="B902" t="e">
        <f>_xlfn.CONCAT(bron[[#This Row],[personeelsnr]]," ",bron[[#This Row],[achternaam]]," ",bron[[#This Row],[voornaam]])</f>
        <v>#N/A</v>
      </c>
      <c r="C902" t="e">
        <f>VLOOKUP(bron[[#This Row],[personeelsnr]],'data hastus'!$A:$C,2,0)</f>
        <v>#N/A</v>
      </c>
      <c r="D902" t="e">
        <f>VLOOKUP(bron[[#This Row],[personeelsnr]],'data hastus'!$A:$C,3,0)</f>
        <v>#N/A</v>
      </c>
      <c r="E902" s="2" t="e">
        <f>VLOOKUP(bron[[#This Row],[personeelsnr]],'data hastus'!A:K,11,FALSE)</f>
        <v>#N/A</v>
      </c>
      <c r="G902" s="39"/>
      <c r="H902" s="39"/>
      <c r="I902" s="39"/>
      <c r="S902" s="36">
        <f>SUM(bron[[#This Row],[Januari]:[December]])</f>
        <v>0</v>
      </c>
      <c r="V902" s="37"/>
      <c r="W902" s="37"/>
    </row>
    <row r="903" spans="2:23" x14ac:dyDescent="0.25">
      <c r="B903" t="e">
        <f>_xlfn.CONCAT(bron[[#This Row],[personeelsnr]]," ",bron[[#This Row],[achternaam]]," ",bron[[#This Row],[voornaam]])</f>
        <v>#N/A</v>
      </c>
      <c r="C903" t="e">
        <f>VLOOKUP(bron[[#This Row],[personeelsnr]],'data hastus'!$A:$C,2,0)</f>
        <v>#N/A</v>
      </c>
      <c r="D903" t="e">
        <f>VLOOKUP(bron[[#This Row],[personeelsnr]],'data hastus'!$A:$C,3,0)</f>
        <v>#N/A</v>
      </c>
      <c r="E903" s="2" t="e">
        <f>VLOOKUP(bron[[#This Row],[personeelsnr]],'data hastus'!A:K,11,FALSE)</f>
        <v>#N/A</v>
      </c>
      <c r="G903" s="39"/>
      <c r="H903" s="39"/>
      <c r="I903" s="39"/>
      <c r="S903" s="36">
        <f>SUM(bron[[#This Row],[Januari]:[December]])</f>
        <v>0</v>
      </c>
      <c r="V903" s="37"/>
      <c r="W903" s="37"/>
    </row>
    <row r="904" spans="2:23" x14ac:dyDescent="0.25">
      <c r="B904" t="e">
        <f>_xlfn.CONCAT(bron[[#This Row],[personeelsnr]]," ",bron[[#This Row],[achternaam]]," ",bron[[#This Row],[voornaam]])</f>
        <v>#N/A</v>
      </c>
      <c r="C904" t="e">
        <f>VLOOKUP(bron[[#This Row],[personeelsnr]],'data hastus'!$A:$C,2,0)</f>
        <v>#N/A</v>
      </c>
      <c r="D904" t="e">
        <f>VLOOKUP(bron[[#This Row],[personeelsnr]],'data hastus'!$A:$C,3,0)</f>
        <v>#N/A</v>
      </c>
      <c r="E904" s="2" t="e">
        <f>VLOOKUP(bron[[#This Row],[personeelsnr]],'data hastus'!A:K,11,FALSE)</f>
        <v>#N/A</v>
      </c>
      <c r="G904" s="39"/>
      <c r="H904" s="39"/>
      <c r="I904" s="39"/>
      <c r="S904" s="36">
        <f>SUM(bron[[#This Row],[Januari]:[December]])</f>
        <v>0</v>
      </c>
      <c r="V904" s="37"/>
      <c r="W904" s="37"/>
    </row>
    <row r="905" spans="2:23" x14ac:dyDescent="0.25">
      <c r="B905" t="e">
        <f>_xlfn.CONCAT(bron[[#This Row],[personeelsnr]]," ",bron[[#This Row],[achternaam]]," ",bron[[#This Row],[voornaam]])</f>
        <v>#N/A</v>
      </c>
      <c r="C905" t="e">
        <f>VLOOKUP(bron[[#This Row],[personeelsnr]],'data hastus'!$A:$C,2,0)</f>
        <v>#N/A</v>
      </c>
      <c r="D905" t="e">
        <f>VLOOKUP(bron[[#This Row],[personeelsnr]],'data hastus'!$A:$C,3,0)</f>
        <v>#N/A</v>
      </c>
      <c r="E905" s="2" t="e">
        <f>VLOOKUP(bron[[#This Row],[personeelsnr]],'data hastus'!A:K,11,FALSE)</f>
        <v>#N/A</v>
      </c>
      <c r="G905" s="39"/>
      <c r="H905" s="39"/>
      <c r="I905" s="39"/>
      <c r="S905" s="36">
        <f>SUM(bron[[#This Row],[Januari]:[December]])</f>
        <v>0</v>
      </c>
      <c r="V905" s="37"/>
      <c r="W905" s="37"/>
    </row>
    <row r="906" spans="2:23" x14ac:dyDescent="0.25">
      <c r="B906" t="e">
        <f>_xlfn.CONCAT(bron[[#This Row],[personeelsnr]]," ",bron[[#This Row],[achternaam]]," ",bron[[#This Row],[voornaam]])</f>
        <v>#N/A</v>
      </c>
      <c r="C906" t="e">
        <f>VLOOKUP(bron[[#This Row],[personeelsnr]],'data hastus'!$A:$C,2,0)</f>
        <v>#N/A</v>
      </c>
      <c r="D906" t="e">
        <f>VLOOKUP(bron[[#This Row],[personeelsnr]],'data hastus'!$A:$C,3,0)</f>
        <v>#N/A</v>
      </c>
      <c r="E906" s="2" t="e">
        <f>VLOOKUP(bron[[#This Row],[personeelsnr]],'data hastus'!A:K,11,FALSE)</f>
        <v>#N/A</v>
      </c>
      <c r="G906" s="39"/>
      <c r="H906" s="39"/>
      <c r="I906" s="39"/>
      <c r="S906" s="36">
        <f>SUM(bron[[#This Row],[Januari]:[December]])</f>
        <v>0</v>
      </c>
      <c r="V906" s="37"/>
      <c r="W906" s="37"/>
    </row>
    <row r="907" spans="2:23" x14ac:dyDescent="0.25">
      <c r="B907" t="e">
        <f>_xlfn.CONCAT(bron[[#This Row],[personeelsnr]]," ",bron[[#This Row],[achternaam]]," ",bron[[#This Row],[voornaam]])</f>
        <v>#N/A</v>
      </c>
      <c r="C907" t="e">
        <f>VLOOKUP(bron[[#This Row],[personeelsnr]],'data hastus'!$A:$C,2,0)</f>
        <v>#N/A</v>
      </c>
      <c r="D907" t="e">
        <f>VLOOKUP(bron[[#This Row],[personeelsnr]],'data hastus'!$A:$C,3,0)</f>
        <v>#N/A</v>
      </c>
      <c r="E907" s="2" t="e">
        <f>VLOOKUP(bron[[#This Row],[personeelsnr]],'data hastus'!A:K,11,FALSE)</f>
        <v>#N/A</v>
      </c>
      <c r="G907" s="39"/>
      <c r="H907" s="39"/>
      <c r="I907" s="39"/>
      <c r="S907" s="36">
        <f>SUM(bron[[#This Row],[Januari]:[December]])</f>
        <v>0</v>
      </c>
      <c r="V907" s="37"/>
      <c r="W907" s="37"/>
    </row>
    <row r="908" spans="2:23" x14ac:dyDescent="0.25">
      <c r="B908" t="e">
        <f>_xlfn.CONCAT(bron[[#This Row],[personeelsnr]]," ",bron[[#This Row],[achternaam]]," ",bron[[#This Row],[voornaam]])</f>
        <v>#N/A</v>
      </c>
      <c r="C908" t="e">
        <f>VLOOKUP(bron[[#This Row],[personeelsnr]],'data hastus'!$A:$C,2,0)</f>
        <v>#N/A</v>
      </c>
      <c r="D908" t="e">
        <f>VLOOKUP(bron[[#This Row],[personeelsnr]],'data hastus'!$A:$C,3,0)</f>
        <v>#N/A</v>
      </c>
      <c r="E908" s="2" t="e">
        <f>VLOOKUP(bron[[#This Row],[personeelsnr]],'data hastus'!A:K,11,FALSE)</f>
        <v>#N/A</v>
      </c>
      <c r="G908" s="39"/>
      <c r="H908" s="39"/>
      <c r="I908" s="39"/>
      <c r="S908" s="36">
        <f>SUM(bron[[#This Row],[Januari]:[December]])</f>
        <v>0</v>
      </c>
      <c r="V908" s="37"/>
      <c r="W908" s="37"/>
    </row>
    <row r="909" spans="2:23" x14ac:dyDescent="0.25">
      <c r="B909" t="e">
        <f>_xlfn.CONCAT(bron[[#This Row],[personeelsnr]]," ",bron[[#This Row],[achternaam]]," ",bron[[#This Row],[voornaam]])</f>
        <v>#N/A</v>
      </c>
      <c r="C909" t="e">
        <f>VLOOKUP(bron[[#This Row],[personeelsnr]],'data hastus'!$A:$C,2,0)</f>
        <v>#N/A</v>
      </c>
      <c r="D909" t="e">
        <f>VLOOKUP(bron[[#This Row],[personeelsnr]],'data hastus'!$A:$C,3,0)</f>
        <v>#N/A</v>
      </c>
      <c r="E909" s="2" t="e">
        <f>VLOOKUP(bron[[#This Row],[personeelsnr]],'data hastus'!A:K,11,FALSE)</f>
        <v>#N/A</v>
      </c>
      <c r="G909" s="39"/>
      <c r="H909" s="39"/>
      <c r="I909" s="39"/>
      <c r="S909" s="36">
        <f>SUM(bron[[#This Row],[Januari]:[December]])</f>
        <v>0</v>
      </c>
      <c r="V909" s="37"/>
      <c r="W909" s="37"/>
    </row>
    <row r="910" spans="2:23" x14ac:dyDescent="0.25">
      <c r="B910" t="e">
        <f>_xlfn.CONCAT(bron[[#This Row],[personeelsnr]]," ",bron[[#This Row],[achternaam]]," ",bron[[#This Row],[voornaam]])</f>
        <v>#N/A</v>
      </c>
      <c r="C910" t="e">
        <f>VLOOKUP(bron[[#This Row],[personeelsnr]],'data hastus'!$A:$C,2,0)</f>
        <v>#N/A</v>
      </c>
      <c r="D910" t="e">
        <f>VLOOKUP(bron[[#This Row],[personeelsnr]],'data hastus'!$A:$C,3,0)</f>
        <v>#N/A</v>
      </c>
      <c r="E910" s="2" t="e">
        <f>VLOOKUP(bron[[#This Row],[personeelsnr]],'data hastus'!A:K,11,FALSE)</f>
        <v>#N/A</v>
      </c>
      <c r="G910" s="39"/>
      <c r="H910" s="39"/>
      <c r="I910" s="39"/>
      <c r="S910" s="36">
        <f>SUM(bron[[#This Row],[Januari]:[December]])</f>
        <v>0</v>
      </c>
      <c r="V910" s="37"/>
      <c r="W910" s="37"/>
    </row>
  </sheetData>
  <sheetProtection sort="0" autoFilter="0"/>
  <phoneticPr fontId="1" type="noConversion"/>
  <conditionalFormatting sqref="F2:F910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1"/>
  <sheetViews>
    <sheetView topLeftCell="A17" workbookViewId="0">
      <selection activeCell="C47" sqref="C4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1342</v>
      </c>
      <c r="B1" t="s">
        <v>1343</v>
      </c>
      <c r="C1" t="s">
        <v>1344</v>
      </c>
    </row>
    <row r="2" spans="1:3" x14ac:dyDescent="0.25">
      <c r="A2">
        <v>29076</v>
      </c>
      <c r="B2" t="s">
        <v>1345</v>
      </c>
      <c r="C2" s="8" t="s">
        <v>1346</v>
      </c>
    </row>
    <row r="3" spans="1:3" x14ac:dyDescent="0.25">
      <c r="A3">
        <v>35348</v>
      </c>
      <c r="B3" t="s">
        <v>1347</v>
      </c>
      <c r="C3" s="8" t="s">
        <v>1348</v>
      </c>
    </row>
    <row r="4" spans="1:3" x14ac:dyDescent="0.25">
      <c r="A4">
        <v>10170</v>
      </c>
      <c r="B4" t="s">
        <v>1349</v>
      </c>
      <c r="C4" s="8" t="s">
        <v>1350</v>
      </c>
    </row>
    <row r="5" spans="1:3" x14ac:dyDescent="0.25">
      <c r="A5">
        <v>5579</v>
      </c>
      <c r="B5" t="s">
        <v>1351</v>
      </c>
      <c r="C5" s="8" t="s">
        <v>1352</v>
      </c>
    </row>
    <row r="6" spans="1:3" x14ac:dyDescent="0.25">
      <c r="A6">
        <v>4597</v>
      </c>
      <c r="B6" t="s">
        <v>1353</v>
      </c>
      <c r="C6" s="8" t="s">
        <v>1354</v>
      </c>
    </row>
    <row r="7" spans="1:3" x14ac:dyDescent="0.25">
      <c r="A7">
        <v>26268</v>
      </c>
      <c r="B7" t="s">
        <v>1355</v>
      </c>
      <c r="C7" s="8" t="s">
        <v>1356</v>
      </c>
    </row>
    <row r="8" spans="1:3" x14ac:dyDescent="0.25">
      <c r="A8">
        <v>23897</v>
      </c>
      <c r="B8" t="s">
        <v>1357</v>
      </c>
      <c r="C8" s="8" t="s">
        <v>1358</v>
      </c>
    </row>
    <row r="9" spans="1:3" x14ac:dyDescent="0.25">
      <c r="A9">
        <v>30456</v>
      </c>
      <c r="B9" t="s">
        <v>1359</v>
      </c>
      <c r="C9" s="8" t="s">
        <v>1360</v>
      </c>
    </row>
    <row r="10" spans="1:3" x14ac:dyDescent="0.25">
      <c r="A10">
        <v>7839</v>
      </c>
      <c r="B10" t="s">
        <v>1351</v>
      </c>
      <c r="C10" s="8" t="s">
        <v>1361</v>
      </c>
    </row>
    <row r="11" spans="1:3" x14ac:dyDescent="0.25">
      <c r="A11">
        <v>28740</v>
      </c>
      <c r="B11" t="s">
        <v>1362</v>
      </c>
      <c r="C11" s="8" t="s">
        <v>1363</v>
      </c>
    </row>
    <row r="12" spans="1:3" x14ac:dyDescent="0.25">
      <c r="A12">
        <v>32219</v>
      </c>
      <c r="B12" t="s">
        <v>1364</v>
      </c>
      <c r="C12" s="8" t="s">
        <v>1365</v>
      </c>
    </row>
    <row r="13" spans="1:3" x14ac:dyDescent="0.25">
      <c r="A13">
        <v>33531</v>
      </c>
      <c r="B13" t="s">
        <v>1366</v>
      </c>
      <c r="C13" s="8" t="s">
        <v>1367</v>
      </c>
    </row>
    <row r="14" spans="1:3" x14ac:dyDescent="0.25">
      <c r="A14">
        <v>10072</v>
      </c>
      <c r="B14" t="s">
        <v>1368</v>
      </c>
      <c r="C14" s="8" t="s">
        <v>1369</v>
      </c>
    </row>
    <row r="15" spans="1:3" x14ac:dyDescent="0.25">
      <c r="A15">
        <v>33429</v>
      </c>
      <c r="B15" t="s">
        <v>1370</v>
      </c>
      <c r="C15" s="8" t="s">
        <v>1371</v>
      </c>
    </row>
    <row r="16" spans="1:3" x14ac:dyDescent="0.25">
      <c r="A16">
        <v>15673</v>
      </c>
      <c r="B16" t="s">
        <v>1372</v>
      </c>
      <c r="C16" s="8" t="s">
        <v>1373</v>
      </c>
    </row>
    <row r="17" spans="1:3" x14ac:dyDescent="0.25">
      <c r="A17">
        <v>6046</v>
      </c>
      <c r="B17" t="s">
        <v>3516</v>
      </c>
      <c r="C17" s="8" t="s">
        <v>3517</v>
      </c>
    </row>
    <row r="18" spans="1:3" x14ac:dyDescent="0.25">
      <c r="A18">
        <v>4691</v>
      </c>
      <c r="B18" t="s">
        <v>1474</v>
      </c>
      <c r="C18" s="8" t="s">
        <v>3518</v>
      </c>
    </row>
    <row r="19" spans="1:3" x14ac:dyDescent="0.25">
      <c r="A19">
        <v>22812</v>
      </c>
      <c r="B19" t="s">
        <v>1572</v>
      </c>
      <c r="C19" s="8" t="s">
        <v>3519</v>
      </c>
    </row>
    <row r="20" spans="1:3" x14ac:dyDescent="0.25">
      <c r="A20">
        <v>25875</v>
      </c>
      <c r="B20" t="s">
        <v>3520</v>
      </c>
      <c r="C20" s="8" t="s">
        <v>3521</v>
      </c>
    </row>
    <row r="21" spans="1:3" x14ac:dyDescent="0.25">
      <c r="A21">
        <v>10905</v>
      </c>
      <c r="B21" t="s">
        <v>3522</v>
      </c>
      <c r="C21" s="8" t="s">
        <v>3523</v>
      </c>
    </row>
    <row r="22" spans="1:3" x14ac:dyDescent="0.25">
      <c r="A22">
        <v>17552</v>
      </c>
      <c r="B22" t="s">
        <v>3524</v>
      </c>
      <c r="C22" s="8" t="s">
        <v>3525</v>
      </c>
    </row>
    <row r="23" spans="1:3" x14ac:dyDescent="0.25">
      <c r="A23">
        <v>29544</v>
      </c>
      <c r="B23" t="s">
        <v>3526</v>
      </c>
      <c r="C23" s="8" t="s">
        <v>3527</v>
      </c>
    </row>
    <row r="24" spans="1:3" x14ac:dyDescent="0.25">
      <c r="A24">
        <v>14537</v>
      </c>
      <c r="B24" t="s">
        <v>3369</v>
      </c>
      <c r="C24" s="8" t="s">
        <v>3528</v>
      </c>
    </row>
    <row r="25" spans="1:3" x14ac:dyDescent="0.25">
      <c r="A25">
        <v>16707</v>
      </c>
      <c r="B25" t="s">
        <v>1474</v>
      </c>
      <c r="C25" s="8" t="s">
        <v>3529</v>
      </c>
    </row>
    <row r="26" spans="1:3" x14ac:dyDescent="0.25">
      <c r="A26">
        <v>7848</v>
      </c>
      <c r="B26" t="s">
        <v>2524</v>
      </c>
      <c r="C26" s="8" t="s">
        <v>3530</v>
      </c>
    </row>
    <row r="27" spans="1:3" x14ac:dyDescent="0.25">
      <c r="A27">
        <v>32710</v>
      </c>
      <c r="B27" t="s">
        <v>3037</v>
      </c>
      <c r="C27" s="8" t="s">
        <v>3531</v>
      </c>
    </row>
    <row r="28" spans="1:3" x14ac:dyDescent="0.25">
      <c r="A28">
        <v>20541</v>
      </c>
      <c r="B28" t="s">
        <v>1834</v>
      </c>
      <c r="C28" s="8" t="s">
        <v>3532</v>
      </c>
    </row>
    <row r="29" spans="1:3" x14ac:dyDescent="0.25">
      <c r="A29">
        <v>26202</v>
      </c>
      <c r="B29" t="s">
        <v>3533</v>
      </c>
      <c r="C29" s="8" t="s">
        <v>3534</v>
      </c>
    </row>
    <row r="30" spans="1:3" x14ac:dyDescent="0.25">
      <c r="A30">
        <v>27081</v>
      </c>
      <c r="B30" t="s">
        <v>3535</v>
      </c>
      <c r="C30" s="8" t="s">
        <v>3536</v>
      </c>
    </row>
    <row r="31" spans="1:3" x14ac:dyDescent="0.25">
      <c r="A31">
        <v>24577</v>
      </c>
      <c r="B31" t="s">
        <v>3537</v>
      </c>
      <c r="C31" s="8" t="s">
        <v>3538</v>
      </c>
    </row>
    <row r="32" spans="1:3" x14ac:dyDescent="0.25">
      <c r="A32">
        <v>29909</v>
      </c>
      <c r="B32" t="s">
        <v>3539</v>
      </c>
      <c r="C32" s="8" t="s">
        <v>3540</v>
      </c>
    </row>
    <row r="33" spans="1:3" x14ac:dyDescent="0.25">
      <c r="A33">
        <v>31154</v>
      </c>
      <c r="B33" t="s">
        <v>3541</v>
      </c>
      <c r="C33" s="8" t="s">
        <v>3542</v>
      </c>
    </row>
    <row r="34" spans="1:3" x14ac:dyDescent="0.25">
      <c r="A34">
        <v>4707</v>
      </c>
      <c r="B34" t="s">
        <v>1951</v>
      </c>
      <c r="C34" s="8" t="s">
        <v>3543</v>
      </c>
    </row>
    <row r="35" spans="1:3" x14ac:dyDescent="0.25">
      <c r="A35">
        <v>8538</v>
      </c>
      <c r="B35" t="s">
        <v>1933</v>
      </c>
      <c r="C35" s="8" t="s">
        <v>3544</v>
      </c>
    </row>
    <row r="36" spans="1:3" x14ac:dyDescent="0.25">
      <c r="A36">
        <v>27105</v>
      </c>
      <c r="B36" t="s">
        <v>3545</v>
      </c>
      <c r="C36" s="8" t="s">
        <v>3546</v>
      </c>
    </row>
    <row r="37" spans="1:3" x14ac:dyDescent="0.25">
      <c r="A37">
        <v>4692</v>
      </c>
      <c r="B37" t="s">
        <v>3037</v>
      </c>
      <c r="C37" s="8" t="s">
        <v>3547</v>
      </c>
    </row>
    <row r="38" spans="1:3" x14ac:dyDescent="0.25">
      <c r="A38">
        <v>90649</v>
      </c>
      <c r="B38" t="s">
        <v>2603</v>
      </c>
      <c r="C38" s="8" t="s">
        <v>3566</v>
      </c>
    </row>
    <row r="39" spans="1:3" x14ac:dyDescent="0.25">
      <c r="A39">
        <v>23079</v>
      </c>
      <c r="B39" t="s">
        <v>3545</v>
      </c>
      <c r="C39" s="8" t="s">
        <v>3567</v>
      </c>
    </row>
    <row r="40" spans="1:3" x14ac:dyDescent="0.25">
      <c r="A40">
        <v>40152</v>
      </c>
      <c r="B40" t="s">
        <v>3623</v>
      </c>
      <c r="C40" s="8" t="s">
        <v>3624</v>
      </c>
    </row>
    <row r="41" spans="1:3" x14ac:dyDescent="0.25">
      <c r="A41">
        <v>10865</v>
      </c>
      <c r="B41" t="s">
        <v>3652</v>
      </c>
      <c r="C41" s="8" t="s">
        <v>3653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</hyperlinks>
  <pageMargins left="0.7" right="0.7" top="0.75" bottom="0.75" header="0.3" footer="0.3"/>
  <tableParts count="1">
    <tablePart r:id="rId40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1374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1375</v>
      </c>
      <c r="C4" t="s">
        <v>1376</v>
      </c>
      <c r="D4" t="s">
        <v>1376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1376</v>
      </c>
      <c r="D139" t="s">
        <v>1376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1376</v>
      </c>
      <c r="D156" t="s">
        <v>1376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1376</v>
      </c>
      <c r="D332" t="s">
        <v>1376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1376</v>
      </c>
      <c r="D371" t="s">
        <v>1376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1377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1378</v>
      </c>
      <c r="B1" t="s">
        <v>1379</v>
      </c>
      <c r="C1" t="s">
        <v>1380</v>
      </c>
      <c r="D1" t="s">
        <v>1381</v>
      </c>
      <c r="E1" t="s">
        <v>1382</v>
      </c>
      <c r="F1" t="s">
        <v>1383</v>
      </c>
      <c r="G1" t="s">
        <v>1384</v>
      </c>
      <c r="H1" t="s">
        <v>1385</v>
      </c>
      <c r="I1" t="s">
        <v>1386</v>
      </c>
      <c r="J1" t="s">
        <v>1387</v>
      </c>
      <c r="K1" t="s">
        <v>1388</v>
      </c>
      <c r="L1" t="s">
        <v>1389</v>
      </c>
      <c r="M1" t="s">
        <v>1390</v>
      </c>
      <c r="N1" t="s">
        <v>1391</v>
      </c>
      <c r="O1" t="s">
        <v>1392</v>
      </c>
      <c r="P1" t="s">
        <v>1393</v>
      </c>
      <c r="Q1" t="s">
        <v>1394</v>
      </c>
      <c r="R1" t="s">
        <v>1395</v>
      </c>
      <c r="S1" t="s">
        <v>1396</v>
      </c>
      <c r="T1" t="s">
        <v>1397</v>
      </c>
    </row>
    <row r="2" spans="1:20" x14ac:dyDescent="0.25">
      <c r="A2">
        <v>9979</v>
      </c>
      <c r="B2" t="s">
        <v>1478</v>
      </c>
      <c r="C2" t="s">
        <v>1474</v>
      </c>
      <c r="D2" s="3">
        <v>28053</v>
      </c>
      <c r="E2" t="s">
        <v>1400</v>
      </c>
      <c r="F2">
        <v>222</v>
      </c>
      <c r="G2" s="3">
        <v>35796</v>
      </c>
      <c r="H2" t="s">
        <v>1479</v>
      </c>
      <c r="J2" t="s">
        <v>1480</v>
      </c>
      <c r="K2" t="s">
        <v>55</v>
      </c>
      <c r="L2" s="3">
        <v>72686</v>
      </c>
      <c r="M2" s="3">
        <v>46434</v>
      </c>
      <c r="N2" t="s">
        <v>1481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2419</v>
      </c>
      <c r="C3" t="s">
        <v>2953</v>
      </c>
      <c r="D3" s="3">
        <v>23784</v>
      </c>
      <c r="E3" t="s">
        <v>1400</v>
      </c>
      <c r="F3">
        <v>192</v>
      </c>
      <c r="G3" s="3">
        <v>35723</v>
      </c>
      <c r="H3" t="s">
        <v>2954</v>
      </c>
      <c r="J3" t="s">
        <v>1506</v>
      </c>
      <c r="K3" t="s">
        <v>67</v>
      </c>
      <c r="L3" s="3">
        <v>72686</v>
      </c>
      <c r="M3" s="3">
        <v>46236</v>
      </c>
      <c r="N3" t="s">
        <v>2955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3023</v>
      </c>
      <c r="C4" t="s">
        <v>3024</v>
      </c>
      <c r="D4" s="3">
        <v>26311</v>
      </c>
      <c r="E4" t="s">
        <v>1400</v>
      </c>
      <c r="F4">
        <v>608</v>
      </c>
      <c r="G4" s="3">
        <v>35667</v>
      </c>
      <c r="H4" t="s">
        <v>3025</v>
      </c>
      <c r="J4" t="s">
        <v>1701</v>
      </c>
      <c r="K4" t="s">
        <v>64</v>
      </c>
      <c r="L4" s="3">
        <v>47558</v>
      </c>
      <c r="M4" s="3">
        <v>46369</v>
      </c>
      <c r="N4" t="s">
        <v>3026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1000</v>
      </c>
      <c r="C5" t="s">
        <v>1846</v>
      </c>
      <c r="D5" s="3">
        <v>26119</v>
      </c>
      <c r="E5" t="s">
        <v>1400</v>
      </c>
      <c r="F5">
        <v>180</v>
      </c>
      <c r="G5" s="3">
        <v>35513</v>
      </c>
      <c r="I5">
        <v>93572444</v>
      </c>
      <c r="J5" t="s">
        <v>1506</v>
      </c>
      <c r="K5" t="s">
        <v>67</v>
      </c>
      <c r="L5" s="3">
        <v>72686</v>
      </c>
      <c r="M5" s="3">
        <v>46834</v>
      </c>
      <c r="N5" t="s">
        <v>1847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3113</v>
      </c>
      <c r="C6" t="s">
        <v>3114</v>
      </c>
      <c r="D6" s="3">
        <v>24694</v>
      </c>
      <c r="E6" t="s">
        <v>1400</v>
      </c>
      <c r="F6">
        <v>398</v>
      </c>
      <c r="G6" s="3">
        <v>35478</v>
      </c>
      <c r="H6" t="s">
        <v>3115</v>
      </c>
      <c r="J6" t="s">
        <v>1701</v>
      </c>
      <c r="K6" t="s">
        <v>58</v>
      </c>
      <c r="L6" s="3">
        <v>72686</v>
      </c>
      <c r="M6" s="3">
        <v>46194</v>
      </c>
      <c r="N6" t="s">
        <v>3116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3076</v>
      </c>
      <c r="C7" t="s">
        <v>3077</v>
      </c>
      <c r="D7" s="3">
        <v>26633</v>
      </c>
      <c r="E7" t="s">
        <v>1400</v>
      </c>
      <c r="F7">
        <v>382</v>
      </c>
      <c r="G7" s="3">
        <v>35478</v>
      </c>
      <c r="H7" t="s">
        <v>3078</v>
      </c>
      <c r="J7" t="s">
        <v>1574</v>
      </c>
      <c r="K7" t="s">
        <v>64</v>
      </c>
      <c r="L7" s="3">
        <v>45955</v>
      </c>
      <c r="M7" s="3">
        <v>46273</v>
      </c>
      <c r="N7" t="s">
        <v>3079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2317</v>
      </c>
      <c r="C8" t="s">
        <v>2318</v>
      </c>
      <c r="D8" s="3">
        <v>23172</v>
      </c>
      <c r="E8" t="s">
        <v>1400</v>
      </c>
      <c r="F8">
        <v>429</v>
      </c>
      <c r="G8" s="3">
        <v>35394</v>
      </c>
      <c r="H8" t="s">
        <v>2319</v>
      </c>
      <c r="J8" t="s">
        <v>1721</v>
      </c>
      <c r="K8" t="s">
        <v>64</v>
      </c>
      <c r="L8" s="3">
        <v>46000</v>
      </c>
      <c r="M8" s="3">
        <v>46019</v>
      </c>
      <c r="N8" t="s">
        <v>2320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3109</v>
      </c>
      <c r="C9" t="s">
        <v>3110</v>
      </c>
      <c r="D9" s="3">
        <v>27910</v>
      </c>
      <c r="E9" t="s">
        <v>1400</v>
      </c>
      <c r="F9">
        <v>466</v>
      </c>
      <c r="G9" s="3">
        <v>35338</v>
      </c>
      <c r="H9" t="s">
        <v>3111</v>
      </c>
      <c r="I9">
        <v>93244163</v>
      </c>
      <c r="J9" t="s">
        <v>1506</v>
      </c>
      <c r="K9" t="s">
        <v>55</v>
      </c>
      <c r="L9" s="3">
        <v>47614</v>
      </c>
      <c r="M9" s="3">
        <v>46820</v>
      </c>
      <c r="N9" t="s">
        <v>3112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3368</v>
      </c>
      <c r="C10" t="s">
        <v>3369</v>
      </c>
      <c r="D10" s="3">
        <v>27571</v>
      </c>
      <c r="E10" t="s">
        <v>1400</v>
      </c>
      <c r="F10">
        <v>2</v>
      </c>
      <c r="G10" s="3">
        <v>35303</v>
      </c>
      <c r="I10">
        <v>93568611</v>
      </c>
      <c r="J10" t="s">
        <v>1528</v>
      </c>
      <c r="K10" t="s">
        <v>73</v>
      </c>
      <c r="L10" s="3">
        <v>47576</v>
      </c>
      <c r="M10" s="3">
        <v>47573</v>
      </c>
      <c r="N10" t="s">
        <v>3370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3350</v>
      </c>
      <c r="C11" t="s">
        <v>3351</v>
      </c>
      <c r="D11" s="3">
        <v>26996</v>
      </c>
      <c r="E11" t="s">
        <v>1400</v>
      </c>
      <c r="F11">
        <v>71</v>
      </c>
      <c r="G11" s="3">
        <v>35219</v>
      </c>
      <c r="H11" t="s">
        <v>3352</v>
      </c>
      <c r="J11" t="s">
        <v>1528</v>
      </c>
      <c r="K11" t="s">
        <v>73</v>
      </c>
      <c r="L11" s="3">
        <v>45880</v>
      </c>
      <c r="M11" s="3">
        <v>46014</v>
      </c>
      <c r="N11" t="s">
        <v>3353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1754</v>
      </c>
      <c r="C12" t="s">
        <v>1755</v>
      </c>
      <c r="D12" s="3">
        <v>26380</v>
      </c>
      <c r="E12" t="s">
        <v>1400</v>
      </c>
      <c r="F12">
        <v>272</v>
      </c>
      <c r="G12" s="3">
        <v>35219</v>
      </c>
      <c r="J12" t="s">
        <v>1506</v>
      </c>
      <c r="K12" t="s">
        <v>67</v>
      </c>
      <c r="L12" s="3">
        <v>73050</v>
      </c>
      <c r="M12" s="3">
        <v>45909</v>
      </c>
      <c r="N12" t="s">
        <v>1756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2600</v>
      </c>
      <c r="C13" t="s">
        <v>2601</v>
      </c>
      <c r="D13" s="3">
        <v>25627</v>
      </c>
      <c r="E13" t="s">
        <v>1400</v>
      </c>
      <c r="F13">
        <v>508</v>
      </c>
      <c r="G13" s="3">
        <v>35219</v>
      </c>
      <c r="I13">
        <v>474276343</v>
      </c>
      <c r="J13" t="s">
        <v>1523</v>
      </c>
      <c r="K13" t="s">
        <v>58</v>
      </c>
      <c r="L13" s="3">
        <v>47566</v>
      </c>
      <c r="M13" s="3">
        <v>47561</v>
      </c>
      <c r="N13" t="s">
        <v>2602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1482</v>
      </c>
      <c r="C14" t="s">
        <v>1474</v>
      </c>
      <c r="D14" s="3">
        <v>25922</v>
      </c>
      <c r="E14" t="s">
        <v>1400</v>
      </c>
      <c r="F14">
        <v>473</v>
      </c>
      <c r="G14" s="3">
        <v>35177</v>
      </c>
      <c r="H14" t="s">
        <v>1483</v>
      </c>
      <c r="J14" t="s">
        <v>1484</v>
      </c>
      <c r="K14" t="s">
        <v>61</v>
      </c>
      <c r="L14" s="3">
        <v>47607</v>
      </c>
      <c r="M14" s="3">
        <v>47573</v>
      </c>
      <c r="N14" t="s">
        <v>1485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1863</v>
      </c>
      <c r="C15" t="s">
        <v>1864</v>
      </c>
      <c r="D15" s="3">
        <v>24555</v>
      </c>
      <c r="E15" t="s">
        <v>1655</v>
      </c>
      <c r="F15">
        <v>100</v>
      </c>
      <c r="G15" s="3">
        <v>35065</v>
      </c>
      <c r="H15" t="s">
        <v>1865</v>
      </c>
      <c r="J15" t="s">
        <v>1701</v>
      </c>
      <c r="K15" t="s">
        <v>52</v>
      </c>
      <c r="L15" s="3">
        <v>72686</v>
      </c>
      <c r="M15" s="3">
        <v>46146</v>
      </c>
      <c r="N15" t="s">
        <v>1866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1680</v>
      </c>
      <c r="C16" t="s">
        <v>1681</v>
      </c>
      <c r="D16" s="3">
        <v>25262</v>
      </c>
      <c r="E16" t="s">
        <v>1400</v>
      </c>
      <c r="F16">
        <v>164</v>
      </c>
      <c r="G16" s="3">
        <v>34932</v>
      </c>
      <c r="I16">
        <v>32496401543</v>
      </c>
      <c r="J16" t="s">
        <v>1454</v>
      </c>
      <c r="K16" t="s">
        <v>73</v>
      </c>
      <c r="L16" s="3">
        <v>73050</v>
      </c>
      <c r="M16" s="3">
        <v>47170</v>
      </c>
      <c r="N16" t="s">
        <v>1682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2372</v>
      </c>
      <c r="C17" t="s">
        <v>3067</v>
      </c>
      <c r="D17" s="3">
        <v>23497</v>
      </c>
      <c r="E17" t="s">
        <v>1400</v>
      </c>
      <c r="F17">
        <v>356</v>
      </c>
      <c r="G17" s="3">
        <v>34932</v>
      </c>
      <c r="I17">
        <v>93293469</v>
      </c>
      <c r="J17" t="s">
        <v>1519</v>
      </c>
      <c r="K17" t="s">
        <v>61</v>
      </c>
      <c r="L17" s="3">
        <v>47671</v>
      </c>
      <c r="M17" s="3">
        <v>47369</v>
      </c>
      <c r="N17" t="s">
        <v>3068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2837</v>
      </c>
      <c r="C18" t="s">
        <v>1347</v>
      </c>
      <c r="D18" s="3">
        <v>26956</v>
      </c>
      <c r="E18" t="s">
        <v>1400</v>
      </c>
      <c r="F18">
        <v>557</v>
      </c>
      <c r="G18" s="3">
        <v>34834</v>
      </c>
      <c r="H18" t="s">
        <v>3012</v>
      </c>
      <c r="J18" t="s">
        <v>1523</v>
      </c>
      <c r="K18" t="s">
        <v>55</v>
      </c>
      <c r="L18" s="3">
        <v>47702</v>
      </c>
      <c r="M18" s="3">
        <v>45993</v>
      </c>
      <c r="N18" t="s">
        <v>3013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1950</v>
      </c>
      <c r="C19" t="s">
        <v>1951</v>
      </c>
      <c r="D19" s="3">
        <v>23504</v>
      </c>
      <c r="E19" t="s">
        <v>1400</v>
      </c>
      <c r="F19">
        <v>289</v>
      </c>
      <c r="G19" s="3">
        <v>34078</v>
      </c>
      <c r="J19" t="s">
        <v>1574</v>
      </c>
      <c r="K19" t="s">
        <v>70</v>
      </c>
      <c r="L19" s="3">
        <v>72686</v>
      </c>
      <c r="M19" s="3">
        <v>46140</v>
      </c>
      <c r="N19" t="s">
        <v>1952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3036</v>
      </c>
      <c r="C20" t="s">
        <v>3037</v>
      </c>
      <c r="D20" s="3">
        <v>26147</v>
      </c>
      <c r="E20" t="s">
        <v>1400</v>
      </c>
      <c r="F20">
        <v>413</v>
      </c>
      <c r="G20" s="3">
        <v>34078</v>
      </c>
      <c r="H20" t="s">
        <v>3038</v>
      </c>
      <c r="J20" t="s">
        <v>1569</v>
      </c>
      <c r="K20" t="s">
        <v>64</v>
      </c>
      <c r="L20" s="3">
        <v>47594</v>
      </c>
      <c r="M20" s="3">
        <v>46497</v>
      </c>
      <c r="N20" t="s">
        <v>3039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1276</v>
      </c>
      <c r="C21" t="s">
        <v>3351</v>
      </c>
      <c r="D21" s="3">
        <v>20773</v>
      </c>
      <c r="E21" t="s">
        <v>1400</v>
      </c>
      <c r="F21">
        <v>628</v>
      </c>
      <c r="G21" s="3">
        <v>34008</v>
      </c>
      <c r="H21" t="s">
        <v>3354</v>
      </c>
      <c r="J21" t="s">
        <v>1537</v>
      </c>
      <c r="K21" t="s">
        <v>58</v>
      </c>
      <c r="L21" s="3">
        <v>47481</v>
      </c>
      <c r="M21" s="3">
        <v>47456</v>
      </c>
      <c r="N21" t="s">
        <v>3355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2016</v>
      </c>
      <c r="C22" t="s">
        <v>2013</v>
      </c>
      <c r="D22" s="3">
        <v>23986</v>
      </c>
      <c r="E22" t="s">
        <v>1400</v>
      </c>
      <c r="F22">
        <v>216</v>
      </c>
      <c r="G22" s="3">
        <v>33868</v>
      </c>
      <c r="H22" t="s">
        <v>2017</v>
      </c>
      <c r="I22">
        <v>93285775</v>
      </c>
      <c r="J22" t="s">
        <v>1574</v>
      </c>
      <c r="K22" t="s">
        <v>67</v>
      </c>
      <c r="L22" s="3">
        <v>72686</v>
      </c>
      <c r="M22" s="3">
        <v>72686</v>
      </c>
      <c r="N22" t="s">
        <v>2018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2926</v>
      </c>
      <c r="C23" t="s">
        <v>2927</v>
      </c>
      <c r="D23" s="3">
        <v>25610</v>
      </c>
      <c r="E23" t="s">
        <v>1400</v>
      </c>
      <c r="F23">
        <v>467</v>
      </c>
      <c r="G23" s="3">
        <v>33848</v>
      </c>
      <c r="H23" t="s">
        <v>2928</v>
      </c>
      <c r="J23" t="s">
        <v>1528</v>
      </c>
      <c r="K23" t="s">
        <v>73</v>
      </c>
      <c r="L23" s="3">
        <v>47698</v>
      </c>
      <c r="M23" s="3">
        <v>46152</v>
      </c>
      <c r="N23" t="s">
        <v>2929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3425</v>
      </c>
      <c r="C24" t="s">
        <v>3426</v>
      </c>
      <c r="D24" s="3">
        <v>23942</v>
      </c>
      <c r="E24" t="s">
        <v>1400</v>
      </c>
      <c r="F24">
        <v>193</v>
      </c>
      <c r="G24" s="3">
        <v>33819</v>
      </c>
      <c r="H24" t="s">
        <v>3427</v>
      </c>
      <c r="J24" t="s">
        <v>1528</v>
      </c>
      <c r="K24" t="s">
        <v>73</v>
      </c>
      <c r="L24" s="3">
        <v>47636</v>
      </c>
      <c r="M24" s="3">
        <v>46364</v>
      </c>
      <c r="N24" t="s">
        <v>3428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1803</v>
      </c>
      <c r="C25" t="s">
        <v>1804</v>
      </c>
      <c r="D25" s="3">
        <v>24961</v>
      </c>
      <c r="E25" t="s">
        <v>1400</v>
      </c>
      <c r="F25">
        <v>19</v>
      </c>
      <c r="G25" s="3">
        <v>33742</v>
      </c>
      <c r="H25" t="s">
        <v>1805</v>
      </c>
      <c r="J25" t="s">
        <v>1701</v>
      </c>
      <c r="K25" t="s">
        <v>73</v>
      </c>
      <c r="L25" s="3">
        <v>72686</v>
      </c>
      <c r="M25" s="3">
        <v>46308</v>
      </c>
      <c r="N25" t="s">
        <v>1806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2696</v>
      </c>
      <c r="C26" t="s">
        <v>2697</v>
      </c>
      <c r="D26" s="3">
        <v>25098</v>
      </c>
      <c r="E26" t="s">
        <v>1400</v>
      </c>
      <c r="F26">
        <v>189</v>
      </c>
      <c r="G26" s="3">
        <v>33707</v>
      </c>
      <c r="H26" t="s">
        <v>2698</v>
      </c>
      <c r="I26">
        <v>93848830</v>
      </c>
      <c r="J26" t="s">
        <v>1721</v>
      </c>
      <c r="K26" t="s">
        <v>64</v>
      </c>
      <c r="L26" s="3">
        <v>47705</v>
      </c>
      <c r="M26" s="3">
        <v>46318</v>
      </c>
      <c r="N26" t="s">
        <v>2699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1932</v>
      </c>
      <c r="C27" t="s">
        <v>1933</v>
      </c>
      <c r="D27" s="3">
        <v>24551</v>
      </c>
      <c r="E27" t="s">
        <v>1400</v>
      </c>
      <c r="F27">
        <v>386</v>
      </c>
      <c r="G27" s="3">
        <v>33609</v>
      </c>
      <c r="H27" t="s">
        <v>1934</v>
      </c>
      <c r="I27">
        <v>93572595</v>
      </c>
      <c r="J27" t="s">
        <v>1506</v>
      </c>
      <c r="K27" t="s">
        <v>67</v>
      </c>
      <c r="L27" s="3">
        <v>73050</v>
      </c>
      <c r="M27" s="3">
        <v>46853</v>
      </c>
      <c r="N27" t="s">
        <v>1935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1582</v>
      </c>
      <c r="C28" t="s">
        <v>1627</v>
      </c>
      <c r="D28" s="3">
        <v>24869</v>
      </c>
      <c r="E28" t="s">
        <v>1400</v>
      </c>
      <c r="F28">
        <v>331</v>
      </c>
      <c r="G28" s="3">
        <v>33546</v>
      </c>
      <c r="H28" t="s">
        <v>1628</v>
      </c>
      <c r="J28" t="s">
        <v>1506</v>
      </c>
      <c r="K28" t="s">
        <v>67</v>
      </c>
      <c r="L28" s="3">
        <v>72686</v>
      </c>
      <c r="M28" s="3">
        <v>46985</v>
      </c>
      <c r="N28" t="s">
        <v>1629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1981</v>
      </c>
      <c r="C29" t="s">
        <v>2531</v>
      </c>
      <c r="D29" s="3">
        <v>24420</v>
      </c>
      <c r="E29" t="s">
        <v>1400</v>
      </c>
      <c r="F29">
        <v>313</v>
      </c>
      <c r="G29" s="3">
        <v>33308</v>
      </c>
      <c r="H29" t="s">
        <v>2532</v>
      </c>
      <c r="I29">
        <v>92370122</v>
      </c>
      <c r="J29" t="s">
        <v>1519</v>
      </c>
      <c r="K29" t="s">
        <v>58</v>
      </c>
      <c r="L29" s="3">
        <v>47635</v>
      </c>
      <c r="M29" s="3">
        <v>46882</v>
      </c>
      <c r="N29" t="s">
        <v>2533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3262</v>
      </c>
      <c r="C30" t="s">
        <v>3263</v>
      </c>
      <c r="D30" s="3">
        <v>23694</v>
      </c>
      <c r="E30" t="s">
        <v>1400</v>
      </c>
      <c r="F30">
        <v>630</v>
      </c>
      <c r="G30" s="3">
        <v>33308</v>
      </c>
      <c r="H30" t="s">
        <v>3264</v>
      </c>
      <c r="I30">
        <v>92277204</v>
      </c>
      <c r="J30" t="s">
        <v>1523</v>
      </c>
      <c r="K30" t="s">
        <v>55</v>
      </c>
      <c r="L30" s="3">
        <v>47653</v>
      </c>
      <c r="M30" s="3">
        <v>46834</v>
      </c>
      <c r="N30" t="s">
        <v>3265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3298</v>
      </c>
      <c r="C31" t="s">
        <v>1372</v>
      </c>
      <c r="D31" s="3">
        <v>25160</v>
      </c>
      <c r="E31" t="s">
        <v>1400</v>
      </c>
      <c r="F31">
        <v>232</v>
      </c>
      <c r="G31" s="3">
        <v>33287</v>
      </c>
      <c r="H31" t="s">
        <v>3299</v>
      </c>
      <c r="J31" t="s">
        <v>1701</v>
      </c>
      <c r="K31" t="s">
        <v>73</v>
      </c>
      <c r="L31" s="3">
        <v>45952</v>
      </c>
      <c r="M31" s="3">
        <v>46665</v>
      </c>
      <c r="N31" t="s">
        <v>3300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1517</v>
      </c>
      <c r="C32" t="s">
        <v>1951</v>
      </c>
      <c r="D32" s="3">
        <v>24557</v>
      </c>
      <c r="E32" t="s">
        <v>1400</v>
      </c>
      <c r="F32">
        <v>649</v>
      </c>
      <c r="G32" s="3">
        <v>33287</v>
      </c>
      <c r="I32">
        <v>93300995</v>
      </c>
      <c r="J32" t="s">
        <v>1515</v>
      </c>
      <c r="K32" t="s">
        <v>64</v>
      </c>
      <c r="L32" s="3">
        <v>47672</v>
      </c>
      <c r="M32" s="3">
        <v>46665</v>
      </c>
      <c r="N32" t="s">
        <v>1953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2806</v>
      </c>
      <c r="C33" t="s">
        <v>2807</v>
      </c>
      <c r="D33" s="3">
        <v>22990</v>
      </c>
      <c r="E33" t="s">
        <v>1400</v>
      </c>
      <c r="F33">
        <v>368</v>
      </c>
      <c r="G33" s="3">
        <v>33098</v>
      </c>
      <c r="H33" t="s">
        <v>2808</v>
      </c>
      <c r="I33">
        <v>93290244</v>
      </c>
      <c r="J33" t="s">
        <v>1574</v>
      </c>
      <c r="K33" t="s">
        <v>70</v>
      </c>
      <c r="L33" s="3">
        <v>72686</v>
      </c>
      <c r="M33" s="3">
        <v>47046</v>
      </c>
      <c r="N33" t="s">
        <v>2809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1757</v>
      </c>
      <c r="C34" t="s">
        <v>1755</v>
      </c>
      <c r="D34" s="3">
        <v>25160</v>
      </c>
      <c r="E34" t="s">
        <v>1400</v>
      </c>
      <c r="F34">
        <v>210</v>
      </c>
      <c r="G34" s="3">
        <v>32951</v>
      </c>
      <c r="H34" t="s">
        <v>1758</v>
      </c>
      <c r="J34" t="s">
        <v>1721</v>
      </c>
      <c r="K34" t="s">
        <v>73</v>
      </c>
      <c r="L34" s="3">
        <v>47588</v>
      </c>
      <c r="M34" s="3">
        <v>46453</v>
      </c>
      <c r="N34" t="s">
        <v>1759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2946</v>
      </c>
      <c r="C35" t="s">
        <v>2947</v>
      </c>
      <c r="D35" s="3">
        <v>24539</v>
      </c>
      <c r="E35" t="s">
        <v>1400</v>
      </c>
      <c r="F35">
        <v>539</v>
      </c>
      <c r="G35" s="3">
        <v>32924</v>
      </c>
      <c r="H35" t="s">
        <v>2948</v>
      </c>
      <c r="J35" t="s">
        <v>1523</v>
      </c>
      <c r="K35" t="s">
        <v>55</v>
      </c>
      <c r="L35" s="3">
        <v>45943</v>
      </c>
      <c r="M35" s="3">
        <v>46637</v>
      </c>
      <c r="N35" t="s">
        <v>2949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1972</v>
      </c>
      <c r="C36" t="s">
        <v>2603</v>
      </c>
      <c r="D36" s="3">
        <v>24146</v>
      </c>
      <c r="E36" t="s">
        <v>1400</v>
      </c>
      <c r="F36">
        <v>509</v>
      </c>
      <c r="G36" s="3">
        <v>32797</v>
      </c>
      <c r="J36" t="s">
        <v>1523</v>
      </c>
      <c r="K36" t="s">
        <v>58</v>
      </c>
      <c r="L36" s="3">
        <v>47602</v>
      </c>
      <c r="M36" s="3">
        <v>46399</v>
      </c>
      <c r="N36" t="s">
        <v>2604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2583</v>
      </c>
      <c r="C37" t="s">
        <v>2584</v>
      </c>
      <c r="D37" s="3">
        <v>23029</v>
      </c>
      <c r="E37" t="s">
        <v>1400</v>
      </c>
      <c r="F37">
        <v>410</v>
      </c>
      <c r="G37" s="3">
        <v>32644</v>
      </c>
      <c r="H37" t="s">
        <v>2585</v>
      </c>
      <c r="J37" t="s">
        <v>1528</v>
      </c>
      <c r="K37" t="s">
        <v>73</v>
      </c>
      <c r="L37" s="3">
        <v>47573</v>
      </c>
      <c r="M37" s="3">
        <v>46306</v>
      </c>
      <c r="N37" t="s">
        <v>2586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2841</v>
      </c>
      <c r="C38" t="s">
        <v>2842</v>
      </c>
      <c r="D38" s="3">
        <v>24001</v>
      </c>
      <c r="E38" t="s">
        <v>1400</v>
      </c>
      <c r="F38">
        <v>16</v>
      </c>
      <c r="G38" s="3">
        <v>32489</v>
      </c>
      <c r="H38" t="s">
        <v>2843</v>
      </c>
      <c r="J38" t="s">
        <v>1721</v>
      </c>
      <c r="K38" t="s">
        <v>64</v>
      </c>
      <c r="L38" s="3">
        <v>47590</v>
      </c>
      <c r="M38" s="3">
        <v>46960</v>
      </c>
      <c r="N38" t="s">
        <v>2844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2989</v>
      </c>
      <c r="C39" t="s">
        <v>2990</v>
      </c>
      <c r="D39" s="3">
        <v>23958</v>
      </c>
      <c r="E39" t="s">
        <v>1400</v>
      </c>
      <c r="F39">
        <v>446</v>
      </c>
      <c r="G39" s="3">
        <v>32223</v>
      </c>
      <c r="H39" t="s">
        <v>2991</v>
      </c>
      <c r="I39">
        <v>93365628</v>
      </c>
      <c r="J39" t="s">
        <v>1528</v>
      </c>
      <c r="K39" t="s">
        <v>73</v>
      </c>
      <c r="L39" s="3">
        <v>46863</v>
      </c>
      <c r="M39" s="3">
        <v>46838</v>
      </c>
      <c r="N39" t="s">
        <v>2992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3569</v>
      </c>
      <c r="C40" t="s">
        <v>3570</v>
      </c>
      <c r="D40" s="3">
        <v>38253</v>
      </c>
      <c r="E40" t="s">
        <v>1400</v>
      </c>
      <c r="G40" s="3">
        <v>45918</v>
      </c>
      <c r="H40" t="s">
        <v>3571</v>
      </c>
      <c r="J40" t="s">
        <v>1857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1499</v>
      </c>
      <c r="C41" t="s">
        <v>2626</v>
      </c>
      <c r="D41" s="3">
        <v>36846</v>
      </c>
      <c r="E41" t="s">
        <v>1400</v>
      </c>
      <c r="G41" s="3">
        <v>45903</v>
      </c>
      <c r="H41" t="s">
        <v>3572</v>
      </c>
      <c r="J41" t="s">
        <v>1857</v>
      </c>
      <c r="K41" t="s">
        <v>61</v>
      </c>
      <c r="L41" s="3">
        <v>1</v>
      </c>
      <c r="M41" s="3">
        <v>1</v>
      </c>
      <c r="N41" t="s">
        <v>3573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3574</v>
      </c>
      <c r="C42" t="s">
        <v>3575</v>
      </c>
      <c r="D42" s="3">
        <v>30518</v>
      </c>
      <c r="E42" t="s">
        <v>1400</v>
      </c>
      <c r="G42" s="3">
        <v>45918</v>
      </c>
      <c r="H42" t="s">
        <v>3576</v>
      </c>
      <c r="J42" t="s">
        <v>1857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3445</v>
      </c>
      <c r="C43" t="s">
        <v>3577</v>
      </c>
      <c r="D43" s="3">
        <v>36642</v>
      </c>
      <c r="E43" t="s">
        <v>1400</v>
      </c>
      <c r="G43" s="3">
        <v>45903</v>
      </c>
      <c r="H43" t="s">
        <v>3578</v>
      </c>
      <c r="J43" t="s">
        <v>1857</v>
      </c>
      <c r="K43" t="s">
        <v>61</v>
      </c>
      <c r="L43" s="3">
        <v>1</v>
      </c>
      <c r="M43" s="3">
        <v>1</v>
      </c>
      <c r="N43" t="s">
        <v>3579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3580</v>
      </c>
      <c r="C44" t="s">
        <v>3460</v>
      </c>
      <c r="D44" s="3">
        <v>37782</v>
      </c>
      <c r="E44" t="s">
        <v>1400</v>
      </c>
      <c r="G44" s="3">
        <v>45903</v>
      </c>
      <c r="H44" t="s">
        <v>3581</v>
      </c>
      <c r="J44" t="s">
        <v>1857</v>
      </c>
      <c r="K44" t="s">
        <v>61</v>
      </c>
      <c r="L44" s="3">
        <v>1</v>
      </c>
      <c r="M44" s="3">
        <v>1</v>
      </c>
      <c r="N44" t="s">
        <v>3582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3583</v>
      </c>
      <c r="C45" t="s">
        <v>1684</v>
      </c>
      <c r="D45" s="3">
        <v>24857</v>
      </c>
      <c r="E45" t="s">
        <v>1400</v>
      </c>
      <c r="G45" s="3">
        <v>45903</v>
      </c>
      <c r="H45" t="s">
        <v>3584</v>
      </c>
      <c r="J45" t="s">
        <v>1857</v>
      </c>
      <c r="K45" t="s">
        <v>64</v>
      </c>
      <c r="L45" s="3">
        <v>1</v>
      </c>
      <c r="M45" s="3">
        <v>1</v>
      </c>
      <c r="N45" t="s">
        <v>3585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2028</v>
      </c>
      <c r="C46" t="s">
        <v>3586</v>
      </c>
      <c r="D46" s="3">
        <v>37215</v>
      </c>
      <c r="E46" t="s">
        <v>1400</v>
      </c>
      <c r="G46" s="3">
        <v>45903</v>
      </c>
      <c r="H46" t="s">
        <v>3587</v>
      </c>
      <c r="J46" t="s">
        <v>1857</v>
      </c>
      <c r="K46" t="s">
        <v>70</v>
      </c>
      <c r="L46" s="3">
        <v>1</v>
      </c>
      <c r="M46" s="3">
        <v>1</v>
      </c>
      <c r="N46" t="s">
        <v>3588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3589</v>
      </c>
      <c r="C47" t="s">
        <v>3590</v>
      </c>
      <c r="D47" s="3">
        <v>36604</v>
      </c>
      <c r="E47" t="s">
        <v>1400</v>
      </c>
      <c r="G47" s="3">
        <v>45889</v>
      </c>
      <c r="H47" t="s">
        <v>3591</v>
      </c>
      <c r="J47" t="s">
        <v>1857</v>
      </c>
      <c r="K47" t="s">
        <v>64</v>
      </c>
      <c r="L47" s="3">
        <v>1</v>
      </c>
      <c r="M47" s="3">
        <v>1</v>
      </c>
      <c r="N47" t="s">
        <v>3592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3593</v>
      </c>
      <c r="C48" t="s">
        <v>3594</v>
      </c>
      <c r="D48" s="3">
        <v>37251</v>
      </c>
      <c r="E48" t="s">
        <v>1400</v>
      </c>
      <c r="G48" s="3">
        <v>45903</v>
      </c>
      <c r="H48" t="s">
        <v>3595</v>
      </c>
      <c r="J48" t="s">
        <v>1408</v>
      </c>
      <c r="K48" t="s">
        <v>55</v>
      </c>
      <c r="L48" s="3">
        <v>1</v>
      </c>
      <c r="M48" s="3">
        <v>1</v>
      </c>
      <c r="N48" t="s">
        <v>3596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3597</v>
      </c>
      <c r="C49" t="s">
        <v>3598</v>
      </c>
      <c r="D49" s="3">
        <v>33465</v>
      </c>
      <c r="E49" t="s">
        <v>1400</v>
      </c>
      <c r="G49" s="3">
        <v>45889</v>
      </c>
      <c r="H49" t="s">
        <v>3599</v>
      </c>
      <c r="J49" t="s">
        <v>1408</v>
      </c>
      <c r="K49" t="s">
        <v>70</v>
      </c>
      <c r="L49" s="3">
        <v>1</v>
      </c>
      <c r="M49" s="3">
        <v>1</v>
      </c>
      <c r="N49" t="s">
        <v>3600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1854</v>
      </c>
      <c r="C50" t="s">
        <v>1855</v>
      </c>
      <c r="D50" s="3">
        <v>30767</v>
      </c>
      <c r="E50" t="s">
        <v>1400</v>
      </c>
      <c r="G50" s="3">
        <v>45870</v>
      </c>
      <c r="H50" t="s">
        <v>1856</v>
      </c>
      <c r="I50" t="s">
        <v>3601</v>
      </c>
      <c r="J50" t="s">
        <v>1857</v>
      </c>
      <c r="K50" t="s">
        <v>52</v>
      </c>
      <c r="L50" s="3">
        <v>46301</v>
      </c>
      <c r="M50" s="3">
        <v>47644</v>
      </c>
      <c r="N50" t="s">
        <v>1858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2541</v>
      </c>
      <c r="C51" t="s">
        <v>2542</v>
      </c>
      <c r="D51" s="3">
        <v>34251</v>
      </c>
      <c r="E51" t="s">
        <v>1400</v>
      </c>
      <c r="G51" s="3">
        <v>45874</v>
      </c>
      <c r="H51" t="s">
        <v>2543</v>
      </c>
      <c r="J51" t="s">
        <v>1413</v>
      </c>
      <c r="K51" t="s">
        <v>67</v>
      </c>
      <c r="L51" s="3">
        <v>47722</v>
      </c>
      <c r="M51" s="3">
        <v>47664</v>
      </c>
      <c r="N51" t="s">
        <v>2544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1703</v>
      </c>
      <c r="C52" t="s">
        <v>1704</v>
      </c>
      <c r="D52" s="3">
        <v>36894</v>
      </c>
      <c r="E52" t="s">
        <v>1400</v>
      </c>
      <c r="G52" s="3">
        <v>45874</v>
      </c>
      <c r="H52" t="s">
        <v>1705</v>
      </c>
      <c r="J52" t="s">
        <v>1413</v>
      </c>
      <c r="K52" t="s">
        <v>67</v>
      </c>
      <c r="L52" s="3">
        <v>47720</v>
      </c>
      <c r="M52" s="3">
        <v>47664</v>
      </c>
      <c r="N52" t="s">
        <v>1706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3602</v>
      </c>
      <c r="C53" t="s">
        <v>3603</v>
      </c>
      <c r="D53" s="3">
        <v>35367</v>
      </c>
      <c r="E53" t="s">
        <v>1400</v>
      </c>
      <c r="G53" s="3">
        <v>45889</v>
      </c>
      <c r="H53" t="s">
        <v>3604</v>
      </c>
      <c r="J53" t="s">
        <v>1408</v>
      </c>
      <c r="K53" t="s">
        <v>58</v>
      </c>
      <c r="L53" s="3">
        <v>1</v>
      </c>
      <c r="M53" s="3">
        <v>1</v>
      </c>
      <c r="N53" t="s">
        <v>3605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3606</v>
      </c>
      <c r="C54" t="s">
        <v>3607</v>
      </c>
      <c r="D54" s="3">
        <v>32154</v>
      </c>
      <c r="E54" t="s">
        <v>1400</v>
      </c>
      <c r="G54" s="3">
        <v>45889</v>
      </c>
      <c r="H54" t="s">
        <v>3608</v>
      </c>
      <c r="J54" t="s">
        <v>1408</v>
      </c>
      <c r="K54" t="s">
        <v>55</v>
      </c>
      <c r="L54" s="3">
        <v>1</v>
      </c>
      <c r="M54" s="3">
        <v>1</v>
      </c>
      <c r="N54" t="s">
        <v>3609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2195</v>
      </c>
      <c r="C55" t="s">
        <v>2196</v>
      </c>
      <c r="D55" s="3">
        <v>34485</v>
      </c>
      <c r="E55" t="s">
        <v>1400</v>
      </c>
      <c r="G55" s="3">
        <v>45868</v>
      </c>
      <c r="H55" t="s">
        <v>2197</v>
      </c>
      <c r="J55" t="s">
        <v>1408</v>
      </c>
      <c r="K55" t="s">
        <v>61</v>
      </c>
      <c r="L55" s="3">
        <v>47428</v>
      </c>
      <c r="M55" s="3">
        <v>47243</v>
      </c>
      <c r="N55" t="s">
        <v>2198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2993</v>
      </c>
      <c r="C56" t="s">
        <v>2994</v>
      </c>
      <c r="D56" s="3">
        <v>38832</v>
      </c>
      <c r="E56" t="s">
        <v>1400</v>
      </c>
      <c r="G56" s="3">
        <v>45860</v>
      </c>
      <c r="H56" t="s">
        <v>2995</v>
      </c>
      <c r="J56" t="s">
        <v>1408</v>
      </c>
      <c r="K56" t="s">
        <v>64</v>
      </c>
      <c r="L56" s="3">
        <v>47702</v>
      </c>
      <c r="M56" s="3">
        <v>47678</v>
      </c>
      <c r="N56" t="s">
        <v>2996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2648</v>
      </c>
      <c r="C57" t="s">
        <v>2649</v>
      </c>
      <c r="D57" s="3">
        <v>37799</v>
      </c>
      <c r="E57" t="s">
        <v>1400</v>
      </c>
      <c r="G57" s="3">
        <v>45860</v>
      </c>
      <c r="H57" t="s">
        <v>2650</v>
      </c>
      <c r="J57" t="s">
        <v>1408</v>
      </c>
      <c r="K57" t="s">
        <v>70</v>
      </c>
      <c r="L57" s="3">
        <v>47705</v>
      </c>
      <c r="M57" s="3">
        <v>47664</v>
      </c>
      <c r="N57" t="s">
        <v>2651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2036</v>
      </c>
      <c r="C58" t="s">
        <v>2037</v>
      </c>
      <c r="D58" s="3">
        <v>37796</v>
      </c>
      <c r="E58" t="s">
        <v>1400</v>
      </c>
      <c r="G58" s="3">
        <v>45853</v>
      </c>
      <c r="H58" t="s">
        <v>2038</v>
      </c>
      <c r="J58" t="s">
        <v>1408</v>
      </c>
      <c r="K58" t="s">
        <v>52</v>
      </c>
      <c r="L58" s="3">
        <v>1</v>
      </c>
      <c r="M58" s="3">
        <v>1</v>
      </c>
      <c r="N58" t="s">
        <v>2039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2534</v>
      </c>
      <c r="C59" t="s">
        <v>2535</v>
      </c>
      <c r="D59" s="3">
        <v>33500</v>
      </c>
      <c r="E59" t="s">
        <v>1400</v>
      </c>
      <c r="G59" s="3">
        <v>45854</v>
      </c>
      <c r="H59" t="s">
        <v>2536</v>
      </c>
      <c r="J59" t="s">
        <v>1408</v>
      </c>
      <c r="K59" t="s">
        <v>52</v>
      </c>
      <c r="L59" s="3">
        <v>46678</v>
      </c>
      <c r="M59" s="3">
        <v>46606</v>
      </c>
      <c r="N59" t="s">
        <v>2537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3387</v>
      </c>
      <c r="C60" t="s">
        <v>3388</v>
      </c>
      <c r="D60" s="3">
        <v>36225</v>
      </c>
      <c r="E60" t="s">
        <v>1400</v>
      </c>
      <c r="G60" s="3">
        <v>45840</v>
      </c>
      <c r="H60" t="s">
        <v>3389</v>
      </c>
      <c r="J60" t="s">
        <v>1408</v>
      </c>
      <c r="K60" t="s">
        <v>58</v>
      </c>
      <c r="L60" s="3">
        <v>47538</v>
      </c>
      <c r="M60" s="3">
        <v>47243</v>
      </c>
      <c r="N60" t="s">
        <v>3390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3409</v>
      </c>
      <c r="C61" t="s">
        <v>3410</v>
      </c>
      <c r="D61" s="3">
        <v>31325</v>
      </c>
      <c r="E61" t="s">
        <v>1400</v>
      </c>
      <c r="G61" s="3">
        <v>45831</v>
      </c>
      <c r="H61" t="s">
        <v>3411</v>
      </c>
      <c r="J61" t="s">
        <v>1408</v>
      </c>
      <c r="K61" t="s">
        <v>58</v>
      </c>
      <c r="L61" s="3">
        <v>47679</v>
      </c>
      <c r="M61" s="3">
        <v>47636</v>
      </c>
      <c r="N61" t="s">
        <v>3412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2474</v>
      </c>
      <c r="C62" t="s">
        <v>2475</v>
      </c>
      <c r="D62" s="3">
        <v>37670</v>
      </c>
      <c r="E62" t="s">
        <v>1400</v>
      </c>
      <c r="G62" s="3">
        <v>45814</v>
      </c>
      <c r="H62" t="s">
        <v>2476</v>
      </c>
      <c r="J62" t="s">
        <v>1408</v>
      </c>
      <c r="K62" t="s">
        <v>58</v>
      </c>
      <c r="L62" s="3">
        <v>47660</v>
      </c>
      <c r="M62" s="3">
        <v>47622</v>
      </c>
      <c r="N62" t="s">
        <v>2477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2199</v>
      </c>
      <c r="C63" t="s">
        <v>2196</v>
      </c>
      <c r="D63" s="3">
        <v>32049</v>
      </c>
      <c r="E63" t="s">
        <v>1400</v>
      </c>
      <c r="G63" s="3">
        <v>45845</v>
      </c>
      <c r="H63" t="s">
        <v>2200</v>
      </c>
      <c r="J63" t="s">
        <v>1408</v>
      </c>
      <c r="K63" t="s">
        <v>61</v>
      </c>
      <c r="L63" s="3">
        <v>47688</v>
      </c>
      <c r="M63" s="3">
        <v>47616</v>
      </c>
      <c r="N63" t="s">
        <v>2201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1486</v>
      </c>
      <c r="C64" t="s">
        <v>1474</v>
      </c>
      <c r="D64" s="3">
        <v>24230</v>
      </c>
      <c r="E64" t="s">
        <v>1400</v>
      </c>
      <c r="G64" s="3">
        <v>45831</v>
      </c>
      <c r="H64" t="s">
        <v>1487</v>
      </c>
      <c r="J64" t="s">
        <v>1408</v>
      </c>
      <c r="K64" t="s">
        <v>70</v>
      </c>
      <c r="L64" s="3">
        <v>47677</v>
      </c>
      <c r="M64" s="3">
        <v>47610</v>
      </c>
      <c r="N64" t="s">
        <v>1488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2779</v>
      </c>
      <c r="C65" t="s">
        <v>2780</v>
      </c>
      <c r="D65" s="3">
        <v>36537</v>
      </c>
      <c r="E65" t="s">
        <v>1400</v>
      </c>
      <c r="G65" s="3">
        <v>45798</v>
      </c>
      <c r="H65" t="s">
        <v>2781</v>
      </c>
      <c r="J65" t="s">
        <v>1408</v>
      </c>
      <c r="K65" t="s">
        <v>52</v>
      </c>
      <c r="L65" s="3">
        <v>47645</v>
      </c>
      <c r="M65" s="3">
        <v>47615</v>
      </c>
      <c r="N65" t="s">
        <v>2782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1814</v>
      </c>
      <c r="C66" t="s">
        <v>1815</v>
      </c>
      <c r="D66" s="3">
        <v>30683</v>
      </c>
      <c r="E66" t="s">
        <v>1400</v>
      </c>
      <c r="G66" s="3">
        <v>45831</v>
      </c>
      <c r="H66" t="s">
        <v>1816</v>
      </c>
      <c r="J66" t="s">
        <v>1408</v>
      </c>
      <c r="K66" t="s">
        <v>61</v>
      </c>
      <c r="L66" s="3">
        <v>47673</v>
      </c>
      <c r="M66" s="3">
        <v>47608</v>
      </c>
      <c r="N66" t="s">
        <v>1817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3228</v>
      </c>
      <c r="C67" t="s">
        <v>1355</v>
      </c>
      <c r="D67" s="3">
        <v>28560</v>
      </c>
      <c r="E67" t="s">
        <v>1400</v>
      </c>
      <c r="G67" s="3">
        <v>45831</v>
      </c>
      <c r="H67" t="s">
        <v>3229</v>
      </c>
      <c r="J67" t="s">
        <v>1408</v>
      </c>
      <c r="K67" t="s">
        <v>64</v>
      </c>
      <c r="L67" s="3">
        <v>47678</v>
      </c>
      <c r="M67" s="3">
        <v>47594</v>
      </c>
      <c r="N67" t="s">
        <v>3230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3280</v>
      </c>
      <c r="C68" t="s">
        <v>3281</v>
      </c>
      <c r="D68" s="3">
        <v>32479</v>
      </c>
      <c r="E68" t="s">
        <v>1400</v>
      </c>
      <c r="G68" s="3">
        <v>45831</v>
      </c>
      <c r="H68" t="s">
        <v>3282</v>
      </c>
      <c r="J68" t="s">
        <v>1408</v>
      </c>
      <c r="K68" t="s">
        <v>58</v>
      </c>
      <c r="L68" s="3">
        <v>47673</v>
      </c>
      <c r="M68" s="3">
        <v>47568</v>
      </c>
      <c r="N68" t="s">
        <v>3283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3202</v>
      </c>
      <c r="C69" t="s">
        <v>3203</v>
      </c>
      <c r="D69" s="3">
        <v>26143</v>
      </c>
      <c r="E69" t="s">
        <v>1400</v>
      </c>
      <c r="G69" s="3">
        <v>45814</v>
      </c>
      <c r="H69" t="s">
        <v>3204</v>
      </c>
      <c r="J69" t="s">
        <v>1408</v>
      </c>
      <c r="K69" t="s">
        <v>52</v>
      </c>
      <c r="L69" s="3">
        <v>47659</v>
      </c>
      <c r="M69" s="3">
        <v>47596</v>
      </c>
      <c r="N69" t="s">
        <v>3205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2712</v>
      </c>
      <c r="C70" t="s">
        <v>2713</v>
      </c>
      <c r="D70" s="3">
        <v>36357</v>
      </c>
      <c r="E70" t="s">
        <v>1400</v>
      </c>
      <c r="G70" s="3">
        <v>45798</v>
      </c>
      <c r="H70" t="s">
        <v>2714</v>
      </c>
      <c r="J70" t="s">
        <v>1408</v>
      </c>
      <c r="K70" t="s">
        <v>52</v>
      </c>
      <c r="L70" s="3">
        <v>47645</v>
      </c>
      <c r="M70" s="3">
        <v>47538</v>
      </c>
      <c r="N70" t="s">
        <v>2715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1461</v>
      </c>
      <c r="C71" t="s">
        <v>1462</v>
      </c>
      <c r="D71" s="3">
        <v>36390</v>
      </c>
      <c r="E71" t="s">
        <v>1400</v>
      </c>
      <c r="G71" s="3">
        <v>45798</v>
      </c>
      <c r="H71" t="s">
        <v>1463</v>
      </c>
      <c r="J71" t="s">
        <v>1408</v>
      </c>
      <c r="K71" t="s">
        <v>67</v>
      </c>
      <c r="L71" s="3">
        <v>47645</v>
      </c>
      <c r="M71" s="3">
        <v>46831</v>
      </c>
      <c r="N71" t="s">
        <v>1464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2188</v>
      </c>
      <c r="C72" t="s">
        <v>2189</v>
      </c>
      <c r="D72" s="3">
        <v>37565</v>
      </c>
      <c r="E72" t="s">
        <v>1400</v>
      </c>
      <c r="G72" s="3">
        <v>45783</v>
      </c>
      <c r="H72" t="s">
        <v>2190</v>
      </c>
      <c r="J72" t="s">
        <v>1408</v>
      </c>
      <c r="K72" t="s">
        <v>67</v>
      </c>
      <c r="L72" s="3">
        <v>47629</v>
      </c>
      <c r="M72" s="3">
        <v>47596</v>
      </c>
      <c r="N72" t="s">
        <v>2191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3478</v>
      </c>
      <c r="C73" t="s">
        <v>3479</v>
      </c>
      <c r="D73" s="3">
        <v>37792</v>
      </c>
      <c r="E73" t="s">
        <v>1400</v>
      </c>
      <c r="G73" s="3">
        <v>45783</v>
      </c>
      <c r="H73" t="s">
        <v>3480</v>
      </c>
      <c r="J73" t="s">
        <v>1408</v>
      </c>
      <c r="K73" t="s">
        <v>61</v>
      </c>
      <c r="L73" s="3">
        <v>47629</v>
      </c>
      <c r="M73" s="3">
        <v>47538</v>
      </c>
      <c r="N73" t="s">
        <v>3481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3610</v>
      </c>
      <c r="C74" t="s">
        <v>2096</v>
      </c>
      <c r="D74" s="3">
        <v>34724</v>
      </c>
      <c r="E74" t="s">
        <v>1400</v>
      </c>
      <c r="G74" s="3">
        <v>45763</v>
      </c>
      <c r="H74" t="s">
        <v>2097</v>
      </c>
      <c r="J74" t="s">
        <v>1408</v>
      </c>
      <c r="K74" t="s">
        <v>61</v>
      </c>
      <c r="L74" s="3">
        <v>47611</v>
      </c>
      <c r="M74" s="3">
        <v>47561</v>
      </c>
      <c r="N74" t="s">
        <v>2098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1936</v>
      </c>
      <c r="C75" t="s">
        <v>1933</v>
      </c>
      <c r="D75" s="3">
        <v>26073</v>
      </c>
      <c r="E75" t="s">
        <v>1400</v>
      </c>
      <c r="G75" s="3">
        <v>45749</v>
      </c>
      <c r="H75" t="s">
        <v>1937</v>
      </c>
      <c r="J75" t="s">
        <v>1408</v>
      </c>
      <c r="K75" t="s">
        <v>64</v>
      </c>
      <c r="L75" s="3">
        <v>47594</v>
      </c>
      <c r="M75" s="3">
        <v>47503</v>
      </c>
      <c r="N75" t="s">
        <v>1938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2162</v>
      </c>
      <c r="C76" t="s">
        <v>2909</v>
      </c>
      <c r="D76" s="3">
        <v>25405</v>
      </c>
      <c r="E76" t="s">
        <v>1400</v>
      </c>
      <c r="G76" s="3">
        <v>45735</v>
      </c>
      <c r="H76" t="s">
        <v>2910</v>
      </c>
      <c r="J76" t="s">
        <v>1408</v>
      </c>
      <c r="K76" t="s">
        <v>58</v>
      </c>
      <c r="L76" s="3">
        <v>47581</v>
      </c>
      <c r="M76" s="3">
        <v>46817</v>
      </c>
      <c r="N76" t="s">
        <v>2911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2504</v>
      </c>
      <c r="C77" t="s">
        <v>2505</v>
      </c>
      <c r="D77" s="3">
        <v>31471</v>
      </c>
      <c r="E77" t="s">
        <v>1400</v>
      </c>
      <c r="G77" s="3">
        <v>45783</v>
      </c>
      <c r="H77" t="s">
        <v>2506</v>
      </c>
      <c r="J77" t="s">
        <v>1408</v>
      </c>
      <c r="K77" t="s">
        <v>70</v>
      </c>
      <c r="L77" s="3">
        <v>47628</v>
      </c>
      <c r="M77" s="3">
        <v>47524</v>
      </c>
      <c r="N77" t="s">
        <v>2507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2716</v>
      </c>
      <c r="C78" t="s">
        <v>2717</v>
      </c>
      <c r="D78" s="3">
        <v>37767</v>
      </c>
      <c r="E78" t="s">
        <v>1400</v>
      </c>
      <c r="G78" s="3">
        <v>45735</v>
      </c>
      <c r="H78" t="s">
        <v>2718</v>
      </c>
      <c r="J78" t="s">
        <v>1408</v>
      </c>
      <c r="K78" t="s">
        <v>64</v>
      </c>
      <c r="L78" s="3">
        <v>47582</v>
      </c>
      <c r="M78" s="3">
        <v>47538</v>
      </c>
      <c r="N78" t="s">
        <v>2719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1791</v>
      </c>
      <c r="C79" t="s">
        <v>1792</v>
      </c>
      <c r="D79" s="3">
        <v>32357</v>
      </c>
      <c r="E79" t="s">
        <v>1400</v>
      </c>
      <c r="G79" s="3">
        <v>45783</v>
      </c>
      <c r="H79" t="s">
        <v>1793</v>
      </c>
      <c r="J79" t="s">
        <v>1408</v>
      </c>
      <c r="K79" t="s">
        <v>55</v>
      </c>
      <c r="L79" s="3">
        <v>47628</v>
      </c>
      <c r="M79" s="3">
        <v>47518</v>
      </c>
      <c r="N79" t="s">
        <v>1794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1829</v>
      </c>
      <c r="C80" t="s">
        <v>1830</v>
      </c>
      <c r="D80" s="3">
        <v>24767</v>
      </c>
      <c r="E80" t="s">
        <v>1400</v>
      </c>
      <c r="G80" s="3">
        <v>45720</v>
      </c>
      <c r="H80" t="s">
        <v>1831</v>
      </c>
      <c r="J80" t="s">
        <v>1408</v>
      </c>
      <c r="K80" t="s">
        <v>55</v>
      </c>
      <c r="L80" s="3">
        <v>47562</v>
      </c>
      <c r="M80" s="3">
        <v>47533</v>
      </c>
      <c r="N80" t="s">
        <v>1832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2032</v>
      </c>
      <c r="C81" t="s">
        <v>2033</v>
      </c>
      <c r="D81" s="3">
        <v>33204</v>
      </c>
      <c r="E81" t="s">
        <v>1400</v>
      </c>
      <c r="G81" s="3">
        <v>45770</v>
      </c>
      <c r="H81" t="s">
        <v>2034</v>
      </c>
      <c r="J81" t="s">
        <v>1408</v>
      </c>
      <c r="K81" t="s">
        <v>55</v>
      </c>
      <c r="L81" s="3">
        <v>47050</v>
      </c>
      <c r="M81" s="3">
        <v>47044</v>
      </c>
      <c r="N81" t="s">
        <v>2035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1420</v>
      </c>
      <c r="C82" t="s">
        <v>1421</v>
      </c>
      <c r="D82" s="3">
        <v>24023</v>
      </c>
      <c r="E82" t="s">
        <v>1400</v>
      </c>
      <c r="G82" s="3">
        <v>45749</v>
      </c>
      <c r="H82" t="s">
        <v>1422</v>
      </c>
      <c r="J82" t="s">
        <v>1408</v>
      </c>
      <c r="K82" t="s">
        <v>64</v>
      </c>
      <c r="L82" s="3">
        <v>47596</v>
      </c>
      <c r="M82" s="3">
        <v>47504</v>
      </c>
      <c r="N82" t="s">
        <v>1423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3231</v>
      </c>
      <c r="C83" t="s">
        <v>1355</v>
      </c>
      <c r="D83" s="3">
        <v>31677</v>
      </c>
      <c r="E83" t="s">
        <v>1400</v>
      </c>
      <c r="G83" s="3">
        <v>45735</v>
      </c>
      <c r="H83" t="s">
        <v>3232</v>
      </c>
      <c r="J83" t="s">
        <v>1942</v>
      </c>
      <c r="K83" t="s">
        <v>61</v>
      </c>
      <c r="L83" s="3">
        <v>47115</v>
      </c>
      <c r="M83" s="3">
        <v>47015</v>
      </c>
      <c r="N83" t="s">
        <v>3233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3286</v>
      </c>
      <c r="C84" t="s">
        <v>3287</v>
      </c>
      <c r="D84" s="3">
        <v>31115</v>
      </c>
      <c r="E84" t="s">
        <v>1400</v>
      </c>
      <c r="G84" s="3">
        <v>45720</v>
      </c>
      <c r="H84" t="s">
        <v>3288</v>
      </c>
      <c r="J84" t="s">
        <v>1408</v>
      </c>
      <c r="K84" t="s">
        <v>64</v>
      </c>
      <c r="L84" s="3">
        <v>1</v>
      </c>
      <c r="M84" s="3">
        <v>1</v>
      </c>
      <c r="N84" t="s">
        <v>3289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3327</v>
      </c>
      <c r="C85" t="s">
        <v>3328</v>
      </c>
      <c r="D85" s="3">
        <v>35076</v>
      </c>
      <c r="E85" t="s">
        <v>1400</v>
      </c>
      <c r="G85" s="3">
        <v>45720</v>
      </c>
      <c r="H85" t="s">
        <v>3329</v>
      </c>
      <c r="J85" t="s">
        <v>1408</v>
      </c>
      <c r="K85" t="s">
        <v>61</v>
      </c>
      <c r="L85" s="3">
        <v>47562</v>
      </c>
      <c r="M85" s="3">
        <v>47456</v>
      </c>
      <c r="N85" t="s">
        <v>3330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2044</v>
      </c>
      <c r="C86" t="s">
        <v>2045</v>
      </c>
      <c r="D86" s="3">
        <v>28837</v>
      </c>
      <c r="E86" t="s">
        <v>1400</v>
      </c>
      <c r="G86" s="3">
        <v>45735</v>
      </c>
      <c r="H86" t="s">
        <v>2046</v>
      </c>
      <c r="J86" t="s">
        <v>1408</v>
      </c>
      <c r="K86" t="s">
        <v>55</v>
      </c>
      <c r="L86" s="3">
        <v>47579</v>
      </c>
      <c r="M86" s="3">
        <v>47460</v>
      </c>
      <c r="N86" t="s">
        <v>2047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1611</v>
      </c>
      <c r="C87" t="s">
        <v>1612</v>
      </c>
      <c r="D87" s="3">
        <v>37981</v>
      </c>
      <c r="E87" t="s">
        <v>1400</v>
      </c>
      <c r="G87" s="3">
        <v>45677</v>
      </c>
      <c r="H87" t="s">
        <v>1613</v>
      </c>
      <c r="J87" t="s">
        <v>1408</v>
      </c>
      <c r="K87" t="s">
        <v>61</v>
      </c>
      <c r="L87" s="3">
        <v>47520</v>
      </c>
      <c r="M87" s="3">
        <v>47449</v>
      </c>
      <c r="N87" t="s">
        <v>1614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1561</v>
      </c>
      <c r="C88" t="s">
        <v>1558</v>
      </c>
      <c r="D88" s="3">
        <v>25272</v>
      </c>
      <c r="E88" t="s">
        <v>1400</v>
      </c>
      <c r="G88" s="3">
        <v>45663</v>
      </c>
      <c r="H88" t="s">
        <v>1562</v>
      </c>
      <c r="J88" t="s">
        <v>1408</v>
      </c>
      <c r="K88" t="s">
        <v>58</v>
      </c>
      <c r="L88" s="3">
        <v>47506</v>
      </c>
      <c r="M88" s="3">
        <v>47449</v>
      </c>
      <c r="N88" t="s">
        <v>1563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1909</v>
      </c>
      <c r="C89" t="s">
        <v>1231</v>
      </c>
      <c r="D89" s="3">
        <v>35947</v>
      </c>
      <c r="E89" t="s">
        <v>1400</v>
      </c>
      <c r="G89" s="3">
        <v>45692</v>
      </c>
      <c r="H89" t="s">
        <v>1910</v>
      </c>
      <c r="J89" t="s">
        <v>1408</v>
      </c>
      <c r="K89" t="s">
        <v>55</v>
      </c>
      <c r="L89" s="3">
        <v>47538</v>
      </c>
      <c r="M89" s="3">
        <v>47407</v>
      </c>
      <c r="N89" t="s">
        <v>1911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1604</v>
      </c>
      <c r="C90" t="s">
        <v>1605</v>
      </c>
      <c r="D90" s="3">
        <v>35443</v>
      </c>
      <c r="E90" t="s">
        <v>1400</v>
      </c>
      <c r="G90" s="3">
        <v>45673</v>
      </c>
      <c r="H90" t="s">
        <v>3611</v>
      </c>
      <c r="J90" t="s">
        <v>1408</v>
      </c>
      <c r="K90" t="s">
        <v>61</v>
      </c>
      <c r="L90" s="3">
        <v>47050</v>
      </c>
      <c r="M90" s="3">
        <v>46973</v>
      </c>
      <c r="N90" t="s">
        <v>1606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2571</v>
      </c>
      <c r="C91" t="s">
        <v>2572</v>
      </c>
      <c r="D91" s="3">
        <v>34983</v>
      </c>
      <c r="E91" t="s">
        <v>1400</v>
      </c>
      <c r="G91" s="3">
        <v>45663</v>
      </c>
      <c r="H91" t="s">
        <v>2573</v>
      </c>
      <c r="J91" t="s">
        <v>1408</v>
      </c>
      <c r="K91" t="s">
        <v>58</v>
      </c>
      <c r="L91" s="3">
        <v>46391</v>
      </c>
      <c r="M91" s="3">
        <v>46389</v>
      </c>
      <c r="N91" t="s">
        <v>2574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2074</v>
      </c>
      <c r="C92" t="s">
        <v>2075</v>
      </c>
      <c r="D92" s="3">
        <v>36719</v>
      </c>
      <c r="E92" t="s">
        <v>1400</v>
      </c>
      <c r="G92" s="3">
        <v>45618</v>
      </c>
      <c r="H92" t="s">
        <v>2076</v>
      </c>
      <c r="J92" t="s">
        <v>1408</v>
      </c>
      <c r="K92" t="s">
        <v>61</v>
      </c>
      <c r="L92" s="3">
        <v>47462</v>
      </c>
      <c r="M92" s="3">
        <v>47433</v>
      </c>
      <c r="N92" t="s">
        <v>2077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1465</v>
      </c>
      <c r="C93" t="s">
        <v>1466</v>
      </c>
      <c r="D93" s="3">
        <v>36623</v>
      </c>
      <c r="E93" t="s">
        <v>1400</v>
      </c>
      <c r="G93" s="3">
        <v>45663</v>
      </c>
      <c r="H93" t="s">
        <v>1467</v>
      </c>
      <c r="J93" t="s">
        <v>1408</v>
      </c>
      <c r="K93" t="s">
        <v>52</v>
      </c>
      <c r="L93" s="3">
        <v>47506</v>
      </c>
      <c r="M93" s="3">
        <v>47407</v>
      </c>
      <c r="N93" t="s">
        <v>1468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3301</v>
      </c>
      <c r="C94" t="s">
        <v>1372</v>
      </c>
      <c r="D94" s="3">
        <v>27424</v>
      </c>
      <c r="E94" t="s">
        <v>1400</v>
      </c>
      <c r="G94" s="3">
        <v>45603</v>
      </c>
      <c r="H94" t="s">
        <v>3302</v>
      </c>
      <c r="J94" t="s">
        <v>1408</v>
      </c>
      <c r="K94" t="s">
        <v>52</v>
      </c>
      <c r="L94" s="3">
        <v>47448</v>
      </c>
      <c r="M94" s="3">
        <v>47407</v>
      </c>
      <c r="N94" t="s">
        <v>3303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2617</v>
      </c>
      <c r="C95" t="s">
        <v>2618</v>
      </c>
      <c r="D95" s="3">
        <v>28323</v>
      </c>
      <c r="E95" t="s">
        <v>1400</v>
      </c>
      <c r="G95" s="3">
        <v>45603</v>
      </c>
      <c r="H95" t="s">
        <v>2619</v>
      </c>
      <c r="J95" t="s">
        <v>1408</v>
      </c>
      <c r="K95" t="s">
        <v>52</v>
      </c>
      <c r="L95" s="3">
        <v>47448</v>
      </c>
      <c r="M95" s="3">
        <v>47407</v>
      </c>
      <c r="N95" t="s">
        <v>2620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3040</v>
      </c>
      <c r="C96" t="s">
        <v>3037</v>
      </c>
      <c r="D96" s="3">
        <v>25087</v>
      </c>
      <c r="E96" t="s">
        <v>1400</v>
      </c>
      <c r="G96" s="3">
        <v>45616</v>
      </c>
      <c r="H96" t="s">
        <v>3041</v>
      </c>
      <c r="J96" t="s">
        <v>1408</v>
      </c>
      <c r="K96" t="s">
        <v>52</v>
      </c>
      <c r="L96" s="3">
        <v>46896</v>
      </c>
      <c r="M96" s="3">
        <v>46165</v>
      </c>
      <c r="N96" t="s">
        <v>3042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1731</v>
      </c>
      <c r="C97" t="s">
        <v>1732</v>
      </c>
      <c r="D97" s="3">
        <v>35419</v>
      </c>
      <c r="E97" t="s">
        <v>1400</v>
      </c>
      <c r="G97" s="3">
        <v>45618</v>
      </c>
      <c r="H97" t="s">
        <v>1733</v>
      </c>
      <c r="J97" t="s">
        <v>1408</v>
      </c>
      <c r="K97" t="s">
        <v>52</v>
      </c>
      <c r="L97" s="3">
        <v>47463</v>
      </c>
      <c r="M97" s="3">
        <v>47364</v>
      </c>
      <c r="N97" t="s">
        <v>1734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3008</v>
      </c>
      <c r="C98" t="s">
        <v>3009</v>
      </c>
      <c r="D98" s="3">
        <v>29089</v>
      </c>
      <c r="E98" t="s">
        <v>1400</v>
      </c>
      <c r="G98" s="3">
        <v>45574</v>
      </c>
      <c r="H98" t="s">
        <v>3010</v>
      </c>
      <c r="J98" t="s">
        <v>1408</v>
      </c>
      <c r="K98" t="s">
        <v>52</v>
      </c>
      <c r="L98" s="3">
        <v>47418</v>
      </c>
      <c r="M98" s="3">
        <v>47379</v>
      </c>
      <c r="N98" t="s">
        <v>3011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1633</v>
      </c>
      <c r="C99" t="s">
        <v>1634</v>
      </c>
      <c r="D99" s="3">
        <v>32903</v>
      </c>
      <c r="E99" t="s">
        <v>1400</v>
      </c>
      <c r="G99" s="3">
        <v>45603</v>
      </c>
      <c r="H99" t="s">
        <v>1635</v>
      </c>
      <c r="J99" t="s">
        <v>1408</v>
      </c>
      <c r="K99" t="s">
        <v>52</v>
      </c>
      <c r="L99" s="3">
        <v>47450</v>
      </c>
      <c r="M99" s="3">
        <v>47386</v>
      </c>
      <c r="N99" t="s">
        <v>1636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3335</v>
      </c>
      <c r="C100" t="s">
        <v>3336</v>
      </c>
      <c r="D100" s="3">
        <v>37647</v>
      </c>
      <c r="E100" t="s">
        <v>1400</v>
      </c>
      <c r="G100" s="3">
        <v>45588</v>
      </c>
      <c r="H100" t="s">
        <v>3337</v>
      </c>
      <c r="J100" t="s">
        <v>1408</v>
      </c>
      <c r="K100" t="s">
        <v>52</v>
      </c>
      <c r="L100" s="3">
        <v>47435</v>
      </c>
      <c r="M100" s="3">
        <v>47379</v>
      </c>
      <c r="N100" t="s">
        <v>3338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2364</v>
      </c>
      <c r="C101" t="s">
        <v>2365</v>
      </c>
      <c r="D101" s="3">
        <v>36725</v>
      </c>
      <c r="E101" t="s">
        <v>1400</v>
      </c>
      <c r="G101" s="3">
        <v>45559</v>
      </c>
      <c r="H101" t="s">
        <v>2366</v>
      </c>
      <c r="J101" t="s">
        <v>1408</v>
      </c>
      <c r="K101" t="s">
        <v>58</v>
      </c>
      <c r="L101" s="3">
        <v>47404</v>
      </c>
      <c r="M101" s="3">
        <v>47371</v>
      </c>
      <c r="N101" t="s">
        <v>2367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1434</v>
      </c>
      <c r="C102" t="s">
        <v>1435</v>
      </c>
      <c r="D102" s="3">
        <v>27187</v>
      </c>
      <c r="E102" t="s">
        <v>1400</v>
      </c>
      <c r="G102" s="3">
        <v>45574</v>
      </c>
      <c r="H102" t="s">
        <v>1436</v>
      </c>
      <c r="J102" t="s">
        <v>1408</v>
      </c>
      <c r="K102" t="s">
        <v>58</v>
      </c>
      <c r="L102" s="3">
        <v>47418</v>
      </c>
      <c r="M102" s="3">
        <v>47371</v>
      </c>
      <c r="N102" t="s">
        <v>1437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1878</v>
      </c>
      <c r="C103" t="s">
        <v>2238</v>
      </c>
      <c r="D103" s="3">
        <v>37138</v>
      </c>
      <c r="E103" t="s">
        <v>1400</v>
      </c>
      <c r="G103" s="3">
        <v>45544</v>
      </c>
      <c r="H103" t="s">
        <v>2239</v>
      </c>
      <c r="J103" t="s">
        <v>1408</v>
      </c>
      <c r="K103" t="s">
        <v>67</v>
      </c>
      <c r="L103" s="3">
        <v>47390</v>
      </c>
      <c r="M103" s="3">
        <v>47357</v>
      </c>
      <c r="N103" t="s">
        <v>2240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1743</v>
      </c>
      <c r="C104" t="s">
        <v>1744</v>
      </c>
      <c r="D104" s="3">
        <v>37866</v>
      </c>
      <c r="E104" t="s">
        <v>1400</v>
      </c>
      <c r="G104" s="3">
        <v>45530</v>
      </c>
      <c r="H104" t="s">
        <v>1745</v>
      </c>
      <c r="J104" t="s">
        <v>1408</v>
      </c>
      <c r="K104" t="s">
        <v>64</v>
      </c>
      <c r="L104" s="3">
        <v>47373</v>
      </c>
      <c r="M104" s="3">
        <v>47348</v>
      </c>
      <c r="N104" t="s">
        <v>1746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2102</v>
      </c>
      <c r="C105" t="s">
        <v>2103</v>
      </c>
      <c r="D105" s="3">
        <v>31961</v>
      </c>
      <c r="E105" t="s">
        <v>1400</v>
      </c>
      <c r="G105" s="3">
        <v>45530</v>
      </c>
      <c r="H105" t="s">
        <v>2104</v>
      </c>
      <c r="J105" t="s">
        <v>1408</v>
      </c>
      <c r="K105" t="s">
        <v>52</v>
      </c>
      <c r="L105" s="3">
        <v>47463</v>
      </c>
      <c r="M105" s="3">
        <v>46678</v>
      </c>
      <c r="N105" t="s">
        <v>2105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3269</v>
      </c>
      <c r="C106" t="s">
        <v>3270</v>
      </c>
      <c r="D106" s="3">
        <v>37705</v>
      </c>
      <c r="E106" t="s">
        <v>1400</v>
      </c>
      <c r="G106" s="3">
        <v>45530</v>
      </c>
      <c r="H106" t="s">
        <v>3271</v>
      </c>
      <c r="I106">
        <v>497579525</v>
      </c>
      <c r="J106" t="s">
        <v>1408</v>
      </c>
      <c r="K106" t="s">
        <v>52</v>
      </c>
      <c r="L106" s="3">
        <v>47372</v>
      </c>
      <c r="M106" s="3">
        <v>47303</v>
      </c>
      <c r="N106" t="s">
        <v>3272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3490</v>
      </c>
      <c r="C107" t="s">
        <v>3491</v>
      </c>
      <c r="D107" s="3">
        <v>29961</v>
      </c>
      <c r="E107" t="s">
        <v>1400</v>
      </c>
      <c r="G107" s="3">
        <v>45544</v>
      </c>
      <c r="H107" t="s">
        <v>3492</v>
      </c>
      <c r="J107" t="s">
        <v>1408</v>
      </c>
      <c r="K107" t="s">
        <v>58</v>
      </c>
      <c r="L107" s="3">
        <v>47391</v>
      </c>
      <c r="M107" s="3">
        <v>47294</v>
      </c>
      <c r="N107" t="s">
        <v>3493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1799</v>
      </c>
      <c r="C108" t="s">
        <v>1800</v>
      </c>
      <c r="D108" s="3">
        <v>31148</v>
      </c>
      <c r="E108" t="s">
        <v>1400</v>
      </c>
      <c r="G108" s="3">
        <v>45538</v>
      </c>
      <c r="H108" t="s">
        <v>1801</v>
      </c>
      <c r="J108" t="s">
        <v>1408</v>
      </c>
      <c r="K108" t="s">
        <v>64</v>
      </c>
      <c r="L108" s="3">
        <v>46847</v>
      </c>
      <c r="M108" s="3">
        <v>46684</v>
      </c>
      <c r="N108" t="s">
        <v>1802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1489</v>
      </c>
      <c r="C109" t="s">
        <v>1474</v>
      </c>
      <c r="D109" s="3">
        <v>27082</v>
      </c>
      <c r="E109" t="s">
        <v>1400</v>
      </c>
      <c r="G109" s="3">
        <v>45498</v>
      </c>
      <c r="H109" t="s">
        <v>1490</v>
      </c>
      <c r="J109" t="s">
        <v>1408</v>
      </c>
      <c r="K109" t="s">
        <v>64</v>
      </c>
      <c r="L109" s="3">
        <v>47342</v>
      </c>
      <c r="M109" s="3">
        <v>47303</v>
      </c>
      <c r="N109" t="s">
        <v>1491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2678</v>
      </c>
      <c r="C110" t="s">
        <v>2679</v>
      </c>
      <c r="D110" s="3">
        <v>33523</v>
      </c>
      <c r="E110" t="s">
        <v>1400</v>
      </c>
      <c r="G110" s="3">
        <v>45498</v>
      </c>
      <c r="H110" t="s">
        <v>3612</v>
      </c>
      <c r="J110" t="s">
        <v>1408</v>
      </c>
      <c r="K110" t="s">
        <v>55</v>
      </c>
      <c r="L110" s="3">
        <v>47342</v>
      </c>
      <c r="M110" s="3">
        <v>47594</v>
      </c>
      <c r="N110" t="s">
        <v>2680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1553</v>
      </c>
      <c r="C111" t="s">
        <v>1554</v>
      </c>
      <c r="D111" s="3">
        <v>34859</v>
      </c>
      <c r="E111" t="s">
        <v>1400</v>
      </c>
      <c r="G111" s="3">
        <v>45484</v>
      </c>
      <c r="H111" t="s">
        <v>1555</v>
      </c>
      <c r="J111" t="s">
        <v>1408</v>
      </c>
      <c r="K111" t="s">
        <v>55</v>
      </c>
      <c r="L111" s="3">
        <v>47329</v>
      </c>
      <c r="M111" s="3">
        <v>47300</v>
      </c>
      <c r="N111" t="s">
        <v>1556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1981</v>
      </c>
      <c r="C112" t="s">
        <v>2822</v>
      </c>
      <c r="D112" s="3">
        <v>36483</v>
      </c>
      <c r="E112" t="s">
        <v>1400</v>
      </c>
      <c r="G112" s="3">
        <v>45470</v>
      </c>
      <c r="H112" t="s">
        <v>2823</v>
      </c>
      <c r="J112" t="s">
        <v>1408</v>
      </c>
      <c r="K112" t="s">
        <v>58</v>
      </c>
      <c r="L112" s="3">
        <v>47314</v>
      </c>
      <c r="M112" s="3">
        <v>47314</v>
      </c>
      <c r="N112" t="s">
        <v>2824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2644</v>
      </c>
      <c r="C113" t="s">
        <v>2645</v>
      </c>
      <c r="D113" s="3">
        <v>34393</v>
      </c>
      <c r="E113" t="s">
        <v>1400</v>
      </c>
      <c r="G113" s="3">
        <v>45544</v>
      </c>
      <c r="H113" t="s">
        <v>2646</v>
      </c>
      <c r="J113" t="s">
        <v>1408</v>
      </c>
      <c r="K113" t="s">
        <v>70</v>
      </c>
      <c r="L113" s="3">
        <v>47390</v>
      </c>
      <c r="M113" s="3">
        <v>47267</v>
      </c>
      <c r="N113" t="s">
        <v>2647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3027</v>
      </c>
      <c r="C114" t="s">
        <v>3028</v>
      </c>
      <c r="D114" s="3">
        <v>34274</v>
      </c>
      <c r="E114" t="s">
        <v>1400</v>
      </c>
      <c r="G114" s="3">
        <v>45456</v>
      </c>
      <c r="H114" t="s">
        <v>3029</v>
      </c>
      <c r="J114" t="s">
        <v>1408</v>
      </c>
      <c r="K114" t="s">
        <v>73</v>
      </c>
      <c r="L114" s="3">
        <v>47300</v>
      </c>
      <c r="M114" s="3">
        <v>47272</v>
      </c>
      <c r="N114" t="s">
        <v>3030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2332</v>
      </c>
      <c r="C115" t="s">
        <v>2333</v>
      </c>
      <c r="D115" s="3">
        <v>27167</v>
      </c>
      <c r="E115" t="s">
        <v>1400</v>
      </c>
      <c r="G115" s="3">
        <v>45450</v>
      </c>
      <c r="H115" t="s">
        <v>2334</v>
      </c>
      <c r="J115" t="s">
        <v>1408</v>
      </c>
      <c r="K115" t="s">
        <v>52</v>
      </c>
      <c r="L115" s="3">
        <v>47286</v>
      </c>
      <c r="M115" s="3">
        <v>47267</v>
      </c>
      <c r="N115" t="s">
        <v>2335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2383</v>
      </c>
      <c r="C116" t="s">
        <v>2384</v>
      </c>
      <c r="D116" s="3">
        <v>31306</v>
      </c>
      <c r="E116" t="s">
        <v>1400</v>
      </c>
      <c r="G116" s="3">
        <v>45464</v>
      </c>
      <c r="H116" t="s">
        <v>2385</v>
      </c>
      <c r="J116" t="s">
        <v>1408</v>
      </c>
      <c r="K116" t="s">
        <v>55</v>
      </c>
      <c r="L116" s="3">
        <v>47300</v>
      </c>
      <c r="M116" s="3">
        <v>47243</v>
      </c>
      <c r="N116" t="s">
        <v>2386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3399</v>
      </c>
      <c r="C117" t="s">
        <v>3400</v>
      </c>
      <c r="D117" s="3">
        <v>31462</v>
      </c>
      <c r="E117" t="s">
        <v>1400</v>
      </c>
      <c r="G117" s="3">
        <v>45419</v>
      </c>
      <c r="H117" t="s">
        <v>3401</v>
      </c>
      <c r="J117" t="s">
        <v>1408</v>
      </c>
      <c r="K117" t="s">
        <v>73</v>
      </c>
      <c r="L117" s="3">
        <v>46281</v>
      </c>
      <c r="M117" s="3">
        <v>46244</v>
      </c>
      <c r="N117" t="s">
        <v>3402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2313</v>
      </c>
      <c r="C118" t="s">
        <v>2314</v>
      </c>
      <c r="D118" s="3">
        <v>36922</v>
      </c>
      <c r="E118" t="s">
        <v>1400</v>
      </c>
      <c r="G118" s="3">
        <v>45427</v>
      </c>
      <c r="H118" t="s">
        <v>2315</v>
      </c>
      <c r="J118" t="s">
        <v>1408</v>
      </c>
      <c r="K118" t="s">
        <v>61</v>
      </c>
      <c r="L118" s="3">
        <v>47273</v>
      </c>
      <c r="M118" s="3">
        <v>47230</v>
      </c>
      <c r="N118" t="s">
        <v>2316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3395</v>
      </c>
      <c r="C119" t="s">
        <v>3396</v>
      </c>
      <c r="D119" s="3">
        <v>36547</v>
      </c>
      <c r="E119" t="s">
        <v>1400</v>
      </c>
      <c r="G119" s="3">
        <v>45442</v>
      </c>
      <c r="H119" t="s">
        <v>3397</v>
      </c>
      <c r="J119" t="s">
        <v>1408</v>
      </c>
      <c r="K119" t="s">
        <v>55</v>
      </c>
      <c r="L119" s="3">
        <v>47286</v>
      </c>
      <c r="M119" s="3">
        <v>47222</v>
      </c>
      <c r="N119" t="s">
        <v>3398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2750</v>
      </c>
      <c r="C120" t="s">
        <v>2751</v>
      </c>
      <c r="D120" s="3">
        <v>29573</v>
      </c>
      <c r="E120" t="s">
        <v>1400</v>
      </c>
      <c r="G120" s="3">
        <v>45408</v>
      </c>
      <c r="H120" t="s">
        <v>2752</v>
      </c>
      <c r="J120" t="s">
        <v>1408</v>
      </c>
      <c r="K120" t="s">
        <v>70</v>
      </c>
      <c r="L120" s="3">
        <v>47258</v>
      </c>
      <c r="M120" s="3">
        <v>47225</v>
      </c>
      <c r="N120" t="s">
        <v>2753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1981</v>
      </c>
      <c r="C121" t="s">
        <v>2814</v>
      </c>
      <c r="D121" s="3">
        <v>34034</v>
      </c>
      <c r="E121" t="s">
        <v>1400</v>
      </c>
      <c r="G121" s="3">
        <v>45408</v>
      </c>
      <c r="H121" t="s">
        <v>2815</v>
      </c>
      <c r="J121" t="s">
        <v>1408</v>
      </c>
      <c r="K121" t="s">
        <v>70</v>
      </c>
      <c r="L121" s="3">
        <v>47253</v>
      </c>
      <c r="M121" s="3">
        <v>47225</v>
      </c>
      <c r="N121" t="s">
        <v>2816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2336</v>
      </c>
      <c r="C122" t="s">
        <v>2333</v>
      </c>
      <c r="D122" s="3">
        <v>37624</v>
      </c>
      <c r="E122" t="s">
        <v>1400</v>
      </c>
      <c r="G122" s="3">
        <v>45408</v>
      </c>
      <c r="H122" t="s">
        <v>2337</v>
      </c>
      <c r="J122" t="s">
        <v>1408</v>
      </c>
      <c r="K122" t="s">
        <v>55</v>
      </c>
      <c r="L122" s="3">
        <v>47245</v>
      </c>
      <c r="M122" s="3">
        <v>47225</v>
      </c>
      <c r="N122" t="s">
        <v>2338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1972</v>
      </c>
      <c r="C123" t="s">
        <v>1973</v>
      </c>
      <c r="D123" s="3">
        <v>20716</v>
      </c>
      <c r="E123" t="s">
        <v>1400</v>
      </c>
      <c r="G123" s="3">
        <v>45407</v>
      </c>
      <c r="H123" t="s">
        <v>1974</v>
      </c>
      <c r="J123" t="s">
        <v>1975</v>
      </c>
      <c r="K123" t="s">
        <v>73</v>
      </c>
      <c r="L123" s="3">
        <v>1</v>
      </c>
      <c r="M123" s="3">
        <v>1</v>
      </c>
      <c r="N123" t="s">
        <v>1976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2956</v>
      </c>
      <c r="C124" t="s">
        <v>2953</v>
      </c>
      <c r="D124" s="3">
        <v>20536</v>
      </c>
      <c r="E124" t="s">
        <v>1400</v>
      </c>
      <c r="G124" s="3">
        <v>45407</v>
      </c>
      <c r="J124" t="s">
        <v>1975</v>
      </c>
      <c r="K124" t="s">
        <v>73</v>
      </c>
      <c r="L124" s="3">
        <v>1</v>
      </c>
      <c r="M124" s="3">
        <v>1</v>
      </c>
      <c r="N124" t="s">
        <v>2957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2462</v>
      </c>
      <c r="C125" t="s">
        <v>2463</v>
      </c>
      <c r="D125" s="3">
        <v>37300</v>
      </c>
      <c r="E125" t="s">
        <v>1400</v>
      </c>
      <c r="G125" s="3">
        <v>45408</v>
      </c>
      <c r="H125" t="s">
        <v>2464</v>
      </c>
      <c r="J125" t="s">
        <v>1408</v>
      </c>
      <c r="K125" t="s">
        <v>67</v>
      </c>
      <c r="L125" s="3">
        <v>47259</v>
      </c>
      <c r="M125" s="3">
        <v>47216</v>
      </c>
      <c r="N125" t="s">
        <v>2465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2220</v>
      </c>
      <c r="C126" t="s">
        <v>2221</v>
      </c>
      <c r="D126" s="3">
        <v>28898</v>
      </c>
      <c r="E126" t="s">
        <v>1400</v>
      </c>
      <c r="G126" s="3">
        <v>45481</v>
      </c>
      <c r="H126" t="s">
        <v>2222</v>
      </c>
      <c r="J126" t="s">
        <v>1408</v>
      </c>
      <c r="K126" t="s">
        <v>52</v>
      </c>
      <c r="L126" s="3">
        <v>45959</v>
      </c>
      <c r="M126" s="3">
        <v>45923</v>
      </c>
      <c r="N126" t="s">
        <v>2223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2854</v>
      </c>
      <c r="C127" t="s">
        <v>2855</v>
      </c>
      <c r="D127" s="3">
        <v>25646</v>
      </c>
      <c r="E127" t="s">
        <v>1400</v>
      </c>
      <c r="G127" s="3">
        <v>45478</v>
      </c>
      <c r="H127" t="s">
        <v>2856</v>
      </c>
      <c r="J127" t="s">
        <v>1408</v>
      </c>
      <c r="K127" t="s">
        <v>52</v>
      </c>
      <c r="L127" s="3">
        <v>46733</v>
      </c>
      <c r="M127" s="3">
        <v>46040</v>
      </c>
      <c r="N127" t="s">
        <v>2857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2934</v>
      </c>
      <c r="C128" t="s">
        <v>2935</v>
      </c>
      <c r="D128" s="3">
        <v>35772</v>
      </c>
      <c r="E128" t="s">
        <v>1400</v>
      </c>
      <c r="G128" s="3">
        <v>45408</v>
      </c>
      <c r="H128" t="s">
        <v>2936</v>
      </c>
      <c r="J128" t="s">
        <v>1408</v>
      </c>
      <c r="K128" t="s">
        <v>52</v>
      </c>
      <c r="L128" s="3">
        <v>47258</v>
      </c>
      <c r="M128" s="3">
        <v>47204</v>
      </c>
      <c r="N128" t="s">
        <v>2937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3185</v>
      </c>
      <c r="C129" t="s">
        <v>1723</v>
      </c>
      <c r="D129" s="3">
        <v>28613</v>
      </c>
      <c r="E129" t="s">
        <v>1400</v>
      </c>
      <c r="G129" s="3">
        <v>45394</v>
      </c>
      <c r="H129" t="s">
        <v>3186</v>
      </c>
      <c r="J129" t="s">
        <v>1942</v>
      </c>
      <c r="K129" t="s">
        <v>64</v>
      </c>
      <c r="L129" s="3">
        <v>47239</v>
      </c>
      <c r="M129" s="3">
        <v>47201</v>
      </c>
      <c r="N129" t="s">
        <v>3187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3346</v>
      </c>
      <c r="C130" t="s">
        <v>3347</v>
      </c>
      <c r="D130" s="3">
        <v>33604</v>
      </c>
      <c r="E130" t="s">
        <v>1400</v>
      </c>
      <c r="G130" s="3">
        <v>45404</v>
      </c>
      <c r="H130" t="s">
        <v>3348</v>
      </c>
      <c r="J130" t="s">
        <v>1408</v>
      </c>
      <c r="K130" t="s">
        <v>61</v>
      </c>
      <c r="L130" s="3">
        <v>47504</v>
      </c>
      <c r="M130" s="3">
        <v>47498</v>
      </c>
      <c r="N130" t="s">
        <v>3349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2897</v>
      </c>
      <c r="C131" t="s">
        <v>2898</v>
      </c>
      <c r="D131" s="3">
        <v>30353</v>
      </c>
      <c r="E131" t="s">
        <v>1400</v>
      </c>
      <c r="G131" s="3">
        <v>45378</v>
      </c>
      <c r="H131" t="s">
        <v>2899</v>
      </c>
      <c r="J131" t="s">
        <v>1408</v>
      </c>
      <c r="K131" t="s">
        <v>61</v>
      </c>
      <c r="L131" s="3">
        <v>47229</v>
      </c>
      <c r="M131" s="3">
        <v>47167</v>
      </c>
      <c r="N131" t="s">
        <v>2900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1443</v>
      </c>
      <c r="C132" t="s">
        <v>1444</v>
      </c>
      <c r="D132" s="3">
        <v>35989</v>
      </c>
      <c r="E132" t="s">
        <v>1400</v>
      </c>
      <c r="G132" s="3">
        <v>45394</v>
      </c>
      <c r="H132" t="s">
        <v>1445</v>
      </c>
      <c r="J132" t="s">
        <v>1446</v>
      </c>
      <c r="K132" t="s">
        <v>61</v>
      </c>
      <c r="L132" s="3">
        <v>47239</v>
      </c>
      <c r="M132" s="3">
        <v>47143</v>
      </c>
      <c r="N132" t="s">
        <v>1447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2563</v>
      </c>
      <c r="C133" t="s">
        <v>2564</v>
      </c>
      <c r="D133" s="3">
        <v>32793</v>
      </c>
      <c r="E133" t="s">
        <v>1400</v>
      </c>
      <c r="G133" s="3">
        <v>45364</v>
      </c>
      <c r="H133" t="s">
        <v>2565</v>
      </c>
      <c r="J133" t="s">
        <v>1408</v>
      </c>
      <c r="K133" t="s">
        <v>61</v>
      </c>
      <c r="L133" s="3">
        <v>47224</v>
      </c>
      <c r="M133" s="3">
        <v>47167</v>
      </c>
      <c r="N133" t="s">
        <v>2566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3245</v>
      </c>
      <c r="C134" t="s">
        <v>3246</v>
      </c>
      <c r="D134" s="3">
        <v>35832</v>
      </c>
      <c r="E134" t="s">
        <v>1400</v>
      </c>
      <c r="G134" s="3">
        <v>45349</v>
      </c>
      <c r="H134" t="s">
        <v>3247</v>
      </c>
      <c r="J134" t="s">
        <v>1408</v>
      </c>
      <c r="K134" t="s">
        <v>52</v>
      </c>
      <c r="L134" s="3">
        <v>47194</v>
      </c>
      <c r="M134" s="3">
        <v>47168</v>
      </c>
      <c r="N134" t="s">
        <v>3248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1707</v>
      </c>
      <c r="C135" t="s">
        <v>1708</v>
      </c>
      <c r="D135" s="3">
        <v>35955</v>
      </c>
      <c r="E135" t="s">
        <v>1400</v>
      </c>
      <c r="G135" s="3">
        <v>45349</v>
      </c>
      <c r="H135" t="s">
        <v>1709</v>
      </c>
      <c r="J135" t="s">
        <v>1408</v>
      </c>
      <c r="K135" t="s">
        <v>52</v>
      </c>
      <c r="L135" s="3">
        <v>47194</v>
      </c>
      <c r="M135" s="3">
        <v>47161</v>
      </c>
      <c r="N135" t="s">
        <v>1710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3109</v>
      </c>
      <c r="C136" t="s">
        <v>3343</v>
      </c>
      <c r="D136" s="3">
        <v>37879</v>
      </c>
      <c r="E136" t="s">
        <v>1400</v>
      </c>
      <c r="G136" s="3">
        <v>45378</v>
      </c>
      <c r="H136" t="s">
        <v>3344</v>
      </c>
      <c r="J136" t="s">
        <v>1408</v>
      </c>
      <c r="K136" t="s">
        <v>52</v>
      </c>
      <c r="L136" s="3">
        <v>47224</v>
      </c>
      <c r="M136" s="3">
        <v>47150</v>
      </c>
      <c r="N136" t="s">
        <v>3345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2466</v>
      </c>
      <c r="C137" t="s">
        <v>2467</v>
      </c>
      <c r="D137" s="3">
        <v>33970</v>
      </c>
      <c r="E137" t="s">
        <v>1400</v>
      </c>
      <c r="G137" s="3">
        <v>45345</v>
      </c>
      <c r="H137" t="s">
        <v>2468</v>
      </c>
      <c r="J137" t="s">
        <v>1408</v>
      </c>
      <c r="K137" t="s">
        <v>52</v>
      </c>
      <c r="L137" s="3">
        <v>46719</v>
      </c>
      <c r="M137" s="3">
        <v>46616</v>
      </c>
      <c r="N137" t="s">
        <v>2469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2224</v>
      </c>
      <c r="C138" t="s">
        <v>2225</v>
      </c>
      <c r="D138" s="3">
        <v>33333</v>
      </c>
      <c r="E138" t="s">
        <v>1400</v>
      </c>
      <c r="G138" s="3">
        <v>45335</v>
      </c>
      <c r="H138" t="s">
        <v>2226</v>
      </c>
      <c r="J138" t="s">
        <v>1408</v>
      </c>
      <c r="K138" t="s">
        <v>61</v>
      </c>
      <c r="L138" s="3">
        <v>47181</v>
      </c>
      <c r="M138" s="3">
        <v>47143</v>
      </c>
      <c r="N138" t="s">
        <v>2227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1600</v>
      </c>
      <c r="C139" t="s">
        <v>1601</v>
      </c>
      <c r="D139" s="3">
        <v>37726</v>
      </c>
      <c r="E139" t="s">
        <v>1400</v>
      </c>
      <c r="G139" s="3">
        <v>45335</v>
      </c>
      <c r="H139" t="s">
        <v>1602</v>
      </c>
      <c r="J139" t="s">
        <v>1408</v>
      </c>
      <c r="K139" t="s">
        <v>61</v>
      </c>
      <c r="L139" s="3">
        <v>47181</v>
      </c>
      <c r="M139" s="3">
        <v>47139</v>
      </c>
      <c r="N139" t="s">
        <v>1603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1711</v>
      </c>
      <c r="C140" t="s">
        <v>1708</v>
      </c>
      <c r="D140" s="3">
        <v>34917</v>
      </c>
      <c r="E140" t="s">
        <v>1400</v>
      </c>
      <c r="G140" s="3">
        <v>45364</v>
      </c>
      <c r="H140" t="s">
        <v>1712</v>
      </c>
      <c r="J140" t="s">
        <v>1408</v>
      </c>
      <c r="K140" t="s">
        <v>52</v>
      </c>
      <c r="L140" s="3">
        <v>47210</v>
      </c>
      <c r="M140" s="3">
        <v>47141</v>
      </c>
      <c r="N140" t="s">
        <v>1713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1760</v>
      </c>
      <c r="C141" t="s">
        <v>1755</v>
      </c>
      <c r="D141" s="3">
        <v>26869</v>
      </c>
      <c r="E141" t="s">
        <v>1400</v>
      </c>
      <c r="G141" s="3">
        <v>45335</v>
      </c>
      <c r="H141" t="s">
        <v>1761</v>
      </c>
      <c r="I141">
        <v>93577730</v>
      </c>
      <c r="J141" t="s">
        <v>1408</v>
      </c>
      <c r="K141" t="s">
        <v>61</v>
      </c>
      <c r="L141" s="3">
        <v>47180</v>
      </c>
      <c r="M141" s="3">
        <v>47141</v>
      </c>
      <c r="N141" t="s">
        <v>1762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3198</v>
      </c>
      <c r="C142" t="s">
        <v>3199</v>
      </c>
      <c r="D142" s="3">
        <v>37636</v>
      </c>
      <c r="E142" t="s">
        <v>1400</v>
      </c>
      <c r="G142" s="3">
        <v>45321</v>
      </c>
      <c r="H142" t="s">
        <v>3200</v>
      </c>
      <c r="J142" t="s">
        <v>1408</v>
      </c>
      <c r="K142" t="s">
        <v>61</v>
      </c>
      <c r="L142" s="3">
        <v>47164</v>
      </c>
      <c r="M142" s="3">
        <v>47134</v>
      </c>
      <c r="N142" t="s">
        <v>3201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3391</v>
      </c>
      <c r="C143" t="s">
        <v>3392</v>
      </c>
      <c r="D143" s="3">
        <v>34746</v>
      </c>
      <c r="E143" t="s">
        <v>1400</v>
      </c>
      <c r="G143" s="3">
        <v>45321</v>
      </c>
      <c r="H143" t="s">
        <v>3393</v>
      </c>
      <c r="J143" t="s">
        <v>1408</v>
      </c>
      <c r="K143" t="s">
        <v>58</v>
      </c>
      <c r="L143" s="3">
        <v>47168</v>
      </c>
      <c r="M143" s="3">
        <v>47129</v>
      </c>
      <c r="N143" t="s">
        <v>3394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2070</v>
      </c>
      <c r="C144" t="s">
        <v>2071</v>
      </c>
      <c r="D144" s="3">
        <v>28723</v>
      </c>
      <c r="E144" t="s">
        <v>1400</v>
      </c>
      <c r="G144" s="3">
        <v>45364</v>
      </c>
      <c r="H144" t="s">
        <v>2072</v>
      </c>
      <c r="J144" t="s">
        <v>1408</v>
      </c>
      <c r="K144" t="s">
        <v>52</v>
      </c>
      <c r="L144" s="3">
        <v>47210</v>
      </c>
      <c r="M144" s="3">
        <v>47092</v>
      </c>
      <c r="N144" t="s">
        <v>2073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3123</v>
      </c>
      <c r="C145" t="s">
        <v>3273</v>
      </c>
      <c r="D145" s="3">
        <v>38314</v>
      </c>
      <c r="E145" t="s">
        <v>1400</v>
      </c>
      <c r="G145" s="3">
        <v>45307</v>
      </c>
      <c r="H145" t="s">
        <v>3274</v>
      </c>
      <c r="J145" t="s">
        <v>1408</v>
      </c>
      <c r="K145" t="s">
        <v>61</v>
      </c>
      <c r="L145" s="3">
        <v>47154</v>
      </c>
      <c r="M145" s="3">
        <v>47126</v>
      </c>
      <c r="N145" t="s">
        <v>3275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1939</v>
      </c>
      <c r="C146" t="s">
        <v>1940</v>
      </c>
      <c r="D146" s="3">
        <v>33365</v>
      </c>
      <c r="E146" t="s">
        <v>1400</v>
      </c>
      <c r="G146" s="3">
        <v>45307</v>
      </c>
      <c r="H146" t="s">
        <v>1941</v>
      </c>
      <c r="J146" t="s">
        <v>1408</v>
      </c>
      <c r="K146" t="s">
        <v>61</v>
      </c>
      <c r="L146" s="3">
        <v>47154</v>
      </c>
      <c r="M146" s="3">
        <v>47126</v>
      </c>
      <c r="N146" t="s">
        <v>1943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2339</v>
      </c>
      <c r="C147" t="s">
        <v>2333</v>
      </c>
      <c r="D147" s="3">
        <v>30468</v>
      </c>
      <c r="E147" t="s">
        <v>1400</v>
      </c>
      <c r="G147" s="3">
        <v>45321</v>
      </c>
      <c r="H147" t="s">
        <v>2340</v>
      </c>
      <c r="J147" t="s">
        <v>1408</v>
      </c>
      <c r="K147" t="s">
        <v>61</v>
      </c>
      <c r="L147" s="3">
        <v>47164</v>
      </c>
      <c r="M147" s="3">
        <v>47092</v>
      </c>
      <c r="N147" t="s">
        <v>2341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2352</v>
      </c>
      <c r="C148" t="s">
        <v>2353</v>
      </c>
      <c r="D148" s="3">
        <v>35670</v>
      </c>
      <c r="E148" t="s">
        <v>1400</v>
      </c>
      <c r="G148" s="3">
        <v>45321</v>
      </c>
      <c r="H148" t="s">
        <v>2354</v>
      </c>
      <c r="J148" t="s">
        <v>1408</v>
      </c>
      <c r="K148" t="s">
        <v>61</v>
      </c>
      <c r="L148" s="3">
        <v>47165</v>
      </c>
      <c r="M148" s="3">
        <v>47105</v>
      </c>
      <c r="N148" t="s">
        <v>2355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1916</v>
      </c>
      <c r="C149" t="s">
        <v>1917</v>
      </c>
      <c r="D149" s="3">
        <v>33604</v>
      </c>
      <c r="E149" t="s">
        <v>1400</v>
      </c>
      <c r="G149" s="3">
        <v>45307</v>
      </c>
      <c r="H149" t="s">
        <v>1918</v>
      </c>
      <c r="J149" t="s">
        <v>1408</v>
      </c>
      <c r="K149" t="s">
        <v>61</v>
      </c>
      <c r="L149" s="3">
        <v>47154</v>
      </c>
      <c r="M149" s="3">
        <v>47100</v>
      </c>
      <c r="N149" t="s">
        <v>1919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2290</v>
      </c>
      <c r="C150" t="s">
        <v>2291</v>
      </c>
      <c r="D150" s="3">
        <v>30553</v>
      </c>
      <c r="E150" t="s">
        <v>1400</v>
      </c>
      <c r="G150" s="3">
        <v>45299</v>
      </c>
      <c r="H150" t="s">
        <v>2292</v>
      </c>
      <c r="J150" t="s">
        <v>1408</v>
      </c>
      <c r="K150" t="s">
        <v>61</v>
      </c>
      <c r="L150" s="3">
        <v>46530</v>
      </c>
      <c r="M150" s="3">
        <v>45999</v>
      </c>
      <c r="N150" t="s">
        <v>2293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3613</v>
      </c>
      <c r="C151" t="s">
        <v>3460</v>
      </c>
      <c r="D151" s="3">
        <v>35796</v>
      </c>
      <c r="E151" t="s">
        <v>1400</v>
      </c>
      <c r="G151" s="3">
        <v>45293</v>
      </c>
      <c r="H151" t="s">
        <v>3614</v>
      </c>
      <c r="J151" t="s">
        <v>1857</v>
      </c>
      <c r="K151" t="s">
        <v>55</v>
      </c>
      <c r="L151" s="3">
        <v>47302</v>
      </c>
      <c r="M151" s="3">
        <v>47100</v>
      </c>
      <c r="N151" t="s">
        <v>3615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2567</v>
      </c>
      <c r="C152" t="s">
        <v>2568</v>
      </c>
      <c r="D152" s="3">
        <v>34161</v>
      </c>
      <c r="E152" t="s">
        <v>1400</v>
      </c>
      <c r="G152" s="3">
        <v>45307</v>
      </c>
      <c r="H152" t="s">
        <v>2569</v>
      </c>
      <c r="J152" t="s">
        <v>1408</v>
      </c>
      <c r="K152" t="s">
        <v>61</v>
      </c>
      <c r="L152" s="3">
        <v>47150</v>
      </c>
      <c r="M152" s="3">
        <v>47092</v>
      </c>
      <c r="N152" t="s">
        <v>2570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3237</v>
      </c>
      <c r="C153" t="s">
        <v>3238</v>
      </c>
      <c r="D153" s="3">
        <v>29982</v>
      </c>
      <c r="E153" t="s">
        <v>1400</v>
      </c>
      <c r="G153" s="3">
        <v>45299</v>
      </c>
      <c r="H153" t="s">
        <v>3239</v>
      </c>
      <c r="J153" t="s">
        <v>1408</v>
      </c>
      <c r="K153" t="s">
        <v>64</v>
      </c>
      <c r="L153" s="3">
        <v>47169</v>
      </c>
      <c r="M153" s="3">
        <v>47077</v>
      </c>
      <c r="N153" t="s">
        <v>3240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2667</v>
      </c>
      <c r="C154" t="s">
        <v>2668</v>
      </c>
      <c r="D154" s="3">
        <v>34727</v>
      </c>
      <c r="E154" t="s">
        <v>1400</v>
      </c>
      <c r="G154" s="3">
        <v>45307</v>
      </c>
      <c r="H154" t="s">
        <v>2669</v>
      </c>
      <c r="J154" t="s">
        <v>1408</v>
      </c>
      <c r="K154" t="s">
        <v>61</v>
      </c>
      <c r="L154" s="3">
        <v>46999</v>
      </c>
      <c r="M154" s="3">
        <v>46999</v>
      </c>
      <c r="N154" t="s">
        <v>2670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3286</v>
      </c>
      <c r="C155" t="s">
        <v>3475</v>
      </c>
      <c r="D155" s="3">
        <v>22796</v>
      </c>
      <c r="E155" t="s">
        <v>1400</v>
      </c>
      <c r="G155" s="3">
        <v>45315</v>
      </c>
      <c r="H155" t="s">
        <v>3476</v>
      </c>
      <c r="J155" t="s">
        <v>1408</v>
      </c>
      <c r="K155" t="s">
        <v>61</v>
      </c>
      <c r="L155" s="3">
        <v>46497</v>
      </c>
      <c r="M155" s="3">
        <v>46431</v>
      </c>
      <c r="N155" t="s">
        <v>3477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1874</v>
      </c>
      <c r="C156" t="s">
        <v>1875</v>
      </c>
      <c r="D156" s="3">
        <v>28307</v>
      </c>
      <c r="E156" t="s">
        <v>1400</v>
      </c>
      <c r="G156" s="3">
        <v>45293</v>
      </c>
      <c r="H156" t="s">
        <v>1876</v>
      </c>
      <c r="J156" t="s">
        <v>1408</v>
      </c>
      <c r="K156" t="s">
        <v>67</v>
      </c>
      <c r="L156" s="3">
        <v>47140</v>
      </c>
      <c r="M156" s="3">
        <v>47090</v>
      </c>
      <c r="N156" t="s">
        <v>1877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2508</v>
      </c>
      <c r="C157" t="s">
        <v>2505</v>
      </c>
      <c r="D157" s="3">
        <v>29906</v>
      </c>
      <c r="E157" t="s">
        <v>1400</v>
      </c>
      <c r="G157" s="3">
        <v>45264</v>
      </c>
      <c r="H157" t="s">
        <v>2509</v>
      </c>
      <c r="J157" t="s">
        <v>1408</v>
      </c>
      <c r="K157" t="s">
        <v>55</v>
      </c>
      <c r="L157" s="3">
        <v>47106</v>
      </c>
      <c r="M157" s="3">
        <v>47083</v>
      </c>
      <c r="N157" t="s">
        <v>2510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2974</v>
      </c>
      <c r="C158" t="s">
        <v>2975</v>
      </c>
      <c r="D158" s="3">
        <v>36686</v>
      </c>
      <c r="E158" t="s">
        <v>1400</v>
      </c>
      <c r="G158" s="3">
        <v>45264</v>
      </c>
      <c r="H158" t="s">
        <v>2976</v>
      </c>
      <c r="J158" t="s">
        <v>1408</v>
      </c>
      <c r="K158" t="s">
        <v>70</v>
      </c>
      <c r="L158" s="3">
        <v>47107</v>
      </c>
      <c r="M158" s="3">
        <v>47072</v>
      </c>
      <c r="N158" t="s">
        <v>2977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3290</v>
      </c>
      <c r="C159" t="s">
        <v>3291</v>
      </c>
      <c r="D159" s="3">
        <v>33698</v>
      </c>
      <c r="E159" t="s">
        <v>1400</v>
      </c>
      <c r="G159" s="3">
        <v>45264</v>
      </c>
      <c r="H159" t="s">
        <v>3292</v>
      </c>
      <c r="J159" t="s">
        <v>1408</v>
      </c>
      <c r="K159" t="s">
        <v>64</v>
      </c>
      <c r="L159" s="3">
        <v>47108</v>
      </c>
      <c r="M159" s="3">
        <v>47072</v>
      </c>
      <c r="N159" t="s">
        <v>3293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1499</v>
      </c>
      <c r="C160" t="s">
        <v>1500</v>
      </c>
      <c r="D160" s="3">
        <v>26488</v>
      </c>
      <c r="E160" t="s">
        <v>1400</v>
      </c>
      <c r="G160" s="3">
        <v>45264</v>
      </c>
      <c r="H160" t="s">
        <v>1501</v>
      </c>
      <c r="J160" t="s">
        <v>1408</v>
      </c>
      <c r="K160" t="s">
        <v>52</v>
      </c>
      <c r="L160" s="3">
        <v>47106</v>
      </c>
      <c r="M160" s="3">
        <v>47077</v>
      </c>
      <c r="N160" t="s">
        <v>1502</v>
      </c>
      <c r="O160" s="4">
        <v>1</v>
      </c>
      <c r="P160">
        <v>0</v>
      </c>
      <c r="Q160">
        <v>0</v>
      </c>
      <c r="R160" t="s">
        <v>1503</v>
      </c>
    </row>
    <row r="161" spans="1:17" x14ac:dyDescent="0.25">
      <c r="A161">
        <v>39831</v>
      </c>
      <c r="B161" t="s">
        <v>2142</v>
      </c>
      <c r="C161" t="s">
        <v>2143</v>
      </c>
      <c r="D161" s="3">
        <v>35158</v>
      </c>
      <c r="E161" t="s">
        <v>1400</v>
      </c>
      <c r="G161" s="3">
        <v>45264</v>
      </c>
      <c r="H161" t="s">
        <v>2144</v>
      </c>
      <c r="J161" t="s">
        <v>1408</v>
      </c>
      <c r="K161" t="s">
        <v>70</v>
      </c>
      <c r="L161" s="3">
        <v>47106</v>
      </c>
      <c r="M161" s="3">
        <v>47072</v>
      </c>
      <c r="N161" t="s">
        <v>2145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1714</v>
      </c>
      <c r="C162" t="s">
        <v>1715</v>
      </c>
      <c r="D162" s="3">
        <v>32321</v>
      </c>
      <c r="E162" t="s">
        <v>1400</v>
      </c>
      <c r="G162" s="3">
        <v>45264</v>
      </c>
      <c r="H162" t="s">
        <v>1716</v>
      </c>
      <c r="J162" t="s">
        <v>1408</v>
      </c>
      <c r="K162" t="s">
        <v>73</v>
      </c>
      <c r="L162" s="3">
        <v>47107</v>
      </c>
      <c r="M162" s="3">
        <v>47072</v>
      </c>
      <c r="N162" t="s">
        <v>1717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2154</v>
      </c>
      <c r="C163" t="s">
        <v>2155</v>
      </c>
      <c r="D163" s="3">
        <v>33855</v>
      </c>
      <c r="E163" t="s">
        <v>1400</v>
      </c>
      <c r="G163" s="3">
        <v>45250</v>
      </c>
      <c r="H163" t="s">
        <v>2156</v>
      </c>
      <c r="J163" t="s">
        <v>1408</v>
      </c>
      <c r="K163" t="s">
        <v>55</v>
      </c>
      <c r="L163" s="3">
        <v>47093</v>
      </c>
      <c r="M163" s="3">
        <v>47051</v>
      </c>
      <c r="N163" t="s">
        <v>2157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3316</v>
      </c>
      <c r="C164" t="s">
        <v>3317</v>
      </c>
      <c r="D164" s="3">
        <v>36347</v>
      </c>
      <c r="E164" t="s">
        <v>1400</v>
      </c>
      <c r="G164" s="3">
        <v>45250</v>
      </c>
      <c r="H164" t="s">
        <v>3318</v>
      </c>
      <c r="J164" t="s">
        <v>1408</v>
      </c>
      <c r="K164" t="s">
        <v>73</v>
      </c>
      <c r="L164" s="3">
        <v>47092</v>
      </c>
      <c r="M164" s="3">
        <v>47027</v>
      </c>
      <c r="N164" t="s">
        <v>3319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2663</v>
      </c>
      <c r="C165" t="s">
        <v>2664</v>
      </c>
      <c r="D165" s="3">
        <v>29587</v>
      </c>
      <c r="E165" t="s">
        <v>1400</v>
      </c>
      <c r="G165" s="3">
        <v>45313</v>
      </c>
      <c r="H165" t="s">
        <v>2665</v>
      </c>
      <c r="J165" t="s">
        <v>1408</v>
      </c>
      <c r="K165" t="s">
        <v>64</v>
      </c>
      <c r="L165" s="3">
        <v>47608</v>
      </c>
      <c r="M165" s="3">
        <v>47594</v>
      </c>
      <c r="N165" t="s">
        <v>2666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1069</v>
      </c>
      <c r="C166" t="s">
        <v>1231</v>
      </c>
      <c r="D166" s="3">
        <v>35461</v>
      </c>
      <c r="E166" t="s">
        <v>1400</v>
      </c>
      <c r="G166" s="3">
        <v>45236</v>
      </c>
      <c r="H166" t="s">
        <v>1912</v>
      </c>
      <c r="J166" t="s">
        <v>1408</v>
      </c>
      <c r="K166" t="s">
        <v>55</v>
      </c>
      <c r="L166" s="3">
        <v>47077</v>
      </c>
      <c r="M166" s="3">
        <v>47034</v>
      </c>
      <c r="N166" t="s">
        <v>1913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2596</v>
      </c>
      <c r="C167" t="s">
        <v>2597</v>
      </c>
      <c r="D167" s="3">
        <v>36222</v>
      </c>
      <c r="E167" t="s">
        <v>1400</v>
      </c>
      <c r="G167" s="3">
        <v>45222</v>
      </c>
      <c r="H167" t="s">
        <v>2598</v>
      </c>
      <c r="J167" t="s">
        <v>1408</v>
      </c>
      <c r="K167" t="s">
        <v>64</v>
      </c>
      <c r="L167" s="3">
        <v>47064</v>
      </c>
      <c r="M167" s="3">
        <v>47030</v>
      </c>
      <c r="N167" t="s">
        <v>2599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2754</v>
      </c>
      <c r="C168" t="s">
        <v>2755</v>
      </c>
      <c r="D168" s="3">
        <v>25391</v>
      </c>
      <c r="E168" t="s">
        <v>1400</v>
      </c>
      <c r="G168" s="3">
        <v>45236</v>
      </c>
      <c r="H168" t="s">
        <v>2756</v>
      </c>
      <c r="J168" t="s">
        <v>1408</v>
      </c>
      <c r="K168" t="s">
        <v>58</v>
      </c>
      <c r="L168" s="3">
        <v>47110</v>
      </c>
      <c r="M168" s="3">
        <v>47030</v>
      </c>
      <c r="N168" t="s">
        <v>2757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2817</v>
      </c>
      <c r="C169" t="s">
        <v>2814</v>
      </c>
      <c r="D169" s="3">
        <v>32368</v>
      </c>
      <c r="E169" t="s">
        <v>1400</v>
      </c>
      <c r="G169" s="3">
        <v>45222</v>
      </c>
      <c r="H169" t="s">
        <v>2818</v>
      </c>
      <c r="J169" t="s">
        <v>1408</v>
      </c>
      <c r="K169" t="s">
        <v>55</v>
      </c>
      <c r="L169" s="3">
        <v>47064</v>
      </c>
      <c r="M169" s="3">
        <v>47027</v>
      </c>
      <c r="N169" t="s">
        <v>2819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2387</v>
      </c>
      <c r="C170" t="s">
        <v>2388</v>
      </c>
      <c r="D170" s="3">
        <v>35555</v>
      </c>
      <c r="E170" t="s">
        <v>1400</v>
      </c>
      <c r="G170" s="3">
        <v>45222</v>
      </c>
      <c r="H170" t="s">
        <v>2389</v>
      </c>
      <c r="J170" t="s">
        <v>1408</v>
      </c>
      <c r="K170" t="s">
        <v>64</v>
      </c>
      <c r="L170" s="3">
        <v>47065</v>
      </c>
      <c r="M170" s="3">
        <v>47016</v>
      </c>
      <c r="N170" t="s">
        <v>2390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1643</v>
      </c>
      <c r="C171" t="s">
        <v>1644</v>
      </c>
      <c r="D171" s="3">
        <v>32321</v>
      </c>
      <c r="E171" t="s">
        <v>1400</v>
      </c>
      <c r="G171" s="3">
        <v>45208</v>
      </c>
      <c r="H171" t="s">
        <v>1645</v>
      </c>
      <c r="J171" t="s">
        <v>1408</v>
      </c>
      <c r="K171" t="s">
        <v>64</v>
      </c>
      <c r="L171" s="3">
        <v>47051</v>
      </c>
      <c r="M171" s="3">
        <v>47027</v>
      </c>
      <c r="N171" t="s">
        <v>1646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2458</v>
      </c>
      <c r="C172" t="s">
        <v>2459</v>
      </c>
      <c r="D172" s="3">
        <v>36852</v>
      </c>
      <c r="E172" t="s">
        <v>1400</v>
      </c>
      <c r="G172" s="3">
        <v>45236</v>
      </c>
      <c r="H172" t="s">
        <v>2460</v>
      </c>
      <c r="J172" t="s">
        <v>1408</v>
      </c>
      <c r="K172" t="s">
        <v>73</v>
      </c>
      <c r="L172" s="3">
        <v>47077</v>
      </c>
      <c r="M172" s="3">
        <v>47016</v>
      </c>
      <c r="N172" t="s">
        <v>2461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3294</v>
      </c>
      <c r="C173" t="s">
        <v>3295</v>
      </c>
      <c r="D173" s="3">
        <v>35615</v>
      </c>
      <c r="E173" t="s">
        <v>1400</v>
      </c>
      <c r="G173" s="3">
        <v>45208</v>
      </c>
      <c r="H173" t="s">
        <v>3296</v>
      </c>
      <c r="J173" t="s">
        <v>1408</v>
      </c>
      <c r="K173" t="s">
        <v>55</v>
      </c>
      <c r="L173" s="3">
        <v>47049</v>
      </c>
      <c r="M173" s="3">
        <v>47009</v>
      </c>
      <c r="N173" t="s">
        <v>3297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2391</v>
      </c>
      <c r="C174" t="s">
        <v>2392</v>
      </c>
      <c r="D174" s="3">
        <v>36481</v>
      </c>
      <c r="E174" t="s">
        <v>1400</v>
      </c>
      <c r="G174" s="3">
        <v>45194</v>
      </c>
      <c r="H174" t="s">
        <v>2393</v>
      </c>
      <c r="J174" t="s">
        <v>1446</v>
      </c>
      <c r="K174" t="s">
        <v>70</v>
      </c>
      <c r="L174" s="3">
        <v>47036</v>
      </c>
      <c r="M174" s="3">
        <v>47009</v>
      </c>
      <c r="N174" t="s">
        <v>2394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2674</v>
      </c>
      <c r="C175" t="s">
        <v>2675</v>
      </c>
      <c r="D175" s="3">
        <v>35965</v>
      </c>
      <c r="E175" t="s">
        <v>1400</v>
      </c>
      <c r="G175" s="3">
        <v>45222</v>
      </c>
      <c r="H175" t="s">
        <v>2676</v>
      </c>
      <c r="J175" t="s">
        <v>1408</v>
      </c>
      <c r="K175" t="s">
        <v>70</v>
      </c>
      <c r="L175" s="3">
        <v>47064</v>
      </c>
      <c r="M175" s="3">
        <v>47009</v>
      </c>
      <c r="N175" t="s">
        <v>2677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2997</v>
      </c>
      <c r="C176" t="s">
        <v>3191</v>
      </c>
      <c r="D176" s="3">
        <v>31519</v>
      </c>
      <c r="E176" t="s">
        <v>1400</v>
      </c>
      <c r="G176" s="3">
        <v>45208</v>
      </c>
      <c r="H176" t="s">
        <v>3192</v>
      </c>
      <c r="J176" t="s">
        <v>1408</v>
      </c>
      <c r="K176" t="s">
        <v>67</v>
      </c>
      <c r="L176" s="3">
        <v>47052</v>
      </c>
      <c r="M176" s="3">
        <v>46974</v>
      </c>
      <c r="N176" t="s">
        <v>3193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2051</v>
      </c>
      <c r="C177" t="s">
        <v>2052</v>
      </c>
      <c r="D177" s="3">
        <v>36632</v>
      </c>
      <c r="E177" t="s">
        <v>1400</v>
      </c>
      <c r="F177">
        <v>87</v>
      </c>
      <c r="G177" s="3">
        <v>45208</v>
      </c>
      <c r="H177" t="s">
        <v>2053</v>
      </c>
      <c r="J177" t="s">
        <v>1408</v>
      </c>
      <c r="K177" t="s">
        <v>61</v>
      </c>
      <c r="L177" s="3">
        <v>47049</v>
      </c>
      <c r="M177" s="3">
        <v>46981</v>
      </c>
      <c r="N177" t="s">
        <v>2054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2004</v>
      </c>
      <c r="C178" t="s">
        <v>2005</v>
      </c>
      <c r="D178" s="3">
        <v>23786</v>
      </c>
      <c r="E178" t="s">
        <v>1400</v>
      </c>
      <c r="G178" s="3">
        <v>45286</v>
      </c>
      <c r="H178" t="s">
        <v>2006</v>
      </c>
      <c r="J178" t="s">
        <v>1609</v>
      </c>
      <c r="K178" t="s">
        <v>61</v>
      </c>
      <c r="L178" s="3">
        <v>45934</v>
      </c>
      <c r="M178" s="3">
        <v>47621</v>
      </c>
      <c r="N178" t="s">
        <v>2007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1924</v>
      </c>
      <c r="C179" t="s">
        <v>1925</v>
      </c>
      <c r="D179" s="3">
        <v>32358</v>
      </c>
      <c r="E179" t="s">
        <v>1400</v>
      </c>
      <c r="G179" s="3">
        <v>45236</v>
      </c>
      <c r="H179" t="s">
        <v>1926</v>
      </c>
      <c r="J179" t="s">
        <v>1408</v>
      </c>
      <c r="K179" t="s">
        <v>61</v>
      </c>
      <c r="L179" s="3">
        <v>47077</v>
      </c>
      <c r="M179" s="3">
        <v>46981</v>
      </c>
      <c r="N179" t="s">
        <v>1927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2172</v>
      </c>
      <c r="C180" t="s">
        <v>2173</v>
      </c>
      <c r="D180" s="3">
        <v>31775</v>
      </c>
      <c r="E180" t="s">
        <v>1400</v>
      </c>
      <c r="F180">
        <v>28</v>
      </c>
      <c r="G180" s="3">
        <v>45194</v>
      </c>
      <c r="H180" t="s">
        <v>2174</v>
      </c>
      <c r="J180" t="s">
        <v>1408</v>
      </c>
      <c r="K180" t="s">
        <v>61</v>
      </c>
      <c r="L180" s="3">
        <v>47036</v>
      </c>
      <c r="M180" s="3">
        <v>46946</v>
      </c>
      <c r="N180" t="s">
        <v>2175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2605</v>
      </c>
      <c r="C181" t="s">
        <v>2606</v>
      </c>
      <c r="D181" s="3">
        <v>29195</v>
      </c>
      <c r="E181" t="s">
        <v>1400</v>
      </c>
      <c r="G181" s="3">
        <v>45124</v>
      </c>
      <c r="H181" t="s">
        <v>2607</v>
      </c>
      <c r="J181" t="s">
        <v>1408</v>
      </c>
      <c r="K181" t="s">
        <v>61</v>
      </c>
      <c r="L181" s="3">
        <v>47526</v>
      </c>
      <c r="M181" s="3">
        <v>47460</v>
      </c>
      <c r="N181" t="s">
        <v>2608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1465</v>
      </c>
      <c r="C182" t="s">
        <v>2626</v>
      </c>
      <c r="D182" s="3">
        <v>36104</v>
      </c>
      <c r="E182" t="s">
        <v>1400</v>
      </c>
      <c r="G182" s="3">
        <v>45173</v>
      </c>
      <c r="H182" t="s">
        <v>2627</v>
      </c>
      <c r="J182" t="s">
        <v>1408</v>
      </c>
      <c r="K182" t="s">
        <v>61</v>
      </c>
      <c r="L182" s="3">
        <v>47014</v>
      </c>
      <c r="M182" s="3">
        <v>46903</v>
      </c>
      <c r="N182" t="s">
        <v>2628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1517</v>
      </c>
      <c r="C183" t="s">
        <v>2318</v>
      </c>
      <c r="D183" s="3">
        <v>21648</v>
      </c>
      <c r="E183" t="s">
        <v>1400</v>
      </c>
      <c r="F183">
        <v>306</v>
      </c>
      <c r="G183" s="3">
        <v>29885</v>
      </c>
      <c r="H183" t="s">
        <v>2321</v>
      </c>
      <c r="I183">
        <v>93240876</v>
      </c>
      <c r="J183" t="s">
        <v>1537</v>
      </c>
      <c r="K183" t="s">
        <v>55</v>
      </c>
      <c r="L183" s="3">
        <v>72686</v>
      </c>
      <c r="M183" s="3">
        <v>46827</v>
      </c>
      <c r="N183" t="s">
        <v>2322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3403</v>
      </c>
      <c r="C184" t="s">
        <v>3400</v>
      </c>
      <c r="D184" s="3">
        <v>36822</v>
      </c>
      <c r="E184" t="s">
        <v>1400</v>
      </c>
      <c r="G184" s="3">
        <v>45103</v>
      </c>
      <c r="H184" t="s">
        <v>3404</v>
      </c>
      <c r="J184" t="s">
        <v>1408</v>
      </c>
      <c r="K184" t="s">
        <v>70</v>
      </c>
      <c r="L184" s="3">
        <v>46945</v>
      </c>
      <c r="M184" s="3">
        <v>46925</v>
      </c>
      <c r="N184" t="s">
        <v>3405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1448</v>
      </c>
      <c r="C185" t="s">
        <v>1449</v>
      </c>
      <c r="D185" s="3">
        <v>33938</v>
      </c>
      <c r="E185" t="s">
        <v>1400</v>
      </c>
      <c r="G185" s="3">
        <v>45097</v>
      </c>
      <c r="H185" t="s">
        <v>1450</v>
      </c>
      <c r="J185" t="s">
        <v>1408</v>
      </c>
      <c r="K185" t="s">
        <v>61</v>
      </c>
      <c r="L185" s="3">
        <v>46945</v>
      </c>
      <c r="M185" s="3">
        <v>46897</v>
      </c>
      <c r="N185" t="s">
        <v>1451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3383</v>
      </c>
      <c r="C186" t="s">
        <v>3384</v>
      </c>
      <c r="D186" s="3">
        <v>32148</v>
      </c>
      <c r="E186" t="s">
        <v>1400</v>
      </c>
      <c r="G186" s="3">
        <v>45103</v>
      </c>
      <c r="H186" t="s">
        <v>3385</v>
      </c>
      <c r="J186" t="s">
        <v>1408</v>
      </c>
      <c r="K186" t="s">
        <v>61</v>
      </c>
      <c r="L186" s="3">
        <v>46946</v>
      </c>
      <c r="M186" s="3">
        <v>46887</v>
      </c>
      <c r="N186" t="s">
        <v>3386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3416</v>
      </c>
      <c r="C187" t="s">
        <v>3417</v>
      </c>
      <c r="D187" s="3">
        <v>28674</v>
      </c>
      <c r="E187" t="s">
        <v>1400</v>
      </c>
      <c r="G187" s="3">
        <v>45090</v>
      </c>
      <c r="H187" t="s">
        <v>3418</v>
      </c>
      <c r="J187" t="s">
        <v>1408</v>
      </c>
      <c r="K187" t="s">
        <v>70</v>
      </c>
      <c r="L187" s="3">
        <v>46933</v>
      </c>
      <c r="M187" s="3">
        <v>46883</v>
      </c>
      <c r="N187" t="s">
        <v>3419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1810</v>
      </c>
      <c r="C188" t="s">
        <v>1811</v>
      </c>
      <c r="D188" s="3">
        <v>27446</v>
      </c>
      <c r="E188" t="s">
        <v>1400</v>
      </c>
      <c r="G188" s="3">
        <v>45166</v>
      </c>
      <c r="H188" t="s">
        <v>1812</v>
      </c>
      <c r="J188" t="s">
        <v>1408</v>
      </c>
      <c r="K188" t="s">
        <v>61</v>
      </c>
      <c r="L188" s="3">
        <v>47371</v>
      </c>
      <c r="M188" s="3">
        <v>47351</v>
      </c>
      <c r="N188" t="s">
        <v>1813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3444</v>
      </c>
      <c r="C189" t="s">
        <v>3445</v>
      </c>
      <c r="D189" s="3">
        <v>36995</v>
      </c>
      <c r="E189" t="s">
        <v>1400</v>
      </c>
      <c r="G189" s="3">
        <v>45076</v>
      </c>
      <c r="H189" t="s">
        <v>3616</v>
      </c>
      <c r="J189" t="s">
        <v>1408</v>
      </c>
      <c r="K189" t="s">
        <v>55</v>
      </c>
      <c r="L189" s="3">
        <v>46919</v>
      </c>
      <c r="M189" s="3">
        <v>46880</v>
      </c>
      <c r="N189" t="s">
        <v>3446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2114</v>
      </c>
      <c r="C190" t="s">
        <v>2115</v>
      </c>
      <c r="D190" s="3">
        <v>29763</v>
      </c>
      <c r="E190" t="s">
        <v>1400</v>
      </c>
      <c r="G190" s="3">
        <v>45076</v>
      </c>
      <c r="H190" t="s">
        <v>2116</v>
      </c>
      <c r="J190" t="s">
        <v>1408</v>
      </c>
      <c r="K190" t="s">
        <v>61</v>
      </c>
      <c r="L190" s="3">
        <v>47048</v>
      </c>
      <c r="M190" s="3">
        <v>46959</v>
      </c>
      <c r="N190" t="s">
        <v>2117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2511</v>
      </c>
      <c r="C191" t="s">
        <v>2505</v>
      </c>
      <c r="D191" s="3">
        <v>30913</v>
      </c>
      <c r="E191" t="s">
        <v>1400</v>
      </c>
      <c r="G191" s="3">
        <v>45061</v>
      </c>
      <c r="H191" t="s">
        <v>2512</v>
      </c>
      <c r="J191" t="s">
        <v>1519</v>
      </c>
      <c r="K191" t="s">
        <v>73</v>
      </c>
      <c r="L191" s="3">
        <v>46904</v>
      </c>
      <c r="M191" s="3">
        <v>46862</v>
      </c>
      <c r="N191" t="s">
        <v>2513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2411</v>
      </c>
      <c r="C192" t="s">
        <v>2412</v>
      </c>
      <c r="D192" s="3">
        <v>36757</v>
      </c>
      <c r="E192" t="s">
        <v>1400</v>
      </c>
      <c r="G192" s="3">
        <v>45076</v>
      </c>
      <c r="H192" t="s">
        <v>2413</v>
      </c>
      <c r="J192" t="s">
        <v>1446</v>
      </c>
      <c r="K192" t="s">
        <v>55</v>
      </c>
      <c r="L192" s="3">
        <v>46923</v>
      </c>
      <c r="M192" s="3">
        <v>46860</v>
      </c>
      <c r="N192" t="s">
        <v>2414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2791</v>
      </c>
      <c r="C193" t="s">
        <v>2792</v>
      </c>
      <c r="D193" s="3">
        <v>27937</v>
      </c>
      <c r="E193" t="s">
        <v>1400</v>
      </c>
      <c r="G193" s="3">
        <v>45076</v>
      </c>
      <c r="H193" t="s">
        <v>2793</v>
      </c>
      <c r="J193" t="s">
        <v>1408</v>
      </c>
      <c r="K193" t="s">
        <v>70</v>
      </c>
      <c r="L193" s="3">
        <v>46923</v>
      </c>
      <c r="M193" s="3">
        <v>46827</v>
      </c>
      <c r="N193" t="s">
        <v>2794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2783</v>
      </c>
      <c r="C194" t="s">
        <v>2784</v>
      </c>
      <c r="D194" s="3">
        <v>33351</v>
      </c>
      <c r="E194" t="s">
        <v>1400</v>
      </c>
      <c r="G194" s="3">
        <v>45061</v>
      </c>
      <c r="H194" t="s">
        <v>2785</v>
      </c>
      <c r="J194" t="s">
        <v>1408</v>
      </c>
      <c r="K194" t="s">
        <v>73</v>
      </c>
      <c r="L194" s="3">
        <v>46904</v>
      </c>
      <c r="M194" s="3">
        <v>46838</v>
      </c>
      <c r="N194" t="s">
        <v>2786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2930</v>
      </c>
      <c r="C195" t="s">
        <v>2931</v>
      </c>
      <c r="D195" s="3">
        <v>36438</v>
      </c>
      <c r="E195" t="s">
        <v>1400</v>
      </c>
      <c r="G195" s="3">
        <v>45040</v>
      </c>
      <c r="H195" t="s">
        <v>2932</v>
      </c>
      <c r="J195" t="s">
        <v>1408</v>
      </c>
      <c r="K195" t="s">
        <v>55</v>
      </c>
      <c r="L195" s="3">
        <v>46882</v>
      </c>
      <c r="M195" s="3">
        <v>46842</v>
      </c>
      <c r="N195" t="s">
        <v>2933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2629</v>
      </c>
      <c r="C196" t="s">
        <v>2626</v>
      </c>
      <c r="D196" s="3">
        <v>30718</v>
      </c>
      <c r="E196" t="s">
        <v>1400</v>
      </c>
      <c r="G196" s="3">
        <v>45090</v>
      </c>
      <c r="H196" t="s">
        <v>2630</v>
      </c>
      <c r="J196" t="s">
        <v>1418</v>
      </c>
      <c r="K196" t="s">
        <v>70</v>
      </c>
      <c r="L196" s="3">
        <v>46933</v>
      </c>
      <c r="M196" s="3">
        <v>46810</v>
      </c>
      <c r="N196" t="s">
        <v>2631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3194</v>
      </c>
      <c r="C197" t="s">
        <v>3195</v>
      </c>
      <c r="D197" s="3">
        <v>24130</v>
      </c>
      <c r="E197" t="s">
        <v>1400</v>
      </c>
      <c r="G197" s="3">
        <v>45027</v>
      </c>
      <c r="H197" t="s">
        <v>3196</v>
      </c>
      <c r="J197" t="s">
        <v>1408</v>
      </c>
      <c r="K197" t="s">
        <v>61</v>
      </c>
      <c r="L197" s="3">
        <v>46874</v>
      </c>
      <c r="M197" s="3">
        <v>46810</v>
      </c>
      <c r="N197" t="s">
        <v>3197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3356</v>
      </c>
      <c r="C198" t="s">
        <v>3357</v>
      </c>
      <c r="D198" s="3">
        <v>33360</v>
      </c>
      <c r="E198" t="s">
        <v>1400</v>
      </c>
      <c r="G198" s="3">
        <v>45027</v>
      </c>
      <c r="H198" t="s">
        <v>3358</v>
      </c>
      <c r="J198" t="s">
        <v>1408</v>
      </c>
      <c r="K198" t="s">
        <v>61</v>
      </c>
      <c r="L198" s="3">
        <v>46869</v>
      </c>
      <c r="M198" s="3">
        <v>46791</v>
      </c>
      <c r="N198" t="s">
        <v>3359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1777</v>
      </c>
      <c r="C199" t="s">
        <v>1778</v>
      </c>
      <c r="D199" s="3">
        <v>23866</v>
      </c>
      <c r="E199" t="s">
        <v>1400</v>
      </c>
      <c r="G199" s="3">
        <v>45062</v>
      </c>
      <c r="H199" t="s">
        <v>1779</v>
      </c>
      <c r="J199" t="s">
        <v>1408</v>
      </c>
      <c r="K199" t="s">
        <v>61</v>
      </c>
      <c r="L199" s="3">
        <v>46895</v>
      </c>
      <c r="M199" s="3">
        <v>47594</v>
      </c>
      <c r="N199" t="s">
        <v>1780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3494</v>
      </c>
      <c r="C200" t="s">
        <v>3495</v>
      </c>
      <c r="D200" s="3">
        <v>37281</v>
      </c>
      <c r="E200" t="s">
        <v>1400</v>
      </c>
      <c r="G200" s="3">
        <v>45012</v>
      </c>
      <c r="H200" t="s">
        <v>3496</v>
      </c>
      <c r="J200" t="s">
        <v>1408</v>
      </c>
      <c r="K200" t="s">
        <v>70</v>
      </c>
      <c r="L200" s="3">
        <v>46855</v>
      </c>
      <c r="M200" s="3">
        <v>46763</v>
      </c>
      <c r="N200" t="s">
        <v>3497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1727</v>
      </c>
      <c r="C201" t="s">
        <v>1728</v>
      </c>
      <c r="D201" s="3">
        <v>34749</v>
      </c>
      <c r="E201" t="s">
        <v>1400</v>
      </c>
      <c r="G201" s="3">
        <v>45027</v>
      </c>
      <c r="H201" t="s">
        <v>1729</v>
      </c>
      <c r="J201" t="s">
        <v>1459</v>
      </c>
      <c r="K201" t="s">
        <v>70</v>
      </c>
      <c r="L201" s="3">
        <v>46869</v>
      </c>
      <c r="M201" s="3">
        <v>46776</v>
      </c>
      <c r="N201" t="s">
        <v>1730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2150</v>
      </c>
      <c r="C202" t="s">
        <v>2151</v>
      </c>
      <c r="D202" s="3">
        <v>34795</v>
      </c>
      <c r="E202" t="s">
        <v>1400</v>
      </c>
      <c r="G202" s="3">
        <v>45027</v>
      </c>
      <c r="H202" t="s">
        <v>2152</v>
      </c>
      <c r="J202" t="s">
        <v>1408</v>
      </c>
      <c r="K202" t="s">
        <v>73</v>
      </c>
      <c r="L202" s="3">
        <v>46874</v>
      </c>
      <c r="M202" s="3">
        <v>46774</v>
      </c>
      <c r="N202" t="s">
        <v>2153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1405</v>
      </c>
      <c r="C203" t="s">
        <v>1406</v>
      </c>
      <c r="D203" s="3">
        <v>28536</v>
      </c>
      <c r="E203" t="s">
        <v>1400</v>
      </c>
      <c r="G203" s="3">
        <v>45012</v>
      </c>
      <c r="H203" t="s">
        <v>1407</v>
      </c>
      <c r="J203" t="s">
        <v>1408</v>
      </c>
      <c r="K203" t="s">
        <v>55</v>
      </c>
      <c r="L203" s="3">
        <v>46869</v>
      </c>
      <c r="M203" s="3">
        <v>46763</v>
      </c>
      <c r="N203" t="s">
        <v>1409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2266</v>
      </c>
      <c r="C204" t="s">
        <v>2267</v>
      </c>
      <c r="D204" s="3">
        <v>32105</v>
      </c>
      <c r="E204" t="s">
        <v>1400</v>
      </c>
      <c r="G204" s="3">
        <v>44970</v>
      </c>
      <c r="H204" t="s">
        <v>2268</v>
      </c>
      <c r="J204" t="s">
        <v>1408</v>
      </c>
      <c r="K204" t="s">
        <v>70</v>
      </c>
      <c r="L204" s="3">
        <v>46810</v>
      </c>
      <c r="M204" s="3">
        <v>46770</v>
      </c>
      <c r="N204" t="s">
        <v>2269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1784</v>
      </c>
      <c r="C205" t="s">
        <v>1785</v>
      </c>
      <c r="D205" s="3">
        <v>36424</v>
      </c>
      <c r="E205" t="s">
        <v>1400</v>
      </c>
      <c r="G205" s="3">
        <v>44998</v>
      </c>
      <c r="H205" t="s">
        <v>1786</v>
      </c>
      <c r="J205" t="s">
        <v>1408</v>
      </c>
      <c r="K205" t="s">
        <v>70</v>
      </c>
      <c r="L205" s="3">
        <v>46840</v>
      </c>
      <c r="M205" s="3">
        <v>46760</v>
      </c>
      <c r="N205" t="s">
        <v>1787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1637</v>
      </c>
      <c r="C206" t="s">
        <v>1638</v>
      </c>
      <c r="D206" s="3">
        <v>25028</v>
      </c>
      <c r="E206" t="s">
        <v>1400</v>
      </c>
      <c r="G206" s="3">
        <v>45035</v>
      </c>
      <c r="H206" t="s">
        <v>1639</v>
      </c>
      <c r="J206" t="s">
        <v>1408</v>
      </c>
      <c r="K206" t="s">
        <v>70</v>
      </c>
      <c r="L206" s="3">
        <v>47664</v>
      </c>
      <c r="M206" s="3">
        <v>46447</v>
      </c>
      <c r="N206" t="s">
        <v>1640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2328</v>
      </c>
      <c r="C207" t="s">
        <v>2329</v>
      </c>
      <c r="D207" s="3">
        <v>31437</v>
      </c>
      <c r="E207" t="s">
        <v>1400</v>
      </c>
      <c r="G207" s="3">
        <v>44984</v>
      </c>
      <c r="H207" t="s">
        <v>2330</v>
      </c>
      <c r="J207" t="s">
        <v>1413</v>
      </c>
      <c r="K207" t="s">
        <v>58</v>
      </c>
      <c r="L207" s="3">
        <v>46825</v>
      </c>
      <c r="M207" s="3">
        <v>46735</v>
      </c>
      <c r="N207" t="s">
        <v>2331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3453</v>
      </c>
      <c r="C208" t="s">
        <v>2036</v>
      </c>
      <c r="D208" s="3">
        <v>29593</v>
      </c>
      <c r="E208" t="s">
        <v>1400</v>
      </c>
      <c r="G208" s="3">
        <v>44970</v>
      </c>
      <c r="H208" t="s">
        <v>3454</v>
      </c>
      <c r="J208" t="s">
        <v>1413</v>
      </c>
      <c r="K208" t="s">
        <v>55</v>
      </c>
      <c r="L208" s="3">
        <v>46817</v>
      </c>
      <c r="M208" s="3">
        <v>46735</v>
      </c>
      <c r="N208" t="s">
        <v>3455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1637</v>
      </c>
      <c r="C209" t="s">
        <v>1747</v>
      </c>
      <c r="D209" s="3">
        <v>29647</v>
      </c>
      <c r="E209" t="s">
        <v>1400</v>
      </c>
      <c r="G209" s="3">
        <v>44984</v>
      </c>
      <c r="H209" t="s">
        <v>1748</v>
      </c>
      <c r="J209" t="s">
        <v>1515</v>
      </c>
      <c r="K209" t="s">
        <v>61</v>
      </c>
      <c r="L209" s="3">
        <v>46826</v>
      </c>
      <c r="M209" s="3">
        <v>46735</v>
      </c>
      <c r="N209" t="s">
        <v>1749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2652</v>
      </c>
      <c r="C210" t="s">
        <v>2653</v>
      </c>
      <c r="D210" s="3">
        <v>30245</v>
      </c>
      <c r="E210" t="s">
        <v>1400</v>
      </c>
      <c r="G210" s="3">
        <v>44956</v>
      </c>
      <c r="H210" t="s">
        <v>2654</v>
      </c>
      <c r="J210" t="s">
        <v>1408</v>
      </c>
      <c r="K210" t="s">
        <v>70</v>
      </c>
      <c r="L210" s="3">
        <v>46796</v>
      </c>
      <c r="M210" s="3">
        <v>46644</v>
      </c>
      <c r="N210" t="s">
        <v>2655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2787</v>
      </c>
      <c r="C211" t="s">
        <v>3069</v>
      </c>
      <c r="D211" s="3">
        <v>36732</v>
      </c>
      <c r="E211" t="s">
        <v>1400</v>
      </c>
      <c r="G211" s="3">
        <v>44970</v>
      </c>
      <c r="H211" t="s">
        <v>3070</v>
      </c>
      <c r="J211" t="s">
        <v>1408</v>
      </c>
      <c r="K211" t="s">
        <v>64</v>
      </c>
      <c r="L211" s="3">
        <v>46810</v>
      </c>
      <c r="M211" s="3">
        <v>46707</v>
      </c>
      <c r="N211" t="s">
        <v>3071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1986</v>
      </c>
      <c r="C212" t="s">
        <v>2517</v>
      </c>
      <c r="D212" s="3">
        <v>27197</v>
      </c>
      <c r="E212" t="s">
        <v>1400</v>
      </c>
      <c r="G212" s="3">
        <v>44942</v>
      </c>
      <c r="H212" t="s">
        <v>2518</v>
      </c>
      <c r="J212" t="s">
        <v>1446</v>
      </c>
      <c r="K212" t="s">
        <v>70</v>
      </c>
      <c r="L212" s="3">
        <v>46782</v>
      </c>
      <c r="M212" s="3">
        <v>46665</v>
      </c>
      <c r="N212" t="s">
        <v>2519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1615</v>
      </c>
      <c r="C213" t="s">
        <v>1616</v>
      </c>
      <c r="D213" s="3">
        <v>36662</v>
      </c>
      <c r="E213" t="s">
        <v>1400</v>
      </c>
      <c r="G213" s="3">
        <v>44886</v>
      </c>
      <c r="H213" t="s">
        <v>1617</v>
      </c>
      <c r="J213" t="s">
        <v>1446</v>
      </c>
      <c r="K213" t="s">
        <v>58</v>
      </c>
      <c r="L213" s="3">
        <v>46726</v>
      </c>
      <c r="M213" s="3">
        <v>46658</v>
      </c>
      <c r="N213" t="s">
        <v>1618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2742</v>
      </c>
      <c r="C214" t="s">
        <v>2743</v>
      </c>
      <c r="D214" s="3">
        <v>26731</v>
      </c>
      <c r="E214" t="s">
        <v>1400</v>
      </c>
      <c r="G214" s="3">
        <v>44893</v>
      </c>
      <c r="H214" t="s">
        <v>2744</v>
      </c>
      <c r="I214">
        <v>93280697</v>
      </c>
      <c r="J214" t="s">
        <v>1459</v>
      </c>
      <c r="K214" t="s">
        <v>64</v>
      </c>
      <c r="L214" s="3">
        <v>46734</v>
      </c>
      <c r="M214" s="3">
        <v>46616</v>
      </c>
      <c r="N214" t="s">
        <v>2745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2274</v>
      </c>
      <c r="C215" t="s">
        <v>2275</v>
      </c>
      <c r="D215" s="3">
        <v>27600</v>
      </c>
      <c r="E215" t="s">
        <v>1400</v>
      </c>
      <c r="G215" s="3">
        <v>44867</v>
      </c>
      <c r="H215" t="s">
        <v>2276</v>
      </c>
      <c r="J215" t="s">
        <v>1408</v>
      </c>
      <c r="K215" t="s">
        <v>61</v>
      </c>
      <c r="L215" s="3">
        <v>46831</v>
      </c>
      <c r="M215" s="3">
        <v>46084</v>
      </c>
      <c r="N215" t="s">
        <v>2277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2688</v>
      </c>
      <c r="C216" t="s">
        <v>2689</v>
      </c>
      <c r="D216" s="3">
        <v>36352</v>
      </c>
      <c r="E216" t="s">
        <v>1400</v>
      </c>
      <c r="G216" s="3">
        <v>44837</v>
      </c>
      <c r="H216" t="s">
        <v>2690</v>
      </c>
      <c r="J216" t="s">
        <v>1408</v>
      </c>
      <c r="K216" t="s">
        <v>55</v>
      </c>
      <c r="L216" s="3">
        <v>46678</v>
      </c>
      <c r="M216" s="3">
        <v>46552</v>
      </c>
      <c r="N216" t="s">
        <v>2691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3433</v>
      </c>
      <c r="C217" t="s">
        <v>1882</v>
      </c>
      <c r="D217" s="3">
        <v>32771</v>
      </c>
      <c r="E217" t="s">
        <v>1400</v>
      </c>
      <c r="G217" s="3">
        <v>44837</v>
      </c>
      <c r="H217" t="s">
        <v>3434</v>
      </c>
      <c r="J217" t="s">
        <v>1403</v>
      </c>
      <c r="K217" t="s">
        <v>73</v>
      </c>
      <c r="L217" s="3">
        <v>46683</v>
      </c>
      <c r="M217" s="3">
        <v>46565</v>
      </c>
      <c r="N217" t="s">
        <v>3435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3182</v>
      </c>
      <c r="C218" t="s">
        <v>3183</v>
      </c>
      <c r="D218" s="3">
        <v>22487</v>
      </c>
      <c r="E218" t="s">
        <v>1400</v>
      </c>
      <c r="G218" s="3">
        <v>44805</v>
      </c>
      <c r="J218" t="s">
        <v>1975</v>
      </c>
      <c r="K218" t="s">
        <v>67</v>
      </c>
      <c r="L218" s="3">
        <v>1</v>
      </c>
      <c r="M218" s="3">
        <v>45949</v>
      </c>
      <c r="N218" t="s">
        <v>3184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3153</v>
      </c>
      <c r="C219" t="s">
        <v>3154</v>
      </c>
      <c r="D219" s="3">
        <v>27961</v>
      </c>
      <c r="E219" t="s">
        <v>1400</v>
      </c>
      <c r="G219" s="3">
        <v>44837</v>
      </c>
      <c r="H219" t="s">
        <v>3155</v>
      </c>
      <c r="J219" t="s">
        <v>1484</v>
      </c>
      <c r="K219" t="s">
        <v>73</v>
      </c>
      <c r="L219" s="3">
        <v>46678</v>
      </c>
      <c r="M219" s="3">
        <v>46593</v>
      </c>
      <c r="N219" t="s">
        <v>3156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3206</v>
      </c>
      <c r="C220" t="s">
        <v>3203</v>
      </c>
      <c r="D220" s="3">
        <v>26858</v>
      </c>
      <c r="E220" t="s">
        <v>1400</v>
      </c>
      <c r="G220" s="3">
        <v>44809</v>
      </c>
      <c r="H220" t="s">
        <v>3207</v>
      </c>
      <c r="J220" t="s">
        <v>1942</v>
      </c>
      <c r="K220" t="s">
        <v>52</v>
      </c>
      <c r="L220" s="3">
        <v>46651</v>
      </c>
      <c r="M220" s="3">
        <v>46565</v>
      </c>
      <c r="N220" t="s">
        <v>3208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3413</v>
      </c>
      <c r="C221" t="s">
        <v>3410</v>
      </c>
      <c r="D221" s="3">
        <v>34889</v>
      </c>
      <c r="E221" t="s">
        <v>1400</v>
      </c>
      <c r="G221" s="3">
        <v>44837</v>
      </c>
      <c r="H221" t="s">
        <v>3414</v>
      </c>
      <c r="J221" t="s">
        <v>1459</v>
      </c>
      <c r="K221" t="s">
        <v>67</v>
      </c>
      <c r="L221" s="3">
        <v>46553</v>
      </c>
      <c r="M221" s="3">
        <v>46680</v>
      </c>
      <c r="N221" t="s">
        <v>3415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2228</v>
      </c>
      <c r="C222" t="s">
        <v>2225</v>
      </c>
      <c r="D222" s="3">
        <v>33185</v>
      </c>
      <c r="E222" t="s">
        <v>1400</v>
      </c>
      <c r="G222" s="3">
        <v>44823</v>
      </c>
      <c r="H222" t="s">
        <v>2229</v>
      </c>
      <c r="J222" t="s">
        <v>1459</v>
      </c>
      <c r="K222" t="s">
        <v>67</v>
      </c>
      <c r="L222" s="3">
        <v>46664</v>
      </c>
      <c r="M222" s="3">
        <v>46518</v>
      </c>
      <c r="N222" t="s">
        <v>2230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3421</v>
      </c>
      <c r="C223" t="s">
        <v>3422</v>
      </c>
      <c r="D223" s="3">
        <v>36493</v>
      </c>
      <c r="E223" t="s">
        <v>1400</v>
      </c>
      <c r="G223" s="3">
        <v>44809</v>
      </c>
      <c r="H223" t="s">
        <v>3423</v>
      </c>
      <c r="J223" t="s">
        <v>1408</v>
      </c>
      <c r="K223" t="s">
        <v>52</v>
      </c>
      <c r="L223" s="3">
        <v>46652</v>
      </c>
      <c r="M223" s="3">
        <v>46574</v>
      </c>
      <c r="N223" t="s">
        <v>3424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1579</v>
      </c>
      <c r="C224" t="s">
        <v>2484</v>
      </c>
      <c r="D224" s="3">
        <v>30433</v>
      </c>
      <c r="E224" t="s">
        <v>1400</v>
      </c>
      <c r="G224" s="3">
        <v>44809</v>
      </c>
      <c r="H224" t="s">
        <v>2485</v>
      </c>
      <c r="J224" t="s">
        <v>1408</v>
      </c>
      <c r="K224" t="s">
        <v>67</v>
      </c>
      <c r="L224" s="3">
        <v>46650</v>
      </c>
      <c r="M224" s="3">
        <v>46504</v>
      </c>
      <c r="N224" t="s">
        <v>2486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2118</v>
      </c>
      <c r="C225" t="s">
        <v>2115</v>
      </c>
      <c r="D225" s="3">
        <v>29946</v>
      </c>
      <c r="E225" t="s">
        <v>1400</v>
      </c>
      <c r="G225" s="3">
        <v>44795</v>
      </c>
      <c r="H225" t="s">
        <v>2119</v>
      </c>
      <c r="J225" t="s">
        <v>1403</v>
      </c>
      <c r="K225" t="s">
        <v>58</v>
      </c>
      <c r="L225" s="3">
        <v>46637</v>
      </c>
      <c r="M225" s="3">
        <v>46504</v>
      </c>
      <c r="N225" t="s">
        <v>2120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1714</v>
      </c>
      <c r="C226" t="s">
        <v>2514</v>
      </c>
      <c r="D226" s="3">
        <v>33202</v>
      </c>
      <c r="E226" t="s">
        <v>1400</v>
      </c>
      <c r="G226" s="3">
        <v>44790</v>
      </c>
      <c r="H226" t="s">
        <v>2515</v>
      </c>
      <c r="J226" t="s">
        <v>1408</v>
      </c>
      <c r="K226" t="s">
        <v>67</v>
      </c>
      <c r="L226" s="3">
        <v>46421</v>
      </c>
      <c r="M226" s="3">
        <v>46120</v>
      </c>
      <c r="N226" t="s">
        <v>2516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1833</v>
      </c>
      <c r="C227" t="s">
        <v>2888</v>
      </c>
      <c r="D227" s="3">
        <v>24576</v>
      </c>
      <c r="E227" t="s">
        <v>1400</v>
      </c>
      <c r="G227" s="3">
        <v>44753</v>
      </c>
      <c r="H227" t="s">
        <v>2889</v>
      </c>
      <c r="J227" t="s">
        <v>1403</v>
      </c>
      <c r="K227" t="s">
        <v>52</v>
      </c>
      <c r="L227" s="3">
        <v>46595</v>
      </c>
      <c r="M227" s="3">
        <v>46530</v>
      </c>
      <c r="N227" t="s">
        <v>2890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2349</v>
      </c>
      <c r="C228" t="s">
        <v>3179</v>
      </c>
      <c r="D228" s="3">
        <v>35863</v>
      </c>
      <c r="E228" t="s">
        <v>1400</v>
      </c>
      <c r="G228" s="3">
        <v>44739</v>
      </c>
      <c r="H228" t="s">
        <v>3180</v>
      </c>
      <c r="J228" t="s">
        <v>1408</v>
      </c>
      <c r="K228" t="s">
        <v>67</v>
      </c>
      <c r="L228" s="3">
        <v>46610</v>
      </c>
      <c r="M228" s="3">
        <v>46511</v>
      </c>
      <c r="N228" t="s">
        <v>3181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1651</v>
      </c>
      <c r="C229" t="s">
        <v>1349</v>
      </c>
      <c r="D229" s="3">
        <v>31215</v>
      </c>
      <c r="E229" t="s">
        <v>1400</v>
      </c>
      <c r="G229" s="3">
        <v>44719</v>
      </c>
      <c r="H229" t="s">
        <v>1652</v>
      </c>
      <c r="J229" t="s">
        <v>1459</v>
      </c>
      <c r="K229" t="s">
        <v>55</v>
      </c>
      <c r="L229" s="3">
        <v>46560</v>
      </c>
      <c r="M229" s="3">
        <v>46518</v>
      </c>
      <c r="N229" t="s">
        <v>1653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2997</v>
      </c>
      <c r="C230" t="s">
        <v>2994</v>
      </c>
      <c r="D230" s="3">
        <v>34406</v>
      </c>
      <c r="E230" t="s">
        <v>1400</v>
      </c>
      <c r="G230" s="3">
        <v>44704</v>
      </c>
      <c r="H230" t="s">
        <v>2998</v>
      </c>
      <c r="J230" t="s">
        <v>1408</v>
      </c>
      <c r="K230" t="s">
        <v>64</v>
      </c>
      <c r="L230" s="3">
        <v>46547</v>
      </c>
      <c r="M230" s="3">
        <v>46497</v>
      </c>
      <c r="N230" t="s">
        <v>2999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2090</v>
      </c>
      <c r="C231" t="s">
        <v>2087</v>
      </c>
      <c r="D231" s="3">
        <v>29705</v>
      </c>
      <c r="E231" t="s">
        <v>1400</v>
      </c>
      <c r="G231" s="3">
        <v>44704</v>
      </c>
      <c r="H231" t="s">
        <v>2091</v>
      </c>
      <c r="J231" t="s">
        <v>1459</v>
      </c>
      <c r="K231" t="s">
        <v>73</v>
      </c>
      <c r="L231" s="3">
        <v>46546</v>
      </c>
      <c r="M231" s="3">
        <v>46497</v>
      </c>
      <c r="N231" t="s">
        <v>2092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2106</v>
      </c>
      <c r="C232" t="s">
        <v>2107</v>
      </c>
      <c r="D232" s="3">
        <v>37200</v>
      </c>
      <c r="E232" t="s">
        <v>1400</v>
      </c>
      <c r="G232" s="3">
        <v>44683</v>
      </c>
      <c r="H232" t="s">
        <v>2108</v>
      </c>
      <c r="J232" t="s">
        <v>1408</v>
      </c>
      <c r="K232" t="s">
        <v>58</v>
      </c>
      <c r="L232" s="3">
        <v>46524</v>
      </c>
      <c r="M232" s="3">
        <v>46476</v>
      </c>
      <c r="N232" t="s">
        <v>2109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3249</v>
      </c>
      <c r="C233" t="s">
        <v>3250</v>
      </c>
      <c r="D233" s="3">
        <v>25212</v>
      </c>
      <c r="E233" t="s">
        <v>1400</v>
      </c>
      <c r="G233" s="3">
        <v>44683</v>
      </c>
      <c r="H233" t="s">
        <v>3251</v>
      </c>
      <c r="J233" t="s">
        <v>1408</v>
      </c>
      <c r="K233" t="s">
        <v>64</v>
      </c>
      <c r="L233" s="3">
        <v>46529</v>
      </c>
      <c r="M233" s="3">
        <v>46470</v>
      </c>
      <c r="N233" t="s">
        <v>3252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2775</v>
      </c>
      <c r="C234" t="s">
        <v>2776</v>
      </c>
      <c r="D234" s="3">
        <v>25000</v>
      </c>
      <c r="E234" t="s">
        <v>1400</v>
      </c>
      <c r="G234" s="3">
        <v>44683</v>
      </c>
      <c r="H234" t="s">
        <v>2777</v>
      </c>
      <c r="J234" t="s">
        <v>1408</v>
      </c>
      <c r="K234" t="s">
        <v>55</v>
      </c>
      <c r="L234" s="3">
        <v>46524</v>
      </c>
      <c r="M234" s="3">
        <v>46470</v>
      </c>
      <c r="N234" t="s">
        <v>2778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1818</v>
      </c>
      <c r="C235" t="s">
        <v>1819</v>
      </c>
      <c r="D235" s="3">
        <v>32284</v>
      </c>
      <c r="E235" t="s">
        <v>1400</v>
      </c>
      <c r="G235" s="3">
        <v>44670</v>
      </c>
      <c r="H235" t="s">
        <v>1820</v>
      </c>
      <c r="J235" t="s">
        <v>1441</v>
      </c>
      <c r="K235" t="s">
        <v>55</v>
      </c>
      <c r="L235" s="3">
        <v>46515</v>
      </c>
      <c r="M235" s="3">
        <v>46470</v>
      </c>
      <c r="N235" t="s">
        <v>1821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1495</v>
      </c>
      <c r="C236" t="s">
        <v>1496</v>
      </c>
      <c r="D236" s="3">
        <v>24877</v>
      </c>
      <c r="E236" t="s">
        <v>1400</v>
      </c>
      <c r="G236" s="3">
        <v>44700</v>
      </c>
      <c r="H236" t="s">
        <v>1497</v>
      </c>
      <c r="J236" t="s">
        <v>1403</v>
      </c>
      <c r="K236" t="s">
        <v>52</v>
      </c>
      <c r="L236" s="3">
        <v>46117</v>
      </c>
      <c r="M236" s="3">
        <v>46104</v>
      </c>
      <c r="N236" t="s">
        <v>1498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2121</v>
      </c>
      <c r="C237" t="s">
        <v>2115</v>
      </c>
      <c r="D237" s="3">
        <v>35810</v>
      </c>
      <c r="E237" t="s">
        <v>1400</v>
      </c>
      <c r="G237" s="3">
        <v>44655</v>
      </c>
      <c r="H237" t="s">
        <v>2122</v>
      </c>
      <c r="J237" t="s">
        <v>1408</v>
      </c>
      <c r="K237" t="s">
        <v>64</v>
      </c>
      <c r="L237" s="3">
        <v>46497</v>
      </c>
      <c r="M237" s="3">
        <v>46445</v>
      </c>
      <c r="N237" t="s">
        <v>2123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1890</v>
      </c>
      <c r="C238" t="s">
        <v>1891</v>
      </c>
      <c r="D238" s="3">
        <v>35891</v>
      </c>
      <c r="E238" t="s">
        <v>1400</v>
      </c>
      <c r="G238" s="3">
        <v>44655</v>
      </c>
      <c r="H238" t="s">
        <v>1892</v>
      </c>
      <c r="J238" t="s">
        <v>1408</v>
      </c>
      <c r="K238" t="s">
        <v>73</v>
      </c>
      <c r="L238" s="3">
        <v>46502</v>
      </c>
      <c r="M238" s="3">
        <v>46400</v>
      </c>
      <c r="N238" t="s">
        <v>1893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2249</v>
      </c>
      <c r="C239" t="s">
        <v>2250</v>
      </c>
      <c r="D239" s="3">
        <v>27618</v>
      </c>
      <c r="E239" t="s">
        <v>1400</v>
      </c>
      <c r="G239" s="3">
        <v>44704</v>
      </c>
      <c r="H239" t="s">
        <v>2251</v>
      </c>
      <c r="J239" t="s">
        <v>1413</v>
      </c>
      <c r="K239" t="s">
        <v>55</v>
      </c>
      <c r="L239" s="3">
        <v>46546</v>
      </c>
      <c r="M239" s="3">
        <v>46431</v>
      </c>
      <c r="N239" t="s">
        <v>2252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1438</v>
      </c>
      <c r="C240" t="s">
        <v>1439</v>
      </c>
      <c r="D240" s="3">
        <v>35872</v>
      </c>
      <c r="E240" t="s">
        <v>1400</v>
      </c>
      <c r="G240" s="3">
        <v>44599</v>
      </c>
      <c r="H240" t="s">
        <v>1440</v>
      </c>
      <c r="J240" t="s">
        <v>1441</v>
      </c>
      <c r="K240" t="s">
        <v>52</v>
      </c>
      <c r="L240" s="3">
        <v>46439</v>
      </c>
      <c r="M240" s="3">
        <v>46404</v>
      </c>
      <c r="N240" t="s">
        <v>1442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2379</v>
      </c>
      <c r="C241" t="s">
        <v>2380</v>
      </c>
      <c r="D241" s="3">
        <v>30517</v>
      </c>
      <c r="E241" t="s">
        <v>1400</v>
      </c>
      <c r="G241" s="3">
        <v>44599</v>
      </c>
      <c r="H241" t="s">
        <v>2381</v>
      </c>
      <c r="J241" t="s">
        <v>1408</v>
      </c>
      <c r="K241" t="s">
        <v>58</v>
      </c>
      <c r="L241" s="3">
        <v>46440</v>
      </c>
      <c r="M241" s="3">
        <v>46340</v>
      </c>
      <c r="N241" t="s">
        <v>2382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1898</v>
      </c>
      <c r="C242" t="s">
        <v>1899</v>
      </c>
      <c r="D242" s="3">
        <v>36729</v>
      </c>
      <c r="E242" t="s">
        <v>1400</v>
      </c>
      <c r="G242" s="3">
        <v>44585</v>
      </c>
      <c r="H242" t="s">
        <v>1900</v>
      </c>
      <c r="J242" t="s">
        <v>1418</v>
      </c>
      <c r="K242" t="s">
        <v>64</v>
      </c>
      <c r="L242" s="3">
        <v>46425</v>
      </c>
      <c r="M242" s="3">
        <v>46033</v>
      </c>
      <c r="N242" t="s">
        <v>1901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3234</v>
      </c>
      <c r="C243" t="s">
        <v>1355</v>
      </c>
      <c r="D243" s="3">
        <v>33397</v>
      </c>
      <c r="E243" t="s">
        <v>1400</v>
      </c>
      <c r="G243" s="3">
        <v>44613</v>
      </c>
      <c r="H243" t="s">
        <v>3235</v>
      </c>
      <c r="J243" t="s">
        <v>1441</v>
      </c>
      <c r="K243" t="s">
        <v>70</v>
      </c>
      <c r="L243" s="3">
        <v>46453</v>
      </c>
      <c r="M243" s="3">
        <v>46273</v>
      </c>
      <c r="N243" t="s">
        <v>3236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3014</v>
      </c>
      <c r="C244" t="s">
        <v>1347</v>
      </c>
      <c r="D244" s="3">
        <v>32283</v>
      </c>
      <c r="E244" t="s">
        <v>1400</v>
      </c>
      <c r="G244" s="3">
        <v>44599</v>
      </c>
      <c r="H244" t="s">
        <v>3015</v>
      </c>
      <c r="J244" t="s">
        <v>1408</v>
      </c>
      <c r="K244" t="s">
        <v>73</v>
      </c>
      <c r="L244" s="3">
        <v>46439</v>
      </c>
      <c r="M244" s="3">
        <v>46236</v>
      </c>
      <c r="N244" t="s">
        <v>3016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1683</v>
      </c>
      <c r="C245" t="s">
        <v>1684</v>
      </c>
      <c r="D245" s="3">
        <v>26618</v>
      </c>
      <c r="E245" t="s">
        <v>1400</v>
      </c>
      <c r="G245" s="3">
        <v>44664</v>
      </c>
      <c r="H245" t="s">
        <v>1685</v>
      </c>
      <c r="I245">
        <v>32477920791</v>
      </c>
      <c r="J245" t="s">
        <v>1408</v>
      </c>
      <c r="K245" t="s">
        <v>64</v>
      </c>
      <c r="L245" s="3">
        <v>47237</v>
      </c>
      <c r="M245" s="3">
        <v>47230</v>
      </c>
      <c r="N245" t="s">
        <v>1686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2810</v>
      </c>
      <c r="C246" t="s">
        <v>2811</v>
      </c>
      <c r="D246" s="3">
        <v>33504</v>
      </c>
      <c r="E246" t="s">
        <v>1400</v>
      </c>
      <c r="G246" s="3">
        <v>44641</v>
      </c>
      <c r="H246" t="s">
        <v>2812</v>
      </c>
      <c r="J246" t="s">
        <v>1413</v>
      </c>
      <c r="K246" t="s">
        <v>64</v>
      </c>
      <c r="L246" s="3">
        <v>46482</v>
      </c>
      <c r="M246" s="3">
        <v>46364</v>
      </c>
      <c r="N246" t="s">
        <v>2813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2158</v>
      </c>
      <c r="C247" t="s">
        <v>2159</v>
      </c>
      <c r="D247" s="3">
        <v>35029</v>
      </c>
      <c r="E247" t="s">
        <v>1400</v>
      </c>
      <c r="G247" s="3">
        <v>44571</v>
      </c>
      <c r="H247" t="s">
        <v>2160</v>
      </c>
      <c r="J247" t="s">
        <v>1484</v>
      </c>
      <c r="K247" t="s">
        <v>55</v>
      </c>
      <c r="L247" s="3">
        <v>46411</v>
      </c>
      <c r="M247" s="3">
        <v>46340</v>
      </c>
      <c r="N247" t="s">
        <v>2161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2938</v>
      </c>
      <c r="C248" t="s">
        <v>2939</v>
      </c>
      <c r="D248" s="3">
        <v>34746</v>
      </c>
      <c r="E248" t="s">
        <v>1400</v>
      </c>
      <c r="G248" s="3">
        <v>44599</v>
      </c>
      <c r="H248" t="s">
        <v>2940</v>
      </c>
      <c r="J248" t="s">
        <v>1408</v>
      </c>
      <c r="K248" t="s">
        <v>52</v>
      </c>
      <c r="L248" s="3">
        <v>46439</v>
      </c>
      <c r="M248" s="3">
        <v>46320</v>
      </c>
      <c r="N248" t="s">
        <v>2941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2245</v>
      </c>
      <c r="C249" t="s">
        <v>2246</v>
      </c>
      <c r="D249" s="3">
        <v>29117</v>
      </c>
      <c r="E249" t="s">
        <v>1400</v>
      </c>
      <c r="G249" s="3">
        <v>44585</v>
      </c>
      <c r="H249" t="s">
        <v>2247</v>
      </c>
      <c r="J249" t="s">
        <v>1413</v>
      </c>
      <c r="K249" t="s">
        <v>64</v>
      </c>
      <c r="L249" s="3">
        <v>46431</v>
      </c>
      <c r="M249" s="3">
        <v>46210</v>
      </c>
      <c r="N249" t="s">
        <v>2248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2323</v>
      </c>
      <c r="C250" t="s">
        <v>2318</v>
      </c>
      <c r="D250" s="3">
        <v>21595</v>
      </c>
      <c r="E250" t="s">
        <v>1400</v>
      </c>
      <c r="G250" s="3">
        <v>44440</v>
      </c>
      <c r="J250" t="s">
        <v>1975</v>
      </c>
      <c r="K250" t="s">
        <v>73</v>
      </c>
      <c r="L250" s="3">
        <v>45948</v>
      </c>
      <c r="M250" s="3">
        <v>45930</v>
      </c>
      <c r="N250" t="s">
        <v>2324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2192</v>
      </c>
      <c r="C251" t="s">
        <v>2189</v>
      </c>
      <c r="D251" s="3">
        <v>36488</v>
      </c>
      <c r="E251" t="s">
        <v>1400</v>
      </c>
      <c r="G251" s="3">
        <v>44480</v>
      </c>
      <c r="H251" t="s">
        <v>2193</v>
      </c>
      <c r="J251" t="s">
        <v>1446</v>
      </c>
      <c r="K251" t="s">
        <v>52</v>
      </c>
      <c r="L251" s="3">
        <v>47338</v>
      </c>
      <c r="M251" s="3">
        <v>47350</v>
      </c>
      <c r="N251" t="s">
        <v>2194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1944</v>
      </c>
      <c r="C252" t="s">
        <v>1940</v>
      </c>
      <c r="D252" s="3">
        <v>22295</v>
      </c>
      <c r="E252" t="s">
        <v>1400</v>
      </c>
      <c r="G252" s="3">
        <v>44473</v>
      </c>
      <c r="H252" t="s">
        <v>1945</v>
      </c>
      <c r="I252">
        <v>93720791</v>
      </c>
      <c r="J252" t="s">
        <v>1408</v>
      </c>
      <c r="K252" t="s">
        <v>67</v>
      </c>
      <c r="L252" s="3">
        <v>46300</v>
      </c>
      <c r="M252" s="3">
        <v>46236</v>
      </c>
      <c r="N252" t="s">
        <v>1946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3456</v>
      </c>
      <c r="C253" t="s">
        <v>3457</v>
      </c>
      <c r="D253" s="3">
        <v>36031</v>
      </c>
      <c r="E253" t="s">
        <v>1400</v>
      </c>
      <c r="G253" s="3">
        <v>44431</v>
      </c>
      <c r="H253" t="s">
        <v>3458</v>
      </c>
      <c r="J253" t="s">
        <v>1403</v>
      </c>
      <c r="K253" t="s">
        <v>52</v>
      </c>
      <c r="L253" s="3">
        <v>46277</v>
      </c>
      <c r="M253" s="3">
        <v>46175</v>
      </c>
      <c r="N253" t="s">
        <v>3459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2723</v>
      </c>
      <c r="C254" t="s">
        <v>2724</v>
      </c>
      <c r="D254" s="3">
        <v>34087</v>
      </c>
      <c r="E254" t="s">
        <v>1400</v>
      </c>
      <c r="G254" s="3">
        <v>44417</v>
      </c>
      <c r="H254" t="s">
        <v>2725</v>
      </c>
      <c r="J254" t="s">
        <v>1408</v>
      </c>
      <c r="K254" t="s">
        <v>64</v>
      </c>
      <c r="L254" s="3">
        <v>46257</v>
      </c>
      <c r="M254" s="3">
        <v>46147</v>
      </c>
      <c r="N254" t="s">
        <v>2726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3092</v>
      </c>
      <c r="C255" t="s">
        <v>2427</v>
      </c>
      <c r="D255" s="3">
        <v>28213</v>
      </c>
      <c r="E255" t="s">
        <v>1400</v>
      </c>
      <c r="G255" s="3">
        <v>44384</v>
      </c>
      <c r="H255" t="s">
        <v>3093</v>
      </c>
      <c r="J255" t="s">
        <v>1418</v>
      </c>
      <c r="K255" t="s">
        <v>70</v>
      </c>
      <c r="L255" s="3">
        <v>46162</v>
      </c>
      <c r="M255" s="3">
        <v>46162</v>
      </c>
      <c r="N255" t="s">
        <v>3094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2545</v>
      </c>
      <c r="C256" t="s">
        <v>2546</v>
      </c>
      <c r="D256" s="3">
        <v>35465</v>
      </c>
      <c r="E256" t="s">
        <v>1400</v>
      </c>
      <c r="G256" s="3">
        <v>44389</v>
      </c>
      <c r="H256" t="s">
        <v>2547</v>
      </c>
      <c r="J256" t="s">
        <v>1446</v>
      </c>
      <c r="K256" t="s">
        <v>70</v>
      </c>
      <c r="L256" s="3">
        <v>46230</v>
      </c>
      <c r="M256" s="3">
        <v>46126</v>
      </c>
      <c r="N256" t="s">
        <v>2548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1870</v>
      </c>
      <c r="C257" t="s">
        <v>1871</v>
      </c>
      <c r="D257" s="3">
        <v>30329</v>
      </c>
      <c r="E257" t="s">
        <v>1400</v>
      </c>
      <c r="G257" s="3">
        <v>44389</v>
      </c>
      <c r="H257" t="s">
        <v>1872</v>
      </c>
      <c r="J257" t="s">
        <v>1446</v>
      </c>
      <c r="K257" t="s">
        <v>64</v>
      </c>
      <c r="L257" s="3">
        <v>46293</v>
      </c>
      <c r="M257" s="3">
        <v>46260</v>
      </c>
      <c r="N257" t="s">
        <v>1873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2419</v>
      </c>
      <c r="C258" t="s">
        <v>2416</v>
      </c>
      <c r="D258" s="3">
        <v>24255</v>
      </c>
      <c r="E258" t="s">
        <v>1400</v>
      </c>
      <c r="G258" s="3">
        <v>44375</v>
      </c>
      <c r="H258" t="s">
        <v>2420</v>
      </c>
      <c r="I258">
        <v>3254255856</v>
      </c>
      <c r="J258" t="s">
        <v>1459</v>
      </c>
      <c r="K258" t="s">
        <v>52</v>
      </c>
      <c r="L258" s="3">
        <v>46208</v>
      </c>
      <c r="M258" s="3">
        <v>46138</v>
      </c>
      <c r="N258" t="s">
        <v>2421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2278</v>
      </c>
      <c r="C259" t="s">
        <v>2279</v>
      </c>
      <c r="D259" s="3">
        <v>27133</v>
      </c>
      <c r="E259" t="s">
        <v>1400</v>
      </c>
      <c r="G259" s="3">
        <v>44389</v>
      </c>
      <c r="H259" t="s">
        <v>2280</v>
      </c>
      <c r="I259" t="s">
        <v>2281</v>
      </c>
      <c r="J259" t="s">
        <v>1441</v>
      </c>
      <c r="K259" t="s">
        <v>70</v>
      </c>
      <c r="L259" s="3">
        <v>46231</v>
      </c>
      <c r="M259" s="3">
        <v>46140</v>
      </c>
      <c r="N259" t="s">
        <v>2282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1763</v>
      </c>
      <c r="C260" t="s">
        <v>1755</v>
      </c>
      <c r="D260" s="3">
        <v>27176</v>
      </c>
      <c r="E260" t="s">
        <v>1400</v>
      </c>
      <c r="G260" s="3">
        <v>44347</v>
      </c>
      <c r="H260" t="s">
        <v>1764</v>
      </c>
      <c r="J260" t="s">
        <v>1609</v>
      </c>
      <c r="K260" t="s">
        <v>64</v>
      </c>
      <c r="L260" s="3">
        <v>46188</v>
      </c>
      <c r="M260" s="3">
        <v>46145</v>
      </c>
      <c r="N260" t="s">
        <v>1765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1773</v>
      </c>
      <c r="C261" t="s">
        <v>1774</v>
      </c>
      <c r="D261" s="3">
        <v>35351</v>
      </c>
      <c r="E261" t="s">
        <v>1400</v>
      </c>
      <c r="G261" s="3">
        <v>44347</v>
      </c>
      <c r="H261" t="s">
        <v>1775</v>
      </c>
      <c r="J261" t="s">
        <v>1408</v>
      </c>
      <c r="K261" t="s">
        <v>73</v>
      </c>
      <c r="L261" s="3">
        <v>46189</v>
      </c>
      <c r="M261" s="3">
        <v>46133</v>
      </c>
      <c r="N261" t="s">
        <v>1776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1261</v>
      </c>
      <c r="C262" t="s">
        <v>1902</v>
      </c>
      <c r="D262" s="3">
        <v>35422</v>
      </c>
      <c r="E262" t="s">
        <v>1400</v>
      </c>
      <c r="G262" s="3">
        <v>44333</v>
      </c>
      <c r="H262" t="s">
        <v>1903</v>
      </c>
      <c r="J262" t="s">
        <v>1459</v>
      </c>
      <c r="K262" t="s">
        <v>64</v>
      </c>
      <c r="L262" s="3">
        <v>46174</v>
      </c>
      <c r="M262" s="3">
        <v>46124</v>
      </c>
      <c r="N262" t="s">
        <v>1904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3216</v>
      </c>
      <c r="C263" t="s">
        <v>3217</v>
      </c>
      <c r="D263" s="3">
        <v>36403</v>
      </c>
      <c r="E263" t="s">
        <v>1400</v>
      </c>
      <c r="G263" s="3">
        <v>44333</v>
      </c>
      <c r="H263" t="s">
        <v>3218</v>
      </c>
      <c r="J263" t="s">
        <v>1515</v>
      </c>
      <c r="K263" t="s">
        <v>67</v>
      </c>
      <c r="L263" s="3">
        <v>46174</v>
      </c>
      <c r="M263" s="3">
        <v>46124</v>
      </c>
      <c r="N263" t="s">
        <v>3219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1968</v>
      </c>
      <c r="C264" t="s">
        <v>1969</v>
      </c>
      <c r="D264" s="3">
        <v>25171</v>
      </c>
      <c r="E264" t="s">
        <v>1400</v>
      </c>
      <c r="G264" s="3">
        <v>44347</v>
      </c>
      <c r="H264" t="s">
        <v>1970</v>
      </c>
      <c r="J264" t="s">
        <v>1418</v>
      </c>
      <c r="K264" t="s">
        <v>67</v>
      </c>
      <c r="L264" s="3">
        <v>46190</v>
      </c>
      <c r="M264" s="3">
        <v>46119</v>
      </c>
      <c r="N264" t="s">
        <v>1971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1833</v>
      </c>
      <c r="C265" t="s">
        <v>1834</v>
      </c>
      <c r="D265" s="3">
        <v>35806</v>
      </c>
      <c r="E265" t="s">
        <v>1400</v>
      </c>
      <c r="G265" s="3">
        <v>44333</v>
      </c>
      <c r="H265" t="s">
        <v>1835</v>
      </c>
      <c r="I265" t="s">
        <v>1836</v>
      </c>
      <c r="J265" t="s">
        <v>1408</v>
      </c>
      <c r="K265" t="s">
        <v>64</v>
      </c>
      <c r="L265" s="3">
        <v>46174</v>
      </c>
      <c r="M265" s="3">
        <v>46097</v>
      </c>
      <c r="N265" t="s">
        <v>1837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3055</v>
      </c>
      <c r="C266" t="s">
        <v>3056</v>
      </c>
      <c r="D266" s="3">
        <v>30035</v>
      </c>
      <c r="E266" t="s">
        <v>1400</v>
      </c>
      <c r="G266" s="3">
        <v>44333</v>
      </c>
      <c r="H266" t="s">
        <v>3057</v>
      </c>
      <c r="J266" t="s">
        <v>1408</v>
      </c>
      <c r="K266" t="s">
        <v>61</v>
      </c>
      <c r="L266" s="3">
        <v>46174</v>
      </c>
      <c r="M266" s="3">
        <v>46004</v>
      </c>
      <c r="N266" t="s">
        <v>3058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3241</v>
      </c>
      <c r="C267" t="s">
        <v>3242</v>
      </c>
      <c r="D267" s="3">
        <v>26348</v>
      </c>
      <c r="E267" t="s">
        <v>1400</v>
      </c>
      <c r="G267" s="3">
        <v>44298</v>
      </c>
      <c r="H267" t="s">
        <v>3243</v>
      </c>
      <c r="J267" t="s">
        <v>1403</v>
      </c>
      <c r="K267" t="s">
        <v>55</v>
      </c>
      <c r="L267" s="3">
        <v>46138</v>
      </c>
      <c r="M267" s="3">
        <v>46097</v>
      </c>
      <c r="N267" t="s">
        <v>3244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2470</v>
      </c>
      <c r="C268" t="s">
        <v>2471</v>
      </c>
      <c r="D268" s="3">
        <v>31748</v>
      </c>
      <c r="E268" t="s">
        <v>1400</v>
      </c>
      <c r="G268" s="3">
        <v>44312</v>
      </c>
      <c r="H268" t="s">
        <v>2472</v>
      </c>
      <c r="J268" t="s">
        <v>1403</v>
      </c>
      <c r="K268" t="s">
        <v>64</v>
      </c>
      <c r="L268" s="3">
        <v>46152</v>
      </c>
      <c r="M268" s="3">
        <v>46897</v>
      </c>
      <c r="N268" t="s">
        <v>2473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1905</v>
      </c>
      <c r="C269" t="s">
        <v>1906</v>
      </c>
      <c r="D269" s="3">
        <v>33510</v>
      </c>
      <c r="E269" t="s">
        <v>1400</v>
      </c>
      <c r="G269" s="3">
        <v>44312</v>
      </c>
      <c r="H269" t="s">
        <v>1907</v>
      </c>
      <c r="J269" t="s">
        <v>1441</v>
      </c>
      <c r="K269" t="s">
        <v>73</v>
      </c>
      <c r="L269" s="3">
        <v>46152</v>
      </c>
      <c r="M269" s="3">
        <v>46084</v>
      </c>
      <c r="N269" t="s">
        <v>1908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3617</v>
      </c>
      <c r="C270" t="s">
        <v>3618</v>
      </c>
      <c r="D270" s="3">
        <v>36246</v>
      </c>
      <c r="E270" t="s">
        <v>1400</v>
      </c>
      <c r="G270" s="3">
        <v>44312</v>
      </c>
      <c r="H270" t="s">
        <v>3619</v>
      </c>
      <c r="J270" t="s">
        <v>1408</v>
      </c>
      <c r="K270" t="s">
        <v>58</v>
      </c>
      <c r="L270" s="3">
        <v>46152</v>
      </c>
      <c r="M270" s="3">
        <v>46090</v>
      </c>
      <c r="N270" t="s">
        <v>3620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3467</v>
      </c>
      <c r="C271" t="s">
        <v>3468</v>
      </c>
      <c r="D271" s="3">
        <v>32703</v>
      </c>
      <c r="E271" t="s">
        <v>1400</v>
      </c>
      <c r="G271" s="3">
        <v>44305</v>
      </c>
      <c r="H271" t="s">
        <v>3469</v>
      </c>
      <c r="J271" t="s">
        <v>1403</v>
      </c>
      <c r="K271" t="s">
        <v>55</v>
      </c>
      <c r="L271" s="3">
        <v>46138</v>
      </c>
      <c r="M271" s="3">
        <v>46090</v>
      </c>
      <c r="N271" t="s">
        <v>3470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2093</v>
      </c>
      <c r="C272" t="s">
        <v>2087</v>
      </c>
      <c r="D272" s="3">
        <v>27833</v>
      </c>
      <c r="E272" t="s">
        <v>1400</v>
      </c>
      <c r="G272" s="3">
        <v>44333</v>
      </c>
      <c r="H272" t="s">
        <v>2094</v>
      </c>
      <c r="J272" t="s">
        <v>1418</v>
      </c>
      <c r="K272" t="s">
        <v>58</v>
      </c>
      <c r="L272" s="3">
        <v>46175</v>
      </c>
      <c r="M272" s="3">
        <v>45936</v>
      </c>
      <c r="N272" t="s">
        <v>2095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2829</v>
      </c>
      <c r="C273" t="s">
        <v>2830</v>
      </c>
      <c r="D273" s="3">
        <v>22566</v>
      </c>
      <c r="E273" t="s">
        <v>1400</v>
      </c>
      <c r="G273" s="3">
        <v>44336</v>
      </c>
      <c r="H273" t="s">
        <v>2831</v>
      </c>
      <c r="J273" t="s">
        <v>1413</v>
      </c>
      <c r="K273" t="s">
        <v>73</v>
      </c>
      <c r="L273" s="3">
        <v>47576</v>
      </c>
      <c r="M273" s="3">
        <v>47547</v>
      </c>
      <c r="N273" t="s">
        <v>2832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2978</v>
      </c>
      <c r="C274" t="s">
        <v>2979</v>
      </c>
      <c r="D274" s="3">
        <v>36236</v>
      </c>
      <c r="E274" t="s">
        <v>1400</v>
      </c>
      <c r="G274" s="3">
        <v>44270</v>
      </c>
      <c r="H274" t="s">
        <v>2980</v>
      </c>
      <c r="J274" t="s">
        <v>1408</v>
      </c>
      <c r="K274" t="s">
        <v>70</v>
      </c>
      <c r="L274" s="3">
        <v>46112</v>
      </c>
      <c r="M274" s="3">
        <v>46064</v>
      </c>
      <c r="N274" t="s">
        <v>2981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2734</v>
      </c>
      <c r="C275" t="s">
        <v>2735</v>
      </c>
      <c r="D275" s="3">
        <v>35740</v>
      </c>
      <c r="E275" t="s">
        <v>1400</v>
      </c>
      <c r="G275" s="3">
        <v>44298</v>
      </c>
      <c r="H275" t="s">
        <v>2736</v>
      </c>
      <c r="I275">
        <v>471573703</v>
      </c>
      <c r="J275" t="s">
        <v>1408</v>
      </c>
      <c r="K275" t="s">
        <v>58</v>
      </c>
      <c r="L275" s="3">
        <v>46138</v>
      </c>
      <c r="M275" s="3">
        <v>45923</v>
      </c>
      <c r="N275" t="s">
        <v>2737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3126</v>
      </c>
      <c r="C276" t="s">
        <v>3127</v>
      </c>
      <c r="D276" s="3">
        <v>24304</v>
      </c>
      <c r="E276" t="s">
        <v>1400</v>
      </c>
      <c r="G276" s="3">
        <v>44284</v>
      </c>
      <c r="H276" t="s">
        <v>3128</v>
      </c>
      <c r="J276" t="s">
        <v>1609</v>
      </c>
      <c r="K276" t="s">
        <v>64</v>
      </c>
      <c r="L276" s="3">
        <v>46125</v>
      </c>
      <c r="M276" s="3">
        <v>45951</v>
      </c>
      <c r="N276" t="s">
        <v>3129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1954</v>
      </c>
      <c r="C277" t="s">
        <v>1951</v>
      </c>
      <c r="D277" s="3">
        <v>29706</v>
      </c>
      <c r="E277" t="s">
        <v>1400</v>
      </c>
      <c r="G277" s="3">
        <v>44284</v>
      </c>
      <c r="H277" t="s">
        <v>1955</v>
      </c>
      <c r="J277" t="s">
        <v>1515</v>
      </c>
      <c r="K277" t="s">
        <v>73</v>
      </c>
      <c r="L277" s="3">
        <v>46125</v>
      </c>
      <c r="M277" s="3">
        <v>45985</v>
      </c>
      <c r="N277" t="s">
        <v>1956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1668</v>
      </c>
      <c r="C278" t="s">
        <v>1669</v>
      </c>
      <c r="D278" s="3">
        <v>28212</v>
      </c>
      <c r="E278" t="s">
        <v>1400</v>
      </c>
      <c r="G278" s="3">
        <v>44284</v>
      </c>
      <c r="H278" t="s">
        <v>1670</v>
      </c>
      <c r="J278" t="s">
        <v>1441</v>
      </c>
      <c r="K278" t="s">
        <v>58</v>
      </c>
      <c r="L278" s="3">
        <v>46127</v>
      </c>
      <c r="M278" s="3">
        <v>45930</v>
      </c>
      <c r="N278" t="s">
        <v>1671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3276</v>
      </c>
      <c r="C279" t="s">
        <v>3277</v>
      </c>
      <c r="D279" s="3">
        <v>27839</v>
      </c>
      <c r="E279" t="s">
        <v>1655</v>
      </c>
      <c r="G279" s="3">
        <v>44270</v>
      </c>
      <c r="H279" t="s">
        <v>3278</v>
      </c>
      <c r="J279" t="s">
        <v>1515</v>
      </c>
      <c r="K279" t="s">
        <v>52</v>
      </c>
      <c r="L279" s="3">
        <v>46368</v>
      </c>
      <c r="M279" s="3">
        <v>46120</v>
      </c>
      <c r="N279" t="s">
        <v>3279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3339</v>
      </c>
      <c r="C280" t="s">
        <v>3340</v>
      </c>
      <c r="D280" s="3">
        <v>36109</v>
      </c>
      <c r="E280" t="s">
        <v>1400</v>
      </c>
      <c r="G280" s="3">
        <v>44256</v>
      </c>
      <c r="H280" t="s">
        <v>3341</v>
      </c>
      <c r="J280" t="s">
        <v>1408</v>
      </c>
      <c r="K280" t="s">
        <v>58</v>
      </c>
      <c r="L280" s="3">
        <v>46096</v>
      </c>
      <c r="M280" s="3">
        <v>45903</v>
      </c>
      <c r="N280" t="s">
        <v>3342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1517</v>
      </c>
      <c r="C281" t="s">
        <v>1638</v>
      </c>
      <c r="D281" s="3">
        <v>35578</v>
      </c>
      <c r="E281" t="s">
        <v>1400</v>
      </c>
      <c r="G281" s="3">
        <v>44214</v>
      </c>
      <c r="H281" t="s">
        <v>1641</v>
      </c>
      <c r="J281" t="s">
        <v>1609</v>
      </c>
      <c r="K281" t="s">
        <v>73</v>
      </c>
      <c r="L281" s="3">
        <v>46055</v>
      </c>
      <c r="M281" s="3">
        <v>45930</v>
      </c>
      <c r="N281" t="s">
        <v>1642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2862</v>
      </c>
      <c r="C282" t="s">
        <v>2863</v>
      </c>
      <c r="D282" s="3">
        <v>33168</v>
      </c>
      <c r="E282" t="s">
        <v>1400</v>
      </c>
      <c r="F282">
        <v>308</v>
      </c>
      <c r="G282" s="3">
        <v>44151</v>
      </c>
      <c r="H282" t="s">
        <v>2864</v>
      </c>
      <c r="J282" t="s">
        <v>1432</v>
      </c>
      <c r="K282" t="s">
        <v>73</v>
      </c>
      <c r="L282" s="3">
        <v>45992</v>
      </c>
      <c r="M282" s="3">
        <v>45915</v>
      </c>
      <c r="N282" t="s">
        <v>2865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1981</v>
      </c>
      <c r="C283" t="s">
        <v>1982</v>
      </c>
      <c r="D283" s="3">
        <v>23710</v>
      </c>
      <c r="E283" t="s">
        <v>1400</v>
      </c>
      <c r="F283">
        <v>224</v>
      </c>
      <c r="G283" s="3">
        <v>44123</v>
      </c>
      <c r="H283" t="s">
        <v>1983</v>
      </c>
      <c r="I283" t="s">
        <v>1984</v>
      </c>
      <c r="J283" t="s">
        <v>1413</v>
      </c>
      <c r="K283" t="s">
        <v>70</v>
      </c>
      <c r="L283" s="3">
        <v>47573</v>
      </c>
      <c r="M283" s="3">
        <v>47533</v>
      </c>
      <c r="N283" t="s">
        <v>1985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2688</v>
      </c>
      <c r="C284" t="s">
        <v>2720</v>
      </c>
      <c r="D284" s="3">
        <v>33856</v>
      </c>
      <c r="E284" t="s">
        <v>1400</v>
      </c>
      <c r="F284">
        <v>324</v>
      </c>
      <c r="G284" s="3">
        <v>44067</v>
      </c>
      <c r="H284" t="s">
        <v>2721</v>
      </c>
      <c r="J284" t="s">
        <v>1408</v>
      </c>
      <c r="K284" t="s">
        <v>70</v>
      </c>
      <c r="L284" s="3">
        <v>47699</v>
      </c>
      <c r="M284" s="3">
        <v>47594</v>
      </c>
      <c r="N284" t="s">
        <v>2722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1781</v>
      </c>
      <c r="C285" t="s">
        <v>1782</v>
      </c>
      <c r="D285" s="3">
        <v>24400</v>
      </c>
      <c r="E285" t="s">
        <v>1400</v>
      </c>
      <c r="F285">
        <v>393</v>
      </c>
      <c r="G285" s="3">
        <v>44075</v>
      </c>
      <c r="I285">
        <v>492421081</v>
      </c>
      <c r="J285" t="s">
        <v>1459</v>
      </c>
      <c r="K285" t="s">
        <v>58</v>
      </c>
      <c r="L285" s="3">
        <v>46905</v>
      </c>
      <c r="M285" s="3">
        <v>46853</v>
      </c>
      <c r="N285" t="s">
        <v>1783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1456</v>
      </c>
      <c r="C286" t="s">
        <v>1457</v>
      </c>
      <c r="D286" s="3">
        <v>31611</v>
      </c>
      <c r="E286" t="s">
        <v>1400</v>
      </c>
      <c r="F286">
        <v>355</v>
      </c>
      <c r="G286" s="3">
        <v>44070</v>
      </c>
      <c r="H286" t="s">
        <v>1458</v>
      </c>
      <c r="J286" t="s">
        <v>1459</v>
      </c>
      <c r="K286" t="s">
        <v>67</v>
      </c>
      <c r="L286" s="3">
        <v>46876</v>
      </c>
      <c r="M286" s="3">
        <v>46862</v>
      </c>
      <c r="N286" t="s">
        <v>1460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3157</v>
      </c>
      <c r="C287" t="s">
        <v>3158</v>
      </c>
      <c r="D287" s="3">
        <v>29006</v>
      </c>
      <c r="E287" t="s">
        <v>1400</v>
      </c>
      <c r="F287">
        <v>278</v>
      </c>
      <c r="G287" s="3">
        <v>44081</v>
      </c>
      <c r="H287" t="s">
        <v>3159</v>
      </c>
      <c r="J287" t="s">
        <v>1459</v>
      </c>
      <c r="K287" t="s">
        <v>55</v>
      </c>
      <c r="L287" s="3">
        <v>45922</v>
      </c>
      <c r="M287" s="3">
        <v>47407</v>
      </c>
      <c r="N287" t="s">
        <v>3160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1410</v>
      </c>
      <c r="C288" t="s">
        <v>1411</v>
      </c>
      <c r="D288" s="3">
        <v>27907</v>
      </c>
      <c r="E288" t="s">
        <v>1400</v>
      </c>
      <c r="F288">
        <v>414</v>
      </c>
      <c r="G288" s="3">
        <v>44067</v>
      </c>
      <c r="H288" t="s">
        <v>1412</v>
      </c>
      <c r="J288" t="s">
        <v>1413</v>
      </c>
      <c r="K288" t="s">
        <v>67</v>
      </c>
      <c r="L288" s="3">
        <v>47602</v>
      </c>
      <c r="M288" s="3">
        <v>47594</v>
      </c>
      <c r="N288" t="s">
        <v>1414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1469</v>
      </c>
      <c r="C289" t="s">
        <v>1470</v>
      </c>
      <c r="D289" s="3">
        <v>24328</v>
      </c>
      <c r="E289" t="s">
        <v>1400</v>
      </c>
      <c r="F289">
        <v>434</v>
      </c>
      <c r="G289" s="3">
        <v>44039</v>
      </c>
      <c r="H289" t="s">
        <v>1471</v>
      </c>
      <c r="J289" t="s">
        <v>1441</v>
      </c>
      <c r="K289" t="s">
        <v>52</v>
      </c>
      <c r="L289" s="3">
        <v>47533</v>
      </c>
      <c r="M289" s="3">
        <v>47517</v>
      </c>
      <c r="N289" t="s">
        <v>1472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2090</v>
      </c>
      <c r="C290" t="s">
        <v>2814</v>
      </c>
      <c r="D290" s="3">
        <v>33879</v>
      </c>
      <c r="E290" t="s">
        <v>1400</v>
      </c>
      <c r="F290">
        <v>435</v>
      </c>
      <c r="G290" s="3">
        <v>44039</v>
      </c>
      <c r="H290" t="s">
        <v>2820</v>
      </c>
      <c r="J290" t="s">
        <v>1413</v>
      </c>
      <c r="K290" t="s">
        <v>73</v>
      </c>
      <c r="L290" s="3">
        <v>47635</v>
      </c>
      <c r="M290" s="3">
        <v>47547</v>
      </c>
      <c r="N290" t="s">
        <v>2821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2342</v>
      </c>
      <c r="C291" t="s">
        <v>2333</v>
      </c>
      <c r="D291" s="3">
        <v>34121</v>
      </c>
      <c r="E291" t="s">
        <v>1400</v>
      </c>
      <c r="F291">
        <v>22</v>
      </c>
      <c r="G291" s="3">
        <v>44025</v>
      </c>
      <c r="H291" t="s">
        <v>2343</v>
      </c>
      <c r="J291" t="s">
        <v>1413</v>
      </c>
      <c r="K291" t="s">
        <v>64</v>
      </c>
      <c r="L291" s="3">
        <v>47554</v>
      </c>
      <c r="M291" s="3">
        <v>47547</v>
      </c>
      <c r="N291" t="s">
        <v>2344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2345</v>
      </c>
      <c r="C292" t="s">
        <v>2346</v>
      </c>
      <c r="D292" s="3">
        <v>29509</v>
      </c>
      <c r="E292" t="s">
        <v>1400</v>
      </c>
      <c r="F292">
        <v>260</v>
      </c>
      <c r="G292" s="3">
        <v>44039</v>
      </c>
      <c r="H292" t="s">
        <v>2347</v>
      </c>
      <c r="J292" t="s">
        <v>1459</v>
      </c>
      <c r="K292" t="s">
        <v>58</v>
      </c>
      <c r="L292" s="3">
        <v>47617</v>
      </c>
      <c r="M292" s="3">
        <v>47579</v>
      </c>
      <c r="N292" t="s">
        <v>2348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2309</v>
      </c>
      <c r="C293" t="s">
        <v>2310</v>
      </c>
      <c r="D293" s="3">
        <v>28007</v>
      </c>
      <c r="E293" t="s">
        <v>1400</v>
      </c>
      <c r="F293">
        <v>282</v>
      </c>
      <c r="G293" s="3">
        <v>44039</v>
      </c>
      <c r="H293" t="s">
        <v>2311</v>
      </c>
      <c r="J293" t="s">
        <v>1413</v>
      </c>
      <c r="K293" t="s">
        <v>73</v>
      </c>
      <c r="L293" s="3">
        <v>47568</v>
      </c>
      <c r="M293" s="3">
        <v>47561</v>
      </c>
      <c r="N293" t="s">
        <v>2312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1415</v>
      </c>
      <c r="C294" t="s">
        <v>1416</v>
      </c>
      <c r="D294" s="3">
        <v>35525</v>
      </c>
      <c r="E294" t="s">
        <v>1400</v>
      </c>
      <c r="F294">
        <v>452</v>
      </c>
      <c r="G294" s="3">
        <v>44025</v>
      </c>
      <c r="H294" t="s">
        <v>1417</v>
      </c>
      <c r="I294">
        <v>487773919</v>
      </c>
      <c r="J294" t="s">
        <v>1418</v>
      </c>
      <c r="K294" t="s">
        <v>58</v>
      </c>
      <c r="L294" s="3">
        <v>47610</v>
      </c>
      <c r="M294" s="3">
        <v>47609</v>
      </c>
      <c r="N294" t="s">
        <v>1419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3212</v>
      </c>
      <c r="C295" t="s">
        <v>3213</v>
      </c>
      <c r="D295" s="3">
        <v>35139</v>
      </c>
      <c r="E295" t="s">
        <v>1400</v>
      </c>
      <c r="F295">
        <v>10</v>
      </c>
      <c r="G295" s="3">
        <v>44025</v>
      </c>
      <c r="H295" t="s">
        <v>3214</v>
      </c>
      <c r="J295" t="s">
        <v>1413</v>
      </c>
      <c r="K295" t="s">
        <v>67</v>
      </c>
      <c r="L295" s="3">
        <v>47526</v>
      </c>
      <c r="M295" s="3">
        <v>47524</v>
      </c>
      <c r="N295" t="s">
        <v>3215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1766</v>
      </c>
      <c r="C296" t="s">
        <v>2872</v>
      </c>
      <c r="D296" s="3">
        <v>18345</v>
      </c>
      <c r="E296" t="s">
        <v>1400</v>
      </c>
      <c r="G296" s="3">
        <v>43993</v>
      </c>
      <c r="J296" t="s">
        <v>1975</v>
      </c>
      <c r="K296" t="s">
        <v>73</v>
      </c>
      <c r="L296" s="3">
        <v>47664</v>
      </c>
      <c r="M296" s="3">
        <v>46186</v>
      </c>
      <c r="N296" t="s">
        <v>2875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1576</v>
      </c>
      <c r="C297" t="s">
        <v>1572</v>
      </c>
      <c r="D297" s="3">
        <v>31006</v>
      </c>
      <c r="E297" t="s">
        <v>1400</v>
      </c>
      <c r="F297">
        <v>38</v>
      </c>
      <c r="G297" s="3">
        <v>44025</v>
      </c>
      <c r="H297" t="s">
        <v>1577</v>
      </c>
      <c r="J297" t="s">
        <v>1441</v>
      </c>
      <c r="K297" t="s">
        <v>52</v>
      </c>
      <c r="L297" s="3">
        <v>47610</v>
      </c>
      <c r="M297" s="3">
        <v>47547</v>
      </c>
      <c r="N297" t="s">
        <v>1578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2727</v>
      </c>
      <c r="C298" t="s">
        <v>2728</v>
      </c>
      <c r="D298" s="3">
        <v>30458</v>
      </c>
      <c r="E298" t="s">
        <v>1400</v>
      </c>
      <c r="F298">
        <v>400</v>
      </c>
      <c r="G298" s="3">
        <v>43997</v>
      </c>
      <c r="H298" t="s">
        <v>2729</v>
      </c>
      <c r="J298" t="s">
        <v>1446</v>
      </c>
      <c r="K298" t="s">
        <v>70</v>
      </c>
      <c r="L298" s="3">
        <v>47581</v>
      </c>
      <c r="M298" s="3">
        <v>47533</v>
      </c>
      <c r="N298" t="s">
        <v>2730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3320</v>
      </c>
      <c r="C299" t="s">
        <v>3321</v>
      </c>
      <c r="D299" s="3">
        <v>29155</v>
      </c>
      <c r="E299" t="s">
        <v>1400</v>
      </c>
      <c r="F299">
        <v>426</v>
      </c>
      <c r="G299" s="3">
        <v>44081</v>
      </c>
      <c r="H299" t="s">
        <v>3322</v>
      </c>
      <c r="J299" t="s">
        <v>1441</v>
      </c>
      <c r="K299" t="s">
        <v>52</v>
      </c>
      <c r="L299" s="3">
        <v>47435</v>
      </c>
      <c r="M299" s="3">
        <v>46646</v>
      </c>
      <c r="N299" t="s">
        <v>3323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3043</v>
      </c>
      <c r="C300" t="s">
        <v>3037</v>
      </c>
      <c r="D300" s="3">
        <v>22829</v>
      </c>
      <c r="E300" t="s">
        <v>1400</v>
      </c>
      <c r="F300">
        <v>28</v>
      </c>
      <c r="G300" s="3">
        <v>44011</v>
      </c>
      <c r="H300" t="s">
        <v>3044</v>
      </c>
      <c r="J300" t="s">
        <v>1413</v>
      </c>
      <c r="K300" t="s">
        <v>58</v>
      </c>
      <c r="L300" s="3">
        <v>47587</v>
      </c>
      <c r="M300" s="3">
        <v>47568</v>
      </c>
      <c r="N300" t="s">
        <v>3045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3080</v>
      </c>
      <c r="C301" t="s">
        <v>3077</v>
      </c>
      <c r="D301" s="3">
        <v>28965</v>
      </c>
      <c r="E301" t="s">
        <v>1400</v>
      </c>
      <c r="F301">
        <v>95</v>
      </c>
      <c r="G301" s="3">
        <v>44011</v>
      </c>
      <c r="H301" t="s">
        <v>3081</v>
      </c>
      <c r="I301">
        <v>0</v>
      </c>
      <c r="J301" t="s">
        <v>1432</v>
      </c>
      <c r="K301" t="s">
        <v>73</v>
      </c>
      <c r="L301" s="3">
        <v>47498</v>
      </c>
      <c r="M301" s="3">
        <v>47126</v>
      </c>
      <c r="N301" t="s">
        <v>3082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3220</v>
      </c>
      <c r="C302" t="s">
        <v>3221</v>
      </c>
      <c r="D302" s="3">
        <v>31067</v>
      </c>
      <c r="E302" t="s">
        <v>1400</v>
      </c>
      <c r="F302">
        <v>324</v>
      </c>
      <c r="G302" s="3">
        <v>44039</v>
      </c>
      <c r="H302" t="s">
        <v>3222</v>
      </c>
      <c r="J302" t="s">
        <v>1408</v>
      </c>
      <c r="K302" t="s">
        <v>67</v>
      </c>
      <c r="L302" s="3">
        <v>47393</v>
      </c>
      <c r="M302" s="3">
        <v>47351</v>
      </c>
      <c r="N302" t="s">
        <v>3223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3429</v>
      </c>
      <c r="C303" t="s">
        <v>3430</v>
      </c>
      <c r="D303" s="3">
        <v>30513</v>
      </c>
      <c r="E303" t="s">
        <v>1400</v>
      </c>
      <c r="F303">
        <v>387</v>
      </c>
      <c r="G303" s="3">
        <v>43984</v>
      </c>
      <c r="H303" t="s">
        <v>3431</v>
      </c>
      <c r="I303">
        <v>92567935</v>
      </c>
      <c r="J303" t="s">
        <v>1441</v>
      </c>
      <c r="K303" t="s">
        <v>73</v>
      </c>
      <c r="L303" s="3">
        <v>47450</v>
      </c>
      <c r="M303" s="3">
        <v>47441</v>
      </c>
      <c r="N303" t="s">
        <v>3432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2766</v>
      </c>
      <c r="C304" t="s">
        <v>2767</v>
      </c>
      <c r="D304" s="3">
        <v>28038</v>
      </c>
      <c r="E304" t="s">
        <v>1400</v>
      </c>
      <c r="F304">
        <v>335</v>
      </c>
      <c r="G304" s="3">
        <v>43980</v>
      </c>
      <c r="H304" t="s">
        <v>2768</v>
      </c>
      <c r="J304" t="s">
        <v>1609</v>
      </c>
      <c r="K304" t="s">
        <v>67</v>
      </c>
      <c r="L304" s="3">
        <v>73050</v>
      </c>
      <c r="M304" s="3">
        <v>47460</v>
      </c>
      <c r="N304" t="s">
        <v>2769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1512</v>
      </c>
      <c r="C305" t="s">
        <v>1788</v>
      </c>
      <c r="D305" s="3">
        <v>27962</v>
      </c>
      <c r="E305" t="s">
        <v>1400</v>
      </c>
      <c r="F305">
        <v>350</v>
      </c>
      <c r="G305" s="3">
        <v>43969</v>
      </c>
      <c r="H305" t="s">
        <v>1789</v>
      </c>
      <c r="J305" t="s">
        <v>1446</v>
      </c>
      <c r="K305" t="s">
        <v>58</v>
      </c>
      <c r="L305" s="3">
        <v>47485</v>
      </c>
      <c r="M305" s="3">
        <v>47441</v>
      </c>
      <c r="N305" t="s">
        <v>1790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2258</v>
      </c>
      <c r="C306" t="s">
        <v>2259</v>
      </c>
      <c r="D306" s="3">
        <v>33578</v>
      </c>
      <c r="E306" t="s">
        <v>1400</v>
      </c>
      <c r="F306">
        <v>114</v>
      </c>
      <c r="G306" s="3">
        <v>43944</v>
      </c>
      <c r="H306" t="s">
        <v>2260</v>
      </c>
      <c r="I306">
        <v>92788949</v>
      </c>
      <c r="J306" t="s">
        <v>1459</v>
      </c>
      <c r="K306" t="s">
        <v>58</v>
      </c>
      <c r="L306" s="3">
        <v>46384</v>
      </c>
      <c r="M306" s="3">
        <v>46378</v>
      </c>
      <c r="N306" t="s">
        <v>2261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1276</v>
      </c>
      <c r="C307" t="s">
        <v>2538</v>
      </c>
      <c r="D307" s="3">
        <v>25938</v>
      </c>
      <c r="E307" t="s">
        <v>1400</v>
      </c>
      <c r="F307">
        <v>160</v>
      </c>
      <c r="G307" s="3">
        <v>43906</v>
      </c>
      <c r="H307" t="s">
        <v>2539</v>
      </c>
      <c r="J307" t="s">
        <v>1459</v>
      </c>
      <c r="K307" t="s">
        <v>58</v>
      </c>
      <c r="L307" s="3">
        <v>47517</v>
      </c>
      <c r="M307" s="3">
        <v>47441</v>
      </c>
      <c r="N307" t="s">
        <v>2540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3439</v>
      </c>
      <c r="C308" t="s">
        <v>3440</v>
      </c>
      <c r="D308" s="3">
        <v>32543</v>
      </c>
      <c r="E308" t="s">
        <v>1400</v>
      </c>
      <c r="G308" s="3">
        <v>43906</v>
      </c>
      <c r="H308" t="s">
        <v>3441</v>
      </c>
      <c r="I308" t="s">
        <v>3442</v>
      </c>
      <c r="J308" t="s">
        <v>1413</v>
      </c>
      <c r="K308" t="s">
        <v>73</v>
      </c>
      <c r="L308" s="3">
        <v>47504</v>
      </c>
      <c r="M308" s="3">
        <v>47460</v>
      </c>
      <c r="N308" t="s">
        <v>3443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2241</v>
      </c>
      <c r="C309" t="s">
        <v>2242</v>
      </c>
      <c r="D309" s="3">
        <v>36459</v>
      </c>
      <c r="E309" t="s">
        <v>1400</v>
      </c>
      <c r="F309">
        <v>421</v>
      </c>
      <c r="G309" s="3">
        <v>43892</v>
      </c>
      <c r="H309" t="s">
        <v>2243</v>
      </c>
      <c r="J309" t="s">
        <v>1441</v>
      </c>
      <c r="K309" t="s">
        <v>73</v>
      </c>
      <c r="L309" s="3">
        <v>47611</v>
      </c>
      <c r="M309" s="3">
        <v>47441</v>
      </c>
      <c r="N309" t="s">
        <v>2244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2958</v>
      </c>
      <c r="C310" t="s">
        <v>2953</v>
      </c>
      <c r="D310" s="3">
        <v>19500</v>
      </c>
      <c r="E310" t="s">
        <v>1400</v>
      </c>
      <c r="G310" s="3">
        <v>43891</v>
      </c>
      <c r="H310" t="s">
        <v>2959</v>
      </c>
      <c r="J310" t="s">
        <v>1975</v>
      </c>
      <c r="K310" t="s">
        <v>73</v>
      </c>
      <c r="L310" s="3">
        <v>1</v>
      </c>
      <c r="M310" s="3">
        <v>1</v>
      </c>
      <c r="N310" t="s">
        <v>2960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3130</v>
      </c>
      <c r="C311" t="s">
        <v>3127</v>
      </c>
      <c r="D311" s="3">
        <v>32582</v>
      </c>
      <c r="E311" t="s">
        <v>1400</v>
      </c>
      <c r="F311">
        <v>480</v>
      </c>
      <c r="G311" s="3">
        <v>43878</v>
      </c>
      <c r="H311" t="s">
        <v>3131</v>
      </c>
      <c r="I311">
        <v>494132438</v>
      </c>
      <c r="J311" t="s">
        <v>1459</v>
      </c>
      <c r="K311" t="s">
        <v>70</v>
      </c>
      <c r="L311" s="3">
        <v>47461</v>
      </c>
      <c r="M311" s="3">
        <v>47460</v>
      </c>
      <c r="N311" t="s">
        <v>3132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3017</v>
      </c>
      <c r="C312" t="s">
        <v>1347</v>
      </c>
      <c r="D312" s="3">
        <v>26227</v>
      </c>
      <c r="E312" t="s">
        <v>1400</v>
      </c>
      <c r="F312">
        <v>311</v>
      </c>
      <c r="G312" s="3">
        <v>43864</v>
      </c>
      <c r="H312" t="s">
        <v>3018</v>
      </c>
      <c r="J312" t="s">
        <v>1413</v>
      </c>
      <c r="K312" t="s">
        <v>55</v>
      </c>
      <c r="L312" s="3">
        <v>47485</v>
      </c>
      <c r="M312" s="3">
        <v>47441</v>
      </c>
      <c r="N312" t="s">
        <v>3019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3463</v>
      </c>
      <c r="C313" t="s">
        <v>3464</v>
      </c>
      <c r="D313" s="3">
        <v>36273</v>
      </c>
      <c r="E313" t="s">
        <v>1400</v>
      </c>
      <c r="F313">
        <v>405</v>
      </c>
      <c r="G313" s="3">
        <v>43864</v>
      </c>
      <c r="H313" t="s">
        <v>3465</v>
      </c>
      <c r="J313" t="s">
        <v>1413</v>
      </c>
      <c r="K313" t="s">
        <v>58</v>
      </c>
      <c r="L313" s="3">
        <v>47470</v>
      </c>
      <c r="M313" s="3">
        <v>47460</v>
      </c>
      <c r="N313" t="s">
        <v>3466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1492</v>
      </c>
      <c r="C314" t="s">
        <v>1474</v>
      </c>
      <c r="D314" s="3">
        <v>25785</v>
      </c>
      <c r="E314" t="s">
        <v>1400</v>
      </c>
      <c r="F314">
        <v>465</v>
      </c>
      <c r="G314" s="3">
        <v>43892</v>
      </c>
      <c r="H314" t="s">
        <v>1493</v>
      </c>
      <c r="J314" t="s">
        <v>1408</v>
      </c>
      <c r="K314" t="s">
        <v>73</v>
      </c>
      <c r="L314" s="3">
        <v>47411</v>
      </c>
      <c r="M314" s="3">
        <v>47342</v>
      </c>
      <c r="N314" t="s">
        <v>1494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1842</v>
      </c>
      <c r="C315" t="s">
        <v>1843</v>
      </c>
      <c r="D315" s="3">
        <v>32327</v>
      </c>
      <c r="E315" t="s">
        <v>1400</v>
      </c>
      <c r="F315">
        <v>399</v>
      </c>
      <c r="G315" s="3">
        <v>43850</v>
      </c>
      <c r="H315" t="s">
        <v>1844</v>
      </c>
      <c r="J315" t="s">
        <v>1459</v>
      </c>
      <c r="K315" t="s">
        <v>67</v>
      </c>
      <c r="L315" s="3">
        <v>47434</v>
      </c>
      <c r="M315" s="3">
        <v>47377</v>
      </c>
      <c r="N315" t="s">
        <v>1845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1428</v>
      </c>
      <c r="C316" t="s">
        <v>1429</v>
      </c>
      <c r="D316" s="3">
        <v>30614</v>
      </c>
      <c r="E316" t="s">
        <v>1400</v>
      </c>
      <c r="F316">
        <v>469</v>
      </c>
      <c r="G316" s="3">
        <v>43906</v>
      </c>
      <c r="H316" t="s">
        <v>1430</v>
      </c>
      <c r="I316" t="s">
        <v>1431</v>
      </c>
      <c r="J316" t="s">
        <v>1432</v>
      </c>
      <c r="K316" t="s">
        <v>64</v>
      </c>
      <c r="L316" s="3">
        <v>47380</v>
      </c>
      <c r="M316" s="3">
        <v>47351</v>
      </c>
      <c r="N316" t="s">
        <v>1433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2124</v>
      </c>
      <c r="C317" t="s">
        <v>2115</v>
      </c>
      <c r="D317" s="3">
        <v>31020</v>
      </c>
      <c r="E317" t="s">
        <v>1400</v>
      </c>
      <c r="F317">
        <v>450</v>
      </c>
      <c r="G317" s="3">
        <v>43850</v>
      </c>
      <c r="H317" t="s">
        <v>2125</v>
      </c>
      <c r="J317" t="s">
        <v>1459</v>
      </c>
      <c r="K317" t="s">
        <v>55</v>
      </c>
      <c r="L317" s="3">
        <v>47239</v>
      </c>
      <c r="M317" s="3">
        <v>47237</v>
      </c>
      <c r="N317" t="s">
        <v>2126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1579</v>
      </c>
      <c r="C318" t="s">
        <v>1572</v>
      </c>
      <c r="D318" s="3">
        <v>31820</v>
      </c>
      <c r="E318" t="s">
        <v>1400</v>
      </c>
      <c r="F318">
        <v>365</v>
      </c>
      <c r="G318" s="3">
        <v>43808</v>
      </c>
      <c r="H318" t="s">
        <v>1580</v>
      </c>
      <c r="I318">
        <v>487367392</v>
      </c>
      <c r="K318" t="s">
        <v>55</v>
      </c>
      <c r="L318" s="3">
        <v>46251</v>
      </c>
      <c r="M318" s="3">
        <v>47413</v>
      </c>
      <c r="N318" t="s">
        <v>1581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2487</v>
      </c>
      <c r="C319" t="s">
        <v>2484</v>
      </c>
      <c r="D319" s="3">
        <v>34283</v>
      </c>
      <c r="E319" t="s">
        <v>1400</v>
      </c>
      <c r="F319">
        <v>158</v>
      </c>
      <c r="G319" s="3">
        <v>43781</v>
      </c>
      <c r="H319" t="s">
        <v>2488</v>
      </c>
      <c r="J319" t="s">
        <v>1441</v>
      </c>
      <c r="K319" t="s">
        <v>67</v>
      </c>
      <c r="L319" s="3">
        <v>47357</v>
      </c>
      <c r="M319" s="3">
        <v>47357</v>
      </c>
      <c r="N319" t="s">
        <v>2489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2704</v>
      </c>
      <c r="C320" t="s">
        <v>2705</v>
      </c>
      <c r="D320" s="3">
        <v>34663</v>
      </c>
      <c r="E320" t="s">
        <v>1400</v>
      </c>
      <c r="F320">
        <v>132</v>
      </c>
      <c r="G320" s="3">
        <v>43752</v>
      </c>
      <c r="H320" t="s">
        <v>2706</v>
      </c>
      <c r="I320">
        <v>498707898</v>
      </c>
      <c r="J320" t="s">
        <v>1609</v>
      </c>
      <c r="K320" t="s">
        <v>52</v>
      </c>
      <c r="L320" s="3">
        <v>47274</v>
      </c>
      <c r="M320" s="3">
        <v>47237</v>
      </c>
      <c r="N320" t="s">
        <v>2707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3059</v>
      </c>
      <c r="C321" t="s">
        <v>3060</v>
      </c>
      <c r="D321" s="3">
        <v>30411</v>
      </c>
      <c r="E321" t="s">
        <v>1400</v>
      </c>
      <c r="F321">
        <v>11</v>
      </c>
      <c r="G321" s="3">
        <v>43710</v>
      </c>
      <c r="H321" t="s">
        <v>3061</v>
      </c>
      <c r="I321">
        <v>468493588</v>
      </c>
      <c r="J321" t="s">
        <v>1418</v>
      </c>
      <c r="K321" t="s">
        <v>58</v>
      </c>
      <c r="L321" s="3">
        <v>47337</v>
      </c>
      <c r="M321" s="3">
        <v>47316</v>
      </c>
      <c r="N321" t="s">
        <v>3062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2552</v>
      </c>
      <c r="C322" t="s">
        <v>2553</v>
      </c>
      <c r="D322" s="3">
        <v>27707</v>
      </c>
      <c r="E322" t="s">
        <v>1400</v>
      </c>
      <c r="F322">
        <v>445</v>
      </c>
      <c r="G322" s="3">
        <v>43710</v>
      </c>
      <c r="H322" t="s">
        <v>2554</v>
      </c>
      <c r="I322">
        <v>32496141860</v>
      </c>
      <c r="J322" t="s">
        <v>1480</v>
      </c>
      <c r="K322" t="s">
        <v>64</v>
      </c>
      <c r="L322" s="3">
        <v>48784</v>
      </c>
      <c r="M322" s="3">
        <v>46892</v>
      </c>
      <c r="N322" t="s">
        <v>2555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2270</v>
      </c>
      <c r="C323" t="s">
        <v>2271</v>
      </c>
      <c r="D323" s="3">
        <v>30816</v>
      </c>
      <c r="E323" t="s">
        <v>1400</v>
      </c>
      <c r="G323" s="3">
        <v>43710</v>
      </c>
      <c r="H323" t="s">
        <v>2272</v>
      </c>
      <c r="J323" t="s">
        <v>1413</v>
      </c>
      <c r="K323" t="s">
        <v>67</v>
      </c>
      <c r="L323" s="3">
        <v>47267</v>
      </c>
      <c r="M323" s="3">
        <v>47216</v>
      </c>
      <c r="N323" t="s">
        <v>2273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2787</v>
      </c>
      <c r="C324" t="s">
        <v>2788</v>
      </c>
      <c r="D324" s="3">
        <v>34089</v>
      </c>
      <c r="E324" t="s">
        <v>1400</v>
      </c>
      <c r="F324">
        <v>351</v>
      </c>
      <c r="G324" s="3">
        <v>43710</v>
      </c>
      <c r="H324" t="s">
        <v>2789</v>
      </c>
      <c r="I324">
        <v>488372246</v>
      </c>
      <c r="J324" t="s">
        <v>1441</v>
      </c>
      <c r="K324" t="s">
        <v>67</v>
      </c>
      <c r="L324" s="3">
        <v>47281</v>
      </c>
      <c r="M324" s="3">
        <v>47267</v>
      </c>
      <c r="N324" t="s">
        <v>2790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2162</v>
      </c>
      <c r="C325" t="s">
        <v>2163</v>
      </c>
      <c r="D325" s="3">
        <v>31192</v>
      </c>
      <c r="E325" t="s">
        <v>1400</v>
      </c>
      <c r="F325">
        <v>385</v>
      </c>
      <c r="G325" s="3">
        <v>43724</v>
      </c>
      <c r="H325" t="s">
        <v>2164</v>
      </c>
      <c r="I325">
        <v>485827666</v>
      </c>
      <c r="J325" t="s">
        <v>1441</v>
      </c>
      <c r="K325" t="s">
        <v>67</v>
      </c>
      <c r="L325" s="3">
        <v>47280</v>
      </c>
      <c r="M325" s="3">
        <v>47216</v>
      </c>
      <c r="N325" t="s">
        <v>2165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1596</v>
      </c>
      <c r="C326" t="s">
        <v>1597</v>
      </c>
      <c r="D326" s="3">
        <v>34236</v>
      </c>
      <c r="E326" t="s">
        <v>1400</v>
      </c>
      <c r="F326">
        <v>103</v>
      </c>
      <c r="G326" s="3">
        <v>43669</v>
      </c>
      <c r="H326" t="s">
        <v>1598</v>
      </c>
      <c r="I326">
        <v>32478510138</v>
      </c>
      <c r="J326" t="s">
        <v>1413</v>
      </c>
      <c r="K326" t="s">
        <v>58</v>
      </c>
      <c r="L326" s="3">
        <v>47267</v>
      </c>
      <c r="M326" s="3">
        <v>47170</v>
      </c>
      <c r="N326" t="s">
        <v>1599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2478</v>
      </c>
      <c r="C327" t="s">
        <v>2475</v>
      </c>
      <c r="D327" s="3">
        <v>34969</v>
      </c>
      <c r="E327" t="s">
        <v>1400</v>
      </c>
      <c r="F327">
        <v>300</v>
      </c>
      <c r="G327" s="3">
        <v>43640</v>
      </c>
      <c r="H327" t="s">
        <v>2479</v>
      </c>
      <c r="I327">
        <v>494587601</v>
      </c>
      <c r="J327" t="s">
        <v>1484</v>
      </c>
      <c r="K327" t="s">
        <v>61</v>
      </c>
      <c r="L327" s="3">
        <v>47215</v>
      </c>
      <c r="M327" s="3">
        <v>47170</v>
      </c>
      <c r="N327" t="s">
        <v>2480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1582</v>
      </c>
      <c r="C328" t="s">
        <v>1572</v>
      </c>
      <c r="D328" s="3">
        <v>31359</v>
      </c>
      <c r="E328" t="s">
        <v>1400</v>
      </c>
      <c r="F328">
        <v>329</v>
      </c>
      <c r="G328" s="3">
        <v>43627</v>
      </c>
      <c r="H328" t="s">
        <v>1583</v>
      </c>
      <c r="I328">
        <v>495418640</v>
      </c>
      <c r="J328" t="s">
        <v>1484</v>
      </c>
      <c r="K328" t="s">
        <v>61</v>
      </c>
      <c r="L328" s="3">
        <v>47051</v>
      </c>
      <c r="M328" s="3">
        <v>47044</v>
      </c>
      <c r="N328" t="s">
        <v>1584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2146</v>
      </c>
      <c r="C329" t="s">
        <v>2147</v>
      </c>
      <c r="D329" s="3">
        <v>31149</v>
      </c>
      <c r="E329" t="s">
        <v>1400</v>
      </c>
      <c r="F329">
        <v>163</v>
      </c>
      <c r="G329" s="3">
        <v>43605</v>
      </c>
      <c r="H329" t="s">
        <v>2148</v>
      </c>
      <c r="J329" t="s">
        <v>1432</v>
      </c>
      <c r="K329" t="s">
        <v>64</v>
      </c>
      <c r="L329" s="3">
        <v>47162</v>
      </c>
      <c r="M329" s="3">
        <v>47126</v>
      </c>
      <c r="N329" t="s">
        <v>2149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1607</v>
      </c>
      <c r="C330" t="s">
        <v>1370</v>
      </c>
      <c r="D330" s="3">
        <v>30017</v>
      </c>
      <c r="E330" t="s">
        <v>1400</v>
      </c>
      <c r="F330">
        <v>215</v>
      </c>
      <c r="G330" s="3">
        <v>43605</v>
      </c>
      <c r="H330" t="s">
        <v>1608</v>
      </c>
      <c r="J330" t="s">
        <v>1609</v>
      </c>
      <c r="K330" t="s">
        <v>70</v>
      </c>
      <c r="L330" s="3">
        <v>47229</v>
      </c>
      <c r="M330" s="3">
        <v>47170</v>
      </c>
      <c r="N330" t="s">
        <v>1610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2825</v>
      </c>
      <c r="C331" t="s">
        <v>2826</v>
      </c>
      <c r="D331" s="3">
        <v>34310</v>
      </c>
      <c r="E331" t="s">
        <v>1400</v>
      </c>
      <c r="G331" s="3">
        <v>43605</v>
      </c>
      <c r="H331" t="s">
        <v>2827</v>
      </c>
      <c r="I331">
        <v>471897684</v>
      </c>
      <c r="J331" t="s">
        <v>1459</v>
      </c>
      <c r="K331" t="s">
        <v>64</v>
      </c>
      <c r="L331" s="3">
        <v>47202</v>
      </c>
      <c r="M331" s="3">
        <v>47170</v>
      </c>
      <c r="N331" t="s">
        <v>2828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2731</v>
      </c>
      <c r="C332" t="s">
        <v>2728</v>
      </c>
      <c r="D332" s="3">
        <v>24507</v>
      </c>
      <c r="E332" t="s">
        <v>1400</v>
      </c>
      <c r="F332">
        <v>220</v>
      </c>
      <c r="G332" s="3">
        <v>43556</v>
      </c>
      <c r="H332" t="s">
        <v>2732</v>
      </c>
      <c r="I332">
        <v>499245846</v>
      </c>
      <c r="J332" t="s">
        <v>1459</v>
      </c>
      <c r="K332" t="s">
        <v>67</v>
      </c>
      <c r="L332" s="3">
        <v>47222</v>
      </c>
      <c r="M332" s="3">
        <v>46404</v>
      </c>
      <c r="N332" t="s">
        <v>2733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3117</v>
      </c>
      <c r="C333" t="s">
        <v>3114</v>
      </c>
      <c r="D333" s="3">
        <v>30937</v>
      </c>
      <c r="E333" t="s">
        <v>1400</v>
      </c>
      <c r="F333">
        <v>270</v>
      </c>
      <c r="G333" s="3">
        <v>43542</v>
      </c>
      <c r="H333" t="s">
        <v>3118</v>
      </c>
      <c r="J333" t="s">
        <v>1441</v>
      </c>
      <c r="K333" t="s">
        <v>67</v>
      </c>
      <c r="L333" s="3">
        <v>47154</v>
      </c>
      <c r="M333" s="3">
        <v>47100</v>
      </c>
      <c r="N333" t="s">
        <v>3119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1986</v>
      </c>
      <c r="C334" t="s">
        <v>1982</v>
      </c>
      <c r="D334" s="3">
        <v>25094</v>
      </c>
      <c r="E334" t="s">
        <v>1400</v>
      </c>
      <c r="F334">
        <v>167</v>
      </c>
      <c r="G334" s="3">
        <v>43528</v>
      </c>
      <c r="H334" t="s">
        <v>1987</v>
      </c>
      <c r="I334">
        <v>486762575</v>
      </c>
      <c r="J334" t="s">
        <v>1446</v>
      </c>
      <c r="K334" t="s">
        <v>67</v>
      </c>
      <c r="L334" s="3">
        <v>47141</v>
      </c>
      <c r="M334" s="3">
        <v>47141</v>
      </c>
      <c r="N334" t="s">
        <v>1988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1549</v>
      </c>
      <c r="C335" t="s">
        <v>1550</v>
      </c>
      <c r="D335" s="3">
        <v>23813</v>
      </c>
      <c r="E335" t="s">
        <v>1400</v>
      </c>
      <c r="F335">
        <v>104</v>
      </c>
      <c r="G335" s="3">
        <v>43528</v>
      </c>
      <c r="H335" t="s">
        <v>1551</v>
      </c>
      <c r="J335" t="s">
        <v>1432</v>
      </c>
      <c r="K335" t="s">
        <v>73</v>
      </c>
      <c r="L335" s="3">
        <v>47085</v>
      </c>
      <c r="M335" s="3">
        <v>47051</v>
      </c>
      <c r="N335" t="s">
        <v>1552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2262</v>
      </c>
      <c r="C336" t="s">
        <v>2263</v>
      </c>
      <c r="D336" s="3">
        <v>30867</v>
      </c>
      <c r="E336" t="s">
        <v>1400</v>
      </c>
      <c r="F336">
        <v>268</v>
      </c>
      <c r="G336" s="3">
        <v>43514</v>
      </c>
      <c r="H336" t="s">
        <v>2264</v>
      </c>
      <c r="J336" t="s">
        <v>1459</v>
      </c>
      <c r="K336" t="s">
        <v>64</v>
      </c>
      <c r="L336" s="3">
        <v>47135</v>
      </c>
      <c r="M336" s="3">
        <v>47072</v>
      </c>
      <c r="N336" t="s">
        <v>2265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3371</v>
      </c>
      <c r="C337" t="s">
        <v>3369</v>
      </c>
      <c r="D337" s="3">
        <v>31396</v>
      </c>
      <c r="E337" t="s">
        <v>1400</v>
      </c>
      <c r="G337" s="3">
        <v>43500</v>
      </c>
      <c r="H337" t="s">
        <v>3372</v>
      </c>
      <c r="I337" t="s">
        <v>3372</v>
      </c>
      <c r="J337" t="s">
        <v>1408</v>
      </c>
      <c r="K337" t="s">
        <v>58</v>
      </c>
      <c r="L337" s="3">
        <v>47161</v>
      </c>
      <c r="M337" s="3">
        <v>47136</v>
      </c>
      <c r="N337" t="s">
        <v>3373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1977</v>
      </c>
      <c r="C338" t="s">
        <v>1978</v>
      </c>
      <c r="D338" s="3">
        <v>34182</v>
      </c>
      <c r="E338" t="s">
        <v>1400</v>
      </c>
      <c r="F338">
        <v>430</v>
      </c>
      <c r="G338" s="3">
        <v>43486</v>
      </c>
      <c r="H338" t="s">
        <v>1979</v>
      </c>
      <c r="J338" t="s">
        <v>1418</v>
      </c>
      <c r="K338" t="s">
        <v>58</v>
      </c>
      <c r="L338" s="3">
        <v>47139</v>
      </c>
      <c r="M338" s="3">
        <v>46897</v>
      </c>
      <c r="N338" t="s">
        <v>1980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3172</v>
      </c>
      <c r="C339" t="s">
        <v>3173</v>
      </c>
      <c r="D339" s="3">
        <v>26216</v>
      </c>
      <c r="E339" t="s">
        <v>1400</v>
      </c>
      <c r="F339">
        <v>197</v>
      </c>
      <c r="G339" s="3">
        <v>43472</v>
      </c>
      <c r="H339" t="s">
        <v>3174</v>
      </c>
      <c r="J339" t="s">
        <v>1408</v>
      </c>
      <c r="K339" t="s">
        <v>64</v>
      </c>
      <c r="L339" s="3">
        <v>47011</v>
      </c>
      <c r="M339" s="3">
        <v>47009</v>
      </c>
      <c r="N339" t="s">
        <v>3175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3137</v>
      </c>
      <c r="C340" t="s">
        <v>3138</v>
      </c>
      <c r="D340" s="3">
        <v>34591</v>
      </c>
      <c r="E340" t="s">
        <v>1400</v>
      </c>
      <c r="F340">
        <v>85</v>
      </c>
      <c r="G340" s="3">
        <v>43444</v>
      </c>
      <c r="H340" t="s">
        <v>3139</v>
      </c>
      <c r="I340">
        <v>476620718</v>
      </c>
      <c r="J340" t="s">
        <v>1609</v>
      </c>
      <c r="K340" t="s">
        <v>61</v>
      </c>
      <c r="L340" s="3">
        <v>47085</v>
      </c>
      <c r="M340" s="3">
        <v>46946</v>
      </c>
      <c r="N340" t="s">
        <v>3140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1428</v>
      </c>
      <c r="C341" t="s">
        <v>2671</v>
      </c>
      <c r="D341" s="3">
        <v>33077</v>
      </c>
      <c r="E341" t="s">
        <v>1400</v>
      </c>
      <c r="G341" s="3">
        <v>43325</v>
      </c>
      <c r="H341" t="s">
        <v>2672</v>
      </c>
      <c r="J341" t="s">
        <v>1408</v>
      </c>
      <c r="K341" t="s">
        <v>64</v>
      </c>
      <c r="L341" s="3">
        <v>47294</v>
      </c>
      <c r="M341" s="3">
        <v>47233</v>
      </c>
      <c r="N341" t="s">
        <v>2673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3046</v>
      </c>
      <c r="C342" t="s">
        <v>3037</v>
      </c>
      <c r="D342" s="3">
        <v>24920</v>
      </c>
      <c r="E342" t="s">
        <v>1400</v>
      </c>
      <c r="F342">
        <v>205</v>
      </c>
      <c r="G342" s="3">
        <v>43318</v>
      </c>
      <c r="H342" t="s">
        <v>3047</v>
      </c>
      <c r="J342" t="s">
        <v>1609</v>
      </c>
      <c r="K342" t="s">
        <v>64</v>
      </c>
      <c r="L342" s="3">
        <v>46915</v>
      </c>
      <c r="M342" s="3">
        <v>46166</v>
      </c>
      <c r="N342" t="s">
        <v>3048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1695</v>
      </c>
      <c r="C343" t="s">
        <v>1696</v>
      </c>
      <c r="D343" s="3">
        <v>26191</v>
      </c>
      <c r="E343" t="s">
        <v>1400</v>
      </c>
      <c r="F343">
        <v>20</v>
      </c>
      <c r="G343" s="3">
        <v>43304</v>
      </c>
      <c r="H343" t="s">
        <v>1697</v>
      </c>
      <c r="J343" t="s">
        <v>1418</v>
      </c>
      <c r="K343" t="s">
        <v>73</v>
      </c>
      <c r="L343" s="3">
        <v>46828</v>
      </c>
      <c r="M343" s="3">
        <v>46810</v>
      </c>
      <c r="N343" t="s">
        <v>1698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2985</v>
      </c>
      <c r="C344" t="s">
        <v>2986</v>
      </c>
      <c r="D344" s="3">
        <v>35347</v>
      </c>
      <c r="E344" t="s">
        <v>1400</v>
      </c>
      <c r="F344">
        <v>296</v>
      </c>
      <c r="G344" s="3">
        <v>43193</v>
      </c>
      <c r="H344" t="s">
        <v>2987</v>
      </c>
      <c r="J344" t="s">
        <v>1480</v>
      </c>
      <c r="K344" t="s">
        <v>58</v>
      </c>
      <c r="L344" s="3">
        <v>46856</v>
      </c>
      <c r="M344" s="3">
        <v>45944</v>
      </c>
      <c r="N344" t="s">
        <v>2988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2028</v>
      </c>
      <c r="C345" t="s">
        <v>2029</v>
      </c>
      <c r="D345" s="3">
        <v>30873</v>
      </c>
      <c r="E345" t="s">
        <v>1400</v>
      </c>
      <c r="F345">
        <v>292</v>
      </c>
      <c r="G345" s="3">
        <v>43178</v>
      </c>
      <c r="H345" t="s">
        <v>2030</v>
      </c>
      <c r="J345" t="s">
        <v>1587</v>
      </c>
      <c r="K345" t="s">
        <v>64</v>
      </c>
      <c r="L345" s="3">
        <v>46685</v>
      </c>
      <c r="M345" s="3">
        <v>46672</v>
      </c>
      <c r="N345" t="s">
        <v>2031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2490</v>
      </c>
      <c r="C346" t="s">
        <v>2484</v>
      </c>
      <c r="D346" s="3">
        <v>31239</v>
      </c>
      <c r="E346" t="s">
        <v>1400</v>
      </c>
      <c r="F346">
        <v>239</v>
      </c>
      <c r="G346" s="3">
        <v>43150</v>
      </c>
      <c r="H346" t="s">
        <v>2491</v>
      </c>
      <c r="I346" t="s">
        <v>2492</v>
      </c>
      <c r="J346" t="s">
        <v>1454</v>
      </c>
      <c r="K346" t="s">
        <v>52</v>
      </c>
      <c r="L346" s="3">
        <v>46673</v>
      </c>
      <c r="M346" s="3">
        <v>46665</v>
      </c>
      <c r="N346" t="s">
        <v>2493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3486</v>
      </c>
      <c r="C347" t="s">
        <v>3487</v>
      </c>
      <c r="D347" s="3">
        <v>30914</v>
      </c>
      <c r="E347" t="s">
        <v>1400</v>
      </c>
      <c r="F347">
        <v>115</v>
      </c>
      <c r="G347" s="3">
        <v>43164</v>
      </c>
      <c r="H347" t="s">
        <v>3488</v>
      </c>
      <c r="J347" t="s">
        <v>1459</v>
      </c>
      <c r="K347" t="s">
        <v>67</v>
      </c>
      <c r="L347" s="3">
        <v>46624</v>
      </c>
      <c r="M347" s="3">
        <v>46621</v>
      </c>
      <c r="N347" t="s">
        <v>3489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1735</v>
      </c>
      <c r="C348" t="s">
        <v>1736</v>
      </c>
      <c r="D348" s="3">
        <v>24440</v>
      </c>
      <c r="E348" t="s">
        <v>1400</v>
      </c>
      <c r="F348">
        <v>168</v>
      </c>
      <c r="G348" s="3">
        <v>43150</v>
      </c>
      <c r="H348" t="s">
        <v>1737</v>
      </c>
      <c r="I348">
        <v>489745145</v>
      </c>
      <c r="J348" t="s">
        <v>1413</v>
      </c>
      <c r="K348" t="s">
        <v>70</v>
      </c>
      <c r="L348" s="3">
        <v>46595</v>
      </c>
      <c r="M348" s="3">
        <v>47594</v>
      </c>
      <c r="N348" t="s">
        <v>1738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2746</v>
      </c>
      <c r="C349" t="s">
        <v>2747</v>
      </c>
      <c r="D349" s="3">
        <v>23792</v>
      </c>
      <c r="E349" t="s">
        <v>1400</v>
      </c>
      <c r="F349">
        <v>217</v>
      </c>
      <c r="G349" s="3">
        <v>43108</v>
      </c>
      <c r="H349" t="s">
        <v>2748</v>
      </c>
      <c r="J349" t="s">
        <v>1418</v>
      </c>
      <c r="K349" t="s">
        <v>67</v>
      </c>
      <c r="L349" s="3">
        <v>46620</v>
      </c>
      <c r="M349" s="3">
        <v>46616</v>
      </c>
      <c r="N349" t="s">
        <v>2749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1989</v>
      </c>
      <c r="C350" t="s">
        <v>1982</v>
      </c>
      <c r="D350" s="3">
        <v>25527</v>
      </c>
      <c r="E350" t="s">
        <v>1400</v>
      </c>
      <c r="F350">
        <v>60</v>
      </c>
      <c r="G350" s="3">
        <v>43108</v>
      </c>
      <c r="H350" t="s">
        <v>1990</v>
      </c>
      <c r="I350" t="s">
        <v>1991</v>
      </c>
      <c r="J350" t="s">
        <v>1459</v>
      </c>
      <c r="K350" t="s">
        <v>58</v>
      </c>
      <c r="L350" s="3">
        <v>46593</v>
      </c>
      <c r="M350" s="3">
        <v>46546</v>
      </c>
      <c r="N350" t="s">
        <v>1992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3257</v>
      </c>
      <c r="C351" t="s">
        <v>3258</v>
      </c>
      <c r="D351" s="3">
        <v>28206</v>
      </c>
      <c r="E351" t="s">
        <v>1400</v>
      </c>
      <c r="F351">
        <v>240</v>
      </c>
      <c r="G351" s="3">
        <v>43073</v>
      </c>
      <c r="H351" t="s">
        <v>3259</v>
      </c>
      <c r="I351" t="s">
        <v>3260</v>
      </c>
      <c r="J351" t="s">
        <v>1942</v>
      </c>
      <c r="K351" t="s">
        <v>58</v>
      </c>
      <c r="L351" s="3">
        <v>46676</v>
      </c>
      <c r="M351" s="3">
        <v>46616</v>
      </c>
      <c r="N351" t="s">
        <v>3261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1920</v>
      </c>
      <c r="C352" t="s">
        <v>1921</v>
      </c>
      <c r="D352" s="3">
        <v>25554</v>
      </c>
      <c r="E352" t="s">
        <v>1400</v>
      </c>
      <c r="F352">
        <v>46</v>
      </c>
      <c r="G352" s="3">
        <v>43031</v>
      </c>
      <c r="H352" t="s">
        <v>1922</v>
      </c>
      <c r="J352" t="s">
        <v>1418</v>
      </c>
      <c r="K352" t="s">
        <v>67</v>
      </c>
      <c r="L352" s="3">
        <v>46637</v>
      </c>
      <c r="M352" s="3">
        <v>46637</v>
      </c>
      <c r="N352" t="s">
        <v>1923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1398</v>
      </c>
      <c r="C353" t="s">
        <v>1399</v>
      </c>
      <c r="D353" s="3">
        <v>28348</v>
      </c>
      <c r="E353" t="s">
        <v>1400</v>
      </c>
      <c r="F353">
        <v>304</v>
      </c>
      <c r="G353" s="3">
        <v>43045</v>
      </c>
      <c r="H353" t="s">
        <v>1401</v>
      </c>
      <c r="I353" t="s">
        <v>1402</v>
      </c>
      <c r="J353" t="s">
        <v>1403</v>
      </c>
      <c r="K353" t="s">
        <v>64</v>
      </c>
      <c r="L353" s="3">
        <v>46517</v>
      </c>
      <c r="M353" s="3">
        <v>46511</v>
      </c>
      <c r="N353" t="s">
        <v>1404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1592</v>
      </c>
      <c r="C354" t="s">
        <v>1593</v>
      </c>
      <c r="D354" s="3">
        <v>35325</v>
      </c>
      <c r="E354" t="s">
        <v>1400</v>
      </c>
      <c r="F354">
        <v>78</v>
      </c>
      <c r="G354" s="3">
        <v>43003</v>
      </c>
      <c r="H354" t="s">
        <v>1594</v>
      </c>
      <c r="J354" t="s">
        <v>1418</v>
      </c>
      <c r="K354" t="s">
        <v>55</v>
      </c>
      <c r="L354" s="3">
        <v>46622</v>
      </c>
      <c r="M354" s="3">
        <v>46621</v>
      </c>
      <c r="N354" t="s">
        <v>1595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2961</v>
      </c>
      <c r="C355" t="s">
        <v>2962</v>
      </c>
      <c r="D355" s="3">
        <v>29257</v>
      </c>
      <c r="E355" t="s">
        <v>1400</v>
      </c>
      <c r="F355">
        <v>69</v>
      </c>
      <c r="G355" s="3">
        <v>43003</v>
      </c>
      <c r="H355" t="s">
        <v>2963</v>
      </c>
      <c r="I355">
        <v>474517590</v>
      </c>
      <c r="J355" t="s">
        <v>1441</v>
      </c>
      <c r="K355" t="s">
        <v>64</v>
      </c>
      <c r="L355" s="3">
        <v>46610</v>
      </c>
      <c r="M355" s="3">
        <v>46565</v>
      </c>
      <c r="N355" t="s">
        <v>2964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2758</v>
      </c>
      <c r="C356" t="s">
        <v>2759</v>
      </c>
      <c r="D356" s="3">
        <v>26130</v>
      </c>
      <c r="E356" t="s">
        <v>1400</v>
      </c>
      <c r="F356">
        <v>204</v>
      </c>
      <c r="G356" s="3">
        <v>42989</v>
      </c>
      <c r="H356" t="s">
        <v>2760</v>
      </c>
      <c r="J356" t="s">
        <v>1480</v>
      </c>
      <c r="K356" t="s">
        <v>67</v>
      </c>
      <c r="L356" s="3">
        <v>46518</v>
      </c>
      <c r="M356" s="3">
        <v>46511</v>
      </c>
      <c r="N356" t="s">
        <v>2761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2567</v>
      </c>
      <c r="C357" t="s">
        <v>3052</v>
      </c>
      <c r="D357" s="3">
        <v>26685</v>
      </c>
      <c r="E357" t="s">
        <v>1400</v>
      </c>
      <c r="G357" s="3">
        <v>42975</v>
      </c>
      <c r="H357" t="s">
        <v>3053</v>
      </c>
      <c r="J357" t="s">
        <v>1857</v>
      </c>
      <c r="K357" t="s">
        <v>55</v>
      </c>
      <c r="L357" s="3">
        <v>46565</v>
      </c>
      <c r="M357" s="3">
        <v>46494</v>
      </c>
      <c r="N357" t="s">
        <v>3054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1672</v>
      </c>
      <c r="C358" t="s">
        <v>1669</v>
      </c>
      <c r="D358" s="3">
        <v>30376</v>
      </c>
      <c r="E358" t="s">
        <v>1400</v>
      </c>
      <c r="F358">
        <v>294</v>
      </c>
      <c r="G358" s="3">
        <v>42933</v>
      </c>
      <c r="H358" t="s">
        <v>1673</v>
      </c>
      <c r="J358" t="s">
        <v>1418</v>
      </c>
      <c r="K358" t="s">
        <v>52</v>
      </c>
      <c r="L358" s="3">
        <v>46515</v>
      </c>
      <c r="M358" s="3">
        <v>46477</v>
      </c>
      <c r="N358" t="s">
        <v>1674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2434</v>
      </c>
      <c r="C359" t="s">
        <v>1368</v>
      </c>
      <c r="D359" s="3">
        <v>30582</v>
      </c>
      <c r="E359" t="s">
        <v>1655</v>
      </c>
      <c r="F359">
        <v>231</v>
      </c>
      <c r="G359" s="3">
        <v>42919</v>
      </c>
      <c r="H359" t="s">
        <v>2435</v>
      </c>
      <c r="I359">
        <v>477594505</v>
      </c>
      <c r="J359" t="s">
        <v>1515</v>
      </c>
      <c r="K359" t="s">
        <v>52</v>
      </c>
      <c r="L359" s="3">
        <v>46537</v>
      </c>
      <c r="M359" s="3">
        <v>46497</v>
      </c>
      <c r="N359" t="s">
        <v>2436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2305</v>
      </c>
      <c r="C360" t="s">
        <v>2306</v>
      </c>
      <c r="D360" s="3">
        <v>28290</v>
      </c>
      <c r="E360" t="s">
        <v>1400</v>
      </c>
      <c r="F360">
        <v>202</v>
      </c>
      <c r="G360" s="3">
        <v>42919</v>
      </c>
      <c r="H360" t="s">
        <v>2307</v>
      </c>
      <c r="J360" t="s">
        <v>1942</v>
      </c>
      <c r="K360" t="s">
        <v>58</v>
      </c>
      <c r="L360" s="3">
        <v>46466</v>
      </c>
      <c r="M360" s="3">
        <v>46460</v>
      </c>
      <c r="N360" t="s">
        <v>2308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2636</v>
      </c>
      <c r="C361" t="s">
        <v>2637</v>
      </c>
      <c r="D361" s="3">
        <v>33354</v>
      </c>
      <c r="E361" t="s">
        <v>1400</v>
      </c>
      <c r="F361">
        <v>223</v>
      </c>
      <c r="G361" s="3">
        <v>42892</v>
      </c>
      <c r="H361" t="s">
        <v>2638</v>
      </c>
      <c r="J361" t="s">
        <v>1587</v>
      </c>
      <c r="K361" t="s">
        <v>67</v>
      </c>
      <c r="L361" s="3">
        <v>46531</v>
      </c>
      <c r="M361" s="3">
        <v>46504</v>
      </c>
      <c r="N361" t="s">
        <v>2639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2253</v>
      </c>
      <c r="C362" t="s">
        <v>2254</v>
      </c>
      <c r="D362" s="3">
        <v>25181</v>
      </c>
      <c r="E362" t="s">
        <v>1400</v>
      </c>
      <c r="F362">
        <v>269</v>
      </c>
      <c r="G362" s="3">
        <v>42877</v>
      </c>
      <c r="H362" t="s">
        <v>2255</v>
      </c>
      <c r="I362" t="s">
        <v>2256</v>
      </c>
      <c r="J362" t="s">
        <v>1418</v>
      </c>
      <c r="K362" t="s">
        <v>52</v>
      </c>
      <c r="L362" s="3">
        <v>46454</v>
      </c>
      <c r="M362" s="3">
        <v>47470</v>
      </c>
      <c r="N362" t="s">
        <v>2257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2494</v>
      </c>
      <c r="C363" t="s">
        <v>1362</v>
      </c>
      <c r="D363" s="3">
        <v>32677</v>
      </c>
      <c r="E363" t="s">
        <v>1400</v>
      </c>
      <c r="F363">
        <v>44</v>
      </c>
      <c r="G363" s="3">
        <v>42877</v>
      </c>
      <c r="H363" t="s">
        <v>2495</v>
      </c>
      <c r="J363" t="s">
        <v>1609</v>
      </c>
      <c r="K363" t="s">
        <v>55</v>
      </c>
      <c r="L363" s="3">
        <v>46461</v>
      </c>
      <c r="M363" s="3">
        <v>46460</v>
      </c>
      <c r="N363" t="s">
        <v>2496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2209</v>
      </c>
      <c r="C364" t="s">
        <v>2210</v>
      </c>
      <c r="D364" s="3">
        <v>34219</v>
      </c>
      <c r="E364" t="s">
        <v>1400</v>
      </c>
      <c r="F364">
        <v>238</v>
      </c>
      <c r="G364" s="3">
        <v>42863</v>
      </c>
      <c r="H364" t="s">
        <v>2211</v>
      </c>
      <c r="J364" t="s">
        <v>1446</v>
      </c>
      <c r="K364" t="s">
        <v>58</v>
      </c>
      <c r="L364" s="3">
        <v>46377</v>
      </c>
      <c r="M364" s="3">
        <v>46369</v>
      </c>
      <c r="N364" t="s">
        <v>2212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2055</v>
      </c>
      <c r="C365" t="s">
        <v>2056</v>
      </c>
      <c r="D365" s="3">
        <v>34483</v>
      </c>
      <c r="E365" t="s">
        <v>1400</v>
      </c>
      <c r="F365">
        <v>111</v>
      </c>
      <c r="G365" s="3">
        <v>42863</v>
      </c>
      <c r="H365" t="s">
        <v>2057</v>
      </c>
      <c r="J365" t="s">
        <v>1625</v>
      </c>
      <c r="K365" t="s">
        <v>58</v>
      </c>
      <c r="L365" s="3">
        <v>46488</v>
      </c>
      <c r="M365" s="3">
        <v>46469</v>
      </c>
      <c r="N365" t="s">
        <v>2058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1882</v>
      </c>
      <c r="C366" t="s">
        <v>1883</v>
      </c>
      <c r="D366" s="3">
        <v>32979</v>
      </c>
      <c r="E366" t="s">
        <v>1400</v>
      </c>
      <c r="F366">
        <v>225</v>
      </c>
      <c r="G366" s="3">
        <v>42843</v>
      </c>
      <c r="H366" t="s">
        <v>1884</v>
      </c>
      <c r="J366" t="s">
        <v>1480</v>
      </c>
      <c r="K366" t="s">
        <v>52</v>
      </c>
      <c r="L366" s="3">
        <v>46434</v>
      </c>
      <c r="M366" s="3">
        <v>46418</v>
      </c>
      <c r="N366" t="s">
        <v>1885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1585</v>
      </c>
      <c r="C367" t="s">
        <v>1572</v>
      </c>
      <c r="D367" s="3">
        <v>32464</v>
      </c>
      <c r="E367" t="s">
        <v>1400</v>
      </c>
      <c r="F367">
        <v>6</v>
      </c>
      <c r="G367" s="3">
        <v>42843</v>
      </c>
      <c r="H367" t="s">
        <v>1586</v>
      </c>
      <c r="J367" t="s">
        <v>1587</v>
      </c>
      <c r="K367" t="s">
        <v>70</v>
      </c>
      <c r="L367" s="3">
        <v>46419</v>
      </c>
      <c r="M367" s="3">
        <v>46418</v>
      </c>
      <c r="N367" t="s">
        <v>1588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1723</v>
      </c>
      <c r="C368" t="s">
        <v>1724</v>
      </c>
      <c r="D368" s="3">
        <v>34332</v>
      </c>
      <c r="E368" t="s">
        <v>1400</v>
      </c>
      <c r="F368">
        <v>248</v>
      </c>
      <c r="G368" s="3">
        <v>42828</v>
      </c>
      <c r="H368" t="s">
        <v>1725</v>
      </c>
      <c r="J368" t="s">
        <v>1587</v>
      </c>
      <c r="K368" t="s">
        <v>52</v>
      </c>
      <c r="L368" s="3">
        <v>46455</v>
      </c>
      <c r="M368" s="3">
        <v>46453</v>
      </c>
      <c r="N368" t="s">
        <v>1726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2099</v>
      </c>
      <c r="C369" t="s">
        <v>2096</v>
      </c>
      <c r="D369" s="3">
        <v>28234</v>
      </c>
      <c r="E369" t="s">
        <v>1655</v>
      </c>
      <c r="F369">
        <v>62</v>
      </c>
      <c r="G369" s="3">
        <v>42758</v>
      </c>
      <c r="H369" t="s">
        <v>2100</v>
      </c>
      <c r="J369" t="s">
        <v>1587</v>
      </c>
      <c r="K369" t="s">
        <v>52</v>
      </c>
      <c r="L369" s="3">
        <v>46330</v>
      </c>
      <c r="M369" s="3">
        <v>46320</v>
      </c>
      <c r="N369" t="s">
        <v>2101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2019</v>
      </c>
      <c r="C370" t="s">
        <v>2013</v>
      </c>
      <c r="D370" s="3">
        <v>28695</v>
      </c>
      <c r="E370" t="s">
        <v>1400</v>
      </c>
      <c r="F370">
        <v>228</v>
      </c>
      <c r="G370" s="3">
        <v>42751</v>
      </c>
      <c r="H370" t="s">
        <v>2020</v>
      </c>
      <c r="J370" t="s">
        <v>1418</v>
      </c>
      <c r="K370" t="s">
        <v>58</v>
      </c>
      <c r="L370" s="3">
        <v>46754</v>
      </c>
      <c r="M370" s="3">
        <v>46960</v>
      </c>
      <c r="N370" t="s">
        <v>2021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2688</v>
      </c>
      <c r="C371" t="s">
        <v>2912</v>
      </c>
      <c r="D371" s="3">
        <v>34227</v>
      </c>
      <c r="E371" t="s">
        <v>1400</v>
      </c>
      <c r="F371">
        <v>229</v>
      </c>
      <c r="G371" s="3">
        <v>42744</v>
      </c>
      <c r="H371" t="s">
        <v>2913</v>
      </c>
      <c r="J371" t="s">
        <v>1587</v>
      </c>
      <c r="K371" t="s">
        <v>52</v>
      </c>
      <c r="L371" s="3">
        <v>46279</v>
      </c>
      <c r="M371" s="3">
        <v>46201</v>
      </c>
      <c r="N371" t="s">
        <v>2914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3000</v>
      </c>
      <c r="C372" t="s">
        <v>2994</v>
      </c>
      <c r="D372" s="3">
        <v>34747</v>
      </c>
      <c r="E372" t="s">
        <v>1400</v>
      </c>
      <c r="F372">
        <v>89</v>
      </c>
      <c r="G372" s="3">
        <v>42674</v>
      </c>
      <c r="H372" t="s">
        <v>3001</v>
      </c>
      <c r="J372" t="s">
        <v>1408</v>
      </c>
      <c r="K372" t="s">
        <v>58</v>
      </c>
      <c r="L372" s="3">
        <v>46263</v>
      </c>
      <c r="M372" s="3">
        <v>46210</v>
      </c>
      <c r="N372" t="s">
        <v>3002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1750</v>
      </c>
      <c r="C373" t="s">
        <v>1751</v>
      </c>
      <c r="D373" s="3">
        <v>27145</v>
      </c>
      <c r="E373" t="s">
        <v>1400</v>
      </c>
      <c r="F373">
        <v>50</v>
      </c>
      <c r="G373" s="3">
        <v>42646</v>
      </c>
      <c r="H373" t="s">
        <v>1752</v>
      </c>
      <c r="J373" t="s">
        <v>1432</v>
      </c>
      <c r="K373" t="s">
        <v>73</v>
      </c>
      <c r="L373" s="3">
        <v>46238</v>
      </c>
      <c r="M373" s="3">
        <v>46210</v>
      </c>
      <c r="N373" t="s">
        <v>1753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2176</v>
      </c>
      <c r="C374" t="s">
        <v>2177</v>
      </c>
      <c r="D374" s="3">
        <v>28226</v>
      </c>
      <c r="E374" t="s">
        <v>1400</v>
      </c>
      <c r="F374">
        <v>33</v>
      </c>
      <c r="G374" s="3">
        <v>42643</v>
      </c>
      <c r="H374" t="s">
        <v>2178</v>
      </c>
      <c r="I374">
        <v>94306073</v>
      </c>
      <c r="J374" t="s">
        <v>1625</v>
      </c>
      <c r="K374" t="s">
        <v>64</v>
      </c>
      <c r="L374" s="3">
        <v>46286</v>
      </c>
      <c r="M374" s="3">
        <v>46187</v>
      </c>
      <c r="N374" t="s">
        <v>2179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2213</v>
      </c>
      <c r="C375" t="s">
        <v>1364</v>
      </c>
      <c r="D375" s="3">
        <v>30190</v>
      </c>
      <c r="E375" t="s">
        <v>1400</v>
      </c>
      <c r="F375">
        <v>13</v>
      </c>
      <c r="G375" s="3">
        <v>42618</v>
      </c>
      <c r="H375" t="s">
        <v>2214</v>
      </c>
      <c r="J375" t="s">
        <v>1432</v>
      </c>
      <c r="K375" t="s">
        <v>70</v>
      </c>
      <c r="L375" s="3">
        <v>46218</v>
      </c>
      <c r="M375" s="3">
        <v>46182</v>
      </c>
      <c r="N375" t="s">
        <v>2215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2078</v>
      </c>
      <c r="C376" t="s">
        <v>2079</v>
      </c>
      <c r="D376" s="3">
        <v>28962</v>
      </c>
      <c r="E376" t="s">
        <v>1400</v>
      </c>
      <c r="F376">
        <v>419</v>
      </c>
      <c r="G376" s="3">
        <v>42604</v>
      </c>
      <c r="H376" t="s">
        <v>2080</v>
      </c>
      <c r="I376">
        <v>486365426</v>
      </c>
      <c r="J376" t="s">
        <v>1432</v>
      </c>
      <c r="K376" t="s">
        <v>58</v>
      </c>
      <c r="L376" s="3">
        <v>46316</v>
      </c>
      <c r="M376" s="3">
        <v>46181</v>
      </c>
      <c r="N376" t="s">
        <v>2081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2481</v>
      </c>
      <c r="C377" t="s">
        <v>2475</v>
      </c>
      <c r="D377" s="3">
        <v>34149</v>
      </c>
      <c r="E377" t="s">
        <v>1400</v>
      </c>
      <c r="F377">
        <v>389</v>
      </c>
      <c r="G377" s="3">
        <v>42604</v>
      </c>
      <c r="H377" t="s">
        <v>2482</v>
      </c>
      <c r="J377" t="s">
        <v>1418</v>
      </c>
      <c r="K377" t="s">
        <v>73</v>
      </c>
      <c r="L377" s="3">
        <v>46081</v>
      </c>
      <c r="M377" s="3">
        <v>46056</v>
      </c>
      <c r="N377" t="s">
        <v>2483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2640</v>
      </c>
      <c r="C378" t="s">
        <v>2641</v>
      </c>
      <c r="D378" s="3">
        <v>32844</v>
      </c>
      <c r="E378" t="s">
        <v>1400</v>
      </c>
      <c r="G378" s="3">
        <v>42562</v>
      </c>
      <c r="H378" t="s">
        <v>2642</v>
      </c>
      <c r="J378" t="s">
        <v>1418</v>
      </c>
      <c r="K378" t="s">
        <v>58</v>
      </c>
      <c r="L378" s="3">
        <v>46159</v>
      </c>
      <c r="M378" s="3">
        <v>46147</v>
      </c>
      <c r="N378" t="s">
        <v>2643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2915</v>
      </c>
      <c r="C379" t="s">
        <v>2912</v>
      </c>
      <c r="D379" s="3">
        <v>29408</v>
      </c>
      <c r="E379" t="s">
        <v>1400</v>
      </c>
      <c r="F379">
        <v>128</v>
      </c>
      <c r="G379" s="3">
        <v>42548</v>
      </c>
      <c r="H379" t="s">
        <v>2916</v>
      </c>
      <c r="J379" t="s">
        <v>1657</v>
      </c>
      <c r="K379" t="s">
        <v>52</v>
      </c>
      <c r="L379" s="3">
        <v>46207</v>
      </c>
      <c r="M379" s="3">
        <v>45935</v>
      </c>
      <c r="N379" t="s">
        <v>2917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2587</v>
      </c>
      <c r="C380" t="s">
        <v>2584</v>
      </c>
      <c r="D380" s="3">
        <v>25679</v>
      </c>
      <c r="E380" t="s">
        <v>1400</v>
      </c>
      <c r="F380">
        <v>187</v>
      </c>
      <c r="G380" s="3">
        <v>42534</v>
      </c>
      <c r="H380" t="s">
        <v>2588</v>
      </c>
      <c r="J380" t="s">
        <v>1515</v>
      </c>
      <c r="K380" t="s">
        <v>70</v>
      </c>
      <c r="L380" s="3">
        <v>46134</v>
      </c>
      <c r="M380" s="3">
        <v>46097</v>
      </c>
      <c r="N380" t="s">
        <v>2589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2040</v>
      </c>
      <c r="C381" t="s">
        <v>2115</v>
      </c>
      <c r="D381" s="3">
        <v>25613</v>
      </c>
      <c r="E381" t="s">
        <v>1400</v>
      </c>
      <c r="F381">
        <v>51</v>
      </c>
      <c r="G381" s="3">
        <v>42429</v>
      </c>
      <c r="H381" t="s">
        <v>2127</v>
      </c>
      <c r="J381" t="s">
        <v>1587</v>
      </c>
      <c r="K381" t="s">
        <v>64</v>
      </c>
      <c r="L381" s="3">
        <v>45966</v>
      </c>
      <c r="M381" s="3">
        <v>45958</v>
      </c>
      <c r="N381" t="s">
        <v>2128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3072</v>
      </c>
      <c r="C382" t="s">
        <v>3073</v>
      </c>
      <c r="D382" s="3">
        <v>27976</v>
      </c>
      <c r="E382" t="s">
        <v>1400</v>
      </c>
      <c r="F382">
        <v>474</v>
      </c>
      <c r="G382" s="3">
        <v>42296</v>
      </c>
      <c r="H382" t="s">
        <v>3074</v>
      </c>
      <c r="I382">
        <v>93845873</v>
      </c>
      <c r="J382" t="s">
        <v>1418</v>
      </c>
      <c r="K382" t="s">
        <v>55</v>
      </c>
      <c r="L382" s="3">
        <v>47602</v>
      </c>
      <c r="M382" s="3">
        <v>47594</v>
      </c>
      <c r="N382" t="s">
        <v>3075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2684</v>
      </c>
      <c r="C383" t="s">
        <v>2685</v>
      </c>
      <c r="D383" s="3">
        <v>34204</v>
      </c>
      <c r="E383" t="s">
        <v>1400</v>
      </c>
      <c r="G383" s="3">
        <v>42296</v>
      </c>
      <c r="H383" t="s">
        <v>2686</v>
      </c>
      <c r="I383">
        <v>0</v>
      </c>
      <c r="J383" t="s">
        <v>1441</v>
      </c>
      <c r="K383" t="s">
        <v>64</v>
      </c>
      <c r="L383" s="3">
        <v>46181</v>
      </c>
      <c r="M383" s="3">
        <v>46105</v>
      </c>
      <c r="N383" t="s">
        <v>2687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1739</v>
      </c>
      <c r="C384" t="s">
        <v>1740</v>
      </c>
      <c r="D384" s="3">
        <v>31065</v>
      </c>
      <c r="E384" t="s">
        <v>1400</v>
      </c>
      <c r="F384">
        <v>369</v>
      </c>
      <c r="G384" s="3">
        <v>42282</v>
      </c>
      <c r="H384" t="s">
        <v>1741</v>
      </c>
      <c r="J384" t="s">
        <v>1480</v>
      </c>
      <c r="K384" t="s">
        <v>52</v>
      </c>
      <c r="L384" s="3">
        <v>73050</v>
      </c>
      <c r="M384" s="3">
        <v>73050</v>
      </c>
      <c r="N384" t="s">
        <v>1742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1962</v>
      </c>
      <c r="C385" t="s">
        <v>2618</v>
      </c>
      <c r="D385" s="3">
        <v>31836</v>
      </c>
      <c r="E385" t="s">
        <v>1400</v>
      </c>
      <c r="F385">
        <v>266</v>
      </c>
      <c r="G385" s="3">
        <v>42268</v>
      </c>
      <c r="H385" t="s">
        <v>2621</v>
      </c>
      <c r="J385" t="s">
        <v>1528</v>
      </c>
      <c r="K385" t="s">
        <v>70</v>
      </c>
      <c r="L385" s="3">
        <v>47576</v>
      </c>
      <c r="M385" s="3">
        <v>47524</v>
      </c>
      <c r="N385" t="s">
        <v>2622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3379</v>
      </c>
      <c r="C386" t="s">
        <v>3380</v>
      </c>
      <c r="D386" s="3">
        <v>22410</v>
      </c>
      <c r="E386" t="s">
        <v>1400</v>
      </c>
      <c r="F386">
        <v>134</v>
      </c>
      <c r="G386" s="3">
        <v>42198</v>
      </c>
      <c r="H386" t="s">
        <v>3381</v>
      </c>
      <c r="I386">
        <v>92280648</v>
      </c>
      <c r="J386" t="s">
        <v>1418</v>
      </c>
      <c r="K386" t="s">
        <v>61</v>
      </c>
      <c r="L386" s="3">
        <v>47533</v>
      </c>
      <c r="M386" s="3">
        <v>47524</v>
      </c>
      <c r="N386" t="s">
        <v>3382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1589</v>
      </c>
      <c r="C387" t="s">
        <v>1572</v>
      </c>
      <c r="D387" s="3">
        <v>24008</v>
      </c>
      <c r="E387" t="s">
        <v>1400</v>
      </c>
      <c r="F387">
        <v>143</v>
      </c>
      <c r="G387" s="3">
        <v>42198</v>
      </c>
      <c r="H387" t="s">
        <v>1590</v>
      </c>
      <c r="J387" t="s">
        <v>1480</v>
      </c>
      <c r="K387" t="s">
        <v>52</v>
      </c>
      <c r="L387" s="3">
        <v>47569</v>
      </c>
      <c r="M387" s="3">
        <v>47517</v>
      </c>
      <c r="N387" t="s">
        <v>1591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2922</v>
      </c>
      <c r="C388" t="s">
        <v>2923</v>
      </c>
      <c r="D388" s="3">
        <v>24617</v>
      </c>
      <c r="E388" t="s">
        <v>1400</v>
      </c>
      <c r="F388">
        <v>346</v>
      </c>
      <c r="G388" s="3">
        <v>42121</v>
      </c>
      <c r="H388" t="s">
        <v>2924</v>
      </c>
      <c r="I388">
        <v>0</v>
      </c>
      <c r="J388" t="s">
        <v>1454</v>
      </c>
      <c r="K388" t="s">
        <v>52</v>
      </c>
      <c r="L388" s="3">
        <v>47614</v>
      </c>
      <c r="M388" s="3">
        <v>47195</v>
      </c>
      <c r="N388" t="s">
        <v>2925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3364</v>
      </c>
      <c r="C389" t="s">
        <v>3365</v>
      </c>
      <c r="D389" s="3">
        <v>32133</v>
      </c>
      <c r="E389" t="s">
        <v>1655</v>
      </c>
      <c r="F389">
        <v>401</v>
      </c>
      <c r="G389" s="3">
        <v>42121</v>
      </c>
      <c r="H389" t="s">
        <v>3366</v>
      </c>
      <c r="J389" t="s">
        <v>1721</v>
      </c>
      <c r="K389" t="s">
        <v>52</v>
      </c>
      <c r="L389" s="3">
        <v>47485</v>
      </c>
      <c r="M389" s="3">
        <v>47470</v>
      </c>
      <c r="N389" t="s">
        <v>3367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2523</v>
      </c>
      <c r="C390" t="s">
        <v>2524</v>
      </c>
      <c r="D390" s="3">
        <v>24404</v>
      </c>
      <c r="E390" t="s">
        <v>1400</v>
      </c>
      <c r="F390">
        <v>173</v>
      </c>
      <c r="G390" s="3">
        <v>42107</v>
      </c>
      <c r="H390" t="s">
        <v>2525</v>
      </c>
      <c r="I390">
        <v>56371827</v>
      </c>
      <c r="J390" t="s">
        <v>1519</v>
      </c>
      <c r="K390" t="s">
        <v>64</v>
      </c>
      <c r="L390" s="3">
        <v>47322</v>
      </c>
      <c r="M390" s="3">
        <v>47306</v>
      </c>
      <c r="N390" t="s">
        <v>2526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3360</v>
      </c>
      <c r="C391" t="s">
        <v>3361</v>
      </c>
      <c r="D391" s="3">
        <v>28476</v>
      </c>
      <c r="E391" t="s">
        <v>1400</v>
      </c>
      <c r="F391">
        <v>70</v>
      </c>
      <c r="G391" s="3">
        <v>42093</v>
      </c>
      <c r="H391" t="s">
        <v>3362</v>
      </c>
      <c r="J391" t="s">
        <v>1418</v>
      </c>
      <c r="K391" t="s">
        <v>55</v>
      </c>
      <c r="L391" s="3">
        <v>47454</v>
      </c>
      <c r="M391" s="3">
        <v>47449</v>
      </c>
      <c r="N391" t="s">
        <v>3363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2837</v>
      </c>
      <c r="C392" t="s">
        <v>2838</v>
      </c>
      <c r="D392" s="3">
        <v>33868</v>
      </c>
      <c r="E392" t="s">
        <v>1400</v>
      </c>
      <c r="G392" s="3">
        <v>42065</v>
      </c>
      <c r="H392" t="s">
        <v>2839</v>
      </c>
      <c r="J392" t="s">
        <v>1408</v>
      </c>
      <c r="K392" t="s">
        <v>52</v>
      </c>
      <c r="L392" s="3">
        <v>47499</v>
      </c>
      <c r="M392" s="3">
        <v>47441</v>
      </c>
      <c r="N392" t="s">
        <v>2840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2028</v>
      </c>
      <c r="C393" t="s">
        <v>2235</v>
      </c>
      <c r="D393" s="3">
        <v>30289</v>
      </c>
      <c r="E393" t="s">
        <v>1400</v>
      </c>
      <c r="F393">
        <v>455</v>
      </c>
      <c r="G393" s="3">
        <v>42051</v>
      </c>
      <c r="H393" t="s">
        <v>2236</v>
      </c>
      <c r="J393" t="s">
        <v>1484</v>
      </c>
      <c r="K393" t="s">
        <v>52</v>
      </c>
      <c r="L393" s="3">
        <v>47471</v>
      </c>
      <c r="M393" s="3">
        <v>47462</v>
      </c>
      <c r="N393" t="s">
        <v>2237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2132</v>
      </c>
      <c r="C394" t="s">
        <v>2133</v>
      </c>
      <c r="D394" s="3">
        <v>33643</v>
      </c>
      <c r="E394" t="s">
        <v>1400</v>
      </c>
      <c r="F394">
        <v>388</v>
      </c>
      <c r="G394" s="3">
        <v>42023</v>
      </c>
      <c r="H394" t="s">
        <v>2134</v>
      </c>
      <c r="J394" t="s">
        <v>1403</v>
      </c>
      <c r="K394" t="s">
        <v>61</v>
      </c>
      <c r="L394" s="3">
        <v>47399</v>
      </c>
      <c r="M394" s="3">
        <v>47369</v>
      </c>
      <c r="N394" t="s">
        <v>2135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2656</v>
      </c>
      <c r="C395" t="s">
        <v>2653</v>
      </c>
      <c r="D395" s="3">
        <v>28532</v>
      </c>
      <c r="E395" t="s">
        <v>1400</v>
      </c>
      <c r="F395">
        <v>330</v>
      </c>
      <c r="G395" s="3">
        <v>41981</v>
      </c>
      <c r="H395" t="s">
        <v>2657</v>
      </c>
      <c r="J395" t="s">
        <v>1515</v>
      </c>
      <c r="K395" t="s">
        <v>73</v>
      </c>
      <c r="L395" s="3">
        <v>47335</v>
      </c>
      <c r="M395" s="3">
        <v>47293</v>
      </c>
      <c r="N395" t="s">
        <v>2658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1654</v>
      </c>
      <c r="C396" t="s">
        <v>1349</v>
      </c>
      <c r="D396" s="3">
        <v>32280</v>
      </c>
      <c r="E396" t="s">
        <v>1655</v>
      </c>
      <c r="F396">
        <v>366</v>
      </c>
      <c r="G396" s="3">
        <v>41981</v>
      </c>
      <c r="H396" t="s">
        <v>1656</v>
      </c>
      <c r="J396" t="s">
        <v>1657</v>
      </c>
      <c r="K396" t="s">
        <v>52</v>
      </c>
      <c r="L396" s="3">
        <v>47341</v>
      </c>
      <c r="M396" s="3">
        <v>47449</v>
      </c>
      <c r="N396" t="s">
        <v>1658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2762</v>
      </c>
      <c r="C397" t="s">
        <v>2763</v>
      </c>
      <c r="D397" s="3">
        <v>21893</v>
      </c>
      <c r="E397" t="s">
        <v>1400</v>
      </c>
      <c r="F397">
        <v>437</v>
      </c>
      <c r="G397" s="3">
        <v>41946</v>
      </c>
      <c r="H397" t="s">
        <v>2764</v>
      </c>
      <c r="J397" t="s">
        <v>1537</v>
      </c>
      <c r="K397" t="s">
        <v>70</v>
      </c>
      <c r="L397" s="3">
        <v>47509</v>
      </c>
      <c r="M397" s="3">
        <v>47460</v>
      </c>
      <c r="N397" t="s">
        <v>2765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3224</v>
      </c>
      <c r="C398" t="s">
        <v>3225</v>
      </c>
      <c r="D398" s="3">
        <v>30968</v>
      </c>
      <c r="E398" t="s">
        <v>1400</v>
      </c>
      <c r="F398">
        <v>436</v>
      </c>
      <c r="G398" s="3">
        <v>41946</v>
      </c>
      <c r="H398" t="s">
        <v>3226</v>
      </c>
      <c r="J398" t="s">
        <v>1657</v>
      </c>
      <c r="K398" t="s">
        <v>73</v>
      </c>
      <c r="L398" s="3">
        <v>47279</v>
      </c>
      <c r="M398" s="3">
        <v>47267</v>
      </c>
      <c r="N398" t="s">
        <v>3227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1769</v>
      </c>
      <c r="C399" t="s">
        <v>1770</v>
      </c>
      <c r="D399" s="3">
        <v>29675</v>
      </c>
      <c r="E399" t="s">
        <v>1400</v>
      </c>
      <c r="F399">
        <v>375</v>
      </c>
      <c r="G399" s="3">
        <v>41904</v>
      </c>
      <c r="H399" t="s">
        <v>1771</v>
      </c>
      <c r="J399" t="s">
        <v>1459</v>
      </c>
      <c r="K399" t="s">
        <v>55</v>
      </c>
      <c r="L399" s="3">
        <v>47427</v>
      </c>
      <c r="M399" s="3">
        <v>47338</v>
      </c>
      <c r="N399" t="s">
        <v>1772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1564</v>
      </c>
      <c r="C400" t="s">
        <v>2901</v>
      </c>
      <c r="D400" s="3">
        <v>29005</v>
      </c>
      <c r="E400" t="s">
        <v>1400</v>
      </c>
      <c r="F400">
        <v>298</v>
      </c>
      <c r="G400" s="3">
        <v>41855</v>
      </c>
      <c r="H400" t="s">
        <v>2902</v>
      </c>
      <c r="J400" t="s">
        <v>1625</v>
      </c>
      <c r="K400" t="s">
        <v>70</v>
      </c>
      <c r="L400" s="3">
        <v>47205</v>
      </c>
      <c r="M400" s="3">
        <v>47195</v>
      </c>
      <c r="N400" t="s">
        <v>2903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2878</v>
      </c>
      <c r="C401" t="s">
        <v>2879</v>
      </c>
      <c r="D401" s="3">
        <v>25391</v>
      </c>
      <c r="E401" t="s">
        <v>1400</v>
      </c>
      <c r="F401">
        <v>339</v>
      </c>
      <c r="G401" s="3">
        <v>41827</v>
      </c>
      <c r="H401" t="s">
        <v>2880</v>
      </c>
      <c r="J401" t="s">
        <v>1418</v>
      </c>
      <c r="K401" t="s">
        <v>55</v>
      </c>
      <c r="L401" s="3">
        <v>47243</v>
      </c>
      <c r="M401" s="3">
        <v>47196</v>
      </c>
      <c r="N401" t="s">
        <v>2881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3003</v>
      </c>
      <c r="C402" t="s">
        <v>3004</v>
      </c>
      <c r="D402" s="3">
        <v>32059</v>
      </c>
      <c r="E402" t="s">
        <v>1400</v>
      </c>
      <c r="F402">
        <v>276</v>
      </c>
      <c r="G402" s="3">
        <v>41827</v>
      </c>
      <c r="H402" t="s">
        <v>3005</v>
      </c>
      <c r="I402" t="s">
        <v>3006</v>
      </c>
      <c r="J402" t="s">
        <v>1587</v>
      </c>
      <c r="K402" t="s">
        <v>70</v>
      </c>
      <c r="L402" s="3">
        <v>47278</v>
      </c>
      <c r="M402" s="3">
        <v>46042</v>
      </c>
      <c r="N402" t="s">
        <v>3007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2399</v>
      </c>
      <c r="C403" t="s">
        <v>2400</v>
      </c>
      <c r="D403" s="3">
        <v>22706</v>
      </c>
      <c r="E403" t="s">
        <v>1400</v>
      </c>
      <c r="F403">
        <v>55</v>
      </c>
      <c r="G403" s="3">
        <v>41771</v>
      </c>
      <c r="H403" t="s">
        <v>2401</v>
      </c>
      <c r="J403" t="s">
        <v>1418</v>
      </c>
      <c r="K403" t="s">
        <v>61</v>
      </c>
      <c r="L403" s="3">
        <v>45543</v>
      </c>
      <c r="M403" s="3">
        <v>45306</v>
      </c>
      <c r="N403" t="s">
        <v>2402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2040</v>
      </c>
      <c r="C404" t="s">
        <v>2041</v>
      </c>
      <c r="D404" s="3">
        <v>30034</v>
      </c>
      <c r="E404" t="s">
        <v>1400</v>
      </c>
      <c r="F404">
        <v>144</v>
      </c>
      <c r="G404" s="3">
        <v>41743</v>
      </c>
      <c r="H404" t="s">
        <v>2042</v>
      </c>
      <c r="J404" t="s">
        <v>1657</v>
      </c>
      <c r="K404" t="s">
        <v>55</v>
      </c>
      <c r="L404" s="3">
        <v>47216</v>
      </c>
      <c r="M404" s="3">
        <v>47195</v>
      </c>
      <c r="N404" t="s">
        <v>2043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3253</v>
      </c>
      <c r="C405" t="s">
        <v>3254</v>
      </c>
      <c r="D405" s="3">
        <v>33067</v>
      </c>
      <c r="E405" t="s">
        <v>1400</v>
      </c>
      <c r="F405">
        <v>241</v>
      </c>
      <c r="G405" s="3">
        <v>41722</v>
      </c>
      <c r="H405" t="s">
        <v>3255</v>
      </c>
      <c r="J405" t="s">
        <v>1519</v>
      </c>
      <c r="K405" t="s">
        <v>61</v>
      </c>
      <c r="L405" s="3">
        <v>47135</v>
      </c>
      <c r="M405" s="3">
        <v>47051</v>
      </c>
      <c r="N405" t="s">
        <v>3256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2066</v>
      </c>
      <c r="C406" t="s">
        <v>2067</v>
      </c>
      <c r="D406" s="3">
        <v>29494</v>
      </c>
      <c r="E406" t="s">
        <v>1400</v>
      </c>
      <c r="F406">
        <v>619</v>
      </c>
      <c r="G406" s="3">
        <v>41722</v>
      </c>
      <c r="H406" t="s">
        <v>2068</v>
      </c>
      <c r="J406" t="s">
        <v>1515</v>
      </c>
      <c r="K406" t="s">
        <v>61</v>
      </c>
      <c r="L406" s="3">
        <v>47108</v>
      </c>
      <c r="M406" s="3">
        <v>47034</v>
      </c>
      <c r="N406" t="s">
        <v>2069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2971</v>
      </c>
      <c r="C407" t="s">
        <v>1351</v>
      </c>
      <c r="D407" s="3">
        <v>27974</v>
      </c>
      <c r="E407" t="s">
        <v>1400</v>
      </c>
      <c r="F407">
        <v>652</v>
      </c>
      <c r="G407" s="3">
        <v>41708</v>
      </c>
      <c r="H407" t="s">
        <v>2972</v>
      </c>
      <c r="J407" t="s">
        <v>1625</v>
      </c>
      <c r="K407" t="s">
        <v>55</v>
      </c>
      <c r="L407" s="3">
        <v>47643</v>
      </c>
      <c r="M407" s="3">
        <v>46974</v>
      </c>
      <c r="N407" t="s">
        <v>2973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2082</v>
      </c>
      <c r="C408" t="s">
        <v>2083</v>
      </c>
      <c r="D408" s="3">
        <v>31809</v>
      </c>
      <c r="E408" t="s">
        <v>1400</v>
      </c>
      <c r="F408">
        <v>41</v>
      </c>
      <c r="G408" s="3">
        <v>41701</v>
      </c>
      <c r="H408" t="s">
        <v>2084</v>
      </c>
      <c r="J408" t="s">
        <v>1587</v>
      </c>
      <c r="K408" t="s">
        <v>73</v>
      </c>
      <c r="L408" s="3">
        <v>47128</v>
      </c>
      <c r="M408" s="3">
        <v>47077</v>
      </c>
      <c r="N408" t="s">
        <v>2085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2180</v>
      </c>
      <c r="C409" t="s">
        <v>2181</v>
      </c>
      <c r="D409" s="3">
        <v>27642</v>
      </c>
      <c r="E409" t="s">
        <v>1400</v>
      </c>
      <c r="F409">
        <v>17</v>
      </c>
      <c r="G409" s="3">
        <v>41680</v>
      </c>
      <c r="H409" t="s">
        <v>2182</v>
      </c>
      <c r="J409" t="s">
        <v>1587</v>
      </c>
      <c r="K409" t="s">
        <v>73</v>
      </c>
      <c r="L409" s="3">
        <v>47174</v>
      </c>
      <c r="M409" s="3">
        <v>47615</v>
      </c>
      <c r="N409" t="s">
        <v>2183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2696</v>
      </c>
      <c r="C410" t="s">
        <v>1351</v>
      </c>
      <c r="D410" s="3">
        <v>27229</v>
      </c>
      <c r="E410" t="s">
        <v>1400</v>
      </c>
      <c r="F410">
        <v>25</v>
      </c>
      <c r="G410" s="3">
        <v>41659</v>
      </c>
      <c r="H410" t="s">
        <v>2969</v>
      </c>
      <c r="J410" t="s">
        <v>1432</v>
      </c>
      <c r="K410" t="s">
        <v>73</v>
      </c>
      <c r="L410" s="3">
        <v>46859</v>
      </c>
      <c r="M410" s="3">
        <v>46853</v>
      </c>
      <c r="N410" t="s">
        <v>2970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1886</v>
      </c>
      <c r="C411" t="s">
        <v>1887</v>
      </c>
      <c r="D411" s="3">
        <v>28385</v>
      </c>
      <c r="E411" t="s">
        <v>1400</v>
      </c>
      <c r="F411">
        <v>184</v>
      </c>
      <c r="G411" s="3">
        <v>41617</v>
      </c>
      <c r="H411" t="s">
        <v>1888</v>
      </c>
      <c r="I411">
        <v>92315307</v>
      </c>
      <c r="J411" t="s">
        <v>1625</v>
      </c>
      <c r="K411" t="s">
        <v>58</v>
      </c>
      <c r="L411" s="3">
        <v>47034</v>
      </c>
      <c r="M411" s="3">
        <v>46925</v>
      </c>
      <c r="N411" t="s">
        <v>1889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1561</v>
      </c>
      <c r="C412" t="s">
        <v>2416</v>
      </c>
      <c r="D412" s="3">
        <v>25640</v>
      </c>
      <c r="E412" t="s">
        <v>1400</v>
      </c>
      <c r="F412">
        <v>3</v>
      </c>
      <c r="G412" s="3">
        <v>41421</v>
      </c>
      <c r="H412" t="s">
        <v>2422</v>
      </c>
      <c r="I412">
        <v>55427502</v>
      </c>
      <c r="J412" t="s">
        <v>1721</v>
      </c>
      <c r="K412" t="s">
        <v>70</v>
      </c>
      <c r="L412" s="3">
        <v>46777</v>
      </c>
      <c r="M412" s="3">
        <v>46763</v>
      </c>
      <c r="N412" t="s">
        <v>2423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2407</v>
      </c>
      <c r="C413" t="s">
        <v>2408</v>
      </c>
      <c r="D413" s="3">
        <v>25585</v>
      </c>
      <c r="E413" t="s">
        <v>1400</v>
      </c>
      <c r="F413">
        <v>179</v>
      </c>
      <c r="G413" s="3">
        <v>41372</v>
      </c>
      <c r="H413" t="s">
        <v>2409</v>
      </c>
      <c r="J413" t="s">
        <v>1519</v>
      </c>
      <c r="K413" t="s">
        <v>73</v>
      </c>
      <c r="L413" s="3">
        <v>46877</v>
      </c>
      <c r="M413" s="3">
        <v>47083</v>
      </c>
      <c r="N413" t="s">
        <v>2410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1795</v>
      </c>
      <c r="C414" t="s">
        <v>1796</v>
      </c>
      <c r="D414" s="3">
        <v>30399</v>
      </c>
      <c r="E414" t="s">
        <v>1400</v>
      </c>
      <c r="F414">
        <v>602</v>
      </c>
      <c r="G414" s="3">
        <v>41372</v>
      </c>
      <c r="H414" t="s">
        <v>1797</v>
      </c>
      <c r="J414" t="s">
        <v>1657</v>
      </c>
      <c r="K414" t="s">
        <v>70</v>
      </c>
      <c r="L414" s="3">
        <v>46817</v>
      </c>
      <c r="M414" s="3">
        <v>46735</v>
      </c>
      <c r="N414" t="s">
        <v>1798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2403</v>
      </c>
      <c r="C415" t="s">
        <v>2404</v>
      </c>
      <c r="D415" s="3">
        <v>25648</v>
      </c>
      <c r="E415" t="s">
        <v>1400</v>
      </c>
      <c r="F415">
        <v>221</v>
      </c>
      <c r="G415" s="3">
        <v>41313</v>
      </c>
      <c r="H415" t="s">
        <v>2405</v>
      </c>
      <c r="J415" t="s">
        <v>1480</v>
      </c>
      <c r="K415" t="s">
        <v>70</v>
      </c>
      <c r="L415" s="3">
        <v>46166</v>
      </c>
      <c r="M415" s="3">
        <v>47135</v>
      </c>
      <c r="N415" t="s">
        <v>2406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2216</v>
      </c>
      <c r="C416" t="s">
        <v>2217</v>
      </c>
      <c r="D416" s="3">
        <v>24757</v>
      </c>
      <c r="E416" t="s">
        <v>1400</v>
      </c>
      <c r="F416">
        <v>96</v>
      </c>
      <c r="G416" s="3">
        <v>41253</v>
      </c>
      <c r="H416" t="s">
        <v>2218</v>
      </c>
      <c r="J416" t="s">
        <v>1480</v>
      </c>
      <c r="K416" t="s">
        <v>70</v>
      </c>
      <c r="L416" s="3">
        <v>46735</v>
      </c>
      <c r="M416" s="3">
        <v>46254</v>
      </c>
      <c r="N416" t="s">
        <v>2219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3304</v>
      </c>
      <c r="C417" t="s">
        <v>1372</v>
      </c>
      <c r="D417" s="3">
        <v>25474</v>
      </c>
      <c r="E417" t="s">
        <v>1400</v>
      </c>
      <c r="F417">
        <v>77</v>
      </c>
      <c r="G417" s="3">
        <v>41218</v>
      </c>
      <c r="H417" t="s">
        <v>3305</v>
      </c>
      <c r="J417" t="s">
        <v>1480</v>
      </c>
      <c r="K417" t="s">
        <v>70</v>
      </c>
      <c r="L417" s="3">
        <v>46601</v>
      </c>
      <c r="M417" s="3">
        <v>46593</v>
      </c>
      <c r="N417" t="s">
        <v>3306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3095</v>
      </c>
      <c r="C418" t="s">
        <v>2427</v>
      </c>
      <c r="D418" s="3">
        <v>27392</v>
      </c>
      <c r="E418" t="s">
        <v>1400</v>
      </c>
      <c r="F418">
        <v>379</v>
      </c>
      <c r="G418" s="3">
        <v>41218</v>
      </c>
      <c r="H418" t="s">
        <v>3096</v>
      </c>
      <c r="I418">
        <v>93286345</v>
      </c>
      <c r="J418" t="s">
        <v>1454</v>
      </c>
      <c r="K418" t="s">
        <v>61</v>
      </c>
      <c r="L418" s="3">
        <v>46475</v>
      </c>
      <c r="M418" s="3">
        <v>46427</v>
      </c>
      <c r="N418" t="s">
        <v>3097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2448</v>
      </c>
      <c r="C419" t="s">
        <v>2449</v>
      </c>
      <c r="D419" s="3">
        <v>27365</v>
      </c>
      <c r="E419" t="s">
        <v>1400</v>
      </c>
      <c r="F419">
        <v>315</v>
      </c>
      <c r="G419" s="3">
        <v>41204</v>
      </c>
      <c r="H419" t="s">
        <v>2450</v>
      </c>
      <c r="J419" t="s">
        <v>1480</v>
      </c>
      <c r="K419" t="s">
        <v>61</v>
      </c>
      <c r="L419" s="3">
        <v>46505</v>
      </c>
      <c r="M419" s="3">
        <v>46497</v>
      </c>
      <c r="N419" t="s">
        <v>2451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1534</v>
      </c>
      <c r="C420" t="s">
        <v>1535</v>
      </c>
      <c r="D420" s="3">
        <v>31877</v>
      </c>
      <c r="E420" t="s">
        <v>1400</v>
      </c>
      <c r="F420">
        <v>199</v>
      </c>
      <c r="G420" s="3">
        <v>41204</v>
      </c>
      <c r="H420" t="s">
        <v>1536</v>
      </c>
      <c r="J420" t="s">
        <v>1537</v>
      </c>
      <c r="K420" t="s">
        <v>67</v>
      </c>
      <c r="L420" s="3">
        <v>72686</v>
      </c>
      <c r="M420" s="3">
        <v>46476</v>
      </c>
      <c r="N420" t="s">
        <v>1538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3133</v>
      </c>
      <c r="C421" t="s">
        <v>3134</v>
      </c>
      <c r="D421" s="3">
        <v>31904</v>
      </c>
      <c r="E421" t="s">
        <v>1400</v>
      </c>
      <c r="F421">
        <v>363</v>
      </c>
      <c r="G421" s="3">
        <v>41176</v>
      </c>
      <c r="H421" t="s">
        <v>3135</v>
      </c>
      <c r="J421" t="s">
        <v>1408</v>
      </c>
      <c r="K421" t="s">
        <v>64</v>
      </c>
      <c r="L421" s="3">
        <v>46523</v>
      </c>
      <c r="M421" s="3">
        <v>46466</v>
      </c>
      <c r="N421" t="s">
        <v>3136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2858</v>
      </c>
      <c r="C422" t="s">
        <v>2859</v>
      </c>
      <c r="D422" s="3">
        <v>29887</v>
      </c>
      <c r="E422" t="s">
        <v>1400</v>
      </c>
      <c r="F422">
        <v>277</v>
      </c>
      <c r="G422" s="3">
        <v>41141</v>
      </c>
      <c r="H422" t="s">
        <v>2860</v>
      </c>
      <c r="J422" t="s">
        <v>1480</v>
      </c>
      <c r="K422" t="s">
        <v>64</v>
      </c>
      <c r="L422" s="3">
        <v>72686</v>
      </c>
      <c r="M422" s="3">
        <v>46621</v>
      </c>
      <c r="N422" t="s">
        <v>2861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2590</v>
      </c>
      <c r="C423" t="s">
        <v>2584</v>
      </c>
      <c r="D423" s="3">
        <v>25646</v>
      </c>
      <c r="E423" t="s">
        <v>1400</v>
      </c>
      <c r="F423">
        <v>72</v>
      </c>
      <c r="G423" s="3">
        <v>41113</v>
      </c>
      <c r="H423" t="s">
        <v>2591</v>
      </c>
      <c r="J423" t="s">
        <v>1480</v>
      </c>
      <c r="K423" t="s">
        <v>61</v>
      </c>
      <c r="L423" s="3">
        <v>1</v>
      </c>
      <c r="M423" s="3">
        <v>46427</v>
      </c>
      <c r="N423" t="s">
        <v>2592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1659</v>
      </c>
      <c r="C424" t="s">
        <v>1349</v>
      </c>
      <c r="D424" s="3">
        <v>23065</v>
      </c>
      <c r="E424" t="s">
        <v>1400</v>
      </c>
      <c r="F424">
        <v>175</v>
      </c>
      <c r="G424" s="3">
        <v>40973</v>
      </c>
      <c r="H424" t="s">
        <v>1660</v>
      </c>
      <c r="J424" t="s">
        <v>1418</v>
      </c>
      <c r="K424" t="s">
        <v>70</v>
      </c>
      <c r="L424" s="3">
        <v>46960</v>
      </c>
      <c r="M424" s="3">
        <v>46210</v>
      </c>
      <c r="N424" t="s">
        <v>1661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2918</v>
      </c>
      <c r="C425" t="s">
        <v>2919</v>
      </c>
      <c r="D425" s="3">
        <v>27314</v>
      </c>
      <c r="E425" t="s">
        <v>1400</v>
      </c>
      <c r="G425" s="3">
        <v>40959</v>
      </c>
      <c r="H425" t="s">
        <v>2920</v>
      </c>
      <c r="J425" t="s">
        <v>1408</v>
      </c>
      <c r="K425" t="s">
        <v>61</v>
      </c>
      <c r="L425" s="3">
        <v>46272</v>
      </c>
      <c r="M425" s="3">
        <v>46266</v>
      </c>
      <c r="N425" t="s">
        <v>2921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1622</v>
      </c>
      <c r="C426" t="s">
        <v>1623</v>
      </c>
      <c r="D426" s="3">
        <v>32853</v>
      </c>
      <c r="E426" t="s">
        <v>1400</v>
      </c>
      <c r="F426">
        <v>648</v>
      </c>
      <c r="G426" s="3">
        <v>40952</v>
      </c>
      <c r="H426" t="s">
        <v>1624</v>
      </c>
      <c r="J426" t="s">
        <v>1625</v>
      </c>
      <c r="K426" t="s">
        <v>61</v>
      </c>
      <c r="L426" s="3">
        <v>46330</v>
      </c>
      <c r="M426" s="3">
        <v>46316</v>
      </c>
      <c r="N426" t="s">
        <v>1626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1415</v>
      </c>
      <c r="C427" t="s">
        <v>2170</v>
      </c>
      <c r="D427" s="3">
        <v>32970</v>
      </c>
      <c r="E427" t="s">
        <v>1400</v>
      </c>
      <c r="F427">
        <v>411</v>
      </c>
      <c r="G427" s="3">
        <v>40861</v>
      </c>
      <c r="I427">
        <v>485002480</v>
      </c>
      <c r="J427" t="s">
        <v>1657</v>
      </c>
      <c r="K427" t="s">
        <v>58</v>
      </c>
      <c r="L427" s="3">
        <v>45952</v>
      </c>
      <c r="M427" s="3">
        <v>45944</v>
      </c>
      <c r="N427" t="s">
        <v>2171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2063</v>
      </c>
      <c r="C428" t="s">
        <v>2060</v>
      </c>
      <c r="D428" s="3">
        <v>25346</v>
      </c>
      <c r="E428" t="s">
        <v>1400</v>
      </c>
      <c r="F428">
        <v>39</v>
      </c>
      <c r="G428" s="3">
        <v>40861</v>
      </c>
      <c r="H428" t="s">
        <v>2064</v>
      </c>
      <c r="J428" t="s">
        <v>1721</v>
      </c>
      <c r="K428" t="s">
        <v>52</v>
      </c>
      <c r="L428" s="3">
        <v>46259</v>
      </c>
      <c r="M428" s="3">
        <v>46210</v>
      </c>
      <c r="N428" t="s">
        <v>2065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2590</v>
      </c>
      <c r="C429" t="s">
        <v>2427</v>
      </c>
      <c r="D429" s="3">
        <v>25315</v>
      </c>
      <c r="E429" t="s">
        <v>1400</v>
      </c>
      <c r="F429">
        <v>245</v>
      </c>
      <c r="G429" s="3">
        <v>40826</v>
      </c>
      <c r="H429" t="s">
        <v>3098</v>
      </c>
      <c r="J429" t="s">
        <v>1480</v>
      </c>
      <c r="K429" t="s">
        <v>55</v>
      </c>
      <c r="L429" s="3">
        <v>72686</v>
      </c>
      <c r="M429" s="3">
        <v>46266</v>
      </c>
      <c r="N429" t="s">
        <v>3099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2833</v>
      </c>
      <c r="C430" t="s">
        <v>2834</v>
      </c>
      <c r="D430" s="3">
        <v>24034</v>
      </c>
      <c r="E430" t="s">
        <v>1400</v>
      </c>
      <c r="F430">
        <v>203</v>
      </c>
      <c r="G430" s="3">
        <v>40812</v>
      </c>
      <c r="H430" t="s">
        <v>2835</v>
      </c>
      <c r="I430">
        <v>93348063</v>
      </c>
      <c r="J430" t="s">
        <v>1657</v>
      </c>
      <c r="K430" t="s">
        <v>73</v>
      </c>
      <c r="L430" s="3">
        <v>46870</v>
      </c>
      <c r="M430" s="3">
        <v>46862</v>
      </c>
      <c r="N430" t="s">
        <v>2836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2205</v>
      </c>
      <c r="C431" t="s">
        <v>2206</v>
      </c>
      <c r="D431" s="3">
        <v>31035</v>
      </c>
      <c r="E431" t="s">
        <v>1400</v>
      </c>
      <c r="F431">
        <v>119</v>
      </c>
      <c r="G431" s="3">
        <v>40771</v>
      </c>
      <c r="H431" t="s">
        <v>2207</v>
      </c>
      <c r="J431" t="s">
        <v>1519</v>
      </c>
      <c r="K431" t="s">
        <v>61</v>
      </c>
      <c r="L431" s="3">
        <v>46085</v>
      </c>
      <c r="M431" s="3">
        <v>46028</v>
      </c>
      <c r="N431" t="s">
        <v>2208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1512</v>
      </c>
      <c r="C432" t="s">
        <v>1513</v>
      </c>
      <c r="D432" s="3">
        <v>26831</v>
      </c>
      <c r="E432" t="s">
        <v>1400</v>
      </c>
      <c r="F432">
        <v>644</v>
      </c>
      <c r="G432" s="3">
        <v>40749</v>
      </c>
      <c r="H432" t="s">
        <v>1514</v>
      </c>
      <c r="J432" t="s">
        <v>1515</v>
      </c>
      <c r="K432" t="s">
        <v>64</v>
      </c>
      <c r="L432" s="3">
        <v>46802</v>
      </c>
      <c r="M432" s="3">
        <v>46763</v>
      </c>
      <c r="N432" t="s">
        <v>1516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2845</v>
      </c>
      <c r="C433" t="s">
        <v>2842</v>
      </c>
      <c r="D433" s="3">
        <v>27001</v>
      </c>
      <c r="E433" t="s">
        <v>1400</v>
      </c>
      <c r="F433">
        <v>211</v>
      </c>
      <c r="G433" s="3">
        <v>40749</v>
      </c>
      <c r="H433" t="s">
        <v>2846</v>
      </c>
      <c r="J433" t="s">
        <v>1569</v>
      </c>
      <c r="K433" t="s">
        <v>52</v>
      </c>
      <c r="L433" s="3">
        <v>46175</v>
      </c>
      <c r="M433" s="3">
        <v>45996</v>
      </c>
      <c r="N433" t="s">
        <v>2847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2012</v>
      </c>
      <c r="C434" t="s">
        <v>3138</v>
      </c>
      <c r="D434" s="3">
        <v>32548</v>
      </c>
      <c r="E434" t="s">
        <v>1400</v>
      </c>
      <c r="F434">
        <v>322</v>
      </c>
      <c r="G434" s="3">
        <v>40728</v>
      </c>
      <c r="H434" t="s">
        <v>3141</v>
      </c>
      <c r="J434" t="s">
        <v>1537</v>
      </c>
      <c r="K434" t="s">
        <v>58</v>
      </c>
      <c r="L434" s="3">
        <v>72686</v>
      </c>
      <c r="M434" s="3">
        <v>46201</v>
      </c>
      <c r="N434" t="s">
        <v>3142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2184</v>
      </c>
      <c r="C435" t="s">
        <v>2185</v>
      </c>
      <c r="D435" s="3">
        <v>32073</v>
      </c>
      <c r="E435" t="s">
        <v>1400</v>
      </c>
      <c r="F435">
        <v>307</v>
      </c>
      <c r="G435" s="3">
        <v>40728</v>
      </c>
      <c r="H435" t="s">
        <v>2186</v>
      </c>
      <c r="J435" t="s">
        <v>1480</v>
      </c>
      <c r="K435" t="s">
        <v>58</v>
      </c>
      <c r="L435" s="3">
        <v>72686</v>
      </c>
      <c r="M435" s="3">
        <v>47135</v>
      </c>
      <c r="N435" t="s">
        <v>2187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1662</v>
      </c>
      <c r="C436" t="s">
        <v>1349</v>
      </c>
      <c r="D436" s="3">
        <v>28045</v>
      </c>
      <c r="E436" t="s">
        <v>1400</v>
      </c>
      <c r="F436">
        <v>54</v>
      </c>
      <c r="G436" s="3">
        <v>40700</v>
      </c>
      <c r="H436" t="s">
        <v>1663</v>
      </c>
      <c r="J436" t="s">
        <v>1523</v>
      </c>
      <c r="K436" t="s">
        <v>70</v>
      </c>
      <c r="L436" s="3">
        <v>46230</v>
      </c>
      <c r="M436" s="3">
        <v>46097</v>
      </c>
      <c r="N436" t="s">
        <v>1664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2372</v>
      </c>
      <c r="C437" t="s">
        <v>2373</v>
      </c>
      <c r="D437" s="3">
        <v>23313</v>
      </c>
      <c r="E437" t="s">
        <v>1400</v>
      </c>
      <c r="F437">
        <v>257</v>
      </c>
      <c r="G437" s="3">
        <v>40679</v>
      </c>
      <c r="H437" t="s">
        <v>2374</v>
      </c>
      <c r="J437" t="s">
        <v>1537</v>
      </c>
      <c r="K437" t="s">
        <v>58</v>
      </c>
      <c r="L437" s="3">
        <v>72686</v>
      </c>
      <c r="M437" s="3">
        <v>46140</v>
      </c>
      <c r="N437" t="s">
        <v>2375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2022</v>
      </c>
      <c r="C438" t="s">
        <v>2013</v>
      </c>
      <c r="D438" s="3">
        <v>23837</v>
      </c>
      <c r="E438" t="s">
        <v>1400</v>
      </c>
      <c r="F438">
        <v>511</v>
      </c>
      <c r="G438" s="3">
        <v>40679</v>
      </c>
      <c r="H438" t="s">
        <v>2023</v>
      </c>
      <c r="J438" t="s">
        <v>1625</v>
      </c>
      <c r="K438" t="s">
        <v>55</v>
      </c>
      <c r="L438" s="3">
        <v>46162</v>
      </c>
      <c r="M438" s="3">
        <v>47337</v>
      </c>
      <c r="N438" t="s">
        <v>2024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2118</v>
      </c>
      <c r="C439" t="s">
        <v>2136</v>
      </c>
      <c r="D439" s="3">
        <v>31706</v>
      </c>
      <c r="E439" t="s">
        <v>1400</v>
      </c>
      <c r="F439">
        <v>36</v>
      </c>
      <c r="G439" s="3">
        <v>40658</v>
      </c>
      <c r="H439" t="s">
        <v>2137</v>
      </c>
      <c r="J439" t="s">
        <v>1476</v>
      </c>
      <c r="K439" t="s">
        <v>58</v>
      </c>
      <c r="L439" s="3">
        <v>72686</v>
      </c>
      <c r="M439" s="3">
        <v>46838</v>
      </c>
      <c r="N439" t="s">
        <v>2138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3120</v>
      </c>
      <c r="C440" t="s">
        <v>3114</v>
      </c>
      <c r="D440" s="3">
        <v>24341</v>
      </c>
      <c r="E440" t="s">
        <v>1400</v>
      </c>
      <c r="F440">
        <v>27</v>
      </c>
      <c r="G440" s="3">
        <v>40658</v>
      </c>
      <c r="H440" t="s">
        <v>3121</v>
      </c>
      <c r="J440" t="s">
        <v>1426</v>
      </c>
      <c r="K440" t="s">
        <v>61</v>
      </c>
      <c r="L440" s="3">
        <v>47575</v>
      </c>
      <c r="M440" s="3">
        <v>47197</v>
      </c>
      <c r="N440" t="s">
        <v>3122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2882</v>
      </c>
      <c r="C441" t="s">
        <v>2879</v>
      </c>
      <c r="D441" s="3">
        <v>23749</v>
      </c>
      <c r="E441" t="s">
        <v>1400</v>
      </c>
      <c r="F441">
        <v>109</v>
      </c>
      <c r="G441" s="3">
        <v>40637</v>
      </c>
      <c r="H441" t="s">
        <v>2883</v>
      </c>
      <c r="I441">
        <v>92257858</v>
      </c>
      <c r="J441" t="s">
        <v>1426</v>
      </c>
      <c r="K441" t="s">
        <v>58</v>
      </c>
      <c r="L441" s="3">
        <v>72686</v>
      </c>
      <c r="M441" s="3">
        <v>46210</v>
      </c>
      <c r="N441" t="s">
        <v>2884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1665</v>
      </c>
      <c r="C442" t="s">
        <v>1349</v>
      </c>
      <c r="D442" s="3">
        <v>28199</v>
      </c>
      <c r="E442" t="s">
        <v>1400</v>
      </c>
      <c r="F442">
        <v>615</v>
      </c>
      <c r="G442" s="3">
        <v>40637</v>
      </c>
      <c r="H442" t="s">
        <v>1666</v>
      </c>
      <c r="J442" t="s">
        <v>1432</v>
      </c>
      <c r="K442" t="s">
        <v>64</v>
      </c>
      <c r="L442" s="3">
        <v>45993</v>
      </c>
      <c r="M442" s="3">
        <v>47408</v>
      </c>
      <c r="N442" t="s">
        <v>1667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2008</v>
      </c>
      <c r="C443" t="s">
        <v>2009</v>
      </c>
      <c r="D443" s="3">
        <v>25815</v>
      </c>
      <c r="E443" t="s">
        <v>1400</v>
      </c>
      <c r="F443">
        <v>8</v>
      </c>
      <c r="G443" s="3">
        <v>40637</v>
      </c>
      <c r="H443" t="s">
        <v>2010</v>
      </c>
      <c r="J443" t="s">
        <v>1476</v>
      </c>
      <c r="K443" t="s">
        <v>61</v>
      </c>
      <c r="L443" s="3">
        <v>46043</v>
      </c>
      <c r="M443" s="3">
        <v>46014</v>
      </c>
      <c r="N443" t="s">
        <v>2011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1867</v>
      </c>
      <c r="C444" t="s">
        <v>1864</v>
      </c>
      <c r="D444" s="3">
        <v>22939</v>
      </c>
      <c r="E444" t="s">
        <v>1400</v>
      </c>
      <c r="F444">
        <v>61</v>
      </c>
      <c r="G444" s="3">
        <v>40623</v>
      </c>
      <c r="H444" t="s">
        <v>1868</v>
      </c>
      <c r="J444" t="s">
        <v>1480</v>
      </c>
      <c r="K444" t="s">
        <v>67</v>
      </c>
      <c r="L444" s="3">
        <v>45948</v>
      </c>
      <c r="M444" s="3">
        <v>46046</v>
      </c>
      <c r="N444" t="s">
        <v>1869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2613</v>
      </c>
      <c r="C445" t="s">
        <v>2614</v>
      </c>
      <c r="D445" s="3">
        <v>31566</v>
      </c>
      <c r="E445" t="s">
        <v>1400</v>
      </c>
      <c r="F445">
        <v>207</v>
      </c>
      <c r="G445" s="3">
        <v>40602</v>
      </c>
      <c r="H445" t="s">
        <v>2615</v>
      </c>
      <c r="J445" t="s">
        <v>1432</v>
      </c>
      <c r="K445" t="s">
        <v>70</v>
      </c>
      <c r="L445" s="3">
        <v>47548</v>
      </c>
      <c r="M445" s="3">
        <v>47533</v>
      </c>
      <c r="N445" t="s">
        <v>2616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2298</v>
      </c>
      <c r="C446" t="s">
        <v>2299</v>
      </c>
      <c r="D446" s="3">
        <v>27418</v>
      </c>
      <c r="E446" t="s">
        <v>1400</v>
      </c>
      <c r="F446">
        <v>138</v>
      </c>
      <c r="G446" s="3">
        <v>40567</v>
      </c>
      <c r="H446" t="s">
        <v>2300</v>
      </c>
      <c r="J446" t="s">
        <v>1441</v>
      </c>
      <c r="K446" t="s">
        <v>70</v>
      </c>
      <c r="L446" s="3">
        <v>46063</v>
      </c>
      <c r="M446" s="3">
        <v>46497</v>
      </c>
      <c r="N446" t="s">
        <v>2301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3209</v>
      </c>
      <c r="C447" t="s">
        <v>3203</v>
      </c>
      <c r="D447" s="3">
        <v>27364</v>
      </c>
      <c r="E447" t="s">
        <v>1400</v>
      </c>
      <c r="F447">
        <v>137</v>
      </c>
      <c r="G447" s="3">
        <v>40567</v>
      </c>
      <c r="H447" t="s">
        <v>3210</v>
      </c>
      <c r="J447" t="s">
        <v>1441</v>
      </c>
      <c r="K447" t="s">
        <v>61</v>
      </c>
      <c r="L447" s="3">
        <v>47712</v>
      </c>
      <c r="M447" s="3">
        <v>47700</v>
      </c>
      <c r="N447" t="s">
        <v>3211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2048</v>
      </c>
      <c r="C448" t="s">
        <v>2045</v>
      </c>
      <c r="D448" s="3">
        <v>29202</v>
      </c>
      <c r="E448" t="s">
        <v>1400</v>
      </c>
      <c r="F448">
        <v>105</v>
      </c>
      <c r="G448" s="3">
        <v>40525</v>
      </c>
      <c r="H448" t="s">
        <v>2049</v>
      </c>
      <c r="J448" t="s">
        <v>1657</v>
      </c>
      <c r="K448" t="s">
        <v>58</v>
      </c>
      <c r="L448" s="3">
        <v>45922</v>
      </c>
      <c r="M448" s="3">
        <v>45916</v>
      </c>
      <c r="N448" t="s">
        <v>2050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2868</v>
      </c>
      <c r="C449" t="s">
        <v>2869</v>
      </c>
      <c r="D449" s="3">
        <v>29751</v>
      </c>
      <c r="E449" t="s">
        <v>1400</v>
      </c>
      <c r="F449">
        <v>617</v>
      </c>
      <c r="G449" s="3">
        <v>40525</v>
      </c>
      <c r="H449" t="s">
        <v>2870</v>
      </c>
      <c r="J449" t="s">
        <v>1523</v>
      </c>
      <c r="K449" t="s">
        <v>64</v>
      </c>
      <c r="L449" s="3">
        <v>47657</v>
      </c>
      <c r="M449" s="3">
        <v>47611</v>
      </c>
      <c r="N449" t="s">
        <v>2871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3436</v>
      </c>
      <c r="C450" t="s">
        <v>1882</v>
      </c>
      <c r="D450" s="3">
        <v>28120</v>
      </c>
      <c r="E450" t="s">
        <v>1400</v>
      </c>
      <c r="F450">
        <v>74</v>
      </c>
      <c r="G450" s="3">
        <v>40497</v>
      </c>
      <c r="H450" t="s">
        <v>3437</v>
      </c>
      <c r="J450" t="s">
        <v>1537</v>
      </c>
      <c r="K450" t="s">
        <v>67</v>
      </c>
      <c r="L450" s="3">
        <v>72686</v>
      </c>
      <c r="M450" s="3">
        <v>72686</v>
      </c>
      <c r="N450" t="s">
        <v>3438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2688</v>
      </c>
      <c r="C451" t="s">
        <v>3460</v>
      </c>
      <c r="D451" s="3">
        <v>30480</v>
      </c>
      <c r="E451" t="s">
        <v>1400</v>
      </c>
      <c r="F451">
        <v>24</v>
      </c>
      <c r="G451" s="3">
        <v>40469</v>
      </c>
      <c r="H451" t="s">
        <v>3461</v>
      </c>
      <c r="J451" t="s">
        <v>1476</v>
      </c>
      <c r="K451" t="s">
        <v>58</v>
      </c>
      <c r="L451" s="3">
        <v>73050</v>
      </c>
      <c r="M451" s="3">
        <v>47551</v>
      </c>
      <c r="N451" t="s">
        <v>3462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1530</v>
      </c>
      <c r="C452" t="s">
        <v>1531</v>
      </c>
      <c r="D452" s="3">
        <v>29775</v>
      </c>
      <c r="E452" t="s">
        <v>1400</v>
      </c>
      <c r="F452">
        <v>606</v>
      </c>
      <c r="G452" s="3">
        <v>40455</v>
      </c>
      <c r="H452" t="s">
        <v>1532</v>
      </c>
      <c r="J452" t="s">
        <v>1480</v>
      </c>
      <c r="K452" t="s">
        <v>64</v>
      </c>
      <c r="L452" s="3">
        <v>73050</v>
      </c>
      <c r="M452" s="3">
        <v>73050</v>
      </c>
      <c r="N452" t="s">
        <v>1533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1718</v>
      </c>
      <c r="C453" t="s">
        <v>1719</v>
      </c>
      <c r="D453" s="3">
        <v>24380</v>
      </c>
      <c r="E453" t="s">
        <v>1400</v>
      </c>
      <c r="F453">
        <v>42</v>
      </c>
      <c r="G453" s="3">
        <v>40455</v>
      </c>
      <c r="H453" t="s">
        <v>1720</v>
      </c>
      <c r="I453">
        <v>92203627</v>
      </c>
      <c r="J453" t="s">
        <v>1721</v>
      </c>
      <c r="K453" t="s">
        <v>61</v>
      </c>
      <c r="L453" s="3">
        <v>46167</v>
      </c>
      <c r="M453" s="3">
        <v>46609</v>
      </c>
      <c r="N453" t="s">
        <v>1722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1687</v>
      </c>
      <c r="C454" t="s">
        <v>1688</v>
      </c>
      <c r="D454" s="3">
        <v>24366</v>
      </c>
      <c r="E454" t="s">
        <v>1400</v>
      </c>
      <c r="F454">
        <v>479</v>
      </c>
      <c r="G454" s="3">
        <v>40385</v>
      </c>
      <c r="H454" t="s">
        <v>1689</v>
      </c>
      <c r="J454" t="s">
        <v>1476</v>
      </c>
      <c r="K454" t="s">
        <v>67</v>
      </c>
      <c r="L454" s="3">
        <v>73050</v>
      </c>
      <c r="M454" s="3">
        <v>73050</v>
      </c>
      <c r="N454" t="s">
        <v>1690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2632</v>
      </c>
      <c r="C455" t="s">
        <v>1372</v>
      </c>
      <c r="D455" s="3">
        <v>25942</v>
      </c>
      <c r="E455" t="s">
        <v>1400</v>
      </c>
      <c r="F455">
        <v>471</v>
      </c>
      <c r="G455" s="3">
        <v>40385</v>
      </c>
      <c r="H455" t="s">
        <v>3307</v>
      </c>
      <c r="J455" t="s">
        <v>1484</v>
      </c>
      <c r="K455" t="s">
        <v>61</v>
      </c>
      <c r="L455" s="3">
        <v>47467</v>
      </c>
      <c r="M455" s="3">
        <v>46718</v>
      </c>
      <c r="N455" t="s">
        <v>3308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2848</v>
      </c>
      <c r="C456" t="s">
        <v>2842</v>
      </c>
      <c r="D456" s="3">
        <v>23931</v>
      </c>
      <c r="E456" t="s">
        <v>1400</v>
      </c>
      <c r="F456">
        <v>613</v>
      </c>
      <c r="G456" s="3">
        <v>40350</v>
      </c>
      <c r="H456" t="s">
        <v>2849</v>
      </c>
      <c r="I456">
        <v>53622213</v>
      </c>
      <c r="J456" t="s">
        <v>1480</v>
      </c>
      <c r="K456" t="s">
        <v>64</v>
      </c>
      <c r="L456" s="3">
        <v>72686</v>
      </c>
      <c r="M456" s="3">
        <v>47189</v>
      </c>
      <c r="N456" t="s">
        <v>2850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2118</v>
      </c>
      <c r="C457" t="s">
        <v>3086</v>
      </c>
      <c r="D457" s="3">
        <v>30762</v>
      </c>
      <c r="E457" t="s">
        <v>1655</v>
      </c>
      <c r="F457">
        <v>614</v>
      </c>
      <c r="G457" s="3">
        <v>40049</v>
      </c>
      <c r="H457" t="s">
        <v>3087</v>
      </c>
      <c r="J457" t="s">
        <v>1569</v>
      </c>
      <c r="K457" t="s">
        <v>52</v>
      </c>
      <c r="L457" s="3">
        <v>47139</v>
      </c>
      <c r="M457" s="3">
        <v>47105</v>
      </c>
      <c r="N457" t="s">
        <v>3088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3406</v>
      </c>
      <c r="C458" t="s">
        <v>3400</v>
      </c>
      <c r="D458" s="3">
        <v>26948</v>
      </c>
      <c r="E458" t="s">
        <v>1400</v>
      </c>
      <c r="F458">
        <v>605</v>
      </c>
      <c r="G458" s="3">
        <v>40035</v>
      </c>
      <c r="H458" t="s">
        <v>3407</v>
      </c>
      <c r="J458" t="s">
        <v>1476</v>
      </c>
      <c r="K458" t="s">
        <v>55</v>
      </c>
      <c r="L458" s="3">
        <v>47150</v>
      </c>
      <c r="M458" s="3">
        <v>47141</v>
      </c>
      <c r="N458" t="s">
        <v>3408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3320</v>
      </c>
      <c r="C459" t="s">
        <v>3324</v>
      </c>
      <c r="D459" s="3">
        <v>32241</v>
      </c>
      <c r="E459" t="s">
        <v>1400</v>
      </c>
      <c r="F459">
        <v>432</v>
      </c>
      <c r="G459" s="3">
        <v>40000</v>
      </c>
      <c r="H459" t="s">
        <v>3325</v>
      </c>
      <c r="J459" t="s">
        <v>1441</v>
      </c>
      <c r="K459" t="s">
        <v>61</v>
      </c>
      <c r="L459" s="3">
        <v>47129</v>
      </c>
      <c r="M459" s="3">
        <v>47105</v>
      </c>
      <c r="N459" t="s">
        <v>3326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2452</v>
      </c>
      <c r="C460" t="s">
        <v>2449</v>
      </c>
      <c r="D460" s="3">
        <v>26728</v>
      </c>
      <c r="E460" t="s">
        <v>1400</v>
      </c>
      <c r="F460">
        <v>507</v>
      </c>
      <c r="G460" s="3">
        <v>40000</v>
      </c>
      <c r="H460" t="s">
        <v>2453</v>
      </c>
      <c r="J460" t="s">
        <v>1480</v>
      </c>
      <c r="K460" t="s">
        <v>58</v>
      </c>
      <c r="L460" s="3">
        <v>73050</v>
      </c>
      <c r="M460" s="3">
        <v>46279</v>
      </c>
      <c r="N460" t="s">
        <v>2454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2559</v>
      </c>
      <c r="C461" t="s">
        <v>2560</v>
      </c>
      <c r="D461" s="3">
        <v>26572</v>
      </c>
      <c r="E461" t="s">
        <v>1400</v>
      </c>
      <c r="F461">
        <v>75</v>
      </c>
      <c r="G461" s="3">
        <v>39979</v>
      </c>
      <c r="H461" t="s">
        <v>2561</v>
      </c>
      <c r="J461" t="s">
        <v>1426</v>
      </c>
      <c r="K461" t="s">
        <v>61</v>
      </c>
      <c r="L461" s="3">
        <v>47362</v>
      </c>
      <c r="M461" s="3">
        <v>46399</v>
      </c>
      <c r="N461" t="s">
        <v>2562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3266</v>
      </c>
      <c r="C462" t="s">
        <v>3263</v>
      </c>
      <c r="D462" s="3">
        <v>26005</v>
      </c>
      <c r="E462" t="s">
        <v>1400</v>
      </c>
      <c r="F462">
        <v>376</v>
      </c>
      <c r="G462" s="3">
        <v>39972</v>
      </c>
      <c r="H462" t="s">
        <v>3267</v>
      </c>
      <c r="J462" t="s">
        <v>1519</v>
      </c>
      <c r="K462" t="s">
        <v>58</v>
      </c>
      <c r="L462" s="3">
        <v>47143</v>
      </c>
      <c r="M462" s="3">
        <v>46005</v>
      </c>
      <c r="N462" t="s">
        <v>3268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1424</v>
      </c>
      <c r="C463" t="s">
        <v>1421</v>
      </c>
      <c r="D463" s="3">
        <v>26173</v>
      </c>
      <c r="E463" t="s">
        <v>1400</v>
      </c>
      <c r="F463">
        <v>35</v>
      </c>
      <c r="G463" s="3">
        <v>39937</v>
      </c>
      <c r="H463" t="s">
        <v>1425</v>
      </c>
      <c r="J463" t="s">
        <v>1426</v>
      </c>
      <c r="K463" t="s">
        <v>52</v>
      </c>
      <c r="L463" s="3">
        <v>47078</v>
      </c>
      <c r="M463" s="3">
        <v>47072</v>
      </c>
      <c r="N463" t="s">
        <v>1427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3164</v>
      </c>
      <c r="C464" t="s">
        <v>3165</v>
      </c>
      <c r="D464" s="3">
        <v>24373</v>
      </c>
      <c r="E464" t="s">
        <v>1400</v>
      </c>
      <c r="F464">
        <v>371</v>
      </c>
      <c r="G464" s="3">
        <v>39923</v>
      </c>
      <c r="H464" t="s">
        <v>3166</v>
      </c>
      <c r="J464" t="s">
        <v>1426</v>
      </c>
      <c r="K464" t="s">
        <v>52</v>
      </c>
      <c r="L464" s="3">
        <v>73050</v>
      </c>
      <c r="M464" s="3">
        <v>47369</v>
      </c>
      <c r="N464" t="s">
        <v>3167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3331</v>
      </c>
      <c r="C465" t="s">
        <v>3332</v>
      </c>
      <c r="D465" s="3">
        <v>26528</v>
      </c>
      <c r="E465" t="s">
        <v>1400</v>
      </c>
      <c r="F465">
        <v>318</v>
      </c>
      <c r="G465" s="3">
        <v>39923</v>
      </c>
      <c r="H465" t="s">
        <v>3333</v>
      </c>
      <c r="J465" t="s">
        <v>1721</v>
      </c>
      <c r="K465" t="s">
        <v>52</v>
      </c>
      <c r="L465" s="3">
        <v>47154</v>
      </c>
      <c r="M465" s="3">
        <v>46981</v>
      </c>
      <c r="N465" t="s">
        <v>3334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3161</v>
      </c>
      <c r="C466" t="s">
        <v>3158</v>
      </c>
      <c r="D466" s="3">
        <v>28357</v>
      </c>
      <c r="E466" t="s">
        <v>1400</v>
      </c>
      <c r="G466" s="3">
        <v>39909</v>
      </c>
      <c r="H466" t="s">
        <v>3162</v>
      </c>
      <c r="I466">
        <v>93285649</v>
      </c>
      <c r="J466" t="s">
        <v>1446</v>
      </c>
      <c r="K466" t="s">
        <v>52</v>
      </c>
      <c r="L466" s="3">
        <v>47363</v>
      </c>
      <c r="M466" s="3">
        <v>46005</v>
      </c>
      <c r="N466" t="s">
        <v>3163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1564</v>
      </c>
      <c r="C467" t="s">
        <v>1558</v>
      </c>
      <c r="D467" s="3">
        <v>24859</v>
      </c>
      <c r="E467" t="s">
        <v>1400</v>
      </c>
      <c r="F467">
        <v>151</v>
      </c>
      <c r="G467" s="3">
        <v>39895</v>
      </c>
      <c r="H467" t="s">
        <v>1565</v>
      </c>
      <c r="J467" t="s">
        <v>1528</v>
      </c>
      <c r="K467" t="s">
        <v>73</v>
      </c>
      <c r="L467" s="3">
        <v>47043</v>
      </c>
      <c r="M467" s="3">
        <v>47034</v>
      </c>
      <c r="N467" t="s">
        <v>1566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2129</v>
      </c>
      <c r="C468" t="s">
        <v>2115</v>
      </c>
      <c r="D468" s="3">
        <v>30706</v>
      </c>
      <c r="E468" t="s">
        <v>1400</v>
      </c>
      <c r="F468">
        <v>427</v>
      </c>
      <c r="G468" s="3">
        <v>39895</v>
      </c>
      <c r="H468" t="s">
        <v>2130</v>
      </c>
      <c r="J468" t="s">
        <v>1569</v>
      </c>
      <c r="K468" t="s">
        <v>61</v>
      </c>
      <c r="L468" s="3">
        <v>46985</v>
      </c>
      <c r="M468" s="3">
        <v>46981</v>
      </c>
      <c r="N468" t="s">
        <v>2131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1878</v>
      </c>
      <c r="C469" t="s">
        <v>1879</v>
      </c>
      <c r="D469" s="3">
        <v>29923</v>
      </c>
      <c r="E469" t="s">
        <v>1400</v>
      </c>
      <c r="F469">
        <v>533</v>
      </c>
      <c r="G469" s="3">
        <v>39881</v>
      </c>
      <c r="H469" t="s">
        <v>1880</v>
      </c>
      <c r="J469" t="s">
        <v>1523</v>
      </c>
      <c r="K469" t="s">
        <v>55</v>
      </c>
      <c r="L469" s="3">
        <v>46987</v>
      </c>
      <c r="M469" s="3">
        <v>46916</v>
      </c>
      <c r="N469" t="s">
        <v>1881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3482</v>
      </c>
      <c r="C470" t="s">
        <v>3483</v>
      </c>
      <c r="D470" s="3">
        <v>28126</v>
      </c>
      <c r="E470" t="s">
        <v>1400</v>
      </c>
      <c r="F470">
        <v>327</v>
      </c>
      <c r="G470" s="3">
        <v>39839</v>
      </c>
      <c r="H470" t="s">
        <v>3484</v>
      </c>
      <c r="J470" t="s">
        <v>1426</v>
      </c>
      <c r="K470" t="s">
        <v>52</v>
      </c>
      <c r="L470" s="3">
        <v>73050</v>
      </c>
      <c r="M470" s="3">
        <v>45891</v>
      </c>
      <c r="N470" t="s">
        <v>3485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1461</v>
      </c>
      <c r="C471" t="s">
        <v>2795</v>
      </c>
      <c r="D471" s="3">
        <v>25777</v>
      </c>
      <c r="E471" t="s">
        <v>1400</v>
      </c>
      <c r="F471">
        <v>393</v>
      </c>
      <c r="G471" s="3">
        <v>39706</v>
      </c>
      <c r="H471" t="s">
        <v>2796</v>
      </c>
      <c r="J471" t="s">
        <v>1625</v>
      </c>
      <c r="K471" t="s">
        <v>70</v>
      </c>
      <c r="L471" s="3">
        <v>47665</v>
      </c>
      <c r="M471" s="3">
        <v>46791</v>
      </c>
      <c r="N471" t="s">
        <v>2797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2593</v>
      </c>
      <c r="C472" t="s">
        <v>2584</v>
      </c>
      <c r="D472" s="3">
        <v>30532</v>
      </c>
      <c r="E472" t="s">
        <v>1400</v>
      </c>
      <c r="F472">
        <v>80</v>
      </c>
      <c r="G472" s="3">
        <v>39664</v>
      </c>
      <c r="H472" t="s">
        <v>2594</v>
      </c>
      <c r="J472" t="s">
        <v>1476</v>
      </c>
      <c r="K472" t="s">
        <v>52</v>
      </c>
      <c r="L472" s="3">
        <v>72686</v>
      </c>
      <c r="M472" s="3">
        <v>46679</v>
      </c>
      <c r="N472" t="s">
        <v>2595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1928</v>
      </c>
      <c r="C473" t="s">
        <v>1929</v>
      </c>
      <c r="D473" s="3">
        <v>28070</v>
      </c>
      <c r="E473" t="s">
        <v>1400</v>
      </c>
      <c r="F473">
        <v>537</v>
      </c>
      <c r="G473" s="3">
        <v>39643</v>
      </c>
      <c r="H473" t="s">
        <v>1930</v>
      </c>
      <c r="J473" t="s">
        <v>1625</v>
      </c>
      <c r="K473" t="s">
        <v>55</v>
      </c>
      <c r="L473" s="3">
        <v>47610</v>
      </c>
      <c r="M473" s="3">
        <v>46637</v>
      </c>
      <c r="N473" t="s">
        <v>1931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3471</v>
      </c>
      <c r="C474" t="s">
        <v>3472</v>
      </c>
      <c r="D474" s="3">
        <v>31696</v>
      </c>
      <c r="E474" t="s">
        <v>1400</v>
      </c>
      <c r="F474">
        <v>342</v>
      </c>
      <c r="G474" s="3">
        <v>39615</v>
      </c>
      <c r="H474" t="s">
        <v>3473</v>
      </c>
      <c r="J474" t="s">
        <v>1476</v>
      </c>
      <c r="K474" t="s">
        <v>61</v>
      </c>
      <c r="L474" s="3">
        <v>72686</v>
      </c>
      <c r="M474" s="3">
        <v>46672</v>
      </c>
      <c r="N474" t="s">
        <v>3474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3032</v>
      </c>
      <c r="C475" t="s">
        <v>3033</v>
      </c>
      <c r="D475" s="3">
        <v>29517</v>
      </c>
      <c r="E475" t="s">
        <v>1400</v>
      </c>
      <c r="F475">
        <v>457</v>
      </c>
      <c r="G475" s="3">
        <v>39601</v>
      </c>
      <c r="H475" t="s">
        <v>3034</v>
      </c>
      <c r="J475" t="s">
        <v>1426</v>
      </c>
      <c r="K475" t="s">
        <v>70</v>
      </c>
      <c r="L475" s="3">
        <v>72686</v>
      </c>
      <c r="M475" s="3">
        <v>47615</v>
      </c>
      <c r="N475" t="s">
        <v>3035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1647</v>
      </c>
      <c r="C476" t="s">
        <v>1648</v>
      </c>
      <c r="D476" s="3">
        <v>27824</v>
      </c>
      <c r="E476" t="s">
        <v>1400</v>
      </c>
      <c r="F476">
        <v>449</v>
      </c>
      <c r="G476" s="3">
        <v>39587</v>
      </c>
      <c r="H476" t="s">
        <v>1649</v>
      </c>
      <c r="J476" t="s">
        <v>1519</v>
      </c>
      <c r="K476" t="s">
        <v>61</v>
      </c>
      <c r="L476" s="3">
        <v>46032</v>
      </c>
      <c r="M476" s="3">
        <v>46742</v>
      </c>
      <c r="N476" t="s">
        <v>1650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2527</v>
      </c>
      <c r="C477" t="s">
        <v>2528</v>
      </c>
      <c r="D477" s="3">
        <v>26235</v>
      </c>
      <c r="E477" t="s">
        <v>1400</v>
      </c>
      <c r="F477">
        <v>422</v>
      </c>
      <c r="G477" s="3">
        <v>39587</v>
      </c>
      <c r="H477" t="s">
        <v>2529</v>
      </c>
      <c r="J477" t="s">
        <v>1426</v>
      </c>
      <c r="K477" t="s">
        <v>70</v>
      </c>
      <c r="L477" s="3">
        <v>72686</v>
      </c>
      <c r="M477" s="3">
        <v>46897</v>
      </c>
      <c r="N477" t="s">
        <v>2530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2025</v>
      </c>
      <c r="C478" t="s">
        <v>2013</v>
      </c>
      <c r="D478" s="3">
        <v>28068</v>
      </c>
      <c r="E478" t="s">
        <v>1400</v>
      </c>
      <c r="F478">
        <v>302</v>
      </c>
      <c r="G478" s="3">
        <v>39573</v>
      </c>
      <c r="H478" t="s">
        <v>2026</v>
      </c>
      <c r="J478" t="s">
        <v>1569</v>
      </c>
      <c r="K478" t="s">
        <v>67</v>
      </c>
      <c r="L478" s="3">
        <v>47688</v>
      </c>
      <c r="M478" s="3">
        <v>46797</v>
      </c>
      <c r="N478" t="s">
        <v>2027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2349</v>
      </c>
      <c r="C479" t="s">
        <v>2346</v>
      </c>
      <c r="D479" s="3">
        <v>29586</v>
      </c>
      <c r="E479" t="s">
        <v>1400</v>
      </c>
      <c r="F479">
        <v>514</v>
      </c>
      <c r="G479" s="3">
        <v>39552</v>
      </c>
      <c r="H479" t="s">
        <v>2350</v>
      </c>
      <c r="I479">
        <v>32479391613</v>
      </c>
      <c r="J479" t="s">
        <v>1523</v>
      </c>
      <c r="K479" t="s">
        <v>58</v>
      </c>
      <c r="L479" s="3">
        <v>47665</v>
      </c>
      <c r="M479" s="3">
        <v>46665</v>
      </c>
      <c r="N479" t="s">
        <v>2351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1659</v>
      </c>
      <c r="C480" t="s">
        <v>1951</v>
      </c>
      <c r="D480" s="3">
        <v>23387</v>
      </c>
      <c r="E480" t="s">
        <v>1400</v>
      </c>
      <c r="F480">
        <v>131</v>
      </c>
      <c r="G480" s="3">
        <v>39538</v>
      </c>
      <c r="H480" t="s">
        <v>1957</v>
      </c>
      <c r="I480">
        <v>93306518</v>
      </c>
      <c r="J480" t="s">
        <v>1523</v>
      </c>
      <c r="K480" t="s">
        <v>70</v>
      </c>
      <c r="L480" s="3">
        <v>47616</v>
      </c>
      <c r="M480" s="3">
        <v>47568</v>
      </c>
      <c r="N480" t="s">
        <v>1958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3309</v>
      </c>
      <c r="C481" t="s">
        <v>1372</v>
      </c>
      <c r="D481" s="3">
        <v>31562</v>
      </c>
      <c r="E481" t="s">
        <v>1400</v>
      </c>
      <c r="F481">
        <v>286</v>
      </c>
      <c r="G481" s="3">
        <v>39538</v>
      </c>
      <c r="H481" t="s">
        <v>3310</v>
      </c>
      <c r="J481" t="s">
        <v>1587</v>
      </c>
      <c r="K481" t="s">
        <v>67</v>
      </c>
      <c r="L481" s="3">
        <v>47672</v>
      </c>
      <c r="M481" s="3">
        <v>46686</v>
      </c>
      <c r="N481" t="s">
        <v>3311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1675</v>
      </c>
      <c r="C482" t="s">
        <v>1669</v>
      </c>
      <c r="D482" s="3">
        <v>29470</v>
      </c>
      <c r="E482" t="s">
        <v>1400</v>
      </c>
      <c r="F482">
        <v>81</v>
      </c>
      <c r="G482" s="3">
        <v>39524</v>
      </c>
      <c r="H482" t="s">
        <v>1676</v>
      </c>
      <c r="J482" t="s">
        <v>1426</v>
      </c>
      <c r="K482" t="s">
        <v>67</v>
      </c>
      <c r="L482" s="3">
        <v>72686</v>
      </c>
      <c r="M482" s="3">
        <v>46925</v>
      </c>
      <c r="N482" t="s">
        <v>1677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2575</v>
      </c>
      <c r="C483" t="s">
        <v>3106</v>
      </c>
      <c r="D483" s="3">
        <v>28968</v>
      </c>
      <c r="E483" t="s">
        <v>1400</v>
      </c>
      <c r="F483">
        <v>443</v>
      </c>
      <c r="G483" s="3">
        <v>39510</v>
      </c>
      <c r="H483" t="s">
        <v>3107</v>
      </c>
      <c r="J483" t="s">
        <v>1480</v>
      </c>
      <c r="K483" t="s">
        <v>67</v>
      </c>
      <c r="L483" s="3">
        <v>72686</v>
      </c>
      <c r="M483" s="3">
        <v>46776</v>
      </c>
      <c r="N483" t="s">
        <v>3108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2166</v>
      </c>
      <c r="C484" t="s">
        <v>2167</v>
      </c>
      <c r="D484" s="3">
        <v>29324</v>
      </c>
      <c r="E484" t="s">
        <v>1400</v>
      </c>
      <c r="F484">
        <v>441</v>
      </c>
      <c r="G484" s="3">
        <v>39496</v>
      </c>
      <c r="H484" t="s">
        <v>2168</v>
      </c>
      <c r="J484" t="s">
        <v>1476</v>
      </c>
      <c r="K484" t="s">
        <v>52</v>
      </c>
      <c r="L484" s="3">
        <v>72686</v>
      </c>
      <c r="M484" s="3">
        <v>46672</v>
      </c>
      <c r="N484" t="s">
        <v>2169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2520</v>
      </c>
      <c r="C485" t="s">
        <v>2982</v>
      </c>
      <c r="D485" s="3">
        <v>29830</v>
      </c>
      <c r="E485" t="s">
        <v>1400</v>
      </c>
      <c r="F485">
        <v>438</v>
      </c>
      <c r="G485" s="3">
        <v>39496</v>
      </c>
      <c r="H485" t="s">
        <v>2983</v>
      </c>
      <c r="J485" t="s">
        <v>1454</v>
      </c>
      <c r="K485" t="s">
        <v>70</v>
      </c>
      <c r="L485" s="3">
        <v>47454</v>
      </c>
      <c r="M485" s="3">
        <v>47272</v>
      </c>
      <c r="N485" t="s">
        <v>2984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2659</v>
      </c>
      <c r="C486" t="s">
        <v>2653</v>
      </c>
      <c r="D486" s="3">
        <v>30888</v>
      </c>
      <c r="E486" t="s">
        <v>1400</v>
      </c>
      <c r="F486">
        <v>431</v>
      </c>
      <c r="G486" s="3">
        <v>39468</v>
      </c>
      <c r="H486" t="s">
        <v>2660</v>
      </c>
      <c r="J486" t="s">
        <v>1432</v>
      </c>
      <c r="K486" t="s">
        <v>70</v>
      </c>
      <c r="L486" s="3">
        <v>47064</v>
      </c>
      <c r="M486" s="3">
        <v>47044</v>
      </c>
      <c r="N486" t="s">
        <v>2661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1508</v>
      </c>
      <c r="C487" t="s">
        <v>1509</v>
      </c>
      <c r="D487" s="3">
        <v>22761</v>
      </c>
      <c r="E487" t="s">
        <v>1400</v>
      </c>
      <c r="F487">
        <v>428</v>
      </c>
      <c r="G487" s="3">
        <v>39454</v>
      </c>
      <c r="H487" t="s">
        <v>1510</v>
      </c>
      <c r="I487">
        <v>93294697</v>
      </c>
      <c r="J487" t="s">
        <v>1426</v>
      </c>
      <c r="K487" t="s">
        <v>70</v>
      </c>
      <c r="L487" s="3">
        <v>72686</v>
      </c>
      <c r="M487" s="3">
        <v>72686</v>
      </c>
      <c r="N487" t="s">
        <v>1511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2885</v>
      </c>
      <c r="C488" t="s">
        <v>2879</v>
      </c>
      <c r="D488" s="3">
        <v>26100</v>
      </c>
      <c r="E488" t="s">
        <v>1400</v>
      </c>
      <c r="F488">
        <v>148</v>
      </c>
      <c r="G488" s="3">
        <v>39433</v>
      </c>
      <c r="H488" t="s">
        <v>2886</v>
      </c>
      <c r="J488" t="s">
        <v>1528</v>
      </c>
      <c r="K488" t="s">
        <v>73</v>
      </c>
      <c r="L488" s="3">
        <v>47602</v>
      </c>
      <c r="M488" s="3">
        <v>46511</v>
      </c>
      <c r="N488" t="s">
        <v>2887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2441</v>
      </c>
      <c r="C489" t="s">
        <v>2442</v>
      </c>
      <c r="D489" s="3">
        <v>30190</v>
      </c>
      <c r="E489" t="s">
        <v>1400</v>
      </c>
      <c r="F489">
        <v>274</v>
      </c>
      <c r="G489" s="3">
        <v>39405</v>
      </c>
      <c r="H489" t="s">
        <v>2443</v>
      </c>
      <c r="J489" t="s">
        <v>1476</v>
      </c>
      <c r="K489" t="s">
        <v>52</v>
      </c>
      <c r="L489" s="3">
        <v>72686</v>
      </c>
      <c r="M489" s="3">
        <v>46201</v>
      </c>
      <c r="N489" t="s">
        <v>2444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2415</v>
      </c>
      <c r="C490" t="s">
        <v>1372</v>
      </c>
      <c r="D490" s="3">
        <v>29938</v>
      </c>
      <c r="E490" t="s">
        <v>1400</v>
      </c>
      <c r="F490">
        <v>284</v>
      </c>
      <c r="G490" s="3">
        <v>39405</v>
      </c>
      <c r="H490" t="s">
        <v>3312</v>
      </c>
      <c r="J490" t="s">
        <v>1721</v>
      </c>
      <c r="K490" t="s">
        <v>64</v>
      </c>
      <c r="L490" s="3">
        <v>46662</v>
      </c>
      <c r="M490" s="3">
        <v>46658</v>
      </c>
      <c r="N490" t="s">
        <v>3313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1993</v>
      </c>
      <c r="C491" t="s">
        <v>1982</v>
      </c>
      <c r="D491" s="3">
        <v>22969</v>
      </c>
      <c r="E491" t="s">
        <v>1400</v>
      </c>
      <c r="F491">
        <v>166</v>
      </c>
      <c r="G491" s="3">
        <v>39405</v>
      </c>
      <c r="H491" t="s">
        <v>1994</v>
      </c>
      <c r="J491" t="s">
        <v>1426</v>
      </c>
      <c r="K491" t="s">
        <v>67</v>
      </c>
      <c r="L491" s="3">
        <v>47602</v>
      </c>
      <c r="M491" s="3">
        <v>46476</v>
      </c>
      <c r="N491" t="s">
        <v>1995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2086</v>
      </c>
      <c r="C492" t="s">
        <v>3417</v>
      </c>
      <c r="D492" s="3">
        <v>25358</v>
      </c>
      <c r="E492" t="s">
        <v>1400</v>
      </c>
      <c r="F492">
        <v>395</v>
      </c>
      <c r="G492" s="3">
        <v>39391</v>
      </c>
      <c r="I492">
        <v>32479662027</v>
      </c>
      <c r="J492" t="s">
        <v>1528</v>
      </c>
      <c r="K492" t="s">
        <v>73</v>
      </c>
      <c r="L492" s="3">
        <v>47664</v>
      </c>
      <c r="M492" s="3">
        <v>46369</v>
      </c>
      <c r="N492" t="s">
        <v>3420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1452</v>
      </c>
      <c r="C493" t="s">
        <v>1449</v>
      </c>
      <c r="D493" s="3">
        <v>31632</v>
      </c>
      <c r="E493" t="s">
        <v>1400</v>
      </c>
      <c r="F493">
        <v>141</v>
      </c>
      <c r="G493" s="3">
        <v>39370</v>
      </c>
      <c r="H493" t="s">
        <v>1453</v>
      </c>
      <c r="J493" t="s">
        <v>1454</v>
      </c>
      <c r="K493" t="s">
        <v>67</v>
      </c>
      <c r="L493" s="3">
        <v>72686</v>
      </c>
      <c r="M493" s="3">
        <v>46827</v>
      </c>
      <c r="N493" t="s">
        <v>1455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1542</v>
      </c>
      <c r="C494" t="s">
        <v>1543</v>
      </c>
      <c r="D494" s="3">
        <v>25671</v>
      </c>
      <c r="E494" t="s">
        <v>1400</v>
      </c>
      <c r="F494">
        <v>328</v>
      </c>
      <c r="G494" s="3">
        <v>39370</v>
      </c>
      <c r="H494" t="s">
        <v>1544</v>
      </c>
      <c r="J494" t="s">
        <v>1484</v>
      </c>
      <c r="K494" t="s">
        <v>58</v>
      </c>
      <c r="L494" s="3">
        <v>46806</v>
      </c>
      <c r="M494" s="3">
        <v>46798</v>
      </c>
      <c r="N494" t="s">
        <v>1545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2609</v>
      </c>
      <c r="C495" t="s">
        <v>2610</v>
      </c>
      <c r="D495" s="3">
        <v>27407</v>
      </c>
      <c r="E495" t="s">
        <v>1400</v>
      </c>
      <c r="F495">
        <v>118</v>
      </c>
      <c r="G495" s="3">
        <v>39370</v>
      </c>
      <c r="H495" t="s">
        <v>2611</v>
      </c>
      <c r="J495" t="s">
        <v>1569</v>
      </c>
      <c r="K495" t="s">
        <v>70</v>
      </c>
      <c r="L495" s="3">
        <v>47094</v>
      </c>
      <c r="M495" s="3">
        <v>47083</v>
      </c>
      <c r="N495" t="s">
        <v>2612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1848</v>
      </c>
      <c r="C496" t="s">
        <v>1846</v>
      </c>
      <c r="D496" s="3">
        <v>26590</v>
      </c>
      <c r="E496" t="s">
        <v>1400</v>
      </c>
      <c r="F496">
        <v>291</v>
      </c>
      <c r="G496" s="3">
        <v>39356</v>
      </c>
      <c r="H496" t="s">
        <v>1849</v>
      </c>
      <c r="I496">
        <v>92303180</v>
      </c>
      <c r="J496" t="s">
        <v>1476</v>
      </c>
      <c r="K496" t="s">
        <v>64</v>
      </c>
      <c r="L496" s="3">
        <v>72686</v>
      </c>
      <c r="M496" s="3">
        <v>47533</v>
      </c>
      <c r="N496" t="s">
        <v>1850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2325</v>
      </c>
      <c r="C497" t="s">
        <v>2318</v>
      </c>
      <c r="D497" s="3">
        <v>27768</v>
      </c>
      <c r="E497" t="s">
        <v>1400</v>
      </c>
      <c r="F497">
        <v>281</v>
      </c>
      <c r="G497" s="3">
        <v>39356</v>
      </c>
      <c r="H497" t="s">
        <v>2326</v>
      </c>
      <c r="J497" t="s">
        <v>1426</v>
      </c>
      <c r="K497" t="s">
        <v>70</v>
      </c>
      <c r="L497" s="3">
        <v>72686</v>
      </c>
      <c r="M497" s="3">
        <v>46838</v>
      </c>
      <c r="N497" t="s">
        <v>2327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2787</v>
      </c>
      <c r="C498" t="s">
        <v>3188</v>
      </c>
      <c r="D498" s="3">
        <v>30655</v>
      </c>
      <c r="E498" t="s">
        <v>1400</v>
      </c>
      <c r="F498">
        <v>139</v>
      </c>
      <c r="G498" s="3">
        <v>39314</v>
      </c>
      <c r="H498" t="s">
        <v>3189</v>
      </c>
      <c r="I498">
        <v>92255582</v>
      </c>
      <c r="J498" t="s">
        <v>1441</v>
      </c>
      <c r="K498" t="s">
        <v>61</v>
      </c>
      <c r="L498" s="3">
        <v>46447</v>
      </c>
      <c r="M498" s="3">
        <v>46418</v>
      </c>
      <c r="N498" t="s">
        <v>3190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2231</v>
      </c>
      <c r="C499" t="s">
        <v>2232</v>
      </c>
      <c r="D499" s="3">
        <v>24630</v>
      </c>
      <c r="E499" t="s">
        <v>1400</v>
      </c>
      <c r="F499">
        <v>403</v>
      </c>
      <c r="G499" s="3">
        <v>39300</v>
      </c>
      <c r="H499" t="s">
        <v>2233</v>
      </c>
      <c r="I499">
        <v>93285584</v>
      </c>
      <c r="J499" t="s">
        <v>1426</v>
      </c>
      <c r="K499" t="s">
        <v>67</v>
      </c>
      <c r="L499" s="3">
        <v>72686</v>
      </c>
      <c r="M499" s="3">
        <v>46476</v>
      </c>
      <c r="N499" t="s">
        <v>2234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3123</v>
      </c>
      <c r="C500" t="s">
        <v>3114</v>
      </c>
      <c r="D500" s="3">
        <v>28233</v>
      </c>
      <c r="E500" t="s">
        <v>1400</v>
      </c>
      <c r="F500">
        <v>360</v>
      </c>
      <c r="G500" s="3">
        <v>39286</v>
      </c>
      <c r="H500" t="s">
        <v>3124</v>
      </c>
      <c r="J500" t="s">
        <v>1441</v>
      </c>
      <c r="K500" t="s">
        <v>61</v>
      </c>
      <c r="L500" s="3">
        <v>46039</v>
      </c>
      <c r="M500" s="3">
        <v>46985</v>
      </c>
      <c r="N500" t="s">
        <v>3125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2202</v>
      </c>
      <c r="C501" t="s">
        <v>2196</v>
      </c>
      <c r="D501" s="3">
        <v>30571</v>
      </c>
      <c r="E501" t="s">
        <v>1400</v>
      </c>
      <c r="F501">
        <v>309</v>
      </c>
      <c r="G501" s="3">
        <v>39286</v>
      </c>
      <c r="H501" t="s">
        <v>2203</v>
      </c>
      <c r="J501" t="s">
        <v>1426</v>
      </c>
      <c r="K501" t="s">
        <v>64</v>
      </c>
      <c r="L501" s="3">
        <v>72686</v>
      </c>
      <c r="M501" s="3">
        <v>46504</v>
      </c>
      <c r="N501" t="s">
        <v>2204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2139</v>
      </c>
      <c r="C502" t="s">
        <v>2136</v>
      </c>
      <c r="D502" s="3">
        <v>28705</v>
      </c>
      <c r="E502" t="s">
        <v>1400</v>
      </c>
      <c r="F502">
        <v>244</v>
      </c>
      <c r="G502" s="3">
        <v>39272</v>
      </c>
      <c r="H502" t="s">
        <v>2140</v>
      </c>
      <c r="J502" t="s">
        <v>1426</v>
      </c>
      <c r="K502" t="s">
        <v>70</v>
      </c>
      <c r="L502" s="3">
        <v>46680</v>
      </c>
      <c r="M502" s="3">
        <v>46679</v>
      </c>
      <c r="N502" t="s">
        <v>2141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3063</v>
      </c>
      <c r="C503" t="s">
        <v>3064</v>
      </c>
      <c r="D503" s="3">
        <v>31394</v>
      </c>
      <c r="E503" t="s">
        <v>1400</v>
      </c>
      <c r="F503">
        <v>319</v>
      </c>
      <c r="G503" s="3">
        <v>39223</v>
      </c>
      <c r="H503" t="s">
        <v>3065</v>
      </c>
      <c r="J503" t="s">
        <v>1569</v>
      </c>
      <c r="K503" t="s">
        <v>58</v>
      </c>
      <c r="L503" s="3">
        <v>47672</v>
      </c>
      <c r="M503" s="3">
        <v>46236</v>
      </c>
      <c r="N503" t="s">
        <v>3066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1766</v>
      </c>
      <c r="C504" t="s">
        <v>1372</v>
      </c>
      <c r="D504" s="3">
        <v>25256</v>
      </c>
      <c r="E504" t="s">
        <v>1400</v>
      </c>
      <c r="F504">
        <v>502</v>
      </c>
      <c r="G504" s="3">
        <v>39204</v>
      </c>
      <c r="H504" t="s">
        <v>3314</v>
      </c>
      <c r="I504">
        <v>3254244570</v>
      </c>
      <c r="J504" t="s">
        <v>1569</v>
      </c>
      <c r="K504" t="s">
        <v>58</v>
      </c>
      <c r="L504" s="3">
        <v>47611</v>
      </c>
      <c r="M504" s="3">
        <v>46776</v>
      </c>
      <c r="N504" t="s">
        <v>3315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3374</v>
      </c>
      <c r="C505" t="s">
        <v>3369</v>
      </c>
      <c r="D505" s="3">
        <v>30082</v>
      </c>
      <c r="E505" t="s">
        <v>1400</v>
      </c>
      <c r="F505">
        <v>344</v>
      </c>
      <c r="G505" s="3">
        <v>39204</v>
      </c>
      <c r="H505" t="s">
        <v>3375</v>
      </c>
      <c r="J505" t="s">
        <v>1506</v>
      </c>
      <c r="K505" t="s">
        <v>70</v>
      </c>
      <c r="L505" s="3">
        <v>73050</v>
      </c>
      <c r="M505" s="3">
        <v>47201</v>
      </c>
      <c r="N505" t="s">
        <v>3376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2294</v>
      </c>
      <c r="C506" t="s">
        <v>2295</v>
      </c>
      <c r="D506" s="3">
        <v>29923</v>
      </c>
      <c r="E506" t="s">
        <v>1400</v>
      </c>
      <c r="F506">
        <v>341</v>
      </c>
      <c r="G506" s="3">
        <v>39204</v>
      </c>
      <c r="H506" t="s">
        <v>2296</v>
      </c>
      <c r="J506" t="s">
        <v>1426</v>
      </c>
      <c r="K506" t="s">
        <v>55</v>
      </c>
      <c r="L506" s="3">
        <v>72686</v>
      </c>
      <c r="M506" s="3">
        <v>46191</v>
      </c>
      <c r="N506" t="s">
        <v>2297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1766</v>
      </c>
      <c r="C507" t="s">
        <v>1755</v>
      </c>
      <c r="D507" s="3">
        <v>26097</v>
      </c>
      <c r="E507" t="s">
        <v>1400</v>
      </c>
      <c r="F507">
        <v>334</v>
      </c>
      <c r="G507" s="3">
        <v>39188</v>
      </c>
      <c r="H507" t="s">
        <v>1767</v>
      </c>
      <c r="J507" t="s">
        <v>1426</v>
      </c>
      <c r="K507" t="s">
        <v>67</v>
      </c>
      <c r="L507" s="3">
        <v>46042</v>
      </c>
      <c r="M507" s="3">
        <v>46418</v>
      </c>
      <c r="N507" t="s">
        <v>1768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2866</v>
      </c>
      <c r="C508" t="s">
        <v>2863</v>
      </c>
      <c r="D508" s="3">
        <v>27176</v>
      </c>
      <c r="E508" t="s">
        <v>1400</v>
      </c>
      <c r="F508">
        <v>279</v>
      </c>
      <c r="G508" s="3">
        <v>39188</v>
      </c>
      <c r="J508" t="s">
        <v>1480</v>
      </c>
      <c r="K508" t="s">
        <v>67</v>
      </c>
      <c r="L508" s="3">
        <v>72686</v>
      </c>
      <c r="M508" s="3">
        <v>46182</v>
      </c>
      <c r="N508" t="s">
        <v>2867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2708</v>
      </c>
      <c r="C509" t="s">
        <v>2709</v>
      </c>
      <c r="D509" s="3">
        <v>24788</v>
      </c>
      <c r="E509" t="s">
        <v>1400</v>
      </c>
      <c r="F509">
        <v>290</v>
      </c>
      <c r="G509" s="3">
        <v>39174</v>
      </c>
      <c r="H509" t="s">
        <v>2710</v>
      </c>
      <c r="J509" t="s">
        <v>1426</v>
      </c>
      <c r="K509" t="s">
        <v>64</v>
      </c>
      <c r="L509" s="3">
        <v>72686</v>
      </c>
      <c r="M509" s="3">
        <v>72686</v>
      </c>
      <c r="N509" t="s">
        <v>2711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2965</v>
      </c>
      <c r="C510" t="s">
        <v>2966</v>
      </c>
      <c r="D510" s="3">
        <v>31215</v>
      </c>
      <c r="E510" t="s">
        <v>1400</v>
      </c>
      <c r="F510">
        <v>267</v>
      </c>
      <c r="G510" s="3">
        <v>39174</v>
      </c>
      <c r="H510" t="s">
        <v>2967</v>
      </c>
      <c r="J510" t="s">
        <v>1403</v>
      </c>
      <c r="K510" t="s">
        <v>70</v>
      </c>
      <c r="L510" s="3">
        <v>46187</v>
      </c>
      <c r="M510" s="3">
        <v>46274</v>
      </c>
      <c r="N510" t="s">
        <v>2968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2950</v>
      </c>
      <c r="C511" t="s">
        <v>2947</v>
      </c>
      <c r="D511" s="3">
        <v>30153</v>
      </c>
      <c r="E511" t="s">
        <v>1655</v>
      </c>
      <c r="F511">
        <v>83</v>
      </c>
      <c r="G511" s="3">
        <v>39160</v>
      </c>
      <c r="H511" t="s">
        <v>2951</v>
      </c>
      <c r="J511" t="s">
        <v>1506</v>
      </c>
      <c r="K511" t="s">
        <v>52</v>
      </c>
      <c r="L511" s="3">
        <v>72686</v>
      </c>
      <c r="M511" s="3">
        <v>46838</v>
      </c>
      <c r="N511" t="s">
        <v>2952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1398</v>
      </c>
      <c r="C512" t="s">
        <v>1362</v>
      </c>
      <c r="D512" s="3">
        <v>26247</v>
      </c>
      <c r="E512" t="s">
        <v>1400</v>
      </c>
      <c r="F512">
        <v>218</v>
      </c>
      <c r="G512" s="3">
        <v>39146</v>
      </c>
      <c r="H512" t="s">
        <v>2500</v>
      </c>
      <c r="J512" t="s">
        <v>1484</v>
      </c>
      <c r="K512" t="s">
        <v>61</v>
      </c>
      <c r="L512" s="3">
        <v>45956</v>
      </c>
      <c r="M512" s="3">
        <v>46306</v>
      </c>
      <c r="N512" t="s">
        <v>2501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2424</v>
      </c>
      <c r="C513" t="s">
        <v>2416</v>
      </c>
      <c r="D513" s="3">
        <v>23889</v>
      </c>
      <c r="E513" t="s">
        <v>1400</v>
      </c>
      <c r="F513">
        <v>172</v>
      </c>
      <c r="G513" s="3">
        <v>39146</v>
      </c>
      <c r="H513" t="s">
        <v>2425</v>
      </c>
      <c r="I513">
        <v>55424915</v>
      </c>
      <c r="J513" t="s">
        <v>1523</v>
      </c>
      <c r="K513" t="s">
        <v>70</v>
      </c>
      <c r="L513" s="3">
        <v>47629</v>
      </c>
      <c r="M513" s="3">
        <v>46378</v>
      </c>
      <c r="N513" t="s">
        <v>2426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2497</v>
      </c>
      <c r="C514" t="s">
        <v>1362</v>
      </c>
      <c r="D514" s="3">
        <v>23779</v>
      </c>
      <c r="E514" t="s">
        <v>1400</v>
      </c>
      <c r="F514">
        <v>157</v>
      </c>
      <c r="G514" s="3">
        <v>39146</v>
      </c>
      <c r="H514" t="s">
        <v>2498</v>
      </c>
      <c r="J514" t="s">
        <v>1537</v>
      </c>
      <c r="K514" t="s">
        <v>52</v>
      </c>
      <c r="L514" s="3">
        <v>72686</v>
      </c>
      <c r="M514" s="3">
        <v>46343</v>
      </c>
      <c r="N514" t="s">
        <v>2499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2302</v>
      </c>
      <c r="C515" t="s">
        <v>2299</v>
      </c>
      <c r="D515" s="3">
        <v>26892</v>
      </c>
      <c r="E515" t="s">
        <v>1400</v>
      </c>
      <c r="F515">
        <v>155</v>
      </c>
      <c r="G515" s="3">
        <v>39132</v>
      </c>
      <c r="H515" t="s">
        <v>2303</v>
      </c>
      <c r="J515" t="s">
        <v>1506</v>
      </c>
      <c r="K515" t="s">
        <v>67</v>
      </c>
      <c r="L515" s="3">
        <v>45951</v>
      </c>
      <c r="M515" s="3">
        <v>46364</v>
      </c>
      <c r="N515" t="s">
        <v>2304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2395</v>
      </c>
      <c r="C516" t="s">
        <v>2396</v>
      </c>
      <c r="D516" s="3">
        <v>27391</v>
      </c>
      <c r="E516" t="s">
        <v>1655</v>
      </c>
      <c r="F516">
        <v>402</v>
      </c>
      <c r="G516" s="3">
        <v>39132</v>
      </c>
      <c r="H516" t="s">
        <v>2397</v>
      </c>
      <c r="J516" t="s">
        <v>1506</v>
      </c>
      <c r="K516" t="s">
        <v>52</v>
      </c>
      <c r="L516" s="3">
        <v>72686</v>
      </c>
      <c r="M516" s="3">
        <v>46427</v>
      </c>
      <c r="N516" t="s">
        <v>2398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2891</v>
      </c>
      <c r="C517" t="s">
        <v>2888</v>
      </c>
      <c r="D517" s="3">
        <v>24135</v>
      </c>
      <c r="E517" t="s">
        <v>1400</v>
      </c>
      <c r="F517">
        <v>532</v>
      </c>
      <c r="G517" s="3">
        <v>39006</v>
      </c>
      <c r="H517" t="s">
        <v>2892</v>
      </c>
      <c r="J517" t="s">
        <v>1625</v>
      </c>
      <c r="K517" t="s">
        <v>55</v>
      </c>
      <c r="L517" s="3">
        <v>47467</v>
      </c>
      <c r="M517" s="3">
        <v>46729</v>
      </c>
      <c r="N517" t="s">
        <v>2893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1996</v>
      </c>
      <c r="C518" t="s">
        <v>1982</v>
      </c>
      <c r="D518" s="3">
        <v>22573</v>
      </c>
      <c r="E518" t="s">
        <v>1400</v>
      </c>
      <c r="F518">
        <v>353</v>
      </c>
      <c r="G518" s="3">
        <v>38992</v>
      </c>
      <c r="I518">
        <v>92313309</v>
      </c>
      <c r="J518" t="s">
        <v>1480</v>
      </c>
      <c r="K518" t="s">
        <v>67</v>
      </c>
      <c r="L518" s="3">
        <v>72686</v>
      </c>
      <c r="M518" s="3">
        <v>47034</v>
      </c>
      <c r="N518" t="s">
        <v>1997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2437</v>
      </c>
      <c r="C519" t="s">
        <v>2438</v>
      </c>
      <c r="D519" s="3">
        <v>26051</v>
      </c>
      <c r="E519" t="s">
        <v>1400</v>
      </c>
      <c r="F519">
        <v>161</v>
      </c>
      <c r="G519" s="3">
        <v>38971</v>
      </c>
      <c r="H519" t="s">
        <v>2439</v>
      </c>
      <c r="J519" t="s">
        <v>1701</v>
      </c>
      <c r="K519" t="s">
        <v>52</v>
      </c>
      <c r="L519" s="3">
        <v>72686</v>
      </c>
      <c r="M519" s="3">
        <v>46820</v>
      </c>
      <c r="N519" t="s">
        <v>2440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2579</v>
      </c>
      <c r="C520" t="s">
        <v>2580</v>
      </c>
      <c r="D520" s="3">
        <v>22649</v>
      </c>
      <c r="E520" t="s">
        <v>1400</v>
      </c>
      <c r="G520" s="3">
        <v>38957</v>
      </c>
      <c r="H520" t="s">
        <v>2581</v>
      </c>
      <c r="J520" t="s">
        <v>1403</v>
      </c>
      <c r="K520" t="s">
        <v>55</v>
      </c>
      <c r="L520" s="3">
        <v>47497</v>
      </c>
      <c r="M520" s="3">
        <v>47470</v>
      </c>
      <c r="N520" t="s">
        <v>2582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3447</v>
      </c>
      <c r="C521" t="s">
        <v>3445</v>
      </c>
      <c r="D521" s="3">
        <v>23974</v>
      </c>
      <c r="E521" t="s">
        <v>1400</v>
      </c>
      <c r="F521">
        <v>506</v>
      </c>
      <c r="G521" s="3">
        <v>38936</v>
      </c>
      <c r="H521" t="s">
        <v>3448</v>
      </c>
      <c r="J521" t="s">
        <v>1523</v>
      </c>
      <c r="K521" t="s">
        <v>58</v>
      </c>
      <c r="L521" s="3">
        <v>47714</v>
      </c>
      <c r="M521" s="3">
        <v>46056</v>
      </c>
      <c r="N521" t="s">
        <v>3449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2681</v>
      </c>
      <c r="C522" t="s">
        <v>2679</v>
      </c>
      <c r="D522" s="3">
        <v>30660</v>
      </c>
      <c r="E522" t="s">
        <v>1400</v>
      </c>
      <c r="F522">
        <v>347</v>
      </c>
      <c r="G522" s="3">
        <v>38929</v>
      </c>
      <c r="H522" t="s">
        <v>2682</v>
      </c>
      <c r="J522" t="s">
        <v>1480</v>
      </c>
      <c r="K522" t="s">
        <v>67</v>
      </c>
      <c r="L522" s="3">
        <v>72686</v>
      </c>
      <c r="M522" s="3">
        <v>46042</v>
      </c>
      <c r="N522" t="s">
        <v>2683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1691</v>
      </c>
      <c r="C523" t="s">
        <v>1692</v>
      </c>
      <c r="D523" s="3">
        <v>25000</v>
      </c>
      <c r="E523" t="s">
        <v>1400</v>
      </c>
      <c r="F523">
        <v>345</v>
      </c>
      <c r="G523" s="3">
        <v>38929</v>
      </c>
      <c r="H523" t="s">
        <v>1693</v>
      </c>
      <c r="J523" t="s">
        <v>1506</v>
      </c>
      <c r="K523" t="s">
        <v>64</v>
      </c>
      <c r="L523" s="3">
        <v>72686</v>
      </c>
      <c r="M523" s="3">
        <v>46181</v>
      </c>
      <c r="N523" t="s">
        <v>1694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2445</v>
      </c>
      <c r="C524" t="s">
        <v>2442</v>
      </c>
      <c r="D524" s="3">
        <v>29721</v>
      </c>
      <c r="E524" t="s">
        <v>1400</v>
      </c>
      <c r="F524">
        <v>52</v>
      </c>
      <c r="G524" s="3">
        <v>38908</v>
      </c>
      <c r="H524" t="s">
        <v>2446</v>
      </c>
      <c r="I524">
        <v>55613250</v>
      </c>
      <c r="J524" t="s">
        <v>1418</v>
      </c>
      <c r="K524" t="s">
        <v>70</v>
      </c>
      <c r="L524" s="3">
        <v>45923</v>
      </c>
      <c r="M524" s="3">
        <v>46005</v>
      </c>
      <c r="N524" t="s">
        <v>2447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2575</v>
      </c>
      <c r="C525" t="s">
        <v>2576</v>
      </c>
      <c r="D525" s="3">
        <v>24261</v>
      </c>
      <c r="E525" t="s">
        <v>1400</v>
      </c>
      <c r="G525" s="3">
        <v>38852</v>
      </c>
      <c r="H525" t="s">
        <v>2577</v>
      </c>
      <c r="J525" t="s">
        <v>1459</v>
      </c>
      <c r="K525" t="s">
        <v>52</v>
      </c>
      <c r="L525" s="3">
        <v>47637</v>
      </c>
      <c r="M525" s="3">
        <v>47628</v>
      </c>
      <c r="N525" t="s">
        <v>2578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2549</v>
      </c>
      <c r="C526" t="s">
        <v>2546</v>
      </c>
      <c r="D526" s="3">
        <v>30809</v>
      </c>
      <c r="E526" t="s">
        <v>1400</v>
      </c>
      <c r="F526">
        <v>297</v>
      </c>
      <c r="G526" s="3">
        <v>38852</v>
      </c>
      <c r="H526" t="s">
        <v>2550</v>
      </c>
      <c r="J526" t="s">
        <v>1569</v>
      </c>
      <c r="K526" t="s">
        <v>73</v>
      </c>
      <c r="L526" s="3">
        <v>47623</v>
      </c>
      <c r="M526" s="3">
        <v>46000</v>
      </c>
      <c r="N526" t="s">
        <v>2551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2851</v>
      </c>
      <c r="C527" t="s">
        <v>2842</v>
      </c>
      <c r="D527" s="3">
        <v>23793</v>
      </c>
      <c r="E527" t="s">
        <v>1400</v>
      </c>
      <c r="F527">
        <v>461</v>
      </c>
      <c r="G527" s="3">
        <v>38831</v>
      </c>
      <c r="H527" t="s">
        <v>2852</v>
      </c>
      <c r="J527" t="s">
        <v>1528</v>
      </c>
      <c r="K527" t="s">
        <v>73</v>
      </c>
      <c r="L527" s="3">
        <v>47588</v>
      </c>
      <c r="M527" s="3">
        <v>47573</v>
      </c>
      <c r="N527" t="s">
        <v>2853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1517</v>
      </c>
      <c r="C528" t="s">
        <v>1513</v>
      </c>
      <c r="D528" s="3">
        <v>26900</v>
      </c>
      <c r="E528" t="s">
        <v>1400</v>
      </c>
      <c r="F528">
        <v>476</v>
      </c>
      <c r="G528" s="3">
        <v>38810</v>
      </c>
      <c r="H528" t="s">
        <v>1518</v>
      </c>
      <c r="J528" t="s">
        <v>1519</v>
      </c>
      <c r="K528" t="s">
        <v>61</v>
      </c>
      <c r="L528" s="3">
        <v>47652</v>
      </c>
      <c r="M528" s="3">
        <v>47644</v>
      </c>
      <c r="N528" t="s">
        <v>1520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3100</v>
      </c>
      <c r="C529" t="s">
        <v>2427</v>
      </c>
      <c r="D529" s="3">
        <v>27422</v>
      </c>
      <c r="E529" t="s">
        <v>1400</v>
      </c>
      <c r="F529">
        <v>275</v>
      </c>
      <c r="G529" s="3">
        <v>38789</v>
      </c>
      <c r="H529" t="s">
        <v>3101</v>
      </c>
      <c r="J529" t="s">
        <v>1523</v>
      </c>
      <c r="K529" t="s">
        <v>64</v>
      </c>
      <c r="L529" s="3">
        <v>47651</v>
      </c>
      <c r="M529" s="3">
        <v>47615</v>
      </c>
      <c r="N529" t="s">
        <v>3102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1959</v>
      </c>
      <c r="C530" t="s">
        <v>1951</v>
      </c>
      <c r="D530" s="3">
        <v>29547</v>
      </c>
      <c r="E530" t="s">
        <v>1400</v>
      </c>
      <c r="F530">
        <v>562</v>
      </c>
      <c r="G530" s="3">
        <v>38789</v>
      </c>
      <c r="H530" t="s">
        <v>1960</v>
      </c>
      <c r="J530" t="s">
        <v>1657</v>
      </c>
      <c r="K530" t="s">
        <v>58</v>
      </c>
      <c r="L530" s="3">
        <v>47635</v>
      </c>
      <c r="M530" s="3">
        <v>47608</v>
      </c>
      <c r="N530" t="s">
        <v>1961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2487</v>
      </c>
      <c r="C531" t="s">
        <v>3281</v>
      </c>
      <c r="D531" s="3">
        <v>29513</v>
      </c>
      <c r="E531" t="s">
        <v>1400</v>
      </c>
      <c r="F531">
        <v>264</v>
      </c>
      <c r="G531" s="3">
        <v>38789</v>
      </c>
      <c r="H531" t="s">
        <v>3284</v>
      </c>
      <c r="J531" t="s">
        <v>1480</v>
      </c>
      <c r="K531" t="s">
        <v>67</v>
      </c>
      <c r="L531" s="3">
        <v>72686</v>
      </c>
      <c r="M531" s="3">
        <v>46932</v>
      </c>
      <c r="N531" t="s">
        <v>3285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1539</v>
      </c>
      <c r="C532" t="s">
        <v>1535</v>
      </c>
      <c r="D532" s="3">
        <v>25538</v>
      </c>
      <c r="E532" t="s">
        <v>1400</v>
      </c>
      <c r="F532">
        <v>97</v>
      </c>
      <c r="G532" s="3">
        <v>38775</v>
      </c>
      <c r="H532" t="s">
        <v>1540</v>
      </c>
      <c r="I532">
        <v>92322233</v>
      </c>
      <c r="J532" t="s">
        <v>1506</v>
      </c>
      <c r="K532" t="s">
        <v>58</v>
      </c>
      <c r="L532" s="3">
        <v>46063</v>
      </c>
      <c r="M532" s="3">
        <v>46014</v>
      </c>
      <c r="N532" t="s">
        <v>1541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2356</v>
      </c>
      <c r="C533" t="s">
        <v>2357</v>
      </c>
      <c r="D533" s="3">
        <v>22884</v>
      </c>
      <c r="E533" t="s">
        <v>1400</v>
      </c>
      <c r="F533">
        <v>634</v>
      </c>
      <c r="G533" s="3">
        <v>38593</v>
      </c>
      <c r="H533" t="s">
        <v>2358</v>
      </c>
      <c r="I533" t="s">
        <v>2359</v>
      </c>
      <c r="J533" t="s">
        <v>1523</v>
      </c>
      <c r="K533" t="s">
        <v>55</v>
      </c>
      <c r="L533" s="3">
        <v>46007</v>
      </c>
      <c r="M533" s="3">
        <v>46065</v>
      </c>
      <c r="N533" t="s">
        <v>3621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2798</v>
      </c>
      <c r="C534" t="s">
        <v>2799</v>
      </c>
      <c r="D534" s="3">
        <v>29127</v>
      </c>
      <c r="E534" t="s">
        <v>1400</v>
      </c>
      <c r="F534">
        <v>580</v>
      </c>
      <c r="G534" s="3">
        <v>38481</v>
      </c>
      <c r="H534" t="s">
        <v>2800</v>
      </c>
      <c r="J534" t="s">
        <v>1515</v>
      </c>
      <c r="K534" t="s">
        <v>64</v>
      </c>
      <c r="L534" s="3">
        <v>47434</v>
      </c>
      <c r="M534" s="3">
        <v>47408</v>
      </c>
      <c r="N534" t="s">
        <v>2801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2360</v>
      </c>
      <c r="C535" t="s">
        <v>2361</v>
      </c>
      <c r="D535" s="3">
        <v>24596</v>
      </c>
      <c r="E535" t="s">
        <v>1400</v>
      </c>
      <c r="F535">
        <v>68</v>
      </c>
      <c r="G535" s="3">
        <v>38460</v>
      </c>
      <c r="H535" t="s">
        <v>2362</v>
      </c>
      <c r="J535" t="s">
        <v>1484</v>
      </c>
      <c r="K535" t="s">
        <v>61</v>
      </c>
      <c r="L535" s="3">
        <v>47527</v>
      </c>
      <c r="M535" s="3">
        <v>47524</v>
      </c>
      <c r="N535" t="s">
        <v>2363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2427</v>
      </c>
      <c r="C536" t="s">
        <v>2416</v>
      </c>
      <c r="D536" s="3">
        <v>24575</v>
      </c>
      <c r="E536" t="s">
        <v>1400</v>
      </c>
      <c r="F536">
        <v>348</v>
      </c>
      <c r="G536" s="3">
        <v>38460</v>
      </c>
      <c r="H536" t="s">
        <v>2428</v>
      </c>
      <c r="J536" t="s">
        <v>1506</v>
      </c>
      <c r="K536" t="s">
        <v>55</v>
      </c>
      <c r="L536" s="3">
        <v>72686</v>
      </c>
      <c r="M536" s="3">
        <v>46467</v>
      </c>
      <c r="N536" t="s">
        <v>2429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2904</v>
      </c>
      <c r="C537" t="s">
        <v>2901</v>
      </c>
      <c r="D537" s="3">
        <v>24058</v>
      </c>
      <c r="E537" t="s">
        <v>1400</v>
      </c>
      <c r="F537">
        <v>76</v>
      </c>
      <c r="G537" s="3">
        <v>38446</v>
      </c>
      <c r="H537" t="s">
        <v>2905</v>
      </c>
      <c r="I537">
        <v>92783143</v>
      </c>
      <c r="J537" t="s">
        <v>1721</v>
      </c>
      <c r="K537" t="s">
        <v>61</v>
      </c>
      <c r="L537" s="3">
        <v>45983</v>
      </c>
      <c r="M537" s="3">
        <v>45936</v>
      </c>
      <c r="N537" t="s">
        <v>2906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1760</v>
      </c>
      <c r="C538" t="s">
        <v>1826</v>
      </c>
      <c r="D538" s="3">
        <v>24694</v>
      </c>
      <c r="E538" t="s">
        <v>1400</v>
      </c>
      <c r="F538">
        <v>171</v>
      </c>
      <c r="G538" s="3">
        <v>38404</v>
      </c>
      <c r="H538" t="s">
        <v>1827</v>
      </c>
      <c r="I538">
        <v>92306884</v>
      </c>
      <c r="J538" t="s">
        <v>1569</v>
      </c>
      <c r="K538" t="s">
        <v>73</v>
      </c>
      <c r="L538" s="3">
        <v>47316</v>
      </c>
      <c r="M538" s="3">
        <v>47306</v>
      </c>
      <c r="N538" t="s">
        <v>1828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3149</v>
      </c>
      <c r="C539" t="s">
        <v>3150</v>
      </c>
      <c r="D539" s="3">
        <v>22267</v>
      </c>
      <c r="E539" t="s">
        <v>1400</v>
      </c>
      <c r="F539">
        <v>227</v>
      </c>
      <c r="G539" s="3">
        <v>38404</v>
      </c>
      <c r="H539" t="s">
        <v>3151</v>
      </c>
      <c r="J539" t="s">
        <v>1537</v>
      </c>
      <c r="K539" t="s">
        <v>55</v>
      </c>
      <c r="L539" s="3">
        <v>72686</v>
      </c>
      <c r="M539" s="3">
        <v>72686</v>
      </c>
      <c r="N539" t="s">
        <v>3152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2770</v>
      </c>
      <c r="C540" t="s">
        <v>2771</v>
      </c>
      <c r="D540" s="3">
        <v>25055</v>
      </c>
      <c r="E540" t="s">
        <v>1400</v>
      </c>
      <c r="F540">
        <v>53</v>
      </c>
      <c r="G540" s="3">
        <v>38390</v>
      </c>
      <c r="H540" t="s">
        <v>2772</v>
      </c>
      <c r="I540" t="s">
        <v>2773</v>
      </c>
      <c r="J540" t="s">
        <v>1426</v>
      </c>
      <c r="K540" t="s">
        <v>70</v>
      </c>
      <c r="L540" s="3">
        <v>72686</v>
      </c>
      <c r="M540" s="3">
        <v>47323</v>
      </c>
      <c r="N540" t="s">
        <v>2774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1894</v>
      </c>
      <c r="C541" t="s">
        <v>1895</v>
      </c>
      <c r="D541" s="3">
        <v>22889</v>
      </c>
      <c r="E541" t="s">
        <v>1400</v>
      </c>
      <c r="F541">
        <v>312</v>
      </c>
      <c r="G541" s="3">
        <v>38222</v>
      </c>
      <c r="H541" t="s">
        <v>1896</v>
      </c>
      <c r="J541" t="s">
        <v>1506</v>
      </c>
      <c r="K541" t="s">
        <v>55</v>
      </c>
      <c r="L541" s="3">
        <v>72686</v>
      </c>
      <c r="M541" s="3">
        <v>47163</v>
      </c>
      <c r="N541" t="s">
        <v>1897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1521</v>
      </c>
      <c r="C542" t="s">
        <v>1513</v>
      </c>
      <c r="D542" s="3">
        <v>29308</v>
      </c>
      <c r="E542" t="s">
        <v>1400</v>
      </c>
      <c r="F542">
        <v>611</v>
      </c>
      <c r="G542" s="3">
        <v>38222</v>
      </c>
      <c r="H542" t="s">
        <v>1522</v>
      </c>
      <c r="J542" t="s">
        <v>1523</v>
      </c>
      <c r="K542" t="s">
        <v>55</v>
      </c>
      <c r="L542" s="3">
        <v>47614</v>
      </c>
      <c r="M542" s="3">
        <v>47021</v>
      </c>
      <c r="N542" t="s">
        <v>1524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2556</v>
      </c>
      <c r="C543" t="s">
        <v>2553</v>
      </c>
      <c r="D543" s="3">
        <v>26011</v>
      </c>
      <c r="E543" t="s">
        <v>1400</v>
      </c>
      <c r="F543">
        <v>384</v>
      </c>
      <c r="G543" s="3">
        <v>38124</v>
      </c>
      <c r="H543" t="s">
        <v>2557</v>
      </c>
      <c r="J543" t="s">
        <v>1574</v>
      </c>
      <c r="K543" t="s">
        <v>55</v>
      </c>
      <c r="L543" s="3">
        <v>72686</v>
      </c>
      <c r="M543" s="3">
        <v>47231</v>
      </c>
      <c r="N543" t="s">
        <v>2558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3083</v>
      </c>
      <c r="C544" t="s">
        <v>3077</v>
      </c>
      <c r="D544" s="3">
        <v>29646</v>
      </c>
      <c r="E544" t="s">
        <v>1400</v>
      </c>
      <c r="F544">
        <v>358</v>
      </c>
      <c r="G544" s="3">
        <v>38124</v>
      </c>
      <c r="H544" t="s">
        <v>3084</v>
      </c>
      <c r="J544" t="s">
        <v>1476</v>
      </c>
      <c r="K544" t="s">
        <v>55</v>
      </c>
      <c r="L544" s="3">
        <v>72686</v>
      </c>
      <c r="M544" s="3">
        <v>47316</v>
      </c>
      <c r="N544" t="s">
        <v>3085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2376</v>
      </c>
      <c r="C545" t="s">
        <v>2373</v>
      </c>
      <c r="D545" s="3">
        <v>23057</v>
      </c>
      <c r="E545" t="s">
        <v>1400</v>
      </c>
      <c r="F545">
        <v>423</v>
      </c>
      <c r="G545" s="3">
        <v>38103</v>
      </c>
      <c r="H545" t="s">
        <v>2377</v>
      </c>
      <c r="J545" t="s">
        <v>1426</v>
      </c>
      <c r="K545" t="s">
        <v>67</v>
      </c>
      <c r="L545" s="3">
        <v>72686</v>
      </c>
      <c r="M545" s="3">
        <v>47201</v>
      </c>
      <c r="N545" t="s">
        <v>2378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3109</v>
      </c>
      <c r="C546" t="s">
        <v>3369</v>
      </c>
      <c r="D546" s="3">
        <v>30395</v>
      </c>
      <c r="E546" t="s">
        <v>1400</v>
      </c>
      <c r="F546">
        <v>416</v>
      </c>
      <c r="G546" s="3">
        <v>38103</v>
      </c>
      <c r="H546" t="s">
        <v>3377</v>
      </c>
      <c r="J546" t="s">
        <v>1506</v>
      </c>
      <c r="K546" t="s">
        <v>67</v>
      </c>
      <c r="L546" s="3">
        <v>72686</v>
      </c>
      <c r="M546" s="3">
        <v>47323</v>
      </c>
      <c r="N546" t="s">
        <v>3378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2876</v>
      </c>
      <c r="C547" t="s">
        <v>2872</v>
      </c>
      <c r="D547" s="3">
        <v>24194</v>
      </c>
      <c r="E547" t="s">
        <v>1400</v>
      </c>
      <c r="F547">
        <v>213</v>
      </c>
      <c r="G547" s="3">
        <v>38103</v>
      </c>
      <c r="I547">
        <v>93572904</v>
      </c>
      <c r="J547" t="s">
        <v>1426</v>
      </c>
      <c r="K547" t="s">
        <v>55</v>
      </c>
      <c r="L547" s="3">
        <v>72686</v>
      </c>
      <c r="M547" s="3">
        <v>72686</v>
      </c>
      <c r="N547" t="s">
        <v>2877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2110</v>
      </c>
      <c r="C548" t="s">
        <v>2111</v>
      </c>
      <c r="D548" s="3">
        <v>25363</v>
      </c>
      <c r="E548" t="s">
        <v>1400</v>
      </c>
      <c r="F548">
        <v>560</v>
      </c>
      <c r="G548" s="3">
        <v>38019</v>
      </c>
      <c r="H548" t="s">
        <v>2112</v>
      </c>
      <c r="J548" t="s">
        <v>1523</v>
      </c>
      <c r="K548" t="s">
        <v>58</v>
      </c>
      <c r="L548" s="3">
        <v>47700</v>
      </c>
      <c r="M548" s="3">
        <v>46827</v>
      </c>
      <c r="N548" t="s">
        <v>2113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1838</v>
      </c>
      <c r="C549" t="s">
        <v>1839</v>
      </c>
      <c r="D549" s="3">
        <v>24253</v>
      </c>
      <c r="E549" t="s">
        <v>1400</v>
      </c>
      <c r="F549">
        <v>380</v>
      </c>
      <c r="G549" s="3">
        <v>37991</v>
      </c>
      <c r="H549" t="s">
        <v>1840</v>
      </c>
      <c r="J549" t="s">
        <v>1484</v>
      </c>
      <c r="K549" t="s">
        <v>61</v>
      </c>
      <c r="L549" s="3">
        <v>47671</v>
      </c>
      <c r="M549" s="3">
        <v>46726</v>
      </c>
      <c r="N549" t="s">
        <v>1841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2942</v>
      </c>
      <c r="C550" t="s">
        <v>2943</v>
      </c>
      <c r="D550" s="3">
        <v>24848</v>
      </c>
      <c r="E550" t="s">
        <v>1400</v>
      </c>
      <c r="F550">
        <v>535</v>
      </c>
      <c r="G550" s="3">
        <v>37991</v>
      </c>
      <c r="H550" t="s">
        <v>2944</v>
      </c>
      <c r="I550">
        <v>93557570</v>
      </c>
      <c r="J550" t="s">
        <v>1523</v>
      </c>
      <c r="K550" t="s">
        <v>55</v>
      </c>
      <c r="L550" s="3">
        <v>46889</v>
      </c>
      <c r="M550" s="3">
        <v>46882</v>
      </c>
      <c r="N550" t="s">
        <v>2945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1822</v>
      </c>
      <c r="C551" t="s">
        <v>1823</v>
      </c>
      <c r="D551" s="3">
        <v>26137</v>
      </c>
      <c r="E551" t="s">
        <v>1400</v>
      </c>
      <c r="F551">
        <v>273</v>
      </c>
      <c r="G551" s="3">
        <v>37886</v>
      </c>
      <c r="H551" t="s">
        <v>1824</v>
      </c>
      <c r="J551" t="s">
        <v>1506</v>
      </c>
      <c r="K551" t="s">
        <v>64</v>
      </c>
      <c r="L551" s="3">
        <v>72686</v>
      </c>
      <c r="M551" s="3">
        <v>47498</v>
      </c>
      <c r="N551" t="s">
        <v>1825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2692</v>
      </c>
      <c r="C552" t="s">
        <v>2693</v>
      </c>
      <c r="D552" s="3">
        <v>27842</v>
      </c>
      <c r="E552" t="s">
        <v>1400</v>
      </c>
      <c r="F552">
        <v>293</v>
      </c>
      <c r="G552" s="3">
        <v>37886</v>
      </c>
      <c r="H552" t="s">
        <v>2694</v>
      </c>
      <c r="J552" t="s">
        <v>1454</v>
      </c>
      <c r="K552" t="s">
        <v>73</v>
      </c>
      <c r="L552" s="3">
        <v>47275</v>
      </c>
      <c r="M552" s="3">
        <v>47237</v>
      </c>
      <c r="N552" t="s">
        <v>2695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3143</v>
      </c>
      <c r="C553" t="s">
        <v>3138</v>
      </c>
      <c r="D553" s="3">
        <v>28331</v>
      </c>
      <c r="E553" t="s">
        <v>1400</v>
      </c>
      <c r="F553">
        <v>4</v>
      </c>
      <c r="G553" s="3">
        <v>37886</v>
      </c>
      <c r="H553" t="s">
        <v>3144</v>
      </c>
      <c r="I553">
        <v>92728505</v>
      </c>
      <c r="J553" t="s">
        <v>1701</v>
      </c>
      <c r="K553" t="s">
        <v>52</v>
      </c>
      <c r="L553" s="3">
        <v>72686</v>
      </c>
      <c r="M553" s="3">
        <v>46469</v>
      </c>
      <c r="N553" t="s">
        <v>3145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1998</v>
      </c>
      <c r="C554" t="s">
        <v>1982</v>
      </c>
      <c r="D554" s="3">
        <v>25880</v>
      </c>
      <c r="E554" t="s">
        <v>1400</v>
      </c>
      <c r="F554">
        <v>420</v>
      </c>
      <c r="G554" s="3">
        <v>37886</v>
      </c>
      <c r="H554" t="s">
        <v>1999</v>
      </c>
      <c r="J554" t="s">
        <v>1506</v>
      </c>
      <c r="K554" t="s">
        <v>70</v>
      </c>
      <c r="L554" s="3">
        <v>72686</v>
      </c>
      <c r="M554" s="3">
        <v>46820</v>
      </c>
      <c r="N554" t="s">
        <v>2000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1630</v>
      </c>
      <c r="C555" t="s">
        <v>1627</v>
      </c>
      <c r="D555" s="3">
        <v>22597</v>
      </c>
      <c r="E555" t="s">
        <v>1400</v>
      </c>
      <c r="F555">
        <v>439</v>
      </c>
      <c r="G555" s="3">
        <v>37830</v>
      </c>
      <c r="H555" t="s">
        <v>1631</v>
      </c>
      <c r="J555" t="s">
        <v>1484</v>
      </c>
      <c r="K555" t="s">
        <v>61</v>
      </c>
      <c r="L555" s="3">
        <v>45880</v>
      </c>
      <c r="M555" s="3">
        <v>46665</v>
      </c>
      <c r="N555" t="s">
        <v>1632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2623</v>
      </c>
      <c r="C556" t="s">
        <v>2618</v>
      </c>
      <c r="D556" s="3">
        <v>27290</v>
      </c>
      <c r="E556" t="s">
        <v>1400</v>
      </c>
      <c r="F556">
        <v>198</v>
      </c>
      <c r="G556" s="3">
        <v>37830</v>
      </c>
      <c r="H556" t="s">
        <v>2624</v>
      </c>
      <c r="J556" t="s">
        <v>1721</v>
      </c>
      <c r="K556" t="s">
        <v>64</v>
      </c>
      <c r="L556" s="3">
        <v>47611</v>
      </c>
      <c r="M556" s="3">
        <v>46518</v>
      </c>
      <c r="N556" t="s">
        <v>2625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1962</v>
      </c>
      <c r="C557" t="s">
        <v>1951</v>
      </c>
      <c r="D557" s="3">
        <v>24895</v>
      </c>
      <c r="E557" t="s">
        <v>1400</v>
      </c>
      <c r="F557">
        <v>579</v>
      </c>
      <c r="G557" s="3">
        <v>37830</v>
      </c>
      <c r="H557" t="s">
        <v>1963</v>
      </c>
      <c r="J557" t="s">
        <v>1523</v>
      </c>
      <c r="K557" t="s">
        <v>64</v>
      </c>
      <c r="L557" s="3">
        <v>47678</v>
      </c>
      <c r="M557" s="3">
        <v>46686</v>
      </c>
      <c r="N557" t="s">
        <v>1964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1546</v>
      </c>
      <c r="C558" t="s">
        <v>1543</v>
      </c>
      <c r="D558" s="3">
        <v>29948</v>
      </c>
      <c r="E558" t="s">
        <v>1400</v>
      </c>
      <c r="F558">
        <v>251</v>
      </c>
      <c r="G558" s="3">
        <v>37788</v>
      </c>
      <c r="H558" t="s">
        <v>1547</v>
      </c>
      <c r="J558" t="s">
        <v>1506</v>
      </c>
      <c r="K558" t="s">
        <v>64</v>
      </c>
      <c r="L558" s="3">
        <v>47721</v>
      </c>
      <c r="M558" s="3">
        <v>46776</v>
      </c>
      <c r="N558" t="s">
        <v>1548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2001</v>
      </c>
      <c r="C559" t="s">
        <v>1982</v>
      </c>
      <c r="D559" s="3">
        <v>29405</v>
      </c>
      <c r="E559" t="s">
        <v>1400</v>
      </c>
      <c r="F559">
        <v>501</v>
      </c>
      <c r="G559" s="3">
        <v>37767</v>
      </c>
      <c r="H559" t="s">
        <v>2002</v>
      </c>
      <c r="J559" t="s">
        <v>1625</v>
      </c>
      <c r="K559" t="s">
        <v>55</v>
      </c>
      <c r="L559" s="3">
        <v>45969</v>
      </c>
      <c r="M559" s="3">
        <v>46686</v>
      </c>
      <c r="N559" t="s">
        <v>2003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1567</v>
      </c>
      <c r="C560" t="s">
        <v>1558</v>
      </c>
      <c r="D560" s="3">
        <v>28338</v>
      </c>
      <c r="E560" t="s">
        <v>1400</v>
      </c>
      <c r="F560">
        <v>186</v>
      </c>
      <c r="G560" s="3">
        <v>37739</v>
      </c>
      <c r="H560" t="s">
        <v>1568</v>
      </c>
      <c r="J560" t="s">
        <v>1569</v>
      </c>
      <c r="K560" t="s">
        <v>73</v>
      </c>
      <c r="L560" s="3">
        <v>47645</v>
      </c>
      <c r="M560" s="3">
        <v>46434</v>
      </c>
      <c r="N560" t="s">
        <v>1570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3020</v>
      </c>
      <c r="C561" t="s">
        <v>1347</v>
      </c>
      <c r="D561" s="3">
        <v>26166</v>
      </c>
      <c r="E561" t="s">
        <v>1400</v>
      </c>
      <c r="G561" s="3">
        <v>37718</v>
      </c>
      <c r="H561" t="s">
        <v>3021</v>
      </c>
      <c r="J561" t="s">
        <v>1587</v>
      </c>
      <c r="K561" t="s">
        <v>64</v>
      </c>
      <c r="L561" s="3">
        <v>46168</v>
      </c>
      <c r="M561" s="3">
        <v>46056</v>
      </c>
      <c r="N561" t="s">
        <v>3022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1859</v>
      </c>
      <c r="C562" t="s">
        <v>1860</v>
      </c>
      <c r="D562" s="3">
        <v>29917</v>
      </c>
      <c r="E562" t="s">
        <v>1400</v>
      </c>
      <c r="F562">
        <v>556</v>
      </c>
      <c r="G562" s="3">
        <v>37718</v>
      </c>
      <c r="H562" t="s">
        <v>1861</v>
      </c>
      <c r="J562" t="s">
        <v>1523</v>
      </c>
      <c r="K562" t="s">
        <v>55</v>
      </c>
      <c r="L562" s="3">
        <v>47650</v>
      </c>
      <c r="M562" s="3">
        <v>46466</v>
      </c>
      <c r="N562" t="s">
        <v>1862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2894</v>
      </c>
      <c r="C563" t="s">
        <v>2888</v>
      </c>
      <c r="D563" s="3">
        <v>24476</v>
      </c>
      <c r="E563" t="s">
        <v>1400</v>
      </c>
      <c r="F563">
        <v>503</v>
      </c>
      <c r="G563" s="3">
        <v>37634</v>
      </c>
      <c r="H563" t="s">
        <v>2895</v>
      </c>
      <c r="J563" t="s">
        <v>1523</v>
      </c>
      <c r="K563" t="s">
        <v>55</v>
      </c>
      <c r="L563" s="3">
        <v>47541</v>
      </c>
      <c r="M563" s="3">
        <v>46772</v>
      </c>
      <c r="N563" t="s">
        <v>2896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2228</v>
      </c>
      <c r="C564" t="s">
        <v>2901</v>
      </c>
      <c r="D564" s="3">
        <v>28129</v>
      </c>
      <c r="E564" t="s">
        <v>1400</v>
      </c>
      <c r="F564">
        <v>561</v>
      </c>
      <c r="G564" s="3">
        <v>37585</v>
      </c>
      <c r="H564" t="s">
        <v>2907</v>
      </c>
      <c r="J564" t="s">
        <v>1657</v>
      </c>
      <c r="K564" t="s">
        <v>58</v>
      </c>
      <c r="L564" s="3">
        <v>47679</v>
      </c>
      <c r="M564" s="3">
        <v>46511</v>
      </c>
      <c r="N564" t="s">
        <v>2908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2430</v>
      </c>
      <c r="C565" t="s">
        <v>2431</v>
      </c>
      <c r="D565" s="3">
        <v>26952</v>
      </c>
      <c r="E565" t="s">
        <v>1400</v>
      </c>
      <c r="F565">
        <v>373</v>
      </c>
      <c r="G565" s="3">
        <v>37564</v>
      </c>
      <c r="H565" t="s">
        <v>2432</v>
      </c>
      <c r="J565" t="s">
        <v>1721</v>
      </c>
      <c r="K565" t="s">
        <v>64</v>
      </c>
      <c r="L565" s="3">
        <v>47639</v>
      </c>
      <c r="M565" s="3">
        <v>46201</v>
      </c>
      <c r="N565" t="s">
        <v>2433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2520</v>
      </c>
      <c r="C566" t="s">
        <v>2517</v>
      </c>
      <c r="D566" s="3">
        <v>26171</v>
      </c>
      <c r="E566" t="s">
        <v>1400</v>
      </c>
      <c r="F566">
        <v>383</v>
      </c>
      <c r="G566" s="3">
        <v>37543</v>
      </c>
      <c r="H566" t="s">
        <v>2521</v>
      </c>
      <c r="J566" t="s">
        <v>1574</v>
      </c>
      <c r="K566" t="s">
        <v>52</v>
      </c>
      <c r="L566" s="3">
        <v>72686</v>
      </c>
      <c r="M566" s="3">
        <v>72686</v>
      </c>
      <c r="N566" t="s">
        <v>2522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1965</v>
      </c>
      <c r="C567" t="s">
        <v>1951</v>
      </c>
      <c r="D567" s="3">
        <v>29607</v>
      </c>
      <c r="E567" t="s">
        <v>1400</v>
      </c>
      <c r="F567">
        <v>314</v>
      </c>
      <c r="G567" s="3">
        <v>37543</v>
      </c>
      <c r="H567" t="s">
        <v>1966</v>
      </c>
      <c r="J567" t="s">
        <v>1506</v>
      </c>
      <c r="K567" t="s">
        <v>55</v>
      </c>
      <c r="L567" s="3">
        <v>72686</v>
      </c>
      <c r="M567" s="3">
        <v>46693</v>
      </c>
      <c r="N567" t="s">
        <v>1967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3168</v>
      </c>
      <c r="C568" t="s">
        <v>3169</v>
      </c>
      <c r="D568" s="3">
        <v>25192</v>
      </c>
      <c r="E568" t="s">
        <v>1400</v>
      </c>
      <c r="F568">
        <v>563</v>
      </c>
      <c r="G568" s="3">
        <v>37543</v>
      </c>
      <c r="H568" t="s">
        <v>3170</v>
      </c>
      <c r="J568" t="s">
        <v>1657</v>
      </c>
      <c r="K568" t="s">
        <v>58</v>
      </c>
      <c r="L568" s="3">
        <v>47636</v>
      </c>
      <c r="M568" s="3">
        <v>46294</v>
      </c>
      <c r="N568" t="s">
        <v>3171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3049</v>
      </c>
      <c r="C569" t="s">
        <v>3037</v>
      </c>
      <c r="D569" s="3">
        <v>24300</v>
      </c>
      <c r="E569" t="s">
        <v>1400</v>
      </c>
      <c r="F569">
        <v>505</v>
      </c>
      <c r="G569" s="3">
        <v>37501</v>
      </c>
      <c r="H569" t="s">
        <v>3050</v>
      </c>
      <c r="I569">
        <v>92365262</v>
      </c>
      <c r="J569" t="s">
        <v>1523</v>
      </c>
      <c r="K569" t="s">
        <v>58</v>
      </c>
      <c r="L569" s="3">
        <v>47652</v>
      </c>
      <c r="M569" s="3">
        <v>46279</v>
      </c>
      <c r="N569" t="s">
        <v>3051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2738</v>
      </c>
      <c r="C570" t="s">
        <v>2739</v>
      </c>
      <c r="D570" s="3">
        <v>26648</v>
      </c>
      <c r="E570" t="s">
        <v>1400</v>
      </c>
      <c r="F570">
        <v>190</v>
      </c>
      <c r="G570" s="3">
        <v>37424</v>
      </c>
      <c r="H570" t="s">
        <v>2740</v>
      </c>
      <c r="J570" t="s">
        <v>1701</v>
      </c>
      <c r="K570" t="s">
        <v>70</v>
      </c>
      <c r="L570" s="3">
        <v>72686</v>
      </c>
      <c r="M570" s="3">
        <v>46369</v>
      </c>
      <c r="N570" t="s">
        <v>2741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1947</v>
      </c>
      <c r="C571" t="s">
        <v>1940</v>
      </c>
      <c r="D571" s="3">
        <v>29490</v>
      </c>
      <c r="E571" t="s">
        <v>1400</v>
      </c>
      <c r="F571">
        <v>558</v>
      </c>
      <c r="G571" s="3">
        <v>37424</v>
      </c>
      <c r="H571" t="s">
        <v>1948</v>
      </c>
      <c r="J571" t="s">
        <v>1523</v>
      </c>
      <c r="K571" t="s">
        <v>55</v>
      </c>
      <c r="L571" s="3">
        <v>45915</v>
      </c>
      <c r="M571" s="3">
        <v>46273</v>
      </c>
      <c r="N571" t="s">
        <v>1949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1525</v>
      </c>
      <c r="C572" t="s">
        <v>1526</v>
      </c>
      <c r="D572" s="3">
        <v>23621</v>
      </c>
      <c r="E572" t="s">
        <v>1400</v>
      </c>
      <c r="F572">
        <v>7</v>
      </c>
      <c r="G572" s="3">
        <v>37397</v>
      </c>
      <c r="H572" t="s">
        <v>1527</v>
      </c>
      <c r="J572" t="s">
        <v>1528</v>
      </c>
      <c r="K572" t="s">
        <v>73</v>
      </c>
      <c r="L572" s="3">
        <v>47705</v>
      </c>
      <c r="M572" s="3">
        <v>46369</v>
      </c>
      <c r="N572" t="s">
        <v>1529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1576</v>
      </c>
      <c r="C573" t="s">
        <v>1619</v>
      </c>
      <c r="D573" s="3">
        <v>27851</v>
      </c>
      <c r="E573" t="s">
        <v>1400</v>
      </c>
      <c r="F573">
        <v>142</v>
      </c>
      <c r="G573" s="3">
        <v>37333</v>
      </c>
      <c r="H573" t="s">
        <v>1620</v>
      </c>
      <c r="J573" t="s">
        <v>1454</v>
      </c>
      <c r="K573" t="s">
        <v>55</v>
      </c>
      <c r="L573" s="3">
        <v>72686</v>
      </c>
      <c r="M573" s="3">
        <v>46798</v>
      </c>
      <c r="N573" t="s">
        <v>1621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1576</v>
      </c>
      <c r="C574" t="s">
        <v>1699</v>
      </c>
      <c r="D574" s="3">
        <v>26466</v>
      </c>
      <c r="E574" t="s">
        <v>1400</v>
      </c>
      <c r="F574">
        <v>424</v>
      </c>
      <c r="G574" s="3">
        <v>37284</v>
      </c>
      <c r="H574" t="s">
        <v>1700</v>
      </c>
      <c r="J574" t="s">
        <v>1701</v>
      </c>
      <c r="K574" t="s">
        <v>58</v>
      </c>
      <c r="L574" s="3">
        <v>45923</v>
      </c>
      <c r="M574" s="3">
        <v>46064</v>
      </c>
      <c r="N574" t="s">
        <v>1702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2455</v>
      </c>
      <c r="C575" t="s">
        <v>2449</v>
      </c>
      <c r="D575" s="3">
        <v>28506</v>
      </c>
      <c r="E575" t="s">
        <v>1400</v>
      </c>
      <c r="F575">
        <v>249</v>
      </c>
      <c r="G575" s="3">
        <v>37214</v>
      </c>
      <c r="H575" t="s">
        <v>2456</v>
      </c>
      <c r="J575" t="s">
        <v>1506</v>
      </c>
      <c r="K575" t="s">
        <v>73</v>
      </c>
      <c r="L575" s="3">
        <v>47705</v>
      </c>
      <c r="M575" s="3">
        <v>46152</v>
      </c>
      <c r="N575" t="s">
        <v>2457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1807</v>
      </c>
      <c r="C576" t="s">
        <v>1804</v>
      </c>
      <c r="D576" s="3">
        <v>26839</v>
      </c>
      <c r="E576" t="s">
        <v>1400</v>
      </c>
      <c r="F576">
        <v>208</v>
      </c>
      <c r="G576" s="3">
        <v>37214</v>
      </c>
      <c r="H576" t="s">
        <v>1808</v>
      </c>
      <c r="J576" t="s">
        <v>1701</v>
      </c>
      <c r="K576" t="s">
        <v>70</v>
      </c>
      <c r="L576" s="3">
        <v>72686</v>
      </c>
      <c r="M576" s="3">
        <v>46887</v>
      </c>
      <c r="N576" t="s">
        <v>1809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3176</v>
      </c>
      <c r="C577" t="s">
        <v>3173</v>
      </c>
      <c r="D577" s="3">
        <v>29626</v>
      </c>
      <c r="E577" t="s">
        <v>1400</v>
      </c>
      <c r="F577">
        <v>37</v>
      </c>
      <c r="G577" s="3">
        <v>37193</v>
      </c>
      <c r="H577" t="s">
        <v>3177</v>
      </c>
      <c r="J577" t="s">
        <v>1426</v>
      </c>
      <c r="K577" t="s">
        <v>67</v>
      </c>
      <c r="L577" s="3">
        <v>72686</v>
      </c>
      <c r="M577" s="3">
        <v>46742</v>
      </c>
      <c r="N577" t="s">
        <v>3178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1647</v>
      </c>
      <c r="C578" t="s">
        <v>1231</v>
      </c>
      <c r="D578" s="3">
        <v>28371</v>
      </c>
      <c r="E578" t="s">
        <v>1400</v>
      </c>
      <c r="F578">
        <v>340</v>
      </c>
      <c r="G578" s="3">
        <v>37047</v>
      </c>
      <c r="H578" t="s">
        <v>1914</v>
      </c>
      <c r="J578" t="s">
        <v>1574</v>
      </c>
      <c r="K578" t="s">
        <v>52</v>
      </c>
      <c r="L578" s="3">
        <v>47726</v>
      </c>
      <c r="M578" s="3">
        <v>46028</v>
      </c>
      <c r="N578" t="s">
        <v>1915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1851</v>
      </c>
      <c r="C579" t="s">
        <v>1846</v>
      </c>
      <c r="D579" s="3">
        <v>25829</v>
      </c>
      <c r="E579" t="s">
        <v>1400</v>
      </c>
      <c r="F579">
        <v>578</v>
      </c>
      <c r="G579" s="3">
        <v>37018</v>
      </c>
      <c r="H579" t="s">
        <v>1852</v>
      </c>
      <c r="J579" t="s">
        <v>1515</v>
      </c>
      <c r="K579" t="s">
        <v>64</v>
      </c>
      <c r="L579" s="3">
        <v>47607</v>
      </c>
      <c r="M579" s="3">
        <v>46005</v>
      </c>
      <c r="N579" t="s">
        <v>1853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1678</v>
      </c>
      <c r="C580" t="s">
        <v>1669</v>
      </c>
      <c r="D580" s="3">
        <v>26636</v>
      </c>
      <c r="E580" t="s">
        <v>1400</v>
      </c>
      <c r="F580">
        <v>237</v>
      </c>
      <c r="G580" s="3">
        <v>36998</v>
      </c>
      <c r="I580">
        <v>92300557</v>
      </c>
      <c r="J580" t="s">
        <v>1506</v>
      </c>
      <c r="K580" t="s">
        <v>64</v>
      </c>
      <c r="L580" s="3">
        <v>72686</v>
      </c>
      <c r="M580" s="3">
        <v>46182</v>
      </c>
      <c r="N580" t="s">
        <v>1679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1495</v>
      </c>
      <c r="C581" t="s">
        <v>2653</v>
      </c>
      <c r="D581" s="3">
        <v>29008</v>
      </c>
      <c r="E581" t="s">
        <v>1400</v>
      </c>
      <c r="F581">
        <v>140</v>
      </c>
      <c r="G581" s="3">
        <v>36948</v>
      </c>
      <c r="I581">
        <v>477886484</v>
      </c>
      <c r="J581" t="s">
        <v>1441</v>
      </c>
      <c r="K581" t="s">
        <v>61</v>
      </c>
      <c r="L581" s="3">
        <v>47635</v>
      </c>
      <c r="M581" s="3">
        <v>47615</v>
      </c>
      <c r="N581" t="s">
        <v>2662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3031</v>
      </c>
      <c r="C582" t="s">
        <v>3146</v>
      </c>
      <c r="D582" s="3">
        <v>25548</v>
      </c>
      <c r="E582" t="s">
        <v>1400</v>
      </c>
      <c r="F582">
        <v>56</v>
      </c>
      <c r="G582" s="3">
        <v>36948</v>
      </c>
      <c r="H582" t="s">
        <v>3147</v>
      </c>
      <c r="J582" t="s">
        <v>1574</v>
      </c>
      <c r="K582" t="s">
        <v>52</v>
      </c>
      <c r="L582" s="3">
        <v>47622</v>
      </c>
      <c r="M582" s="3">
        <v>47615</v>
      </c>
      <c r="N582" t="s">
        <v>3148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3450</v>
      </c>
      <c r="C583" t="s">
        <v>3445</v>
      </c>
      <c r="D583" s="3">
        <v>22182</v>
      </c>
      <c r="E583" t="s">
        <v>1400</v>
      </c>
      <c r="F583">
        <v>236</v>
      </c>
      <c r="G583" s="3">
        <v>36923</v>
      </c>
      <c r="H583" t="s">
        <v>3451</v>
      </c>
      <c r="I583">
        <v>92262940</v>
      </c>
      <c r="J583" t="s">
        <v>1574</v>
      </c>
      <c r="K583" t="s">
        <v>73</v>
      </c>
      <c r="L583" s="3">
        <v>72686</v>
      </c>
      <c r="M583" s="3">
        <v>72686</v>
      </c>
      <c r="N583" t="s">
        <v>3452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1504</v>
      </c>
      <c r="C584" t="s">
        <v>570</v>
      </c>
      <c r="D584" s="3">
        <v>28294</v>
      </c>
      <c r="E584" t="s">
        <v>1400</v>
      </c>
      <c r="F584">
        <v>188</v>
      </c>
      <c r="G584" s="3">
        <v>36923</v>
      </c>
      <c r="H584" t="s">
        <v>1505</v>
      </c>
      <c r="J584" t="s">
        <v>1506</v>
      </c>
      <c r="K584" t="s">
        <v>64</v>
      </c>
      <c r="L584" s="3">
        <v>73050</v>
      </c>
      <c r="M584" s="3">
        <v>46866</v>
      </c>
      <c r="N584" t="s">
        <v>1507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3103</v>
      </c>
      <c r="C585" t="s">
        <v>2427</v>
      </c>
      <c r="D585" s="3">
        <v>27540</v>
      </c>
      <c r="E585" t="s">
        <v>1400</v>
      </c>
      <c r="F585">
        <v>536</v>
      </c>
      <c r="G585" s="3">
        <v>36853</v>
      </c>
      <c r="H585" t="s">
        <v>3104</v>
      </c>
      <c r="J585" t="s">
        <v>1569</v>
      </c>
      <c r="K585" t="s">
        <v>55</v>
      </c>
      <c r="L585" s="3">
        <v>47583</v>
      </c>
      <c r="M585" s="3">
        <v>47568</v>
      </c>
      <c r="N585" t="s">
        <v>3105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2283</v>
      </c>
      <c r="C586" t="s">
        <v>2279</v>
      </c>
      <c r="D586" s="3">
        <v>23480</v>
      </c>
      <c r="E586" t="s">
        <v>1400</v>
      </c>
      <c r="F586">
        <v>633</v>
      </c>
      <c r="G586" s="3">
        <v>36815</v>
      </c>
      <c r="H586" t="s">
        <v>2284</v>
      </c>
      <c r="J586" t="s">
        <v>1523</v>
      </c>
      <c r="K586" t="s">
        <v>58</v>
      </c>
      <c r="L586" s="3">
        <v>47698</v>
      </c>
      <c r="M586" s="3">
        <v>47678</v>
      </c>
      <c r="N586" t="s">
        <v>2285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2278</v>
      </c>
      <c r="C587" t="s">
        <v>1362</v>
      </c>
      <c r="D587" s="3">
        <v>28745</v>
      </c>
      <c r="E587" t="s">
        <v>1400</v>
      </c>
      <c r="F587">
        <v>417</v>
      </c>
      <c r="G587" s="3">
        <v>36759</v>
      </c>
      <c r="H587" t="s">
        <v>2502</v>
      </c>
      <c r="J587" t="s">
        <v>1454</v>
      </c>
      <c r="K587" t="s">
        <v>73</v>
      </c>
      <c r="L587" s="3">
        <v>47356</v>
      </c>
      <c r="M587" s="3">
        <v>47351</v>
      </c>
      <c r="N587" t="s">
        <v>2503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3089</v>
      </c>
      <c r="C588" t="s">
        <v>2427</v>
      </c>
      <c r="D588" s="3">
        <v>25839</v>
      </c>
      <c r="E588" t="s">
        <v>1400</v>
      </c>
      <c r="F588">
        <v>176</v>
      </c>
      <c r="G588" s="3">
        <v>36690</v>
      </c>
      <c r="H588" t="s">
        <v>3090</v>
      </c>
      <c r="J588" t="s">
        <v>1519</v>
      </c>
      <c r="K588" t="s">
        <v>58</v>
      </c>
      <c r="L588" s="3">
        <v>47337</v>
      </c>
      <c r="M588" s="3">
        <v>47328</v>
      </c>
      <c r="N588" t="s">
        <v>3091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1571</v>
      </c>
      <c r="C589" t="s">
        <v>1572</v>
      </c>
      <c r="D589" s="3">
        <v>28780</v>
      </c>
      <c r="E589" t="s">
        <v>1400</v>
      </c>
      <c r="F589">
        <v>397</v>
      </c>
      <c r="G589" s="3">
        <v>36654</v>
      </c>
      <c r="H589" t="s">
        <v>1573</v>
      </c>
      <c r="J589" t="s">
        <v>1574</v>
      </c>
      <c r="K589" t="s">
        <v>67</v>
      </c>
      <c r="L589" s="3">
        <v>73050</v>
      </c>
      <c r="M589" s="3">
        <v>47460</v>
      </c>
      <c r="N589" t="s">
        <v>1575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2415</v>
      </c>
      <c r="C590" t="s">
        <v>2416</v>
      </c>
      <c r="D590" s="3">
        <v>23853</v>
      </c>
      <c r="E590" t="s">
        <v>1400</v>
      </c>
      <c r="F590">
        <v>214</v>
      </c>
      <c r="G590" s="3">
        <v>36612</v>
      </c>
      <c r="H590" t="s">
        <v>2417</v>
      </c>
      <c r="I590">
        <v>92312370</v>
      </c>
      <c r="J590" t="s">
        <v>1657</v>
      </c>
      <c r="K590" t="s">
        <v>73</v>
      </c>
      <c r="L590" s="3">
        <v>47400</v>
      </c>
      <c r="M590" s="3">
        <v>47399</v>
      </c>
      <c r="N590" t="s">
        <v>2418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2012</v>
      </c>
      <c r="C591" t="s">
        <v>2013</v>
      </c>
      <c r="D591" s="3">
        <v>25467</v>
      </c>
      <c r="E591" t="s">
        <v>1400</v>
      </c>
      <c r="F591">
        <v>165</v>
      </c>
      <c r="G591" s="3">
        <v>36542</v>
      </c>
      <c r="H591" t="s">
        <v>2014</v>
      </c>
      <c r="J591" t="s">
        <v>1574</v>
      </c>
      <c r="K591" t="s">
        <v>73</v>
      </c>
      <c r="L591" s="3">
        <v>47338</v>
      </c>
      <c r="M591" s="3">
        <v>47251</v>
      </c>
      <c r="N591" t="s">
        <v>2015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2086</v>
      </c>
      <c r="C592" t="s">
        <v>2087</v>
      </c>
      <c r="D592" s="3">
        <v>27991</v>
      </c>
      <c r="E592" t="s">
        <v>1400</v>
      </c>
      <c r="F592">
        <v>333</v>
      </c>
      <c r="G592" s="3">
        <v>36388</v>
      </c>
      <c r="H592" t="s">
        <v>2088</v>
      </c>
      <c r="I592">
        <v>92324068</v>
      </c>
      <c r="J592" t="s">
        <v>1519</v>
      </c>
      <c r="K592" t="s">
        <v>73</v>
      </c>
      <c r="L592" s="3">
        <v>47639</v>
      </c>
      <c r="M592" s="3">
        <v>46974</v>
      </c>
      <c r="N592" t="s">
        <v>2089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1838</v>
      </c>
      <c r="C593" t="s">
        <v>2872</v>
      </c>
      <c r="D593" s="3">
        <v>23283</v>
      </c>
      <c r="E593" t="s">
        <v>1400</v>
      </c>
      <c r="F593">
        <v>632</v>
      </c>
      <c r="G593" s="3">
        <v>36332</v>
      </c>
      <c r="H593" t="s">
        <v>2873</v>
      </c>
      <c r="J593" t="s">
        <v>1523</v>
      </c>
      <c r="K593" t="s">
        <v>55</v>
      </c>
      <c r="L593" s="3">
        <v>47659</v>
      </c>
      <c r="M593" s="3">
        <v>46974</v>
      </c>
      <c r="N593" t="s">
        <v>2874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2802</v>
      </c>
      <c r="C594" t="s">
        <v>2803</v>
      </c>
      <c r="D594" s="3">
        <v>27019</v>
      </c>
      <c r="E594" t="s">
        <v>1400</v>
      </c>
      <c r="F594">
        <v>246</v>
      </c>
      <c r="G594" s="3">
        <v>36311</v>
      </c>
      <c r="H594" t="s">
        <v>2804</v>
      </c>
      <c r="J594" t="s">
        <v>1701</v>
      </c>
      <c r="K594" t="s">
        <v>55</v>
      </c>
      <c r="L594" s="3">
        <v>72686</v>
      </c>
      <c r="M594" s="3">
        <v>47189</v>
      </c>
      <c r="N594" t="s">
        <v>2805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2368</v>
      </c>
      <c r="C595" t="s">
        <v>2369</v>
      </c>
      <c r="D595" s="3">
        <v>24187</v>
      </c>
      <c r="E595" t="s">
        <v>1400</v>
      </c>
      <c r="F595">
        <v>325</v>
      </c>
      <c r="G595" s="3">
        <v>36262</v>
      </c>
      <c r="H595" t="s">
        <v>2370</v>
      </c>
      <c r="J595" t="s">
        <v>1701</v>
      </c>
      <c r="K595" t="s">
        <v>73</v>
      </c>
      <c r="L595" s="3">
        <v>45938</v>
      </c>
      <c r="M595" s="3">
        <v>46938</v>
      </c>
      <c r="N595" t="s">
        <v>2371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2632</v>
      </c>
      <c r="C596" t="s">
        <v>2633</v>
      </c>
      <c r="D596" s="3">
        <v>27316</v>
      </c>
      <c r="E596" t="s">
        <v>1400</v>
      </c>
      <c r="F596">
        <v>9</v>
      </c>
      <c r="G596" s="3">
        <v>36227</v>
      </c>
      <c r="H596" t="s">
        <v>2634</v>
      </c>
      <c r="J596" t="s">
        <v>1574</v>
      </c>
      <c r="K596" t="s">
        <v>58</v>
      </c>
      <c r="L596" s="3">
        <v>46880</v>
      </c>
      <c r="M596" s="3">
        <v>46853</v>
      </c>
      <c r="N596" t="s">
        <v>2635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2286</v>
      </c>
      <c r="C597" t="s">
        <v>2287</v>
      </c>
      <c r="D597" s="3">
        <v>23986</v>
      </c>
      <c r="E597" t="s">
        <v>1400</v>
      </c>
      <c r="F597">
        <v>181</v>
      </c>
      <c r="G597" s="3">
        <v>36227</v>
      </c>
      <c r="H597" t="s">
        <v>2288</v>
      </c>
      <c r="I597">
        <v>93622072</v>
      </c>
      <c r="J597" t="s">
        <v>1506</v>
      </c>
      <c r="K597" t="s">
        <v>67</v>
      </c>
      <c r="L597" s="3">
        <v>73050</v>
      </c>
      <c r="M597" s="3">
        <v>45902</v>
      </c>
      <c r="N597" t="s">
        <v>2289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2700</v>
      </c>
      <c r="C598" t="s">
        <v>2701</v>
      </c>
      <c r="D598" s="3">
        <v>27384</v>
      </c>
      <c r="E598" t="s">
        <v>1400</v>
      </c>
      <c r="F598">
        <v>48</v>
      </c>
      <c r="G598" s="3">
        <v>36080</v>
      </c>
      <c r="H598" t="s">
        <v>2702</v>
      </c>
      <c r="J598" t="s">
        <v>1454</v>
      </c>
      <c r="K598" t="s">
        <v>64</v>
      </c>
      <c r="L598" s="3">
        <v>47614</v>
      </c>
      <c r="M598" s="3">
        <v>46704</v>
      </c>
      <c r="N598" t="s">
        <v>2703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2059</v>
      </c>
      <c r="C599" t="s">
        <v>2060</v>
      </c>
      <c r="D599" s="3">
        <v>28038</v>
      </c>
      <c r="E599" t="s">
        <v>1400</v>
      </c>
      <c r="F599">
        <v>534</v>
      </c>
      <c r="G599" s="3">
        <v>35948</v>
      </c>
      <c r="H599" t="s">
        <v>2061</v>
      </c>
      <c r="J599" t="s">
        <v>1625</v>
      </c>
      <c r="K599" t="s">
        <v>55</v>
      </c>
      <c r="L599" s="3">
        <v>45928</v>
      </c>
      <c r="M599" s="3">
        <v>46623</v>
      </c>
      <c r="N599" t="s">
        <v>2062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1473</v>
      </c>
      <c r="C600" t="s">
        <v>1474</v>
      </c>
      <c r="D600" s="3">
        <v>25268</v>
      </c>
      <c r="E600" t="s">
        <v>1400</v>
      </c>
      <c r="F600">
        <v>332</v>
      </c>
      <c r="G600" s="3">
        <v>35948</v>
      </c>
      <c r="H600" t="s">
        <v>1475</v>
      </c>
      <c r="J600" t="s">
        <v>1476</v>
      </c>
      <c r="K600" t="s">
        <v>55</v>
      </c>
      <c r="L600" s="3">
        <v>73050</v>
      </c>
      <c r="M600" s="3">
        <v>46887</v>
      </c>
      <c r="N600" t="s">
        <v>1477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1557</v>
      </c>
      <c r="C601" t="s">
        <v>1558</v>
      </c>
      <c r="D601" s="3">
        <v>24256</v>
      </c>
      <c r="E601" t="s">
        <v>1400</v>
      </c>
      <c r="F601">
        <v>107</v>
      </c>
      <c r="G601" s="3">
        <v>35891</v>
      </c>
      <c r="H601" t="s">
        <v>1559</v>
      </c>
      <c r="J601" t="s">
        <v>1506</v>
      </c>
      <c r="K601" t="s">
        <v>67</v>
      </c>
      <c r="L601" s="3">
        <v>73050</v>
      </c>
      <c r="M601" s="3">
        <v>46791</v>
      </c>
      <c r="N601" t="s">
        <v>1560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615EE2D1-69C2-46F1-B3AC-5ED9F4D3AD7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2025-10-06T10:56:39Z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