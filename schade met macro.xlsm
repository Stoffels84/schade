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99" documentId="13_ncr:1_{10FCACA5-8197-478D-90D3-5F83063FB753}" xr6:coauthVersionLast="47" xr6:coauthVersionMax="47" xr10:uidLastSave="{6B91F481-4E5A-4F84-A1A4-30989830422D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2" i="1" l="1"/>
  <c r="B971" i="1"/>
  <c r="B970" i="1"/>
  <c r="C972" i="1"/>
  <c r="D972" i="1"/>
  <c r="E972" i="1"/>
  <c r="S972" i="1"/>
  <c r="C971" i="1"/>
  <c r="D971" i="1"/>
  <c r="E971" i="1"/>
  <c r="S971" i="1"/>
  <c r="C970" i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<sst xmlns="http://schemas.openxmlformats.org/spreadsheetml/2006/main" count="8848" uniqueCount="3795">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</sst>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25</v>
          </cell>
        </row>
        <row r="5">
          <cell r="A5">
            <v>11</v>
          </cell>
          <cell r="B5" t="str">
            <v>Els Vanhoe</v>
          </cell>
          <cell r="D5">
            <v>30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84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X969" sqref="X96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hidden="1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1:27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1:27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7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A966">
        <v>35588</v>
      </c>
      <c r="B966" t="str">
        <f>_xlfn.CONCAT(bron[[#This Row],[personeelsnr]]," ",bron[[#This Row],[achternaam]]," ",bron[[#This Row],[voornaam]])</f>
        <v>35588 Smesman Glenn</v>
      </c>
      <c r="C966" t="str">
        <f>VLOOKUP(bron[[#This Row],[personeelsnr]],'data hastus'!$A:$C,2,0)</f>
        <v>Smesman</v>
      </c>
      <c r="D966" t="str">
        <f>VLOOKUP(bron[[#This Row],[personeelsnr]],'data hastus'!$A:$C,3,0)</f>
        <v>Glenn</v>
      </c>
      <c r="E966" s="2" t="str">
        <f>VLOOKUP(bron[[#This Row],[personeelsnr]],'data hastus'!A:K,11,FALSE)</f>
        <v>Lucie Vande Velde</v>
      </c>
      <c r="F966" s="10"/>
      <c r="G966" s="39"/>
      <c r="H966" s="39"/>
      <c r="I966" s="39"/>
      <c r="S966" s="44">
        <f>SUM(bron[[#This Row],[Januari]:[December]])</f>
        <v>0</v>
      </c>
      <c r="T966" s="41">
        <v>45943</v>
      </c>
      <c r="U966" s="5" t="s">
        <v>3791</v>
      </c>
      <c r="V966" s="37"/>
      <c r="W966" s="37"/>
      <c r="X966" t="s">
        <v>3512</v>
      </c>
      <c r="Y966" t="s">
        <v>728</v>
      </c>
      <c r="Z966" s="2">
        <v>5772</v>
      </c>
      <c r="AA966" s="43" t="s">
        <v>3558</v>
      </c>
    </row>
    <row r="967" spans="1:27" x14ac:dyDescent="0.25">
      <c r="A967">
        <v>18051</v>
      </c>
      <c r="B967" t="str">
        <f>_xlfn.CONCAT(bron[[#This Row],[personeelsnr]]," ",bron[[#This Row],[achternaam]]," ",bron[[#This Row],[voornaam]])</f>
        <v>18051 Van Wittenberge Filip</v>
      </c>
      <c r="C967" t="str">
        <f>VLOOKUP(bron[[#This Row],[personeelsnr]],'data hastus'!$A:$C,2,0)</f>
        <v>Van Wittenberge</v>
      </c>
      <c r="D967" t="str">
        <f>VLOOKUP(bron[[#This Row],[personeelsnr]],'data hastus'!$A:$C,3,0)</f>
        <v>Filip</v>
      </c>
      <c r="E967" s="2" t="str">
        <f>VLOOKUP(bron[[#This Row],[personeelsnr]],'data hastus'!A:K,11,FALSE)</f>
        <v>Christoff Rotty</v>
      </c>
      <c r="F967" s="10"/>
      <c r="G967" s="39"/>
      <c r="H967" s="39"/>
      <c r="I967" s="39"/>
      <c r="S967" s="44">
        <f>SUM(bron[[#This Row],[Januari]:[December]])</f>
        <v>0</v>
      </c>
      <c r="T967" s="41">
        <v>45967</v>
      </c>
      <c r="U967" s="5" t="s">
        <v>3792</v>
      </c>
      <c r="V967" s="37"/>
      <c r="W967" s="37"/>
      <c r="X967" t="s">
        <v>3512</v>
      </c>
      <c r="Y967" t="s">
        <v>54</v>
      </c>
      <c r="Z967" s="2">
        <v>5924</v>
      </c>
      <c r="AA967" s="43" t="s">
        <v>3558</v>
      </c>
    </row>
    <row r="968" spans="1:27" x14ac:dyDescent="0.25">
      <c r="A968">
        <v>40138</v>
      </c>
      <c r="B968" t="str">
        <f>_xlfn.CONCAT(bron[[#This Row],[personeelsnr]]," ",bron[[#This Row],[achternaam]]," ",bron[[#This Row],[voornaam]])</f>
        <v>40138 Moerman Tjimmy</v>
      </c>
      <c r="C968" t="str">
        <f>VLOOKUP(bron[[#This Row],[personeelsnr]],'data hastus'!$A:$C,2,0)</f>
        <v>Moerman</v>
      </c>
      <c r="D968" t="str">
        <f>VLOOKUP(bron[[#This Row],[personeelsnr]],'data hastus'!$A:$C,3,0)</f>
        <v>Tjimmy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45972</v>
      </c>
      <c r="U968" s="5" t="s">
        <v>3793</v>
      </c>
      <c r="V968" s="37"/>
      <c r="W968" s="37"/>
      <c r="X968" t="s">
        <v>3513</v>
      </c>
      <c r="Y968" t="s">
        <v>117</v>
      </c>
      <c r="Z968" s="2">
        <v>5045</v>
      </c>
      <c r="AA968" s="43" t="s">
        <v>3558</v>
      </c>
    </row>
    <row r="969" spans="1:27" x14ac:dyDescent="0.25">
      <c r="A969">
        <v>29746</v>
      </c>
      <c r="B969" t="str">
        <f>_xlfn.CONCAT(bron[[#This Row],[personeelsnr]]," ",bron[[#This Row],[achternaam]]," ",bron[[#This Row],[voornaam]])</f>
        <v>29746 Huyse Annicke</v>
      </c>
      <c r="C969" t="str">
        <f>VLOOKUP(bron[[#This Row],[personeelsnr]],'data hastus'!$A:$C,2,0)</f>
        <v>Huyse</v>
      </c>
      <c r="D969" t="str">
        <f>VLOOKUP(bron[[#This Row],[personeelsnr]],'data hastus'!$A:$C,3,0)</f>
        <v>Annicke</v>
      </c>
      <c r="E969" s="2" t="str">
        <f>VLOOKUP(bron[[#This Row],[personeelsnr]],'data hastus'!A:K,11,FALSE)</f>
        <v>Bart Van Der Beken</v>
      </c>
      <c r="F969" s="10"/>
      <c r="G969" s="39"/>
      <c r="H969" s="39"/>
      <c r="I969" s="39"/>
      <c r="S969" s="44">
        <f>SUM(bron[[#This Row],[Januari]:[December]])</f>
        <v>0</v>
      </c>
      <c r="T969" s="41">
        <v>45971</v>
      </c>
      <c r="U969" s="5" t="s">
        <v>3794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1:27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2025-11-14T08:30:37Z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