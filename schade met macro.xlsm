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44" documentId="13_ncr:1_{10FCACA5-8197-478D-90D3-5F83063FB753}" xr6:coauthVersionLast="47" xr6:coauthVersionMax="47" xr10:uidLastSave="{959FE665-7DB5-4F84-AB4E-E97FE4C6D546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45" i="1" l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C966" i="1"/>
  <c r="D966" i="1"/>
  <c r="E966" i="1"/>
  <c r="S966" i="1"/>
  <c r="C965" i="1"/>
  <c r="D965" i="1"/>
  <c r="E965" i="1"/>
  <c r="S965" i="1"/>
  <c r="C964" i="1"/>
  <c r="D964" i="1"/>
  <c r="E964" i="1"/>
  <c r="S964" i="1"/>
  <c r="C963" i="1"/>
  <c r="D963" i="1"/>
  <c r="E963" i="1"/>
  <c r="S963" i="1"/>
  <c r="C962" i="1"/>
  <c r="D962" i="1"/>
  <c r="E962" i="1"/>
  <c r="S962" i="1"/>
  <c r="C961" i="1"/>
  <c r="D961" i="1"/>
  <c r="E961" i="1"/>
  <c r="S961" i="1"/>
  <c r="C960" i="1"/>
  <c r="D960" i="1"/>
  <c r="E960" i="1"/>
  <c r="S960" i="1"/>
  <c r="C959" i="1"/>
  <c r="D959" i="1"/>
  <c r="E959" i="1"/>
  <c r="S959" i="1"/>
  <c r="C958" i="1"/>
  <c r="D958" i="1"/>
  <c r="E958" i="1"/>
  <c r="S958" i="1"/>
  <c r="C957" i="1"/>
  <c r="D957" i="1"/>
  <c r="E957" i="1"/>
  <c r="S957" i="1"/>
  <c r="C956" i="1"/>
  <c r="D956" i="1"/>
  <c r="E956" i="1"/>
  <c r="S956" i="1"/>
  <c r="C955" i="1"/>
  <c r="D955" i="1"/>
  <c r="E955" i="1"/>
  <c r="S955" i="1"/>
  <c r="C954" i="1"/>
  <c r="D954" i="1"/>
  <c r="E954" i="1"/>
  <c r="S954" i="1"/>
  <c r="C953" i="1"/>
  <c r="D953" i="1"/>
  <c r="E953" i="1"/>
  <c r="S953" i="1"/>
  <c r="C952" i="1"/>
  <c r="D952" i="1"/>
  <c r="E952" i="1"/>
  <c r="S952" i="1"/>
  <c r="C951" i="1"/>
  <c r="D951" i="1"/>
  <c r="E951" i="1"/>
  <c r="S951" i="1"/>
  <c r="C950" i="1"/>
  <c r="D950" i="1"/>
  <c r="E950" i="1"/>
  <c r="S950" i="1"/>
  <c r="C949" i="1"/>
  <c r="D949" i="1"/>
  <c r="E949" i="1"/>
  <c r="S949" i="1"/>
  <c r="C948" i="1"/>
  <c r="D948" i="1"/>
  <c r="E948" i="1"/>
  <c r="S948" i="1"/>
  <c r="C947" i="1"/>
  <c r="D947" i="1"/>
  <c r="E947" i="1"/>
  <c r="S947" i="1"/>
  <c r="C946" i="1"/>
  <c r="B946" i="1" s="1"/>
  <c r="D946" i="1"/>
  <c r="E946" i="1"/>
  <c r="S946" i="1"/>
  <c r="C945" i="1"/>
  <c r="D945" i="1"/>
  <c r="E945" i="1"/>
  <c r="S945" i="1"/>
  <c r="Y937" i="1" l="1"/>
  <c r="C944" i="1" l="1"/>
  <c r="D944" i="1"/>
  <c r="E944" i="1"/>
  <c r="S944" i="1"/>
  <c r="C943" i="1"/>
  <c r="D943" i="1"/>
  <c r="E943" i="1"/>
  <c r="S943" i="1"/>
  <c r="C942" i="1"/>
  <c r="D942" i="1"/>
  <c r="E942" i="1"/>
  <c r="S942" i="1"/>
  <c r="C941" i="1"/>
  <c r="B941" i="1" s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24" i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2" i="1" l="1"/>
  <c r="B931" i="1"/>
  <c r="B936" i="1"/>
  <c r="B924" i="1"/>
  <c r="B943" i="1"/>
  <c r="B934" i="1"/>
  <c r="B944" i="1"/>
  <c r="B940" i="1"/>
  <c r="B937" i="1"/>
  <c r="B939" i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<sst xmlns="http://schemas.openxmlformats.org/spreadsheetml/2006/main" count="8797" uniqueCount="3768">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</sst>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25</v>
          </cell>
        </row>
        <row r="5">
          <cell r="A5">
            <v>9</v>
          </cell>
          <cell r="B5" t="str">
            <v>Els Vanhoe</v>
          </cell>
          <cell r="D5">
            <v>30</v>
          </cell>
        </row>
        <row r="6">
          <cell r="A6">
            <v>8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28</v>
          </cell>
        </row>
        <row r="9">
          <cell r="A9">
            <v>10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66" totalsRowShown="0" headerRowDxfId="10">
  <autoFilter ref="A1:AA966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28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226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66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A947" sqref="A94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25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x14ac:dyDescent="0.25">
      <c r="A940">
        <v>39651</v>
      </c>
      <c r="B940" t="str">
        <f>_xlfn.CONCAT(bron[[#This Row],[personeelsnr]]," ",bron[[#This Row],[achternaam]]," ",bron[[#This Row],[voornaam]])</f>
        <v>39651 Kallenbach Sunny</v>
      </c>
      <c r="C940" t="str">
        <f>VLOOKUP(bron[[#This Row],[personeelsnr]],'data hastus'!$A:$C,2,0)</f>
        <v>Kallenbach</v>
      </c>
      <c r="D940" t="str">
        <f>VLOOKUP(bron[[#This Row],[personeelsnr]],'data hastus'!$A:$C,3,0)</f>
        <v>Sunny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3760</v>
      </c>
      <c r="V940" s="37"/>
      <c r="W940" s="37"/>
      <c r="X940" t="s">
        <v>3513</v>
      </c>
      <c r="Y940" t="s">
        <v>737</v>
      </c>
      <c r="Z940" s="2">
        <v>5263</v>
      </c>
      <c r="AA940" s="43" t="s">
        <v>3558</v>
      </c>
    </row>
    <row r="941" spans="1:27" x14ac:dyDescent="0.25">
      <c r="A941">
        <v>34328</v>
      </c>
      <c r="B941" t="str">
        <f>_xlfn.CONCAT(bron[[#This Row],[personeelsnr]]," ",bron[[#This Row],[achternaam]]," ",bron[[#This Row],[voornaam]])</f>
        <v>34328 Kerremans Jürgen</v>
      </c>
      <c r="C941" t="str">
        <f>VLOOKUP(bron[[#This Row],[personeelsnr]],'data hastus'!$A:$C,2,0)</f>
        <v>Kerremans</v>
      </c>
      <c r="D941" t="str">
        <f>VLOOKUP(bron[[#This Row],[personeelsnr]],'data hastus'!$A:$C,3,0)</f>
        <v>Jürgen</v>
      </c>
      <c r="E941" s="2" t="str">
        <f>VLOOKUP(bron[[#This Row],[personeelsnr]],'data hastus'!A:K,11,FALSE)</f>
        <v>Kenneth De Rick</v>
      </c>
      <c r="F941" s="10"/>
      <c r="G941" s="39"/>
      <c r="H941" s="39"/>
      <c r="I941" s="39"/>
      <c r="S941" s="36">
        <f>SUM(bron[[#This Row],[Januari]:[December]])</f>
        <v>0</v>
      </c>
      <c r="T941" s="41">
        <v>45959</v>
      </c>
      <c r="U941" s="5" t="s">
        <v>3761</v>
      </c>
      <c r="V941" s="37"/>
      <c r="W941" s="37"/>
      <c r="X941" t="s">
        <v>3547</v>
      </c>
      <c r="Y941" t="s">
        <v>5</v>
      </c>
      <c r="Z941" s="2">
        <v>6334</v>
      </c>
      <c r="AA941" s="43" t="s">
        <v>3558</v>
      </c>
    </row>
    <row r="942" spans="1:27" x14ac:dyDescent="0.25">
      <c r="A942">
        <v>11023</v>
      </c>
      <c r="B942" t="str">
        <f>_xlfn.CONCAT(bron[[#This Row],[personeelsnr]]," ",bron[[#This Row],[achternaam]]," ",bron[[#This Row],[voornaam]])</f>
        <v>11023 Goethals Jeffrey</v>
      </c>
      <c r="C942" t="str">
        <f>VLOOKUP(bron[[#This Row],[personeelsnr]],'data hastus'!$A:$C,2,0)</f>
        <v>Goethals</v>
      </c>
      <c r="D942" t="str">
        <f>VLOOKUP(bron[[#This Row],[personeelsnr]],'data hastus'!$A:$C,3,0)</f>
        <v>Jeffrey</v>
      </c>
      <c r="E942" s="2" t="str">
        <f>VLOOKUP(bron[[#This Row],[personeelsnr]],'data hastus'!A:K,11,FALSE)</f>
        <v>Els Vanhoe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3762</v>
      </c>
      <c r="V942" s="37"/>
      <c r="W942" s="37"/>
      <c r="X942" t="s">
        <v>3548</v>
      </c>
      <c r="Y942" t="s">
        <v>265</v>
      </c>
      <c r="Z942" s="2">
        <v>6364</v>
      </c>
      <c r="AA942" s="43" t="s">
        <v>3558</v>
      </c>
    </row>
    <row r="943" spans="1:27" x14ac:dyDescent="0.25">
      <c r="A943">
        <v>38938</v>
      </c>
      <c r="B943" t="str">
        <f>_xlfn.CONCAT(bron[[#This Row],[personeelsnr]]," ",bron[[#This Row],[achternaam]]," ",bron[[#This Row],[voornaam]])</f>
        <v>38938 Sedighi Hamid</v>
      </c>
      <c r="C943" t="str">
        <f>VLOOKUP(bron[[#This Row],[personeelsnr]],'data hastus'!$A:$C,2,0)</f>
        <v>Sedighi</v>
      </c>
      <c r="D943" t="str">
        <f>VLOOKUP(bron[[#This Row],[personeelsnr]],'data hastus'!$A:$C,3,0)</f>
        <v>Hamid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45967</v>
      </c>
      <c r="U943" s="5" t="s">
        <v>3763</v>
      </c>
      <c r="V943" s="37"/>
      <c r="W943" s="37"/>
      <c r="X943" t="s">
        <v>3547</v>
      </c>
      <c r="Y943" t="s">
        <v>169</v>
      </c>
      <c r="Z943" s="2">
        <v>6318</v>
      </c>
      <c r="AA943" s="43" t="s">
        <v>3558</v>
      </c>
    </row>
    <row r="944" spans="1:27" x14ac:dyDescent="0.25">
      <c r="A944">
        <v>14072</v>
      </c>
      <c r="B944" t="str">
        <f>_xlfn.CONCAT(bron[[#This Row],[personeelsnr]]," ",bron[[#This Row],[achternaam]]," ",bron[[#This Row],[voornaam]])</f>
        <v>14072 Vervoort Koen</v>
      </c>
      <c r="C944" t="str">
        <f>VLOOKUP(bron[[#This Row],[personeelsnr]],'data hastus'!$A:$C,2,0)</f>
        <v>Vervoort</v>
      </c>
      <c r="D944" t="str">
        <f>VLOOKUP(bron[[#This Row],[personeelsnr]],'data hastus'!$A:$C,3,0)</f>
        <v>Koen</v>
      </c>
      <c r="E944" s="2" t="str">
        <f>VLOOKUP(bron[[#This Row],[personeelsnr]],'data hastus'!A:K,11,FALSE)</f>
        <v>Lucie Vande Velde</v>
      </c>
      <c r="F944" s="10"/>
      <c r="G944" s="39"/>
      <c r="H944" s="39"/>
      <c r="I944" s="39"/>
      <c r="S944" s="36">
        <f>SUM(bron[[#This Row],[Januari]:[December]])</f>
        <v>0</v>
      </c>
      <c r="T944" s="41">
        <v>45961</v>
      </c>
      <c r="U944" s="5" t="s">
        <v>3764</v>
      </c>
      <c r="V944" s="37"/>
      <c r="W944" s="37"/>
      <c r="X944" t="s">
        <v>3548</v>
      </c>
      <c r="Y944" t="s">
        <v>10</v>
      </c>
      <c r="Z944" s="2">
        <v>6363</v>
      </c>
      <c r="AA944" s="43" t="s">
        <v>3558</v>
      </c>
    </row>
    <row r="945" spans="1:27" x14ac:dyDescent="0.25">
      <c r="A945">
        <v>40110</v>
      </c>
      <c r="B945" t="str">
        <f>_xlfn.CONCAT(bron[[#This Row],[personeelsnr]]," ",bron[[#This Row],[achternaam]]," ",bron[[#This Row],[voornaam]])</f>
        <v>40110 Vanlerberghe Sandra</v>
      </c>
      <c r="C945" t="str">
        <f>VLOOKUP(bron[[#This Row],[personeelsnr]],'data hastus'!$A:$C,2,0)</f>
        <v>Vanlerberghe</v>
      </c>
      <c r="D945" t="str">
        <f>VLOOKUP(bron[[#This Row],[personeelsnr]],'data hastus'!$A:$C,3,0)</f>
        <v>Sandra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45965</v>
      </c>
      <c r="U945" s="5" t="s">
        <v>3766</v>
      </c>
      <c r="V945" s="37"/>
      <c r="W945" s="37"/>
      <c r="X945" t="s">
        <v>3511</v>
      </c>
      <c r="Y945" t="s">
        <v>3765</v>
      </c>
      <c r="Z945" s="2">
        <v>5265</v>
      </c>
      <c r="AA945" s="43" t="s">
        <v>3558</v>
      </c>
    </row>
    <row r="946" spans="1:27" x14ac:dyDescent="0.25">
      <c r="A946">
        <v>27209</v>
      </c>
      <c r="B946" t="str">
        <f>_xlfn.CONCAT(bron[[#This Row],[personeelsnr]]," ",bron[[#This Row],[achternaam]]," ",bron[[#This Row],[voornaam]])</f>
        <v>27209 Meyvaert Steven</v>
      </c>
      <c r="C946" t="str">
        <f>VLOOKUP(bron[[#This Row],[personeelsnr]],'data hastus'!$A:$C,2,0)</f>
        <v>Meyvaert</v>
      </c>
      <c r="D946" t="str">
        <f>VLOOKUP(bron[[#This Row],[personeelsnr]],'data hastus'!$A:$C,3,0)</f>
        <v>Steven</v>
      </c>
      <c r="E946" s="2" t="str">
        <f>VLOOKUP(bron[[#This Row],[personeelsnr]],'data hastus'!A:K,11,FALSE)</f>
        <v>Els Dewulf</v>
      </c>
      <c r="F946" s="10"/>
      <c r="G946" s="39"/>
      <c r="H946" s="39"/>
      <c r="I946" s="39"/>
      <c r="S946" s="44">
        <f>SUM(bron[[#This Row],[Januari]:[December]])</f>
        <v>0</v>
      </c>
      <c r="T946" s="41">
        <v>45968</v>
      </c>
      <c r="U946" s="5" t="s">
        <v>3767</v>
      </c>
      <c r="V946" s="37"/>
      <c r="W946" s="37"/>
      <c r="X946" t="s">
        <v>3512</v>
      </c>
      <c r="Y946" t="s">
        <v>10</v>
      </c>
      <c r="Z946" s="2">
        <v>5922</v>
      </c>
      <c r="AA946" s="43" t="s">
        <v>3558</v>
      </c>
    </row>
    <row r="947" spans="1:27" x14ac:dyDescent="0.25">
      <c r="B947" t="e">
        <f>_xlfn.CONCAT(bron[[#This Row],[personeelsnr]]," ",bron[[#This Row],[achternaam]]," ",bron[[#This Row],[voornaam]])</f>
        <v>#N/A</v>
      </c>
      <c r="C947" t="e">
        <f>VLOOKUP(bron[[#This Row],[personeelsnr]],'data hastus'!$A:$C,2,0)</f>
        <v>#N/A</v>
      </c>
      <c r="D947" t="e">
        <f>VLOOKUP(bron[[#This Row],[personeelsnr]],'data hastus'!$A:$C,3,0)</f>
        <v>#N/A</v>
      </c>
      <c r="E947" s="2" t="e">
        <f>VLOOKUP(bron[[#This Row],[personeelsnr]],'data hastus'!A:K,11,FALSE)</f>
        <v>#N/A</v>
      </c>
      <c r="F947" s="10"/>
      <c r="G947" s="39"/>
      <c r="H947" s="39"/>
      <c r="I947" s="39"/>
      <c r="S947" s="44">
        <f>SUM(bron[[#This Row],[Januari]:[December]])</f>
        <v>0</v>
      </c>
      <c r="V947" s="37"/>
      <c r="W947" s="37"/>
    </row>
    <row r="948" spans="1:27" x14ac:dyDescent="0.25">
      <c r="B948" t="e">
        <f>_xlfn.CONCAT(bron[[#This Row],[personeelsnr]]," ",bron[[#This Row],[achternaam]]," ",bron[[#This Row],[voornaam]])</f>
        <v>#N/A</v>
      </c>
      <c r="C948" t="e">
        <f>VLOOKUP(bron[[#This Row],[personeelsnr]],'data hastus'!$A:$C,2,0)</f>
        <v>#N/A</v>
      </c>
      <c r="D948" t="e">
        <f>VLOOKUP(bron[[#This Row],[personeelsnr]],'data hastus'!$A:$C,3,0)</f>
        <v>#N/A</v>
      </c>
      <c r="E948" s="2" t="e">
        <f>VLOOKUP(bron[[#This Row],[personeelsnr]],'data hastus'!A:K,11,FALSE)</f>
        <v>#N/A</v>
      </c>
      <c r="F948" s="10"/>
      <c r="G948" s="39"/>
      <c r="H948" s="39"/>
      <c r="I948" s="39"/>
      <c r="S948" s="44">
        <f>SUM(bron[[#This Row],[Januari]:[December]])</f>
        <v>0</v>
      </c>
      <c r="V948" s="37"/>
      <c r="W948" s="37"/>
    </row>
    <row r="949" spans="1:27" x14ac:dyDescent="0.25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44">
        <f>SUM(bron[[#This Row],[Januari]:[December]])</f>
        <v>0</v>
      </c>
      <c r="V949" s="37"/>
      <c r="W949" s="37"/>
    </row>
    <row r="950" spans="1:27" x14ac:dyDescent="0.25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44">
        <f>SUM(bron[[#This Row],[Januari]:[December]])</f>
        <v>0</v>
      </c>
      <c r="V950" s="37"/>
      <c r="W950" s="37"/>
    </row>
    <row r="951" spans="1:27" x14ac:dyDescent="0.25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44">
        <f>SUM(bron[[#This Row],[Januari]:[December]])</f>
        <v>0</v>
      </c>
      <c r="V951" s="37"/>
      <c r="W951" s="37"/>
    </row>
    <row r="952" spans="1:27" x14ac:dyDescent="0.25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44">
        <f>SUM(bron[[#This Row],[Januari]:[December]])</f>
        <v>0</v>
      </c>
      <c r="V952" s="37"/>
      <c r="W952" s="37"/>
    </row>
    <row r="953" spans="1:27" x14ac:dyDescent="0.25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44">
        <f>SUM(bron[[#This Row],[Januari]:[December]])</f>
        <v>0</v>
      </c>
      <c r="V953" s="37"/>
      <c r="W953" s="37"/>
    </row>
    <row r="954" spans="1:27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</sheetData>
  <sheetProtection sort="0" autoFilter="0"/>
  <phoneticPr fontId="1" type="noConversion"/>
  <conditionalFormatting sqref="F2:F966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2025-11-12T08:07:12Z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