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82" documentId="13_ncr:1_{10FCACA5-8197-478D-90D3-5F83063FB753}" xr6:coauthVersionLast="47" xr6:coauthVersionMax="47" xr10:uidLastSave="{6B741987-21C9-422E-822D-ADC389F08BD1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<sst xmlns="http://schemas.openxmlformats.org/spreadsheetml/2006/main" count="11029" uniqueCount="4279">
  <si>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</si>
  <si>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</si>
  <si>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</si>
  <si>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</si>
  <si>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</si>
  <si>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</si>
  <si>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</si>
  <si>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</si>
  <si>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</si>
  <si>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</si>
  <si>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</si>
  <si>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</si>
  <si>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</si>
  <si>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</si>
  <si>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</si>
  <si>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</si>
  <si>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</si>
  <si>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</si>
  <si>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</si>
  <si>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</si>
  <si>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</si>
  <si>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</si>
  <si>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</si>
  <si>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</si>
  <si>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</si>
  <si>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</si>
  <si>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</si>
  <si>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</si>
  <si>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</si>
  <si>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</si>
  <si>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</si>
  <si>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</si>
  <si>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</si>
  <si>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</si>
  <si>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</si>
  <si>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</si>
  <si>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</si>
  <si>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</si>
  <si>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</si>
  <si>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</si>
  <si>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</si>
  <si>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</si>
  <si>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</si>
  <si>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</si>
  <si>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</si>
  <si>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</si>
  <si>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</si>
  <si>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</si>
  <si>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</si>
  <si>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</si>
  <si>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</si>
  <si>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</si>
  <si>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</si>
  <si>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</si>
  <si>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</si>
  <si>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</si>
  <si>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</si>
  <si>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</si>
  <si>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</si>
  <si>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</si>
  <si>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</si>
  <si>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</si>
  <si>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</si>
  <si>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</si>
  <si>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</si>
  <si>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</si>
  <si>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</si>
  <si>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</si>
  <si>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</si>
  <si>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</si>
  <si>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</si>
  <si>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</si>
  <si>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</si>
  <si>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</si>
  <si>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</si>
  <si>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</si>
  <si>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</si>
  <si>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</si>
  <si>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</si>
  <si>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</si>
  <si>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</si>
  <si>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</si>
  <si>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</si>
  <si>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</si>
  <si>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</si>
  <si>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</si>
  <si>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</si>
  <si>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</si>
  <si>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</si>
  <si>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</si>
  <si>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</si>
  <si>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</si>
  <si>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</si>
  <si>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</si>
  <si>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</si>
  <si>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</si>
  <si>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</si>
  <si>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</si>
  <si>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</si>
  <si>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</si>
  <si>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</si>
  <si>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</si>
  <si>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</si>
  <si>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</si>
  <si>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</si>
  <si>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</si>
  <si>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</si>
  <si>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</si>
  <si>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</si>
  <si>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</si>
  <si>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</si>
  <si>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</si>
  <si>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</si>
  <si>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</si>
  <si>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</si>
  <si>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</si>
  <si>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</si>
  <si>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</si>
  <si>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</si>
  <si>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</si>
  <si>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</si>
  <si>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</si>
  <si>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</si>
  <si>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</si>
  <si>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</si>
  <si>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</si>
  <si>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</si>
  <si>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</si>
  <si>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</si>
  <si>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</si>
  <si>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</si>
  <si>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</si>
  <si>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</si>
  <si>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</si>
  <si>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</si>
  <si>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</si>
  <si>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</si>
  <si>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</si>
  <si>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</si>
  <si>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</si>
  <si>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</si>
  <si>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</si>
  <si>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</si>
  <si>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</si>
  <si>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</si>
  <si>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</si>
  <si>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</si>
  <si>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</si>
  <si>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</si>
  <si>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</si>
  <si>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</si>
  <si>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</si>
  <si>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</si>
  <si>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</si>
  <si>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</si>
  <si>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</si>
  <si>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</si>
  <si>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</si>
  <si>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</si>
  <si>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</si>
  <si>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</si>
  <si>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</si>
  <si>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</si>
  <si>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</si>
  <si>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</si>
  <si>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</si>
  <si>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</si>
  <si>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</si>
  <si>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</si>
  <si>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</si>
  <si>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</si>
  <si>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</si>
  <si>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</si>
  <si>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</si>
  <si>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</si>
  <si>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</si>
  <si>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</si>
  <si>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</si>
  <si>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</si>
  <si>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</si>
  <si>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</si>
  <si>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</si>
  <si>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</si>
  <si>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</si>
  <si>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</si>
  <si>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</si>
  <si>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</si>
  <si>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</si>
  <si>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</si>
  <si>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</si>
  <si>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</si>
  <si>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</si>
  <si>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</si>
  <si>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</si>
  <si>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</si>
  <si>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</si>
  <si>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</si>
  <si>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</si>
  <si>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</si>
  <si>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</si>
  <si>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</si>
  <si>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</si>
  <si>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</si>
  <si>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</si>
  <si>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</si>
  <si>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</si>
  <si>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</si>
  <si>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</si>
  <si>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</si>
  <si>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</si>
  <si>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</si>
  <si>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</si>
  <si>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</si>
  <si>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</si>
  <si>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</si>
  <si>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</si>
  <si>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</si>
  <si>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</si>
  <si>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</si>
  <si>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</si>
  <si>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</si>
  <si>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</si>
  <si>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</si>
  <si>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</si>
  <si>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</si>
  <si>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</si>
  <si>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</si>
  <si>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</si>
  <si>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</si>
  <si>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</si>
  <si>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</si>
  <si>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</si>
  <si>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</si>
  <si>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</si>
  <si>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</si>
  <si>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</si>
  <si>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</si>
  <si>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</si>
  <si>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</si>
  <si>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</si>
  <si>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</si>
  <si>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</si>
  <si>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</si>
  <si>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</si>
  <si>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</si>
  <si>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</si>
  <si>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</si>
  <si>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</si>
  <si>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</si>
  <si>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</si>
  <si>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</si>
  <si>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</si>
  <si>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</si>
  <si>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</si>
  <si>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</si>
  <si>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</si>
  <si>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</si>
  <si>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</si>
  <si>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</si>
  <si>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</si>
  <si>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</si>
  <si>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</si>
  <si>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</si>
  <si>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</si>
  <si>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</si>
  <si>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</si>
  <si>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</si>
  <si>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</si>
  <si>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</si>
  <si>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</si>
  <si>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</si>
  <si>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</si>
  <si>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</si>
  <si>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</si>
  <si>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</si>
  <si>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</si>
  <si>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</si>
  <si>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</si>
  <si>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</si>
  <si>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</si>
  <si>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</si>
  <si>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</si>
  <si>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</si>
  <si>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</si>
  <si>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</si>
  <si>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</si>
  <si>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</si>
  <si>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</si>
  <si>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</si>
  <si>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</si>
  <si>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</si>
  <si>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</si>
  <si>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</si>
  <si>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</si>
  <si>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</si>
  <si>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</si>
  <si>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</si>
  <si>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</si>
  <si>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</si>
  <si>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</si>
  <si>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</si>
  <si>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</si>
  <si>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</si>
  <si>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</si>
  <si>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</si>
  <si>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</si>
  <si>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</si>
  <si>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</si>
  <si>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</si>
  <si>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</si>
  <si>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</si>
  <si>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</si>
  <si>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</si>
  <si>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</si>
  <si>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</si>
  <si>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</si>
  <si>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</si>
  <si>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</si>
  <si>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</si>
  <si>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</si>
  <si>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</si>
  <si>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</si>
  <si>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</si>
  <si>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</si>
  <si>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</si>
  <si>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</si>
  <si>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</si>
  <si>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</si>
  <si>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</si>
  <si>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</si>
  <si>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</si>
  <si>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</si>
  <si>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</si>
  <si>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</si>
  <si>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</si>
  <si>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</si>
  <si>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</si>
  <si>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</si>
  <si>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</si>
  <si>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</si>
  <si>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</si>
  <si>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</si>
  <si>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</si>
  <si>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</si>
  <si>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</si>
  <si>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</si>
  <si>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</si>
  <si>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</si>
  <si>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</si>
  <si>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</si>
  <si>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</si>
  <si>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</si>
  <si>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</si>
  <si>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</si>
  <si>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</si>
  <si>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</si>
  <si>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</si>
  <si>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</si>
  <si>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</si>
  <si>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</si>
  <si>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</si>
  <si>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</si>
  <si>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</si>
  <si>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</si>
  <si>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</si>
  <si>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</si>
  <si>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</si>
  <si>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</si>
  <si>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</si>
  <si>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</si>
  <si>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</si>
  <si>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</si>
  <si>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</si>
  <si>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</si>
  <si>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</si>
  <si>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</si>
  <si>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</si>
  <si>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</si>
  <si>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</si>
  <si>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</si>
  <si>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</si>
  <si>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</si>
  <si>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</si>
  <si>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</si>
  <si>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</si>
  <si>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</si>
  <si>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</si>
  <si>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</si>
  <si>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</si>
  <si>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</si>
  <si>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</si>
  <si>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</si>
  <si>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</si>
  <si>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</si>
  <si>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</si>
  <si>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</si>
  <si>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</si>
  <si>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</si>
  <si>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</si>
  <si>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</si>
  <si>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</si>
  <si>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</si>
  <si>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</si>
  <si>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</si>
  <si>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</si>
  <si>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</si>
  <si>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</si>
  <si>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</si>
  <si>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</si>
  <si>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</si>
  <si>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</si>
  <si>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</si>
  <si>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</si>
  <si>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</si>
  <si>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</si>
  <si>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</si>
  <si>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</si>
  <si>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</si>
  <si>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</si>
  <si>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</si>
  <si>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</si>
  <si>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</si>
  <si>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</si>
  <si>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</si>
  <si>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</si>
  <si>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</si>
  <si>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</si>
  <si>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</si>
  <si>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</si>
  <si>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</si>
  <si>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</si>
  <si>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</si>
  <si>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</si>
  <si>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</si>
  <si>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</si>
  <si>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</si>
  <si>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</si>
  <si>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</si>
  <si>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</si>
  <si>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</si>
  <si>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</si>
  <si>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</si>
  <si>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</si>
  <si>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</si>
  <si>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</si>
  <si>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</si>
  <si>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</si>
  <si>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</si>
  <si>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</si>
  <si>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</si>
  <si>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</si>
  <si>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</si>
  <si>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</si>
  <si>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</si>
  <si>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</si>
  <si>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</si>
  <si>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</si>
  <si>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</si>
  <si>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</si>
  <si>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</si>
  <si>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</si>
  <si>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</si>
  <si>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</si>
  <si>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</si>
  <si>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</si>
  <si>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</si>
  <si>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</si>
  <si>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</si>
  <si>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</si>
  <si>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</si>
  <si>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</si>
  <si>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</si>
  <si>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</si>
  <si>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</si>
  <si>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</si>
  <si>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</si>
  <si>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</si>
  <si>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</si>
  <si>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</si>
  <si>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</si>
  <si>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</si>
  <si>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</si>
  <si>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</si>
  <si>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</si>
  <si>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</si>
  <si>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</si>
  <si>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</si>
  <si>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</si>
  <si>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</si>
  <si>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</si>
  <si>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</si>
  <si>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</si>
  <si>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</si>
  <si>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</si>
  <si>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</si>
  <si>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</si>
  <si>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</si>
  <si>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</si>
  <si>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</si>
  <si>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</si>
  <si>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</si>
  <si>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</si>
  <si>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</si>
  <si>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</si>
  <si>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</si>
  <si>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</si>
  <si>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</si>
  <si>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</si>
  <si>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</si>
  <si>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</si>
  <si>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</si>
  <si>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</si>
  <si>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</si>
  <si>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</si>
  <si>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</si>
  <si>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</si>
  <si>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</si>
  <si>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</si>
  <si>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</si>
  <si>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</si>
  <si>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</si>
  <si>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</si>
  <si>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</si>
  <si>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</si>
  <si>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</si>
  <si>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</si>
  <si>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</si>
  <si>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</si>
  <si>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</si>
  <si>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</si>
  <si>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</si>
  <si>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</si>
  <si>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</si>
  <si>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</si>
  <si>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</si>
  <si>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</si>
  <si>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</si>
  <si>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</si>
  <si>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</si>
  <si>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</si>
  <si>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</si>
  <si>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</si>
  <si>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</si>
  <si>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</si>
  <si>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</si>
  <si>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</si>
  <si>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</si>
  <si>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</si>
  <si>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</si>
  <si>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</si>
  <si>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</si>
  <si>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</si>
  <si>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</si>
  <si>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</si>
  <si>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</si>
  <si>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</si>
  <si>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</si>
  <si>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</si>
  <si>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</si>
  <si>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</si>
  <si>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</si>
  <si>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</si>
  <si>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</si>
  <si>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</si>
  <si>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</si>
  <si>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</si>
  <si>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</si>
  <si>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</si>
  <si>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</si>
  <si>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</si>
  <si>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</si>
  <si>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</si>
  <si>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</si>
  <si>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</si>
  <si>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</si>
  <si>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</si>
  <si>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</si>
  <si>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</si>
  <si>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</si>
  <si>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</si>
  <si>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</si>
  <si>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</si>
  <si>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</si>
  <si>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</si>
  <si>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</si>
  <si>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</si>
  <si>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</si>
  <si>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</si>
  <si>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</si>
  <si>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</si>
  <si>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</si>
  <si>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</si>
  <si>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</si>
  <si>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</si>
  <si>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</si>
  <si>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</si>
  <si>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</si>
  <si>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</si>
  <si>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</si>
  <si>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</si>
  <si>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</si>
  <si>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</si>
  <si>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</si>
  <si>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</si>
  <si>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</si>
  <si>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</si>
  <si>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</si>
  <si>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</si>
  <si>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</si>
  <si>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</si>
  <si>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</si>
  <si>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</si>
  <si>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</si>
  <si>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</si>
  <si>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</si>
  <si>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</si>
  <si>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</si>
  <si>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</si>
  <si>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</si>
  <si>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</si>
  <si>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</si>
  <si>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</si>
  <si>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</si>
  <si>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</si>
  <si>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</si>
  <si>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</si>
  <si>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</si>
  <si>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</si>
  <si>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</si>
  <si>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</si>
  <si>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</si>
  <si>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</si>
  <si>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</si>
  <si>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</si>
  <si>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</si>
  <si>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</si>
  <si>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</si>
  <si>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</si>
  <si>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</si>
  <si>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</si>
  <si>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</si>
  <si>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</si>
  <si>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</si>
  <si>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</si>
  <si>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</si>
  <si>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</si>
  <si>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</si>
  <si>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</si>
  <si>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</si>
  <si>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</si>
  <si>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</si>
  <si>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</si>
  <si>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</si>
  <si>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</si>
  <si>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</si>
  <si>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</si>
  <si>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</si>
  <si>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</si>
  <si>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</si>
  <si>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</si>
  <si>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</si>
  <si>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</si>
  <si>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</si>
  <si>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</si>
  <si>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</si>
  <si>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</si>
  <si>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</si>
  <si>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</si>
  <si>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</si>
  <si>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</si>
  <si>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</si>
  <si>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</si>
  <si>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</si>
  <si>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</si>
  <si>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</si>
  <si>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</si>
  <si>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</si>
  <si>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</si>
  <si>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</si>
  <si>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</si>
  <si>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</si>
  <si>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</si>
  <si>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</si>
  <si>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</si>
  <si>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</si>
  <si>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</si>
  <si>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</si>
  <si>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</si>
  <si>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</si>
  <si>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</si>
  <si>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</si>
  <si>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</si>
  <si>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</si>
  <si>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</si>
  <si>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</si>
  <si>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</si>
  <si>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</si>
  <si>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</si>
  <si>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</si>
  <si>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</si>
  <si>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</si>
  <si>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</si>
  <si>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</si>
  <si>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</si>
  <si>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</si>
  <si>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</si>
  <si>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</si>
  <si>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</si>
  <si>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</si>
  <si>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</si>
  <si>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</si>
  <si>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</si>
  <si>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</si>
  <si>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</si>
  <si>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</si>
  <si>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</si>
  <si>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</si>
  <si>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</si>
  <si>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</si>
  <si>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</si>
  <si>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</si>
  <si>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</si>
  <si>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</si>
  <si>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</si>
  <si>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</si>
  <si>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</si>
  <si>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</si>
  <si>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</si>
  <si>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</si>
  <si>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</si>
  <si>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</si>
  <si>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</si>
  <si>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</si>
  <si>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</si>
  <si>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</si>
  <si>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</si>
  <si>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</si>
  <si>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</si>
  <si>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</si>
  <si>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</si>
  <si>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</si>
  <si>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</si>
  <si>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</si>
  <si>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</si>
  <si>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</si>
  <si>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</si>
  <si>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</si>
  <si>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</si>
  <si>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</si>
  <si>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</si>
  <si>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</si>
  <si>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</si>
  <si>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</si>
  <si>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</si>
  <si>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</si>
  <si>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</si>
  <si>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</si>
  <si>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</si>
  <si>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</si>
  <si>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</si>
  <si>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</si>
  <si>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</si>
  <si>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</si>
  <si>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</si>
  <si>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</si>
  <si>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</si>
  <si>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</si>
  <si>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</si>
  <si>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</si>
  <si>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</si>
  <si>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</si>
  <si>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</si>
  <si>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</si>
  <si>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</si>
  <si>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</si>
  <si>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</si>
  <si>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</si>
  <si>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</si>
  <si>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</si>
  <si>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</si>
  <si>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</si>
  <si>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</si>
  <si>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</si>
  <si>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</si>
  <si>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</si>
  <si>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</si>
  <si>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</si>
  <si>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</si>
  <si>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</si>
  <si>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</si>
  <si>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</si>
  <si>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</si>
  <si>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</si>
  <si>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</si>
  <si>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</si>
  <si>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</si>
  <si>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</si>
  <si>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</si>
  <si>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</si>
  <si>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</si>
  <si>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</si>
  <si>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</si>
  <si>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</si>
  <si>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</si>
  <si>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</si>
  <si>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</si>
  <si>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</si>
  <si>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</si>
  <si>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</si>
  <si>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</si>
  <si>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</si>
  <si>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</si>
  <si>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</si>
  <si>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</si>
  <si>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</si>
  <si>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</si>
  <si>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</si>
  <si>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</si>
  <si>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</si>
  <si>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</si>
  <si>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</si>
  <si>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</si>
  <si>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</si>
  <si>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</si>
  <si>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</si>
  <si>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</si>
  <si>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</si>
  <si>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</si>
  <si>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</si>
  <si>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</si>
  <si>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</si>
  <si>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</si>
  <si>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</si>
  <si>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</si>
  <si>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</si>
  <si>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</si>
  <si>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</si>
  <si>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</si>
  <si>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</si>
  <si>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</si>
  <si>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</si>
  <si>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</si>
  <si>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</si>
  <si>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</si>
  <si>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</si>
  <si>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</si>
  <si>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</si>
  <si>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</si>
  <si>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</si>
  <si>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</si>
  <si>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</si>
  <si>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</si>
  <si>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</si>
  <si>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</si>
  <si>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</si>
  <si>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</si>
  <si>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</si>
  <si>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</si>
  <si>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</si>
  <si>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</si>
  <si>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</si>
  <si>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</si>
  <si>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</si>
  <si>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</si>
  <si>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</si>
  <si>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</si>
  <si>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</si>
  <si>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</si>
  <si>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</si>
  <si>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</si>
  <si>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</si>
  <si>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</si>
  <si>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</si>
  <si>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</si>
  <si>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</si>
  <si>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</si>
  <si>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</si>
  <si>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</si>
  <si>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</si>
  <si>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</si>
  <si>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</si>
  <si>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</si>
  <si>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</si>
  <si>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</si>
  <si>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</si>
  <si>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</si>
  <si>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</si>
  <si>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</si>
  <si>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</si>
  <si>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</si>
  <si>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</si>
  <si>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</si>
  <si>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</si>
  <si>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</si>
  <si>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</si>
  <si>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</si>
  <si>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</si>
  <si>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</si>
  <si>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</si>
  <si>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</si>
  <si>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</si>
  <si>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</si>
  <si>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</si>
  <si>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</si>
  <si>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</si>
  <si>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</si>
  <si>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</si>
  <si>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</si>
  <si>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</si>
  <si>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</si>
  <si>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</si>
  <si>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</si>
  <si>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</si>
  <si>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</si>
  <si>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</si>
  <si>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</si>
  <si>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</si>
  <si>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</si>
  <si>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</si>
  <si>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</si>
  <si>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</si>
  <si>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</si>
  <si>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</si>
  <si>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</si>
  <si>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</si>
  <si>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</si>
  <si>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</si>
  <si>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</si>
  <si>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</si>
  <si>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</si>
  <si>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</si>
  <si>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</si>
  <si>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</si>
  <si>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</si>
  <si>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</si>
  <si>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</si>
  <si>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</si>
  <si>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</si>
  <si>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</si>
  <si>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</si>
  <si>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</si>
  <si>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</si>
  <si>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</si>
  <si>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</si>
  <si>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</si>
  <si>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</si>
  <si>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</si>
  <si>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</si>
  <si>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</si>
  <si>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</si>
  <si>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</si>
  <si>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</si>
  <si>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</si>
  <si>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</si>
  <si>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</si>
  <si>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</si>
  <si>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</si>
  <si>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</si>
  <si>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</si>
  <si>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</si>
  <si>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</si>
  <si>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</si>
  <si>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</si>
  <si>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</si>
  <si>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</si>
  <si>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</si>
  <si>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</si>
  <si>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</si>
  <si>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</si>
  <si>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</si>
  <si>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</si>
  <si>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</si>
  <si>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</si>
  <si>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</si>
  <si>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</si>
  <si>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</si>
  <si>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</si>
  <si>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</si>
  <si>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</si>
  <si>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</si>
  <si>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</si>
  <si>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</si>
  <si>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</si>
  <si>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</si>
  <si>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</si>
  <si>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</si>
  <si>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</si>
  <si>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</si>
  <si>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</si>
  <si>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</si>
  <si>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</si>
  <si>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</si>
  <si>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</si>
  <si>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</si>
  <si>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</si>
  <si>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</si>
  <si>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</si>
  <si>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</si>
  <si>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</si>
  <si>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</si>
  <si>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</si>
  <si>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</si>
  <si>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</si>
  <si>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</si>
  <si>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</si>
  <si>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</si>
  <si>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</si>
  <si>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</si>
  <si>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</si>
  <si>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</si>
  <si>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</si>
  <si>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</si>
  <si>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</si>
  <si>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</si>
  <si>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</si>
  <si>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</si>
  <si>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</si>
  <si>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</si>
  <si>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</si>
  <si>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</si>
  <si>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</si>
  <si>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</si>
  <si>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</si>
  <si>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</si>
  <si>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</si>
  <si>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</si>
  <si>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</si>
  <si>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</si>
  <si>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</si>
  <si>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</si>
  <si>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</si>
  <si>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</si>
  <si>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</si>
  <si>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</si>
  <si>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</si>
  <si>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</si>
  <si>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</si>
  <si>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</si>
  <si>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</si>
  <si>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</si>
  <si>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</si>
  <si>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</si>
  <si>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</si>
  <si>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</si>
  <si>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</si>
  <si>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</si>
  <si>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</si>
  <si>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</si>
  <si>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</si>
  <si>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</si>
  <si>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</si>
  <si>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</si>
  <si>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</si>
  <si>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</si>
  <si>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</si>
  <si>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</si>
  <si>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</si>
  <si>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</si>
  <si>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</si>
  <si>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</si>
  <si>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</si>
  <si>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</si>
  <si>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</si>
  <si>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</si>
  <si>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</si>
  <si>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</si>
  <si>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</si>
  <si>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</si>
  <si>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</si>
  <si>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</si>
  <si>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</si>
  <si>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</si>
  <si>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</si>
  <si>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</si>
  <si>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</si>
  <si>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</si>
  <si>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</si>
  <si>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</si>
  <si>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</si>
  <si>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</si>
  <si>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</si>
  <si>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</si>
  <si>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</si>
  <si>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</si>
  <si>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</si>
  <si>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</si>
  <si>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</si>
  <si>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</si>
  <si>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</si>
  <si>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</si>
  <si>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</si>
  <si>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</si>
  <si>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</si>
  <si>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</si>
  <si>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</si>
  <si>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</si>
  <si>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</si>
  <si>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</si>
  <si>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</si>
  <si>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</si>
  <si>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</si>
  <si>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</si>
  <si>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</si>
  <si>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</si>
  <si>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</si>
  <si>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</si>
  <si>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</si>
  <si>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</si>
  <si>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</si>
  <si>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</si>
  <si>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</si>
  <si>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</si>
  <si>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</si>
  <si>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</si>
  <si>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</si>
  <si>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</si>
  <si>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</si>
  <si>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</si>
  <si>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</si>
  <si>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</si>
  <si>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</si>
  <si>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</si>
  <si>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</si>
  <si>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</si>
  <si>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</si>
  <si>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</si>
  <si>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</si>
  <si>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</si>
  <si>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</si>
  <si>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</si>
  <si>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</si>
  <si>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</si>
  <si>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</si>
  <si>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</si>
  <si>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</si>
  <si>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</si>
  <si>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</si>
  <si>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</si>
  <si>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</si>
  <si>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</si>
  <si>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</si>
  <si>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</si>
  <si>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</si>
  <si>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</si>
  <si>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</si>
  <si>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</si>
  <si>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</si>
  <si>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</si>
  <si>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</si>
  <si>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</si>
  <si>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</si>
  <si>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</si>
  <si>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</si>
  <si>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</si>
  <si>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</si>
  <si>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</si>
  <si>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</si>
  <si>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</si>
  <si>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</si>
  <si>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</si>
  <si>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</si>
  <si>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</si>
  <si>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</si>
  <si>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</si>
  <si>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</si>
  <si>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</si>
  <si>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</si>
  <si>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</si>
  <si>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</si>
  <si>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</si>
  <si>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</si>
  <si>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</si>
  <si>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</si>
  <si>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</si>
  <si>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</si>
  <si>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</si>
  <si>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</si>
  <si>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</si>
  <si>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</si>
  <si>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</si>
  <si>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</si>
  <si>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</si>
  <si>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</si>
  <si>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</si>
  <si>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</si>
  <si>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</si>
  <si>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</si>
  <si>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</si>
  <si>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</si>
  <si>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</si>
  <si>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</si>
  <si>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</si>
  <si>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</si>
  <si>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</si>
  <si>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</si>
  <si>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</si>
  <si>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</si>
  <si>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</si>
  <si>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</si>
  <si>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</si>
  <si>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</si>
  <si>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</si>
  <si>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</si>
  <si>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</si>
  <si>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</si>
  <si>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</si>
  <si>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</si>
  <si>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</si>
  <si>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</si>
  <si>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</si>
  <si>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</si>
  <si>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</si>
  <si>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</si>
  <si>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</si>
  <si>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</si>
  <si>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</si>
  <si>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</si>
  <si>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</si>
  <si>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</si>
  <si>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</si>
  <si>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</si>
  <si>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</si>
  <si>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</si>
  <si>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</si>
  <si>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</si>
  <si>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</si>
  <si>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</si>
  <si>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</si>
  <si>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</si>
  <si>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</si>
  <si>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</si>
  <si>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</si>
  <si>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</si>
  <si>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</si>
  <si>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</si>
  <si>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</si>
  <si>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</si>
  <si>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</si>
  <si>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</si>
  <si>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</si>
  <si>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</si>
  <si>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</si>
  <si>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</si>
  <si>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</si>
  <si>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</si>
  <si>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</si>
  <si>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</si>
  <si>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</si>
  <si>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</si>
  <si>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</si>
  <si>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</si>
  <si>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</si>
  <si>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</si>
  <si>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</si>
  <si>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</si>
  <si>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</si>
  <si>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</si>
  <si>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</si>
  <si>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</si>
  <si>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</si>
  <si>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</si>
  <si>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</si>
  <si>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</si>
  <si>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</si>
  <si>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</si>
  <si>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</si>
  <si>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</si>
  <si>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</si>
  <si>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</si>
  <si>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</si>
  <si>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</si>
  <si>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</si>
  <si>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</si>
  <si>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</si>
  <si>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</si>
  <si>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</si>
  <si>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</si>
  <si>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</si>
  <si>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</si>
  <si>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</si>
  <si>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</si>
  <si>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</si>
  <si>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</si>
  <si>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</si>
  <si>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</si>
  <si>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</si>
  <si>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</si>
  <si>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</si>
  <si>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</si>
  <si>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</si>
  <si>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</si>
  <si>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</si>
  <si>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</si>
  <si>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</si>
  <si>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</si>
  <si>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</si>
  <si>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</si>
  <si>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</si>
  <si>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</si>
  <si>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</si>
  <si>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</si>
  <si>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</si>
  <si>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</si>
  <si>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</si>
  <si>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</si>
  <si>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</si>
  <si>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</si>
  <si>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</si>
  <si>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</si>
  <si>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</si>
  <si>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</si>
  <si>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</si>
  <si>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</si>
  <si>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</si>
  <si>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</si>
  <si>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</si>
  <si>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</si>
  <si>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</si>
  <si>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</si>
  <si>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</si>
  <si>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</si>
  <si>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</si>
  <si>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</si>
  <si>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</si>
  <si>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</si>
  <si>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</si>
  <si>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</si>
  <si>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</si>
  <si>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</si>
  <si>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</si>
  <si>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</si>
  <si>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</si>
  <si>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</si>
  <si>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</si>
  <si>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</si>
  <si>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</si>
  <si>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</si>
  <si>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</si>
  <si>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</si>
  <si>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</si>
  <si>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</si>
  <si>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</si>
  <si>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</si>
  <si>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</si>
  <si>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</si>
  <si>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</si>
  <si>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</si>
  <si>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</si>
  <si>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</si>
  <si>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</si>
  <si>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</si>
  <si>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</si>
  <si>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</si>
  <si>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</si>
  <si>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</si>
  <si>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</si>
  <si>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</si>
  <si>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</si>
  <si>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</si>
  <si>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</si>
  <si>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</si>
  <si>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</si>
  <si>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</si>
  <si>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</si>
  <si>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</si>
  <si>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</si>
  <si>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</si>
  <si>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</si>
  <si>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</si>
  <si>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</si>
  <si>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</si>
  <si>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</si>
  <si>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</si>
  <si>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</si>
  <si>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</si>
  <si>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</si>
  <si>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</si>
  <si>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</si>
  <si>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</si>
  <si>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</si>
  <si>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</si>
  <si>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</si>
  <si>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</si>
  <si>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</si>
  <si>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</si>
  <si>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</si>
  <si>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</si>
  <si>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</si>
  <si>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</si>
  <si>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</si>
  <si>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</si>
  <si>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</si>
  <si>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</si>
  <si>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</si>
  <si>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</si>
  <si>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</si>
  <si>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</si>
  <si>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</si>
  <si>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</si>
  <si>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</si>
  <si>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</si>
  <si>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</si>
  <si>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</si>
  <si>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</si>
  <si>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</si>
  <si>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</si>
  <si>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</si>
  <si>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</si>
  <si>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</si>
  <si>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</si>
  <si>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</si>
  <si>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</si>
  <si>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</si>
  <si>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</si>
  <si>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</si>
  <si>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</si>
  <si>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</si>
  <si>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</si>
  <si>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</si>
  <si>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</si>
  <si>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</si>
  <si>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</si>
  <si>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</si>
  <si>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</si>
  <si>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</si>
  <si>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</si>
  <si>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</si>
  <si>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</si>
  <si>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</si>
  <si>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</si>
  <si>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</si>
  <si>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</si>
  <si>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</si>
  <si>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</si>
  <si>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</si>
  <si>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</si>
  <si>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</si>
  <si>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</si>
  <si>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</si>
  <si>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</si>
  <si>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</si>
  <si>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</si>
  <si>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</si>
  <si>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</si>
  <si>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</si>
  <si>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</si>
  <si>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</si>
  <si>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</si>
  <si>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</si>
  <si>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</si>
  <si>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</si>
  <si>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</si>
  <si>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</si>
  <si>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</si>
  <si>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</si>
  <si>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</si>
  <si>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</si>
  <si>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</si>
  <si>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</si>
  <si>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</si>
  <si>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</si>
  <si>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</si>
  <si>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</si>
  <si>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</si>
  <si>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</si>
  <si>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</si>
  <si>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</si>
  <si>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</si>
  <si>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</si>
  <si>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</si>
  <si>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</si>
  <si>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</si>
  <si>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</si>
  <si>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</si>
  <si>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</si>
  <si>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</si>
  <si>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</si>
  <si>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</si>
  <si>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</si>
  <si>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</si>
  <si>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</si>
  <si>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</si>
  <si>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</si>
  <si>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</si>
  <si>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</si>
  <si>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</si>
  <si>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</si>
  <si>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</si>
  <si>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</si>
  <si>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</si>
  <si>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</si>
  <si>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</si>
  <si>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</si>
  <si>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</si>
  <si>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</si>
  <si>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</si>
  <si>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</si>
  <si>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</si>
  <si>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</si>
  <si>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</si>
  <si>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</si>
  <si>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</si>
  <si>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</si>
  <si>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</si>
  <si>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</si>
  <si>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</si>
  <si>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</si>
  <si>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</si>
  <si>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</si>
  <si>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</si>
  <si>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</si>
  <si>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</si>
  <si>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</si>
  <si>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</si>
  <si>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</si>
  <si>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</si>
  <si>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</si>
  <si>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</si>
  <si>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</si>
  <si>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</si>
  <si>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</si>
  <si>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</si>
  <si>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</si>
  <si>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</si>
  <si>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</si>
  <si>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</si>
  <si>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</si>
  <si>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</si>
  <si>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</si>
  <si>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</si>
  <si>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</si>
  <si>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</si>
  <si>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</si>
  <si>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</si>
  <si>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</si>
  <si>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</si>
  <si>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</si>
  <si>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</si>
  <si>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</si>
  <si>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</si>
  <si>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</si>
  <si>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</si>
  <si>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</si>
  <si>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</si>
  <si>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</si>
  <si>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</si>
  <si>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</si>
  <si>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</si>
  <si>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</si>
  <si>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</si>
  <si>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</si>
  <si>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</si>
  <si>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</si>
  <si>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</si>
  <si>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</si>
  <si>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</si>
  <si>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</si>
  <si>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</si>
  <si>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</si>
  <si>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</si>
  <si>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</si>
  <si>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</si>
  <si>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</si>
  <si>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</si>
  <si>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</si>
  <si>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</si>
  <si>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</si>
  <si>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</si>
  <si>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</si>
  <si>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</si>
  <si>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</si>
  <si>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</si>
  <si>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</si>
  <si>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</si>
  <si>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</si>
  <si>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</si>
  <si>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</si>
  <si>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</si>
  <si>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</si>
  <si>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</si>
  <si>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</si>
  <si>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</si>
  <si>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</si>
  <si>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</si>
  <si>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</si>
  <si>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</si>
  <si>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</si>
  <si>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</si>
  <si>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</si>
  <si>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</si>
  <si>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</si>
  <si>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</si>
  <si>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</si>
  <si>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</si>
  <si>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</si>
  <si>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</si>
  <si>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</si>
  <si>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</si>
  <si>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</si>
  <si>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</si>
  <si>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</si>
  <si>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</si>
  <si>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</si>
  <si>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</si>
  <si>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</si>
  <si>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</si>
  <si>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</si>
  <si>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</si>
  <si>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</si>
  <si>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</si>
  <si>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</si>
  <si>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</si>
  <si>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</si>
  <si>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</si>
  <si>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</si>
  <si>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</si>
  <si>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</si>
  <si>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</si>
  <si>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</si>
  <si>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</si>
  <si>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</si>
  <si>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</si>
  <si>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</si>
  <si>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</si>
  <si>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</si>
  <si>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</si>
  <si>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</si>
  <si>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</si>
  <si>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</si>
  <si>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</si>
  <si>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</si>
  <si>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</si>
  <si>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</si>
  <si>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</si>
  <si>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</si>
  <si>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</si>
  <si>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</si>
  <si>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</si>
  <si>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</si>
  <si>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</si>
  <si>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</si>
  <si>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</si>
  <si>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</si>
  <si>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</si>
  <si>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</si>
  <si>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</si>
  <si>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</si>
  <si>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</si>
  <si>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</si>
  <si>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</si>
  <si>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</si>
  <si>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</si>
  <si>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</si>
  <si>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</si>
  <si>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</si>
  <si>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</si>
  <si>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</si>
  <si>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</si>
  <si>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</si>
  <si>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</si>
  <si>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</si>
  <si>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</si>
  <si>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</si>
  <si>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</si>
  <si>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</si>
  <si>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</si>
  <si>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</si>
  <si>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</si>
  <si>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</si>
  <si>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</si>
  <si>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</si>
  <si>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</si>
  <si>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</si>
  <si>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</si>
  <si>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</si>
  <si>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</si>
  <si>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</si>
  <si>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</si>
  <si>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</si>
  <si>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</si>
  <si>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</si>
  <si>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</si>
  <si>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</si>
  <si>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</si>
  <si>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</si>
  <si>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</si>
  <si>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</si>
  <si>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</si>
  <si>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</si>
  <si>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</si>
  <si>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</si>
  <si>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</si>
  <si>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</si>
  <si>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</si>
  <si>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</si>
  <si>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</si>
  <si>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</si>
  <si>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</si>
  <si>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</si>
  <si>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</si>
  <si>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</si>
  <si>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</si>
  <si>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</si>
  <si>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</si>
  <si>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</si>
  <si>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</si>
  <si>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</si>
  <si>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</si>
  <si>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</si>
  <si>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</si>
  <si>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</si>
  <si>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</si>
  <si>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</si>
  <si>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</si>
  <si>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</si>
  <si>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</si>
  <si>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</si>
  <si>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</si>
  <si>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</si>
  <si>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</si>
  <si>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</si>
  <si>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</si>
  <si>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</si>
  <si>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</si>
  <si>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</si>
  <si>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</si>
  <si>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</si>
  <si>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</si>
  <si>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</si>
  <si>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</si>
  <si>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</si>
  <si>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</si>
  <si>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</si>
  <si>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</si>
  <si>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</si>
  <si>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</si>
  <si>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</si>
  <si>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</si>
  <si>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</si>
  <si>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</si>
  <si>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</si>
  <si>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</si>
  <si>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</si>
  <si>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</si>
  <si>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</si>
  <si>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</si>
  <si>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</si>
  <si>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</si>
  <si>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</si>
  <si>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</si>
  <si>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</si>
  <si>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</si>
  <si>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</si>
  <si>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</si>
  <si>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</si>
  <si>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</si>
  <si>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</si>
  <si>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</si>
  <si>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</si>
  <si>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</si>
  <si>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</si>
  <si>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</si>
  <si>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</si>
  <si>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</si>
  <si>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</si>
  <si>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</si>
  <si>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</si>
  <si>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</si>
  <si>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</si>
  <si>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</si>
  <si>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</si>
  <si>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</si>
  <si>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</si>
  <si>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</si>
  <si>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</si>
  <si>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</si>
  <si>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</si>
  <si>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</si>
  <si>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</si>
  <si>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</si>
  <si>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</si>
  <si>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</si>
  <si>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</si>
  <si>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</si>
  <si>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</si>
  <si>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</si>
  <si>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</si>
  <si>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</si>
  <si>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</si>
  <si>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</si>
  <si>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</si>
  <si>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</si>
  <si>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</si>
  <si>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</si>
  <si>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</si>
  <si>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</si>
  <si>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</si>
  <si>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</si>
  <si>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</si>
  <si>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</si>
  <si>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</si>
  <si>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</si>
  <si>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</si>
  <si>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</si>
  <si>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</si>
  <si>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</si>
  <si>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</si>
  <si>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</si>
  <si>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</si>
  <si>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</si>
  <si>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</si>
  <si>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</si>
  <si>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</si>
  <si>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</si>
  <si>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</si>
  <si>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</si>
  <si>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</si>
  <si>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</si>
  <si>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</si>
  <si>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</si>
  <si>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</si>
  <si>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</si>
  <si>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</si>
  <si>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</si>
  <si>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</si>
  <si>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</si>
  <si>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</si>
  <si>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</si>
  <si>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</si>
  <si>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</si>
  <si>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</si>
  <si>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</si>
  <si>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</si>
  <si>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</si>
  <si>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</si>
  <si>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</si>
  <si>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</si>
  <si>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</si>
  <si>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</si>
  <si>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</si>
  <si>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</si>
  <si>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</si>
  <si>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</si>
  <si>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</si>
  <si>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</si>
  <si>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</si>
  <si>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</si>
  <si>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</si>
  <si>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</si>
  <si>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</si>
  <si>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</si>
  <si>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</si>
  <si>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</si>
  <si>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</si>
  <si>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</si>
  <si>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</si>
  <si>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</si>
  <si>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</si>
  <si>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</si>
  <si>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</si>
  <si>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</si>
  <si>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</si>
  <si>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</si>
  <si>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</si>
  <si>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</si>
  <si>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</si>
  <si>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</si>
  <si>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</si>
  <si>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</si>
  <si>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</si>
  <si>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</si>
  <si>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</si>
  <si>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</si>
  <si>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</si>
  <si>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</si>
  <si>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</si>
  <si>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</si>
  <si>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</si>
  <si>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</si>
  <si>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</si>
  <si>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</si>
  <si>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</si>
  <si>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</si>
  <si>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</si>
  <si>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</si>
  <si>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</si>
  <si>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</si>
  <si>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</si>
  <si>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</si>
  <si>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</si>
  <si>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</si>
  <si>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</si>
  <si>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</si>
  <si>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</si>
  <si>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</si>
  <si>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</si>
  <si>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</si>
  <si>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</si>
  <si>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</si>
  <si>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</si>
  <si>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</si>
  <si>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</si>
  <si>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</si>
  <si>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</si>
  <si>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</si>
  <si>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</si>
  <si>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</si>
  <si>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</si>
  <si>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</si>
  <si>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</si>
  <si>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</si>
  <si>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</si>
  <si>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</si>
  <si>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</si>
  <si>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</si>
  <si>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</si>
  <si>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</si>
  <si>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</si>
  <si>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</si>
  <si>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</si>
  <si>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</si>
  <si>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</si>
  <si>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</si>
  <si>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</si>
  <si>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</si>
  <si>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</si>
  <si>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</si>
  <si>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</si>
  <si>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</si>
  <si>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</si>
  <si>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</si>
  <si>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</si>
  <si>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</si>
  <si>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</si>
  <si>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</si>
  <si>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</si>
  <si>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</si>
  <si>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</si>
  <si>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</si>
  <si>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</si>
  <si>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</si>
  <si>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</si>
  <si>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</si>
  <si>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</si>
  <si>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</si>
  <si>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</si>
  <si>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</si>
  <si>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</si>
  <si>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</si>
  <si>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</si>
  <si>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</si>
  <si>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</si>
  <si>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</si>
  <si>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</si>
  <si>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</si>
  <si>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</si>
  <si>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</si>
  <si>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</si>
  <si>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</si>
  <si>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</si>
  <si>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</si>
  <si>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</si>
  <si>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</si>
  <si>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</si>
  <si>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</si>
  <si>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</si>
  <si>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</si>
  <si>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</si>
  <si>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</si>
  <si>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</si>
  <si>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</si>
  <si>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</si>
  <si>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</si>
  <si>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</si>
  <si>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</si>
  <si>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</si>
  <si>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</si>
  <si>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</si>
  <si>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</si>
  <si>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</si>
  <si>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</si>
  <si>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</si>
  <si>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</si>
  <si>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</si>
  <si>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</si>
  <si>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</si>
  <si>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</si>
  <si>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</si>
  <si>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</si>
  <si>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</si>
  <si>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</si>
  <si>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</si>
  <si>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</si>
  <si>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</si>
  <si>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</si>
  <si>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</si>
  <si>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</si>
  <si>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</si>
  <si>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</si>
  <si>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</si>
  <si>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</si>
  <si>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</si>
  <si>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</si>
  <si>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</si>
  <si>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</si>
  <si>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</si>
  <si>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</si>
  <si>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</si>
  <si>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</si>
  <si>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</si>
  <si>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</si>
  <si>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</si>
  <si>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</si>
  <si>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</si>
  <si>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</si>
  <si>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</si>
  <si>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</si>
  <si>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</si>
  <si>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</si>
  <si>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</si>
  <si>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</si>
  <si>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</si>
  <si>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</si>
  <si>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</si>
  <si>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</si>
  <si>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</si>
  <si>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</si>
  <si>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</si>
  <si>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</si>
  <si>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</si>
  <si>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</si>
  <si>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</si>
  <si>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</si>
  <si>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</si>
  <si>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</si>
  <si>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</si>
  <si>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</si>
  <si>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</si>
  <si>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</si>
  <si>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</si>
  <si>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</si>
  <si>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</si>
  <si>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</si>
  <si>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</si>
  <si>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</si>
  <si>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</si>
  <si>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</si>
  <si>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</si>
  <si>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</si>
  <si>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</si>
  <si>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</si>
  <si>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</si>
  <si>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</si>
  <si>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</si>
  <si>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</si>
  <si>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</si>
  <si>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</si>
  <si>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</si>
  <si>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</si>
  <si>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</si>
  <si>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</si>
  <si>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</si>
  <si>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</si>
  <si>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</si>
  <si>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</si>
  <si>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</si>
  <si>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</si>
  <si>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</si>
  <si>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</si>
  <si>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</si>
  <si>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</si>
  <si>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</si>
  <si>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</si>
  <si>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</si>
  <si>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</si>
  <si>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</si>
  <si>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</si>
  <si>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</si>
  <si>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</si>
  <si>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</si>
  <si>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</si>
  <si>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</si>
  <si>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</si>
  <si>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</si>
  <si>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</si>
  <si>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</si>
  <si>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</si>
  <si>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</si>
  <si>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</si>
  <si>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</si>
  <si>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</si>
  <si>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</si>
  <si>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</si>
  <si>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</si>
  <si>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</si>
  <si>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</si>
  <si>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</si>
  <si>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</si>
  <si>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</si>
  <si>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</si>
  <si>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</si>
  <si>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</si>
  <si>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</si>
  <si>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</si>
  <si>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</si>
  <si>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</si>
  <si>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</si>
  <si>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</si>
  <si>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</si>
  <si>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</si>
  <si>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</si>
  <si>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</si>
  <si>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</si>
  <si>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</si>
  <si>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</si>
  <si>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</si>
  <si>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</si>
  <si>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</si>
  <si>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</si>
  <si>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</si>
  <si>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</si>
  <si>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</si>
  <si>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</si>
  <si>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</si>
  <si>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</si>
  <si>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</si>
  <si>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</si>
  <si>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</si>
  <si>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</si>
  <si>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</si>
  <si>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</si>
  <si>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</si>
  <si>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</si>
  <si>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</si>
  <si>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</si>
  <si>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</si>
  <si>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</si>
  <si>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</si>
  <si>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</si>
  <si>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</si>
  <si>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</si>
  <si>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</si>
  <si>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</si>
  <si>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</si>
  <si>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</si>
  <si>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</si>
  <si>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</si>
  <si>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</si>
  <si>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</si>
  <si>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</si>
  <si>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</si>
  <si>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</si>
  <si>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</si>
  <si>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</si>
  <si>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</si>
  <si>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</si>
  <si>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</si>
  <si>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</si>
  <si>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</si>
  <si>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</si>
  <si>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</si>
  <si>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</si>
  <si>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</si>
  <si>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</si>
  <si>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</si>
  <si>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</si>
  <si>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</si>
  <si>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</si>
  <si>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</si>
  <si>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</si>
  <si>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</si>
  <si>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</si>
  <si>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</si>
  <si>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</si>
  <si>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</si>
  <si>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</si>
  <si>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</si>
  <si>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</si>
  <si>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</si>
  <si>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</si>
  <si>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</si>
  <si>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</si>
  <si>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</si>
  <si>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</si>
  <si>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</si>
  <si>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</si>
  <si>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</si>
  <si>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</si>
  <si>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</si>
  <si>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</si>
  <si>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</si>
  <si>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</si>
  <si>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</si>
  <si>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</si>
  <si>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</si>
  <si>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</si>
  <si>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</si>
  <si>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</si>
  <si>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</si>
  <si>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</si>
  <si>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</si>
  <si>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</si>
  <si>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</si>
  <si>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</si>
  <si>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</si>
  <si>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</si>
  <si>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</si>
  <si>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</si>
  <si>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</si>
  <si>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</si>
  <si>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</si>
  <si>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</si>
  <si>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</si>
  <si>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</si>
  <si>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</si>
  <si>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</si>
  <si>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</si>
  <si>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</si>
  <si>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</si>
  <si>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</si>
  <si>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</si>
  <si>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</si>
  <si>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</si>
  <si>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</si>
  <si>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</si>
  <si>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</si>
  <si>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</si>
  <si>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</si>
  <si>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</si>
  <si>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</si>
  <si>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</si>
  <si>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</si>
  <si>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</si>
  <si>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</si>
  <si>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</si>
  <si>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</si>
  <si>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</si>
  <si>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</si>
  <si>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</si>
  <si>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</si>
  <si>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</si>
  <si>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</si>
  <si>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</si>
  <si>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</si>
  <si>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</si>
  <si>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</si>
  <si>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</si>
  <si>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</si>
  <si>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</si>
  <si>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</si>
  <si>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</si>
  <si>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</si>
  <si>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</si>
  <si>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</si>
  <si>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</si>
  <si>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</si>
  <si>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</si>
  <si>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</si>
  <si>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</si>
  <si>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</si>
  <si>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</si>
  <si>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</si>
  <si>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</si>
  <si>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</si>
  <si>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</si>
  <si>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</si>
  <si>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</si>
  <si>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</si>
  <si>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</si>
  <si>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</si>
  <si>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</si>
  <si>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</si>
  <si>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</si>
  <si>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</si>
  <si>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</si>
  <si>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</si>
  <si>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</si>
  <si>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</si>
  <si>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</si>
  <si>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</si>
  <si>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</si>
  <si>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</si>
  <si>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</si>
  <si>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</si>
  <si>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</si>
  <si>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</si>
  <si>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</si>
  <si>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</si>
  <si>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</si>
  <si>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</si>
  <si>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</si>
  <si>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</si>
  <si>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</si>
  <si>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</si>
  <si>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</si>
  <si>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</si>
  <si>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</si>
  <si>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</si>
  <si>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</si>
  <si>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</si>
  <si>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</si>
  <si>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</si>
  <si>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</si>
  <si>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</si>
  <si>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</si>
  <si>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</si>
  <si>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</si>
  <si>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</si>
  <si>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</si>
  <si>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</si>
  <si>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</si>
  <si>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</si>
  <si>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</si>
  <si>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</si>
  <si>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</si>
  <si>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</si>
  <si>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</si>
  <si>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</si>
  <si>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</si>
  <si>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</si>
  <si>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</si>
  <si>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</si>
  <si>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</si>
  <si>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</si>
  <si>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</si>
  <si>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</si>
  <si>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</si>
  <si>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</si>
  <si>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</si>
  <si>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</si>
  <si>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</si>
  <si>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</si>
  <si>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</si>
  <si>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</si>
  <si>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</si>
  <si>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</si>
  <si>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</si>
  <si>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</si>
  <si>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</si>
  <si>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</si>
  <si>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</si>
  <si>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</si>
  <si>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</si>
  <si>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</si>
  <si>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</si>
  <si>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</si>
  <si>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</si>
  <si>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</si>
  <si>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</si>
  <si>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</si>
  <si>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</si>
  <si>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</si>
  <si>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</si>
  <si>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</si>
  <si>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</si>
  <si>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</si>
  <si>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</si>
  <si>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</si>
  <si>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</si>
  <si>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</si>
  <si>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</si>
  <si>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</si>
  <si>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</si>
  <si>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</si>
  <si>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</si>
  <si>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</si>
  <si>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</si>
  <si>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</si>
  <si>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</si>
  <si>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</si>
  <si>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</si>
  <si>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</si>
  <si>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</si>
  <si>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</si>
  <si>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</si>
  <si>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</si>
  <si>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</si>
  <si>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</si>
  <si>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</si>
  <si>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</si>
  <si>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</si>
  <si>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</si>
  <si>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</si>
  <si>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</si>
  <si>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</si>
  <si>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</si>
  <si>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</si>
  <si>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</si>
  <si>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</si>
  <si>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</si>
  <si>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</si>
  <si>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</si>
  <si>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</si>
  <si>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</si>
  <si>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</si>
  <si>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</si>
  <si>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</si>
  <si>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</si>
  <si>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</si>
  <si>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</si>
  <si>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</si>
  <si>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</si>
  <si>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</si>
  <si>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</si>
  <si>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</si>
  <si>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</si>
  <si>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</si>
  <si>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</si>
  <si>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</si>
  <si>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</si>
  <si>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</si>
  <si>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</si>
  <si>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</si>
  <si>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</si>
  <si>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</si>
  <si>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</si>
  <si>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</si>
  <si>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</si>
  <si>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</si>
  <si>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</si>
  <si>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</si>
  <si>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</si>
  <si>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</si>
  <si>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</si>
  <si>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</si>
  <si>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</si>
  <si>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</si>
  <si>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</si>
  <si>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</si>
  <si>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</si>
  <si>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</si>
  <si>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</si>
  <si>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</si>
  <si>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</si>
  <si>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</si>
  <si>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</si>
  <si>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</si>
  <si>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</si>
  <si>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</si>
  <si>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</si>
  <si>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</si>
  <si>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</si>
  <si>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</si>
  <si>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</si>
  <si>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</si>
  <si>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</si>
  <si>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</si>
  <si>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</si>
  <si>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</si>
  <si>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</si>
  <si>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</si>
  <si>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</si>
  <si>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</si>
  <si>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</si>
  <si>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</si>
  <si>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</si>
  <si>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</si>
  <si>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</si>
  <si>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</si>
  <si>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</si>
  <si>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</si>
  <si>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</si>
  <si>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</si>
  <si>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</si>
  <si>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</si>
  <si>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</si>
  <si>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</si>
  <si>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</si>
  <si>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</si>
  <si>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</si>
  <si>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</si>
  <si>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</si>
  <si>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</si>
  <si>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</si>
  <si>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</si>
  <si>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</si>
  <si>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</si>
  <si>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</si>
  <si>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</si>
  <si>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</si>
  <si>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</si>
  <si>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</si>
  <si>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</si>
  <si>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</si>
  <si>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</si>
  <si>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</si>
  <si>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</si>
  <si>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</si>
  <si>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</si>
  <si>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</si>
  <si>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</si>
  <si>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</si>
  <si>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</si>
  <si>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</si>
  <si>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</si>
  <si>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</si>
  <si>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</si>
  <si>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</si>
  <si>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</si>
  <si>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</si>
  <si>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</si>
  <si>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</si>
  <si>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</si>
  <si>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</si>
  <si>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</si>
  <si>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</si>
  <si>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</si>
  <si>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</si>
  <si>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</si>
  <si>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</si>
  <si>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</si>
  <si>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</si>
  <si>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</si>
  <si>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</si>
  <si>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</si>
  <si>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</si>
  <si>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</si>
  <si>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</si>
  <si>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</si>
  <si>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</si>
  <si>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</si>
  <si>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</si>
  <si>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</si>
  <si>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</si>
  <si>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</si>
  <si>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</si>
  <si>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</si>
  <si>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</si>
  <si>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</si>
  <si>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</si>
  <si>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</si>
  <si>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</si>
  <si>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</si>
  <si>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</si>
  <si>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</si>
  <si>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</si>
  <si>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</si>
  <si>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</si>
  <si>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</si>
  <si>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</si>
  <si>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</si>
  <si>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</si>
  <si>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</si>
  <si>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</si>
  <si>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</si>
  <si>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</si>
  <si>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</si>
  <si>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</si>
  <si>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</si>
  <si>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</si>
  <si>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</si>
  <si>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</si>
  <si>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</si>
  <si>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</si>
  <si>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</si>
  <si>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</si>
  <si>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</si>
  <si>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</si>
  <si>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</si>
  <si>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</si>
  <si>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</si>
  <si>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</si>
  <si>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</si>
  <si>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</si>
  <si>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</si>
  <si>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</si>
  <si>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</si>
  <si>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</si>
  <si>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</si>
  <si>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</si>
  <si>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</si>
  <si>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</si>
  <si>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</si>
  <si>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</si>
  <si>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</si>
  <si>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</si>
  <si>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</si>
  <si>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</si>
  <si>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</si>
  <si>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</si>
  <si>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</si>
  <si>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</si>
  <si>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</si>
  <si>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</si>
  <si>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</si>
  <si>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</si>
  <si>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</si>
  <si>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</si>
  <si>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</si>
  <si>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</si>
  <si>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</si>
  <si>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</si>
  <si>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</si>
  <si>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</si>
  <si>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</si>
  <si>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</si>
  <si>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</si>
  <si>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</si>
  <si>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</si>
  <si>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</si>
  <si>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</si>
  <si>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</si>
  <si>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</si>
  <si>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</si>
  <si>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</si>
  <si>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</si>
  <si>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</si>
  <si>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</si>
  <si>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</si>
  <si>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</si>
  <si>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</si>
  <si>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</si>
  <si>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</si>
  <si>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</si>
  <si>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</si>
  <si>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</si>
  <si>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</si>
  <si>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</si>
  <si>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</si>
  <si>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</si>
  <si>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</si>
  <si>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</si>
  <si>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</si>
  <si>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</si>
  <si>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</si>
  <si>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</si>
  <si>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</si>
  <si>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</si>
  <si>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</si>
  <si>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</si>
  <si>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</si>
  <si>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</si>
  <si>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</si>
  <si>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</si>
  <si>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</si>
  <si>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</si>
  <si>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</si>
  <si>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</si>
  <si>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</si>
  <si>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</si>
  <si>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</si>
  <si>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</si>
  <si>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</si>
  <si>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</si>
  <si>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</si>
  <si>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</si>
  <si>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</si>
  <si>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</si>
  <si>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</si>
  <si>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</si>
  <si>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</si>
  <si>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</si>
  <si>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</si>
  <si>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</si>
  <si>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</si>
  <si>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</si>
  <si>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</si>
  <si>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</si>
  <si>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</si>
  <si>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</si>
  <si>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</si>
  <si>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</si>
  <si>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</si>
  <si>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</si>
  <si>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</si>
  <si>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</si>
  <si>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</si>
  <si>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</si>
  <si>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</si>
  <si>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</si>
  <si>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</si>
  <si>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</si>
  <si>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</si>
  <si>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</si>
  <si>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</si>
  <si>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</si>
  <si>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</si>
  <si>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</si>
  <si>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</si>
  <si>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</si>
  <si>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</si>
  <si>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</si>
  <si>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</si>
  <si>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</si>
  <si>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</si>
  <si>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</si>
  <si>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</si>
  <si>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</si>
  <si>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</si>
  <si>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</si>
  <si>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</si>
  <si>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</si>
  <si>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</si>
  <si>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</si>
  <si>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</si>
  <si>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</si>
  <si>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</si>
  <si>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</si>
  <si>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</si>
  <si>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</si>
  <si>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</si>
  <si>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</si>
  <si>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</si>
  <si>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</si>
  <si>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</si>
  <si>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</si>
  <si>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</si>
  <si>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</si>
  <si>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</si>
  <si>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</si>
  <si>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</si>
  <si>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</si>
  <si>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</si>
  <si>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</si>
  <si>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</si>
  <si>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</si>
  <si>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</si>
  <si>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</si>
  <si>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</si>
  <si>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</si>
  <si>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</si>
  <si>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</si>
  <si>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</si>
  <si>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</si>
  <si>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</si>
  <si>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</si>
  <si>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</si>
  <si>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</si>
  <si>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</si>
  <si>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</si>
  <si>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</si>
  <si>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</si>
  <si>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</si>
  <si>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</si>
  <si>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</si>
  <si>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</si>
  <si>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</si>
  <si>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</si>
  <si>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</si>
  <si>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</si>
  <si>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</si>
  <si>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</si>
  <si>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</si>
  <si>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</si>
  <si>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</si>
  <si>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</si>
  <si>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</si>
  <si>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</si>
  <si>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</si>
  <si>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</si>
  <si>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</si>
  <si>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</si>
  <si>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</si>
  <si>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</si>
  <si>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</si>
  <si>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</si>
  <si>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</si>
  <si>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</si>
  <si>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</si>
  <si>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</si>
  <si>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</si>
  <si>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</si>
  <si>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</si>
  <si>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</si>
  <si>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</si>
  <si>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</si>
  <si>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</si>
  <si>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</si>
  <si>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</si>
  <si>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</si>
  <si>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</si>
  <si>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</si>
  <si>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</si>
  <si>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</si>
  <si>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</si>
  <si>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</si>
  <si>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</si>
  <si>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</si>
  <si>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</si>
  <si>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</si>
  <si>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</si>
  <si>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</si>
  <si>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</si>
  <si>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</si>
  <si>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</si>
  <si>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</si>
  <si>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</si>
  <si>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</si>
  <si>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</si>
  <si>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</si>
  <si>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</si>
  <si>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</si>
  <si>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</si>
  <si>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</si>
  <si>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</si>
  <si>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</si>
  <si>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</si>
  <si>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</si>
  <si>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</si>
  <si>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</si>
  <si>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</si>
  <si>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</si>
  <si>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</si>
  <si>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</si>
  <si>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</si>
  <si>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</si>
  <si>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</si>
  <si>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</si>
  <si>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</si>
  <si>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</si>
  <si>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</si>
  <si>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</si>
  <si>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</si>
  <si>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</si>
  <si>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</si>
  <si>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</si>
  <si>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</si>
  <si>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</si>
  <si>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</si>
  <si>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</si>
  <si>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</si>
  <si>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</si>
  <si>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</si>
  <si>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</si>
  <si>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</si>
  <si>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</si>
  <si>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</si>
  <si>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</si>
  <si>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</si>
  <si>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</si>
  <si>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</si>
  <si>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</si>
  <si>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</si>
  <si>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</si>
  <si>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</si>
  <si>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</si>
  <si>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</si>
  <si>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</si>
  <si>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</si>
  <si>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</si>
  <si>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</si>
  <si>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</si>
  <si>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</si>
  <si>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</si>
  <si>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</si>
  <si>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</si>
  <si>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</si>
  <si>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</si>
  <si>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</si>
  <si>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</si>
  <si>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</si>
  <si>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</si>
  <si>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</si>
  <si>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</si>
  <si>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</si>
  <si>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</si>
  <si>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</si>
  <si>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</si>
  <si>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</si>
  <si>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</si>
  <si>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</si>
  <si>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</si>
  <si>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</si>
  <si>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</si>
  <si>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</si>
  <si>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</si>
  <si>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</si>
  <si>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</si>
  <si>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</si>
  <si>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</si>
  <si>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</si>
  <si>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</si>
  <si>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</si>
  <si>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</si>
  <si>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</si>
  <si>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</si>
  <si>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</si>
  <si>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</si>
  <si>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</si>
  <si>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</si>
  <si>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</si>
  <si>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</si>
  <si>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</si>
  <si>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</si>
  <si>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</si>
  <si>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</si>
  <si>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</si>
  <si>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</si>
  <si>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</si>
  <si>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</si>
  <si>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</si>
  <si>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</si>
  <si>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</si>
  <si>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</si>
  <si>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</si>
  <si>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</si>
  <si>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</si>
  <si>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</si>
  <si>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</si>
  <si>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</si>
  <si>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</si>
  <si>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</si>
  <si>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</si>
  <si>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</si>
  <si>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</si>
  <si>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</si>
  <si>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</si>
  <si>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</si>
  <si>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</si>
  <si>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</si>
  <si>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</si>
  <si>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</si>
  <si>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</si>
  <si>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</si>
  <si>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</si>
  <si>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</si>
  <si>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</si>
  <si>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</si>
  <si>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</si>
  <si>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</si>
  <si>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</si>
  <si>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</si>
  <si>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</si>
  <si>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</si>
  <si>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</si>
  <si>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</si>
  <si>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</si>
  <si>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</si>
  <si>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</si>
  <si>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</si>
  <si>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</si>
  <si>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</si>
  <si>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</si>
  <si>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</si>
  <si>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</si>
  <si>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</si>
  <si>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</si>
  <si>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</si>
  <si>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</si>
  <si>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</si>
  <si>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</si>
  <si>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</si>
  <si>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</si>
  <si>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</si>
  <si>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</si>
  <si>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</si>
  <si>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</si>
  <si>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</si>
  <si>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</si>
  <si>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</si>
  <si>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</si>
  <si>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</si>
  <si>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</si>
  <si>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</si>
  <si>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</si>
  <si>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</si>
  <si>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</si>
  <si>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</si>
  <si>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</si>
  <si>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</si>
  <si>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</si>
  <si>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</si>
  <si>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</si>
  <si>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</si>
  <si>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</si>
  <si>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</si>
  <si>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</si>
  <si>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</si>
  <si>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</si>
  <si>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</si>
  <si>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</si>
  <si>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</si>
  <si>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</si>
  <si>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</si>
  <si>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</si>
  <si>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</si>
  <si>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</si>
  <si>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</si>
  <si>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</si>
  <si>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</si>
  <si>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</si>
  <si>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</si>
  <si>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</si>
  <si>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</si>
  <si>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</si>
  <si>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</si>
  <si>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</si>
  <si>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</si>
  <si>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</si>
  <si>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</si>
  <si>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</si>
  <si>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</si>
  <si>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</si>
  <si>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</si>
  <si>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</si>
  <si>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</si>
  <si>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</si>
  <si>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</si>
  <si>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</si>
  <si>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</si>
  <si>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</si>
  <si>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</si>
  <si>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</si>
  <si>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</si>
  <si>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</si>
  <si>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</si>
  <si>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</si>
  <si>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</si>
  <si>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</si>
  <si>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</si>
  <si>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</si>
  <si>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</si>
  <si>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</si>
  <si>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</si>
  <si>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</si>
  <si>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</si>
  <si>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</si>
  <si>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</si>
  <si>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</si>
  <si>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</si>
  <si>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</si>
  <si>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</si>
  <si>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</si>
  <si>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</si>
  <si>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</si>
  <si>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</si>
  <si>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</si>
  <si>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</si>
  <si>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</si>
  <si>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</si>
  <si>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</si>
  <si>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</si>
  <si>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</si>
  <si>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</si>
  <si>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</si>
  <si>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</si>
  <si>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</si>
  <si>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</si>
  <si>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</si>
  <si>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</si>
  <si>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</si>
  <si>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</si>
  <si>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</si>
  <si>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</si>
  <si>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</si>
  <si>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</si>
  <si>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</si>
  <si>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</si>
  <si>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</si>
  <si>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</si>
  <si>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</si>
  <si>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</si>
  <si>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</si>
  <si>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</si>
  <si>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</si>
  <si>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</si>
  <si>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</si>
  <si>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</si>
  <si>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</si>
  <si>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</si>
  <si>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</si>
  <si>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</si>
  <si>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</si>
  <si>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</si>
  <si>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</si>
  <si>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</si>
  <si>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</si>
  <si>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</si>
  <si>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</si>
  <si>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</si>
  <si>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</si>
  <si>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</si>
  <si>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</si>
  <si>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</si>
  <si>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</si>
  <si>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</si>
  <si>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</si>
  <si>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</si>
  <si>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</si>
  <si>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</si>
  <si>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</si>
  <si>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</si>
  <si>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</si>
  <si>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</si>
  <si>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</si>
  <si>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</si>
  <si>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</si>
  <si>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</si>
  <si>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</si>
  <si>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</si>
  <si>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</si>
  <si>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</si>
  <si>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</si>
  <si>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</si>
  <si>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</si>
  <si>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</si>
  <si>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</si>
  <si>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</si>
  <si>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</si>
  <si>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</si>
  <si>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</si>
  <si>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</si>
  <si>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</si>
  <si>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</si>
  <si>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</si>
  <si>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</si>
  <si>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</si>
  <si>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</si>
  <si>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</si>
  <si>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</si>
  <si>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</si>
  <si>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</si>
  <si>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</si>
  <si>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</si>
  <si>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</si>
  <si>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</si>
  <si>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</si>
  <si>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</si>
  <si>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</si>
  <si>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</si>
  <si>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</si>
  <si>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</si>
  <si>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</si>
  <si>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</si>
  <si>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</si>
  <si>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</si>
  <si>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</si>
  <si>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</si>
  <si>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</si>
  <si>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</si>
  <si>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</si>
  <si>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</si>
  <si>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</si>
  <si>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</si>
  <si>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</si>
  <si>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</si>
  <si>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</si>
  <si>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</si>
  <si>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</si>
  <si>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</si>
  <si>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</si>
  <si>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</si>
  <si>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</si>
  <si>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</si>
  <si>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</si>
  <si>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</si>
  <si>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</si>
  <si>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</si>
  <si>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</si>
  <si>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</si>
  <si>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</si>
  <si>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</si>
  <si>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</si>
  <si>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</si>
  <si>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</si>
  <si>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</si>
  <si>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</si>
  <si>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</si>
  <si>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</si>
  <si>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</si>
  <si>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</si>
  <si>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</si>
  <si>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</si>
  <si>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</si>
  <si>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</si>
  <si>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</si>
  <si>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</si>
  <si>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</si>
  <si>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</si>
  <si>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</si>
  <si>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</si>
  <si>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</si>
  <si>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</si>
  <si>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</si>
  <si>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</si>
  <si>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</si>
  <si>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</si>
  <si>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</si>
  <si>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</si>
  <si>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</si>
  <si>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</si>
  <si>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</si>
  <si>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</si>
  <si>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</si>
  <si>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</si>
  <si>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</si>
  <si>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</si>
  <si>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</si>
  <si>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</si>
  <si>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</si>
  <si>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</si>
  <si>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</si>
  <si>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</si>
  <si>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</si>
  <si>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</si>
  <si>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</si>
  <si>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</si>
  <si>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</si>
  <si>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</si>
  <si>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</si>
  <si>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</si>
  <si>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</si>
  <si>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</si>
  <si>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</si>
  <si>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</si>
  <si>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</si>
  <si>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</si>
  <si>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</si>
  <si>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</si>
  <si>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</si>
  <si>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</si>
  <si>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</si>
  <si>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</si>
  <si>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</si>
  <si>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</si>
  <si>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</si>
  <si>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</si>
  <si>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</si>
  <si>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</si>
  <si>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</si>
  <si>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</si>
  <si>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</si>
  <si>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</si>
  <si>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</si>
  <si>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</si>
  <si>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</si>
  <si>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</si>
  <si>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</si>
  <si>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</si>
  <si>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</si>
  <si>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</si>
  <si>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</si>
  <si>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</si>
  <si>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</si>
  <si>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</si>
  <si>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</si>
  <si>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</si>
  <si>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</si>
  <si>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</si>
  <si>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</si>
  <si>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</si>
  <si>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</si>
  <si>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</si>
  <si>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</si>
  <si>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</si>
  <si>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</si>
  <si>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</si>
  <si>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</si>
  <si>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</si>
  <si>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</si>
  <si>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</si>
  <si>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</si>
  <si>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</si>
  <si>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</si>
  <si>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</si>
  <si>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</si>
  <si>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</si>
  <si>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</si>
  <si>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</si>
  <si>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</si>
  <si>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</si>
  <si>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</si>
  <si>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</si>
  <si>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</si>
  <si>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</si>
  <si>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</si>
  <si>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</si>
  <si>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</si>
  <si>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</si>
  <si>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</si>
  <si>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</si>
  <si>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</si>
  <si>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</si>
  <si>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</si>
  <si>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</si>
  <si>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</si>
  <si>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</si>
  <si>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</si>
  <si>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</si>
  <si>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</si>
  <si>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</si>
  <si>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</si>
  <si>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</si>
  <si>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</si>
  <si>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</si>
  <si>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</si>
  <si>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</si>
  <si>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</si>
  <si>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</si>
  <si>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</si>
  <si>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</si>
  <si>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</si>
  <si>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</si>
  <si>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</si>
  <si>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</si>
  <si>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</si>
  <si>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</si>
  <si>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</si>
  <si>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</si>
  <si>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</si>
  <si>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</si>
  <si>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</si>
  <si>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</si>
  <si>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</si>
  <si>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</si>
  <si>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</si>
  <si>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</si>
  <si>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</si>
  <si>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</si>
  <si>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</si>
  <si>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</si>
  <si>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</si>
  <si>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</si>
  <si>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</si>
  <si>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</si>
  <si>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</si>
  <si>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</si>
  <si>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</si>
  <si>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</si>
  <si>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</si>
  <si>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</si>
  <si>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</si>
  <si>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</si>
  <si>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</si>
  <si>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</si>
  <si>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</si>
  <si>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</si>
  <si>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</si>
  <si>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</si>
  <si>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</si>
  <si>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</si>
  <si>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</si>
  <si>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</si>
  <si>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</si>
  <si>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</si>
  <si>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</si>
  <si>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</si>
  <si>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</si>
  <si>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</si>
  <si>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</si>
  <si>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</si>
  <si>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</si>
  <si>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</si>
  <si>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</si>
  <si>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</si>
  <si>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</si>
  <si>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</si>
  <si>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</si>
  <si>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</si>
  <si>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</si>
  <si>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</si>
  <si>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</si>
  <si>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</si>
  <si>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</si>
  <si>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</si>
  <si>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</si>
  <si>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</si>
  <si>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</si>
  <si>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</si>
  <si>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</si>
  <si>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</si>
  <si>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</si>
  <si>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</si>
  <si>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</si>
  <si>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</si>
  <si>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</si>
  <si>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</si>
  <si>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</si>
  <si>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</si>
  <si>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</si>
  <si>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</si>
  <si>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</si>
  <si>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</si>
  <si>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</si>
  <si>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</si>
  <si>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</si>
  <si>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</si>
  <si>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</si>
  <si>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</si>
  <si>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</si>
  <si>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</si>
  <si>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</si>
  <si>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</si>
  <si>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</si>
  <si>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</si>
  <si>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</si>
  <si>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</si>
  <si>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</si>
  <si>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</si>
  <si>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</si>
  <si>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</si>
  <si>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</si>
  <si>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</si>
  <si>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</si>
  <si>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</si>
  <si>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</si>
  <si>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</si>
  <si>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</si>
  <si>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</si>
  <si>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</si>
  <si>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</si>
  <si>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</si>
  <si>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</si>
  <si>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</si>
  <si>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</si>
  <si>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</si>
  <si>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</si>
  <si>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</si>
  <si>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</si>
  <si>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</si>
  <si>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</si>
  <si>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</si>
  <si>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</si>
  <si>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</si>
  <si>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</si>
  <si>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</si>
  <si>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</si>
  <si>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</si>
  <si>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</si>
  <si>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</si>
  <si>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</si>
  <si>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</si>
  <si>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</si>
  <si>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</si>
  <si>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</si>
  <si>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</si>
  <si>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</si>
  <si>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</si>
  <si>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</si>
  <si>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</si>
  <si>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</si>
  <si>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</si>
  <si>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</si>
  <si>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</si>
  <si>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</si>
  <si>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</si>
  <si>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</si>
  <si>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</si>
  <si>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</si>
  <si>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</si>
  <si>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</si>
  <si>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</si>
  <si>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</si>
  <si>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</si>
  <si>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</si>
  <si>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</si>
  <si>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</si>
  <si>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</si>
  <si>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</si>
  <si>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</si>
  <si>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</si>
  <si>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</si>
  <si>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</si>
  <si>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</si>
  <si>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</si>
  <si>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</si>
  <si>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</si>
  <si>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</si>
  <si>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</si>
  <si>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</si>
  <si>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</si>
  <si>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</si>
  <si>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</si>
  <si>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</si>
  <si>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</si>
  <si>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</si>
  <si>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</si>
  <si>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</si>
  <si>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</si>
  <si>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</si>
  <si>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</si>
  <si>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</si>
  <si>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</si>
  <si>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</si>
  <si>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</si>
  <si>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</si>
  <si>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</si>
  <si>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</si>
  <si>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</si>
  <si>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</si>
  <si>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</si>
  <si>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</si>
  <si>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</si>
  <si>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</si>
  <si>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</si>
  <si>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</si>
  <si>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</si>
  <si>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</si>
  <si>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</si>
  <si>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</si>
  <si>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</si>
  <si>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</si>
  <si>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</si>
  <si>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</si>
  <si>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</si>
  <si>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</si>
  <si>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</si>
  <si>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</si>
  <si>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</si>
  <si>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</si>
  <si>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</si>
  <si>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</si>
  <si>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</si>
  <si>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</si>
  <si>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</si>
  <si>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</si>
  <si>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</si>
  <si>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</si>
  <si>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</si>
  <si>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</si>
  <si>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</si>
  <si>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</si>
  <si>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</si>
  <si>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</si>
  <si>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</si>
  <si>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</si>
  <si>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</si>
  <si>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</si>
  <si>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</si>
  <si>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</si>
  <si>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</si>
  <si>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</si>
  <si>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</si>
  <si>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</si>
  <si>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</si>
  <si>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</si>
  <si>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</si>
  <si>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</si>
  <si>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</si>
  <si>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</si>
  <si>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</si>
  <si>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</si>
  <si>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</si>
  <si>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</si>
  <si>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</si>
  <si>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</si>
  <si>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</si>
  <si>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</si>
  <si>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</si>
  <si>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</si>
  <si>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</si>
  <si>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</si>
  <si>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</si>
  <si>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</si>
  <si>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</si>
  <si>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</si>
  <si>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</si>
  <si>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</si>
  <si>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</si>
  <si>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</si>
  <si>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</si>
  <si>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</si>
  <si>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</si>
  <si>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</si>
  <si>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</si>
  <si>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</si>
  <si>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</si>
  <si>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</si>
  <si>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</si>
  <si>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</si>
  <si>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</si>
  <si>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</si>
  <si>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</si>
  <si>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</si>
  <si>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</si>
  <si>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</si>
  <si>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</si>
  <si>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</si>
  <si>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</si>
  <si>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</si>
  <si>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</si>
  <si>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</si>
  <si>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</si>
  <si>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</si>
  <si>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</si>
  <si>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</si>
  <si>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</si>
  <si>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</si>
  <si>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</si>
  <si>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</si>
  <si>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</si>
  <si>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</si>
  <si>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</si>
  <si>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</si>
  <si>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</si>
  <si>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</si>
  <si>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</si>
  <si>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</si>
  <si>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</si>
  <si>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</si>
  <si>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</si>
  <si>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</si>
  <si>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</si>
  <si>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</si>
  <si>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</si>
  <si>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</si>
  <si>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</si>
  <si>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</si>
  <si>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</si>
  <si>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</si>
  <si>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</si>
  <si>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</si>
  <si>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</si>
  <si>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</si>
  <si>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</si>
  <si>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</si>
  <si>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</si>
  <si>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</si>
  <si>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</si>
  <si>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</si>
  <si>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</si>
  <si>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</si>
  <si>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</si>
  <si>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</si>
  <si>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</si>
  <si>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</si>
  <si>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</si>
  <si>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</si>
  <si>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</si>
  <si>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</si>
  <si>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</si>
  <si>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</si>
  <si>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</si>
  <si>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</si>
  <si>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</si>
  <si>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</si>
  <si>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</si>
  <si>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</si>
  <si>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</si>
  <si>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</si>
  <si>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</si>
  <si>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</si>
  <si>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</si>
  <si>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</si>
  <si>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</si>
  <si>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</si>
  <si>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</si>
  <si>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</si>
  <si>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</si>
  <si>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</si>
  <si>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</si>
  <si>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</si>
  <si>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</si>
  <si>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</si>
  <si>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</si>
  <si>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</si>
  <si>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</si>
  <si>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</si>
  <si>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</si>
  <si>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</si>
  <si>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</si>
  <si>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</si>
  <si>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</si>
  <si>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</si>
  <si>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</si>
  <si>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</si>
  <si>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</si>
  <si>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</si>
  <si>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</si>
  <si>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</si>
  <si>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</si>
  <si>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</si>
  <si>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</si>
  <si>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</si>
  <si>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</si>
  <si>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</si>
  <si>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</si>
  <si>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</si>
  <si>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</si>
  <si>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</si>
  <si>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</si>
  <si>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</si>
  <si>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</si>
  <si>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</si>
  <si>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</si>
  <si>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</si>
  <si>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</si>
  <si>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</si>
  <si>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</si>
  <si>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</si>
  <si>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</si>
  <si>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</si>
  <si>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</si>
  <si>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</si>
  <si>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</si>
  <si>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</si>
  <si>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</si>
  <si>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</si>
  <si>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</si>
  <si>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</si>
  <si>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</si>
  <si>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</si>
  <si>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</si>
  <si>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</si>
  <si>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</si>
  <si>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</si>
  <si>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</si>
  <si>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</si>
  <si>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</si>
  <si>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</si>
  <si>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</si>
  <si>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</si>
  <si>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</si>
  <si>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</si>
  <si>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</si>
  <si>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</si>
  <si>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</si>
  <si>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</si>
  <si>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</si>
  <si>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</si>
  <si>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</si>
  <si>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</si>
  <si>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</si>
  <si>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</si>
  <si>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</si>
  <si>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</si>
  <si>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</si>
  <si>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</si>
  <si>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</si>
  <si>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</si>
  <si>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</si>
  <si>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</si>
  <si>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</si>
  <si>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</si>
  <si>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</si>
  <si>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</si>
  <si>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</si>
  <si>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</si>
  <si>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</si>
  <si>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</si>
  <si>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</si>
  <si>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</si>
  <si>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</si>
  <si>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</si>
  <si>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</si>
  <si>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</si>
  <si>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</si>
  <si>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</si>
  <si>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</si>
  <si>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</si>
  <si>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</si>
  <si>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</si>
  <si>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</si>
  <si>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</si>
  <si>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</si>
  <si>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</si>
  <si>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</si>
  <si>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</si>
  <si>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</si>
  <si>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</si>
  <si>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</si>
  <si>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</si>
  <si>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</si>
  <si>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</si>
  <si>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</si>
  <si>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</si>
  <si>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</si>
  <si>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</si>
  <si>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</si>
  <si>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</si>
  <si>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</si>
  <si>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</si>
  <si>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</si>
  <si>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</si>
  <si>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</si>
  <si>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</si>
  <si>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</si>
  <si>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</si>
  <si>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</si>
  <si>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</si>
  <si>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</si>
  <si>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</si>
  <si>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</si>
  <si>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</si>
  <si>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</si>
  <si>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</si>
  <si>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</si>
  <si>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</si>
  <si>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</si>
  <si>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</si>
  <si>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</si>
  <si>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</si>
  <si>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</si>
  <si>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</si>
  <si>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</si>
  <si>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</si>
  <si>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</si>
  <si>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</si>
  <si>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</si>
  <si>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</si>
  <si>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</si>
  <si>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</si>
  <si>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</si>
  <si>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</si>
  <si>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</si>
  <si>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</si>
  <si>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</si>
  <si>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</si>
  <si>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</si>
  <si>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</si>
  <si>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</si>
  <si>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</si>
  <si>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</si>
  <si>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</si>
  <si>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</si>
  <si>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</si>
  <si>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</si>
  <si>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</si>
  <si>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</si>
  <si>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</si>
  <si>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</si>
  <si>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</si>
  <si>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</si>
  <si>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</si>
  <si>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</si>
  <si>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</si>
  <si>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</si>
  <si>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</si>
  <si>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</si>
  <si>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</si>
  <si>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</si>
  <si>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</si>
  <si>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</si>
  <si>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</si>
  <si>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</si>
  <si>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</si>
  <si>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</si>
  <si>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</si>
  <si>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</si>
  <si>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</si>
  <si>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</si>
  <si>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</si>
  <si>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</si>
  <si>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</si>
  <si>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</si>
  <si>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</si>
  <si>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</si>
  <si>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</si>
  <si>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</si>
  <si>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</si>
  <si>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</si>
  <si>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</si>
  <si>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</si>
  <si>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</si>
  <si>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</si>
  <si>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</si>
  <si>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</si>
  <si>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</si>
  <si>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</si>
  <si>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</si>
  <si>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</si>
  <si>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</si>
  <si>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</si>
  <si>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</si>
  <si>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</si>
  <si>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</si>
  <si>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</si>
  <si>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</si>
  <si>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</si>
  <si>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</si>
  <si>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</si>
  <si>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</si>
  <si>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</si>
  <si>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</si>
  <si>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</si>
  <si>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</si>
  <si>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</si>
  <si>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</si>
  <si>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</si>
  <si>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</si>
  <si>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</si>
  <si>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</si>
  <si>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</si>
  <si>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</si>
  <si>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</si>
  <si>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</si>
  <si>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</si>
  <si>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</si>
  <si>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</si>
  <si>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</si>
  <si>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</si>
  <si>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</si>
  <si>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</si>
  <si>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</si>
  <si>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</si>
  <si>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</si>
  <si>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</si>
  <si>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</si>
  <si>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</si>
  <si>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</si>
  <si>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</si>
  <si>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</si>
  <si>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</si>
  <si>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</si>
  <si>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</si>
  <si>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</si>
  <si>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</si>
  <si>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</si>
  <si>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</si>
  <si>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</si>
  <si>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</si>
  <si>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</si>
  <si>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</si>
  <si>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</si>
  <si>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</si>
  <si>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</si>
  <si>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</si>
  <si>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</si>
  <si>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</si>
  <si>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</si>
  <si>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</si>
  <si>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</si>
  <si>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</si>
  <si>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</si>
  <si>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</si>
  <si>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</si>
  <si>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</si>
  <si>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</si>
  <si>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</si>
  <si>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</si>
  <si>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</si>
  <si>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</si>
  <si>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</si>
  <si>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</si>
  <si>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</si>
  <si>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</si>
  <si>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</si>
  <si>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</si>
  <si>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</si>
  <si>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</si>
  <si>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</si>
  <si>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</si>
  <si>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</si>
  <si>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</si>
  <si>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</si>
  <si>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</si>
  <si>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</si>
  <si>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</si>
  <si>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</si>
  <si>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</si>
  <si>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</si>
  <si>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</si>
  <si>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</si>
  <si>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</si>
  <si>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</si>
  <si>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</si>
  <si>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</si>
  <si>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</si>
  <si>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</si>
  <si>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</si>
  <si>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</si>
  <si>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</si>
  <si>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</si>
  <si>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</si>
  <si>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</si>
  <si>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</si>
  <si>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</si>
  <si>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</si>
  <si>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</si>
  <si>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</si>
  <si>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</si>
  <si>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</si>
  <si>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</si>
  <si>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</si>
  <si>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</si>
  <si>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</si>
  <si>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</si>
  <si>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</si>
  <si>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</si>
  <si>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</si>
  <si>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</si>
  <si>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</si>
  <si>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</si>
  <si>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</si>
  <si>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</si>
  <si>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</si>
  <si>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</si>
  <si>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</si>
  <si>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</si>
  <si>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</si>
  <si>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</si>
  <si>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</si>
  <si>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</si>
  <si>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</si>
  <si>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</si>
  <si>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</si>
  <si>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</si>
  <si>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</si>
  <si>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</si>
  <si>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</si>
  <si>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</si>
  <si>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</si>
  <si>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</si>
  <si>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</si>
  <si>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</si>
  <si>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</si>
  <si>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</si>
  <si>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</si>
  <si>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</si>
  <si>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</si>
  <si>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</si>
  <si>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</si>
  <si>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</si>
  <si>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</si>
  <si>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</si>
  <si>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</si>
  <si>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</si>
  <si>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</si>
  <si>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</si>
  <si>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</si>
  <si>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</si>
  <si>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</si>
  <si>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</si>
  <si>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</si>
  <si>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</si>
  <si>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</si>
  <si>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</si>
  <si>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</si>
  <si>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</si>
  <si>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</si>
  <si>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</si>
  <si>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</si>
  <si>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</si>
  <si>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</si>
  <si>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</si>
  <si>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</si>
  <si>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</si>
  <si>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</si>
  <si>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</si>
  <si>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</si>
  <si>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</si>
  <si>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</si>
  <si>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</si>
  <si>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</si>
  <si>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</si>
  <si>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</si>
  <si>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</si>
  <si>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</si>
  <si>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</si>
  <si>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</si>
  <si>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</si>
  <si>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</si>
  <si>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</si>
  <si>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</si>
  <si>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</si>
  <si>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</si>
  <si>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</si>
  <si>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</si>
  <si>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</si>
  <si>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</si>
  <si>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</si>
  <si>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</si>
  <si>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</si>
  <si>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</si>
  <si>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</si>
  <si>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</si>
  <si>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</si>
  <si>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</si>
  <si>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</si>
  <si>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</si>
  <si>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</si>
  <si>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</si>
  <si>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</si>
  <si>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</si>
  <si>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</si>
  <si>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</si>
  <si>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</si>
  <si>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</si>
  <si>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</si>
  <si>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</si>
  <si>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</si>
  <si>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</si>
  <si>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</si>
  <si>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</si>
  <si>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</si>
  <si>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</si>
  <si>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</si>
  <si>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</si>
  <si>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</si>
  <si>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</si>
  <si>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</si>
  <si>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</si>
  <si>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</si>
  <si>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</si>
  <si>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</si>
  <si>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</si>
  <si>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</si>
  <si>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</si>
  <si>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</si>
  <si>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</si>
  <si>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</si>
  <si>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</si>
  <si>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</si>
  <si>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</si>
  <si>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</si>
  <si>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</si>
  <si>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</si>
  <si>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</si>
  <si>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</si>
  <si>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</si>
  <si>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</si>
  <si>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</si>
  <si>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</si>
  <si>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</si>
  <si>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</si>
  <si>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</si>
  <si>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</si>
  <si>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</si>
  <si>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</si>
  <si>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</si>
  <si>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</si>
  <si>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</si>
  <si>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</si>
  <si>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</si>
  <si>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</si>
  <si>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</si>
  <si>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</si>
  <si>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</si>
  <si>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</si>
  <si>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</si>
  <si>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</si>
  <si>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</si>
  <si>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</si>
  <si>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</si>
  <si>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</si>
  <si>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</si>
  <si>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</si>
  <si>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</si>
  <si>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</si>
  <si>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</si>
  <si>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</si>
  <si>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</si>
  <si>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</si>
  <si>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</si>
  <si>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</si>
  <si>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</si>
  <si>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</si>
  <si>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</si>
  <si>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</si>
  <si>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</si>
  <si>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</si>
  <si>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</si>
  <si>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</si>
  <si>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</si>
  <si>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</si>
  <si>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</si>
  <si>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</si>
  <si>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</si>
  <si>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</si>
  <si>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</si>
  <si>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</si>
  <si>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</si>
  <si>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</si>
  <si>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</si>
  <si>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</si>
  <si>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</si>
  <si>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</si>
  <si>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</si>
  <si>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</si>
  <si>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</si>
  <si>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</si>
  <si>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</si>
  <si>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</si>
  <si>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</si>
  <si>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</si>
  <si>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</si>
  <si>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</si>
  <si>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</si>
  <si>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</si>
  <si>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</si>
  <si>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</si>
  <si>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</si>
  <si>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</si>
  <si>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</si>
  <si>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</si>
  <si>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</si>
  <si>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</si>
  <si>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</si>
  <si>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</si>
  <si>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</si>
  <si>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</si>
  <si>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</si>
  <si>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</si>
  <si>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</si>
  <si>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</si>
  <si>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</si>
  <si>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</si>
  <si>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</si>
  <si>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</si>
  <si>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</si>
  <si>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</si>
  <si>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</si>
  <si>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</si>
  <si>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</si>
  <si>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</si>
  <si>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</si>
  <si>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</si>
  <si>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</si>
  <si>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</si>
  <si>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</si>
  <si>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</si>
  <si>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</si>
  <si>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</si>
  <si>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</si>
  <si>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</si>
  <si>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</si>
  <si>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</si>
  <si>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</si>
  <si>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</si>
  <si>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</si>
  <si>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</si>
  <si>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</si>
  <si>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</si>
  <si>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</si>
  <si>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</si>
  <si>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</si>
  <si>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</si>
  <si>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</si>
  <si>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</si>
  <si>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</si>
  <si>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</si>
  <si>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</si>
  <si>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</si>
  <si>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</si>
  <si>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</si>
  <si>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</si>
  <si>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</si>
  <si>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</si>
  <si>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</si>
  <si>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</si>
  <si>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</si>
  <si>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</si>
  <si>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</si>
  <si>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</si>
  <si>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</si>
  <si>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</si>
  <si>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</si>
  <si>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</si>
  <si>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</si>
  <si>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</si>
  <si>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</si>
  <si>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</si>
  <si>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</si>
  <si>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</si>
  <si>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</si>
  <si>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</si>
  <si>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</si>
  <si>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</si>
  <si>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</si>
  <si>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</si>
  <si>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</si>
  <si>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</si>
  <si>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</si>
  <si>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</si>
  <si>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</si>
  <si>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</si>
  <si>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</si>
  <si>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</si>
  <si>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</si>
  <si>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</si>
  <si>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</si>
  <si>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</si>
  <si>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</si>
  <si>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</si>
  <si>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</si>
  <si>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</si>
  <si>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</si>
  <si>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</si>
  <si>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</si>
  <si>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</si>
  <si>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</si>
  <si>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</si>
  <si>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</si>
  <si>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</si>
  <si>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</si>
  <si>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</si>
  <si>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>Gemiddelde van 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</si>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</sst>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24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aantal schades" fld="7" subtotal="average" baseField="6" baseItem="17" numFmtId="2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20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8"/>
    <tableColumn id="11" xr3:uid="{97ECF1D5-48DC-4487-B3C2-17232CC8E19E}" name="Januari" dataDxfId="17"/>
    <tableColumn id="12" xr3:uid="{7B2FF520-A575-45C0-BB5A-19B87DDB4EA0}" name="Februari" dataDxfId="16"/>
    <tableColumn id="13" xr3:uid="{4E6C30D1-FB72-4AB2-900F-14A3D53F34DE}" name="Maart" dataDxfId="1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4">
      <calculatedColumnFormula>SUM(bron[[#This Row],[Januari]:[December]])</calculatedColumnFormula>
    </tableColumn>
    <tableColumn id="10" xr3:uid="{8D9646BD-38B6-4F4D-9859-B3933369346B}" name="Datum" dataDxfId="1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1">
      <calculatedColumnFormula>YEAR(TODAY()) - YEAR(F2) - (IF(DATE(YEAR(TODAY()), MONTH(F2), DAY(F2)) &gt; TODAY(), 1, 0))</calculatedColumnFormula>
    </tableColumn>
    <tableColumn id="5" xr3:uid="{4C697650-E57C-44EB-9139-9D19E4E44782}" name="aantal schades" dataDxfId="10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61" activePane="bottomLeft" state="frozen"/>
      <selection activeCell="F1" sqref="F1"/>
      <selection pane="bottomLeft" activeCell="AB982" sqref="AB98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4277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opLeftCell="A13" workbookViewId="0">
      <selection activeCell="O32" sqref="O3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bestFit="1" customWidth="1"/>
    <col min="11" max="11" width="30.140625" style="35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1" t="s">
        <v>3807</v>
      </c>
      <c r="K2" s="35" t="s">
        <v>4276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36">
        <v>37</v>
      </c>
      <c r="K3" s="35">
        <v>4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36">
        <v>36</v>
      </c>
      <c r="K4" s="35">
        <v>1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36">
        <v>34</v>
      </c>
      <c r="K5" s="35">
        <v>1.5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36">
        <v>33</v>
      </c>
      <c r="K6" s="35">
        <v>1.3333333333333333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36">
        <v>32</v>
      </c>
      <c r="K7" s="35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36">
        <v>30</v>
      </c>
      <c r="K8" s="35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36">
        <v>29</v>
      </c>
      <c r="K9" s="35">
        <v>1.8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36">
        <v>28</v>
      </c>
      <c r="K10" s="35">
        <v>1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36">
        <v>27</v>
      </c>
      <c r="K11" s="35">
        <v>1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36">
        <v>26</v>
      </c>
      <c r="K12" s="35">
        <v>1.5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36">
        <v>25</v>
      </c>
      <c r="K13" s="35">
        <v>1.5714285714285714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36">
        <v>24</v>
      </c>
      <c r="K14" s="35">
        <v>1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36">
        <v>23</v>
      </c>
      <c r="K15" s="35">
        <v>1.5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36">
        <v>22</v>
      </c>
      <c r="K16" s="35">
        <v>1.5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36">
        <v>21</v>
      </c>
      <c r="K17" s="35">
        <v>2.5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36">
        <v>20</v>
      </c>
      <c r="K18" s="35">
        <v>1.75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36">
        <v>19</v>
      </c>
      <c r="K19" s="35">
        <v>2.75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36">
        <v>18</v>
      </c>
      <c r="K20" s="35">
        <v>1.8333333333333333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36">
        <v>17</v>
      </c>
      <c r="K21" s="35">
        <v>1.3636363636363635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36">
        <v>16</v>
      </c>
      <c r="K22" s="35">
        <v>1.6666666666666667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36">
        <v>15</v>
      </c>
      <c r="K23" s="35">
        <v>2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36">
        <v>14</v>
      </c>
      <c r="K24" s="35">
        <v>1.6666666666666667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36">
        <v>13</v>
      </c>
      <c r="K25" s="35">
        <v>1.6666666666666667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36">
        <v>12</v>
      </c>
      <c r="K26" s="35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36">
        <v>11</v>
      </c>
      <c r="K27" s="35">
        <v>2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36">
        <v>10</v>
      </c>
      <c r="K28" s="35">
        <v>1.7142857142857142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36">
        <v>9</v>
      </c>
      <c r="K29" s="35">
        <v>2.1111111111111112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36">
        <v>8</v>
      </c>
      <c r="K30" s="35">
        <v>1.9166666666666667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36">
        <v>7</v>
      </c>
      <c r="K31" s="35">
        <v>2.625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36">
        <v>6</v>
      </c>
      <c r="K32" s="35">
        <v>2.4615384615384617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36">
        <v>5</v>
      </c>
      <c r="K33" s="35">
        <v>1.7916666666666667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36">
        <v>4</v>
      </c>
      <c r="K34" s="35">
        <v>2.652173913043478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36">
        <v>3</v>
      </c>
      <c r="K35" s="35">
        <v>2.3333333333333335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36">
        <v>2</v>
      </c>
      <c r="K36" s="35">
        <v>3.1627906976744184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36">
        <v>1</v>
      </c>
      <c r="K37" s="35">
        <v>2.7049180327868854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36">
        <v>0</v>
      </c>
      <c r="K38" s="35">
        <v>1.7428571428571429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36" t="s">
        <v>65</v>
      </c>
      <c r="K39" s="35">
        <v>2.1766169154228856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3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4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2025-12-01T08:39:09Z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