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9" documentId="8_{21511603-A870-4D4C-809B-4C28D285AF8F}" xr6:coauthVersionLast="47" xr6:coauthVersionMax="47" xr10:uidLastSave="{7EECB8C5-DD0A-42F0-9F81-8C3E0357EB40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7" i="1" l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<sst xmlns="http://schemas.openxmlformats.org/spreadsheetml/2006/main" count="8467" uniqueCount="3654">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</sst>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25</v>
          </cell>
        </row>
        <row r="3">
          <cell r="A3">
            <v>14</v>
          </cell>
          <cell r="B3" t="str">
            <v>Bart Van der Beken</v>
          </cell>
          <cell r="D3">
            <v>20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19</v>
          </cell>
        </row>
        <row r="6">
          <cell r="A6">
            <v>11</v>
          </cell>
          <cell r="B6" t="str">
            <v>Dominique De Clercq</v>
          </cell>
          <cell r="D6">
            <v>32</v>
          </cell>
        </row>
        <row r="7">
          <cell r="A7">
            <v>8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1" totalsRowShown="0">
  <autoFilter ref="A1:C41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table" Target="../tables/table3.xm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42578125" style="27" bestFit="1" customWidth="1"/>
    <col min="10" max="10" width="16.28515625" style="27" bestFit="1" customWidth="1"/>
    <col min="11" max="11" width="5.5703125" style="27" bestFit="1" customWidth="1"/>
    <col min="12" max="12" width="10.140625" style="27" bestFit="1" customWidth="1"/>
    <col min="13" max="13" width="18.85546875" style="27" bestFit="1" customWidth="1"/>
    <col min="14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1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1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1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4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4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1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3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4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1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4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2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1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4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1" t="s">
        <v>45</v>
      </c>
      <c r="D26">
        <v>3</v>
      </c>
      <c r="F26" s="2" t="s">
        <v>46</v>
      </c>
      <c r="G26">
        <v>5</v>
      </c>
    </row>
    <row r="27" spans="2:11" x14ac:dyDescent="0.25">
      <c r="C27" s="34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1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4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1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0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3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1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1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4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1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1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1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4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1" t="s">
        <v>85</v>
      </c>
      <c r="D40">
        <v>2</v>
      </c>
      <c r="F40" s="2" t="s">
        <v>86</v>
      </c>
      <c r="G40">
        <v>2</v>
      </c>
    </row>
    <row r="41" spans="3:15" x14ac:dyDescent="0.25">
      <c r="C41" s="34" t="s">
        <v>87</v>
      </c>
      <c r="D41">
        <v>2</v>
      </c>
      <c r="F41" s="2" t="s">
        <v>88</v>
      </c>
      <c r="G41">
        <v>2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31" t="s">
        <v>91</v>
      </c>
      <c r="D42">
        <v>2</v>
      </c>
      <c r="F42" s="2" t="s">
        <v>92</v>
      </c>
      <c r="G42">
        <v>2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1" t="s">
        <v>93</v>
      </c>
      <c r="D43">
        <v>2</v>
      </c>
      <c r="F43" s="2" t="s">
        <v>94</v>
      </c>
      <c r="G43">
        <v>2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20</v>
      </c>
      <c r="N43" s="13" t="str">
        <f>'[1]Ingeplande per TC'!$B$3</f>
        <v>Bart Van der Beken</v>
      </c>
      <c r="O43" s="13"/>
    </row>
    <row r="44" spans="3:15" x14ac:dyDescent="0.25">
      <c r="C44" s="34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1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19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>
        <v>2</v>
      </c>
      <c r="F46" s="2" t="s">
        <v>100</v>
      </c>
      <c r="G46">
        <v>2</v>
      </c>
      <c r="I46" s="13">
        <f>'[1]Ingeplande per TC'!$A$6</f>
        <v>11</v>
      </c>
      <c r="J46" s="13" t="str">
        <f>'[1]Ingeplande per TC'!$B$6</f>
        <v>Dominique De Clercq</v>
      </c>
      <c r="K46" s="13"/>
      <c r="L46" s="25"/>
      <c r="M46" s="13">
        <f>'[1]Ingeplande per TC'!$D$6</f>
        <v>32</v>
      </c>
      <c r="N46" s="13" t="str">
        <f>'[1]Ingeplande per TC'!$B$6</f>
        <v>Dominique De Clercq</v>
      </c>
      <c r="O46" s="13"/>
    </row>
    <row r="47" spans="3:15" x14ac:dyDescent="0.25">
      <c r="C47" s="34" t="s">
        <v>101</v>
      </c>
      <c r="D47">
        <v>2</v>
      </c>
      <c r="F47" s="2" t="s">
        <v>102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4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172</v>
      </c>
      <c r="N50" s="14" t="s">
        <v>109</v>
      </c>
      <c r="O50" s="14"/>
    </row>
    <row r="51" spans="3:15" x14ac:dyDescent="0.25">
      <c r="C51" s="31" t="s">
        <v>110</v>
      </c>
      <c r="D51">
        <v>2</v>
      </c>
      <c r="F51" s="2" t="s">
        <v>111</v>
      </c>
      <c r="G51">
        <v>2</v>
      </c>
    </row>
    <row r="52" spans="3:15" x14ac:dyDescent="0.25">
      <c r="C52" s="34" t="s">
        <v>112</v>
      </c>
      <c r="D52">
        <v>2</v>
      </c>
      <c r="F52" s="2" t="s">
        <v>113</v>
      </c>
      <c r="G52">
        <v>2</v>
      </c>
    </row>
    <row r="53" spans="3:15" x14ac:dyDescent="0.25">
      <c r="C53" s="31" t="s">
        <v>114</v>
      </c>
      <c r="D53">
        <v>2</v>
      </c>
      <c r="F53" s="2" t="s">
        <v>115</v>
      </c>
      <c r="G53">
        <v>2</v>
      </c>
    </row>
    <row r="54" spans="3:15" x14ac:dyDescent="0.25">
      <c r="C54" s="34" t="s">
        <v>116</v>
      </c>
      <c r="D54">
        <v>2</v>
      </c>
      <c r="F54" s="2" t="s">
        <v>117</v>
      </c>
      <c r="G54">
        <v>2</v>
      </c>
    </row>
    <row r="55" spans="3:15" x14ac:dyDescent="0.25">
      <c r="C55" s="34" t="s">
        <v>118</v>
      </c>
      <c r="D55">
        <v>2</v>
      </c>
      <c r="F55" s="2" t="s">
        <v>119</v>
      </c>
      <c r="G55">
        <v>2</v>
      </c>
    </row>
    <row r="56" spans="3:15" x14ac:dyDescent="0.25">
      <c r="C56" s="34" t="s">
        <v>120</v>
      </c>
      <c r="D56">
        <v>2</v>
      </c>
      <c r="F56" s="2" t="s">
        <v>121</v>
      </c>
      <c r="G56">
        <v>2</v>
      </c>
    </row>
    <row r="57" spans="3:15" x14ac:dyDescent="0.25">
      <c r="C57" s="31" t="s">
        <v>122</v>
      </c>
      <c r="D57">
        <v>2</v>
      </c>
      <c r="F57" s="2" t="s">
        <v>123</v>
      </c>
      <c r="G57">
        <v>2</v>
      </c>
    </row>
    <row r="58" spans="3:15" x14ac:dyDescent="0.25">
      <c r="C58" s="31" t="s">
        <v>124</v>
      </c>
      <c r="D58">
        <v>2</v>
      </c>
      <c r="F58" s="2" t="s">
        <v>125</v>
      </c>
      <c r="G58">
        <v>2</v>
      </c>
    </row>
    <row r="59" spans="3:15" x14ac:dyDescent="0.25">
      <c r="C59" s="34" t="s">
        <v>126</v>
      </c>
      <c r="D59">
        <v>2</v>
      </c>
      <c r="F59" s="2" t="s">
        <v>127</v>
      </c>
      <c r="G59">
        <v>2</v>
      </c>
    </row>
    <row r="60" spans="3:15" x14ac:dyDescent="0.25">
      <c r="C60" s="31" t="s">
        <v>128</v>
      </c>
      <c r="D60">
        <v>2</v>
      </c>
      <c r="F60" s="2" t="s">
        <v>129</v>
      </c>
      <c r="G60">
        <v>2</v>
      </c>
    </row>
    <row r="61" spans="3:15" x14ac:dyDescent="0.25">
      <c r="C61" s="31" t="s">
        <v>130</v>
      </c>
      <c r="D61">
        <v>2</v>
      </c>
      <c r="F61" s="2" t="s">
        <v>131</v>
      </c>
      <c r="G61">
        <v>2</v>
      </c>
    </row>
    <row r="62" spans="3:15" x14ac:dyDescent="0.25">
      <c r="C62" s="34" t="s">
        <v>132</v>
      </c>
      <c r="D62">
        <v>2</v>
      </c>
      <c r="F62" s="2" t="s">
        <v>133</v>
      </c>
      <c r="G62">
        <v>2</v>
      </c>
    </row>
    <row r="63" spans="3:15" x14ac:dyDescent="0.25">
      <c r="C63" s="34" t="s">
        <v>134</v>
      </c>
      <c r="D63">
        <v>2</v>
      </c>
      <c r="F63" s="2" t="s">
        <v>135</v>
      </c>
      <c r="G63">
        <v>2</v>
      </c>
    </row>
    <row r="64" spans="3:15" x14ac:dyDescent="0.25">
      <c r="C64" s="31" t="s">
        <v>136</v>
      </c>
      <c r="D64">
        <v>2</v>
      </c>
      <c r="F64" s="2" t="s">
        <v>137</v>
      </c>
      <c r="G64">
        <v>1</v>
      </c>
    </row>
    <row r="65" spans="3:7" x14ac:dyDescent="0.25">
      <c r="C65" s="34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2" activePane="bottomLeft" state="frozen"/>
      <selection activeCell="F1" sqref="F1"/>
      <selection pane="bottomLeft" activeCell="U885" sqref="U88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s="2" t="s">
        <v>372</v>
      </c>
      <c r="F1" s="38" t="s">
        <v>373</v>
      </c>
      <c r="G1" s="39" t="s">
        <v>374</v>
      </c>
      <c r="H1" s="39" t="s">
        <v>375</v>
      </c>
      <c r="I1" s="39" t="s">
        <v>376</v>
      </c>
      <c r="J1" s="36" t="s">
        <v>377</v>
      </c>
      <c r="K1" s="36" t="s">
        <v>378</v>
      </c>
      <c r="L1" s="36" t="s">
        <v>379</v>
      </c>
      <c r="M1" s="36" t="s">
        <v>380</v>
      </c>
      <c r="N1" s="36" t="s">
        <v>381</v>
      </c>
      <c r="O1" s="36" t="s">
        <v>382</v>
      </c>
      <c r="P1" s="36" t="s">
        <v>383</v>
      </c>
      <c r="Q1" s="36" t="s">
        <v>384</v>
      </c>
      <c r="R1" s="36" t="s">
        <v>385</v>
      </c>
      <c r="S1" s="36" t="s">
        <v>386</v>
      </c>
      <c r="T1" s="40" t="s">
        <v>387</v>
      </c>
      <c r="U1" s="26" t="s">
        <v>388</v>
      </c>
      <c r="V1" s="36" t="s">
        <v>7</v>
      </c>
      <c r="W1" s="36" t="s">
        <v>8</v>
      </c>
      <c r="X1" t="s">
        <v>389</v>
      </c>
      <c r="Y1" t="s">
        <v>390</v>
      </c>
      <c r="Z1" s="2" t="s">
        <v>3556</v>
      </c>
      <c r="AA1" s="42" t="s">
        <v>3633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Z4"/>
      <c r="AA4" t="s">
        <v>3633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Z5"/>
      <c r="AA5" t="s">
        <v>3633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Z6"/>
      <c r="AA6" t="s">
        <v>3633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Z7"/>
      <c r="AA7" t="s">
        <v>3633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Z8"/>
      <c r="AA8" t="s">
        <v>3633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Z9"/>
      <c r="AA9" t="s">
        <v>3633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Z10"/>
      <c r="AA10" t="s">
        <v>3633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Z11"/>
      <c r="AA11" t="s">
        <v>3633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Z12"/>
      <c r="AA12" t="s">
        <v>3633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Z13"/>
      <c r="AA13" t="s">
        <v>3633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Z14"/>
      <c r="AA14" t="s">
        <v>3633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Z15"/>
      <c r="AA15" t="s">
        <v>3633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Z16"/>
      <c r="AA16" t="s">
        <v>3633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Z17"/>
      <c r="AA17" t="s">
        <v>3633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Z18"/>
      <c r="AA18" t="s">
        <v>3633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Z19"/>
      <c r="AA19" t="s">
        <v>3633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Z20"/>
      <c r="AA20" t="s">
        <v>3633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Z21"/>
      <c r="AA21" t="s">
        <v>3633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Z22"/>
      <c r="AA22" t="s">
        <v>3633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Z23"/>
      <c r="AA23" t="s">
        <v>3633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Z24"/>
      <c r="AA24" t="s">
        <v>3633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Z25"/>
      <c r="AA25" t="s">
        <v>3633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Z26"/>
      <c r="AA26" t="s">
        <v>3633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Z27"/>
      <c r="AA27" t="s">
        <v>3633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Z28"/>
      <c r="AA28" t="s">
        <v>3633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Z29"/>
      <c r="AA29" t="s">
        <v>3633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Z30"/>
      <c r="AA30" t="s">
        <v>3633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Z31"/>
      <c r="AA31" t="s">
        <v>3633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Z32"/>
      <c r="AA32" t="s">
        <v>3633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Z33"/>
      <c r="AA33" t="s">
        <v>3633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Z34"/>
      <c r="AA34" t="s">
        <v>3633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Z35"/>
      <c r="AA35" t="s">
        <v>3633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Z36"/>
      <c r="AA36" t="s">
        <v>3633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Z37"/>
      <c r="AA37" t="s">
        <v>3633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Z38"/>
      <c r="AA38" t="s">
        <v>3633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Z39"/>
      <c r="AA39" t="s">
        <v>3633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Z40"/>
      <c r="AA40" t="s">
        <v>3633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Z41"/>
      <c r="AA41" t="s">
        <v>3633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Z42"/>
      <c r="AA42" t="s">
        <v>3633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Z43"/>
      <c r="AA43" t="s">
        <v>3633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Z44"/>
      <c r="AA44" t="s">
        <v>3633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Z45"/>
      <c r="AA45" t="s">
        <v>3633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Z46"/>
      <c r="AA46" t="s">
        <v>3633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Z47"/>
      <c r="AA47" t="s">
        <v>3633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Z48"/>
      <c r="AA48" t="s">
        <v>3633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Z49"/>
      <c r="AA49" t="s">
        <v>3633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Z50"/>
      <c r="AA50" t="s">
        <v>3633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Z51"/>
      <c r="AA51" t="s">
        <v>3633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Z52"/>
      <c r="AA52" t="s">
        <v>3633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Z53"/>
      <c r="AA53" t="s">
        <v>3633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Z54"/>
      <c r="AA54" t="s">
        <v>3633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Z55"/>
      <c r="AA55" t="s">
        <v>3633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Z56"/>
      <c r="AA56" t="s">
        <v>3633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Z57"/>
      <c r="AA57" t="s">
        <v>3633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Z58"/>
      <c r="AA58" t="s">
        <v>3633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Z59"/>
      <c r="AA59" t="s">
        <v>3633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Z60"/>
      <c r="AA60" t="s">
        <v>3633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Z61"/>
      <c r="AA61" t="s">
        <v>3633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Z62"/>
      <c r="AA62" t="s">
        <v>3633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Z63"/>
      <c r="AA63" t="s">
        <v>3633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Z64"/>
      <c r="AA64" t="s">
        <v>3633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Z65"/>
      <c r="AA65" t="s">
        <v>3633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Z66"/>
      <c r="AA66" t="s">
        <v>3633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Z67"/>
      <c r="AA67" t="s">
        <v>3633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Z68"/>
      <c r="AA68" t="s">
        <v>3633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Z69"/>
      <c r="AA69" t="s">
        <v>3633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Z70"/>
      <c r="AA70" t="s">
        <v>3633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Z71"/>
      <c r="AA71" t="s">
        <v>3633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Z72"/>
      <c r="AA72" t="s">
        <v>3633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Z73"/>
      <c r="AA73" t="s">
        <v>3633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Z74"/>
      <c r="AA74" t="s">
        <v>3633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Z75"/>
      <c r="AA75" t="s">
        <v>3633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Z76"/>
      <c r="AA76" t="s">
        <v>3633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Z77"/>
      <c r="AA77" t="s">
        <v>3633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Z78"/>
      <c r="AA78" t="s">
        <v>3633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Z79"/>
      <c r="AA79" t="s">
        <v>3633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Z80"/>
      <c r="AA80" t="s">
        <v>3633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Z81"/>
      <c r="AA81" t="s">
        <v>3633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Z82"/>
      <c r="AA82" t="s">
        <v>3633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Z83"/>
      <c r="AA83" t="s">
        <v>3633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Z84"/>
      <c r="AA84" t="s">
        <v>3633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Z85"/>
      <c r="AA85" t="s">
        <v>3633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Z86"/>
      <c r="AA86" t="s">
        <v>3633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Z87"/>
      <c r="AA87" t="s">
        <v>3633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Z88"/>
      <c r="AA88" t="s">
        <v>3633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Z89"/>
      <c r="AA89" t="s">
        <v>3633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Z90"/>
      <c r="AA90" t="s">
        <v>3633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Z91"/>
      <c r="AA91" t="s">
        <v>3633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Z92"/>
      <c r="AA92" t="s">
        <v>3633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Z93"/>
      <c r="AA93" t="s">
        <v>3633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Z94"/>
      <c r="AA94" t="s">
        <v>3633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Z95"/>
      <c r="AA95" t="s">
        <v>3633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Z96"/>
      <c r="AA96" t="s">
        <v>3633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Z97"/>
      <c r="AA97" t="s">
        <v>3633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Z98"/>
      <c r="AA98" t="s">
        <v>3633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Z99"/>
      <c r="AA99" t="s">
        <v>3633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Z100"/>
      <c r="AA100" t="s">
        <v>3633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Z101"/>
      <c r="AA101" t="s">
        <v>3633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Z102"/>
      <c r="AA102" t="s">
        <v>3633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Z103"/>
      <c r="AA103" t="s">
        <v>3633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Z104"/>
      <c r="AA104" t="s">
        <v>3633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Z105"/>
      <c r="AA105" t="s">
        <v>3633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Z106"/>
      <c r="AA106" t="s">
        <v>3633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Z107"/>
      <c r="AA107" t="s">
        <v>3633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Z108"/>
      <c r="AA108" t="s">
        <v>3633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Z109"/>
      <c r="AA109" t="s">
        <v>3633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Z110"/>
      <c r="AA110" t="s">
        <v>3633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Z111"/>
      <c r="AA111" t="s">
        <v>3633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Z112"/>
      <c r="AA112" t="s">
        <v>3633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Z113"/>
      <c r="AA113" t="s">
        <v>3633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Z114"/>
      <c r="AA114" t="s">
        <v>3633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Z115"/>
      <c r="AA115" t="s">
        <v>3633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Z116"/>
      <c r="AA116" t="s">
        <v>3633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Z117"/>
      <c r="AA117" t="s">
        <v>3633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Z118"/>
      <c r="AA118" t="s">
        <v>3633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Z119"/>
      <c r="AA119" t="s">
        <v>3633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Z120"/>
      <c r="AA120" t="s">
        <v>3633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Z121"/>
      <c r="AA121" t="s">
        <v>3633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Z122"/>
      <c r="AA122" t="s">
        <v>3633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Z123"/>
      <c r="AA123" t="s">
        <v>3633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Z124"/>
      <c r="AA124" t="s">
        <v>3633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Z125"/>
      <c r="AA125" t="s">
        <v>3633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Z126"/>
      <c r="AA126" t="s">
        <v>3633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Z127"/>
      <c r="AA127" t="s">
        <v>3633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Z128"/>
      <c r="AA128" t="s">
        <v>3633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Z129"/>
      <c r="AA129" t="s">
        <v>3633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Z130"/>
      <c r="AA130" t="s">
        <v>3633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Z131"/>
      <c r="AA131" t="s">
        <v>3633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Z132"/>
      <c r="AA132" t="s">
        <v>3633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Z133"/>
      <c r="AA133" t="s">
        <v>3633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Z134"/>
      <c r="AA134" t="s">
        <v>3633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Z135"/>
      <c r="AA135" t="s">
        <v>3633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Z136"/>
      <c r="AA136" t="s">
        <v>3633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Z137"/>
      <c r="AA137" t="s">
        <v>3633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Z138"/>
      <c r="AA138" t="s">
        <v>3633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Z139"/>
      <c r="AA139" t="s">
        <v>3633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Z140"/>
      <c r="AA140" t="s">
        <v>3633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Z141"/>
      <c r="AA141" t="s">
        <v>3633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Z142"/>
      <c r="AA142" t="s">
        <v>3633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Z143"/>
      <c r="AA143" t="s">
        <v>3633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Z144"/>
      <c r="AA144" t="s">
        <v>3633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Z145"/>
      <c r="AA145" t="s">
        <v>3633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Z146"/>
      <c r="AA146" t="s">
        <v>3633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Z147"/>
      <c r="AA147" t="s">
        <v>3633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Z148"/>
      <c r="AA148" t="s">
        <v>3633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Z149"/>
      <c r="AA149" t="s">
        <v>3633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Z150"/>
      <c r="AA150" t="s">
        <v>3633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Z151"/>
      <c r="AA151" t="s">
        <v>3633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Z152"/>
      <c r="AA152" t="s">
        <v>3633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Z153"/>
      <c r="AA153" t="s">
        <v>3633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Z154"/>
      <c r="AA154" t="s">
        <v>3633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Z155"/>
      <c r="AA155" t="s">
        <v>3633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Z156"/>
      <c r="AA156" t="s">
        <v>3633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Z157"/>
      <c r="AA157" t="s">
        <v>3633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Z158"/>
      <c r="AA158" t="s">
        <v>3633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Z159"/>
      <c r="AA159" t="s">
        <v>3633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Z160"/>
      <c r="AA160" t="s">
        <v>3633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Z161"/>
      <c r="AA161" t="s">
        <v>3633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Z162"/>
      <c r="AA162" t="s">
        <v>3633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Z163"/>
      <c r="AA163" t="s">
        <v>3633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Z164"/>
      <c r="AA164" t="s">
        <v>3633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Z165"/>
      <c r="AA165" t="s">
        <v>3633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Z166"/>
      <c r="AA166" t="s">
        <v>3633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Z167"/>
      <c r="AA167" t="s">
        <v>3633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Z168"/>
      <c r="AA168" t="s">
        <v>3633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Z169"/>
      <c r="AA169" t="s">
        <v>3633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Z170"/>
      <c r="AA170" t="s">
        <v>3633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Z171"/>
      <c r="AA171" t="s">
        <v>3633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Z172"/>
      <c r="AA172" t="s">
        <v>3633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Z173"/>
      <c r="AA173" t="s">
        <v>3633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Z174"/>
      <c r="AA174" t="s">
        <v>3633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Z175"/>
      <c r="AA175" t="s">
        <v>3633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Z176"/>
      <c r="AA176" t="s">
        <v>3633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Z177"/>
      <c r="AA177" t="s">
        <v>3633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Z178"/>
      <c r="AA178" t="s">
        <v>3633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Z179"/>
      <c r="AA179" t="s">
        <v>3633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Z180"/>
      <c r="AA180" t="s">
        <v>3633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Z181"/>
      <c r="AA181" t="s">
        <v>3633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Z182"/>
      <c r="AA182" t="s">
        <v>3633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Z183"/>
      <c r="AA183" t="s">
        <v>3633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Z184"/>
      <c r="AA184" t="s">
        <v>3633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Z185"/>
      <c r="AA185" t="s">
        <v>3633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Z186"/>
      <c r="AA186" t="s">
        <v>3633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Z187"/>
      <c r="AA187" t="s">
        <v>3633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Z188"/>
      <c r="AA188" t="s">
        <v>3633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Z189"/>
      <c r="AA189" t="s">
        <v>3633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Z190"/>
      <c r="AA190" t="s">
        <v>3633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Z191"/>
      <c r="AA191" t="s">
        <v>3633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Z192"/>
      <c r="AA192" t="s">
        <v>3633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Z193"/>
      <c r="AA193" t="s">
        <v>3633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Z194"/>
      <c r="AA194" t="s">
        <v>3633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Z195"/>
      <c r="AA195" t="s">
        <v>3633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Z196"/>
      <c r="AA196" t="s">
        <v>3633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Z197"/>
      <c r="AA197" t="s">
        <v>3633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Z198"/>
      <c r="AA198" t="s">
        <v>3633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Z199"/>
      <c r="AA199" t="s">
        <v>3633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Z200"/>
      <c r="AA200" t="s">
        <v>3633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Z201"/>
      <c r="AA201" t="s">
        <v>3633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Z202"/>
      <c r="AA202" t="s">
        <v>3633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Z203"/>
      <c r="AA203" t="s">
        <v>3633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Z204"/>
      <c r="AA204" t="s">
        <v>3633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Z205"/>
      <c r="AA205" t="s">
        <v>3633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Z206"/>
      <c r="AA206" t="s">
        <v>3633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Z207"/>
      <c r="AA207" t="s">
        <v>3633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Z208"/>
      <c r="AA208" t="s">
        <v>3633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Z209"/>
      <c r="AA209" t="s">
        <v>3633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Z210"/>
      <c r="AA210" t="s">
        <v>3633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Z211"/>
      <c r="AA211" t="s">
        <v>3633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Z212"/>
      <c r="AA212" t="s">
        <v>3633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Z213"/>
      <c r="AA213" t="s">
        <v>3633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Z214"/>
      <c r="AA214" t="s">
        <v>3633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Z215"/>
      <c r="AA215" t="s">
        <v>3633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Z216"/>
      <c r="AA216" t="s">
        <v>3633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Z217"/>
      <c r="AA217" t="s">
        <v>3633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Z218"/>
      <c r="AA218" t="s">
        <v>3633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Z219"/>
      <c r="AA219" t="s">
        <v>3633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Z220"/>
      <c r="AA220" t="s">
        <v>3633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Z221"/>
      <c r="AA221" t="s">
        <v>3633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Z222"/>
      <c r="AA222" t="s">
        <v>3633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Z223"/>
      <c r="AA223" t="s">
        <v>3633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Z224"/>
      <c r="AA224" t="s">
        <v>3633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Z225"/>
      <c r="AA225" t="s">
        <v>3633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Z226"/>
      <c r="AA226" t="s">
        <v>3633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Z227"/>
      <c r="AA227" t="s">
        <v>3633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Z228"/>
      <c r="AA228" t="s">
        <v>3633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Z229"/>
      <c r="AA229" t="s">
        <v>3633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Z230"/>
      <c r="AA230" t="s">
        <v>3633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Z231"/>
      <c r="AA231" t="s">
        <v>3633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Z232"/>
      <c r="AA232" t="s">
        <v>3633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Z233"/>
      <c r="AA233" t="s">
        <v>3633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Z234"/>
      <c r="AA234" t="s">
        <v>3633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Z235"/>
      <c r="AA235" t="s">
        <v>3633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Z236"/>
      <c r="AA236" t="s">
        <v>3633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Z237"/>
      <c r="AA237" t="s">
        <v>3633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Z238"/>
      <c r="AA238" t="s">
        <v>3633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Z239"/>
      <c r="AA239" t="s">
        <v>3633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Z240"/>
      <c r="AA240" t="s">
        <v>3633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Z241"/>
      <c r="AA241" t="s">
        <v>3633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Z242"/>
      <c r="AA242" t="s">
        <v>3633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Z243"/>
      <c r="AA243" t="s">
        <v>3633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Z244"/>
      <c r="AA244" t="s">
        <v>3633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Z245"/>
      <c r="AA245" t="s">
        <v>3633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Z246"/>
      <c r="AA246" t="s">
        <v>3633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Z247"/>
      <c r="AA247" t="s">
        <v>3633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Z248"/>
      <c r="AA248" t="s">
        <v>3633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Z249"/>
      <c r="AA249" t="s">
        <v>3633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Z250"/>
      <c r="AA250" t="s">
        <v>3633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Z251"/>
      <c r="AA251" t="s">
        <v>3633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Z252"/>
      <c r="AA252" t="s">
        <v>3633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Z253"/>
      <c r="AA253" t="s">
        <v>3633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Z254"/>
      <c r="AA254" t="s">
        <v>3633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Z255"/>
      <c r="AA255" t="s">
        <v>3633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Z256"/>
      <c r="AA256" t="s">
        <v>3633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Z257"/>
      <c r="AA257" t="s">
        <v>3633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Z258"/>
      <c r="AA258" t="s">
        <v>3633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Z259"/>
      <c r="AA259" t="s">
        <v>3633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Z260"/>
      <c r="AA260" t="s">
        <v>3633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Z261"/>
      <c r="AA261" t="s">
        <v>3633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Z262"/>
      <c r="AA262" t="s">
        <v>3633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Z263"/>
      <c r="AA263" t="s">
        <v>3633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Z264"/>
      <c r="AA264" t="s">
        <v>3633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Z265"/>
      <c r="AA265" t="s">
        <v>3633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Z266"/>
      <c r="AA266" t="s">
        <v>3633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Z267"/>
      <c r="AA267" t="s">
        <v>3633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Z268"/>
      <c r="AA268" t="s">
        <v>3633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Z269"/>
      <c r="AA269" t="s">
        <v>3633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Z270"/>
      <c r="AA270" t="s">
        <v>3633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Z271"/>
      <c r="AA271" t="s">
        <v>3633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Z272"/>
      <c r="AA272" t="s">
        <v>3633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Z273"/>
      <c r="AA273" t="s">
        <v>3633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Z274"/>
      <c r="AA274" t="s">
        <v>3633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Z275"/>
      <c r="AA275" t="s">
        <v>3633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Z276"/>
      <c r="AA276" t="s">
        <v>3633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Z277"/>
      <c r="AA277" t="s">
        <v>3633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Z278"/>
      <c r="AA278" t="s">
        <v>3633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Z279"/>
      <c r="AA279" t="s">
        <v>3633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Z280"/>
      <c r="AA280" t="s">
        <v>3633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Z281"/>
      <c r="AA281" t="s">
        <v>3633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Z282"/>
      <c r="AA282" t="s">
        <v>3633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Z283"/>
      <c r="AA283" t="s">
        <v>3633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Z284"/>
      <c r="AA284" t="s">
        <v>3633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Z285"/>
      <c r="AA285" t="s">
        <v>3633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Z286"/>
      <c r="AA286" t="s">
        <v>3633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Z287"/>
      <c r="AA287" t="s">
        <v>3633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Z288"/>
      <c r="AA288" t="s">
        <v>3633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Z289"/>
      <c r="AA289" t="s">
        <v>3633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Z290"/>
      <c r="AA290" t="s">
        <v>3633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Z291"/>
      <c r="AA291" t="s">
        <v>3633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Z292"/>
      <c r="AA292" t="s">
        <v>3633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Z293"/>
      <c r="AA293" t="s">
        <v>3633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Z294"/>
      <c r="AA294" t="s">
        <v>3633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Z295"/>
      <c r="AA295" t="s">
        <v>3633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Z296"/>
      <c r="AA296" t="s">
        <v>3633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Z297"/>
      <c r="AA297" t="s">
        <v>3633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Z298"/>
      <c r="AA298" t="s">
        <v>3633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Z299"/>
      <c r="AA299" t="s">
        <v>3633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Z300"/>
      <c r="AA300" t="s">
        <v>3633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Z301"/>
      <c r="AA301" t="s">
        <v>3633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Z302"/>
      <c r="AA302" t="s">
        <v>3633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Z303"/>
      <c r="AA303" t="s">
        <v>3633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Z304"/>
      <c r="AA304" t="s">
        <v>3633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Z305"/>
      <c r="AA305" t="s">
        <v>3633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Z306"/>
      <c r="AA306" t="s">
        <v>3633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Z307"/>
      <c r="AA307" t="s">
        <v>3633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Z308"/>
      <c r="AA308" t="s">
        <v>3633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Z309"/>
      <c r="AA309" t="s">
        <v>3633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Z310"/>
      <c r="AA310" t="s">
        <v>3633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Z311"/>
      <c r="AA311" t="s">
        <v>3633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Z312"/>
      <c r="AA312" t="s">
        <v>3633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Z313"/>
      <c r="AA313" t="s">
        <v>3633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Z314"/>
      <c r="AA314" t="s">
        <v>3633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Z315"/>
      <c r="AA315" t="s">
        <v>3633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Z316"/>
      <c r="AA316" t="s">
        <v>3633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Z317"/>
      <c r="AA317" t="s">
        <v>3633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Z318"/>
      <c r="AA318" t="s">
        <v>3633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Z319"/>
      <c r="AA319" t="s">
        <v>3633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Z320"/>
      <c r="AA320" t="s">
        <v>3633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Z321"/>
      <c r="AA321" t="s">
        <v>3633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Z322"/>
      <c r="AA322" t="s">
        <v>3633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Z323"/>
      <c r="AA323" t="s">
        <v>3633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Z324"/>
      <c r="AA324" t="s">
        <v>3633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Z325"/>
      <c r="AA325" t="s">
        <v>3633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Z326"/>
      <c r="AA326" t="s">
        <v>3633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Z327"/>
      <c r="AA327" t="s">
        <v>3633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Z328"/>
      <c r="AA328" t="s">
        <v>3633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Z329"/>
      <c r="AA329" t="s">
        <v>3633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Z330"/>
      <c r="AA330" t="s">
        <v>3633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Z331"/>
      <c r="AA331" t="s">
        <v>3633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Z332"/>
      <c r="AA332" t="s">
        <v>3633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Z333"/>
      <c r="AA333" t="s">
        <v>3633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Z334"/>
      <c r="AA334" t="s">
        <v>3633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Z335"/>
      <c r="AA335" t="s">
        <v>3633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Z336"/>
      <c r="AA336" t="s">
        <v>3633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Z337"/>
      <c r="AA337" t="s">
        <v>3633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Z338"/>
      <c r="AA338" t="s">
        <v>3633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Z339"/>
      <c r="AA339" t="s">
        <v>3633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Z340"/>
      <c r="AA340" t="s">
        <v>3633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Z341"/>
      <c r="AA341" t="s">
        <v>3633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Z342"/>
      <c r="AA342" t="s">
        <v>3633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Z343"/>
      <c r="AA343" t="s">
        <v>3633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Z344"/>
      <c r="AA344" t="s">
        <v>3633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Z345"/>
      <c r="AA345" t="s">
        <v>3633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Z346"/>
      <c r="AA346" t="s">
        <v>3633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Z347"/>
      <c r="AA347" t="s">
        <v>3633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Z348"/>
      <c r="AA348" t="s">
        <v>3633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Z349"/>
      <c r="AA349" t="s">
        <v>3633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Z350"/>
      <c r="AA350" t="s">
        <v>3633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Z351"/>
      <c r="AA351" t="s">
        <v>3633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Z352"/>
      <c r="AA352" t="s">
        <v>3633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Z353"/>
      <c r="AA353" t="s">
        <v>3633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Z354"/>
      <c r="AA354" t="s">
        <v>3633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Z355"/>
      <c r="AA355" t="s">
        <v>3633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Z356"/>
      <c r="AA356" t="s">
        <v>3633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Z357"/>
      <c r="AA357" t="s">
        <v>3633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Z358"/>
      <c r="AA358" t="s">
        <v>3633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Z359"/>
      <c r="AA359" t="s">
        <v>3633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Z360"/>
      <c r="AA360" t="s">
        <v>3633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Z361"/>
      <c r="AA361" t="s">
        <v>3633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Z362"/>
      <c r="AA362" t="s">
        <v>3633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Z363"/>
      <c r="AA363" t="s">
        <v>3633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Z364"/>
      <c r="AA364" t="s">
        <v>3633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Z365"/>
      <c r="AA365" t="s">
        <v>3633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Z366"/>
      <c r="AA366" t="s">
        <v>3633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Z367"/>
      <c r="AA367" t="s">
        <v>3633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Z368"/>
      <c r="AA368" t="s">
        <v>3633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Z369"/>
      <c r="AA369" t="s">
        <v>3633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Z370"/>
      <c r="AA370" t="s">
        <v>3633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Z371"/>
      <c r="AA371" t="s">
        <v>3633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Z372"/>
      <c r="AA372" t="s">
        <v>3633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Z373"/>
      <c r="AA373" t="s">
        <v>3633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Z374"/>
      <c r="AA374" t="s">
        <v>3633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Z375"/>
      <c r="AA375" t="s">
        <v>3633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Z376"/>
      <c r="AA376" t="s">
        <v>3633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Z377"/>
      <c r="AA377" t="s">
        <v>3633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Z378"/>
      <c r="AA378" t="s">
        <v>3633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Z379"/>
      <c r="AA379" t="s">
        <v>3633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Z380"/>
      <c r="AA380" t="s">
        <v>3633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Z381"/>
      <c r="AA381" t="s">
        <v>3633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Z382"/>
      <c r="AA382" t="s">
        <v>3633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Z383"/>
      <c r="AA383" t="s">
        <v>3633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Z384"/>
      <c r="AA384" t="s">
        <v>3633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Z385"/>
      <c r="AA385" t="s">
        <v>3633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Z386"/>
      <c r="AA386" t="s">
        <v>3633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Z387"/>
      <c r="AA387" t="s">
        <v>3633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Z388"/>
      <c r="AA388" t="s">
        <v>3633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Z389"/>
      <c r="AA389" t="s">
        <v>3633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Z390"/>
      <c r="AA390" t="s">
        <v>3633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Z391"/>
      <c r="AA391" t="s">
        <v>3633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Z392"/>
      <c r="AA392" t="s">
        <v>3633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Z393"/>
      <c r="AA393" t="s">
        <v>3633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Z394"/>
      <c r="AA394" t="s">
        <v>3633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Z395"/>
      <c r="AA395" t="s">
        <v>3633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Z396"/>
      <c r="AA396" t="s">
        <v>3633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Z397"/>
      <c r="AA397" t="s">
        <v>3633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Z398"/>
      <c r="AA398" t="s">
        <v>3633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Z399"/>
      <c r="AA399" t="s">
        <v>3633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Z400"/>
      <c r="AA400" t="s">
        <v>3633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Z401"/>
      <c r="AA401" t="s">
        <v>3633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Z402"/>
      <c r="AA402" t="s">
        <v>3633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Z403"/>
      <c r="AA403" t="s">
        <v>3633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Z404"/>
      <c r="AA404" t="s">
        <v>3633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Z405"/>
      <c r="AA405" t="s">
        <v>3633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Z406"/>
      <c r="AA406" t="s">
        <v>3633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Z407"/>
      <c r="AA407" t="s">
        <v>3633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Z408"/>
      <c r="AA408" t="s">
        <v>3633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Z409"/>
      <c r="AA409" t="s">
        <v>3633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Z410"/>
      <c r="AA410" t="s">
        <v>3633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Z411"/>
      <c r="AA411" t="s">
        <v>3633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Z412"/>
      <c r="AA412" t="s">
        <v>3633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Z413"/>
      <c r="AA413" t="s">
        <v>3633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Z414"/>
      <c r="AA414" t="s">
        <v>3633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Z415"/>
      <c r="AA415" t="s">
        <v>3633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Z416"/>
      <c r="AA416" t="s">
        <v>3633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Z417"/>
      <c r="AA417" t="s">
        <v>3633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Z418"/>
      <c r="AA418" t="s">
        <v>3633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Z419"/>
      <c r="AA419" t="s">
        <v>3633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Z420"/>
      <c r="AA420" t="s">
        <v>3633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Z421"/>
      <c r="AA421" t="s">
        <v>3633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Z422"/>
      <c r="AA422" t="s">
        <v>3633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Z423"/>
      <c r="AA423" t="s">
        <v>3633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Z424"/>
      <c r="AA424" t="s">
        <v>3633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Z425"/>
      <c r="AA425" t="s">
        <v>3633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Z426"/>
      <c r="AA426" t="s">
        <v>3633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Z427"/>
      <c r="AA427" t="s">
        <v>3633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Z428"/>
      <c r="AA428" t="s">
        <v>3633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Z429"/>
      <c r="AA429" t="s">
        <v>3633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Z430"/>
      <c r="AA430" t="s">
        <v>3633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Z431"/>
      <c r="AA431" t="s">
        <v>3633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Z432"/>
      <c r="AA432" t="s">
        <v>3633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Z433"/>
      <c r="AA433" t="s">
        <v>3633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Z434"/>
      <c r="AA434" t="s">
        <v>3633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Z435"/>
      <c r="AA435" t="s">
        <v>3633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Z436"/>
      <c r="AA436" t="s">
        <v>3633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Z437"/>
      <c r="AA437" t="s">
        <v>3633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Z438"/>
      <c r="AA438" t="s">
        <v>3633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Z439"/>
      <c r="AA439" t="s">
        <v>3633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Z440"/>
      <c r="AA440" t="s">
        <v>3633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Z441"/>
      <c r="AA441" t="s">
        <v>3633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Z442"/>
      <c r="AA442" t="s">
        <v>3633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Z443"/>
      <c r="AA443" t="s">
        <v>3633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Z444"/>
      <c r="AA444" t="s">
        <v>3633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Z445"/>
      <c r="AA445" t="s">
        <v>3633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Z446"/>
      <c r="AA446" t="s">
        <v>3633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Z447"/>
      <c r="AA447" t="s">
        <v>3633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Z448"/>
      <c r="AA448" t="s">
        <v>3633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Z449"/>
      <c r="AA449" t="s">
        <v>3633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Z450"/>
      <c r="AA450" t="s">
        <v>3633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Z451"/>
      <c r="AA451" t="s">
        <v>3633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Z452"/>
      <c r="AA452" t="s">
        <v>3633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Z453"/>
      <c r="AA453" t="s">
        <v>3633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Z454"/>
      <c r="AA454" t="s">
        <v>3633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Z455"/>
      <c r="AA455" t="s">
        <v>3633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Z456"/>
      <c r="AA456" t="s">
        <v>3633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Z457"/>
      <c r="AA457" t="s">
        <v>3633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Z458"/>
      <c r="AA458" t="s">
        <v>3633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Z459"/>
      <c r="AA459" t="s">
        <v>3633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Z460"/>
      <c r="AA460" t="s">
        <v>3633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Z461"/>
      <c r="AA461" t="s">
        <v>3633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Z462"/>
      <c r="AA462" t="s">
        <v>3633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Z463"/>
      <c r="AA463" t="s">
        <v>3633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Z464"/>
      <c r="AA464" t="s">
        <v>3633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Z465"/>
      <c r="AA465" t="s">
        <v>3633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Z466"/>
      <c r="AA466" t="s">
        <v>3633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Z467"/>
      <c r="AA467" t="s">
        <v>3633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Z468"/>
      <c r="AA468" t="s">
        <v>3633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Z469"/>
      <c r="AA469" t="s">
        <v>3633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Z470"/>
      <c r="AA470" t="s">
        <v>3633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Z471"/>
      <c r="AA471" t="s">
        <v>3633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Z472"/>
      <c r="AA472" t="s">
        <v>3633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Z473"/>
      <c r="AA473" t="s">
        <v>3633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Z474"/>
      <c r="AA474" t="s">
        <v>3633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Z475"/>
      <c r="AA475" t="s">
        <v>3633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Z476"/>
      <c r="AA476" t="s">
        <v>3633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Z477"/>
      <c r="AA477" t="s">
        <v>3633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Z478"/>
      <c r="AA478" t="s">
        <v>3633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Z479"/>
      <c r="AA479" t="s">
        <v>3633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Z481"/>
      <c r="AA481" t="s">
        <v>3633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Z482"/>
      <c r="AA482" t="s">
        <v>3633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Z483"/>
      <c r="AA483" t="s">
        <v>3633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Z484"/>
      <c r="AA484" t="s">
        <v>3633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Z485"/>
      <c r="AA485" t="s">
        <v>3633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Z486"/>
      <c r="AA486" t="s">
        <v>3633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Z487"/>
      <c r="AA487" t="s">
        <v>3633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Z488"/>
      <c r="AA488" t="s">
        <v>3633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Z489"/>
      <c r="AA489" t="s">
        <v>3633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Z490"/>
      <c r="AA490" t="s">
        <v>3633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Z491"/>
      <c r="AA491" t="s">
        <v>3633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Z492"/>
      <c r="AA492" t="s">
        <v>3633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Z493"/>
      <c r="AA493" t="s">
        <v>3633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Z494"/>
      <c r="AA494" t="s">
        <v>3633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Z495"/>
      <c r="AA495" t="s">
        <v>3633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Z496"/>
      <c r="AA496" t="s">
        <v>3633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Z497"/>
      <c r="AA497" t="s">
        <v>3633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Z498"/>
      <c r="AA498" t="s">
        <v>3633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Z499"/>
      <c r="AA499" t="s">
        <v>3633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Z500"/>
      <c r="AA500" t="s">
        <v>3633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Z501"/>
      <c r="AA501" t="s">
        <v>3633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Z502"/>
      <c r="AA502" t="s">
        <v>3633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Z503"/>
      <c r="AA503" t="s">
        <v>3633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Z504"/>
      <c r="AA504" t="s">
        <v>3633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Z505"/>
      <c r="AA505" t="s">
        <v>3633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Z506"/>
      <c r="AA506" t="s">
        <v>3633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Z507"/>
      <c r="AA507" t="s">
        <v>3633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Z508"/>
      <c r="AA508" t="s">
        <v>3633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Z509"/>
      <c r="AA509" t="s">
        <v>3633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Z510"/>
      <c r="AA510" t="s">
        <v>3633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Z511"/>
      <c r="AA511" t="s">
        <v>3633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Z512"/>
      <c r="AA512" t="s">
        <v>3633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Z513"/>
      <c r="AA513" t="s">
        <v>3633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Z514"/>
      <c r="AA514" t="s">
        <v>3633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5" t="s">
        <v>3560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5" t="s">
        <v>3560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5" t="s">
        <v>3560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5" t="s">
        <v>3561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5" t="s">
        <v>3560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5" t="s">
        <v>3560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5" t="s">
        <v>3561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5" t="s">
        <v>3560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5" t="s">
        <v>3560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5" t="s">
        <v>3560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5" t="s">
        <v>3560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5" t="s">
        <v>3560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5" t="s">
        <v>3560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5" t="s">
        <v>3560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5" t="s">
        <v>3560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5" t="s">
        <v>3560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5" t="s">
        <v>3561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5" t="s">
        <v>3560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5" t="s">
        <v>3560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5" t="s">
        <v>3560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5" t="s">
        <v>3560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5" t="s">
        <v>3560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5" t="s">
        <v>3560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5" t="s">
        <v>3560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5" t="s">
        <v>3560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5" t="s">
        <v>3561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5" t="s">
        <v>3560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3561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5" t="s">
        <v>3560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5" t="s">
        <v>3560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5" t="s">
        <v>3561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5" t="s">
        <v>3560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5" t="s">
        <v>3560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5" t="s">
        <v>3560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5" t="s">
        <v>3560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5" t="s">
        <v>3560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5" t="s">
        <v>3560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5" t="s">
        <v>3560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3561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5" t="s">
        <v>3560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5" t="s">
        <v>3560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5" t="s">
        <v>3560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5" t="s">
        <v>3560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5" t="s">
        <v>3560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5" t="s">
        <v>3560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5" t="s">
        <v>3560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5" t="s">
        <v>3560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5" t="s">
        <v>3560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5" t="s">
        <v>3560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5" t="s">
        <v>3560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5" t="s">
        <v>3560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5" t="s">
        <v>3560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5" t="s">
        <v>3560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5" t="s">
        <v>3560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5" t="s">
        <v>3560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5" t="s">
        <v>3560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5" t="s">
        <v>3560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5" t="s">
        <v>3560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5" t="s">
        <v>3560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5" t="s">
        <v>3560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5" t="s">
        <v>3560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5" t="s">
        <v>3560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5" t="s">
        <v>3560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5" t="s">
        <v>3560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5" t="s">
        <v>3560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5" t="s">
        <v>3560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5" t="s">
        <v>3560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5" t="s">
        <v>3560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5" t="s">
        <v>3560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5" t="s">
        <v>3560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5" t="s">
        <v>3560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5" t="s">
        <v>3561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5" t="s">
        <v>3560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5" t="s">
        <v>3561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5" t="s">
        <v>3561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5" t="s">
        <v>3560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5" t="s">
        <v>3560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5" t="s">
        <v>3560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5" t="s">
        <v>3560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5" t="s">
        <v>3560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5" t="s">
        <v>3560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5" t="s">
        <v>3560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5" t="s">
        <v>3560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5" t="s">
        <v>3560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5" t="s">
        <v>3560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5" t="s">
        <v>3560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5" t="s">
        <v>3561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5" t="s">
        <v>3560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5" t="s">
        <v>3560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5" t="s">
        <v>3560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5" t="s">
        <v>3560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5" t="s">
        <v>3560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5" t="s">
        <v>3561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5" t="s">
        <v>3560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5" t="s">
        <v>3560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5" t="s">
        <v>3560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5" t="s">
        <v>3560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5" t="s">
        <v>3560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5" t="s">
        <v>3560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5" t="s">
        <v>3560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5" t="s">
        <v>3560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5" t="s">
        <v>3560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5" t="s">
        <v>3560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5" t="s">
        <v>3560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5" t="s">
        <v>3560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5" t="s">
        <v>3560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5" t="s">
        <v>3560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5" t="s">
        <v>3560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5" t="s">
        <v>3560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5" t="s">
        <v>3560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5" t="s">
        <v>3560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5" t="s">
        <v>3560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5" t="s">
        <v>3560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5" t="s">
        <v>3560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5" t="s">
        <v>3560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5" t="s">
        <v>3560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5" t="s">
        <v>3561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5" t="s">
        <v>3560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5" t="s">
        <v>3560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5" t="s">
        <v>3560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5" t="s">
        <v>3560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5" t="s">
        <v>3560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5" t="s">
        <v>3560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5" t="s">
        <v>3561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5" t="s">
        <v>3560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5" t="s">
        <v>3560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5" t="s">
        <v>3561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5" t="s">
        <v>3560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5" t="s">
        <v>3561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5" t="s">
        <v>3560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5" t="s">
        <v>3560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5" t="s">
        <v>3560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5" t="s">
        <v>3560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5" t="s">
        <v>3560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5" t="s">
        <v>3560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5" t="s">
        <v>3560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5" t="s">
        <v>3560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5" t="s">
        <v>3560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5" t="s">
        <v>3560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5" t="s">
        <v>3560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5" t="s">
        <v>3560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5" t="s">
        <v>3560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5" t="s">
        <v>3560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5" t="s">
        <v>3561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5" t="s">
        <v>3560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5" t="s">
        <v>3560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5" t="s">
        <v>3560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5" t="s">
        <v>3560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5" t="s">
        <v>3560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5" t="s">
        <v>3560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5" t="s">
        <v>3560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5" t="s">
        <v>3560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5" t="s">
        <v>3560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5" t="s">
        <v>3560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5" t="s">
        <v>3560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5" t="s">
        <v>3560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5" t="s">
        <v>3561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5" t="s">
        <v>3560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5" t="s">
        <v>3560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5" t="s">
        <v>3560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5" t="s">
        <v>3560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5" t="s">
        <v>3560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5" t="s">
        <v>3560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5" t="s">
        <v>3560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5" t="s">
        <v>3560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5" t="s">
        <v>3560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5" t="s">
        <v>3560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5" t="s">
        <v>3560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5" t="s">
        <v>3560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5" t="s">
        <v>3560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5" t="s">
        <v>3560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5" t="s">
        <v>3560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3561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5" t="s">
        <v>3560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5" t="s">
        <v>3560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5" t="s">
        <v>3560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5" t="s">
        <v>3560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5" t="s">
        <v>3560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5" t="s">
        <v>3560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5" t="s">
        <v>3561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5" t="s">
        <v>3560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5" t="s">
        <v>3560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5" t="s">
        <v>3560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5" t="s">
        <v>3560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5" t="s">
        <v>3560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5" t="s">
        <v>3560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5" t="s">
        <v>3560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5" t="s">
        <v>3561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5" t="s">
        <v>3561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5" t="s">
        <v>3560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5" t="s">
        <v>3560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5" t="s">
        <v>3560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5" t="s">
        <v>3560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5" t="s">
        <v>3560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5" t="s">
        <v>3560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5" t="s">
        <v>3560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5" t="s">
        <v>3560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5" t="s">
        <v>3560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5" t="s">
        <v>3560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5" t="s">
        <v>3560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5" t="s">
        <v>3561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5" t="s">
        <v>3560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5" t="s">
        <v>3560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5" t="s">
        <v>3560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5" t="s">
        <v>3561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W720" s="5"/>
      <c r="X720" t="s">
        <v>3515</v>
      </c>
      <c r="Y720" t="s">
        <v>37</v>
      </c>
      <c r="Z720">
        <v>0</v>
      </c>
      <c r="AA720" s="35" t="s">
        <v>3560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5" t="s">
        <v>3560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5" t="s">
        <v>3560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5" t="s">
        <v>3560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5" t="s">
        <v>3560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5" t="s">
        <v>3560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5" t="s">
        <v>3560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5" t="s">
        <v>3560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5" t="s">
        <v>3560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5" t="s">
        <v>3560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5" t="s">
        <v>3560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5" t="s">
        <v>3560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5" t="s">
        <v>3560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5" t="s">
        <v>3560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5" t="s">
        <v>3560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5" t="s">
        <v>3560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3561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5" t="s">
        <v>3560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5" t="s">
        <v>3560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5" t="s">
        <v>3560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5" t="s">
        <v>3560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5" t="s">
        <v>3560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5" t="s">
        <v>3560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5" t="s">
        <v>3560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5" t="s">
        <v>3560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5" t="s">
        <v>3561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5" t="s">
        <v>3561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5" t="s">
        <v>3560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5" t="s">
        <v>3560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5" t="s">
        <v>3560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5" t="s">
        <v>3560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5" t="s">
        <v>3560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5" t="s">
        <v>3560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5" t="s">
        <v>3560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5" t="s">
        <v>3560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5" t="s">
        <v>3561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5" t="s">
        <v>3560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5" t="s">
        <v>3560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5" t="s">
        <v>3560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5" t="s">
        <v>3560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5" t="s">
        <v>3560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5" t="s">
        <v>3561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5" t="s">
        <v>3561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5" t="s">
        <v>3560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5" t="s">
        <v>3560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5" t="s">
        <v>3560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5" t="s">
        <v>3560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5" t="s">
        <v>3560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5" t="s">
        <v>3560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5" t="s">
        <v>3560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5" t="s">
        <v>3561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5" t="s">
        <v>3560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5" t="s">
        <v>3560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5" t="s">
        <v>3561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5" t="s">
        <v>3560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5" t="s">
        <v>3560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5" t="s">
        <v>3560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5" t="s">
        <v>3560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5" t="s">
        <v>3560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5" t="s">
        <v>3560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5" t="s">
        <v>3560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5" t="s">
        <v>3560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5" t="s">
        <v>3560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5" t="s">
        <v>3560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5" t="s">
        <v>3560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5" t="s">
        <v>3560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5" t="s">
        <v>3560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5" t="s">
        <v>3560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5" t="s">
        <v>3560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5" t="s">
        <v>3560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5" t="s">
        <v>3560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5" t="s">
        <v>3560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5" t="s">
        <v>3560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5" t="s">
        <v>3561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5" t="s">
        <v>3560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5" t="s">
        <v>3560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5" t="s">
        <v>3560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5" t="s">
        <v>3560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5" t="s">
        <v>3560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5" t="s">
        <v>3560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5" t="s">
        <v>3560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5" t="s">
        <v>3560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5" t="s">
        <v>3561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5" t="s">
        <v>3560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5" t="s">
        <v>3561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5" t="s">
        <v>3561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5" t="s">
        <v>3560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5" t="s">
        <v>3560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3561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5" t="s">
        <v>3560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5" t="s">
        <v>3560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5" t="s">
        <v>3561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5" t="s">
        <v>3560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5" t="s">
        <v>3560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5" t="s">
        <v>3560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5" t="s">
        <v>3561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5" t="s">
        <v>3560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5" t="s">
        <v>3560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5" t="s">
        <v>3560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5" t="s">
        <v>3560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5" t="s">
        <v>3560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5" t="s">
        <v>3560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5" t="s">
        <v>3560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5" t="s">
        <v>3561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5" t="s">
        <v>3560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5" t="s">
        <v>3561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5" t="s">
        <v>3561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5" t="s">
        <v>3560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5" t="s">
        <v>3560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1339</v>
      </c>
      <c r="V840" s="37">
        <v>1</v>
      </c>
      <c r="W840" s="37"/>
      <c r="X840" t="s">
        <v>3514</v>
      </c>
      <c r="Y840" t="s">
        <v>1340</v>
      </c>
      <c r="Z840" s="2">
        <v>5938</v>
      </c>
      <c r="AA840" s="42" t="s">
        <v>3560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3501</v>
      </c>
      <c r="V841" s="37">
        <v>1</v>
      </c>
      <c r="W841" s="37"/>
      <c r="X841" t="s">
        <v>3515</v>
      </c>
      <c r="Y841" t="s">
        <v>100</v>
      </c>
      <c r="Z841" s="2">
        <v>5263</v>
      </c>
      <c r="AA841" s="42" t="s">
        <v>3560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3501</v>
      </c>
      <c r="V842" s="37">
        <v>1</v>
      </c>
      <c r="W842" s="37"/>
      <c r="X842" t="s">
        <v>3515</v>
      </c>
      <c r="Y842" t="s">
        <v>100</v>
      </c>
      <c r="Z842" s="2">
        <v>5263</v>
      </c>
      <c r="AA842" s="43" t="s">
        <v>3561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1341</v>
      </c>
      <c r="V843" s="37">
        <v>1</v>
      </c>
      <c r="W843" s="37"/>
      <c r="X843" t="s">
        <v>3515</v>
      </c>
      <c r="Y843" t="s">
        <v>399</v>
      </c>
      <c r="Z843" s="2">
        <v>5233</v>
      </c>
      <c r="AA843" s="42" t="s">
        <v>3560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3505</v>
      </c>
      <c r="V844" s="37">
        <v>1</v>
      </c>
      <c r="W844" s="37"/>
      <c r="X844" t="s">
        <v>3514</v>
      </c>
      <c r="Y844" t="s">
        <v>3506</v>
      </c>
      <c r="Z844" s="2">
        <v>550311</v>
      </c>
      <c r="AA844" s="42" t="s">
        <v>3560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3498</v>
      </c>
      <c r="V845" s="37">
        <v>1</v>
      </c>
      <c r="W845" s="37"/>
      <c r="X845" t="s">
        <v>3513</v>
      </c>
      <c r="Y845" t="s">
        <v>3499</v>
      </c>
      <c r="Z845" s="2">
        <v>5324</v>
      </c>
      <c r="AA845" s="42" t="s">
        <v>3560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3511</v>
      </c>
      <c r="V846" s="37"/>
      <c r="W846" s="37">
        <v>1</v>
      </c>
      <c r="X846" t="s">
        <v>3549</v>
      </c>
      <c r="Y846" t="s">
        <v>3512</v>
      </c>
      <c r="Z846" s="2">
        <v>6319</v>
      </c>
      <c r="AA846" s="43" t="s">
        <v>3560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3500</v>
      </c>
      <c r="V847" s="37"/>
      <c r="W847" s="37">
        <v>1</v>
      </c>
      <c r="X847" t="s">
        <v>3549</v>
      </c>
      <c r="Y847" t="s">
        <v>5</v>
      </c>
      <c r="Z847" s="2">
        <v>6316</v>
      </c>
      <c r="AA847" s="43" t="s">
        <v>3560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3502</v>
      </c>
      <c r="V848" s="37">
        <v>1</v>
      </c>
      <c r="W848" s="37"/>
      <c r="X848" t="s">
        <v>3514</v>
      </c>
      <c r="Y848" t="s">
        <v>10</v>
      </c>
      <c r="Z848" s="2">
        <v>2548</v>
      </c>
      <c r="AA848" s="42" t="s">
        <v>3560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3503</v>
      </c>
      <c r="V849" s="37">
        <v>1</v>
      </c>
      <c r="W849" s="37"/>
      <c r="X849" t="s">
        <v>3514</v>
      </c>
      <c r="Y849" t="s">
        <v>3504</v>
      </c>
      <c r="Z849" s="2">
        <v>5931</v>
      </c>
      <c r="AA849" s="42" t="s">
        <v>3560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3548</v>
      </c>
      <c r="V850" s="37">
        <v>1</v>
      </c>
      <c r="W850" s="37"/>
      <c r="X850" t="s">
        <v>3515</v>
      </c>
      <c r="Y850" t="s">
        <v>13</v>
      </c>
      <c r="Z850" s="2">
        <v>5259</v>
      </c>
      <c r="AA850" s="42" t="s">
        <v>3560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3507</v>
      </c>
      <c r="V851" s="37"/>
      <c r="W851" s="37">
        <v>1</v>
      </c>
      <c r="X851" t="s">
        <v>3549</v>
      </c>
      <c r="Y851" t="s">
        <v>75</v>
      </c>
      <c r="Z851" s="2">
        <v>6331</v>
      </c>
      <c r="AA851" s="43" t="s">
        <v>3560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3508</v>
      </c>
      <c r="V852" s="37">
        <v>1</v>
      </c>
      <c r="W852" s="37"/>
      <c r="X852" t="s">
        <v>3513</v>
      </c>
      <c r="Y852" t="s">
        <v>119</v>
      </c>
      <c r="Z852" s="2">
        <v>5042</v>
      </c>
      <c r="AA852" s="42" t="s">
        <v>3560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3558</v>
      </c>
      <c r="V853" s="37">
        <v>1</v>
      </c>
      <c r="W853" s="37"/>
      <c r="X853" t="s">
        <v>3514</v>
      </c>
      <c r="Y853" t="s">
        <v>3559</v>
      </c>
      <c r="Z853" s="2">
        <v>4678</v>
      </c>
      <c r="AA853" s="43" t="s">
        <v>3560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3509</v>
      </c>
      <c r="V854" s="37"/>
      <c r="W854" s="37">
        <v>1</v>
      </c>
      <c r="X854" t="s">
        <v>3550</v>
      </c>
      <c r="Y854" t="s">
        <v>3510</v>
      </c>
      <c r="Z854" s="2">
        <v>6369</v>
      </c>
      <c r="AA854" s="43" t="s">
        <v>3560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3563</v>
      </c>
      <c r="V855" s="37">
        <v>1</v>
      </c>
      <c r="W855" s="37"/>
      <c r="X855" t="s">
        <v>3515</v>
      </c>
      <c r="Y855" t="s">
        <v>48</v>
      </c>
      <c r="Z855" s="2">
        <v>5265</v>
      </c>
      <c r="AA855" s="43" t="s">
        <v>3560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3568</v>
      </c>
      <c r="V856" s="37">
        <v>1</v>
      </c>
      <c r="W856" s="37"/>
      <c r="X856" t="s">
        <v>3515</v>
      </c>
      <c r="Y856" t="s">
        <v>100</v>
      </c>
      <c r="Z856" s="2">
        <v>2193</v>
      </c>
      <c r="AA856" s="43" t="s">
        <v>3560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3551</v>
      </c>
      <c r="V857" s="37"/>
      <c r="W857" s="37">
        <v>1</v>
      </c>
      <c r="X857" t="s">
        <v>3550</v>
      </c>
      <c r="Y857" t="s">
        <v>3552</v>
      </c>
      <c r="Z857" s="2">
        <v>6374</v>
      </c>
      <c r="AA857" s="43" t="s">
        <v>3561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3553</v>
      </c>
      <c r="V858" s="37">
        <v>1</v>
      </c>
      <c r="W858" s="37"/>
      <c r="X858" t="s">
        <v>3513</v>
      </c>
      <c r="Y858" t="s">
        <v>25</v>
      </c>
      <c r="Z858" s="2">
        <v>5237</v>
      </c>
      <c r="AA858" s="42" t="s">
        <v>3560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3555</v>
      </c>
      <c r="V859" s="37">
        <v>1</v>
      </c>
      <c r="W859" s="37"/>
      <c r="X859" t="s">
        <v>3514</v>
      </c>
      <c r="Y859" t="s">
        <v>51</v>
      </c>
      <c r="Z859" s="2">
        <v>5763</v>
      </c>
      <c r="AA859" s="42" t="s">
        <v>3560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3554</v>
      </c>
      <c r="V860" s="37">
        <v>1</v>
      </c>
      <c r="W860" s="37"/>
      <c r="X860" t="s">
        <v>3514</v>
      </c>
      <c r="Y860" t="s">
        <v>3552</v>
      </c>
      <c r="Z860" s="2">
        <v>5488</v>
      </c>
      <c r="AA860" s="42" t="s">
        <v>3560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3557</v>
      </c>
      <c r="V861" s="37"/>
      <c r="W861" s="37">
        <v>1</v>
      </c>
      <c r="X861" t="s">
        <v>3549</v>
      </c>
      <c r="Y861" t="s">
        <v>1314</v>
      </c>
      <c r="Z861" s="2">
        <v>6334</v>
      </c>
      <c r="AA861" s="42" t="s">
        <v>3561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3564</v>
      </c>
      <c r="V862" s="37"/>
      <c r="W862" s="37"/>
      <c r="X862" t="s">
        <v>3514</v>
      </c>
      <c r="Y862" t="s">
        <v>3565</v>
      </c>
      <c r="Z862" s="2">
        <v>5913</v>
      </c>
      <c r="AA862" s="43" t="s">
        <v>3560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3626</v>
      </c>
      <c r="V863" s="37"/>
      <c r="W863" s="37"/>
      <c r="X863" t="s">
        <v>3514</v>
      </c>
      <c r="Y863" t="s">
        <v>28</v>
      </c>
      <c r="Z863" s="2">
        <v>5488</v>
      </c>
      <c r="AA863" s="43" t="s">
        <v>3560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3625</v>
      </c>
      <c r="V864" s="37">
        <v>1</v>
      </c>
      <c r="W864" s="37"/>
      <c r="X864" t="s">
        <v>3514</v>
      </c>
      <c r="Y864" t="s">
        <v>535</v>
      </c>
      <c r="Z864" s="2">
        <v>5488</v>
      </c>
      <c r="AA864" s="43" t="s">
        <v>3561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3630</v>
      </c>
      <c r="V865" s="37"/>
      <c r="W865" s="37"/>
      <c r="X865" t="s">
        <v>3514</v>
      </c>
      <c r="Y865" t="s">
        <v>84</v>
      </c>
      <c r="Z865" s="2">
        <v>5923</v>
      </c>
      <c r="AA865" s="43" t="s">
        <v>3560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3627</v>
      </c>
      <c r="V866" s="37"/>
      <c r="W866" s="37"/>
      <c r="X866" t="s">
        <v>3514</v>
      </c>
      <c r="Y866" t="s">
        <v>3628</v>
      </c>
      <c r="Z866" s="2">
        <v>2047</v>
      </c>
      <c r="AA866" s="43" t="s">
        <v>3560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3629</v>
      </c>
      <c r="V867" s="37"/>
      <c r="W867" s="37"/>
      <c r="X867" t="s">
        <v>3550</v>
      </c>
      <c r="Y867" t="s">
        <v>5</v>
      </c>
      <c r="Z867" s="2">
        <v>6375</v>
      </c>
      <c r="AA867" s="43" t="s">
        <v>3560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3631</v>
      </c>
      <c r="V868" s="37"/>
      <c r="W868" s="37"/>
      <c r="X868" t="s">
        <v>3515</v>
      </c>
      <c r="Y868" t="s">
        <v>3632</v>
      </c>
      <c r="Z868" s="2">
        <v>5225</v>
      </c>
      <c r="AA868" s="43" t="s">
        <v>3633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3634</v>
      </c>
      <c r="V869" s="37"/>
      <c r="W869" s="37"/>
      <c r="X869" t="s">
        <v>3514</v>
      </c>
      <c r="Y869" t="s">
        <v>40</v>
      </c>
      <c r="Z869" s="2">
        <v>2047</v>
      </c>
      <c r="AA869" s="43" t="s">
        <v>3560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3636</v>
      </c>
      <c r="V870" s="37"/>
      <c r="W870" s="37"/>
      <c r="X870" t="s">
        <v>3549</v>
      </c>
      <c r="Y870" t="s">
        <v>75</v>
      </c>
      <c r="Z870" s="2">
        <v>6328</v>
      </c>
      <c r="AA870" s="43" t="s">
        <v>3561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3635</v>
      </c>
      <c r="V871" s="37"/>
      <c r="W871" s="37"/>
      <c r="X871" t="s">
        <v>3514</v>
      </c>
      <c r="Y871" t="s">
        <v>3628</v>
      </c>
      <c r="Z871" s="2">
        <v>2085</v>
      </c>
      <c r="AA871" s="43" t="s">
        <v>3560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3637</v>
      </c>
      <c r="V872" s="37"/>
      <c r="W872" s="37"/>
      <c r="X872" t="s">
        <v>3514</v>
      </c>
      <c r="Y872" t="s">
        <v>3638</v>
      </c>
      <c r="Z872" s="2">
        <v>5922</v>
      </c>
      <c r="AA872" s="43" t="s">
        <v>3561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3639</v>
      </c>
      <c r="V873" s="37"/>
      <c r="W873" s="37"/>
      <c r="X873" t="s">
        <v>3514</v>
      </c>
      <c r="Y873" t="s">
        <v>1325</v>
      </c>
      <c r="Z873" s="2">
        <v>5938</v>
      </c>
      <c r="AA873" s="43" t="s">
        <v>3561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3640</v>
      </c>
      <c r="V874" s="37"/>
      <c r="W874" s="37"/>
      <c r="X874" t="s">
        <v>3514</v>
      </c>
      <c r="Y874" t="s">
        <v>16</v>
      </c>
      <c r="Z874" s="2">
        <v>5773</v>
      </c>
      <c r="AA874" s="43" t="s">
        <v>3560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3641</v>
      </c>
      <c r="V875" s="37"/>
      <c r="W875" s="37"/>
      <c r="X875" t="s">
        <v>3515</v>
      </c>
      <c r="Y875" t="s">
        <v>113</v>
      </c>
      <c r="Z875" s="2">
        <v>2190</v>
      </c>
      <c r="AA875" s="43" t="s">
        <v>3560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3642</v>
      </c>
      <c r="V876" s="37"/>
      <c r="W876" s="37"/>
      <c r="X876" t="s">
        <v>3514</v>
      </c>
      <c r="Y876" t="s">
        <v>31</v>
      </c>
      <c r="Z876" s="2">
        <v>5910</v>
      </c>
      <c r="AA876" s="43" t="s">
        <v>3560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3643</v>
      </c>
      <c r="V877" s="37"/>
      <c r="W877" s="37"/>
      <c r="X877" t="s">
        <v>3514</v>
      </c>
      <c r="Y877" t="s">
        <v>1291</v>
      </c>
      <c r="Z877" s="2">
        <v>5917</v>
      </c>
      <c r="AA877" s="43" t="s">
        <v>3560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3644</v>
      </c>
      <c r="V878" s="37"/>
      <c r="W878" s="37"/>
      <c r="X878" t="s">
        <v>3514</v>
      </c>
      <c r="Y878" t="s">
        <v>610</v>
      </c>
      <c r="Z878" s="2">
        <v>5768</v>
      </c>
      <c r="AA878" s="43" t="s">
        <v>3560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3645</v>
      </c>
      <c r="V879" s="37"/>
      <c r="W879" s="37"/>
      <c r="X879" t="s">
        <v>3514</v>
      </c>
      <c r="Y879" t="s">
        <v>3504</v>
      </c>
      <c r="Z879" s="2">
        <v>5913</v>
      </c>
      <c r="AA879" s="43" t="s">
        <v>3560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3646</v>
      </c>
      <c r="V880" s="37"/>
      <c r="W880" s="37"/>
      <c r="X880" t="s">
        <v>3515</v>
      </c>
      <c r="Y880" t="s">
        <v>100</v>
      </c>
      <c r="Z880" s="2">
        <v>2201</v>
      </c>
      <c r="AA880" s="43" t="s">
        <v>3561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3647</v>
      </c>
      <c r="V881" s="37"/>
      <c r="W881" s="37"/>
      <c r="X881" t="s">
        <v>3514</v>
      </c>
      <c r="Y881" t="s">
        <v>243</v>
      </c>
      <c r="Z881" s="2">
        <v>550822</v>
      </c>
      <c r="AA881" s="43" t="s">
        <v>3560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3648</v>
      </c>
      <c r="V882" s="37"/>
      <c r="W882" s="37"/>
      <c r="X882" t="s">
        <v>3549</v>
      </c>
      <c r="Y882" t="s">
        <v>625</v>
      </c>
      <c r="Z882" s="2">
        <v>6312</v>
      </c>
      <c r="AA882" s="43" t="s">
        <v>3560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3649</v>
      </c>
      <c r="V883" s="37"/>
      <c r="W883" s="37"/>
      <c r="X883" t="s">
        <v>3515</v>
      </c>
      <c r="Y883" t="s">
        <v>3650</v>
      </c>
      <c r="Z883" s="2">
        <v>2191</v>
      </c>
      <c r="AA883" s="43" t="s">
        <v>3560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3651</v>
      </c>
      <c r="V884" s="37"/>
      <c r="W884" s="37"/>
      <c r="X884" t="s">
        <v>3514</v>
      </c>
      <c r="Y884" t="s">
        <v>46</v>
      </c>
      <c r="Z884" s="2">
        <v>5486</v>
      </c>
      <c r="AA884" s="43" t="s">
        <v>3560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V885" s="37"/>
      <c r="W885" s="37"/>
    </row>
    <row r="886" spans="1:27" x14ac:dyDescent="0.25">
      <c r="B886" t="e">
        <f>_xlfn.CONCAT(bron[[#This Row],[personeelsnr]]," ",bron[[#This Row],[achternaam]]," ",bron[[#This Row],[voornaam]])</f>
        <v>#N/A</v>
      </c>
      <c r="C886" t="e">
        <f>VLOOKUP(bron[[#This Row],[personeelsnr]],'data hastus'!$A:$C,2,0)</f>
        <v>#N/A</v>
      </c>
      <c r="D886" t="e">
        <f>VLOOKUP(bron[[#This Row],[personeelsnr]],'data hastus'!$A:$C,3,0)</f>
        <v>#N/A</v>
      </c>
      <c r="E886" s="2" t="e">
        <f>VLOOKUP(bron[[#This Row],[personeelsnr]],'data hastus'!A:K,11,FALSE)</f>
        <v>#N/A</v>
      </c>
      <c r="G886" s="39"/>
      <c r="H886" s="39"/>
      <c r="I886" s="39"/>
      <c r="S886" s="36">
        <f>SUM(bron[[#This Row],[Januari]:[December]])</f>
        <v>0</v>
      </c>
      <c r="V886" s="37"/>
      <c r="W886" s="37"/>
    </row>
    <row r="887" spans="1:27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s="2" t="e">
        <f>VLOOKUP(bron[[#This Row],[personeelsnr]],'data hastus'!A:K,11,FALSE)</f>
        <v>#N/A</v>
      </c>
      <c r="G887" s="39"/>
      <c r="H887" s="39"/>
      <c r="I887" s="39"/>
      <c r="S887" s="36">
        <f>SUM(bron[[#This Row],[Januari]:[December]])</f>
        <v>0</v>
      </c>
      <c r="V887" s="37"/>
      <c r="W887" s="37"/>
    </row>
    <row r="888" spans="1:27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s="2" t="e">
        <f>VLOOKUP(bron[[#This Row],[personeelsnr]],'data hastus'!A:K,11,FALSE)</f>
        <v>#N/A</v>
      </c>
      <c r="G888" s="39"/>
      <c r="H888" s="39"/>
      <c r="I888" s="39"/>
      <c r="S888" s="36">
        <f>SUM(bron[[#This Row],[Januari]:[December]])</f>
        <v>0</v>
      </c>
      <c r="V888" s="37"/>
      <c r="W888" s="37"/>
    </row>
    <row r="889" spans="1:27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s="2" t="e">
        <f>VLOOKUP(bron[[#This Row],[personeelsnr]],'data hastus'!A:K,11,FALSE)</f>
        <v>#N/A</v>
      </c>
      <c r="G889" s="39"/>
      <c r="H889" s="39"/>
      <c r="I889" s="39"/>
      <c r="S889" s="36">
        <f>SUM(bron[[#This Row],[Januari]:[December]])</f>
        <v>0</v>
      </c>
      <c r="V889" s="37"/>
      <c r="W889" s="37"/>
    </row>
    <row r="890" spans="1:27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s="2" t="e">
        <f>VLOOKUP(bron[[#This Row],[personeelsnr]],'data hastus'!A:K,11,FALSE)</f>
        <v>#N/A</v>
      </c>
      <c r="G890" s="39"/>
      <c r="H890" s="39"/>
      <c r="I890" s="39"/>
      <c r="S890" s="36">
        <f>SUM(bron[[#This Row],[Januari]:[December]])</f>
        <v>0</v>
      </c>
      <c r="V890" s="37"/>
      <c r="W890" s="37"/>
    </row>
    <row r="891" spans="1:27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39"/>
      <c r="H891" s="39"/>
      <c r="I891" s="39"/>
      <c r="S891" s="36">
        <f>SUM(bron[[#This Row],[Januari]:[December]])</f>
        <v>0</v>
      </c>
      <c r="V891" s="37"/>
      <c r="W891" s="37"/>
    </row>
    <row r="892" spans="1:27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1:27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1:27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1:27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1:27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1"/>
  <sheetViews>
    <sheetView topLeftCell="A17" workbookViewId="0">
      <selection activeCell="C47" sqref="C4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3566</v>
      </c>
    </row>
    <row r="39" spans="1:3" x14ac:dyDescent="0.25">
      <c r="A39">
        <v>23079</v>
      </c>
      <c r="B39" t="s">
        <v>3545</v>
      </c>
      <c r="C39" s="8" t="s">
        <v>3567</v>
      </c>
    </row>
    <row r="40" spans="1:3" x14ac:dyDescent="0.25">
      <c r="A40">
        <v>40152</v>
      </c>
      <c r="B40" t="s">
        <v>3623</v>
      </c>
      <c r="C40" s="8" t="s">
        <v>3624</v>
      </c>
    </row>
    <row r="41" spans="1:3" x14ac:dyDescent="0.25">
      <c r="A41">
        <v>10865</v>
      </c>
      <c r="B41" t="s">
        <v>3652</v>
      </c>
      <c r="C41" s="8" t="s">
        <v>3653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</hyperlinks>
  <pageMargins left="0.7" right="0.7" top="0.75" bottom="0.75" header="0.3" footer="0.3"/>
  <tableParts count="1">
    <tablePart r:id="rId4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2025-10-06T07:31:26Z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