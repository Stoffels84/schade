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6" documentId="13_ncr:1_{10FCACA5-8197-478D-90D3-5F83063FB753}" xr6:coauthVersionLast="47" xr6:coauthVersionMax="47" xr10:uidLastSave="{2D0C8E5C-C745-4FA3-8939-EF1E9D1E3201}"/>
  <bookViews>
    <workbookView xWindow="4020" yWindow="2004" windowWidth="22668" windowHeight="12804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2" i="1" l="1"/>
  <c r="B923" i="1"/>
  <c r="B924" i="1"/>
  <c r="B925" i="1"/>
  <c r="B926" i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1" i="1" l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<sst xmlns="http://schemas.openxmlformats.org/spreadsheetml/2006/main" count="8698" uniqueCount="3737">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</sst>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25</v>
          </cell>
        </row>
        <row r="6">
          <cell r="A6">
            <v>8</v>
          </cell>
          <cell r="B6" t="str">
            <v>Dominique De Clercq</v>
          </cell>
          <cell r="D6">
            <v>37</v>
          </cell>
        </row>
        <row r="7">
          <cell r="A7">
            <v>6</v>
          </cell>
          <cell r="B7" t="str">
            <v>Steven Storm</v>
          </cell>
          <cell r="D7">
            <v>15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25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37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15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201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X921" sqref="X92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B922" t="e">
        <f>_xlfn.CONCAT(bron[[#This Row],[personeelsnr]]," ",bron[[#This Row],[achternaam]]," ",bron[[#This Row],[voornaam]])</f>
        <v>#N/A</v>
      </c>
      <c r="C922" t="e">
        <f>VLOOKUP(bron[[#This Row],[personeelsnr]],'data hastus'!$A:$C,2,0)</f>
        <v>#N/A</v>
      </c>
      <c r="D922" t="e">
        <f>VLOOKUP(bron[[#This Row],[personeelsnr]],'data hastus'!$A:$C,3,0)</f>
        <v>#N/A</v>
      </c>
      <c r="E922" s="2" t="e">
        <f>VLOOKUP(bron[[#This Row],[personeelsnr]],'data hastus'!A:K,11,FALSE)</f>
        <v>#N/A</v>
      </c>
      <c r="F922" s="10"/>
      <c r="G922" s="39"/>
      <c r="H922" s="39"/>
      <c r="I922" s="39"/>
      <c r="S922" s="36">
        <f>SUM(bron[[#This Row],[Januari]:[December]])</f>
        <v>0</v>
      </c>
      <c r="V922" s="37"/>
      <c r="W922" s="37"/>
    </row>
    <row r="923" spans="1:27" x14ac:dyDescent="0.3">
      <c r="B923" t="e">
        <f>_xlfn.CONCAT(bron[[#This Row],[personeelsnr]]," ",bron[[#This Row],[achternaam]]," ",bron[[#This Row],[voornaam]])</f>
        <v>#N/A</v>
      </c>
      <c r="C923" t="e">
        <f>VLOOKUP(bron[[#This Row],[personeelsnr]],'data hastus'!$A:$C,2,0)</f>
        <v>#N/A</v>
      </c>
      <c r="D923" t="e">
        <f>VLOOKUP(bron[[#This Row],[personeelsnr]],'data hastus'!$A:$C,3,0)</f>
        <v>#N/A</v>
      </c>
      <c r="E923" s="2" t="e">
        <f>VLOOKUP(bron[[#This Row],[personeelsnr]],'data hastus'!A:K,11,FALSE)</f>
        <v>#N/A</v>
      </c>
      <c r="F923" s="10"/>
      <c r="G923" s="39"/>
      <c r="H923" s="39"/>
      <c r="I923" s="39"/>
      <c r="S923" s="36">
        <f>SUM(bron[[#This Row],[Januari]:[December]])</f>
        <v>0</v>
      </c>
      <c r="V923" s="37"/>
      <c r="W923" s="37"/>
    </row>
    <row r="924" spans="1:27" x14ac:dyDescent="0.3">
      <c r="B924" t="e">
        <f>_xlfn.CONCAT(bron[[#This Row],[personeelsnr]]," ",bron[[#This Row],[achternaam]]," ",bron[[#This Row],[voornaam]])</f>
        <v>#N/A</v>
      </c>
      <c r="C924" t="e">
        <f>VLOOKUP(bron[[#This Row],[personeelsnr]],'data hastus'!$A:$C,2,0)</f>
        <v>#N/A</v>
      </c>
      <c r="D924" t="e">
        <f>VLOOKUP(bron[[#This Row],[personeelsnr]],'data hastus'!$A:$C,3,0)</f>
        <v>#N/A</v>
      </c>
      <c r="E924" s="2" t="e">
        <f>VLOOKUP(bron[[#This Row],[personeelsnr]],'data hastus'!A:K,11,FALSE)</f>
        <v>#N/A</v>
      </c>
      <c r="F924" s="10"/>
      <c r="G924" s="39"/>
      <c r="H924" s="39"/>
      <c r="I924" s="39"/>
      <c r="S924" s="36">
        <f>SUM(bron[[#This Row],[Januari]:[December]])</f>
        <v>0</v>
      </c>
      <c r="V924" s="37"/>
      <c r="W924" s="37"/>
    </row>
    <row r="925" spans="1:27" x14ac:dyDescent="0.3">
      <c r="B925" t="e">
        <f>_xlfn.CONCAT(bron[[#This Row],[personeelsnr]]," ",bron[[#This Row],[achternaam]]," ",bron[[#This Row],[voornaam]])</f>
        <v>#N/A</v>
      </c>
      <c r="C925" t="e">
        <f>VLOOKUP(bron[[#This Row],[personeelsnr]],'data hastus'!$A:$C,2,0)</f>
        <v>#N/A</v>
      </c>
      <c r="D925" t="e">
        <f>VLOOKUP(bron[[#This Row],[personeelsnr]],'data hastus'!$A:$C,3,0)</f>
        <v>#N/A</v>
      </c>
      <c r="E925" s="2" t="e">
        <f>VLOOKUP(bron[[#This Row],[personeelsnr]],'data hastus'!A:K,11,FALSE)</f>
        <v>#N/A</v>
      </c>
      <c r="F925" s="10"/>
      <c r="G925" s="39"/>
      <c r="H925" s="39"/>
      <c r="I925" s="39"/>
      <c r="S925" s="36">
        <f>SUM(bron[[#This Row],[Januari]:[December]])</f>
        <v>0</v>
      </c>
      <c r="V925" s="37"/>
      <c r="W925" s="37"/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2025-10-29T09:07:09Z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