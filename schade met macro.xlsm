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" documentId="13_ncr:1_{10FCACA5-8197-478D-90D3-5F83063FB753}" xr6:coauthVersionLast="47" xr6:coauthVersionMax="47" xr10:uidLastSave="{684E392F-1144-44AA-8584-4A622E71D924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2" i="1" l="1"/>
  <c r="B931" i="1"/>
  <c r="B930" i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<sst xmlns="http://schemas.openxmlformats.org/spreadsheetml/2006/main" count="8746" uniqueCount="3751">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</sst>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10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X933" sqref="X93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3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3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3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3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3747</v>
      </c>
      <c r="V931" s="37"/>
      <c r="W931" s="37"/>
      <c r="X931" t="s">
        <v>3513</v>
      </c>
      <c r="Y931" t="s">
        <v>3748</v>
      </c>
      <c r="Z931" s="2">
        <v>5052</v>
      </c>
      <c r="AA931" s="43" t="s">
        <v>3558</v>
      </c>
    </row>
    <row r="932" spans="1:27" x14ac:dyDescent="0.3">
      <c r="A932">
        <v>16895</v>
      </c>
      <c r="B932" t="str">
        <f>_xlfn.CONCAT(bron[[#This Row],[personeelsnr]]," ",bron[[#This Row],[achternaam]]," ",bron[[#This Row],[voornaam]])</f>
        <v>16895 Van Lauwe Freddy</v>
      </c>
      <c r="C932" t="str">
        <f>VLOOKUP(bron[[#This Row],[personeelsnr]],'data hastus'!$A:$C,2,0)</f>
        <v>Van Lauwe</v>
      </c>
      <c r="D932" t="str">
        <f>VLOOKUP(bron[[#This Row],[personeelsnr]],'data hastus'!$A:$C,3,0)</f>
        <v>Freddy</v>
      </c>
      <c r="E932" s="2" t="str">
        <f>VLOOKUP(bron[[#This Row],[personeelsnr]],'data hastus'!A:K,11,FALSE)</f>
        <v>Bart Van Der Beken</v>
      </c>
      <c r="F932" s="10"/>
      <c r="G932" s="39"/>
      <c r="H932" s="39"/>
      <c r="I932" s="39"/>
      <c r="S932" s="36">
        <f>SUM(bron[[#This Row],[Januari]:[December]])</f>
        <v>0</v>
      </c>
      <c r="T932" s="41">
        <v>45954</v>
      </c>
      <c r="U932" s="5" t="s">
        <v>3749</v>
      </c>
      <c r="V932" s="37"/>
      <c r="W932" s="37"/>
      <c r="X932" t="s">
        <v>3548</v>
      </c>
      <c r="Y932" t="s">
        <v>31</v>
      </c>
      <c r="Z932" s="2">
        <v>6368</v>
      </c>
      <c r="AA932" s="43" t="s">
        <v>3558</v>
      </c>
    </row>
    <row r="933" spans="1:27" x14ac:dyDescent="0.3">
      <c r="A933">
        <v>27673</v>
      </c>
      <c r="C933" t="str">
        <f>VLOOKUP(bron[[#This Row],[personeelsnr]],'data hastus'!$A:$C,2,0)</f>
        <v>Verbanck</v>
      </c>
      <c r="D933" t="str">
        <f>VLOOKUP(bron[[#This Row],[personeelsnr]],'data hastus'!$A:$C,3,0)</f>
        <v>Koen</v>
      </c>
      <c r="E933" s="2" t="str">
        <f>VLOOKUP(bron[[#This Row],[personeelsnr]],'data hastus'!A:K,11,FALSE)</f>
        <v>Christoff Rotty</v>
      </c>
      <c r="F933" s="10"/>
      <c r="G933" s="39"/>
      <c r="H933" s="39"/>
      <c r="I933" s="39"/>
      <c r="S933" s="36">
        <f>SUM(bron[[#This Row],[Januari]:[December]])</f>
        <v>0</v>
      </c>
      <c r="T933" s="41">
        <v>45955</v>
      </c>
      <c r="U933" s="5" t="s">
        <v>3750</v>
      </c>
      <c r="V933" s="37"/>
      <c r="W933" s="37"/>
      <c r="X933" t="s">
        <v>3548</v>
      </c>
      <c r="Y933" t="s">
        <v>1312</v>
      </c>
      <c r="Z933" s="2">
        <v>6375</v>
      </c>
      <c r="AA933" s="43" t="s">
        <v>3558</v>
      </c>
    </row>
  </sheetData>
  <sheetProtection sort="0" autoFilter="0"/>
  <phoneticPr fontId="1" type="noConversion"/>
  <conditionalFormatting sqref="F2:F93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2025-10-31T22:54:30Z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