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2" documentId="13_ncr:1_{10FCACA5-8197-478D-90D3-5F83063FB753}" xr6:coauthVersionLast="47" xr6:coauthVersionMax="47" xr10:uidLastSave="{E19AE1C5-A82D-409D-9576-568712AB3579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4" i="1" l="1"/>
  <c r="B925" i="1"/>
  <c r="B926" i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3" i="1" l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<sst xmlns="http://schemas.openxmlformats.org/spreadsheetml/2006/main" count="8706" uniqueCount="3739">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</sst>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A924" sqref="A92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B924" t="e">
        <f>_xlfn.CONCAT(bron[[#This Row],[personeelsnr]]," ",bron[[#This Row],[achternaam]]," ",bron[[#This Row],[voornaam]])</f>
        <v>#N/A</v>
      </c>
      <c r="C924" t="e">
        <f>VLOOKUP(bron[[#This Row],[personeelsnr]],'data hastus'!$A:$C,2,0)</f>
        <v>#N/A</v>
      </c>
      <c r="D924" t="e">
        <f>VLOOKUP(bron[[#This Row],[personeelsnr]],'data hastus'!$A:$C,3,0)</f>
        <v>#N/A</v>
      </c>
      <c r="E924" s="2" t="e">
        <f>VLOOKUP(bron[[#This Row],[personeelsnr]],'data hastus'!A:K,11,FALSE)</f>
        <v>#N/A</v>
      </c>
      <c r="F924" s="10"/>
      <c r="G924" s="39"/>
      <c r="H924" s="39"/>
      <c r="I924" s="39"/>
      <c r="S924" s="36">
        <f>SUM(bron[[#This Row],[Januari]:[December]])</f>
        <v>0</v>
      </c>
      <c r="V924" s="37"/>
      <c r="W924" s="37"/>
    </row>
    <row r="925" spans="1:27" x14ac:dyDescent="0.3">
      <c r="B925" t="e">
        <f>_xlfn.CONCAT(bron[[#This Row],[personeelsnr]]," ",bron[[#This Row],[achternaam]]," ",bron[[#This Row],[voornaam]])</f>
        <v>#N/A</v>
      </c>
      <c r="C925" t="e">
        <f>VLOOKUP(bron[[#This Row],[personeelsnr]],'data hastus'!$A:$C,2,0)</f>
        <v>#N/A</v>
      </c>
      <c r="D925" t="e">
        <f>VLOOKUP(bron[[#This Row],[personeelsnr]],'data hastus'!$A:$C,3,0)</f>
        <v>#N/A</v>
      </c>
      <c r="E925" s="2" t="e">
        <f>VLOOKUP(bron[[#This Row],[personeelsnr]],'data hastus'!A:K,11,FALSE)</f>
        <v>#N/A</v>
      </c>
      <c r="F925" s="10"/>
      <c r="G925" s="39"/>
      <c r="H925" s="39"/>
      <c r="I925" s="39"/>
      <c r="S925" s="36">
        <f>SUM(bron[[#This Row],[Januari]:[December]])</f>
        <v>0</v>
      </c>
      <c r="V925" s="37"/>
      <c r="W925" s="37"/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2025-10-30T08:59:42Z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