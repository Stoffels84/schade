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pivotTables/pivotTable6.xml" ContentType="application/vnd.openxmlformats-officedocument.spreadsheetml.pivot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001" documentId="13_ncr:1_{10FCACA5-8197-478D-90D3-5F83063FB753}" xr6:coauthVersionLast="47" xr6:coauthVersionMax="47" xr10:uidLastSave="{0078C627-A65D-4351-8186-328DAD074601}"/>
  <bookViews>
    <workbookView xWindow="-14040" yWindow="-16320" windowWidth="29040" windowHeight="15720" tabRatio="656" firstSheet="1" activeTab="1" xr2:uid="{D7AB5F58-0F25-45E4-9869-1B2DB4C7BDA0}"/>
  </bookViews>
  <sheets>
    <sheet name="naar word" sheetId="12" state="hidden" r:id="rId1"/>
    <sheet name="BRON" sheetId="1" r:id="rId2"/>
    <sheet name="Dashboard" sheetId="14" r:id="rId3"/>
    <sheet name="contact" sheetId="13" state="hidden" r:id="rId4"/>
    <sheet name="archief 2024" sheetId="10" state="hidden" r:id="rId5"/>
    <sheet name="data hastus" sheetId="3" state="hidden" r:id="rId6"/>
    <sheet name="schades-dienstjaar" sheetId="15" r:id="rId7"/>
  </sheets>
  <functionGroups builtInGroupCount="19"/>
  <definedNames>
    <definedName name="_xlnm._FilterDatabase" localSheetId="1" hidden="1">BRON!$A$1:$E$1</definedName>
    <definedName name="_xlnm._FilterDatabase" localSheetId="5" hidden="1">'data hastus'!$A$1:$T$1</definedName>
    <definedName name="_xleta.DATE" hidden="1" xlm="1">#NAME?</definedName>
    <definedName name="_xleta.LEN" hidden="1" xlm="1">#NAME?</definedName>
    <definedName name="_xleta.MID" hidden="1" xlm="1">#NAME?</definedName>
    <definedName name="_xleta.VLOOKUP" hidden="1" xlm="1">#NAME?</definedName>
    <definedName name="OorspronkelijkeTijdlijn_Datum1">#N/A</definedName>
  </definedNames>
  <calcPr calcId="191029" calcCompleted="0"/>
  <pivotCaches>
    <pivotCache cacheId="0" r:id="rId8"/>
    <pivotCache cacheId="17" r:id="rId9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" i="15" l="1" a="1"/>
  <c r="H3" i="15" s="1"/>
  <c r="H4" i="15" a="1"/>
  <c r="H4" i="15" s="1"/>
  <c r="H5" i="15" a="1"/>
  <c r="H5" i="15" s="1"/>
  <c r="H6" i="15" a="1"/>
  <c r="H6" i="15" s="1"/>
  <c r="H7" i="15" a="1"/>
  <c r="H7" i="15" s="1"/>
  <c r="H8" i="15" a="1"/>
  <c r="H8" i="15" s="1"/>
  <c r="H9" i="15" a="1"/>
  <c r="H9" i="15" s="1"/>
  <c r="H10" i="15" a="1"/>
  <c r="H10" i="15" s="1"/>
  <c r="H11" i="15" a="1"/>
  <c r="H11" i="15" s="1"/>
  <c r="H12" i="15" a="1"/>
  <c r="H12" i="15" s="1"/>
  <c r="H13" i="15" a="1"/>
  <c r="H13" i="15" s="1"/>
  <c r="H14" i="15" a="1"/>
  <c r="H14" i="15" s="1"/>
  <c r="H15" i="15" a="1"/>
  <c r="H15" i="15" s="1"/>
  <c r="H16" i="15" a="1"/>
  <c r="H16" i="15" s="1"/>
  <c r="H17" i="15" a="1"/>
  <c r="H17" i="15" s="1"/>
  <c r="H18" i="15" a="1"/>
  <c r="H18" i="15" s="1"/>
  <c r="H19" i="15" a="1"/>
  <c r="H19" i="15" s="1"/>
  <c r="H20" i="15" a="1"/>
  <c r="H20" i="15" s="1"/>
  <c r="H21" i="15" a="1"/>
  <c r="H21" i="15" s="1"/>
  <c r="H22" i="15" a="1"/>
  <c r="H22" i="15" s="1"/>
  <c r="H23" i="15" a="1"/>
  <c r="H23" i="15" s="1"/>
  <c r="H24" i="15" a="1"/>
  <c r="H24" i="15" s="1"/>
  <c r="H25" i="15" a="1"/>
  <c r="H25" i="15" s="1"/>
  <c r="H26" i="15" a="1"/>
  <c r="H26" i="15" s="1"/>
  <c r="H27" i="15" a="1"/>
  <c r="H27" i="15" s="1"/>
  <c r="H28" i="15" a="1"/>
  <c r="H28" i="15" s="1"/>
  <c r="H29" i="15" a="1"/>
  <c r="H29" i="15" s="1"/>
  <c r="H30" i="15" a="1"/>
  <c r="H30" i="15" s="1"/>
  <c r="H31" i="15" a="1"/>
  <c r="H31" i="15" s="1"/>
  <c r="H32" i="15" a="1"/>
  <c r="H32" i="15" s="1"/>
  <c r="H33" i="15" a="1"/>
  <c r="H33" i="15" s="1"/>
  <c r="H34" i="15" a="1"/>
  <c r="H34" i="15" s="1"/>
  <c r="H35" i="15" a="1"/>
  <c r="H35" i="15" s="1"/>
  <c r="H36" i="15" a="1"/>
  <c r="H36" i="15" s="1"/>
  <c r="H37" i="15" a="1"/>
  <c r="H37" i="15" s="1"/>
  <c r="H38" i="15" a="1"/>
  <c r="H38" i="15" s="1"/>
  <c r="H39" i="15" a="1"/>
  <c r="H39" i="15" s="1"/>
  <c r="H40" i="15" a="1"/>
  <c r="H40" i="15" s="1"/>
  <c r="H41" i="15" a="1"/>
  <c r="H41" i="15" s="1"/>
  <c r="H42" i="15" a="1"/>
  <c r="H42" i="15" s="1"/>
  <c r="H43" i="15" a="1"/>
  <c r="H43" i="15" s="1"/>
  <c r="H44" i="15" a="1"/>
  <c r="H44" i="15" s="1"/>
  <c r="H45" i="15" a="1"/>
  <c r="H45" i="15" s="1"/>
  <c r="H46" i="15" a="1"/>
  <c r="H46" i="15" s="1"/>
  <c r="H47" i="15" a="1"/>
  <c r="H47" i="15" s="1"/>
  <c r="H48" i="15" a="1"/>
  <c r="H48" i="15" s="1"/>
  <c r="H49" i="15" a="1"/>
  <c r="H49" i="15" s="1"/>
  <c r="H50" i="15" a="1"/>
  <c r="H50" i="15" s="1"/>
  <c r="H51" i="15" a="1"/>
  <c r="H51" i="15" s="1"/>
  <c r="H52" i="15" a="1"/>
  <c r="H52" i="15" s="1"/>
  <c r="H53" i="15" a="1"/>
  <c r="H53" i="15" s="1"/>
  <c r="H54" i="15" a="1"/>
  <c r="H54" i="15" s="1"/>
  <c r="H55" i="15" a="1"/>
  <c r="H55" i="15" s="1"/>
  <c r="H56" i="15" a="1"/>
  <c r="H56" i="15" s="1"/>
  <c r="H57" i="15" a="1"/>
  <c r="H57" i="15" s="1"/>
  <c r="H58" i="15" a="1"/>
  <c r="H58" i="15" s="1"/>
  <c r="H59" i="15" a="1"/>
  <c r="H59" i="15" s="1"/>
  <c r="H60" i="15" a="1"/>
  <c r="H60" i="15" s="1"/>
  <c r="H61" i="15" a="1"/>
  <c r="H61" i="15" s="1"/>
  <c r="H62" i="15" a="1"/>
  <c r="H62" i="15" s="1"/>
  <c r="H63" i="15" a="1"/>
  <c r="H63" i="15" s="1"/>
  <c r="H64" i="15" a="1"/>
  <c r="H64" i="15" s="1"/>
  <c r="H65" i="15" a="1"/>
  <c r="H65" i="15" s="1"/>
  <c r="H66" i="15" a="1"/>
  <c r="H66" i="15" s="1"/>
  <c r="H67" i="15" a="1"/>
  <c r="H67" i="15" s="1"/>
  <c r="H68" i="15" a="1"/>
  <c r="H68" i="15" s="1"/>
  <c r="H69" i="15" a="1"/>
  <c r="H69" i="15" s="1"/>
  <c r="H70" i="15" a="1"/>
  <c r="H70" i="15" s="1"/>
  <c r="H71" i="15" a="1"/>
  <c r="H71" i="15" s="1"/>
  <c r="H72" i="15" a="1"/>
  <c r="H72" i="15" s="1"/>
  <c r="H73" i="15" a="1"/>
  <c r="H73" i="15" s="1"/>
  <c r="H74" i="15" a="1"/>
  <c r="H74" i="15" s="1"/>
  <c r="H75" i="15" a="1"/>
  <c r="H75" i="15" s="1"/>
  <c r="H76" i="15" a="1"/>
  <c r="H76" i="15" s="1"/>
  <c r="H77" i="15" a="1"/>
  <c r="H77" i="15" s="1"/>
  <c r="H78" i="15" a="1"/>
  <c r="H78" i="15" s="1"/>
  <c r="H79" i="15" a="1"/>
  <c r="H79" i="15" s="1"/>
  <c r="H80" i="15" a="1"/>
  <c r="H80" i="15" s="1"/>
  <c r="H81" i="15" a="1"/>
  <c r="H81" i="15" s="1"/>
  <c r="H82" i="15" a="1"/>
  <c r="H82" i="15" s="1"/>
  <c r="H83" i="15" a="1"/>
  <c r="H83" i="15" s="1"/>
  <c r="H84" i="15" a="1"/>
  <c r="H84" i="15" s="1"/>
  <c r="H85" i="15" a="1"/>
  <c r="H85" i="15" s="1"/>
  <c r="H86" i="15" a="1"/>
  <c r="H86" i="15" s="1"/>
  <c r="H87" i="15" a="1"/>
  <c r="H87" i="15" s="1"/>
  <c r="H88" i="15" a="1"/>
  <c r="H88" i="15" s="1"/>
  <c r="H89" i="15" a="1"/>
  <c r="H89" i="15" s="1"/>
  <c r="H90" i="15" a="1"/>
  <c r="H90" i="15" s="1"/>
  <c r="H91" i="15" a="1"/>
  <c r="H91" i="15" s="1"/>
  <c r="H92" i="15" a="1"/>
  <c r="H92" i="15" s="1"/>
  <c r="H93" i="15" a="1"/>
  <c r="H93" i="15" s="1"/>
  <c r="H94" i="15" a="1"/>
  <c r="H94" i="15" s="1"/>
  <c r="H95" i="15" a="1"/>
  <c r="H95" i="15" s="1"/>
  <c r="H96" i="15" a="1"/>
  <c r="H96" i="15" s="1"/>
  <c r="H97" i="15" a="1"/>
  <c r="H97" i="15" s="1"/>
  <c r="H98" i="15" a="1"/>
  <c r="H98" i="15" s="1"/>
  <c r="H99" i="15" a="1"/>
  <c r="H99" i="15" s="1"/>
  <c r="H100" i="15" a="1"/>
  <c r="H100" i="15" s="1"/>
  <c r="H101" i="15" a="1"/>
  <c r="H101" i="15" s="1"/>
  <c r="H102" i="15" a="1"/>
  <c r="H102" i="15" s="1"/>
  <c r="H103" i="15" a="1"/>
  <c r="H103" i="15" s="1"/>
  <c r="H104" i="15" a="1"/>
  <c r="H104" i="15" s="1"/>
  <c r="H105" i="15" a="1"/>
  <c r="H105" i="15" s="1"/>
  <c r="H106" i="15" a="1"/>
  <c r="H106" i="15" s="1"/>
  <c r="H107" i="15" a="1"/>
  <c r="H107" i="15" s="1"/>
  <c r="H108" i="15" a="1"/>
  <c r="H108" i="15" s="1"/>
  <c r="H109" i="15" a="1"/>
  <c r="H109" i="15" s="1"/>
  <c r="H110" i="15" a="1"/>
  <c r="H110" i="15" s="1"/>
  <c r="H111" i="15" a="1"/>
  <c r="H111" i="15" s="1"/>
  <c r="H112" i="15" a="1"/>
  <c r="H112" i="15" s="1"/>
  <c r="H113" i="15" a="1"/>
  <c r="H113" i="15" s="1"/>
  <c r="H114" i="15" a="1"/>
  <c r="H114" i="15" s="1"/>
  <c r="H115" i="15" a="1"/>
  <c r="H115" i="15" s="1"/>
  <c r="H116" i="15" a="1"/>
  <c r="H116" i="15" s="1"/>
  <c r="H117" i="15" a="1"/>
  <c r="H117" i="15" s="1"/>
  <c r="H118" i="15" a="1"/>
  <c r="H118" i="15" s="1"/>
  <c r="H119" i="15" a="1"/>
  <c r="H119" i="15" s="1"/>
  <c r="H120" i="15" a="1"/>
  <c r="H120" i="15" s="1"/>
  <c r="H121" i="15" a="1"/>
  <c r="H121" i="15" s="1"/>
  <c r="H122" i="15" a="1"/>
  <c r="H122" i="15" s="1"/>
  <c r="H123" i="15" a="1"/>
  <c r="H123" i="15" s="1"/>
  <c r="H124" i="15" a="1"/>
  <c r="H124" i="15" s="1"/>
  <c r="H125" i="15" a="1"/>
  <c r="H125" i="15" s="1"/>
  <c r="H126" i="15" a="1"/>
  <c r="H126" i="15" s="1"/>
  <c r="H127" i="15" a="1"/>
  <c r="H127" i="15" s="1"/>
  <c r="H128" i="15" a="1"/>
  <c r="H128" i="15" s="1"/>
  <c r="H129" i="15" a="1"/>
  <c r="H129" i="15" s="1"/>
  <c r="H130" i="15" a="1"/>
  <c r="H130" i="15" s="1"/>
  <c r="H131" i="15" a="1"/>
  <c r="H131" i="15" s="1"/>
  <c r="H132" i="15" a="1"/>
  <c r="H132" i="15" s="1"/>
  <c r="H133" i="15" a="1"/>
  <c r="H133" i="15" s="1"/>
  <c r="H134" i="15" a="1"/>
  <c r="H134" i="15" s="1"/>
  <c r="H135" i="15" a="1"/>
  <c r="H135" i="15" s="1"/>
  <c r="H136" i="15" a="1"/>
  <c r="H136" i="15" s="1"/>
  <c r="H137" i="15" a="1"/>
  <c r="H137" i="15" s="1"/>
  <c r="H138" i="15" a="1"/>
  <c r="H138" i="15" s="1"/>
  <c r="H139" i="15" a="1"/>
  <c r="H139" i="15" s="1"/>
  <c r="H140" i="15" a="1"/>
  <c r="H140" i="15" s="1"/>
  <c r="H141" i="15" a="1"/>
  <c r="H141" i="15" s="1"/>
  <c r="H142" i="15" a="1"/>
  <c r="H142" i="15" s="1"/>
  <c r="H143" i="15" a="1"/>
  <c r="H143" i="15" s="1"/>
  <c r="H144" i="15" a="1"/>
  <c r="H144" i="15" s="1"/>
  <c r="H145" i="15" a="1"/>
  <c r="H145" i="15" s="1"/>
  <c r="H146" i="15" a="1"/>
  <c r="H146" i="15" s="1"/>
  <c r="H147" i="15" a="1"/>
  <c r="H147" i="15" s="1"/>
  <c r="H148" i="15" a="1"/>
  <c r="H148" i="15" s="1"/>
  <c r="H149" i="15" a="1"/>
  <c r="H149" i="15" s="1"/>
  <c r="H150" i="15" a="1"/>
  <c r="H150" i="15" s="1"/>
  <c r="H151" i="15" a="1"/>
  <c r="H151" i="15" s="1"/>
  <c r="H152" i="15" a="1"/>
  <c r="H152" i="15" s="1"/>
  <c r="H153" i="15" a="1"/>
  <c r="H153" i="15" s="1"/>
  <c r="H154" i="15" a="1"/>
  <c r="H154" i="15" s="1"/>
  <c r="H155" i="15" a="1"/>
  <c r="H155" i="15" s="1"/>
  <c r="H156" i="15" a="1"/>
  <c r="H156" i="15" s="1"/>
  <c r="H157" i="15" a="1"/>
  <c r="H157" i="15" s="1"/>
  <c r="H158" i="15" a="1"/>
  <c r="H158" i="15" s="1"/>
  <c r="H159" i="15" a="1"/>
  <c r="H159" i="15" s="1"/>
  <c r="H160" i="15" a="1"/>
  <c r="H160" i="15" s="1"/>
  <c r="H161" i="15" a="1"/>
  <c r="H161" i="15" s="1"/>
  <c r="H162" i="15" a="1"/>
  <c r="H162" i="15" s="1"/>
  <c r="H163" i="15" a="1"/>
  <c r="H163" i="15" s="1"/>
  <c r="H164" i="15" a="1"/>
  <c r="H164" i="15" s="1"/>
  <c r="H165" i="15" a="1"/>
  <c r="H165" i="15" s="1"/>
  <c r="H166" i="15" a="1"/>
  <c r="H166" i="15" s="1"/>
  <c r="H167" i="15" a="1"/>
  <c r="H167" i="15" s="1"/>
  <c r="H168" i="15" a="1"/>
  <c r="H168" i="15" s="1"/>
  <c r="H169" i="15" a="1"/>
  <c r="H169" i="15" s="1"/>
  <c r="H170" i="15" a="1"/>
  <c r="H170" i="15" s="1"/>
  <c r="H171" i="15" a="1"/>
  <c r="H171" i="15" s="1"/>
  <c r="H172" i="15" a="1"/>
  <c r="H172" i="15" s="1"/>
  <c r="H173" i="15" a="1"/>
  <c r="H173" i="15" s="1"/>
  <c r="H174" i="15" a="1"/>
  <c r="H174" i="15" s="1"/>
  <c r="H175" i="15" a="1"/>
  <c r="H175" i="15" s="1"/>
  <c r="H176" i="15" a="1"/>
  <c r="H176" i="15" s="1"/>
  <c r="H177" i="15" a="1"/>
  <c r="H177" i="15" s="1"/>
  <c r="H178" i="15" a="1"/>
  <c r="H178" i="15" s="1"/>
  <c r="H179" i="15" a="1"/>
  <c r="H179" i="15" s="1"/>
  <c r="H180" i="15" a="1"/>
  <c r="H180" i="15" s="1"/>
  <c r="H181" i="15" a="1"/>
  <c r="H181" i="15" s="1"/>
  <c r="H182" i="15" a="1"/>
  <c r="H182" i="15" s="1"/>
  <c r="H183" i="15" a="1"/>
  <c r="H183" i="15" s="1"/>
  <c r="H184" i="15" a="1"/>
  <c r="H184" i="15" s="1"/>
  <c r="H185" i="15" a="1"/>
  <c r="H185" i="15" s="1"/>
  <c r="H186" i="15" a="1"/>
  <c r="H186" i="15" s="1"/>
  <c r="H187" i="15" a="1"/>
  <c r="H187" i="15" s="1"/>
  <c r="H188" i="15" a="1"/>
  <c r="H188" i="15" s="1"/>
  <c r="H189" i="15" a="1"/>
  <c r="H189" i="15" s="1"/>
  <c r="H190" i="15" a="1"/>
  <c r="H190" i="15" s="1"/>
  <c r="H191" i="15" a="1"/>
  <c r="H191" i="15" s="1"/>
  <c r="H192" i="15" a="1"/>
  <c r="H192" i="15" s="1"/>
  <c r="H193" i="15" a="1"/>
  <c r="H193" i="15" s="1"/>
  <c r="H194" i="15" a="1"/>
  <c r="H194" i="15" s="1"/>
  <c r="H195" i="15" a="1"/>
  <c r="H195" i="15" s="1"/>
  <c r="H196" i="15" a="1"/>
  <c r="H196" i="15" s="1"/>
  <c r="H197" i="15" a="1"/>
  <c r="H197" i="15" s="1"/>
  <c r="H198" i="15" a="1"/>
  <c r="H198" i="15" s="1"/>
  <c r="H199" i="15" a="1"/>
  <c r="H199" i="15" s="1"/>
  <c r="H200" i="15" a="1"/>
  <c r="H200" i="15" s="1"/>
  <c r="H201" i="15" a="1"/>
  <c r="H201" i="15" s="1"/>
  <c r="H202" i="15" a="1"/>
  <c r="H202" i="15" s="1"/>
  <c r="H203" i="15" a="1"/>
  <c r="H203" i="15" s="1"/>
  <c r="H204" i="15" a="1"/>
  <c r="H204" i="15" s="1"/>
  <c r="H205" i="15" a="1"/>
  <c r="H205" i="15" s="1"/>
  <c r="H206" i="15" a="1"/>
  <c r="H206" i="15" s="1"/>
  <c r="H207" i="15" a="1"/>
  <c r="H207" i="15" s="1"/>
  <c r="H208" i="15" a="1"/>
  <c r="H208" i="15" s="1"/>
  <c r="H209" i="15" a="1"/>
  <c r="H209" i="15" s="1"/>
  <c r="H210" i="15" a="1"/>
  <c r="H210" i="15" s="1"/>
  <c r="H211" i="15" a="1"/>
  <c r="H211" i="15" s="1"/>
  <c r="H212" i="15" a="1"/>
  <c r="H212" i="15" s="1"/>
  <c r="H213" i="15" a="1"/>
  <c r="H213" i="15" s="1"/>
  <c r="H214" i="15" a="1"/>
  <c r="H214" i="15" s="1"/>
  <c r="H215" i="15" a="1"/>
  <c r="H215" i="15" s="1"/>
  <c r="H216" i="15" a="1"/>
  <c r="H216" i="15" s="1"/>
  <c r="H217" i="15" a="1"/>
  <c r="H217" i="15" s="1"/>
  <c r="H218" i="15" a="1"/>
  <c r="H218" i="15" s="1"/>
  <c r="H219" i="15" a="1"/>
  <c r="H219" i="15" s="1"/>
  <c r="H220" i="15" a="1"/>
  <c r="H220" i="15" s="1"/>
  <c r="H221" i="15" a="1"/>
  <c r="H221" i="15" s="1"/>
  <c r="H222" i="15" a="1"/>
  <c r="H222" i="15" s="1"/>
  <c r="H223" i="15" a="1"/>
  <c r="H223" i="15" s="1"/>
  <c r="H224" i="15" a="1"/>
  <c r="H224" i="15" s="1"/>
  <c r="H225" i="15" a="1"/>
  <c r="H225" i="15" s="1"/>
  <c r="H226" i="15" a="1"/>
  <c r="H226" i="15" s="1"/>
  <c r="H227" i="15" a="1"/>
  <c r="H227" i="15" s="1"/>
  <c r="H228" i="15" a="1"/>
  <c r="H228" i="15" s="1"/>
  <c r="H229" i="15" a="1"/>
  <c r="H229" i="15" s="1"/>
  <c r="H230" i="15" a="1"/>
  <c r="H230" i="15" s="1"/>
  <c r="H231" i="15" a="1"/>
  <c r="H231" i="15" s="1"/>
  <c r="H232" i="15" a="1"/>
  <c r="H232" i="15" s="1"/>
  <c r="H233" i="15" a="1"/>
  <c r="H233" i="15" s="1"/>
  <c r="H234" i="15" a="1"/>
  <c r="H234" i="15" s="1"/>
  <c r="H235" i="15" a="1"/>
  <c r="H235" i="15" s="1"/>
  <c r="H236" i="15" a="1"/>
  <c r="H236" i="15" s="1"/>
  <c r="H237" i="15" a="1"/>
  <c r="H237" i="15" s="1"/>
  <c r="H238" i="15" a="1"/>
  <c r="H238" i="15" s="1"/>
  <c r="H239" i="15" a="1"/>
  <c r="H239" i="15" s="1"/>
  <c r="H240" i="15" a="1"/>
  <c r="H240" i="15" s="1"/>
  <c r="H241" i="15" a="1"/>
  <c r="H241" i="15" s="1"/>
  <c r="H242" i="15" a="1"/>
  <c r="H242" i="15" s="1"/>
  <c r="H243" i="15" a="1"/>
  <c r="H243" i="15" s="1"/>
  <c r="H244" i="15" a="1"/>
  <c r="H244" i="15" s="1"/>
  <c r="H245" i="15" a="1"/>
  <c r="H245" i="15" s="1"/>
  <c r="H246" i="15" a="1"/>
  <c r="H246" i="15" s="1"/>
  <c r="H247" i="15" a="1"/>
  <c r="H247" i="15" s="1"/>
  <c r="H248" i="15" a="1"/>
  <c r="H248" i="15" s="1"/>
  <c r="H249" i="15" a="1"/>
  <c r="H249" i="15" s="1"/>
  <c r="H250" i="15" a="1"/>
  <c r="H250" i="15" s="1"/>
  <c r="H251" i="15" a="1"/>
  <c r="H251" i="15" s="1"/>
  <c r="H252" i="15" a="1"/>
  <c r="H252" i="15" s="1"/>
  <c r="H253" i="15" a="1"/>
  <c r="H253" i="15" s="1"/>
  <c r="H254" i="15" a="1"/>
  <c r="H254" i="15" s="1"/>
  <c r="H255" i="15" a="1"/>
  <c r="H255" i="15" s="1"/>
  <c r="H256" i="15" a="1"/>
  <c r="H256" i="15" s="1"/>
  <c r="H257" i="15" a="1"/>
  <c r="H257" i="15" s="1"/>
  <c r="H258" i="15" a="1"/>
  <c r="H258" i="15" s="1"/>
  <c r="H259" i="15" a="1"/>
  <c r="H259" i="15" s="1"/>
  <c r="H260" i="15" a="1"/>
  <c r="H260" i="15" s="1"/>
  <c r="H261" i="15" a="1"/>
  <c r="H261" i="15" s="1"/>
  <c r="H262" i="15" a="1"/>
  <c r="H262" i="15" s="1"/>
  <c r="H263" i="15" a="1"/>
  <c r="H263" i="15" s="1"/>
  <c r="H264" i="15" a="1"/>
  <c r="H264" i="15" s="1"/>
  <c r="H265" i="15" a="1"/>
  <c r="H265" i="15" s="1"/>
  <c r="H266" i="15" a="1"/>
  <c r="H266" i="15" s="1"/>
  <c r="H267" i="15" a="1"/>
  <c r="H267" i="15" s="1"/>
  <c r="H268" i="15" a="1"/>
  <c r="H268" i="15" s="1"/>
  <c r="H269" i="15" a="1"/>
  <c r="H269" i="15" s="1"/>
  <c r="H270" i="15" a="1"/>
  <c r="H270" i="15" s="1"/>
  <c r="H271" i="15" a="1"/>
  <c r="H271" i="15" s="1"/>
  <c r="H272" i="15" a="1"/>
  <c r="H272" i="15" s="1"/>
  <c r="H273" i="15" a="1"/>
  <c r="H273" i="15" s="1"/>
  <c r="H274" i="15" a="1"/>
  <c r="H274" i="15" s="1"/>
  <c r="H275" i="15" a="1"/>
  <c r="H275" i="15" s="1"/>
  <c r="H276" i="15" a="1"/>
  <c r="H276" i="15" s="1"/>
  <c r="H277" i="15" a="1"/>
  <c r="H277" i="15" s="1"/>
  <c r="H278" i="15" a="1"/>
  <c r="H278" i="15" s="1"/>
  <c r="H279" i="15" a="1"/>
  <c r="H279" i="15" s="1"/>
  <c r="H280" i="15" a="1"/>
  <c r="H280" i="15" s="1"/>
  <c r="H281" i="15" a="1"/>
  <c r="H281" i="15" s="1"/>
  <c r="H282" i="15" a="1"/>
  <c r="H282" i="15" s="1"/>
  <c r="H283" i="15" a="1"/>
  <c r="H283" i="15" s="1"/>
  <c r="H284" i="15" a="1"/>
  <c r="H284" i="15" s="1"/>
  <c r="H285" i="15" a="1"/>
  <c r="H285" i="15" s="1"/>
  <c r="H286" i="15" a="1"/>
  <c r="H286" i="15" s="1"/>
  <c r="H287" i="15" a="1"/>
  <c r="H287" i="15" s="1"/>
  <c r="H288" i="15" a="1"/>
  <c r="H288" i="15" s="1"/>
  <c r="H289" i="15" a="1"/>
  <c r="H289" i="15" s="1"/>
  <c r="H290" i="15" a="1"/>
  <c r="H290" i="15" s="1"/>
  <c r="H291" i="15" a="1"/>
  <c r="H291" i="15" s="1"/>
  <c r="H292" i="15" a="1"/>
  <c r="H292" i="15" s="1"/>
  <c r="H293" i="15" a="1"/>
  <c r="H293" i="15" s="1"/>
  <c r="H294" i="15" a="1"/>
  <c r="H294" i="15" s="1"/>
  <c r="H295" i="15" a="1"/>
  <c r="H295" i="15" s="1"/>
  <c r="H296" i="15" a="1"/>
  <c r="H296" i="15" s="1"/>
  <c r="H297" i="15" a="1"/>
  <c r="H297" i="15" s="1"/>
  <c r="H298" i="15" a="1"/>
  <c r="H298" i="15" s="1"/>
  <c r="H299" i="15" a="1"/>
  <c r="H299" i="15" s="1"/>
  <c r="H300" i="15" a="1"/>
  <c r="H300" i="15" s="1"/>
  <c r="H301" i="15" a="1"/>
  <c r="H301" i="15" s="1"/>
  <c r="H302" i="15" a="1"/>
  <c r="H302" i="15" s="1"/>
  <c r="H303" i="15" a="1"/>
  <c r="H303" i="15" s="1"/>
  <c r="H304" i="15" a="1"/>
  <c r="H304" i="15" s="1"/>
  <c r="H305" i="15" a="1"/>
  <c r="H305" i="15" s="1"/>
  <c r="H306" i="15" a="1"/>
  <c r="H306" i="15" s="1"/>
  <c r="H307" i="15" a="1"/>
  <c r="H307" i="15" s="1"/>
  <c r="H308" i="15" a="1"/>
  <c r="H308" i="15" s="1"/>
  <c r="H309" i="15" a="1"/>
  <c r="H309" i="15" s="1"/>
  <c r="H310" i="15" a="1"/>
  <c r="H310" i="15" s="1"/>
  <c r="H311" i="15" a="1"/>
  <c r="H311" i="15" s="1"/>
  <c r="H312" i="15" a="1"/>
  <c r="H312" i="15" s="1"/>
  <c r="H313" i="15" a="1"/>
  <c r="H313" i="15" s="1"/>
  <c r="H314" i="15" a="1"/>
  <c r="H314" i="15" s="1"/>
  <c r="H315" i="15" a="1"/>
  <c r="H315" i="15" s="1"/>
  <c r="H316" i="15" a="1"/>
  <c r="H316" i="15" s="1"/>
  <c r="H317" i="15" a="1"/>
  <c r="H317" i="15" s="1"/>
  <c r="H318" i="15" a="1"/>
  <c r="H318" i="15" s="1"/>
  <c r="H319" i="15" a="1"/>
  <c r="H319" i="15" s="1"/>
  <c r="H320" i="15" a="1"/>
  <c r="H320" i="15" s="1"/>
  <c r="H321" i="15" a="1"/>
  <c r="H321" i="15" s="1"/>
  <c r="H322" i="15" a="1"/>
  <c r="H322" i="15" s="1"/>
  <c r="H323" i="15" a="1"/>
  <c r="H323" i="15" s="1"/>
  <c r="H324" i="15" a="1"/>
  <c r="H324" i="15" s="1"/>
  <c r="H325" i="15" a="1"/>
  <c r="H325" i="15" s="1"/>
  <c r="H326" i="15" a="1"/>
  <c r="H326" i="15" s="1"/>
  <c r="H327" i="15" a="1"/>
  <c r="H327" i="15" s="1"/>
  <c r="H328" i="15" a="1"/>
  <c r="H328" i="15" s="1"/>
  <c r="H329" i="15" a="1"/>
  <c r="H329" i="15" s="1"/>
  <c r="H330" i="15" a="1"/>
  <c r="H330" i="15" s="1"/>
  <c r="H331" i="15" a="1"/>
  <c r="H331" i="15" s="1"/>
  <c r="H332" i="15" a="1"/>
  <c r="H332" i="15" s="1"/>
  <c r="H333" i="15" a="1"/>
  <c r="H333" i="15" s="1"/>
  <c r="H334" i="15" a="1"/>
  <c r="H334" i="15" s="1"/>
  <c r="H335" i="15" a="1"/>
  <c r="H335" i="15" s="1"/>
  <c r="H336" i="15" a="1"/>
  <c r="H336" i="15" s="1"/>
  <c r="H337" i="15" a="1"/>
  <c r="H337" i="15" s="1"/>
  <c r="H338" i="15" a="1"/>
  <c r="H338" i="15" s="1"/>
  <c r="H339" i="15" a="1"/>
  <c r="H339" i="15" s="1"/>
  <c r="H340" i="15" a="1"/>
  <c r="H340" i="15" s="1"/>
  <c r="H341" i="15" a="1"/>
  <c r="H341" i="15" s="1"/>
  <c r="H342" i="15" a="1"/>
  <c r="H342" i="15" s="1"/>
  <c r="H343" i="15" a="1"/>
  <c r="H343" i="15" s="1"/>
  <c r="H344" i="15" a="1"/>
  <c r="H344" i="15" s="1"/>
  <c r="H345" i="15" a="1"/>
  <c r="H345" i="15" s="1"/>
  <c r="H346" i="15" a="1"/>
  <c r="H346" i="15" s="1"/>
  <c r="H347" i="15" a="1"/>
  <c r="H347" i="15" s="1"/>
  <c r="H348" i="15" a="1"/>
  <c r="H348" i="15" s="1"/>
  <c r="H349" i="15" a="1"/>
  <c r="H349" i="15" s="1"/>
  <c r="H350" i="15" a="1"/>
  <c r="H350" i="15" s="1"/>
  <c r="H351" i="15" a="1"/>
  <c r="H351" i="15" s="1"/>
  <c r="H352" i="15" a="1"/>
  <c r="H352" i="15" s="1"/>
  <c r="H353" i="15" a="1"/>
  <c r="H353" i="15" s="1"/>
  <c r="H354" i="15" a="1"/>
  <c r="H354" i="15" s="1"/>
  <c r="H355" i="15" a="1"/>
  <c r="H355" i="15" s="1"/>
  <c r="H356" i="15" a="1"/>
  <c r="H356" i="15" s="1"/>
  <c r="H357" i="15" a="1"/>
  <c r="H357" i="15" s="1"/>
  <c r="H358" i="15" a="1"/>
  <c r="H358" i="15" s="1"/>
  <c r="H359" i="15" a="1"/>
  <c r="H359" i="15" s="1"/>
  <c r="H360" i="15" a="1"/>
  <c r="H360" i="15" s="1"/>
  <c r="H361" i="15" a="1"/>
  <c r="H361" i="15" s="1"/>
  <c r="H362" i="15" a="1"/>
  <c r="H362" i="15" s="1"/>
  <c r="H363" i="15" a="1"/>
  <c r="H363" i="15" s="1"/>
  <c r="H364" i="15" a="1"/>
  <c r="H364" i="15" s="1"/>
  <c r="H365" i="15" a="1"/>
  <c r="H365" i="15" s="1"/>
  <c r="H366" i="15" a="1"/>
  <c r="H366" i="15" s="1"/>
  <c r="H367" i="15" a="1"/>
  <c r="H367" i="15" s="1"/>
  <c r="H368" i="15" a="1"/>
  <c r="H368" i="15" s="1"/>
  <c r="H369" i="15" a="1"/>
  <c r="H369" i="15" s="1"/>
  <c r="H370" i="15" a="1"/>
  <c r="H370" i="15" s="1"/>
  <c r="H371" i="15" a="1"/>
  <c r="H371" i="15" s="1"/>
  <c r="H372" i="15" a="1"/>
  <c r="H372" i="15" s="1"/>
  <c r="H373" i="15" a="1"/>
  <c r="H373" i="15" s="1"/>
  <c r="H374" i="15" a="1"/>
  <c r="H374" i="15" s="1"/>
  <c r="H375" i="15" a="1"/>
  <c r="H375" i="15" s="1"/>
  <c r="H376" i="15" a="1"/>
  <c r="H376" i="15" s="1"/>
  <c r="H377" i="15" a="1"/>
  <c r="H377" i="15" s="1"/>
  <c r="H378" i="15" a="1"/>
  <c r="H378" i="15" s="1"/>
  <c r="H379" i="15" a="1"/>
  <c r="H379" i="15" s="1"/>
  <c r="H380" i="15" a="1"/>
  <c r="H380" i="15" s="1"/>
  <c r="H381" i="15" a="1"/>
  <c r="H381" i="15" s="1"/>
  <c r="H382" i="15" a="1"/>
  <c r="H382" i="15" s="1"/>
  <c r="H383" i="15" a="1"/>
  <c r="H383" i="15" s="1"/>
  <c r="H384" i="15" a="1"/>
  <c r="H384" i="15" s="1"/>
  <c r="H385" i="15" a="1"/>
  <c r="H385" i="15" s="1"/>
  <c r="H386" i="15" a="1"/>
  <c r="H386" i="15" s="1"/>
  <c r="H387" i="15" a="1"/>
  <c r="H387" i="15" s="1"/>
  <c r="H388" i="15" a="1"/>
  <c r="H388" i="15" s="1"/>
  <c r="H389" i="15" a="1"/>
  <c r="H389" i="15" s="1"/>
  <c r="H390" i="15" a="1"/>
  <c r="H390" i="15" s="1"/>
  <c r="H391" i="15" a="1"/>
  <c r="H391" i="15" s="1"/>
  <c r="H392" i="15" a="1"/>
  <c r="H392" i="15" s="1"/>
  <c r="H393" i="15" a="1"/>
  <c r="H393" i="15" s="1"/>
  <c r="H394" i="15" a="1"/>
  <c r="H394" i="15" s="1"/>
  <c r="H395" i="15" a="1"/>
  <c r="H395" i="15" s="1"/>
  <c r="H396" i="15" a="1"/>
  <c r="H396" i="15" s="1"/>
  <c r="H397" i="15" a="1"/>
  <c r="H397" i="15" s="1"/>
  <c r="H398" i="15" a="1"/>
  <c r="H398" i="15" s="1"/>
  <c r="H399" i="15" a="1"/>
  <c r="H399" i="15" s="1"/>
  <c r="H400" i="15" a="1"/>
  <c r="H400" i="15" s="1"/>
  <c r="H401" i="15" a="1"/>
  <c r="H401" i="15" s="1"/>
  <c r="H402" i="15" a="1"/>
  <c r="H402" i="15" s="1"/>
  <c r="H403" i="15" a="1"/>
  <c r="H403" i="15" s="1"/>
  <c r="H2" i="15" a="1"/>
  <c r="H2" i="15" s="1"/>
  <c r="G180" i="15"/>
  <c r="G212" i="15"/>
  <c r="G155" i="15"/>
  <c r="G13" i="15"/>
  <c r="G39" i="15"/>
  <c r="G280" i="15"/>
  <c r="G281" i="15"/>
  <c r="G403" i="15"/>
  <c r="G279" i="15"/>
  <c r="G400" i="15"/>
  <c r="G402" i="15"/>
  <c r="G401" i="15"/>
  <c r="G278" i="15"/>
  <c r="G277" i="15"/>
  <c r="G399" i="15"/>
  <c r="G397" i="15"/>
  <c r="G276" i="15"/>
  <c r="G398" i="15"/>
  <c r="G275" i="15"/>
  <c r="G272" i="15"/>
  <c r="G396" i="15"/>
  <c r="G273" i="15"/>
  <c r="G274" i="15"/>
  <c r="G394" i="15"/>
  <c r="G395" i="15"/>
  <c r="G271" i="15"/>
  <c r="G267" i="15"/>
  <c r="G268" i="15"/>
  <c r="G269" i="15"/>
  <c r="G270" i="15"/>
  <c r="G107" i="15"/>
  <c r="G393" i="15"/>
  <c r="G391" i="15"/>
  <c r="G263" i="15"/>
  <c r="G266" i="15"/>
  <c r="G392" i="15"/>
  <c r="G264" i="15"/>
  <c r="G106" i="15"/>
  <c r="G265" i="15"/>
  <c r="G389" i="15"/>
  <c r="G260" i="15"/>
  <c r="G390" i="15"/>
  <c r="G261" i="15"/>
  <c r="G262" i="15"/>
  <c r="G387" i="15"/>
  <c r="G255" i="15"/>
  <c r="G388" i="15"/>
  <c r="G258" i="15"/>
  <c r="G256" i="15"/>
  <c r="G257" i="15"/>
  <c r="G259" i="15"/>
  <c r="G386" i="15"/>
  <c r="G105" i="15"/>
  <c r="G385" i="15"/>
  <c r="G382" i="15"/>
  <c r="G383" i="15"/>
  <c r="G254" i="15"/>
  <c r="G384" i="15"/>
  <c r="G251" i="15"/>
  <c r="G381" i="15"/>
  <c r="G8" i="15"/>
  <c r="G252" i="15"/>
  <c r="G380" i="15"/>
  <c r="G253" i="15"/>
  <c r="G379" i="15"/>
  <c r="G250" i="15"/>
  <c r="G38" i="15"/>
  <c r="G378" i="15"/>
  <c r="G249" i="15"/>
  <c r="G374" i="15"/>
  <c r="G375" i="15"/>
  <c r="G376" i="15"/>
  <c r="G104" i="15"/>
  <c r="G248" i="15"/>
  <c r="G377" i="15"/>
  <c r="G7" i="15"/>
  <c r="G368" i="15"/>
  <c r="G369" i="15"/>
  <c r="G372" i="15"/>
  <c r="G245" i="15"/>
  <c r="G246" i="15"/>
  <c r="G103" i="15"/>
  <c r="G247" i="15"/>
  <c r="G373" i="15"/>
  <c r="G370" i="15"/>
  <c r="G371" i="15"/>
  <c r="G102" i="15"/>
  <c r="G37" i="15"/>
  <c r="G241" i="15"/>
  <c r="G365" i="15"/>
  <c r="G242" i="15"/>
  <c r="G237" i="15"/>
  <c r="G238" i="15"/>
  <c r="G243" i="15"/>
  <c r="G244" i="15"/>
  <c r="G239" i="15"/>
  <c r="G366" i="15"/>
  <c r="G367" i="15"/>
  <c r="G240" i="15"/>
  <c r="G150" i="15"/>
  <c r="G362" i="15"/>
  <c r="G363" i="15"/>
  <c r="G101" i="15"/>
  <c r="G235" i="15"/>
  <c r="G236" i="15"/>
  <c r="G364" i="15"/>
  <c r="G233" i="15"/>
  <c r="G36" i="15"/>
  <c r="G99" i="15"/>
  <c r="G100" i="15"/>
  <c r="G234" i="15"/>
  <c r="G225" i="15"/>
  <c r="G356" i="15"/>
  <c r="G357" i="15"/>
  <c r="G358" i="15"/>
  <c r="G232" i="15"/>
  <c r="G361" i="15"/>
  <c r="G226" i="15"/>
  <c r="G359" i="15"/>
  <c r="G231" i="15"/>
  <c r="G360" i="15"/>
  <c r="G227" i="15"/>
  <c r="G228" i="15"/>
  <c r="G229" i="15"/>
  <c r="G230" i="15"/>
  <c r="G98" i="15"/>
  <c r="G224" i="15"/>
  <c r="G301" i="15"/>
  <c r="G97" i="15"/>
  <c r="G354" i="15"/>
  <c r="G222" i="15"/>
  <c r="G223" i="15"/>
  <c r="G355" i="15"/>
  <c r="G221" i="15"/>
  <c r="G349" i="15"/>
  <c r="G35" i="15"/>
  <c r="G350" i="15"/>
  <c r="G351" i="15"/>
  <c r="G96" i="15"/>
  <c r="G353" i="15"/>
  <c r="G219" i="15"/>
  <c r="G352" i="15"/>
  <c r="G220" i="15"/>
  <c r="G347" i="15"/>
  <c r="G215" i="15"/>
  <c r="G129" i="15"/>
  <c r="G34" i="15"/>
  <c r="G348" i="15"/>
  <c r="G217" i="15"/>
  <c r="G218" i="15"/>
  <c r="G216" i="15"/>
  <c r="G344" i="15"/>
  <c r="G95" i="15"/>
  <c r="G345" i="15"/>
  <c r="G346" i="15"/>
  <c r="G94" i="15"/>
  <c r="G211" i="15"/>
  <c r="G213" i="15"/>
  <c r="G214" i="15"/>
  <c r="G92" i="15"/>
  <c r="G210" i="15"/>
  <c r="G207" i="15"/>
  <c r="G341" i="15"/>
  <c r="G93" i="15"/>
  <c r="G339" i="15"/>
  <c r="G342" i="15"/>
  <c r="G343" i="15"/>
  <c r="G208" i="15"/>
  <c r="G91" i="15"/>
  <c r="G209" i="15"/>
  <c r="G340" i="15"/>
  <c r="G203" i="15"/>
  <c r="G337" i="15"/>
  <c r="G205" i="15"/>
  <c r="G204" i="15"/>
  <c r="G338" i="15"/>
  <c r="G89" i="15"/>
  <c r="G90" i="15"/>
  <c r="G206" i="15"/>
  <c r="G45" i="15"/>
  <c r="G198" i="15"/>
  <c r="G334" i="15"/>
  <c r="G196" i="15"/>
  <c r="G291" i="15"/>
  <c r="G194" i="15"/>
  <c r="G200" i="15"/>
  <c r="G195" i="15"/>
  <c r="G335" i="15"/>
  <c r="G197" i="15"/>
  <c r="G336" i="15"/>
  <c r="G161" i="15"/>
  <c r="G201" i="15"/>
  <c r="G199" i="15"/>
  <c r="G333" i="15"/>
  <c r="G202" i="15"/>
  <c r="G324" i="15"/>
  <c r="G332" i="15"/>
  <c r="G325" i="15"/>
  <c r="G326" i="15"/>
  <c r="G327" i="15"/>
  <c r="G184" i="15"/>
  <c r="G188" i="15"/>
  <c r="G189" i="15"/>
  <c r="G190" i="15"/>
  <c r="G85" i="15"/>
  <c r="G191" i="15"/>
  <c r="G328" i="15"/>
  <c r="G192" i="15"/>
  <c r="G193" i="15"/>
  <c r="G185" i="15"/>
  <c r="G86" i="15"/>
  <c r="G329" i="15"/>
  <c r="G186" i="15"/>
  <c r="G88" i="15"/>
  <c r="G330" i="15"/>
  <c r="G187" i="15"/>
  <c r="G33" i="15"/>
  <c r="G331" i="15"/>
  <c r="G87" i="15"/>
  <c r="G176" i="15"/>
  <c r="G319" i="15"/>
  <c r="G315" i="15"/>
  <c r="G79" i="15"/>
  <c r="G320" i="15"/>
  <c r="G181" i="15"/>
  <c r="G29" i="15"/>
  <c r="G31" i="15"/>
  <c r="G321" i="15"/>
  <c r="G80" i="15"/>
  <c r="G322" i="15"/>
  <c r="G177" i="15"/>
  <c r="G81" i="15"/>
  <c r="G323" i="15"/>
  <c r="G182" i="15"/>
  <c r="G32" i="15"/>
  <c r="G178" i="15"/>
  <c r="G183" i="15"/>
  <c r="G84" i="15"/>
  <c r="G83" i="15"/>
  <c r="G82" i="15"/>
  <c r="G30" i="15"/>
  <c r="G179" i="15"/>
  <c r="G316" i="15"/>
  <c r="G74" i="15"/>
  <c r="G169" i="15"/>
  <c r="G164" i="15"/>
  <c r="G307" i="15"/>
  <c r="G165" i="15"/>
  <c r="G170" i="15"/>
  <c r="G318" i="15"/>
  <c r="G308" i="15"/>
  <c r="G75" i="15"/>
  <c r="G174" i="15"/>
  <c r="G77" i="15"/>
  <c r="G76" i="15"/>
  <c r="G175" i="15"/>
  <c r="G78" i="15"/>
  <c r="G309" i="15"/>
  <c r="G317" i="15"/>
  <c r="G28" i="15"/>
  <c r="G310" i="15"/>
  <c r="G166" i="15"/>
  <c r="G311" i="15"/>
  <c r="G312" i="15"/>
  <c r="G172" i="15"/>
  <c r="G167" i="15"/>
  <c r="G171" i="15"/>
  <c r="G173" i="15"/>
  <c r="G313" i="15"/>
  <c r="G314" i="15"/>
  <c r="G168" i="15"/>
  <c r="G67" i="15"/>
  <c r="G162" i="15"/>
  <c r="G297" i="15"/>
  <c r="G145" i="15"/>
  <c r="G298" i="15"/>
  <c r="G146" i="15"/>
  <c r="G65" i="15"/>
  <c r="G156" i="15"/>
  <c r="G68" i="15"/>
  <c r="G157" i="15"/>
  <c r="G147" i="15"/>
  <c r="G64" i="15"/>
  <c r="G24" i="15"/>
  <c r="G163" i="15"/>
  <c r="G158" i="15"/>
  <c r="G72" i="15"/>
  <c r="G304" i="15"/>
  <c r="G66" i="15"/>
  <c r="G302" i="15"/>
  <c r="G299" i="15"/>
  <c r="G305" i="15"/>
  <c r="G306" i="15"/>
  <c r="G303" i="15"/>
  <c r="G148" i="15"/>
  <c r="G69" i="15"/>
  <c r="G151" i="15"/>
  <c r="G159" i="15"/>
  <c r="G58" i="15"/>
  <c r="G71" i="15"/>
  <c r="G152" i="15"/>
  <c r="G70" i="15"/>
  <c r="G300" i="15"/>
  <c r="G25" i="15"/>
  <c r="G153" i="15"/>
  <c r="G27" i="15"/>
  <c r="G26" i="15"/>
  <c r="G149" i="15"/>
  <c r="G160" i="15"/>
  <c r="G154" i="15"/>
  <c r="G73" i="15"/>
  <c r="G139" i="15"/>
  <c r="G130" i="15"/>
  <c r="G46" i="15"/>
  <c r="G47" i="15"/>
  <c r="G140" i="15"/>
  <c r="G296" i="15"/>
  <c r="G282" i="15"/>
  <c r="G283" i="15"/>
  <c r="G131" i="15"/>
  <c r="G284" i="15"/>
  <c r="G141" i="15"/>
  <c r="G108" i="15"/>
  <c r="G63" i="15"/>
  <c r="G292" i="15"/>
  <c r="G142" i="15"/>
  <c r="G285" i="15"/>
  <c r="G143" i="15"/>
  <c r="G48" i="15"/>
  <c r="G55" i="15"/>
  <c r="G23" i="15"/>
  <c r="G59" i="15"/>
  <c r="G2" i="15"/>
  <c r="G293" i="15"/>
  <c r="G294" i="15"/>
  <c r="G56" i="15"/>
  <c r="G22" i="15"/>
  <c r="G286" i="15"/>
  <c r="G20" i="15"/>
  <c r="G132" i="15"/>
  <c r="G57" i="15"/>
  <c r="G287" i="15"/>
  <c r="G133" i="15"/>
  <c r="G134" i="15"/>
  <c r="G60" i="15"/>
  <c r="G288" i="15"/>
  <c r="G295" i="15"/>
  <c r="G49" i="15"/>
  <c r="G289" i="15"/>
  <c r="G50" i="15"/>
  <c r="G12" i="15"/>
  <c r="G62" i="15"/>
  <c r="G135" i="15"/>
  <c r="G290" i="15"/>
  <c r="G5" i="15"/>
  <c r="G61" i="15"/>
  <c r="G10" i="15"/>
  <c r="G21" i="15"/>
  <c r="G136" i="15"/>
  <c r="G51" i="15"/>
  <c r="G11" i="15"/>
  <c r="G52" i="15"/>
  <c r="G53" i="15"/>
  <c r="G3" i="15"/>
  <c r="G137" i="15"/>
  <c r="G138" i="15"/>
  <c r="G6" i="15"/>
  <c r="G54" i="15"/>
  <c r="G14" i="15"/>
  <c r="G144" i="15"/>
  <c r="G109" i="15"/>
  <c r="G110" i="15"/>
  <c r="G9" i="15"/>
  <c r="G15" i="15"/>
  <c r="G16" i="15"/>
  <c r="G40" i="15"/>
  <c r="G17" i="15"/>
  <c r="G111" i="15"/>
  <c r="G112" i="15"/>
  <c r="G113" i="15"/>
  <c r="G114" i="15"/>
  <c r="G115" i="15"/>
  <c r="G116" i="15"/>
  <c r="G117" i="15"/>
  <c r="G41" i="15"/>
  <c r="G18" i="15"/>
  <c r="G118" i="15"/>
  <c r="G119" i="15"/>
  <c r="G42" i="15"/>
  <c r="G43" i="15"/>
  <c r="G120" i="15"/>
  <c r="G121" i="15"/>
  <c r="G122" i="15"/>
  <c r="G123" i="15"/>
  <c r="G124" i="15"/>
  <c r="G44" i="15"/>
  <c r="G19" i="15"/>
  <c r="G125" i="15"/>
  <c r="G126" i="15"/>
  <c r="G4" i="15"/>
  <c r="G127" i="15"/>
  <c r="G128" i="15"/>
  <c r="C984" i="1"/>
  <c r="B984" i="1" s="1"/>
  <c r="D984" i="1"/>
  <c r="E984" i="1"/>
  <c r="S984" i="1"/>
  <c r="S983" i="1"/>
  <c r="S982" i="1"/>
  <c r="C981" i="1"/>
  <c r="B981" i="1" s="1"/>
  <c r="D981" i="1"/>
  <c r="E981" i="1"/>
  <c r="S981" i="1"/>
  <c r="C977" i="1"/>
  <c r="D977" i="1"/>
  <c r="E977" i="1"/>
  <c r="S977" i="1"/>
  <c r="C980" i="1"/>
  <c r="D980" i="1"/>
  <c r="E980" i="1"/>
  <c r="S980" i="1"/>
  <c r="C976" i="1"/>
  <c r="D976" i="1"/>
  <c r="E976" i="1"/>
  <c r="S976" i="1"/>
  <c r="C948" i="1"/>
  <c r="D948" i="1"/>
  <c r="E948" i="1"/>
  <c r="S948" i="1"/>
  <c r="C979" i="1"/>
  <c r="D979" i="1"/>
  <c r="E979" i="1"/>
  <c r="S979" i="1"/>
  <c r="C975" i="1"/>
  <c r="D975" i="1"/>
  <c r="E975" i="1"/>
  <c r="S975" i="1"/>
  <c r="C978" i="1"/>
  <c r="D978" i="1"/>
  <c r="E978" i="1"/>
  <c r="S978" i="1"/>
  <c r="C974" i="1"/>
  <c r="D974" i="1"/>
  <c r="E974" i="1"/>
  <c r="S974" i="1"/>
  <c r="C970" i="1"/>
  <c r="D970" i="1"/>
  <c r="E970" i="1"/>
  <c r="S970" i="1"/>
  <c r="C965" i="1"/>
  <c r="D965" i="1"/>
  <c r="E965" i="1"/>
  <c r="S965" i="1"/>
  <c r="C973" i="1"/>
  <c r="D973" i="1"/>
  <c r="E973" i="1"/>
  <c r="S973" i="1"/>
  <c r="C956" i="1"/>
  <c r="D956" i="1"/>
  <c r="E956" i="1"/>
  <c r="S956" i="1"/>
  <c r="C952" i="1"/>
  <c r="D952" i="1"/>
  <c r="E952" i="1"/>
  <c r="S952" i="1"/>
  <c r="C953" i="1"/>
  <c r="D953" i="1"/>
  <c r="E953" i="1"/>
  <c r="S953" i="1"/>
  <c r="C947" i="1"/>
  <c r="D947" i="1"/>
  <c r="E947" i="1"/>
  <c r="S947" i="1"/>
  <c r="C909" i="1"/>
  <c r="D909" i="1"/>
  <c r="E909" i="1"/>
  <c r="S909" i="1"/>
  <c r="C969" i="1"/>
  <c r="D969" i="1"/>
  <c r="E969" i="1"/>
  <c r="S969" i="1"/>
  <c r="C963" i="1"/>
  <c r="D963" i="1"/>
  <c r="E963" i="1"/>
  <c r="S963" i="1"/>
  <c r="C951" i="1"/>
  <c r="D951" i="1"/>
  <c r="E951" i="1"/>
  <c r="S951" i="1"/>
  <c r="C972" i="1"/>
  <c r="D972" i="1"/>
  <c r="E972" i="1"/>
  <c r="S972" i="1"/>
  <c r="C966" i="1"/>
  <c r="D966" i="1"/>
  <c r="E966" i="1"/>
  <c r="S966" i="1"/>
  <c r="C968" i="1"/>
  <c r="D968" i="1"/>
  <c r="E968" i="1"/>
  <c r="S968" i="1"/>
  <c r="C962" i="1"/>
  <c r="D962" i="1"/>
  <c r="E962" i="1"/>
  <c r="S962" i="1"/>
  <c r="C971" i="1"/>
  <c r="D971" i="1"/>
  <c r="E971" i="1"/>
  <c r="S971" i="1"/>
  <c r="C967" i="1"/>
  <c r="D967" i="1"/>
  <c r="E967" i="1"/>
  <c r="S967" i="1"/>
  <c r="C961" i="1"/>
  <c r="D961" i="1"/>
  <c r="E961" i="1"/>
  <c r="S961" i="1"/>
  <c r="C960" i="1"/>
  <c r="D960" i="1"/>
  <c r="E960" i="1"/>
  <c r="S960" i="1"/>
  <c r="C964" i="1"/>
  <c r="D964" i="1"/>
  <c r="E964" i="1"/>
  <c r="S964" i="1"/>
  <c r="C959" i="1"/>
  <c r="D959" i="1"/>
  <c r="E959" i="1"/>
  <c r="S959" i="1"/>
  <c r="C958" i="1"/>
  <c r="D958" i="1"/>
  <c r="E958" i="1"/>
  <c r="S958" i="1"/>
  <c r="C955" i="1"/>
  <c r="D955" i="1"/>
  <c r="E955" i="1"/>
  <c r="S955" i="1"/>
  <c r="C957" i="1"/>
  <c r="D957" i="1"/>
  <c r="E957" i="1"/>
  <c r="S957" i="1"/>
  <c r="C950" i="1"/>
  <c r="D950" i="1"/>
  <c r="E950" i="1"/>
  <c r="S950" i="1"/>
  <c r="C954" i="1"/>
  <c r="D954" i="1"/>
  <c r="E954" i="1"/>
  <c r="S954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77" i="1" l="1"/>
  <c r="B976" i="1"/>
  <c r="B980" i="1"/>
  <c r="B948" i="1"/>
  <c r="B979" i="1"/>
  <c r="B974" i="1"/>
  <c r="B975" i="1"/>
  <c r="B970" i="1"/>
  <c r="B978" i="1"/>
  <c r="B964" i="1"/>
  <c r="B968" i="1"/>
  <c r="B958" i="1"/>
  <c r="B961" i="1"/>
  <c r="B972" i="1"/>
  <c r="B963" i="1"/>
  <c r="B965" i="1"/>
  <c r="B967" i="1"/>
  <c r="B962" i="1"/>
  <c r="B966" i="1"/>
  <c r="B951" i="1"/>
  <c r="B973" i="1"/>
  <c r="B969" i="1"/>
  <c r="B971" i="1"/>
  <c r="B955" i="1"/>
  <c r="B950" i="1"/>
  <c r="B960" i="1"/>
  <c r="B959" i="1"/>
  <c r="B957" i="1"/>
  <c r="B947" i="1"/>
  <c r="B956" i="1"/>
  <c r="B952" i="1"/>
  <c r="B909" i="1"/>
  <c r="B953" i="1"/>
  <c r="B944" i="1"/>
  <c r="B949" i="1"/>
  <c r="B945" i="1"/>
  <c r="B954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D982" i="1"/>
  <c r="E982" i="1"/>
  <c r="AB305" i="1"/>
  <c r="AB577" i="1"/>
  <c r="AB800" i="1"/>
  <c r="AB447" i="1"/>
  <c r="AB651" i="1"/>
  <c r="AB819" i="1"/>
  <c r="AB117" i="1"/>
  <c r="AB289" i="1"/>
  <c r="AB960" i="1"/>
  <c r="AB85" i="1"/>
  <c r="AB730" i="1"/>
  <c r="AB571" i="1"/>
  <c r="AB704" i="1"/>
  <c r="AB129" i="1"/>
  <c r="AB702" i="1"/>
  <c r="AB426" i="1"/>
  <c r="AB722" i="1"/>
  <c r="AB250" i="1"/>
  <c r="AB384" i="1"/>
  <c r="AB259" i="1"/>
  <c r="AB103" i="1"/>
  <c r="AB772" i="1"/>
  <c r="AB766" i="1"/>
  <c r="AB628" i="1"/>
  <c r="AB253" i="1"/>
  <c r="AB67" i="1"/>
  <c r="AB458" i="1"/>
  <c r="AB35" i="1"/>
  <c r="AB222" i="1"/>
  <c r="AB329" i="1"/>
  <c r="AB364" i="1"/>
  <c r="AB759" i="1"/>
  <c r="AB72" i="1"/>
  <c r="AB569" i="1"/>
  <c r="AB470" i="1"/>
  <c r="AB547" i="1"/>
  <c r="AB19" i="1"/>
  <c r="AB90" i="1"/>
  <c r="AB608" i="1"/>
  <c r="AB297" i="1"/>
  <c r="AB864" i="1"/>
  <c r="AB266" i="1"/>
  <c r="AB758" i="1"/>
  <c r="AB613" i="1"/>
  <c r="AB91" i="1"/>
  <c r="AB667" i="1"/>
  <c r="AB814" i="1"/>
  <c r="AB386" i="1"/>
  <c r="AB811" i="1"/>
  <c r="AB149" i="1"/>
  <c r="AB414" i="1"/>
  <c r="AB146" i="1"/>
  <c r="AB859" i="1"/>
  <c r="AB225" i="1"/>
  <c r="AB209" i="1"/>
  <c r="AB868" i="1"/>
  <c r="AB481" i="1"/>
  <c r="AB83" i="1"/>
  <c r="AB442" i="1"/>
  <c r="AB489" i="1"/>
  <c r="AB793" i="1"/>
  <c r="AB176" i="1"/>
  <c r="AB332" i="1"/>
  <c r="AB884" i="1"/>
  <c r="AB135" i="1"/>
  <c r="AB598" i="1"/>
  <c r="AB235" i="1"/>
  <c r="AB265" i="1"/>
  <c r="AB432" i="1"/>
  <c r="AB816" i="1"/>
  <c r="AB548" i="1"/>
  <c r="AB252" i="1"/>
  <c r="AB433" i="1"/>
  <c r="AB640" i="1"/>
  <c r="AB930" i="1"/>
  <c r="AB791" i="1"/>
  <c r="AB520" i="1"/>
  <c r="AB504" i="1"/>
  <c r="AB100" i="1"/>
  <c r="AB381" i="1"/>
  <c r="AB665" i="1"/>
  <c r="AB590" i="1"/>
  <c r="AB59" i="1"/>
  <c r="AB275" i="1"/>
  <c r="AB738" i="1"/>
  <c r="AB312" i="1"/>
  <c r="AB140" i="1"/>
  <c r="AB248" i="1"/>
  <c r="AB47" i="1"/>
  <c r="AB764" i="1"/>
  <c r="AB698" i="1"/>
  <c r="AB320" i="1"/>
  <c r="AB515" i="1"/>
  <c r="AB675" i="1"/>
  <c r="AB236" i="1"/>
  <c r="AB687" i="1"/>
  <c r="AB145" i="1"/>
  <c r="AB224" i="1"/>
  <c r="AB40" i="1"/>
  <c r="AB423" i="1"/>
  <c r="AB552" i="1"/>
  <c r="AB462" i="1"/>
  <c r="AB345" i="1"/>
  <c r="AB239" i="1"/>
  <c r="AB460" i="1"/>
  <c r="AB626" i="1"/>
  <c r="AB918" i="1"/>
  <c r="AB214" i="1"/>
  <c r="AB604" i="1"/>
  <c r="AB536" i="1"/>
  <c r="AB739" i="1"/>
  <c r="AB270" i="1"/>
  <c r="AB362" i="1"/>
  <c r="AB336" i="1"/>
  <c r="AB295" i="1"/>
  <c r="AB421" i="1"/>
  <c r="AB143" i="1"/>
  <c r="AB573" i="1"/>
  <c r="AB484" i="1"/>
  <c r="AB136" i="1"/>
  <c r="AB957" i="1"/>
  <c r="AB744" i="1"/>
  <c r="AB37" i="1"/>
  <c r="AB379" i="1"/>
  <c r="AB854" i="1"/>
  <c r="AB904" i="1"/>
  <c r="AB221" i="1"/>
  <c r="AB567" i="1"/>
  <c r="AB503" i="1"/>
  <c r="AB618" i="1"/>
  <c r="AB190" i="1"/>
  <c r="AB751" i="1"/>
  <c r="AB737" i="1"/>
  <c r="AB444" i="1"/>
  <c r="AB28" i="1"/>
  <c r="AB976" i="1"/>
  <c r="AB133" i="1"/>
  <c r="AB124" i="1"/>
  <c r="AB790" i="1"/>
  <c r="AB929" i="1"/>
  <c r="AB292" i="1"/>
  <c r="AB849" i="1"/>
  <c r="AB549" i="1"/>
  <c r="AB177" i="1"/>
  <c r="AB469" i="1"/>
  <c r="AB244" i="1"/>
  <c r="AB69" i="1"/>
  <c r="AB63" i="1"/>
  <c r="AB612" i="1"/>
  <c r="AB559" i="1"/>
  <c r="AB459" i="1"/>
  <c r="AB716" i="1"/>
  <c r="AB405" i="1"/>
  <c r="AB87" i="1"/>
  <c r="AB982" i="1"/>
  <c r="AB721" i="1"/>
  <c r="AB9" i="1"/>
  <c r="AB824" i="1"/>
  <c r="AB80" i="1"/>
  <c r="AB837" i="1"/>
  <c r="AB308" i="1"/>
  <c r="AB821" i="1"/>
  <c r="AB901" i="1"/>
  <c r="AB158" i="1"/>
  <c r="AB347" i="1"/>
  <c r="AB677" i="1"/>
  <c r="AB779" i="1"/>
  <c r="AB454" i="1"/>
  <c r="AB41" i="1"/>
  <c r="AB169" i="1"/>
  <c r="AB544" i="1"/>
  <c r="AB682" i="1"/>
  <c r="AB195" i="1"/>
  <c r="AB603" i="1"/>
  <c r="AB326" i="1"/>
  <c r="AB693" i="1"/>
  <c r="AB581" i="1"/>
  <c r="AB380" i="1"/>
  <c r="AB71" i="1"/>
  <c r="AB267" i="1"/>
  <c r="AB261" i="1"/>
  <c r="AB635" i="1"/>
  <c r="AB935" i="1"/>
  <c r="AB17" i="1"/>
  <c r="AB568" i="1"/>
  <c r="AB631" i="1"/>
  <c r="AB191" i="1"/>
  <c r="AB789" i="1"/>
  <c r="AB363" i="1"/>
  <c r="AB574" i="1"/>
  <c r="AB934" i="1"/>
  <c r="AB639" i="1"/>
  <c r="AB876" i="1"/>
  <c r="AB485" i="1"/>
  <c r="AB163" i="1"/>
  <c r="AB582" i="1"/>
  <c r="AB346" i="1"/>
  <c r="AB425" i="1"/>
  <c r="AB778" i="1"/>
  <c r="AB566" i="1"/>
  <c r="AB958" i="1"/>
  <c r="AB583" i="1"/>
  <c r="AB173" i="1"/>
  <c r="AB358" i="1"/>
  <c r="AB961" i="1"/>
  <c r="AB276" i="1"/>
  <c r="AB784" i="1"/>
  <c r="AB369" i="1"/>
  <c r="AB678" i="1"/>
  <c r="AB5" i="1"/>
  <c r="AB24" i="1"/>
  <c r="AB119" i="1"/>
  <c r="AB410" i="1"/>
  <c r="AB530" i="1"/>
  <c r="AB178" i="1"/>
  <c r="AB415" i="1"/>
  <c r="AB390" i="1"/>
  <c r="AB502" i="1"/>
  <c r="AB633" i="1"/>
  <c r="AB144" i="1"/>
  <c r="AB303" i="1"/>
  <c r="AB94" i="1"/>
  <c r="AB748" i="1"/>
  <c r="AB46" i="1"/>
  <c r="AB563" i="1"/>
  <c r="AB93" i="1"/>
  <c r="AB662" i="1"/>
  <c r="AB777" i="1"/>
  <c r="AB232" i="1"/>
  <c r="AB387" i="1"/>
  <c r="AB711" i="1"/>
  <c r="AB886" i="1"/>
  <c r="AB611" i="1"/>
  <c r="AB827" i="1"/>
  <c r="AB453" i="1"/>
  <c r="AB422" i="1"/>
  <c r="AB208" i="1"/>
  <c r="AB674" i="1"/>
  <c r="AB746" i="1"/>
  <c r="AB893" i="1"/>
  <c r="AB505" i="1"/>
  <c r="AB431" i="1"/>
  <c r="AB409" i="1"/>
  <c r="AB690" i="1"/>
  <c r="AB765" i="1"/>
  <c r="AB120" i="1"/>
  <c r="AB661" i="1"/>
  <c r="AB218" i="1"/>
  <c r="AB733" i="1"/>
  <c r="AB227" i="1"/>
  <c r="AB325" i="1"/>
  <c r="AB892" i="1"/>
  <c r="AB959" i="1"/>
  <c r="AB852" i="1"/>
  <c r="AB189" i="1"/>
  <c r="AB418" i="1"/>
  <c r="AB450" i="1"/>
  <c r="AB624" i="1"/>
  <c r="AB657" i="1"/>
  <c r="AB899" i="1"/>
  <c r="AB752" i="1"/>
  <c r="AB714" i="1"/>
  <c r="AB220" i="1"/>
  <c r="AB622" i="1"/>
  <c r="AB443" i="1"/>
  <c r="AB913" i="1"/>
  <c r="AB389" i="1"/>
  <c r="AB788" i="1"/>
  <c r="AB540" i="1"/>
  <c r="AB155" i="1"/>
  <c r="AB680" i="1"/>
  <c r="AB166" i="1"/>
  <c r="AB967" i="1"/>
  <c r="AB670" i="1"/>
  <c r="AB374" i="1"/>
  <c r="AB694" i="1"/>
  <c r="AB482" i="1"/>
  <c r="AB272" i="1"/>
  <c r="AB75" i="1"/>
  <c r="AB564" i="1"/>
  <c r="AB446" i="1"/>
  <c r="AB203" i="1"/>
  <c r="AB39" i="1"/>
  <c r="AB497" i="1"/>
  <c r="AB923" i="1"/>
  <c r="AB823" i="1"/>
  <c r="AB86" i="1"/>
  <c r="AB780" i="1"/>
  <c r="AB719" i="1"/>
  <c r="AB404" i="1"/>
  <c r="AB30" i="1"/>
  <c r="AB322" i="1"/>
  <c r="AB597" i="1"/>
  <c r="AB591" i="1"/>
  <c r="AB287" i="1"/>
  <c r="AB501" i="1"/>
  <c r="AB488" i="1"/>
  <c r="AB754" i="1"/>
  <c r="AB579" i="1"/>
  <c r="AB324" i="1"/>
  <c r="AB507" i="1"/>
  <c r="AB822" i="1"/>
  <c r="AB757" i="1"/>
  <c r="AB760" i="1"/>
  <c r="AB27" i="1"/>
  <c r="AB879" i="1"/>
  <c r="AB186" i="1"/>
  <c r="AB132" i="1"/>
  <c r="AB724" i="1"/>
  <c r="AB306" i="1"/>
  <c r="AB165" i="1"/>
  <c r="AB441" i="1"/>
  <c r="AB376" i="1"/>
  <c r="AB953" i="1"/>
  <c r="AB188" i="1"/>
  <c r="AB34" i="1"/>
  <c r="AB112" i="1"/>
  <c r="AB127" i="1"/>
  <c r="AB193" i="1"/>
  <c r="AB440" i="1"/>
  <c r="AB614" i="1"/>
  <c r="AB461" i="1"/>
  <c r="AB620" i="1"/>
  <c r="AB365" i="1"/>
  <c r="AB708" i="1"/>
  <c r="AB596" i="1"/>
  <c r="AB33" i="1"/>
  <c r="AB509" i="1"/>
  <c r="AB361" i="1"/>
  <c r="AB689" i="1"/>
  <c r="AB139" i="1"/>
  <c r="AB456" i="1"/>
  <c r="AB696" i="1"/>
  <c r="AB792" i="1"/>
  <c r="AB359" i="1"/>
  <c r="AB768" i="1"/>
  <c r="AB416" i="1"/>
  <c r="AB32" i="1"/>
  <c r="AB941" i="1"/>
  <c r="AB686" i="1"/>
  <c r="AB200" i="1"/>
  <c r="AB681" i="1"/>
  <c r="AB388" i="1"/>
  <c r="AB695" i="1"/>
  <c r="AB526" i="1"/>
  <c r="AB8" i="1"/>
  <c r="AB578" i="1"/>
  <c r="AB3" i="1"/>
  <c r="AB838" i="1"/>
  <c r="AB646" i="1"/>
  <c r="AB115" i="1"/>
  <c r="AB105" i="1"/>
  <c r="AB419" i="1"/>
  <c r="AB55" i="1"/>
  <c r="AB449" i="1"/>
  <c r="AB533" i="1"/>
  <c r="AB688" i="1"/>
  <c r="AB936" i="1"/>
  <c r="AB492" i="1"/>
  <c r="AB679" i="1"/>
  <c r="AB60" i="1"/>
  <c r="AB352" i="1"/>
  <c r="AB62" i="1"/>
  <c r="AB654" i="1"/>
  <c r="AB771" i="1"/>
  <c r="AB51" i="1"/>
  <c r="AB77" i="1"/>
  <c r="AB457" i="1"/>
  <c r="AB194" i="1"/>
  <c r="AB691" i="1"/>
  <c r="AB406" i="1"/>
  <c r="AB110" i="1"/>
  <c r="AB238" i="1"/>
  <c r="AB919" i="1"/>
  <c r="AB666" i="1"/>
  <c r="AB735" i="1"/>
  <c r="AB121" i="1"/>
  <c r="AB290" i="1"/>
  <c r="AB572" i="1"/>
  <c r="AB70" i="1"/>
  <c r="AB229" i="1"/>
  <c r="AB318" i="1"/>
  <c r="AB762" i="1"/>
  <c r="AB102" i="1"/>
  <c r="AB500" i="1"/>
  <c r="AB330" i="1"/>
  <c r="AB513" i="1"/>
  <c r="AB486" i="1"/>
  <c r="AB511" i="1"/>
  <c r="AB353" i="1"/>
  <c r="AB580" i="1"/>
  <c r="AB643" i="1"/>
  <c r="AB925" i="1"/>
  <c r="AB82" i="1"/>
  <c r="AB804" i="1"/>
  <c r="AB402" i="1"/>
  <c r="AB307" i="1"/>
  <c r="AB396" i="1"/>
  <c r="AB385" i="1"/>
  <c r="AB720" i="1"/>
  <c r="AB29" i="1"/>
  <c r="AB403" i="1"/>
  <c r="AB429" i="1"/>
  <c r="AB894" i="1"/>
  <c r="AB53" i="1"/>
  <c r="AB230" i="1"/>
  <c r="AB801" i="1"/>
  <c r="AB16" i="1"/>
  <c r="AB736" i="1"/>
  <c r="AB586" i="1"/>
  <c r="AB20" i="1"/>
  <c r="AB781" i="1"/>
  <c r="AB928" i="1"/>
  <c r="AB392" i="1"/>
  <c r="AB518" i="1"/>
  <c r="AB101" i="1"/>
  <c r="AB763" i="1"/>
  <c r="AB528" i="1"/>
  <c r="AB637" i="1"/>
  <c r="AB834" i="1"/>
  <c r="AB599" i="1"/>
  <c r="AB212" i="1"/>
  <c r="AB980" i="1"/>
  <c r="AB869" i="1"/>
  <c r="AB842" i="1"/>
  <c r="AB205" i="1"/>
  <c r="AB291" i="1"/>
  <c r="AB256" i="1"/>
  <c r="AB268" i="1"/>
  <c r="AB587" i="1"/>
  <c r="AB14" i="1"/>
  <c r="AB89" i="1"/>
  <c r="AB761" i="1"/>
  <c r="AB107" i="1"/>
  <c r="AB897" i="1"/>
  <c r="AB164" i="1"/>
  <c r="AB242" i="1"/>
  <c r="AB134" i="1"/>
  <c r="AB874" i="1"/>
  <c r="AB956" i="1"/>
  <c r="AB538" i="1"/>
  <c r="AB685" i="1"/>
  <c r="AB412" i="1"/>
  <c r="AB605" i="1"/>
  <c r="AB607" i="1"/>
  <c r="AB644" i="1"/>
  <c r="AB844" i="1"/>
  <c r="AB338" i="1"/>
  <c r="AB647" i="1"/>
  <c r="AB319" i="1"/>
  <c r="AB464" i="1"/>
  <c r="AB797" i="1"/>
  <c r="AB508" i="1"/>
  <c r="AB184" i="1"/>
  <c r="AB813" i="1"/>
  <c r="AB111" i="1"/>
  <c r="AB588" i="1"/>
  <c r="AB966" i="1"/>
  <c r="AB731" i="1"/>
  <c r="AB575" i="1"/>
  <c r="AB196" i="1"/>
  <c r="AB118" i="1"/>
  <c r="AB251" i="1"/>
  <c r="AB968" i="1"/>
  <c r="AB234" i="1"/>
  <c r="AB512" i="1"/>
  <c r="AB561" i="1"/>
  <c r="AB340" i="1"/>
  <c r="AB285" i="1"/>
  <c r="AB926" i="1"/>
  <c r="AB718" i="1"/>
  <c r="AB749" i="1"/>
  <c r="AB905" i="1"/>
  <c r="AB619" i="1"/>
  <c r="AB185" i="1"/>
  <c r="AB476" i="1"/>
  <c r="AB78" i="1"/>
  <c r="AB383" i="1"/>
  <c r="AB2" i="1"/>
  <c r="AB175" i="1"/>
  <c r="AB170" i="1"/>
  <c r="AB65" i="1"/>
  <c r="AB592" i="1"/>
  <c r="AB881" i="1"/>
  <c r="AB895" i="1"/>
  <c r="AB126" i="1"/>
  <c r="AB483" i="1"/>
  <c r="AB6" i="1"/>
  <c r="AB197" i="1"/>
  <c r="AB360" i="1"/>
  <c r="AB911" i="1"/>
  <c r="AB862" i="1"/>
  <c r="AB514" i="1"/>
  <c r="AB373" i="1"/>
  <c r="AB296" i="1"/>
  <c r="AB10" i="1"/>
  <c r="AB128" i="1"/>
  <c r="AB676" i="1"/>
  <c r="AB867" i="1"/>
  <c r="AB541" i="1"/>
  <c r="AB466" i="1"/>
  <c r="AB952" i="1"/>
  <c r="AB557" i="1"/>
  <c r="AB786" i="1"/>
  <c r="AB861" i="1"/>
  <c r="AB439" i="1"/>
  <c r="AB550" i="1"/>
  <c r="AB856" i="1"/>
  <c r="AB705" i="1"/>
  <c r="AB776" i="1"/>
  <c r="AB258" i="1"/>
  <c r="AB141" i="1"/>
  <c r="AB274" i="1"/>
  <c r="AB22" i="1"/>
  <c r="AB151" i="1"/>
  <c r="AB725" i="1"/>
  <c r="AB939" i="1"/>
  <c r="AB697" i="1"/>
  <c r="AB420" i="1"/>
  <c r="AB36" i="1"/>
  <c r="AB747" i="1"/>
  <c r="AB130" i="1"/>
  <c r="AB339" i="1"/>
  <c r="AB787" i="1"/>
  <c r="AB537" i="1"/>
  <c r="AB271" i="1"/>
  <c r="AB706" i="1"/>
  <c r="AB311" i="1"/>
  <c r="AB88" i="1"/>
  <c r="AB617" i="1"/>
  <c r="AB803" i="1"/>
  <c r="AB468" i="1"/>
  <c r="AB817" i="1"/>
  <c r="AB152" i="1"/>
  <c r="AB81" i="1"/>
  <c r="AB553" i="1"/>
  <c r="AB658" i="1"/>
  <c r="AB871" i="1"/>
  <c r="AB742" i="1"/>
  <c r="AB316" i="1"/>
  <c r="AB931" i="1"/>
  <c r="AB726" i="1"/>
  <c r="AB546" i="1"/>
  <c r="AB448" i="1"/>
  <c r="AB475" i="1"/>
  <c r="AB106" i="1"/>
  <c r="AB309" i="1"/>
  <c r="AB889" i="1"/>
  <c r="AB280" i="1"/>
  <c r="AB213" i="1"/>
  <c r="AB585" i="1"/>
  <c r="AB97" i="1"/>
  <c r="AB900" i="1"/>
  <c r="AB655" i="1"/>
  <c r="AB543" i="1"/>
  <c r="AB382" i="1"/>
  <c r="AB632" i="1"/>
  <c r="AB741" i="1"/>
  <c r="AB910" i="1"/>
  <c r="AB851" i="1"/>
  <c r="AB565" i="1"/>
  <c r="AB159" i="1"/>
  <c r="AB187" i="1"/>
  <c r="AB977" i="1"/>
  <c r="AB600" i="1"/>
  <c r="AB664" i="1"/>
  <c r="AB310" i="1"/>
  <c r="AB848" i="1"/>
  <c r="AB594" i="1"/>
  <c r="AB915" i="1"/>
  <c r="AB880" i="1"/>
  <c r="AB417" i="1"/>
  <c r="AB963" i="1"/>
  <c r="AB64" i="1"/>
  <c r="AB863" i="1"/>
  <c r="AB713" i="1"/>
  <c r="AB652" i="1"/>
  <c r="AB974" i="1"/>
  <c r="AB424" i="1"/>
  <c r="AB393" i="1"/>
  <c r="AB302" i="1"/>
  <c r="AB171" i="1"/>
  <c r="AB921" i="1"/>
  <c r="AB898" i="1"/>
  <c r="AB223" i="1"/>
  <c r="AB593" i="1"/>
  <c r="AB954" i="1"/>
  <c r="AB609" i="1"/>
  <c r="AB215" i="1"/>
  <c r="AB753" i="1"/>
  <c r="AB902" i="1"/>
  <c r="AB79" i="1"/>
  <c r="AB277" i="1"/>
  <c r="AB870" i="1"/>
  <c r="AB68" i="1"/>
  <c r="AB210" i="1"/>
  <c r="AB491" i="1"/>
  <c r="AB147" i="1"/>
  <c r="AB703" i="1"/>
  <c r="AB728" i="1"/>
  <c r="AB391" i="1"/>
  <c r="AB157" i="1"/>
  <c r="AB912" i="1"/>
  <c r="AB841" i="1"/>
  <c r="AB21" i="1"/>
  <c r="AB660" i="1"/>
  <c r="AB317" i="1"/>
  <c r="AB832" i="1"/>
  <c r="AB108" i="1"/>
  <c r="AB368" i="1"/>
  <c r="AB57" i="1"/>
  <c r="AB907" i="1"/>
  <c r="AB31" i="1"/>
  <c r="AB836" i="1"/>
  <c r="AB535" i="1"/>
  <c r="AB562" i="1"/>
  <c r="AB922" i="1"/>
  <c r="AB888" i="1"/>
  <c r="AB434" i="1"/>
  <c r="AB584" i="1"/>
  <c r="AB981" i="1"/>
  <c r="AB333" i="1"/>
  <c r="AB148" i="1"/>
  <c r="AB50" i="1"/>
  <c r="AB917" i="1"/>
  <c r="AB909" i="1"/>
  <c r="AB219" i="1"/>
  <c r="AB712" i="1"/>
  <c r="AB525" i="1"/>
  <c r="AB924" i="1"/>
  <c r="AB38" i="1"/>
  <c r="AB199" i="1"/>
  <c r="AB241" i="1"/>
  <c r="AB4" i="1"/>
  <c r="AB641" i="1"/>
  <c r="AB914" i="1"/>
  <c r="AB226" i="1"/>
  <c r="AB595" i="1"/>
  <c r="AB262" i="1"/>
  <c r="AB629" i="1"/>
  <c r="AB524" i="1"/>
  <c r="AB335" i="1"/>
  <c r="AB745" i="1"/>
  <c r="AB875" i="1"/>
  <c r="AB942" i="1"/>
  <c r="AB249" i="1"/>
  <c r="AB58" i="1"/>
  <c r="AB965" i="1"/>
  <c r="AB806" i="1"/>
  <c r="AB204" i="1"/>
  <c r="AB337" i="1"/>
  <c r="AB61" i="1"/>
  <c r="AB377" i="1"/>
  <c r="AB451" i="1"/>
  <c r="AB179" i="1"/>
  <c r="AB304" i="1"/>
  <c r="AB896" i="1"/>
  <c r="AB125" i="1"/>
  <c r="AB206" i="1"/>
  <c r="AB947" i="1"/>
  <c r="AB463" i="1"/>
  <c r="AB531" i="1"/>
  <c r="AB473" i="1"/>
  <c r="AB551" i="1"/>
  <c r="AB943" i="1"/>
  <c r="AB499" i="1"/>
  <c r="AB555" i="1"/>
  <c r="AB872" i="1"/>
  <c r="AB945" i="1"/>
  <c r="AB371" i="1"/>
  <c r="AB606" i="1"/>
  <c r="AB783" i="1"/>
  <c r="AB642" i="1"/>
  <c r="AB866" i="1"/>
  <c r="AB920" i="1"/>
  <c r="AB95" i="1"/>
  <c r="AB743" i="1"/>
  <c r="AB356" i="1"/>
  <c r="AB366" i="1"/>
  <c r="AB84" i="1"/>
  <c r="AB480" i="1"/>
  <c r="AB180" i="1"/>
  <c r="AB850" i="1"/>
  <c r="AB52" i="1"/>
  <c r="AB436" i="1"/>
  <c r="AB313" i="1"/>
  <c r="AB438" i="1"/>
  <c r="AB948" i="1"/>
  <c r="AB971" i="1"/>
  <c r="AB858" i="1"/>
  <c r="AB321" i="1"/>
  <c r="AB773" i="1"/>
  <c r="AB809" i="1"/>
  <c r="AB351" i="1"/>
  <c r="AB452" i="1"/>
  <c r="AB211" i="1"/>
  <c r="AB327" i="1"/>
  <c r="AB933" i="1"/>
  <c r="AB138" i="1"/>
  <c r="AB521" i="1"/>
  <c r="AB279" i="1"/>
  <c r="AB73" i="1"/>
  <c r="AB471" i="1"/>
  <c r="AB979" i="1"/>
  <c r="AB906" i="1"/>
  <c r="AB707" i="1"/>
  <c r="AB830" i="1"/>
  <c r="AB882" i="1"/>
  <c r="AB92" i="1"/>
  <c r="AB845" i="1"/>
  <c r="AB245" i="1"/>
  <c r="AB539" i="1"/>
  <c r="AB890" i="1"/>
  <c r="AB395" i="1"/>
  <c r="AB855" i="1"/>
  <c r="AB873" i="1"/>
  <c r="AB472" i="1"/>
  <c r="AB523" i="1"/>
  <c r="AB43" i="1"/>
  <c r="AB932" i="1"/>
  <c r="AB162" i="1"/>
  <c r="AB445" i="1"/>
  <c r="AB367" i="1"/>
  <c r="AB231" i="1"/>
  <c r="AB109" i="1"/>
  <c r="AB76" i="1"/>
  <c r="AB314" i="1"/>
  <c r="AB710" i="1"/>
  <c r="AB972" i="1"/>
  <c r="AB625" i="1"/>
  <c r="AB247" i="1"/>
  <c r="AB11" i="1"/>
  <c r="AB25" i="1"/>
  <c r="AB455" i="1"/>
  <c r="AB12" i="1"/>
  <c r="AB839" i="1"/>
  <c r="AB98" i="1"/>
  <c r="AB294" i="1"/>
  <c r="AB878" i="1"/>
  <c r="AB435" i="1"/>
  <c r="AB198" i="1"/>
  <c r="AB833" i="1"/>
  <c r="AB428" i="1"/>
  <c r="AB877" i="1"/>
  <c r="AB288" i="1"/>
  <c r="AB808" i="1"/>
  <c r="AB527" i="1"/>
  <c r="AB750" i="1"/>
  <c r="AB734" i="1"/>
  <c r="AB96" i="1"/>
  <c r="AB13" i="1"/>
  <c r="AB715" i="1"/>
  <c r="AB903" i="1"/>
  <c r="AB334" i="1"/>
  <c r="AB66" i="1"/>
  <c r="AB740" i="1"/>
  <c r="AB202" i="1"/>
  <c r="AB717" i="1"/>
  <c r="AB18" i="1"/>
  <c r="AB610" i="1"/>
  <c r="AB908" i="1"/>
  <c r="AB843" i="1"/>
  <c r="AB48" i="1"/>
  <c r="AB23" i="1"/>
  <c r="AB663" i="1"/>
  <c r="AB785" i="1"/>
  <c r="AB669" i="1"/>
  <c r="AB865" i="1"/>
  <c r="AB293" i="1"/>
  <c r="AB519" i="1"/>
  <c r="AB984" i="1"/>
  <c r="AB407" i="1"/>
  <c r="AB153" i="1"/>
  <c r="AB727" i="1"/>
  <c r="AB756" i="1"/>
  <c r="AB955" i="1"/>
  <c r="AB298" i="1"/>
  <c r="AB534" i="1"/>
  <c r="AB49" i="1"/>
  <c r="AB183" i="1"/>
  <c r="AB554" i="1"/>
  <c r="AB315" i="1"/>
  <c r="AB857" i="1"/>
  <c r="AB668" i="1"/>
  <c r="AB556" i="1"/>
  <c r="AB927" i="1"/>
  <c r="AB216" i="1"/>
  <c r="AB545" i="1"/>
  <c r="AB802" i="1"/>
  <c r="AB168" i="1"/>
  <c r="AB7" i="1"/>
  <c r="AB131" i="1"/>
  <c r="AB399" i="1"/>
  <c r="AB370" i="1"/>
  <c r="AB510" i="1"/>
  <c r="AB44" i="1"/>
  <c r="AB378" i="1"/>
  <c r="AB964" i="1"/>
  <c r="AB372" i="1"/>
  <c r="AB570" i="1"/>
  <c r="AB810" i="1"/>
  <c r="AB683" i="1"/>
  <c r="AB263" i="1"/>
  <c r="AB349" i="1"/>
  <c r="AB946" i="1"/>
  <c r="AB394" i="1"/>
  <c r="AB621" i="1"/>
  <c r="AB673" i="1"/>
  <c r="AB653" i="1"/>
  <c r="AB775" i="1"/>
  <c r="AB883" i="1"/>
  <c r="AB494" i="1"/>
  <c r="AB638" i="1"/>
  <c r="AB826" i="1"/>
  <c r="AB820" i="1"/>
  <c r="AB113" i="1"/>
  <c r="AB962" i="1"/>
  <c r="AB350" i="1"/>
  <c r="AB517" i="1"/>
  <c r="AB774" i="1"/>
  <c r="AB123" i="1"/>
  <c r="AB616" i="1"/>
  <c r="AB645" i="1"/>
  <c r="AB951" i="1"/>
  <c r="AB769" i="1"/>
  <c r="AB282" i="1"/>
  <c r="AB794" i="1"/>
  <c r="AB828" i="1"/>
  <c r="AB755" i="1"/>
  <c r="AB427" i="1"/>
  <c r="AB558" i="1"/>
  <c r="AB799" i="1"/>
  <c r="AB944" i="1"/>
  <c r="AB807" i="1"/>
  <c r="AB273" i="1"/>
  <c r="AB795" i="1"/>
  <c r="AB300" i="1"/>
  <c r="AB840" i="1"/>
  <c r="AB207" i="1"/>
  <c r="AB286" i="1"/>
  <c r="AB243" i="1"/>
  <c r="AB495" i="1"/>
  <c r="AB490" i="1"/>
  <c r="AB671" i="1"/>
  <c r="AB299" i="1"/>
  <c r="AB237" i="1"/>
  <c r="AB825" i="1"/>
  <c r="AB970" i="1"/>
  <c r="AB709" i="1"/>
  <c r="AB341" i="1"/>
  <c r="AB940" i="1"/>
  <c r="AB174" i="1"/>
  <c r="AB255" i="1"/>
  <c r="AB357" i="1"/>
  <c r="AB354" i="1"/>
  <c r="AB15" i="1"/>
  <c r="AB328" i="1"/>
  <c r="AB413" i="1"/>
  <c r="AB846" i="1"/>
  <c r="AB560" i="1"/>
  <c r="AB767" i="1"/>
  <c r="AB342" i="1"/>
  <c r="AB978" i="1"/>
  <c r="AB493" i="1"/>
  <c r="AB723" i="1"/>
  <c r="AB950" i="1"/>
  <c r="AB344" i="1"/>
  <c r="AB949" i="1"/>
  <c r="AB284" i="1"/>
  <c r="AB122" i="1"/>
  <c r="AB522" i="1"/>
  <c r="AB699" i="1"/>
  <c r="AB650" i="1"/>
  <c r="AB228" i="1"/>
  <c r="AB281" i="1"/>
  <c r="AB99" i="1"/>
  <c r="AB656" i="1"/>
  <c r="AB615" i="1"/>
  <c r="AB478" i="1"/>
  <c r="AB782" i="1"/>
  <c r="AB323" i="1"/>
  <c r="AB516" i="1"/>
  <c r="AB116" i="1"/>
  <c r="AB142" i="1"/>
  <c r="AB973" i="1"/>
  <c r="AB627" i="1"/>
  <c r="AB181" i="1"/>
  <c r="AB885" i="1"/>
  <c r="AB411" i="1"/>
  <c r="AB700" i="1"/>
  <c r="AB467" i="1"/>
  <c r="AB649" i="1"/>
  <c r="AB137" i="1"/>
  <c r="AB278" i="1"/>
  <c r="AB167" i="1"/>
  <c r="AB161" i="1"/>
  <c r="AB217" i="1"/>
  <c r="AB860" i="1"/>
  <c r="AB634" i="1"/>
  <c r="AB260" i="1"/>
  <c r="AB496" i="1"/>
  <c r="AB648" i="1"/>
  <c r="AB257" i="1"/>
  <c r="AB630" i="1"/>
  <c r="AB487" i="1"/>
  <c r="AB465" i="1"/>
  <c r="AB74" i="1"/>
  <c r="AB160" i="1"/>
  <c r="AB182" i="1"/>
  <c r="AB104" i="1"/>
  <c r="AB576" i="1"/>
  <c r="AB375" i="1"/>
  <c r="AB240" i="1"/>
  <c r="AB400" i="1"/>
  <c r="AB474" i="1"/>
  <c r="AB847" i="1"/>
  <c r="AB401" i="1"/>
  <c r="AB397" i="1"/>
  <c r="AB589" i="1"/>
  <c r="AB56" i="1"/>
  <c r="AB42" i="1"/>
  <c r="AB343" i="1"/>
  <c r="AB853" i="1"/>
  <c r="AB805" i="1"/>
  <c r="AB283" i="1"/>
  <c r="AB542" i="1"/>
  <c r="AB916" i="1"/>
  <c r="AB437" i="1"/>
  <c r="AB301" i="1"/>
  <c r="AB969" i="1"/>
  <c r="AB201" i="1"/>
  <c r="AB602" i="1"/>
  <c r="AB938" i="1"/>
  <c r="AB477" i="1"/>
  <c r="AB154" i="1"/>
  <c r="AB150" i="1"/>
  <c r="AB331" i="1"/>
  <c r="AB269" i="1"/>
  <c r="AB659" i="1"/>
  <c r="AB254" i="1"/>
  <c r="AB430" i="1"/>
  <c r="AB798" i="1"/>
  <c r="AB246" i="1"/>
  <c r="AB887" i="1"/>
  <c r="AB835" i="1"/>
  <c r="AB532" i="1"/>
  <c r="AB408" i="1"/>
  <c r="AB26" i="1"/>
  <c r="AB348" i="1"/>
  <c r="AB601" i="1"/>
  <c r="AB829" i="1"/>
  <c r="AB264" i="1"/>
  <c r="AB796" i="1"/>
  <c r="AB506" i="1"/>
  <c r="AB156" i="1"/>
  <c r="AB732" i="1"/>
  <c r="AB479" i="1"/>
  <c r="AB672" i="1"/>
  <c r="AB701" i="1"/>
  <c r="AB975" i="1"/>
  <c r="AB192" i="1"/>
  <c r="AB233" i="1"/>
  <c r="AB529" i="1"/>
  <c r="AB172" i="1"/>
  <c r="AB114" i="1"/>
  <c r="AB355" i="1"/>
  <c r="AB812" i="1"/>
  <c r="AB815" i="1"/>
  <c r="AB498" i="1"/>
  <c r="AB623" i="1"/>
  <c r="AB937" i="1"/>
  <c r="AB831" i="1"/>
  <c r="AB818" i="1"/>
  <c r="AB729" i="1"/>
  <c r="AB770" i="1"/>
  <c r="AB891" i="1"/>
  <c r="AB54" i="1"/>
  <c r="AB636" i="1"/>
  <c r="AB398" i="1"/>
  <c r="AB684" i="1"/>
  <c r="AB45" i="1"/>
  <c r="C982" i="1"/>
  <c r="B982" i="1"/>
  <c r="AB692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<sst xmlns="http://schemas.openxmlformats.org/spreadsheetml/2006/main" count="10633" uniqueCount="3881">
  <si>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</si>
  <si>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</si>
  <si>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</si>
  <si>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</si>
  <si>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</si>
  <si>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</si>
  <si>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</si>
  <si>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</si>
  <si>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</si>
  <si>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</si>
  <si>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</si>
  <si>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</si>
  <si>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</si>
  <si>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</si>
  <si>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</si>
  <si>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</si>
  <si>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</si>
  <si>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</si>
  <si>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</si>
  <si>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</si>
  <si>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</si>
  <si>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</si>
  <si>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</si>
  <si>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</si>
  <si>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</si>
  <si>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</si>
  <si>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</si>
  <si>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</si>
  <si>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</si>
  <si>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</si>
  <si>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</si>
  <si>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</si>
  <si>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</si>
  <si>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</si>
  <si>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</si>
  <si>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</si>
  <si>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</si>
  <si>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</si>
  <si>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</si>
  <si>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</si>
  <si>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</si>
  <si>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</si>
  <si>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</si>
  <si>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</si>
  <si>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</si>
  <si>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</si>
  <si>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</si>
  <si>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</si>
  <si>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</si>
  <si>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</si>
  <si>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</si>
  <si>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</si>
  <si>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</si>
  <si>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</si>
  <si>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</si>
  <si>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</si>
  <si>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</si>
  <si>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</si>
  <si>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</si>
  <si>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</si>
  <si>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</si>
  <si>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</si>
  <si>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</si>
  <si>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</si>
  <si>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</si>
  <si>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</si>
  <si>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</si>
  <si>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</si>
  <si>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</si>
  <si>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</si>
  <si>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</si>
  <si>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</si>
  <si>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</si>
  <si>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</si>
  <si>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</si>
  <si>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</si>
  <si>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</si>
  <si>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</si>
  <si>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</si>
  <si>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</si>
  <si>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</si>
  <si>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</si>
  <si>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</si>
  <si>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</si>
  <si>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</si>
  <si>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</si>
  <si>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</si>
  <si>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</si>
  <si>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</si>
  <si>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</si>
  <si>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</si>
  <si>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</si>
  <si>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</si>
  <si>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</si>
  <si>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</si>
  <si>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</si>
  <si>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</si>
  <si>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</si>
  <si>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</si>
  <si>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</si>
  <si>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</si>
  <si>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</si>
  <si>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</si>
  <si>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</si>
  <si>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</si>
  <si>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</si>
  <si>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</si>
  <si>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</si>
  <si>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</si>
  <si>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</si>
  <si>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</si>
  <si>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</si>
  <si>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</si>
  <si>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</si>
  <si>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</si>
  <si>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</si>
  <si>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</si>
  <si>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</si>
  <si>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</si>
  <si>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</si>
  <si>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</si>
  <si>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</si>
  <si>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</si>
  <si>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</si>
  <si>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</si>
  <si>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</si>
  <si>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</si>
  <si>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</si>
  <si>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</si>
  <si>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</si>
  <si>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</si>
  <si>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</si>
  <si>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</si>
  <si>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</si>
  <si>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</si>
  <si>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</si>
  <si>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</si>
  <si>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</si>
  <si>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</si>
  <si>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</si>
  <si>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</si>
  <si>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</si>
  <si>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</si>
  <si>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</si>
  <si>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</si>
  <si>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</si>
  <si>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</si>
  <si>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</si>
  <si>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</si>
  <si>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</si>
  <si>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</si>
  <si>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</si>
  <si>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</si>
  <si>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</si>
  <si>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</si>
  <si>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</si>
  <si>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</si>
  <si>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</si>
  <si>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</si>
  <si>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</si>
  <si>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</si>
  <si>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</si>
  <si>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</si>
  <si>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</si>
  <si>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</si>
  <si>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</si>
  <si>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</si>
  <si>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</si>
  <si>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</si>
  <si>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</si>
  <si>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</si>
  <si>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</si>
  <si>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</si>
  <si>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</si>
  <si>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</si>
  <si>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</si>
  <si>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</si>
  <si>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</si>
  <si>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</si>
  <si>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</si>
  <si>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</si>
  <si>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</si>
  <si>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</si>
  <si>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</si>
  <si>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</si>
  <si>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</si>
  <si>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</si>
  <si>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</si>
  <si>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</si>
  <si>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</si>
  <si>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</si>
  <si>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</si>
  <si>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</si>
  <si>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</si>
  <si>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</si>
  <si>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</si>
  <si>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</si>
  <si>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</si>
  <si>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</si>
  <si>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</si>
  <si>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</si>
  <si>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</si>
  <si>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</si>
  <si>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</si>
  <si>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</si>
  <si>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</si>
  <si>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</si>
  <si>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</si>
  <si>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</si>
  <si>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</si>
  <si>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</si>
  <si>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</si>
  <si>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</si>
  <si>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</si>
  <si>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</si>
  <si>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</si>
  <si>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</si>
  <si>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</si>
  <si>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</si>
  <si>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</si>
  <si>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</si>
  <si>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</si>
  <si>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</si>
  <si>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</si>
  <si>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</si>
  <si>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</si>
  <si>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</si>
  <si>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</si>
  <si>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</si>
  <si>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</si>
  <si>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</si>
  <si>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</si>
  <si>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</si>
  <si>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</si>
  <si>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</si>
  <si>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</si>
  <si>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</si>
  <si>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</si>
  <si>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</si>
  <si>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</si>
  <si>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</si>
  <si>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</si>
  <si>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</si>
  <si>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</si>
  <si>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</si>
  <si>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</si>
  <si>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</si>
  <si>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</si>
  <si>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</si>
  <si>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</si>
  <si>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</si>
  <si>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</si>
  <si>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</si>
  <si>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</si>
  <si>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</si>
  <si>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</si>
  <si>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</si>
  <si>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</si>
  <si>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</si>
  <si>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</si>
  <si>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</si>
  <si>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</si>
  <si>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</si>
  <si>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</si>
  <si>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</si>
  <si>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</si>
  <si>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</si>
  <si>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</si>
  <si>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</si>
  <si>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</si>
  <si>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</si>
  <si>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</si>
  <si>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</si>
  <si>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</si>
  <si>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</si>
  <si>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</si>
  <si>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</si>
  <si>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</si>
  <si>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</si>
  <si>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</si>
  <si>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</si>
  <si>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</si>
  <si>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</si>
  <si>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</si>
  <si>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</si>
  <si>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</si>
  <si>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</si>
  <si>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</si>
  <si>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</si>
  <si>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</si>
  <si>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</si>
  <si>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</si>
  <si>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</si>
  <si>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</si>
  <si>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</si>
  <si>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</si>
  <si>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</si>
  <si>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</si>
  <si>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</si>
  <si>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</si>
  <si>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</si>
  <si>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</si>
  <si>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</si>
  <si>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</si>
  <si>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</si>
  <si>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</si>
  <si>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</si>
  <si>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</si>
  <si>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</si>
  <si>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</si>
  <si>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</si>
  <si>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</si>
  <si>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</si>
  <si>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</si>
  <si>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</si>
  <si>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</si>
  <si>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</si>
  <si>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</si>
  <si>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</si>
  <si>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</si>
  <si>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</si>
  <si>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</si>
  <si>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</si>
  <si>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</si>
  <si>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</si>
  <si>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</si>
  <si>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</si>
  <si>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</si>
  <si>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</si>
  <si>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</si>
  <si>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</si>
  <si>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</si>
  <si>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</si>
  <si>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</si>
  <si>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</si>
  <si>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</si>
  <si>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</si>
  <si>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</si>
  <si>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</si>
  <si>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</si>
  <si>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</si>
  <si>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</si>
  <si>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</si>
  <si>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</si>
  <si>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</si>
  <si>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</si>
  <si>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</si>
  <si>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</si>
  <si>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</si>
  <si>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</si>
  <si>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</si>
  <si>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</si>
  <si>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</si>
  <si>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</si>
  <si>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</si>
  <si>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</si>
  <si>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</si>
  <si>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</si>
  <si>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</si>
  <si>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</si>
  <si>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</si>
  <si>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</si>
  <si>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</si>
  <si>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</si>
  <si>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</si>
  <si>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</si>
  <si>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</si>
  <si>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</si>
  <si>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</si>
  <si>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</si>
  <si>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</si>
  <si>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</si>
  <si>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</si>
  <si>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</si>
  <si>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</si>
  <si>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</si>
  <si>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</si>
  <si>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</si>
  <si>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</si>
  <si>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</si>
  <si>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</si>
  <si>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</si>
  <si>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</si>
  <si>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</si>
  <si>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</si>
  <si>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</si>
  <si>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</si>
  <si>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</si>
  <si>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</si>
  <si>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</si>
  <si>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</si>
  <si>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</si>
  <si>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</si>
  <si>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</si>
  <si>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</si>
  <si>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</si>
  <si>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</si>
  <si>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</si>
  <si>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</si>
  <si>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</si>
  <si>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</si>
  <si>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</si>
  <si>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</si>
  <si>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</si>
  <si>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</si>
  <si>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</si>
  <si>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</si>
  <si>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</si>
  <si>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</si>
  <si>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</si>
  <si>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</si>
  <si>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</si>
  <si>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</si>
  <si>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</si>
  <si>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</si>
  <si>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</si>
  <si>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</si>
  <si>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</si>
  <si>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</si>
  <si>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</si>
  <si>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</si>
  <si>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</si>
  <si>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</si>
  <si>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</si>
  <si>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</si>
  <si>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</si>
  <si>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</si>
  <si>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</si>
  <si>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</si>
  <si>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</si>
  <si>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</si>
  <si>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</si>
  <si>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</si>
  <si>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</si>
  <si>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</si>
  <si>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</si>
  <si>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</si>
  <si>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</si>
  <si>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</si>
  <si>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</si>
  <si>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</si>
  <si>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</si>
  <si>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</si>
  <si>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</si>
  <si>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</si>
  <si>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</si>
  <si>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</si>
  <si>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</si>
  <si>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</si>
  <si>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</si>
  <si>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</si>
  <si>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</si>
  <si>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</si>
  <si>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</si>
  <si>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</si>
  <si>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</si>
  <si>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</si>
  <si>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</si>
  <si>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</si>
  <si>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</si>
  <si>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</si>
  <si>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</si>
  <si>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</si>
  <si>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</si>
  <si>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</si>
  <si>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</si>
  <si>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</si>
  <si>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</si>
  <si>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</si>
  <si>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</si>
  <si>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</si>
  <si>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</si>
  <si>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</si>
  <si>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</si>
  <si>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</si>
  <si>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</si>
  <si>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</si>
  <si>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</si>
  <si>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</si>
  <si>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</si>
  <si>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</si>
  <si>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</si>
  <si>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</si>
  <si>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</si>
  <si>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</si>
  <si>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</si>
  <si>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</si>
  <si>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</si>
  <si>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</si>
  <si>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</si>
  <si>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</si>
  <si>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</si>
  <si>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</si>
  <si>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</si>
  <si>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</si>
  <si>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</si>
  <si>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</si>
  <si>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</si>
  <si>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</si>
  <si>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</si>
  <si>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</si>
  <si>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</si>
  <si>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</si>
  <si>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</si>
  <si>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</si>
  <si>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</si>
  <si>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</si>
  <si>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</si>
  <si>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</si>
  <si>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</si>
  <si>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</si>
  <si>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</si>
  <si>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</si>
  <si>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</si>
  <si>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</si>
  <si>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</si>
  <si>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</si>
  <si>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</si>
  <si>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</si>
  <si>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</si>
  <si>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</si>
  <si>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</si>
  <si>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</si>
  <si>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</si>
  <si>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</si>
  <si>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</si>
  <si>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</si>
  <si>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</si>
  <si>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</si>
  <si>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</si>
  <si>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</si>
  <si>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</si>
  <si>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</si>
  <si>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</si>
  <si>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</si>
  <si>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</si>
  <si>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</si>
  <si>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</si>
  <si>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</si>
  <si>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</si>
  <si>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</si>
  <si>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</si>
  <si>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</si>
  <si>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</si>
  <si>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</si>
  <si>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</si>
  <si>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</si>
  <si>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</si>
  <si>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</si>
  <si>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</si>
  <si>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</si>
  <si>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</si>
  <si>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</si>
  <si>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</si>
  <si>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</si>
  <si>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</si>
  <si>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</si>
  <si>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</si>
  <si>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</si>
  <si>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</si>
  <si>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</si>
  <si>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</si>
  <si>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</si>
  <si>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</si>
  <si>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</si>
  <si>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</si>
  <si>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</si>
  <si>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</si>
  <si>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</si>
  <si>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</si>
  <si>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</si>
  <si>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</si>
  <si>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</si>
  <si>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</si>
  <si>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</si>
  <si>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</si>
  <si>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</si>
  <si>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</si>
  <si>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</si>
  <si>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</si>
  <si>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</si>
  <si>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</si>
  <si>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</si>
  <si>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</si>
  <si>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</si>
  <si>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</si>
  <si>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</si>
  <si>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</si>
  <si>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</si>
  <si>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</si>
  <si>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</si>
  <si>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</si>
  <si>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</si>
  <si>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</si>
  <si>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</si>
  <si>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</si>
  <si>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</si>
  <si>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</si>
  <si>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</si>
  <si>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</si>
  <si>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</si>
  <si>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</si>
  <si>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</si>
  <si>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</si>
  <si>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</si>
  <si>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</si>
  <si>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</si>
  <si>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</si>
  <si>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</si>
  <si>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</si>
  <si>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</si>
  <si>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</si>
  <si>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</si>
  <si>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</si>
  <si>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</si>
  <si>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</si>
  <si>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</si>
  <si>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</si>
  <si>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</si>
  <si>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</si>
  <si>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</si>
  <si>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</si>
  <si>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</si>
  <si>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</si>
  <si>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</si>
  <si>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</si>
  <si>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</si>
  <si>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</si>
  <si>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</si>
  <si>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</si>
  <si>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</si>
  <si>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</si>
  <si>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</si>
  <si>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</si>
  <si>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</si>
  <si>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</si>
  <si>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</si>
  <si>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</si>
  <si>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</si>
  <si>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</si>
  <si>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</si>
  <si>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</si>
  <si>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</si>
  <si>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</si>
  <si>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</si>
  <si>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</si>
  <si>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</si>
  <si>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</si>
  <si>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</si>
  <si>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</si>
  <si>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</si>
  <si>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</si>
  <si>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</si>
  <si>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</si>
  <si>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</si>
  <si>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</si>
  <si>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</si>
  <si>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</si>
  <si>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</si>
  <si>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</si>
  <si>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</si>
  <si>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</si>
  <si>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</si>
  <si>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</si>
  <si>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</si>
  <si>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</si>
  <si>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</si>
  <si>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</si>
  <si>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</si>
  <si>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</si>
  <si>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</si>
  <si>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</si>
  <si>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</si>
  <si>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</si>
  <si>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</si>
  <si>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</si>
  <si>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</si>
  <si>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</si>
  <si>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</si>
  <si>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</si>
  <si>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</si>
  <si>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</si>
  <si>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</si>
  <si>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</si>
  <si>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</si>
  <si>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</si>
  <si>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</si>
  <si>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</si>
  <si>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</si>
  <si>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</si>
  <si>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</si>
  <si>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</si>
  <si>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</si>
  <si>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</si>
  <si>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</si>
  <si>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</si>
  <si>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</si>
  <si>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</si>
  <si>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</si>
  <si>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</si>
  <si>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</si>
  <si>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</si>
  <si>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</si>
  <si>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</si>
  <si>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</si>
  <si>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</si>
  <si>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</si>
  <si>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</si>
  <si>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</si>
  <si>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</si>
  <si>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</si>
  <si>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</si>
  <si>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</si>
  <si>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</si>
  <si>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</si>
  <si>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</si>
  <si>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</si>
  <si>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</si>
  <si>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</si>
  <si>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</si>
  <si>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</si>
  <si>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</si>
  <si>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</si>
  <si>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</si>
  <si>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</si>
  <si>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</si>
  <si>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</si>
  <si>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</si>
  <si>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</si>
  <si>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</si>
  <si>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</si>
  <si>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</si>
  <si>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</si>
  <si>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</si>
  <si>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</si>
  <si>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</si>
  <si>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</si>
  <si>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</si>
  <si>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</si>
  <si>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</si>
  <si>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</si>
  <si>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</si>
  <si>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</si>
  <si>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</si>
  <si>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</si>
  <si>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</si>
  <si>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</si>
  <si>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</si>
  <si>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</si>
  <si>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</si>
  <si>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</si>
  <si>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</si>
  <si>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</si>
  <si>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</si>
  <si>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</si>
  <si>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</si>
  <si>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</si>
  <si>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</si>
  <si>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</si>
  <si>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</si>
  <si>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</si>
  <si>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</si>
  <si>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</si>
  <si>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</si>
  <si>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</si>
  <si>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</si>
  <si>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</si>
  <si>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</si>
  <si>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</si>
  <si>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</si>
  <si>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</si>
  <si>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</si>
  <si>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</si>
  <si>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</si>
  <si>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</si>
  <si>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</si>
  <si>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</si>
  <si>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</si>
  <si>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</si>
  <si>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</si>
  <si>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</si>
  <si>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</si>
  <si>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</si>
  <si>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</si>
  <si>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</si>
  <si>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</si>
  <si>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</si>
  <si>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</si>
  <si>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</si>
  <si>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</si>
  <si>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</si>
  <si>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</si>
  <si>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</si>
  <si>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</si>
  <si>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</si>
  <si>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</si>
  <si>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</si>
  <si>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</si>
  <si>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</si>
  <si>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</si>
  <si>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</si>
  <si>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</si>
  <si>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</si>
  <si>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</si>
  <si>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</si>
  <si>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</si>
  <si>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</si>
  <si>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</si>
  <si>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</si>
  <si>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</si>
  <si>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</si>
  <si>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</si>
  <si>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</si>
  <si>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</si>
  <si>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</si>
  <si>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</si>
  <si>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</si>
  <si>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</si>
  <si>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</si>
  <si>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</si>
  <si>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</si>
  <si>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</si>
  <si>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</si>
  <si>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</si>
  <si>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</si>
  <si>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</si>
  <si>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</si>
  <si>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</si>
  <si>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</si>
  <si>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</si>
  <si>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</si>
  <si>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</si>
  <si>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</si>
  <si>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</si>
  <si>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</si>
  <si>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</si>
  <si>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</si>
  <si>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</si>
  <si>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</si>
  <si>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</si>
  <si>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</si>
  <si>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</si>
  <si>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</si>
  <si>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</si>
  <si>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</si>
  <si>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</si>
  <si>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</si>
  <si>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</si>
  <si>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</si>
  <si>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</si>
  <si>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</si>
  <si>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</si>
  <si>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</si>
  <si>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</si>
  <si>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</si>
  <si>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</si>
  <si>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</si>
  <si>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</si>
  <si>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</si>
  <si>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</si>
  <si>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</si>
  <si>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</si>
  <si>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</si>
  <si>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</si>
  <si>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</si>
  <si>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</si>
  <si>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</si>
  <si>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</si>
  <si>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</si>
  <si>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</si>
  <si>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</si>
  <si>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</si>
  <si>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</si>
  <si>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</si>
  <si>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</si>
  <si>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</si>
  <si>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</si>
  <si>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</si>
  <si>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</si>
  <si>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</si>
  <si>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</si>
  <si>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</si>
  <si>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</si>
  <si>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</si>
  <si>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</si>
  <si>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</si>
  <si>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</si>
  <si>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</si>
  <si>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</si>
  <si>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</si>
  <si>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</si>
  <si>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</si>
  <si>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</si>
  <si>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</si>
  <si>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</si>
  <si>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</si>
  <si>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</si>
  <si>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</si>
  <si>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</si>
  <si>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</si>
  <si>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</si>
  <si>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</si>
  <si>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</si>
  <si>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</si>
  <si>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</si>
  <si>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</si>
  <si>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</si>
  <si>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</si>
  <si>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</si>
  <si>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</si>
  <si>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</si>
  <si>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</si>
  <si>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</si>
  <si>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</si>
  <si>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</si>
  <si>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</si>
  <si>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</si>
  <si>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</si>
  <si>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</si>
  <si>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</si>
  <si>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</si>
  <si>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</si>
  <si>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</si>
  <si>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</si>
  <si>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</si>
  <si>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</si>
  <si>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</si>
  <si>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</si>
  <si>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</si>
  <si>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</si>
  <si>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</si>
  <si>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</si>
  <si>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</si>
  <si>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</si>
  <si>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</si>
  <si>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</si>
  <si>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</si>
  <si>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</si>
  <si>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</si>
  <si>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</si>
  <si>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</si>
  <si>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</si>
  <si>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</si>
  <si>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</si>
  <si>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</si>
  <si>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</si>
  <si>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</si>
  <si>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</si>
  <si>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</si>
  <si>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</si>
  <si>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</si>
  <si>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</si>
  <si>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</si>
  <si>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</si>
  <si>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</si>
  <si>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</si>
  <si>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</si>
  <si>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</si>
  <si>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</si>
  <si>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</si>
  <si>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</si>
  <si>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</si>
  <si>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</si>
  <si>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</si>
  <si>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</si>
  <si>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</si>
  <si>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</si>
  <si>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</si>
  <si>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</si>
  <si>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</si>
  <si>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</si>
  <si>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</si>
  <si>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</si>
  <si>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</si>
  <si>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</si>
  <si>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</si>
  <si>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</si>
  <si>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</si>
  <si>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</si>
  <si>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</si>
  <si>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</si>
  <si>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</si>
  <si>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</si>
  <si>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</si>
  <si>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</si>
  <si>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</si>
  <si>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</si>
  <si>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</si>
  <si>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</si>
  <si>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</si>
  <si>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</si>
  <si>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</si>
  <si>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</si>
  <si>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</si>
  <si>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</si>
  <si>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</si>
  <si>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</si>
  <si>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</si>
  <si>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</si>
  <si>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</si>
  <si>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</si>
  <si>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</si>
  <si>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</si>
  <si>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</si>
  <si>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</si>
  <si>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</si>
  <si>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</si>
  <si>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</si>
  <si>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</si>
  <si>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</si>
  <si>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</si>
  <si>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</si>
  <si>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</si>
  <si>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</si>
  <si>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</si>
  <si>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</si>
  <si>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</si>
  <si>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</si>
  <si>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</si>
  <si>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</si>
  <si>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</si>
  <si>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</si>
  <si>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</si>
  <si>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</si>
  <si>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</si>
  <si>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</si>
  <si>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</si>
  <si>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</si>
  <si>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</si>
  <si>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</si>
  <si>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</si>
  <si>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</si>
  <si>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</si>
  <si>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</si>
  <si>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</si>
  <si>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</si>
  <si>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</si>
  <si>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</si>
  <si>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</si>
  <si>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</si>
  <si>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</si>
  <si>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</si>
  <si>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</si>
  <si>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</si>
  <si>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</si>
  <si>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</si>
  <si>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</si>
  <si>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</si>
  <si>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</si>
  <si>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</si>
  <si>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</si>
  <si>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</si>
  <si>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</si>
  <si>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</si>
  <si>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</si>
  <si>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</si>
  <si>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</si>
  <si>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</si>
  <si>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</si>
  <si>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</si>
  <si>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</si>
  <si>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</si>
  <si>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</si>
  <si>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</si>
  <si>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</si>
  <si>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</si>
  <si>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</si>
  <si>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</si>
  <si>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</si>
  <si>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</si>
  <si>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</si>
  <si>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</si>
  <si>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</si>
  <si>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</si>
  <si>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</si>
  <si>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</si>
  <si>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</si>
  <si>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</si>
  <si>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</si>
  <si>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</si>
  <si>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</si>
  <si>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</si>
  <si>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</si>
  <si>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</si>
  <si>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</si>
  <si>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</si>
  <si>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</si>
  <si>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</si>
  <si>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</si>
  <si>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</si>
  <si>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</si>
  <si>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</si>
  <si>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</si>
  <si>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</si>
  <si>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</si>
  <si>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</si>
  <si>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</si>
  <si>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</si>
  <si>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</si>
  <si>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</si>
  <si>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</si>
  <si>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</si>
  <si>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</si>
  <si>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</si>
  <si>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</si>
  <si>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</si>
  <si>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</si>
  <si>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</si>
  <si>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</si>
  <si>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</si>
  <si>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</si>
  <si>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</si>
  <si>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</si>
  <si>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</si>
  <si>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</si>
  <si>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</si>
  <si>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</si>
  <si>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</si>
  <si>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</si>
  <si>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</si>
  <si>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</si>
  <si>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</si>
  <si>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</si>
  <si>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</si>
  <si>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</si>
  <si>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</si>
  <si>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</si>
  <si>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</si>
  <si>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</si>
  <si>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</si>
  <si>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</si>
  <si>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</si>
  <si>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</si>
  <si>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</si>
  <si>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</si>
  <si>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</si>
  <si>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</si>
  <si>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</si>
  <si>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</si>
  <si>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</si>
  <si>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</si>
  <si>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</si>
  <si>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</si>
  <si>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</si>
  <si>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</si>
  <si>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</si>
  <si>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</si>
  <si>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</si>
  <si>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</si>
  <si>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</si>
  <si>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</si>
  <si>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</si>
  <si>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</si>
  <si>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</si>
  <si>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</si>
  <si>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</si>
  <si>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</si>
  <si>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</si>
  <si>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</si>
  <si>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</si>
  <si>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</si>
  <si>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</si>
  <si>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</si>
  <si>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</si>
  <si>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</si>
  <si>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</si>
  <si>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</si>
  <si>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</si>
  <si>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</si>
  <si>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</si>
  <si>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</si>
  <si>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</si>
  <si>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</si>
  <si>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</si>
  <si>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</si>
  <si>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</si>
  <si>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</si>
  <si>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</si>
  <si>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</si>
  <si>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</si>
  <si>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</si>
  <si>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</si>
  <si>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</si>
  <si>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</si>
  <si>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</si>
  <si>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</si>
  <si>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</si>
  <si>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</si>
  <si>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</si>
  <si>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</si>
  <si>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</si>
  <si>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</si>
  <si>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</si>
  <si>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</si>
  <si>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</si>
  <si>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</si>
  <si>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</si>
  <si>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</si>
  <si>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</si>
  <si>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</si>
  <si>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</si>
  <si>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</si>
  <si>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</si>
  <si>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</si>
  <si>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</si>
  <si>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</si>
  <si>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</si>
  <si>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</si>
  <si>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</si>
  <si>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</si>
  <si>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</si>
  <si>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</si>
  <si>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</si>
  <si>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</si>
  <si>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</si>
  <si>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</si>
  <si>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</si>
  <si>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</si>
  <si>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</si>
  <si>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</si>
  <si>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</si>
  <si>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</si>
  <si>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</si>
  <si>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</si>
  <si>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</si>
  <si>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</si>
  <si>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</si>
  <si>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</si>
  <si>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</si>
  <si>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</si>
  <si>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</si>
  <si>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</si>
  <si>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</si>
  <si>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</si>
  <si>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</si>
  <si>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</si>
  <si>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</si>
  <si>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</si>
  <si>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</si>
  <si>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</si>
  <si>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</si>
  <si>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</si>
  <si>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</si>
  <si>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</si>
  <si>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</si>
  <si>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</si>
  <si>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</si>
  <si>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</si>
  <si>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</si>
  <si>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</si>
  <si>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</si>
  <si>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</si>
  <si>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</si>
  <si>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</si>
  <si>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</si>
  <si>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</si>
  <si>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</si>
  <si>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</si>
  <si>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</si>
  <si>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</si>
  <si>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</si>
  <si>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</si>
  <si>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</si>
  <si>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</si>
  <si>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</si>
  <si>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</si>
  <si>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</si>
  <si>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</si>
  <si>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</si>
  <si>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</si>
  <si>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</si>
  <si>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</si>
  <si>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</si>
  <si>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</si>
  <si>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</si>
  <si>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</si>
  <si>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</si>
  <si>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</si>
  <si>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</si>
  <si>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</si>
  <si>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</si>
  <si>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</si>
  <si>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</si>
  <si>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</si>
  <si>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</si>
  <si>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</si>
  <si>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</si>
  <si>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</si>
  <si>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</si>
  <si>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</si>
  <si>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</si>
  <si>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</si>
  <si>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</si>
  <si>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</si>
  <si>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</si>
  <si>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</si>
  <si>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</si>
  <si>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</si>
  <si>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</si>
  <si>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</si>
  <si>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</si>
  <si>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</si>
  <si>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</si>
  <si>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</si>
  <si>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</si>
  <si>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</si>
  <si>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</si>
  <si>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</si>
  <si>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</si>
  <si>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</si>
  <si>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</si>
  <si>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</si>
  <si>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</si>
  <si>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</si>
  <si>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</si>
  <si>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</si>
  <si>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</si>
  <si>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</si>
  <si>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</si>
  <si>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</si>
  <si>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</si>
  <si>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</si>
  <si>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</si>
  <si>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</si>
  <si>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</si>
  <si>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</si>
  <si>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</si>
  <si>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</si>
  <si>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</si>
  <si>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</si>
  <si>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</si>
  <si>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</si>
  <si>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</si>
  <si>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</si>
  <si>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</si>
  <si>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</si>
  <si>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</si>
  <si>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</si>
  <si>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</si>
  <si>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</si>
  <si>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</si>
  <si>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</si>
  <si>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</si>
  <si>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</si>
  <si>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</si>
  <si>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</si>
  <si>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</si>
  <si>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</si>
  <si>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</si>
  <si>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</si>
  <si>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</si>
  <si>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</si>
  <si>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</si>
  <si>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</si>
  <si>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</si>
  <si>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</si>
  <si>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</si>
  <si>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</si>
  <si>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</si>
  <si>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</si>
  <si>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</si>
  <si>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</si>
  <si>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</si>
  <si>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</si>
  <si>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</si>
  <si>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</si>
  <si>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</si>
  <si>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</si>
  <si>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</si>
  <si>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</si>
  <si>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</si>
  <si>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</si>
  <si>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</si>
  <si>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</si>
  <si>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</si>
  <si>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</si>
  <si>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</si>
  <si>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</si>
  <si>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</si>
  <si>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</si>
  <si>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</si>
  <si>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</si>
  <si>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</si>
  <si>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</si>
  <si>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</si>
  <si>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</si>
  <si>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</si>
  <si>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</si>
  <si>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</si>
  <si>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</si>
  <si>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</si>
  <si>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</si>
  <si>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</si>
  <si>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</si>
  <si>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</si>
  <si>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</si>
  <si>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</si>
  <si>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</si>
  <si>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</si>
  <si>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</si>
  <si>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</si>
  <si>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</si>
  <si>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</si>
  <si>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</si>
  <si>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</si>
  <si>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</si>
  <si>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</si>
  <si>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</si>
  <si>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</si>
  <si>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</si>
  <si>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</si>
  <si>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</si>
  <si>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</si>
  <si>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</si>
  <si>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</si>
  <si>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</si>
  <si>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</si>
  <si>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</si>
  <si>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</si>
  <si>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</si>
  <si>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</si>
  <si>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</si>
  <si>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</si>
  <si>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</si>
  <si>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</si>
  <si>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</si>
  <si>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</si>
  <si>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</si>
  <si>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</si>
  <si>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</si>
  <si>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</si>
  <si>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</si>
  <si>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</si>
  <si>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</si>
  <si>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</si>
  <si>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</si>
  <si>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</si>
  <si>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</si>
  <si>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</si>
  <si>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</si>
  <si>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</si>
  <si>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</si>
  <si>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</si>
  <si>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</si>
  <si>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</si>
  <si>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</si>
  <si>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</si>
  <si>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</si>
  <si>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</si>
  <si>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</si>
  <si>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</si>
  <si>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</si>
  <si>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</si>
  <si>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</si>
  <si>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</si>
  <si>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</si>
  <si>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</si>
  <si>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</si>
  <si>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</si>
  <si>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</si>
  <si>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</si>
  <si>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</si>
  <si>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</si>
  <si>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</si>
  <si>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</si>
  <si>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</si>
  <si>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</si>
  <si>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</si>
  <si>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</si>
  <si>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</si>
  <si>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</si>
  <si>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</si>
  <si>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</si>
  <si>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</si>
  <si>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</si>
  <si>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</si>
  <si>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</si>
  <si>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</si>
  <si>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</si>
  <si>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</si>
  <si>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</si>
  <si>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</si>
  <si>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</si>
  <si>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</si>
  <si>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</si>
  <si>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</si>
  <si>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</si>
  <si>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</si>
  <si>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</si>
  <si>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</si>
  <si>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</si>
  <si>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</si>
  <si>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</si>
  <si>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</si>
  <si>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</si>
  <si>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</si>
  <si>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</si>
  <si>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</si>
  <si>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</si>
  <si>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</si>
  <si>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</si>
  <si>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</si>
  <si>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</si>
  <si>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</si>
  <si>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</si>
  <si>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</si>
  <si>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</si>
  <si>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</si>
  <si>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</si>
  <si>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</si>
  <si>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</si>
  <si>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</si>
  <si>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</si>
  <si>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</si>
  <si>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</si>
  <si>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</si>
  <si>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</si>
  <si>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</si>
  <si>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</si>
  <si>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</si>
  <si>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</si>
  <si>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</si>
  <si>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</si>
  <si>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</si>
  <si>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</si>
  <si>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</si>
  <si>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</si>
  <si>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</si>
  <si>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</si>
  <si>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</si>
  <si>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</si>
  <si>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</si>
  <si>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</si>
  <si>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</si>
  <si>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</si>
  <si>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</si>
  <si>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</si>
  <si>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</si>
  <si>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</si>
  <si>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</si>
  <si>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</si>
  <si>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</si>
  <si>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</si>
  <si>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</si>
  <si>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</si>
  <si>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</si>
  <si>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</si>
  <si>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</si>
  <si>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</si>
  <si>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</si>
  <si>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</si>
  <si>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</si>
  <si>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</si>
  <si>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</si>
  <si>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</si>
  <si>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</si>
  <si>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</si>
  <si>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</si>
  <si>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</si>
  <si>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</si>
  <si>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</si>
  <si>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</si>
  <si>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</si>
  <si>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</si>
  <si>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</si>
  <si>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</si>
  <si>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</si>
  <si>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</si>
  <si>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</si>
  <si>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</si>
  <si>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</si>
  <si>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</si>
  <si>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</si>
  <si>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</si>
  <si>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</si>
  <si>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</si>
  <si>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</si>
  <si>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</si>
  <si>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</si>
  <si>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</si>
  <si>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</si>
  <si>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</si>
  <si>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</si>
  <si>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</si>
  <si>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</si>
  <si>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</si>
  <si>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</si>
  <si>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</si>
  <si>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</si>
  <si>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</si>
  <si>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</si>
  <si>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</si>
  <si>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</si>
  <si>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</si>
  <si>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</si>
  <si>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</si>
  <si>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</si>
  <si>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</si>
  <si>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</si>
  <si>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</si>
  <si>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</si>
  <si>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</si>
  <si>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</si>
  <si>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</si>
  <si>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</si>
  <si>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</si>
  <si>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</si>
  <si>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</si>
  <si>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</si>
  <si>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</si>
  <si>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</si>
  <si>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</si>
  <si>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</si>
  <si>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</si>
  <si>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</si>
  <si>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</si>
  <si>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</si>
  <si>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</si>
  <si>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</si>
  <si>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</si>
  <si>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</si>
  <si>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</si>
  <si>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</si>
  <si>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</si>
  <si>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</si>
  <si>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</si>
  <si>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</si>
  <si>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</si>
  <si>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</si>
  <si>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</si>
  <si>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</si>
  <si>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</si>
  <si>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</si>
  <si>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</si>
  <si>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</si>
  <si>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</si>
  <si>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</si>
  <si>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</si>
  <si>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</si>
  <si>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</si>
  <si>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</si>
  <si>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</si>
  <si>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</si>
  <si>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</si>
  <si>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</si>
  <si>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</si>
  <si>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</si>
  <si>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</si>
  <si>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</si>
  <si>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</si>
  <si>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</si>
  <si>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</si>
  <si>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</si>
  <si>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</si>
  <si>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</si>
  <si>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</si>
  <si>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</si>
  <si>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</si>
  <si>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</si>
  <si>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</si>
  <si>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</si>
  <si>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</si>
  <si>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</si>
  <si>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</si>
  <si>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</si>
  <si>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</si>
  <si>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</si>
  <si>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</si>
  <si>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</si>
  <si>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</si>
  <si>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</si>
  <si>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</si>
  <si>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</si>
  <si>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</si>
  <si>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</si>
  <si>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</si>
  <si>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</si>
  <si>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</si>
  <si>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</si>
  <si>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</si>
  <si>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</si>
  <si>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</si>
  <si>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</si>
  <si>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</si>
  <si>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</si>
  <si>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</si>
  <si>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</si>
  <si>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</si>
  <si>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</si>
  <si>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</si>
  <si>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</si>
  <si>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</si>
  <si>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</si>
  <si>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</si>
  <si>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</si>
  <si>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</si>
  <si>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</si>
  <si>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</si>
  <si>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</si>
  <si>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</si>
  <si>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</si>
  <si>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</si>
  <si>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</si>
  <si>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</si>
  <si>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</si>
  <si>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</si>
  <si>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</si>
  <si>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</si>
  <si>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</si>
  <si>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</si>
  <si>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</si>
  <si>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</si>
  <si>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</si>
  <si>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</si>
  <si>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</si>
  <si>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</si>
  <si>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</si>
  <si>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</si>
  <si>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</si>
  <si>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</si>
  <si>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</si>
  <si>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</si>
  <si>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</si>
  <si>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</si>
  <si>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</si>
  <si>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</si>
  <si>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</si>
  <si>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</si>
  <si>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</si>
  <si>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</si>
  <si>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</si>
  <si>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</si>
  <si>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</si>
  <si>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</si>
  <si>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</si>
  <si>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</si>
  <si>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</si>
  <si>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</si>
  <si>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</si>
  <si>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</si>
  <si>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</si>
  <si>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</si>
  <si>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</si>
  <si>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</si>
  <si>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</si>
  <si>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</si>
  <si>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</si>
  <si>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</si>
  <si>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</si>
  <si>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</si>
  <si>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</si>
  <si>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</si>
  <si>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</si>
  <si>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</si>
  <si>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</si>
  <si>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</si>
  <si>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</si>
  <si>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</si>
  <si>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</si>
  <si>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</si>
  <si>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</si>
  <si>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</si>
  <si>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</si>
  <si>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</si>
  <si>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</si>
  <si>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</si>
  <si>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</si>
  <si>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</si>
  <si>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</si>
  <si>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</si>
  <si>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</si>
  <si>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</si>
  <si>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</si>
  <si>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</si>
  <si>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</si>
  <si>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</si>
  <si>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</si>
  <si>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</si>
  <si>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</si>
  <si>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</si>
  <si>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</si>
  <si>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</si>
  <si>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</si>
  <si>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</si>
  <si>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</si>
  <si>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</si>
  <si>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</si>
  <si>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</si>
  <si>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</si>
  <si>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</si>
  <si>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</si>
  <si>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</si>
  <si>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</si>
  <si>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</si>
  <si>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</si>
  <si>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</si>
  <si>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</si>
  <si>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</si>
  <si>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</si>
  <si>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</si>
  <si>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</si>
  <si>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</si>
  <si>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</si>
  <si>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</si>
  <si>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</si>
  <si>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</si>
  <si>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</si>
  <si>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</si>
  <si>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</si>
  <si>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</si>
  <si>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</si>
  <si>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</si>
  <si>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</si>
  <si>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</si>
  <si>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</si>
  <si>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</si>
  <si>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</si>
  <si>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</si>
  <si>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</si>
  <si>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</si>
  <si>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</si>
  <si>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</si>
  <si>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</si>
  <si>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</si>
  <si>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</si>
  <si>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</si>
  <si>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</si>
  <si>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</si>
  <si>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</si>
  <si>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</si>
  <si>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</si>
  <si>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</si>
  <si>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</si>
  <si>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</si>
  <si>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</si>
  <si>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</si>
  <si>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</si>
  <si>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</si>
  <si>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</si>
  <si>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</si>
  <si>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</si>
  <si>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</si>
  <si>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</si>
  <si>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</si>
  <si>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</si>
  <si>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</si>
  <si>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</si>
  <si>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</si>
  <si>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</si>
  <si>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</si>
  <si>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</si>
  <si>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</si>
  <si>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</si>
  <si>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</si>
  <si>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</si>
  <si>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</si>
  <si>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</si>
  <si>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</si>
  <si>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</si>
  <si>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</si>
  <si>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</si>
  <si>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</si>
  <si>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</si>
  <si>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</si>
  <si>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</si>
  <si>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</si>
  <si>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</si>
  <si>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</si>
  <si>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</si>
  <si>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</si>
  <si>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</si>
  <si>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</si>
  <si>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</si>
  <si>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</si>
  <si>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</si>
  <si>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</si>
  <si>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</si>
  <si>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</si>
  <si>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</si>
  <si>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</si>
  <si>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</si>
  <si>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</si>
  <si>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</si>
  <si>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</si>
  <si>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</si>
  <si>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</si>
  <si>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</si>
  <si>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</si>
  <si>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</si>
  <si>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</si>
  <si>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</si>
  <si>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</si>
  <si>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</si>
  <si>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</si>
  <si>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</si>
  <si>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</si>
  <si>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</si>
  <si>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</si>
  <si>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</si>
  <si>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</si>
  <si>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</si>
  <si>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</si>
  <si>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</si>
  <si>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</si>
  <si>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</si>
  <si>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</si>
  <si>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</si>
  <si>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</si>
  <si>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</si>
  <si>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</si>
  <si>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</si>
  <si>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</si>
  <si>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</si>
  <si>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</si>
  <si>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</si>
  <si>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</si>
  <si>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</si>
  <si>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</si>
  <si>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</si>
  <si>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</si>
  <si>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</si>
  <si>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</si>
  <si>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</si>
  <si>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</si>
  <si>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</si>
  <si>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</si>
  <si>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</si>
  <si>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</si>
  <si>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</si>
  <si>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</si>
  <si>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</si>
  <si>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</si>
  <si>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</si>
  <si>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</si>
  <si>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</si>
  <si>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</si>
  <si>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</si>
  <si>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</si>
  <si>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</si>
  <si>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</si>
  <si>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</si>
  <si>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</si>
  <si>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</si>
  <si>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</si>
  <si>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</si>
  <si>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</si>
  <si>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</si>
  <si>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</si>
  <si>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</si>
  <si>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</si>
  <si>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</si>
  <si>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</si>
  <si>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</si>
  <si>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</si>
  <si>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</si>
  <si>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</si>
  <si>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</si>
  <si>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</si>
  <si>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</si>
  <si>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</si>
  <si>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</si>
  <si>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</si>
  <si>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</si>
  <si>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</si>
  <si>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</si>
  <si>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</si>
  <si>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</si>
  <si>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</si>
  <si>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</si>
  <si>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</si>
  <si>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</si>
  <si>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</si>
  <si>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</si>
  <si>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</si>
  <si>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</si>
  <si>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</si>
  <si>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</si>
  <si>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</si>
  <si>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</si>
  <si>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</si>
  <si>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</si>
  <si>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</si>
  <si>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</si>
  <si>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</si>
  <si>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</si>
  <si>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</si>
  <si>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</si>
  <si>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</si>
  <si>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</si>
  <si>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</si>
  <si>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</si>
  <si>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</si>
  <si>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</si>
  <si>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</si>
  <si>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</si>
  <si>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</si>
  <si>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</si>
  <si>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</si>
  <si>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</si>
  <si>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</si>
  <si>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</si>
  <si>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</si>
  <si>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</si>
  <si>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</si>
  <si>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</si>
  <si>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</si>
  <si>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</si>
  <si>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</si>
  <si>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</si>
  <si>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</si>
  <si>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</si>
  <si>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</si>
  <si>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</si>
  <si>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</si>
  <si>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</si>
  <si>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</si>
  <si>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</si>
  <si>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</si>
  <si>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</si>
  <si>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</si>
  <si>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</si>
  <si>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</si>
  <si>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</si>
  <si>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</si>
  <si>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</si>
  <si>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</si>
  <si>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</si>
  <si>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</si>
  <si>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</si>
  <si>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</si>
  <si>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</si>
  <si>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</si>
  <si>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</si>
  <si>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</si>
  <si>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</si>
  <si>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</si>
  <si>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</si>
  <si>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</si>
  <si>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</si>
  <si>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</si>
  <si>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</si>
  <si>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</si>
  <si>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</si>
  <si>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</si>
  <si>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</si>
  <si>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</si>
  <si>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</si>
  <si>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</si>
  <si>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</si>
  <si>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</si>
  <si>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</si>
  <si>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</si>
  <si>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</si>
  <si>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</si>
  <si>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</si>
  <si>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</si>
  <si>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</si>
  <si>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</si>
  <si>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</si>
  <si>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</si>
  <si>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</si>
  <si>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</si>
  <si>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</si>
  <si>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</si>
  <si>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</si>
  <si>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</si>
  <si>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</si>
  <si>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</si>
  <si>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</si>
  <si>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</si>
  <si>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</si>
  <si>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</si>
  <si>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</si>
  <si>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</si>
  <si>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</si>
  <si>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</si>
  <si>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</si>
  <si>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</si>
  <si>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</si>
  <si>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</si>
  <si>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</si>
  <si>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</si>
  <si>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</si>
  <si>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</si>
  <si>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</si>
  <si>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</si>
  <si>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</si>
  <si>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</si>
  <si>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</si>
  <si>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</si>
  <si>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</si>
  <si>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</si>
  <si>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</si>
  <si>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</si>
  <si>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</si>
  <si>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</si>
  <si>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</si>
  <si>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</si>
  <si>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</si>
  <si>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</si>
  <si>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</si>
  <si>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</si>
  <si>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</si>
  <si>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</si>
  <si>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</si>
  <si>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</si>
  <si>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</si>
  <si>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</si>
  <si>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</si>
  <si>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</si>
  <si>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</si>
  <si>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</si>
  <si>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</si>
  <si>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</si>
  <si>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</si>
  <si>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</si>
  <si>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</si>
  <si>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</si>
  <si>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</si>
  <si>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</si>
  <si>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</si>
  <si>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</si>
  <si>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</si>
  <si>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</si>
  <si>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</si>
  <si>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</si>
  <si>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</si>
  <si>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</si>
  <si>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</si>
  <si>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</si>
  <si>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</si>
  <si>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</si>
  <si>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</si>
  <si>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</si>
  <si>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</si>
  <si>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</si>
  <si>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</si>
  <si>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</si>
  <si>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</si>
  <si>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</si>
  <si>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</si>
  <si>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</si>
  <si>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</si>
  <si>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</si>
  <si>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</si>
  <si>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</si>
  <si>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</si>
  <si>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</si>
  <si>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</si>
  <si>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</si>
  <si>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</si>
  <si>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</si>
  <si>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</si>
  <si>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</si>
  <si>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</si>
  <si>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</si>
  <si>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</si>
  <si>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</si>
  <si>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</si>
  <si>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</si>
  <si>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</si>
  <si>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</si>
  <si>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</si>
  <si>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</si>
  <si>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</si>
  <si>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</si>
  <si>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</si>
  <si>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</si>
  <si>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</si>
  <si>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</si>
  <si>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</si>
  <si>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</si>
  <si>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</si>
  <si>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</si>
  <si>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</si>
  <si>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</si>
  <si>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</si>
  <si>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</si>
  <si>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</si>
  <si>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</si>
  <si>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</si>
  <si>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</si>
  <si>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</si>
  <si>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</si>
  <si>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</si>
  <si>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</si>
  <si>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</si>
  <si>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</si>
  <si>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</si>
  <si>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</si>
  <si>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</si>
  <si>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</si>
  <si>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</si>
  <si>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</si>
  <si>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</si>
  <si>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</si>
  <si>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</si>
  <si>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</si>
  <si>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</si>
  <si>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</si>
  <si>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</si>
  <si>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</si>
  <si>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</si>
  <si>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</si>
  <si>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</si>
  <si>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</si>
  <si>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</si>
  <si>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</si>
  <si>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</si>
  <si>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</si>
  <si>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</si>
  <si>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</si>
  <si>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</si>
  <si>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</si>
  <si>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</si>
  <si>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</si>
  <si>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</si>
  <si>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</si>
  <si>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</si>
  <si>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</si>
  <si>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</si>
  <si>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</si>
  <si>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</si>
  <si>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</si>
  <si>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</si>
  <si>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</si>
  <si>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</si>
  <si>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</si>
  <si>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</si>
  <si>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</si>
  <si>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</si>
  <si>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</si>
  <si>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</si>
  <si>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</si>
  <si>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</si>
  <si>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</si>
  <si>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</si>
  <si>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</si>
  <si>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</si>
  <si>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</si>
  <si>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</si>
  <si>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</si>
  <si>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</si>
  <si>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</si>
  <si>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</si>
  <si>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</si>
  <si>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</si>
  <si>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</si>
  <si>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</si>
  <si>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</si>
  <si>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</si>
  <si>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</si>
  <si>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</si>
  <si>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</si>
  <si>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</si>
  <si>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</si>
  <si>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</si>
  <si>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</si>
  <si>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</si>
  <si>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</si>
  <si>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</si>
  <si>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</si>
  <si>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</si>
  <si>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</si>
  <si>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</si>
  <si>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</si>
  <si>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</si>
  <si>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</si>
  <si>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</si>
  <si>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</si>
  <si>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</si>
  <si>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</si>
  <si>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</si>
  <si>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</si>
  <si>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</si>
  <si>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</si>
  <si>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</si>
  <si>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</si>
  <si>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</si>
  <si>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</si>
  <si>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</si>
  <si>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</si>
  <si>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</si>
  <si>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</si>
  <si>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</si>
  <si>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</si>
  <si>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</si>
  <si>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</si>
  <si>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</si>
  <si>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</si>
  <si>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</si>
  <si>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</si>
  <si>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</si>
  <si>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</si>
  <si>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</si>
  <si>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</si>
  <si>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</si>
  <si>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</si>
  <si>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</si>
  <si>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</si>
  <si>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</si>
  <si>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</si>
  <si>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</si>
  <si>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</si>
  <si>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</si>
  <si>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</si>
  <si>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</si>
  <si>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</si>
  <si>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</si>
  <si>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</si>
  <si>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</si>
  <si>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</si>
  <si>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</si>
  <si>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</si>
  <si>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</si>
  <si>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</si>
  <si>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</si>
  <si>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</si>
  <si>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</si>
  <si>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</si>
  <si>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</si>
  <si>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</si>
  <si>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</si>
  <si>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</si>
  <si>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</si>
  <si>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</si>
  <si>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</si>
  <si>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</si>
  <si>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</si>
  <si>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</si>
  <si>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</si>
  <si>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</si>
  <si>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</si>
  <si>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</si>
  <si>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</si>
  <si>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</si>
  <si>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</si>
  <si>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</si>
  <si>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</si>
  <si>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</si>
  <si>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</si>
  <si>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</si>
  <si>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</si>
  <si>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</si>
  <si>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</si>
  <si>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</si>
  <si>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</si>
  <si>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</si>
  <si>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</si>
  <si>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</si>
  <si>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</si>
  <si>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</si>
  <si>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</si>
  <si>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</si>
  <si>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</si>
  <si>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</si>
  <si>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</si>
  <si>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</si>
  <si>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</si>
  <si>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</si>
  <si>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</si>
  <si>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</si>
  <si>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</si>
  <si>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</si>
  <si>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</si>
  <si>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</si>
  <si>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</si>
  <si>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</si>
  <si>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</si>
  <si>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</si>
  <si>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</si>
  <si>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</si>
  <si>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</si>
  <si>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</si>
  <si>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</si>
  <si>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</si>
  <si>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</si>
  <si>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</si>
  <si>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</si>
  <si>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</si>
  <si>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</si>
  <si>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</si>
  <si>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</si>
  <si>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</si>
  <si>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</si>
  <si>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</si>
  <si>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</si>
  <si>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</si>
  <si>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</si>
  <si>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</si>
  <si>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</si>
  <si>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</si>
  <si>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</si>
  <si>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</si>
  <si>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</si>
  <si>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</si>
  <si>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</si>
  <si>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</si>
  <si>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</si>
  <si>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</si>
  <si>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</si>
  <si>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</si>
  <si>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</si>
  <si>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</si>
  <si>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</si>
  <si>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</si>
  <si>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</si>
  <si>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</si>
  <si>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</si>
  <si>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</si>
  <si>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</si>
  <si>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</si>
  <si>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</si>
  <si>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</si>
  <si>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</si>
  <si>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</si>
  <si>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</si>
  <si>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</si>
  <si>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</si>
  <si>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</si>
  <si>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</si>
  <si>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</si>
  <si>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</si>
  <si>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</si>
  <si>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</si>
  <si>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</si>
  <si>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</si>
  <si>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</si>
  <si>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</si>
  <si>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</si>
  <si>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</si>
  <si>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</si>
  <si>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</si>
  <si>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</si>
  <si>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</si>
  <si>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</si>
  <si>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</si>
  <si>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</si>
  <si>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</si>
  <si>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</si>
  <si>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</si>
  <si>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</si>
  <si>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</si>
  <si>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</si>
  <si>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</si>
  <si>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</si>
  <si>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</si>
  <si>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</si>
  <si>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</si>
  <si>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</si>
  <si>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</si>
  <si>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</si>
  <si>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</si>
  <si>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</si>
  <si>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</si>
  <si>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</si>
  <si>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</si>
  <si>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</si>
  <si>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</si>
  <si>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</si>
  <si>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</si>
  <si>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</si>
  <si>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</si>
  <si>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</si>
  <si>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</si>
  <si>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</si>
  <si>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</si>
  <si>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</si>
  <si>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</si>
  <si>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</si>
  <si>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</si>
  <si>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</si>
  <si>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</si>
  <si>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</si>
  <si>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</si>
  <si>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</si>
  <si>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</si>
  <si>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</si>
  <si>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</si>
  <si>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</si>
  <si>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</si>
  <si>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</si>
  <si>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</si>
  <si>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</si>
  <si>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</si>
  <si>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</si>
  <si>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</si>
  <si>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</si>
  <si>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</si>
  <si>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</si>
  <si>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</si>
  <si>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</si>
  <si>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</si>
  <si>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</si>
  <si>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</si>
  <si>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</si>
  <si>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</si>
  <si>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</si>
  <si>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</si>
  <si>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</si>
  <si>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</si>
  <si>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</si>
  <si>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</si>
  <si>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</si>
  <si>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</si>
  <si>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</si>
  <si>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</si>
  <si>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</si>
  <si>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</si>
  <si>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</si>
  <si>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</si>
  <si>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</si>
  <si>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</si>
  <si>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</si>
  <si>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</si>
  <si>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</si>
  <si>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</si>
  <si>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</si>
  <si>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</si>
  <si>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</si>
  <si>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</si>
  <si>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</si>
  <si>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</si>
  <si>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</si>
  <si>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</si>
  <si>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</si>
  <si>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</si>
  <si>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</si>
  <si>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</si>
  <si>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</si>
  <si>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</si>
  <si>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</si>
  <si>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</si>
  <si>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</si>
  <si>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</si>
  <si>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</si>
  <si>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</si>
  <si>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</si>
  <si>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</si>
  <si>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</si>
  <si>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</si>
  <si>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</si>
  <si>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</si>
  <si>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</si>
  <si>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</si>
  <si>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</si>
  <si>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</si>
  <si>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</si>
  <si>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</si>
  <si>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</si>
  <si>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</si>
  <si>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</si>
  <si>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</si>
  <si>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</si>
  <si>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</si>
  <si>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</si>
  <si>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</si>
  <si>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</si>
  <si>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</si>
  <si>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</si>
  <si>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</si>
  <si>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</si>
  <si>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</si>
  <si>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</si>
  <si>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</si>
  <si>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</si>
  <si>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</si>
  <si>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</si>
  <si>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</si>
  <si>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</si>
  <si>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</si>
  <si>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</si>
  <si>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</si>
  <si>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</si>
  <si>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</si>
  <si>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</si>
  <si>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</si>
  <si>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</si>
  <si>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</si>
  <si>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</si>
  <si>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</si>
  <si>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</si>
  <si>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</si>
  <si>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</si>
  <si>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</si>
  <si>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</si>
  <si>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</si>
  <si>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</si>
  <si>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</si>
  <si>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</si>
  <si>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</si>
  <si>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</si>
  <si>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</si>
  <si>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</si>
  <si>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</si>
  <si>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</si>
  <si>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</si>
  <si>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</si>
  <si>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</si>
  <si>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</si>
  <si>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</si>
  <si>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</si>
  <si>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</si>
  <si>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</si>
  <si>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</si>
  <si>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</si>
  <si>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</si>
  <si>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</si>
  <si>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</si>
  <si>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</si>
  <si>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</si>
  <si>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</si>
  <si>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</si>
  <si>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</si>
  <si>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</si>
  <si>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</si>
  <si>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</si>
  <si>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</si>
  <si>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</si>
  <si>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</si>
  <si>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</si>
  <si>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</si>
  <si>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</si>
  <si>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</si>
  <si>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</si>
  <si>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</si>
  <si>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</si>
  <si>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</si>
  <si>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</si>
  <si>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</si>
  <si>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</si>
  <si>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</si>
  <si>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</si>
  <si>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</si>
  <si>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</si>
  <si>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</si>
  <si>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</si>
  <si>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</si>
  <si>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</si>
  <si>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</si>
  <si>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</si>
  <si>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</si>
  <si>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</si>
  <si>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</si>
  <si>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</si>
  <si>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</si>
  <si>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</si>
  <si>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</si>
  <si>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</si>
  <si>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</si>
  <si>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</si>
  <si>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</si>
  <si>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</si>
  <si>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</si>
  <si>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</si>
  <si>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</si>
  <si>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</si>
  <si>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</si>
  <si>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</si>
  <si>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</si>
  <si>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</si>
  <si>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</si>
  <si>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</si>
  <si>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</si>
  <si>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</si>
  <si>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</si>
  <si>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</si>
  <si>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</si>
  <si>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</si>
  <si>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</si>
  <si>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</si>
  <si>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</si>
  <si>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</si>
  <si>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</si>
  <si>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</si>
  <si>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</si>
  <si>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</si>
  <si>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</si>
  <si>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</si>
  <si>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</si>
  <si>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</si>
  <si>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</si>
  <si>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</si>
  <si>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</si>
  <si>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</si>
  <si>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</si>
  <si>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</si>
  <si>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</si>
  <si>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</si>
  <si>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</si>
  <si>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</si>
  <si>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</si>
  <si>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</si>
  <si>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</si>
  <si>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</si>
  <si>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</si>
  <si>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</si>
  <si>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</si>
  <si>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</si>
  <si>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</si>
  <si>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</si>
  <si>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</si>
  <si>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</si>
  <si>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</si>
  <si>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</si>
  <si>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</si>
  <si>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</si>
  <si>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</si>
  <si>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</si>
  <si>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</si>
  <si>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</si>
  <si>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</si>
  <si>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</si>
  <si>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</si>
  <si>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</si>
  <si>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</si>
  <si>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</si>
  <si>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</si>
  <si>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</si>
  <si>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</si>
  <si>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</si>
  <si>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</si>
  <si>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</si>
  <si>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</si>
  <si>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</si>
  <si>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</si>
  <si>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</si>
  <si>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</si>
  <si>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</si>
  <si>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</si>
  <si>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</si>
  <si>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</si>
  <si>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</si>
  <si>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</si>
  <si>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</si>
  <si>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</si>
  <si>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</si>
  <si>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</si>
  <si>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</si>
  <si>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</si>
  <si>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</si>
  <si>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</si>
  <si>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</si>
  <si>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</si>
  <si>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</si>
  <si>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</si>
  <si>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</si>
  <si>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</si>
  <si>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</si>
  <si>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</si>
  <si>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</si>
  <si>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</si>
  <si>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</si>
  <si>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</si>
  <si>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</si>
  <si>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</si>
  <si>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</si>
  <si>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</si>
  <si>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</si>
  <si>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</si>
  <si>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</si>
  <si>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</si>
  <si>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</si>
  <si>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</si>
  <si>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</si>
  <si>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</si>
  <si>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</si>
  <si>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</si>
  <si>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</si>
  <si>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</si>
  <si>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</si>
  <si>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</si>
  <si>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</si>
  <si>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</si>
  <si>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</si>
  <si>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</si>
  <si>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</si>
  <si>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</si>
  <si>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</si>
  <si>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</si>
  <si>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</si>
  <si>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</si>
  <si>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</si>
  <si>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</si>
  <si>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</si>
  <si>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</si>
  <si>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</si>
  <si>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</si>
  <si>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</si>
  <si>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</si>
  <si>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</si>
  <si>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</si>
  <si>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</si>
  <si>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</si>
  <si>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</si>
  <si>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</si>
  <si>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</si>
  <si>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</si>
  <si>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</si>
  <si>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</si>
  <si>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</si>
  <si>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</si>
  <si>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</si>
  <si>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</si>
  <si>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</si>
  <si>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</si>
  <si>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</si>
  <si>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</si>
  <si>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</si>
  <si>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</si>
  <si>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</si>
  <si>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</si>
  <si>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</si>
  <si>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</si>
  <si>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</si>
  <si>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</si>
  <si>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</si>
  <si>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</si>
  <si>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</si>
  <si>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</si>
  <si>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</si>
  <si>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</si>
  <si>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</si>
  <si>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</si>
  <si>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</si>
  <si>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</si>
  <si>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</si>
  <si>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</si>
  <si>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</si>
  <si>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</si>
  <si>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</si>
  <si>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</si>
  <si>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</si>
  <si>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</si>
  <si>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</si>
  <si>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</si>
  <si>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</si>
  <si>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</si>
  <si>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</si>
  <si>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</si>
  <si>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</si>
  <si>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</si>
  <si>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</si>
  <si>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</si>
  <si>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</si>
  <si>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</si>
  <si>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</si>
  <si>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</si>
  <si>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</si>
  <si>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</si>
  <si>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</si>
  <si>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</si>
  <si>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</si>
  <si>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</si>
  <si>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</si>
  <si>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</si>
  <si>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</si>
  <si>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</si>
  <si>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</si>
  <si>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</si>
  <si>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</si>
  <si>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</si>
  <si>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</si>
  <si>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</si>
  <si>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</si>
  <si>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</si>
  <si>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</si>
  <si>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</si>
  <si>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</si>
  <si>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</si>
  <si>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</si>
  <si>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</si>
  <si>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</si>
  <si>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</si>
  <si>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</si>
  <si>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</si>
  <si>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</si>
  <si>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</si>
  <si>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</si>
  <si>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</si>
  <si>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</si>
  <si>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</si>
  <si>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</si>
  <si>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</si>
  <si>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</si>
  <si>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</si>
  <si>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</si>
  <si>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</si>
  <si>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</si>
  <si>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</si>
  <si>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</si>
  <si>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</si>
  <si>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</si>
  <si>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</si>
  <si>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</si>
  <si>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</si>
  <si>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</si>
  <si>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</si>
  <si>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</si>
  <si>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</si>
  <si>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</si>
  <si>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</si>
  <si>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</si>
  <si>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</si>
  <si>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</si>
  <si>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</si>
  <si>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</si>
  <si>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</si>
  <si>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</si>
  <si>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</si>
  <si>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</si>
  <si>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</si>
  <si>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</si>
  <si>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</si>
  <si>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</si>
  <si>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</si>
  <si>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</si>
  <si>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</si>
  <si>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</si>
  <si>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</si>
  <si>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</si>
  <si>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</si>
  <si>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</si>
  <si>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</si>
  <si>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</si>
  <si>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</si>
  <si>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</si>
  <si>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</si>
  <si>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</si>
  <si>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</si>
  <si>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</si>
  <si>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</si>
  <si>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</si>
  <si>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</si>
  <si>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</si>
  <si>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</si>
  <si>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</si>
  <si>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</si>
  <si>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</si>
  <si>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</si>
  <si>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</si>
  <si>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</si>
  <si>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</si>
  <si>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</si>
  <si>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</si>
  <si>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</si>
  <si>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</si>
  <si>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</si>
  <si>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</si>
  <si>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</si>
  <si>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</si>
  <si>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</si>
  <si>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</si>
  <si>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</si>
  <si>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</si>
  <si>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</si>
  <si>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</si>
  <si>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</si>
  <si>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</si>
  <si>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</si>
  <si>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</si>
  <si>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</si>
  <si>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</si>
  <si>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</si>
  <si>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</si>
  <si>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</si>
  <si>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</si>
  <si>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</si>
  <si>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</si>
  <si>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</si>
  <si>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</si>
  <si>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</si>
  <si>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</si>
  <si>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</si>
  <si>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</si>
  <si>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</si>
  <si>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</si>
  <si>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</si>
  <si>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</si>
  <si>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</si>
  <si>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</si>
  <si>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</si>
  <si>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</si>
  <si>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</si>
  <si>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</si>
  <si>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</si>
  <si>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</si>
  <si>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</si>
  <si>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</si>
  <si>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</si>
  <si>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</si>
  <si>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</si>
  <si>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</si>
  <si>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</si>
  <si>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</si>
  <si>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</si>
  <si>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</si>
  <si>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</si>
  <si>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</si>
  <si>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</si>
  <si>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</si>
  <si>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</si>
  <si>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</si>
  <si>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</si>
  <si>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</si>
  <si>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</si>
  <si>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</si>
  <si>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</si>
  <si>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</si>
  <si>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</si>
  <si>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</si>
  <si>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</si>
  <si>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</si>
  <si>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</si>
  <si>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</si>
  <si>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</si>
  <si>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</si>
  <si>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</si>
  <si>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</si>
  <si>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</si>
  <si>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</si>
  <si>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</si>
  <si>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</si>
  <si>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</si>
  <si>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</si>
  <si>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</si>
  <si>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</si>
  <si>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</si>
  <si>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</si>
  <si>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</si>
  <si>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</si>
  <si>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</si>
  <si>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</si>
  <si>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</si>
  <si>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</si>
  <si>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</si>
  <si>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</si>
  <si>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</si>
  <si>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</si>
  <si>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</si>
  <si>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</si>
  <si>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</si>
  <si>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</si>
  <si>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</si>
  <si>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</si>
  <si>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</si>
  <si>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</si>
  <si>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</si>
  <si>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</si>
  <si>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</si>
  <si>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</si>
  <si>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</si>
  <si>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</si>
  <si>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</si>
  <si>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</si>
  <si>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</si>
  <si>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</si>
  <si>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</si>
  <si>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</si>
  <si>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</si>
  <si>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</si>
  <si>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</si>
  <si>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</si>
  <si>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</si>
  <si>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</si>
  <si>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</si>
  <si>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</si>
  <si>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</si>
  <si>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</si>
  <si>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</si>
  <si>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</si>
  <si>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</si>
  <si>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</si>
  <si>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</si>
  <si>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</si>
  <si>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</si>
  <si>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</si>
  <si>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</si>
  <si>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</si>
  <si>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</si>
  <si>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</si>
  <si>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</si>
  <si>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</si>
  <si>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</si>
  <si>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</si>
  <si>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</si>
  <si>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</si>
  <si>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</si>
  <si>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</si>
  <si>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</si>
  <si>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</si>
  <si>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</si>
  <si>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</si>
  <si>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</si>
  <si>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</si>
  <si>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</si>
  <si>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</si>
  <si>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</si>
  <si>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</si>
  <si>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</si>
  <si>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</si>
  <si>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</si>
  <si>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</si>
  <si>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</si>
  <si>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</si>
  <si>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</si>
  <si>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</si>
  <si>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</si>
  <si>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</si>
  <si>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</si>
  <si>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</si>
  <si>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</si>
  <si>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</si>
  <si>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</si>
  <si>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</si>
  <si>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</si>
  <si>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</si>
  <si>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</si>
  <si>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</si>
  <si>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</si>
  <si>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</si>
  <si>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</si>
  <si>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</si>
  <si>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</si>
  <si>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</si>
  <si>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</si>
  <si>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</si>
  <si>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</si>
  <si>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</si>
  <si>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</si>
  <si>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</si>
  <si>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</si>
  <si>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</si>
  <si>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</si>
  <si>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</si>
  <si>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</si>
  <si>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</si>
  <si>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</si>
  <si>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</si>
  <si>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</si>
  <si>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</si>
  <si>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</si>
  <si>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</si>
  <si>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</si>
  <si>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</si>
  <si>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</si>
  <si>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</si>
  <si>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</si>
  <si>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</si>
  <si>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</si>
  <si>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</si>
  <si>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</si>
  <si>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</si>
  <si>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</si>
  <si>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</si>
  <si>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</si>
  <si>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</si>
  <si>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</si>
  <si>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</si>
  <si>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</si>
  <si>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</si>
  <si>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</si>
  <si>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</si>
  <si>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</si>
  <si>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</si>
  <si>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</si>
  <si>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</si>
  <si>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</si>
  <si>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</si>
  <si>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</si>
  <si>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</si>
  <si>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</si>
  <si>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</si>
  <si>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</si>
  <si>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</si>
  <si>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</si>
  <si>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</si>
  <si>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</si>
  <si>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</si>
  <si>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</si>
  <si>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</si>
  <si>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</si>
  <si>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</si>
  <si>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</si>
  <si>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</si>
  <si>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</si>
  <si>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</si>
  <si>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</si>
  <si>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</si>
  <si>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</si>
  <si>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</si>
  <si>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</si>
  <si>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</si>
  <si>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</si>
  <si>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</si>
  <si>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</si>
  <si>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</si>
  <si>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</si>
  <si>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</si>
  <si>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</si>
  <si>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</si>
  <si>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</si>
  <si>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</si>
  <si>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</si>
  <si>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</si>
  <si>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</si>
  <si>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</si>
  <si>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</si>
  <si>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</si>
  <si>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</si>
  <si>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</si>
  <si>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</si>
  <si>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</si>
  <si>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</si>
  <si>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</si>
  <si>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</si>
  <si>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</si>
  <si>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</si>
  <si>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</si>
  <si>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</si>
  <si>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</si>
  <si>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</si>
  <si>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</si>
  <si>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</si>
  <si>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</si>
  <si>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</si>
  <si>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</si>
  <si>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</si>
  <si>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</si>
  <si>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</si>
  <si>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</si>
  <si>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</si>
  <si>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</si>
  <si>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</si>
  <si>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</si>
  <si>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</si>
  <si>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</si>
  <si>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</si>
  <si>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</si>
  <si>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</si>
  <si>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</si>
  <si>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</si>
  <si>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</si>
  <si>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</si>
  <si>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</si>
  <si>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</si>
  <si>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</si>
  <si>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</si>
  <si>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</si>
  <si>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</si>
  <si>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</si>
  <si>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</si>
  <si>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</si>
  <si>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</si>
  <si>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</si>
  <si>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</si>
  <si>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</si>
  <si>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</si>
  <si>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</si>
  <si>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</si>
  <si>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</si>
  <si>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</si>
  <si>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</si>
  <si>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</si>
  <si>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</si>
  <si>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</si>
  <si>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</si>
  <si>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</si>
  <si>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</si>
  <si>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</si>
  <si>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</si>
  <si>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</si>
  <si>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</si>
  <si>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</si>
  <si>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</si>
  <si>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</si>
  <si>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</si>
  <si>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</si>
  <si>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</si>
  <si>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</si>
  <si>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</si>
  <si>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</si>
  <si>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</si>
  <si>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</si>
  <si>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</si>
  <si>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</si>
  <si>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</si>
  <si>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</si>
  <si>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</si>
  <si>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</si>
  <si>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</si>
  <si>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</si>
  <si>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</si>
  <si>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</si>
  <si>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</si>
  <si>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</si>
  <si>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</si>
  <si>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</si>
  <si>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</si>
  <si>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</si>
  <si>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</si>
  <si>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</si>
  <si>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</si>
  <si>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</si>
  <si>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</si>
  <si>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</si>
  <si>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</si>
  <si>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</si>
  <si>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</si>
  <si>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</si>
  <si>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</si>
  <si>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</si>
  <si>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</si>
  <si>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</si>
  <si>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</si>
  <si>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</si>
  <si>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</si>
  <si>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</si>
  <si>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</si>
  <si>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</si>
  <si>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</si>
  <si>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</si>
  <si>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</si>
  <si>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</si>
  <si>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</si>
  <si>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</si>
  <si>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</si>
  <si>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</si>
  <si>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</si>
  <si>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</si>
  <si>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</si>
  <si>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</si>
  <si>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</si>
  <si>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</si>
  <si>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</si>
  <si>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</si>
  <si>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</si>
  <si>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</si>
  <si>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</si>
  <si>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</si>
  <si>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</si>
  <si>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</si>
  <si>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</si>
  <si>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</si>
  <si>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</si>
  <si>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</si>
  <si>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</si>
  <si>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</si>
  <si>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</si>
  <si>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</si>
  <si>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</si>
  <si>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</si>
  <si>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</si>
  <si>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</si>
  <si>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</si>
  <si>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</si>
  <si>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</si>
  <si>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</si>
  <si>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</si>
  <si>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</si>
  <si>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</si>
  <si>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</si>
  <si>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</si>
  <si>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</si>
  <si>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</si>
  <si>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</si>
  <si>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</si>
  <si>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</si>
  <si>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</si>
  <si>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</si>
  <si>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</si>
  <si>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</si>
  <si>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</si>
  <si>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</si>
  <si>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</si>
  <si>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</si>
  <si>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</si>
  <si>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</si>
  <si>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</si>
  <si>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</si>
  <si>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</si>
  <si>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</si>
  <si>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</si>
  <si>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</si>
  <si>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</si>
  <si>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</si>
  <si>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</si>
  <si>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</si>
  <si>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</si>
  <si>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</si>
  <si>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</si>
  <si>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</si>
  <si>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</si>
  <si>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</si>
  <si>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</si>
  <si>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</si>
  <si>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</si>
  <si>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</si>
  <si>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</si>
  <si>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</si>
  <si>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</si>
  <si>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</si>
  <si>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</si>
  <si>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</si>
  <si>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</si>
  <si>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</si>
  <si>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</si>
  <si>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</si>
  <si>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</si>
  <si>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</si>
  <si>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</si>
  <si>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</si>
  <si>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</si>
  <si>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</si>
  <si>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</si>
  <si>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</si>
  <si>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</si>
  <si>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</si>
  <si>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</si>
  <si>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</si>
  <si>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</si>
  <si>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</si>
  <si>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</si>
  <si>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</si>
  <si>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</si>
  <si>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</si>
  <si>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</si>
  <si>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</si>
  <si>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</si>
  <si>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</si>
  <si>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</si>
  <si>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</si>
  <si>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</si>
  <si>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</si>
  <si>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</si>
  <si>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</si>
  <si>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</si>
  <si>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</si>
  <si>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</si>
  <si>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</si>
  <si>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</si>
  <si>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</si>
  <si>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</si>
  <si>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</si>
  <si>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</si>
  <si>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</si>
  <si>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</si>
  <si>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</si>
  <si>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</si>
  <si>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</si>
  <si>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</si>
  <si>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</si>
  <si>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</si>
  <si>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</si>
  <si>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</si>
  <si>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</si>
  <si>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</si>
  <si>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</si>
  <si>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</si>
  <si>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</si>
  <si>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</si>
  <si>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</si>
  <si>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</si>
  <si>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</si>
  <si>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</si>
  <si>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</si>
  <si>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</si>
  <si>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</si>
  <si>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</si>
  <si>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</si>
  <si>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</si>
  <si>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</si>
  <si>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</si>
  <si>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</si>
  <si>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</si>
  <si>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</si>
  <si>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</si>
  <si>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</si>
  <si>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</si>
  <si>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</si>
  <si>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</si>
  <si>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</si>
  <si>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</si>
  <si>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</si>
  <si>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</si>
  <si>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</si>
  <si>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</si>
  <si>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</si>
  <si>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</si>
  <si>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</si>
  <si>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</si>
  <si>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</si>
  <si>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</si>
  <si>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</si>
  <si>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</si>
  <si>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</si>
  <si>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</si>
  <si>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</si>
  <si>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</si>
  <si>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</si>
  <si>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</si>
  <si>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</si>
  <si>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</si>
  <si>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</si>
  <si>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</si>
  <si>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</si>
  <si>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</si>
  <si>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</si>
  <si>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</si>
  <si>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</si>
  <si>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</si>
  <si>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</si>
  <si>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</si>
  <si>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</si>
  <si>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</si>
  <si>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</si>
  <si>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</si>
  <si>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</si>
  <si>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</si>
  <si>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</si>
  <si>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</si>
  <si>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</si>
  <si>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</si>
  <si>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</si>
  <si>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</si>
  <si>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</si>
  <si>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</si>
  <si>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</si>
  <si>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</si>
  <si>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</si>
  <si>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</si>
  <si>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</si>
  <si>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</si>
  <si>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</si>
  <si>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</si>
  <si>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</si>
  <si>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</si>
  <si>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</si>
  <si>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</si>
  <si>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</si>
  <si>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</si>
  <si>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</si>
  <si>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</si>
  <si>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</si>
  <si>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</si>
  <si>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</si>
  <si>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</si>
  <si>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</si>
  <si>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</si>
  <si>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</si>
  <si>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</si>
  <si>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</si>
  <si>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</si>
  <si>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</si>
  <si>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</si>
  <si>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</si>
  <si>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</si>
  <si>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</si>
  <si>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</si>
  <si>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</si>
  <si>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</si>
  <si>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</si>
  <si>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</si>
  <si>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</si>
  <si>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</si>
  <si>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</si>
  <si>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</si>
  <si>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</si>
  <si>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</si>
  <si>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</si>
  <si>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</si>
  <si>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</si>
  <si>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</si>
  <si>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</si>
  <si>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</si>
  <si>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</si>
  <si>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</si>
  <si>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</si>
  <si>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</si>
  <si>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</si>
  <si>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</si>
  <si>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</si>
  <si>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</si>
  <si>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</si>
  <si>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</si>
  <si>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</si>
  <si>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</si>
  <si>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</si>
  <si>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</si>
  <si>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</si>
  <si>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</si>
  <si>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</si>
  <si>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</si>
  <si>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</si>
  <si>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</si>
  <si>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</si>
  <si>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</si>
  <si>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</si>
  <si>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</si>
  <si>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</si>
  <si>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</si>
  <si>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</si>
  <si>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</si>
  <si>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</si>
  <si>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</si>
  <si>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</si>
  <si>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</si>
  <si>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</si>
  <si>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</si>
  <si>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</si>
  <si>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</si>
  <si>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</si>
  <si>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</si>
  <si>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</si>
  <si>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</si>
  <si>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</si>
  <si>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</si>
  <si>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</si>
  <si>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</si>
  <si>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</si>
  <si>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</si>
  <si>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</si>
  <si>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</si>
  <si>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</si>
  <si>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</si>
  <si>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</si>
  <si>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</si>
  <si>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</si>
  <si>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</si>
  <si>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</si>
  <si>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</si>
  <si>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</si>
  <si>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</si>
  <si>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</si>
  <si>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</si>
  <si>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</si>
  <si>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</si>
  <si>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</si>
  <si>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</si>
  <si>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</si>
  <si>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</si>
  <si>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</si>
  <si>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</si>
  <si>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</si>
  <si>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</si>
  <si>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</si>
  <si>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</si>
  <si>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</si>
  <si>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</si>
  <si>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</si>
  <si>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</si>
  <si>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</si>
  <si>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</si>
  <si>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</si>
  <si>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</si>
  <si>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</si>
  <si>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</si>
  <si>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</si>
  <si>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</si>
  <si>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</si>
  <si>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</si>
  <si>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</si>
  <si>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</si>
  <si>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</si>
  <si>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</si>
  <si>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</si>
  <si>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</si>
  <si>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</si>
  <si>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</si>
  <si>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</si>
  <si>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</si>
  <si>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</si>
  <si>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</si>
  <si>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</si>
  <si>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</si>
  <si>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</si>
  <si>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</si>
  <si>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</si>
  <si>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</si>
  <si>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</si>
  <si>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</si>
  <si>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</si>
  <si>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</si>
  <si>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</si>
  <si>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</si>
  <si>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</si>
  <si>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</si>
  <si>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</si>
  <si>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</si>
  <si>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</si>
  <si>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</si>
  <si>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</si>
  <si>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</si>
  <si>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</si>
  <si>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</si>
  <si>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</si>
  <si>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</si>
  <si>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</si>
  <si>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</si>
  <si>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</si>
  <si>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</si>
  <si>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</si>
  <si>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</si>
  <si>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</si>
  <si>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</si>
  <si>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</si>
  <si>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</si>
  <si>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</si>
  <si>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</si>
  <si>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</si>
  <si>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</si>
  <si>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</si>
  <si>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</si>
  <si>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</si>
  <si>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</si>
  <si>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</si>
  <si>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</si>
  <si>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</si>
  <si>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</si>
  <si>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</si>
  <si>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</si>
  <si>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</si>
  <si>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</si>
  <si>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</si>
  <si>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</si>
  <si>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</si>
  <si>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</si>
  <si>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</si>
  <si>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</si>
  <si>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</si>
  <si>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</si>
  <si>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</si>
  <si>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</si>
  <si>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</si>
  <si>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</si>
  <si>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</si>
  <si>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</si>
  <si>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</si>
  <si>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</si>
  <si>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</si>
  <si>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</si>
  <si>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</si>
  <si>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</si>
  <si>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</si>
  <si>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</si>
  <si>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</si>
  <si>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</si>
  <si>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</si>
  <si>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</si>
  <si>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</si>
  <si>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</si>
  <si>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</si>
  <si>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</si>
  <si>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</si>
  <si>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</si>
  <si>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</si>
  <si>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</si>
  <si>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</si>
  <si>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</si>
  <si>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</si>
  <si>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</si>
  <si>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</si>
  <si>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</si>
  <si>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</si>
  <si>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</si>
  <si>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</si>
  <si>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</si>
  <si>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</si>
  <si>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</si>
  <si>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</si>
  <si>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</si>
  <si>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</si>
  <si>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</si>
  <si>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</si>
  <si>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</si>
  <si>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</si>
  <si>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</si>
  <si>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</si>
  <si>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</si>
  <si>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</si>
  <si>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</si>
  <si>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</si>
  <si>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</si>
  <si>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</si>
  <si>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</si>
  <si>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</si>
  <si>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</si>
  <si>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</si>
  <si>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</si>
  <si>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</si>
  <si>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</si>
  <si>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</si>
  <si>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</si>
  <si>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</si>
  <si>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</si>
  <si>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</si>
  <si>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</si>
  <si>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</si>
  <si>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</si>
  <si>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</si>
  <si>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</si>
  <si>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</si>
  <si>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</si>
  <si>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</si>
  <si>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</si>
  <si>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</si>
  <si>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</si>
  <si>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</si>
  <si>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</si>
  <si>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</si>
  <si>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</si>
  <si>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</si>
  <si>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</si>
  <si>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</si>
  <si>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</si>
  <si>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</si>
  <si>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</si>
  <si>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</si>
  <si>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</si>
  <si>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</si>
  <si>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</si>
  <si>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</si>
  <si>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</si>
  <si>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</si>
  <si>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</si>
  <si>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</si>
  <si>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</si>
  <si>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</si>
  <si>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Som van totaal schade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</si>
  <si>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</si>
  <si>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</si>
  <si>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</si>
  <si>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</si>
  <si>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</si>
  <si>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</si>
  <si>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</si>
  <si>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</si>
  <si>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</si>
  <si>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</si>
  <si>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</si>
  <si>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</si>
  <si>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</si>
  <si>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</si>
  <si>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</si>
  <si>
    <t>https://delijn.sharepoint.com/:b:/r/teams/CTM-OTGentStad/Shared%20Documents/General/EAF/CSI(nieuwe%20sharepoint)%202025/11.%20November/EAF%205927%20Gent%2027112025%2025486.pdf?csf=1&amp;web=1&amp;e=TuRPNT</t>
  </si>
  <si>
    <t>actief</t>
  </si>
  <si>
    <t>P-nr</t>
  </si>
  <si>
    <t>Voornaam</t>
  </si>
  <si>
    <t>Achternaam</t>
  </si>
  <si>
    <t>Personeelsnummer</t>
  </si>
  <si>
    <t>Functie</t>
  </si>
  <si>
    <t>Team Coach</t>
  </si>
  <si>
    <t>Datum in dienst</t>
  </si>
  <si>
    <t>chauffeur Bus &amp; Tram</t>
  </si>
  <si>
    <t>De Rick, Kenneth</t>
  </si>
  <si>
    <t>voertuigvoorbereider</t>
  </si>
  <si>
    <t>Stubbe, Jarne</t>
  </si>
  <si>
    <t>chauffeur Tram</t>
  </si>
  <si>
    <t>chauffeur Bus</t>
  </si>
  <si>
    <t>Rotty, Christoff</t>
  </si>
  <si>
    <t>Van Der Beken, Bart</t>
  </si>
  <si>
    <t>Vande Velde, Lucie</t>
  </si>
  <si>
    <t>lijnverantwoordelijke</t>
  </si>
  <si>
    <t>Vanhoe, Els</t>
  </si>
  <si>
    <t>Dewulf, Els</t>
  </si>
  <si>
    <t>Storm, Steven</t>
  </si>
  <si>
    <t>De Clercq, Dominique</t>
  </si>
  <si>
    <t>lijnverantwoordelijke Tram</t>
  </si>
  <si>
    <t>Dolly</t>
  </si>
  <si>
    <t>Jean-Pierre</t>
  </si>
  <si>
    <t>Wyffels</t>
  </si>
  <si>
    <t>Stroobandt</t>
  </si>
  <si>
    <t>jaar in dienst</t>
  </si>
  <si>
    <t>aantal schades</t>
  </si>
  <si>
    <t xml:space="preserve"> https://delijn.sharepoint.com/:b:/r/teams/CTM-OTGentStad/Shared%20Documents/General/EAF/CSI(nieuwe%20sharepoint)%202025/11.%20November/EAF%206366%20Gent%2023112025.pdf?csf=1&amp;web=1&amp;e=cvlkvp</t>
  </si>
  <si>
    <t xml:space="preserve"> https://delijn.sharepoint.com/:b:/r/teams/CTM-OTGentStad/Shared%20Documents/General/EAF/CSI(nieuwe%20sharepoint)%202025/11.%20November/Scan_28740_1651_001.pdf?csf=1&amp;web=1&amp;e=K9k3hG</t>
  </si>
  <si>
    <t>Aantal van aantal schades</t>
  </si>
  <si>
    <t>Dienstjaren</t>
  </si>
  <si>
    <t>=SOMPRODUCT((BRON!$A$2:$A$1197=[@Personeelsnummer])*(BRON!$T$2:$T$1197&gt;=DATUM(JAAR(VANDAAG());1;1))*(BRON!$T$2:$T$1197&lt;=DATUM(JAAR(VANDAAG());12;31)))</t>
  </si>
  <si>
    <t>schade/voortschr-jaar</t>
  </si>
  <si>
    <t xml:space="preserve"> https://delijn.sharepoint.com/:b:/r/teams/CTM-OTGentStad/Shared%20Documents/General/EAF/CSI(nieuwe%20sharepoint)%202025/11.%20November/Scan_29076_1659_001.pdf?csf=1&amp;web=1&amp;e=JArvTg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</si>
</sst>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8" formatCode="0.0"/>
  </numFmts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  <xf numFmtId="49" fontId="0" fillId="0" borderId="0" xfId="0" applyNumberFormat="1"/>
    <xf numFmtId="2" fontId="0" fillId="0" borderId="0" xfId="0" applyNumberFormat="1"/>
    <xf numFmtId="0" fontId="0" fillId="0" borderId="0" xfId="0" applyNumberFormat="1"/>
    <xf numFmtId="2" fontId="0" fillId="0" borderId="0" xfId="0" applyNumberFormat="1" applyAlignment="1">
      <alignment horizontal="left"/>
    </xf>
    <xf numFmtId="168" fontId="0" fillId="0" borderId="0" xfId="0" applyNumberFormat="1"/>
    <xf numFmtId="1" fontId="0" fillId="0" borderId="0" xfId="0" applyNumberFormat="1"/>
    <xf numFmtId="1" fontId="0" fillId="0" borderId="0" xfId="0" pivotButton="1" applyNumberFormat="1"/>
    <xf numFmtId="1" fontId="0" fillId="0" borderId="0" xfId="0" applyNumberFormat="1" applyAlignment="1">
      <alignment horizontal="left"/>
    </xf>
    <xf numFmtId="1" fontId="0" fillId="0" borderId="0" xfId="0" applyNumberFormat="1" applyProtection="1">
      <protection locked="0"/>
    </xf>
    <xf numFmtId="0" fontId="0" fillId="0" borderId="0" xfId="0" applyAlignment="1">
      <alignment wrapText="1"/>
    </xf>
  </cellXfs>
  <cellStyles count="2">
    <cellStyle name="Hyperlink" xfId="1" builtinId="8"/>
    <cellStyle name="Standaard" xfId="0" builtinId="0"/>
  </cellStyles>
  <dxfs count="49"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68" formatCode="0.0"/>
    </dxf>
    <dxf>
      <numFmt numFmtId="168" formatCode="0.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68" formatCode="0.0"/>
    </dxf>
    <dxf>
      <numFmt numFmtId="168" formatCode="0.0"/>
    </dxf>
    <dxf>
      <numFmt numFmtId="1" formatCode="0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C000"/>
        </patternFill>
      </fill>
    </dxf>
    <dxf>
      <numFmt numFmtId="0" formatCode="General"/>
    </dxf>
    <dxf>
      <numFmt numFmtId="1" formatCode="0"/>
    </dxf>
    <dxf>
      <numFmt numFmtId="1" formatCode="0"/>
    </dxf>
    <dxf>
      <numFmt numFmtId="168" formatCode="0.0"/>
    </dxf>
    <dxf>
      <numFmt numFmtId="1" formatCode="0"/>
    </dxf>
    <dxf>
      <numFmt numFmtId="168" formatCode="0.0"/>
    </dxf>
    <dxf>
      <numFmt numFmtId="168" formatCode="0.0"/>
    </dxf>
    <dxf>
      <numFmt numFmtId="1" formatCode="0"/>
    </dxf>
    <dxf>
      <numFmt numFmtId="1" formatCode="0"/>
    </dxf>
    <dxf>
      <numFmt numFmtId="1" formatCode="0"/>
    </dxf>
    <dxf>
      <numFmt numFmtId="2" formatCode="0.00"/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microsoft.com/office/2011/relationships/timelineCache" Target="timelineCaches/timelineCache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609600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89.369526504626" createdVersion="8" refreshedVersion="8" minRefreshableVersion="3" recordCount="983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60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24156 Kaya Aydin" u="1"/>
        <s v="26265 Van Vlem Danny" u="1"/>
        <s v="15626 Tondeleir Ron" u="1"/>
        <s v="3926 De Clercq Marc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0:00:00" maxDate="1899-12-31T04:01:03"/>
    </cacheField>
    <cacheField name="Mei" numFmtId="0">
      <sharedItems containsDate="1" containsString="0" containsBlank="1" containsMixedTypes="1" minDate="1899-12-31T00:00:00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26T00:00:00" count="502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4T00:00:00"/>
        <d v="2025-11-25T00:00:00"/>
        <d v="2025-11-23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7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Brugsepoortstraat"/>
        <s v="zuiderlaan"/>
        <s v="krijtestraat"/>
        <s v="braemkasteelstraat"/>
        <s v="guislainbrug"/>
        <s v="Spaarstraat"/>
        <s v="overpoortstraat"/>
        <s v="Groene valei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totaal" numFmtId="0">
      <sharedItems containsSemiMixedTypes="0" containsString="0" containsNumber="1" containsInteger="1" minValue="1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1-26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6/11/2025"/>
        </groupItems>
      </fieldGroup>
    </cacheField>
    <cacheField name="Kwartalen (Datum)" numFmtId="0" databaseField="0">
      <fieldGroup base="19">
        <rangePr groupBy="quarters" startDate="2024-01-05T00:00:00" endDate="2025-11-26T00:00:00"/>
        <groupItems count="6">
          <s v="&lt;5/01/2024"/>
          <s v="Kwrt1"/>
          <s v="Kwrt2"/>
          <s v="Kwrt3"/>
          <s v="Kwrt4"/>
          <s v="&gt;26/11/2025"/>
        </groupItems>
      </fieldGroup>
    </cacheField>
    <cacheField name="Jaren (Datum)" numFmtId="0" databaseField="0">
      <fieldGroup base="19">
        <rangePr groupBy="years" startDate="2024-01-05T00:00:00" endDate="2025-11-26T00:00:00"/>
        <groupItems count="4">
          <s v="&lt;5/01/2024"/>
          <s v="2024"/>
          <s v="2025"/>
          <s v="&gt;26/11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2.451332060184" createdVersion="8" refreshedVersion="8" minRefreshableVersion="3" recordCount="402" xr:uid="{195F1E1E-BCDB-46CC-8520-B93C8D59F5B8}">
  <cacheSource type="worksheet">
    <worksheetSource name="Table1"/>
  </cacheSource>
  <cacheFields count="11"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4419" maxValue="42336"/>
    </cacheField>
    <cacheField name="Functie" numFmtId="49">
      <sharedItems/>
    </cacheField>
    <cacheField name="Team Coach" numFmtId="49">
      <sharedItems/>
    </cacheField>
    <cacheField name="Datum in dienst" numFmtId="14">
      <sharedItems containsSemiMixedTypes="0" containsNonDate="0" containsDate="1" containsString="0" minDate="1988-03-21T01:00:00" maxDate="2025-09-18T02:00:00" count="294">
        <d v="2024-02-13T01:00:00"/>
        <d v="2024-10-09T02:00:00"/>
        <d v="2025-09-03T02:00:00"/>
        <d v="2024-09-03T02:00:00"/>
        <d v="2024-11-07T01:00:00"/>
        <d v="2006-10-16T02:00:00"/>
        <d v="2004-04-26T02:00:00"/>
        <d v="2025-01-20T01:00:00"/>
        <d v="2024-08-26T02:00:00"/>
        <d v="2024-09-24T02:00:00"/>
        <d v="2024-06-27T02:00:00"/>
        <d v="2025-01-06T01:00:00"/>
        <d v="2025-03-19T01:00:00"/>
        <d v="2025-03-04T01:00:00"/>
        <d v="2025-04-23T02:00:00"/>
        <d v="2025-06-06T02:00:00"/>
        <d v="2025-08-05T02:00:00"/>
        <d v="2024-04-12T02:00:00"/>
        <d v="2024-03-27T01:00:00"/>
        <d v="2023-04-11T02:00:00"/>
        <d v="2023-10-09T02:00:00"/>
        <d v="2023-11-06T01:00:00"/>
        <d v="2023-10-23T02:00:00"/>
        <d v="2022-06-07T02:00:00"/>
        <d v="2021-04-19T02:00:00"/>
        <d v="2021-08-23T02:00:00"/>
        <d v="2021-04-26T02:00:00"/>
        <d v="2021-05-31T02:00:00"/>
        <d v="2020-08-27T02:00:00"/>
        <d v="2015-03-30T02:00:00"/>
        <d v="2014-02-10T01:00:00"/>
        <d v="2010-07-26T02:00:00"/>
        <d v="2007-11-19T01:00:00"/>
        <d v="2005-04-04T02:00:00"/>
        <d v="1988-03-21T01:00:00"/>
        <d v="2025-04-02T02:00:00"/>
        <d v="2025-05-21T02:00:00"/>
        <d v="2025-06-23T02:00:00"/>
        <d v="2024-06-17T02:00:00"/>
        <d v="2023-12-04T01:00:00"/>
        <d v="2024-01-30T01:00:00"/>
        <d v="2024-06-07T02:00:00"/>
        <d v="2024-09-09T02:00:00"/>
        <d v="2024-10-23T02:00:00"/>
        <d v="2024-07-08T02:00:00"/>
        <d v="2023-12-26T01:00:00"/>
        <d v="2024-03-13T01:00:00"/>
        <d v="2024-05-30T02:00:00"/>
        <d v="2024-07-11T02:00:00"/>
        <d v="2024-01-08T01:00:00"/>
        <d v="2023-02-13T01:00:00"/>
        <d v="2023-05-30T02:00:00"/>
        <d v="2023-01-16T01:00:00"/>
        <d v="2023-07-17T02:00:00"/>
        <d v="2023-09-25T02:00:00"/>
        <d v="2023-05-15T02:00:00"/>
        <d v="2023-11-20T01:00:00"/>
        <d v="2022-02-07T01:00:00"/>
        <d v="2022-04-04T02:00:00"/>
        <d v="2022-04-19T02:00:00"/>
        <d v="2022-05-19T02:00:00"/>
        <d v="2022-05-02T02:00:00"/>
        <d v="2021-03-29T02:00:00"/>
        <d v="2021-04-12T02:00:00"/>
        <d v="2021-05-17T02:00:00"/>
        <d v="2021-08-09T02:00:00"/>
        <d v="2021-07-07T02:00:00"/>
        <d v="2021-07-12T02:00:00"/>
        <d v="2020-06-02T02:00:00"/>
        <d v="2020-07-13T02:00:00"/>
        <d v="2020-11-16T01:00:00"/>
        <d v="2020-07-27T02:00:00"/>
        <d v="2018-03-19T01:00:00"/>
        <d v="2018-04-03T02:00:00"/>
        <d v="2017-09-11T02:00:00"/>
        <d v="2017-01-09T01:00:00"/>
        <d v="2017-05-22T02:00:00"/>
        <d v="2016-09-05T02:00:00"/>
        <d v="2016-06-27T02:00:00"/>
        <d v="2014-04-14T02:00:00"/>
        <d v="2012-03-05T01:00:00"/>
        <d v="2011-11-14T01:00:00"/>
        <d v="2010-10-04T02:00:00"/>
        <d v="2010-10-18T02:00:00"/>
        <d v="2009-06-08T02:00:00"/>
        <d v="2007-10-15T02:00:00"/>
        <d v="2007-05-02T02:00:00"/>
        <d v="2006-05-15T02:00:00"/>
        <d v="2003-01-13T01:00:00"/>
        <d v="2000-10-16T02:00:00"/>
        <d v="1999-06-21T02:00:00"/>
        <d v="2025-08-27T02:00:00"/>
        <d v="2025-01-16T01:00:00"/>
        <d v="2025-05-06T02:00:00"/>
        <d v="2025-04-16T02:00:00"/>
        <d v="2025-07-16T02:00:00"/>
        <d v="2025-07-15T02:00:00"/>
        <d v="2025-07-22T02:00:00"/>
        <d v="2025-08-20T02:00:00"/>
        <d v="2025-09-18T02:00:00"/>
        <d v="2024-02-19T01:00:00"/>
        <d v="2024-01-16T01:00:00"/>
        <d v="2024-04-26T02:00:00"/>
        <d v="2024-07-25T02:00:00"/>
        <d v="2024-11-22T01:00:00"/>
        <d v="2024-11-20T01:00:00"/>
        <d v="2023-02-27T01:00:00"/>
        <d v="2023-03-13T01:00:00"/>
        <d v="2023-05-16T02:00:00"/>
        <d v="2023-09-04T02:00:00"/>
        <d v="2023-09-12T02:00:00"/>
        <d v="2023-03-27T02:00:00"/>
        <d v="2023-04-24T02:00:00"/>
        <d v="2023-02-14T01:00:00"/>
        <d v="2023-01-30T01:00:00"/>
        <d v="2023-06-13T02:00:00"/>
        <d v="2022-03-21T01:00:00"/>
        <d v="2022-07-11T02:00:00"/>
        <d v="2022-09-19T02:00:00"/>
        <d v="2022-10-03T02:00:00"/>
        <d v="2022-01-10T01:00:00"/>
        <d v="2022-01-24T01:00:00"/>
        <d v="2022-09-05T02:00:00"/>
        <d v="2021-01-18T01:00:00"/>
        <d v="2021-10-04T02:00:00"/>
        <d v="2021-06-01T02:00:00"/>
        <d v="2021-03-15T01:00:00"/>
        <d v="2021-06-28T02:00:00"/>
        <d v="2020-03-02T01:00:00"/>
        <d v="2020-08-24T02:00:00"/>
        <d v="2020-03-16T01:00:00"/>
        <d v="2020-05-18T02:00:00"/>
        <d v="2020-05-29T02:00:00"/>
        <d v="2020-06-29T02:00:00"/>
        <d v="2020-06-15T02:00:00"/>
        <d v="2019-03-04T01:00:00"/>
        <d v="2019-06-11T02:00:00"/>
        <d v="2019-01-21T01:00:00"/>
        <d v="2019-07-23T02:00:00"/>
        <d v="2018-12-10T01:00:00"/>
        <d v="2019-09-02T02:00:00"/>
        <d v="2019-05-20T02:00:00"/>
        <d v="2019-10-14T02:00:00"/>
        <d v="2017-12-04T01:00:00"/>
        <d v="2018-03-05T01:00:00"/>
        <d v="2018-01-08T01:00:00"/>
        <d v="2018-07-23T02:00:00"/>
        <d v="2017-05-08T02:00:00"/>
        <d v="2017-07-17T02:00:00"/>
        <d v="2017-09-25T02:00:00"/>
        <d v="2017-04-18T02:00:00"/>
        <d v="2016-09-30T02:00:00"/>
        <d v="2016-02-29T01:00:00"/>
        <d v="2016-10-03T02:00:00"/>
        <d v="2016-10-31T01:00:00"/>
        <d v="2015-02-16T01:00:00"/>
        <d v="2015-09-21T02:00:00"/>
        <d v="2015-07-13T02:00:00"/>
        <d v="2014-08-04T02:00:00"/>
        <d v="2014-11-03T01:00:00"/>
        <d v="2013-02-08T01:00:00"/>
        <d v="2012-10-22T02:00:00"/>
        <d v="2012-02-13T01:00:00"/>
        <d v="2010-12-13T01:00:00"/>
        <d v="2011-04-04T02:00:00"/>
        <d v="2011-07-04T02:00:00"/>
        <d v="2011-07-25T02:00:00"/>
        <d v="2011-08-16T02:00:00"/>
        <d v="2011-10-10T02:00:00"/>
        <d v="2011-05-16T02:00:00"/>
        <d v="2011-03-21T01:00:00"/>
        <d v="2010-11-15T01:00:00"/>
        <d v="2009-07-06T02:00:00"/>
        <d v="2009-08-10T02:00:00"/>
        <d v="2008-03-31T02:00:00"/>
        <d v="2008-05-05T02:00:00"/>
        <d v="2008-06-16T02:00:00"/>
        <d v="2008-09-15T02:00:00"/>
        <d v="2007-12-17T01:00:00"/>
        <d v="2008-03-17T01:00:00"/>
        <d v="2008-05-19T02:00:00"/>
        <d v="2007-04-02T02:00:00"/>
        <d v="2006-07-10T02:00:00"/>
        <d v="2006-02-06T01:00:00"/>
        <d v="2005-02-21T01:00:00"/>
        <d v="2004-01-05T01:00:00"/>
        <d v="2004-08-23T02:00:00"/>
        <d v="2003-09-22T02:00:00"/>
        <d v="2002-05-21T02:00:00"/>
        <d v="2002-10-14T02:00:00"/>
        <d v="2002-09-02T02:00:00"/>
        <d v="2002-11-04T01:00:00"/>
        <d v="2001-02-26T01:00:00"/>
        <d v="2001-06-05T02:00:00"/>
        <d v="2001-11-19T01:00:00"/>
        <d v="2000-03-27T02:00:00"/>
        <d v="2000-08-21T02:00:00"/>
        <d v="2000-11-23T01:00:00"/>
        <d v="2000-05-08T02:00:00"/>
        <d v="1999-03-08T01:00:00"/>
        <d v="1999-04-12T02:00:00"/>
        <d v="1999-05-31T02:00:00"/>
        <d v="1998-10-12T02:00:00"/>
        <d v="1997-02-17T01:00:00"/>
        <d v="1997-03-24T01:00:00"/>
        <d v="1997-10-20T02:00:00"/>
        <d v="1996-11-25T01:00:00"/>
        <d v="1996-06-03T02:00:00"/>
        <d v="1995-08-21T02:00:00"/>
        <d v="1993-02-08T01:00:00"/>
        <d v="1991-11-04T01:00:00"/>
        <d v="1989-05-16T02:00:00"/>
        <d v="1989-10-16T02:00:00"/>
        <d v="2024-01-02T01:00:00"/>
        <d v="2024-01-24T01:00:00"/>
        <d v="2024-04-22T02:00:00"/>
        <d v="2024-05-15T02:00:00"/>
        <d v="2024-06-13T02:00:00"/>
        <d v="2024-03-21T01:00:00"/>
        <d v="2024-02-23T01:00:00"/>
        <d v="2024-02-27T01:00:00"/>
        <d v="2024-05-07T02:00:00"/>
        <d v="2023-04-19T02:00:00"/>
        <d v="2023-08-28T02:00:00"/>
        <d v="2023-08-01T02:00:00"/>
        <d v="2023-06-20T02:00:00"/>
        <d v="2023-06-26T02:00:00"/>
        <d v="2022-04-13T02:00:00"/>
        <d v="2022-05-23T02:00:00"/>
        <d v="2022-06-27T02:00:00"/>
        <d v="2022-08-17T02:00:00"/>
        <d v="2022-08-22T02:00:00"/>
        <d v="2022-05-06T02:00:00"/>
        <d v="2021-03-01T01:00:00"/>
        <d v="2020-02-03T01:00:00"/>
        <d v="2020-02-17T01:00:00"/>
        <d v="2020-03-01T01:00:00"/>
        <d v="2020-09-07T02:00:00"/>
        <d v="2020-09-01T02:00:00"/>
        <d v="2019-08-20T02:00:00"/>
        <d v="2019-01-07T01:00:00"/>
        <d v="2019-06-24T02:00:00"/>
        <d v="2019-09-16T02:00:00"/>
        <d v="2018-02-19T01:00:00"/>
        <d v="2017-06-06T02:00:00"/>
        <d v="2017-11-06T01:00:00"/>
        <d v="2017-07-03T02:00:00"/>
        <d v="2016-06-13T02:00:00"/>
        <d v="2016-08-22T02:00:00"/>
        <d v="2014-12-08T01:00:00"/>
        <d v="2015-04-27T02:00:00"/>
        <d v="2014-01-20T01:00:00"/>
        <d v="2014-03-03T01:00:00"/>
        <d v="2014-03-24T01:00:00"/>
        <d v="2014-07-07T02:00:00"/>
        <d v="2012-09-24T02:00:00"/>
        <d v="2012-11-05T01:00:00"/>
        <d v="2011-01-24T01:00:00"/>
        <d v="2011-02-28T01:00:00"/>
        <d v="2011-04-25T02:00:00"/>
        <d v="2011-06-06T02:00:00"/>
        <d v="2009-04-20T02:00:00"/>
        <d v="2009-05-25T02:00:00"/>
        <d v="2009-08-24T02:00:00"/>
        <d v="2008-02-18T01:00:00"/>
        <d v="2008-07-14T02:00:00"/>
        <d v="2008-08-04T02:00:00"/>
        <d v="2007-02-19T01:00:00"/>
        <d v="2007-03-05T01:00:00"/>
        <d v="2007-07-23T02:00:00"/>
        <d v="2007-10-01T02:00:00"/>
        <d v="2006-03-13T01:00:00"/>
        <d v="2006-04-24T02:00:00"/>
        <d v="2006-10-02T02:00:00"/>
        <d v="2005-05-09T02:00:00"/>
        <d v="2005-02-07T01:00:00"/>
        <d v="2003-04-28T02:00:00"/>
        <d v="2003-06-16T02:00:00"/>
        <d v="2003-04-07T02:00:00"/>
        <d v="2002-11-25T01:00:00"/>
        <d v="2002-01-28T01:00:00"/>
        <d v="2002-06-17T02:00:00"/>
        <d v="2001-05-07T02:00:00"/>
        <d v="2000-01-17T01:00:00"/>
        <d v="2000-06-13T02:00:00"/>
        <d v="1999-08-16T02:00:00"/>
        <d v="1998-04-06T02:00:00"/>
        <d v="1998-06-02T02:00:00"/>
        <d v="1996-08-26T02:00:00"/>
        <d v="1996-01-01T01:00:00"/>
        <d v="1992-01-06T01:00:00"/>
        <d v="1992-05-18T02:00:00"/>
        <d v="1992-04-13T02:00:00"/>
        <d v="1991-02-18T01:00:00"/>
      </sharedItems>
      <fieldGroup par="10"/>
    </cacheField>
    <cacheField name="jaar in dienst" numFmtId="2">
      <sharedItems containsSemiMixedTypes="0" containsString="0" containsNumber="1" containsInteger="1" minValue="0" maxValue="44" count="38">
        <n v="1"/>
        <n v="0"/>
        <n v="19"/>
        <n v="21"/>
        <n v="2"/>
        <n v="3"/>
        <n v="4"/>
        <n v="5"/>
        <n v="10"/>
        <n v="11"/>
        <n v="15"/>
        <n v="18"/>
        <n v="20"/>
        <n v="37"/>
        <n v="7"/>
        <n v="8"/>
        <n v="9"/>
        <n v="13"/>
        <n v="14"/>
        <n v="16"/>
        <n v="22"/>
        <n v="25"/>
        <n v="26"/>
        <n v="6"/>
        <n v="12"/>
        <n v="17"/>
        <n v="23"/>
        <n v="24"/>
        <n v="27"/>
        <n v="28"/>
        <n v="29"/>
        <n v="30"/>
        <n v="32"/>
        <n v="34"/>
        <n v="36"/>
        <n v="33"/>
        <n v="44" u="1"/>
        <n v="35" u="1"/>
      </sharedItems>
    </cacheField>
    <cacheField name="aantal schades" numFmtId="0">
      <sharedItems containsSemiMixedTypes="0" containsString="0" containsNumber="1" containsInteger="1" minValue="0" maxValue="9"/>
    </cacheField>
    <cacheField name="Maanden (Datum in dienst)" numFmtId="0" databaseField="0">
      <fieldGroup base="5">
        <rangePr groupBy="months" startDate="1988-03-21T01:00:00" endDate="2025-09-18T02:00:00"/>
        <groupItems count="14">
          <s v="&lt;21/03/1988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8/09/2025"/>
        </groupItems>
      </fieldGroup>
    </cacheField>
    <cacheField name="Kwartalen (Datum in dienst)" numFmtId="0" databaseField="0">
      <fieldGroup base="5">
        <rangePr groupBy="quarters" startDate="1988-03-21T01:00:00" endDate="2025-09-18T02:00:00"/>
        <groupItems count="6">
          <s v="&lt;21/03/1988"/>
          <s v="Kwrt1"/>
          <s v="Kwrt2"/>
          <s v="Kwrt3"/>
          <s v="Kwrt4"/>
          <s v="&gt;18/09/2025"/>
        </groupItems>
      </fieldGroup>
    </cacheField>
    <cacheField name="Jaren (Datum in dienst)" numFmtId="0" databaseField="0">
      <fieldGroup base="5">
        <rangePr groupBy="years" startDate="1988-03-21T01:00:00" endDate="2025-09-18T02:00:00"/>
        <groupItems count="40">
          <s v="&lt;21/03/1988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8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3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4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4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3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4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4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2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4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4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1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3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4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3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4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2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3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4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3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4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2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4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4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4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4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4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3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4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4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1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4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4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1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4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4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2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2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2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2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8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59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0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1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2"/>
    <n v="104023"/>
    <s v="ja"/>
    <n v="5"/>
  </r>
  <r>
    <n v="41482"/>
    <x v="329"/>
    <s v="Özdemir"/>
    <s v="Osman"/>
    <x v="4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934%20Gent%2025112025%2042307.pdf?csf=1&amp;web=1&amp;e=YmWolc"/>
    <m/>
    <m/>
    <x v="3"/>
    <x v="263"/>
    <n v="593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64"/>
    <n v="5768"/>
    <s v="ja"/>
    <n v="3"/>
  </r>
  <r>
    <n v="36627"/>
    <x v="19"/>
    <s v="Dobbelaere"/>
    <s v="David"/>
    <x v="2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2">
  <r>
    <s v="Tjimmy"/>
    <s v="Moerman"/>
    <n v="40138"/>
    <s v="chauffeur Bus"/>
    <s v="Rotty, Christoff"/>
    <x v="0"/>
    <x v="0"/>
    <n v="9"/>
  </r>
  <r>
    <s v="Dorien"/>
    <s v="De Keyser"/>
    <n v="41092"/>
    <s v="chauffeur Bus"/>
    <s v="De Clercq, Dominique"/>
    <x v="1"/>
    <x v="0"/>
    <n v="7"/>
  </r>
  <r>
    <s v="Abdullah"/>
    <s v="Sular"/>
    <n v="42252"/>
    <s v="chauffeur Bus"/>
    <s v="Rotty, Christoff"/>
    <x v="2"/>
    <x v="1"/>
    <n v="5"/>
  </r>
  <r>
    <s v="Sadegh"/>
    <s v="Neissi"/>
    <n v="40856"/>
    <s v="chauffeur Bus"/>
    <s v="De Rick, Kenneth"/>
    <x v="3"/>
    <x v="0"/>
    <n v="5"/>
  </r>
  <r>
    <s v="Jeroen"/>
    <s v="Hoeckman"/>
    <n v="41162"/>
    <s v="chauffeur Bus"/>
    <s v="De Clercq, Dominique"/>
    <x v="4"/>
    <x v="0"/>
    <n v="5"/>
  </r>
  <r>
    <s v="Frank"/>
    <s v="Vandevyvere"/>
    <n v="19917"/>
    <s v="chauffeur Bus"/>
    <s v="Van Der Beken, Bart"/>
    <x v="5"/>
    <x v="2"/>
    <n v="6"/>
  </r>
  <r>
    <s v="Freddy"/>
    <s v="Van Lauwe"/>
    <n v="16895"/>
    <s v="chauffeur Tram"/>
    <s v="Van Der Beken, Bart"/>
    <x v="6"/>
    <x v="3"/>
    <n v="5"/>
  </r>
  <r>
    <s v="Thimo"/>
    <s v="Hillaert"/>
    <n v="41384"/>
    <s v="chauffeur Bus"/>
    <s v="Rotty, Christoff"/>
    <x v="7"/>
    <x v="1"/>
    <n v="4"/>
  </r>
  <r>
    <s v="Nejmeddine"/>
    <s v="Hasnaoui"/>
    <n v="40938"/>
    <s v="chauffeur Bus &amp; Tram"/>
    <s v="De Clercq, Dominique"/>
    <x v="8"/>
    <x v="0"/>
    <n v="4"/>
  </r>
  <r>
    <s v="Lukas"/>
    <s v="Rocabado Hinojosa"/>
    <n v="41032"/>
    <s v="chauffeur Bus"/>
    <s v="Vanhoe, Els"/>
    <x v="9"/>
    <x v="0"/>
    <n v="4"/>
  </r>
  <r>
    <s v="Gilyann"/>
    <s v="Van Damme"/>
    <n v="40652"/>
    <s v="chauffeur Bus"/>
    <s v="Vanhoe, Els"/>
    <x v="10"/>
    <x v="0"/>
    <n v="6"/>
  </r>
  <r>
    <s v="Jens"/>
    <s v="Helleputte"/>
    <n v="42307"/>
    <s v="chauffeur Bus"/>
    <s v="Rotty, Christoff"/>
    <x v="2"/>
    <x v="1"/>
    <n v="3"/>
  </r>
  <r>
    <s v="Yana"/>
    <s v="Van Holsbeeck"/>
    <n v="41246"/>
    <s v="chauffeur Bus"/>
    <s v="De Clercq, Dominique"/>
    <x v="11"/>
    <x v="1"/>
    <n v="3"/>
  </r>
  <r>
    <s v="Osman"/>
    <s v="Özdemir"/>
    <n v="41482"/>
    <s v="chauffeur Bus"/>
    <s v="Van Der Beken, Bart"/>
    <x v="12"/>
    <x v="1"/>
    <n v="3"/>
  </r>
  <r>
    <s v="Avery"/>
    <s v="Smets"/>
    <n v="41520"/>
    <s v="chauffeur Bus"/>
    <s v="Rotty, Christoff"/>
    <x v="13"/>
    <x v="1"/>
    <n v="3"/>
  </r>
  <r>
    <s v="Ousama"/>
    <s v="Bachiri"/>
    <n v="41619"/>
    <s v="chauffeur Bus"/>
    <s v="Van Der Beken, Bart"/>
    <x v="14"/>
    <x v="1"/>
    <n v="3"/>
  </r>
  <r>
    <s v="Bruno"/>
    <s v="Dobbeleire"/>
    <n v="41874"/>
    <s v="chauffeur Bus"/>
    <s v="De Clercq, Dominique"/>
    <x v="15"/>
    <x v="1"/>
    <n v="3"/>
  </r>
  <r>
    <s v="Kamil"/>
    <s v="Cichonski"/>
    <n v="42146"/>
    <s v="chauffeur Bus"/>
    <s v="Storm, Steven"/>
    <x v="16"/>
    <x v="1"/>
    <n v="3"/>
  </r>
  <r>
    <s v="Cetin"/>
    <s v="Kuru"/>
    <n v="40362"/>
    <s v="chauffeur Bus"/>
    <s v="De Rick, Kenneth"/>
    <x v="17"/>
    <x v="0"/>
    <n v="3"/>
  </r>
  <r>
    <s v="Sayon"/>
    <s v="Cisse"/>
    <n v="40939"/>
    <s v="chauffeur Bus"/>
    <s v="De Rick, Kenneth"/>
    <x v="8"/>
    <x v="0"/>
    <n v="3"/>
  </r>
  <r>
    <s v="Firat"/>
    <s v="Ates"/>
    <n v="40278"/>
    <s v="chauffeur Bus"/>
    <s v="Rotty, Christoff"/>
    <x v="18"/>
    <x v="0"/>
    <n v="3"/>
  </r>
  <r>
    <s v="Sandra"/>
    <s v="Vanlerberghe"/>
    <n v="40110"/>
    <s v="chauffeur Bus"/>
    <s v="Rotty, Christoff"/>
    <x v="0"/>
    <x v="0"/>
    <n v="3"/>
  </r>
  <r>
    <s v="Caroline"/>
    <s v="Dossche"/>
    <n v="38807"/>
    <s v="chauffeur Bus"/>
    <s v="Rotty, Christoff"/>
    <x v="19"/>
    <x v="4"/>
    <n v="3"/>
  </r>
  <r>
    <s v="Sunny"/>
    <s v="Kallenbach"/>
    <n v="39651"/>
    <s v="chauffeur Bus"/>
    <s v="De Rick, Kenneth"/>
    <x v="20"/>
    <x v="4"/>
    <n v="3"/>
  </r>
  <r>
    <s v="Henri"/>
    <s v="Steurbaut"/>
    <n v="39673"/>
    <s v="chauffeur Bus"/>
    <s v="Vanhoe, Els"/>
    <x v="21"/>
    <x v="4"/>
    <n v="3"/>
  </r>
  <r>
    <s v="Glenn"/>
    <s v="Lloyd"/>
    <n v="39660"/>
    <s v="chauffeur Bus"/>
    <s v="Van Der Beken, Bart"/>
    <x v="22"/>
    <x v="4"/>
    <n v="3"/>
  </r>
  <r>
    <s v="Steven"/>
    <s v="Van den Meerssche"/>
    <n v="37662"/>
    <s v="chauffeur Bus"/>
    <s v="Van Der Beken, Bart"/>
    <x v="23"/>
    <x v="5"/>
    <n v="4"/>
  </r>
  <r>
    <s v="Abdulhamid"/>
    <s v="Mohamed Yassin"/>
    <n v="36426"/>
    <s v="chauffeur Bus &amp; Tram"/>
    <s v="Van Der Beken, Bart"/>
    <x v="24"/>
    <x v="6"/>
    <n v="3"/>
  </r>
  <r>
    <s v="Achraf"/>
    <s v="Cesmeli"/>
    <n v="36663"/>
    <s v="chauffeur Bus &amp; Tram"/>
    <s v="De Clercq, Dominique"/>
    <x v="25"/>
    <x v="6"/>
    <n v="3"/>
  </r>
  <r>
    <s v="Rashid"/>
    <s v="Abdi Shaiye"/>
    <n v="36428"/>
    <s v="chauffeur Bus &amp; Tram"/>
    <s v="Vande Velde, Lucie"/>
    <x v="26"/>
    <x v="6"/>
    <n v="3"/>
  </r>
  <r>
    <s v="Jonas"/>
    <s v="Stroobandt"/>
    <n v="36569"/>
    <s v="chauffeur Bus &amp; Tram"/>
    <s v="Vanhoe, Els"/>
    <x v="27"/>
    <x v="6"/>
    <n v="3"/>
  </r>
  <r>
    <s v="Yaseeb"/>
    <s v="Jalili"/>
    <n v="35645"/>
    <s v="chauffeur Bus"/>
    <s v="Storm, Steven"/>
    <x v="28"/>
    <x v="7"/>
    <n v="3"/>
  </r>
  <r>
    <s v="Annicke"/>
    <s v="Huyse"/>
    <n v="29746"/>
    <s v="lijnverantwoordelijke"/>
    <s v="Van Der Beken, Bart"/>
    <x v="29"/>
    <x v="8"/>
    <n v="3"/>
  </r>
  <r>
    <s v="Mohamed"/>
    <s v="El-Mohamed"/>
    <n v="28737"/>
    <s v="chauffeur Bus &amp; Tram"/>
    <s v="Vande Velde, Lucie"/>
    <x v="30"/>
    <x v="9"/>
    <n v="3"/>
  </r>
  <r>
    <s v="Stefaan"/>
    <s v="Devos"/>
    <n v="25487"/>
    <s v="chauffeur Tram"/>
    <s v="Storm, Steven"/>
    <x v="31"/>
    <x v="10"/>
    <n v="3"/>
  </r>
  <r>
    <s v="Kris"/>
    <s v="De Craemer"/>
    <n v="21509"/>
    <s v="chauffeur Tram"/>
    <s v="De Clercq, Dominique"/>
    <x v="32"/>
    <x v="11"/>
    <n v="3"/>
  </r>
  <r>
    <s v="Filip"/>
    <s v="Van Wittenberge"/>
    <n v="18051"/>
    <s v="chauffeur Bus &amp; Tram"/>
    <s v="Rotty, Christoff"/>
    <x v="33"/>
    <x v="12"/>
    <n v="3"/>
  </r>
  <r>
    <s v="Eddy"/>
    <s v="Maelbrancke"/>
    <n v="4419"/>
    <s v="chauffeur Bus"/>
    <s v="Vande Velde, Lucie"/>
    <x v="34"/>
    <x v="13"/>
    <n v="4"/>
  </r>
  <r>
    <s v="Yves"/>
    <s v="Naessens"/>
    <n v="41588"/>
    <s v="chauffeur Bus"/>
    <s v="De Rick, Kenneth"/>
    <x v="35"/>
    <x v="1"/>
    <n v="2"/>
  </r>
  <r>
    <s v="Ibrahim"/>
    <s v="Karanfil"/>
    <n v="41871"/>
    <s v="chauffeur Bus"/>
    <s v="De Clercq, Dominique"/>
    <x v="36"/>
    <x v="1"/>
    <n v="2"/>
  </r>
  <r>
    <s v="Wim"/>
    <s v="Vervaecke"/>
    <n v="41948"/>
    <s v="chauffeur Bus"/>
    <s v="Dewulf, Els"/>
    <x v="37"/>
    <x v="1"/>
    <n v="2"/>
  </r>
  <r>
    <s v="Kevin"/>
    <s v="Bogaert"/>
    <n v="42002"/>
    <s v="chauffeur Bus"/>
    <s v="Vanhoe, Els"/>
    <x v="15"/>
    <x v="1"/>
    <n v="2"/>
  </r>
  <r>
    <s v="Shayya"/>
    <s v="Gys"/>
    <n v="42145"/>
    <s v="chauffeur Bus"/>
    <s v="Storm, Steven"/>
    <x v="16"/>
    <x v="1"/>
    <n v="2"/>
  </r>
  <r>
    <s v="Ivo"/>
    <s v="Van Hoe"/>
    <n v="33085"/>
    <s v="chauffeur Bus &amp; Tram"/>
    <s v="De Rick, Kenneth"/>
    <x v="38"/>
    <x v="0"/>
    <n v="2"/>
  </r>
  <r>
    <s v="William"/>
    <s v="Helleputte"/>
    <n v="39850"/>
    <s v="chauffeur Bus"/>
    <s v="De Clercq, Dominique"/>
    <x v="39"/>
    <x v="0"/>
    <n v="2"/>
  </r>
  <r>
    <s v="Bayram"/>
    <s v="Curukcu"/>
    <n v="39856"/>
    <s v="chauffeur Bus"/>
    <s v="De Rick, Kenneth"/>
    <x v="39"/>
    <x v="0"/>
    <n v="2"/>
  </r>
  <r>
    <s v="Ammar"/>
    <s v="Afara"/>
    <n v="40055"/>
    <s v="chauffeur Bus"/>
    <s v="Vanhoe, Els"/>
    <x v="40"/>
    <x v="0"/>
    <n v="2"/>
  </r>
  <r>
    <s v="Mahmoud"/>
    <s v="Hiloui"/>
    <n v="40591"/>
    <s v="chauffeur Bus"/>
    <s v="De Clercq, Dominique"/>
    <x v="41"/>
    <x v="0"/>
    <n v="2"/>
  </r>
  <r>
    <s v="Jason"/>
    <s v="Bytebier"/>
    <n v="40645"/>
    <s v="chauffeur Bus"/>
    <s v="Dewulf, Els"/>
    <x v="42"/>
    <x v="0"/>
    <n v="2"/>
  </r>
  <r>
    <s v="Younes"/>
    <s v="Natad"/>
    <n v="41012"/>
    <s v="chauffeur Bus"/>
    <s v="Vanhoe, Els"/>
    <x v="1"/>
    <x v="0"/>
    <n v="2"/>
  </r>
  <r>
    <s v="Atilla"/>
    <s v="Ardic"/>
    <n v="41064"/>
    <s v="chauffeur Bus"/>
    <s v="De Clercq, Dominique"/>
    <x v="43"/>
    <x v="0"/>
    <n v="2"/>
  </r>
  <r>
    <s v="Talha"/>
    <s v="Yavas"/>
    <n v="41091"/>
    <s v="chauffeur Bus"/>
    <s v="De Clercq, Dominique"/>
    <x v="4"/>
    <x v="0"/>
    <n v="2"/>
  </r>
  <r>
    <s v="Bart"/>
    <s v="De Witte"/>
    <n v="41230"/>
    <s v="chauffeur Bus"/>
    <s v="De Clercq, Dominique"/>
    <x v="4"/>
    <x v="0"/>
    <n v="2"/>
  </r>
  <r>
    <s v="Can"/>
    <s v="Sögüt"/>
    <n v="40058"/>
    <s v="chauffeur Bus"/>
    <s v="Rotty, Christoff"/>
    <x v="40"/>
    <x v="0"/>
    <n v="2"/>
  </r>
  <r>
    <s v="Yassine"/>
    <s v="Taibi"/>
    <n v="40266"/>
    <s v="chauffeur Bus"/>
    <s v="Rotty, Christoff"/>
    <x v="17"/>
    <x v="0"/>
    <n v="2"/>
  </r>
  <r>
    <s v="Michaël"/>
    <s v="Prové"/>
    <n v="40403"/>
    <s v="chauffeur Bus"/>
    <s v="De Clercq, Dominique"/>
    <x v="44"/>
    <x v="0"/>
    <n v="2"/>
  </r>
  <r>
    <s v="Patricia"/>
    <s v="Desmet"/>
    <n v="39529"/>
    <s v="chauffeur Tram"/>
    <s v="Rotty, Christoff"/>
    <x v="45"/>
    <x v="0"/>
    <n v="3"/>
  </r>
  <r>
    <s v="Sharon"/>
    <s v="Cardon"/>
    <n v="40134"/>
    <s v="chauffeur Bus"/>
    <s v="De Clercq, Dominique"/>
    <x v="46"/>
    <x v="0"/>
    <n v="2"/>
  </r>
  <r>
    <s v="Ali Mir"/>
    <s v="Hashimi"/>
    <n v="40478"/>
    <s v="chauffeur Bus"/>
    <s v="Van Der Beken, Bart"/>
    <x v="47"/>
    <x v="0"/>
    <n v="2"/>
  </r>
  <r>
    <s v="Abdelali"/>
    <s v="Yagoub"/>
    <n v="40859"/>
    <s v="chauffeur Bus"/>
    <s v="Vanhoe, Els"/>
    <x v="42"/>
    <x v="0"/>
    <n v="2"/>
  </r>
  <r>
    <s v="Ugur"/>
    <s v="Gözüküçük"/>
    <n v="40744"/>
    <s v="chauffeur Bus"/>
    <s v="Van Der Beken, Bart"/>
    <x v="48"/>
    <x v="0"/>
    <n v="4"/>
  </r>
  <r>
    <s v="Mariyana"/>
    <s v="Staneva"/>
    <n v="39929"/>
    <s v="chauffeur Bus"/>
    <s v="Rotty, Christoff"/>
    <x v="49"/>
    <x v="0"/>
    <n v="2"/>
  </r>
  <r>
    <s v="Anthony"/>
    <s v="Meskens"/>
    <n v="38740"/>
    <s v="chauffeur Bus &amp; Tram"/>
    <s v="Rotty, Christoff"/>
    <x v="19"/>
    <x v="4"/>
    <n v="2"/>
  </r>
  <r>
    <s v="Mattanja"/>
    <s v="Stomphorst"/>
    <n v="38633"/>
    <s v="chauffeur Bus"/>
    <s v="Dewulf, Els"/>
    <x v="50"/>
    <x v="4"/>
    <n v="2"/>
  </r>
  <r>
    <s v="Kyllian"/>
    <s v="Genbrugge"/>
    <n v="39014"/>
    <s v="chauffeur Bus"/>
    <s v="Van Der Beken, Bart"/>
    <x v="51"/>
    <x v="4"/>
    <n v="2"/>
  </r>
  <r>
    <s v="Katleen"/>
    <s v="Verschraegen"/>
    <n v="38475"/>
    <s v="chauffeur Bus"/>
    <s v="Dewulf, Els"/>
    <x v="52"/>
    <x v="4"/>
    <n v="2"/>
  </r>
  <r>
    <s v="Muhammet Emin"/>
    <s v="Uckuyulu"/>
    <n v="38648"/>
    <s v="chauffeur Bus &amp; Tram"/>
    <s v="Vande Velde, Lucie"/>
    <x v="19"/>
    <x v="4"/>
    <n v="2"/>
  </r>
  <r>
    <s v="Jimmy Alexander"/>
    <s v="Weeks Aracena"/>
    <n v="39358"/>
    <s v="chauffeur Bus"/>
    <s v="Rotty, Christoff"/>
    <x v="53"/>
    <x v="4"/>
    <n v="2"/>
  </r>
  <r>
    <s v="Linus"/>
    <s v="Vandenhaute"/>
    <n v="39581"/>
    <s v="chauffeur Bus"/>
    <s v="Dewulf, Els"/>
    <x v="54"/>
    <x v="4"/>
    <n v="2"/>
  </r>
  <r>
    <s v="Orhan"/>
    <s v="Sahin"/>
    <n v="39532"/>
    <s v="chauffeur Bus &amp; Tram"/>
    <s v="Rotty, Christoff"/>
    <x v="20"/>
    <x v="4"/>
    <n v="2"/>
  </r>
  <r>
    <s v="Hamid"/>
    <s v="Sedighi"/>
    <n v="38938"/>
    <s v="chauffeur Bus &amp; Tram"/>
    <s v="Vande Velde, Lucie"/>
    <x v="55"/>
    <x v="4"/>
    <n v="5"/>
  </r>
  <r>
    <s v="Muhammet Abdullah"/>
    <s v="Avci"/>
    <n v="39779"/>
    <s v="chauffeur Bus"/>
    <s v="Van Der Beken, Bart"/>
    <x v="56"/>
    <x v="4"/>
    <n v="2"/>
  </r>
  <r>
    <s v="Esmir"/>
    <s v="Dacic"/>
    <n v="37132"/>
    <s v="chauffeur Bus &amp; Tram"/>
    <s v="De Clercq, Dominique"/>
    <x v="57"/>
    <x v="5"/>
    <n v="2"/>
  </r>
  <r>
    <s v="Renaat"/>
    <s v="Walleyn"/>
    <n v="37345"/>
    <s v="chauffeur Bus &amp; Tram"/>
    <s v="Vande Velde, Lucie"/>
    <x v="58"/>
    <x v="5"/>
    <n v="2"/>
  </r>
  <r>
    <s v="Sabah"/>
    <s v="Abdulkader"/>
    <n v="37509"/>
    <s v="chauffeur Bus &amp; Tram"/>
    <s v="Van Der Beken, Bart"/>
    <x v="59"/>
    <x v="5"/>
    <n v="2"/>
  </r>
  <r>
    <s v="Willy"/>
    <s v="Oosterlinck"/>
    <n v="37496"/>
    <s v="chauffeur Bus &amp; Tram"/>
    <s v="De Clercq, Dominique"/>
    <x v="60"/>
    <x v="5"/>
    <n v="2"/>
  </r>
  <r>
    <s v="Bilgehan"/>
    <s v="Öztürk"/>
    <n v="37543"/>
    <s v="chauffeur Bus"/>
    <s v="De Rick, Kenneth"/>
    <x v="61"/>
    <x v="5"/>
    <n v="2"/>
  </r>
  <r>
    <s v="Steve"/>
    <s v="Van Rentergem"/>
    <n v="36289"/>
    <s v="chauffeur Bus &amp; Tram"/>
    <s v="Vanhoe, Els"/>
    <x v="62"/>
    <x v="6"/>
    <n v="2"/>
  </r>
  <r>
    <s v="Birol"/>
    <s v="Agil"/>
    <n v="36438"/>
    <s v="chauffeur Bus &amp; Tram"/>
    <s v="Van Der Beken, Bart"/>
    <x v="63"/>
    <x v="6"/>
    <n v="3"/>
  </r>
  <r>
    <s v="Branco"/>
    <s v="Van Herreweghe"/>
    <n v="36512"/>
    <s v="chauffeur Bus &amp; Tram"/>
    <s v="Storm, Steven"/>
    <x v="64"/>
    <x v="6"/>
    <n v="2"/>
  </r>
  <r>
    <s v="Husam"/>
    <s v="Fadel"/>
    <n v="36635"/>
    <s v="chauffeur Bus &amp; Tram"/>
    <s v="De Rick, Kenneth"/>
    <x v="65"/>
    <x v="6"/>
    <n v="2"/>
  </r>
  <r>
    <s v="David"/>
    <s v="Dobbelaere"/>
    <n v="36627"/>
    <s v="chauffeur Bus &amp; Tram"/>
    <s v="Dewulf, Els"/>
    <x v="66"/>
    <x v="6"/>
    <n v="2"/>
  </r>
  <r>
    <s v="Kadir"/>
    <s v="Kartal"/>
    <n v="36626"/>
    <s v="chauffeur Bus &amp; Tram"/>
    <s v="Dewulf, Els"/>
    <x v="67"/>
    <x v="6"/>
    <n v="2"/>
  </r>
  <r>
    <s v="Ako"/>
    <s v="Minbari"/>
    <n v="35397"/>
    <s v="chauffeur Bus &amp; Tram"/>
    <s v="Vande Velde, Lucie"/>
    <x v="68"/>
    <x v="7"/>
    <n v="2"/>
  </r>
  <r>
    <s v="Zakaria"/>
    <s v="Toubadie"/>
    <n v="35491"/>
    <s v="chauffeur Bus"/>
    <s v="Vanhoe, Els"/>
    <x v="69"/>
    <x v="7"/>
    <n v="2"/>
  </r>
  <r>
    <s v="Frederik"/>
    <s v="Boelaert"/>
    <n v="36021"/>
    <s v="chauffeur Bus"/>
    <s v="Vande Velde, Lucie"/>
    <x v="70"/>
    <x v="7"/>
    <n v="2"/>
  </r>
  <r>
    <s v="Glenn"/>
    <s v="Smesman"/>
    <n v="35588"/>
    <s v="chauffeur Bus &amp; Tram"/>
    <s v="Vande Velde, Lucie"/>
    <x v="71"/>
    <x v="7"/>
    <n v="2"/>
  </r>
  <r>
    <s v="Özgur"/>
    <s v="Özer"/>
    <n v="32611"/>
    <s v="chauffeur Bus &amp; Tram"/>
    <s v="De Rick, Kenneth"/>
    <x v="72"/>
    <x v="14"/>
    <n v="2"/>
  </r>
  <r>
    <s v="Elias"/>
    <s v="Saey"/>
    <n v="32620"/>
    <s v="chauffeur Bus &amp; Tram"/>
    <s v="Vanhoe, Els"/>
    <x v="73"/>
    <x v="14"/>
    <n v="2"/>
  </r>
  <r>
    <s v="Helmi"/>
    <s v="Hasni"/>
    <n v="32002"/>
    <s v="chauffeur Bus &amp; Tram"/>
    <s v="Storm, Steven"/>
    <x v="74"/>
    <x v="15"/>
    <n v="2"/>
  </r>
  <r>
    <s v="Fatih"/>
    <s v="Simsek"/>
    <n v="31360"/>
    <s v="chauffeur Bus &amp; Tram"/>
    <s v="De Clercq, Dominique"/>
    <x v="75"/>
    <x v="15"/>
    <n v="2"/>
  </r>
  <r>
    <s v="Maurice"/>
    <s v="Weemhof"/>
    <n v="31668"/>
    <s v="chauffeur Bus"/>
    <s v="De Clercq, Dominique"/>
    <x v="76"/>
    <x v="15"/>
    <n v="2"/>
  </r>
  <r>
    <s v="Michiel"/>
    <s v="De Sutter"/>
    <n v="31118"/>
    <s v="chauffeur Bus"/>
    <s v="Dewulf, Els"/>
    <x v="77"/>
    <x v="16"/>
    <n v="2"/>
  </r>
  <r>
    <s v="Fatih"/>
    <s v="Taser"/>
    <n v="30967"/>
    <s v="chauffeur Bus &amp; Tram"/>
    <s v="De Clercq, Dominique"/>
    <x v="78"/>
    <x v="16"/>
    <n v="2"/>
  </r>
  <r>
    <s v="Osmane"/>
    <s v="Gassa"/>
    <n v="28910"/>
    <s v="chauffeur Bus"/>
    <s v="Van Der Beken, Bart"/>
    <x v="79"/>
    <x v="9"/>
    <n v="2"/>
  </r>
  <r>
    <s v="Steven"/>
    <s v="Meyvaert"/>
    <n v="27209"/>
    <s v="chauffeur Bus &amp; Tram"/>
    <s v="Dewulf, Els"/>
    <x v="80"/>
    <x v="17"/>
    <n v="2"/>
  </r>
  <r>
    <s v="Mossa"/>
    <s v="Toubadie"/>
    <n v="26960"/>
    <s v="chauffeur Bus"/>
    <s v="Vanhoe, Els"/>
    <x v="81"/>
    <x v="18"/>
    <n v="2"/>
  </r>
  <r>
    <s v="Serge"/>
    <s v="Vanrenterghem"/>
    <n v="25679"/>
    <s v="chauffeur Bus &amp; Tram"/>
    <s v="Rotty, Christoff"/>
    <x v="82"/>
    <x v="10"/>
    <n v="2"/>
  </r>
  <r>
    <s v="Abdullah"/>
    <s v="Simsek"/>
    <n v="25733"/>
    <s v="chauffeur Tram"/>
    <s v="Vanhoe, Els"/>
    <x v="83"/>
    <x v="10"/>
    <n v="2"/>
  </r>
  <r>
    <s v="Bernard"/>
    <s v="D'Haeyere"/>
    <n v="23918"/>
    <s v="chauffeur Bus"/>
    <s v="Vanhoe, Els"/>
    <x v="84"/>
    <x v="19"/>
    <n v="2"/>
  </r>
  <r>
    <s v="Jethro"/>
    <s v="Verstichel"/>
    <n v="21424"/>
    <s v="chauffeur Bus &amp; Tram"/>
    <s v="Dewulf, Els"/>
    <x v="85"/>
    <x v="11"/>
    <n v="2"/>
  </r>
  <r>
    <s v="Marius"/>
    <s v="Mestdag"/>
    <n v="20653"/>
    <s v="lijnverantwoordelijke Tram"/>
    <s v="Van Der Beken, Bart"/>
    <x v="86"/>
    <x v="11"/>
    <n v="2"/>
  </r>
  <r>
    <s v="Kadir"/>
    <s v="Odaci"/>
    <n v="19249"/>
    <s v="chauffeur Bus &amp; Tram"/>
    <s v="Vande Velde, Lucie"/>
    <x v="87"/>
    <x v="2"/>
    <n v="2"/>
  </r>
  <r>
    <s v="Frank"/>
    <s v="Dhondt"/>
    <n v="15412"/>
    <s v="lijnverantwoordelijke"/>
    <s v="Van Der Beken, Bart"/>
    <x v="88"/>
    <x v="20"/>
    <n v="2"/>
  </r>
  <r>
    <s v="Martine"/>
    <s v="Van Den Bossche"/>
    <n v="12684"/>
    <s v="chauffeur Bus"/>
    <s v="Vanhoe, Els"/>
    <x v="89"/>
    <x v="21"/>
    <n v="2"/>
  </r>
  <r>
    <s v="Freddy"/>
    <s v="Baert"/>
    <n v="11236"/>
    <s v="lijnverantwoordelijke"/>
    <s v="Van Der Beken, Bart"/>
    <x v="90"/>
    <x v="22"/>
    <n v="2"/>
  </r>
  <r>
    <s v="Abdullah"/>
    <s v="Momand"/>
    <n v="39928"/>
    <s v="chauffeur Bus"/>
    <s v="Van Der Beken, Bart"/>
    <x v="91"/>
    <x v="1"/>
    <n v="1"/>
  </r>
  <r>
    <s v="Tim"/>
    <s v="Van Huffel"/>
    <n v="41348"/>
    <s v="chauffeur Bus"/>
    <s v="Rotty, Christoff"/>
    <x v="92"/>
    <x v="1"/>
    <n v="1"/>
  </r>
  <r>
    <s v="Tony"/>
    <s v="De Pauw"/>
    <n v="41383"/>
    <s v="chauffeur Bus"/>
    <s v="Vanhoe, Els"/>
    <x v="11"/>
    <x v="1"/>
    <n v="1"/>
  </r>
  <r>
    <s v="Salem"/>
    <s v="Hasan"/>
    <n v="41671"/>
    <s v="chauffeur Bus"/>
    <s v="Van Der Beken, Bart"/>
    <x v="93"/>
    <x v="1"/>
    <n v="1"/>
  </r>
  <r>
    <s v="Kelly"/>
    <s v="Van de Winckel"/>
    <n v="41690"/>
    <s v="chauffeur Bus"/>
    <s v="Dewulf, Els"/>
    <x v="93"/>
    <x v="1"/>
    <n v="1"/>
  </r>
  <r>
    <s v="Fazal"/>
    <s v="Ghani"/>
    <n v="41710"/>
    <s v="chauffeur Bus"/>
    <s v="Vanhoe, Els"/>
    <x v="12"/>
    <x v="1"/>
    <n v="1"/>
  </r>
  <r>
    <s v="Philippe"/>
    <s v="Nolf"/>
    <n v="41721"/>
    <s v="chauffeur Bus"/>
    <s v="De Rick, Kenneth"/>
    <x v="35"/>
    <x v="1"/>
    <n v="1"/>
  </r>
  <r>
    <s v="Nick"/>
    <s v="Diels"/>
    <n v="41786"/>
    <s v="chauffeur Bus"/>
    <s v="Rotty, Christoff"/>
    <x v="94"/>
    <x v="1"/>
    <n v="1"/>
  </r>
  <r>
    <s v="Ramazan"/>
    <s v="Palit"/>
    <n v="41859"/>
    <s v="voertuigvoorbereider"/>
    <s v="Stubbe, Jarne"/>
    <x v="93"/>
    <x v="1"/>
    <n v="1"/>
  </r>
  <r>
    <s v="Yannick"/>
    <s v="Goossens"/>
    <n v="41870"/>
    <s v="chauffeur Bus"/>
    <s v="Storm, Steven"/>
    <x v="36"/>
    <x v="1"/>
    <n v="1"/>
  </r>
  <r>
    <s v="Bjorn"/>
    <s v="De Rammelaere"/>
    <n v="41888"/>
    <s v="chauffeur Bus"/>
    <s v="De Rick, Kenneth"/>
    <x v="37"/>
    <x v="1"/>
    <n v="1"/>
  </r>
  <r>
    <s v="Saber"/>
    <s v="Babai"/>
    <n v="41918"/>
    <s v="chauffeur Bus"/>
    <s v="Rotty, Christoff"/>
    <x v="37"/>
    <x v="1"/>
    <n v="1"/>
  </r>
  <r>
    <s v="Alexander"/>
    <s v="Crop"/>
    <n v="42015"/>
    <s v="chauffeur Bus"/>
    <s v="Vanhoe, Els"/>
    <x v="37"/>
    <x v="1"/>
    <n v="1"/>
  </r>
  <r>
    <s v="Karim"/>
    <s v="El Gana"/>
    <n v="42044"/>
    <s v="chauffeur Bus"/>
    <s v="De Clercq, Dominique"/>
    <x v="95"/>
    <x v="1"/>
    <n v="1"/>
  </r>
  <r>
    <s v="Othman"/>
    <s v="Ahmad"/>
    <n v="42082"/>
    <s v="chauffeur Bus"/>
    <s v="De Clercq, Dominique"/>
    <x v="96"/>
    <x v="1"/>
    <n v="1"/>
  </r>
  <r>
    <s v="Dylan"/>
    <s v="De Bruycker"/>
    <n v="42120"/>
    <s v="chauffeur Bus"/>
    <s v="De Rick, Kenneth"/>
    <x v="97"/>
    <x v="1"/>
    <n v="1"/>
  </r>
  <r>
    <s v="Christ"/>
    <s v="Rahoens"/>
    <n v="42143"/>
    <s v="chauffeur Bus"/>
    <s v="Van Der Beken, Bart"/>
    <x v="98"/>
    <x v="1"/>
    <n v="1"/>
  </r>
  <r>
    <s v="Metehan"/>
    <s v="Özer"/>
    <n v="42218"/>
    <s v="chauffeur Bus"/>
    <s v="Dewulf, Els"/>
    <x v="2"/>
    <x v="1"/>
    <n v="1"/>
  </r>
  <r>
    <s v="Stephan"/>
    <s v="Bontinck"/>
    <n v="42249"/>
    <s v="chauffeur Bus"/>
    <s v="De Rick, Kenneth"/>
    <x v="2"/>
    <x v="1"/>
    <n v="1"/>
  </r>
  <r>
    <s v="Ender"/>
    <s v="Güler"/>
    <n v="42277"/>
    <s v="chauffeur Bus"/>
    <s v="De Clercq, Dominique"/>
    <x v="99"/>
    <x v="1"/>
    <n v="1"/>
  </r>
  <r>
    <s v="Furkan"/>
    <s v="Camgöz"/>
    <n v="42336"/>
    <s v="chauffeur Bus"/>
    <s v="Vande Velde, Lucie"/>
    <x v="99"/>
    <x v="1"/>
    <n v="1"/>
  </r>
  <r>
    <s v="Geoffrey"/>
    <s v="Martens"/>
    <n v="29674"/>
    <s v="chauffeur Bus &amp; Tram"/>
    <s v="De Clercq, Dominique"/>
    <x v="100"/>
    <x v="0"/>
    <n v="1"/>
  </r>
  <r>
    <s v="Mukhamed"/>
    <s v="Dolgiev"/>
    <n v="39831"/>
    <s v="chauffeur Bus"/>
    <s v="Dewulf, Els"/>
    <x v="39"/>
    <x v="0"/>
    <n v="1"/>
  </r>
  <r>
    <s v="Izmir"/>
    <s v="Basha"/>
    <n v="39901"/>
    <s v="chauffeur Bus"/>
    <s v="Rotty, Christoff"/>
    <x v="101"/>
    <x v="0"/>
    <n v="1"/>
  </r>
  <r>
    <s v="Eydzhan"/>
    <s v="Salimova"/>
    <n v="40393"/>
    <s v="chauffeur Bus"/>
    <s v="De Clercq, Dominique"/>
    <x v="102"/>
    <x v="0"/>
    <n v="1"/>
  </r>
  <r>
    <s v="Mahmoud"/>
    <s v="Fakash"/>
    <n v="40443"/>
    <s v="chauffeur Bus"/>
    <s v="Van Der Beken, Bart"/>
    <x v="102"/>
    <x v="0"/>
    <n v="1"/>
  </r>
  <r>
    <s v="Glenn"/>
    <s v="Van Damme"/>
    <n v="40444"/>
    <s v="chauffeur Bus"/>
    <s v="Dewulf, Els"/>
    <x v="102"/>
    <x v="0"/>
    <n v="1"/>
  </r>
  <r>
    <s v="Ivan"/>
    <s v="Ivanov"/>
    <n v="40745"/>
    <s v="chauffeur Bus"/>
    <s v="Van Der Beken, Bart"/>
    <x v="103"/>
    <x v="0"/>
    <n v="1"/>
  </r>
  <r>
    <s v="Cagri"/>
    <s v="Sogut"/>
    <n v="41007"/>
    <s v="voertuigvoorbereider"/>
    <s v="Stubbe, Jarne"/>
    <x v="9"/>
    <x v="0"/>
    <n v="1"/>
  </r>
  <r>
    <s v="Sekandar"/>
    <s v="Shah"/>
    <n v="41101"/>
    <s v="chauffeur Bus"/>
    <s v="De Clercq, Dominique"/>
    <x v="104"/>
    <x v="0"/>
    <n v="1"/>
  </r>
  <r>
    <s v="Dirk"/>
    <s v="De smet"/>
    <n v="41137"/>
    <s v="chauffeur Bus"/>
    <s v="De Clercq, Dominique"/>
    <x v="105"/>
    <x v="0"/>
    <n v="1"/>
  </r>
  <r>
    <s v="Serkan"/>
    <s v="Demirkaya"/>
    <n v="39829"/>
    <s v="chauffeur Bus"/>
    <s v="Vande Velde, Lucie"/>
    <x v="39"/>
    <x v="0"/>
    <n v="1"/>
  </r>
  <r>
    <s v="Elos"/>
    <s v="Jacobs"/>
    <n v="39858"/>
    <s v="chauffeur Bus"/>
    <s v="Dewulf, Els"/>
    <x v="39"/>
    <x v="0"/>
    <n v="1"/>
  </r>
  <r>
    <s v="Jordy"/>
    <s v="De Wilde"/>
    <n v="39927"/>
    <s v="chauffeur Bus &amp; Tram"/>
    <s v="Rotty, Christoff"/>
    <x v="101"/>
    <x v="0"/>
    <n v="1"/>
  </r>
  <r>
    <s v="Philip"/>
    <s v="Bernaerts"/>
    <n v="40005"/>
    <s v="chauffeur Bus"/>
    <s v="Rotty, Christoff"/>
    <x v="101"/>
    <x v="0"/>
    <n v="2"/>
  </r>
  <r>
    <s v="Oguz"/>
    <s v="Karakaya"/>
    <n v="40036"/>
    <s v="chauffeur Bus"/>
    <s v="De Clercq, Dominique"/>
    <x v="46"/>
    <x v="0"/>
    <n v="1"/>
  </r>
  <r>
    <s v="Oday"/>
    <s v="Abulehia"/>
    <n v="41296"/>
    <s v="chauffeur Bus"/>
    <s v="Rotty, Christoff"/>
    <x v="104"/>
    <x v="0"/>
    <n v="2"/>
  </r>
  <r>
    <s v="Malek"/>
    <s v="Almohammad"/>
    <n v="38555"/>
    <s v="chauffeur Bus &amp; Tram"/>
    <s v="Vanhoe, Els"/>
    <x v="106"/>
    <x v="4"/>
    <n v="1"/>
  </r>
  <r>
    <s v="Samet"/>
    <s v="Smajla"/>
    <n v="38580"/>
    <s v="chauffeur Bus"/>
    <s v="Dewulf, Els"/>
    <x v="107"/>
    <x v="4"/>
    <n v="1"/>
  </r>
  <r>
    <s v="Samir"/>
    <s v="Ben Sidhom"/>
    <n v="38731"/>
    <s v="chauffeur Bus"/>
    <s v="Rotty, Christoff"/>
    <x v="108"/>
    <x v="4"/>
    <n v="1"/>
  </r>
  <r>
    <s v="Jens"/>
    <s v="Van Holsbeeck"/>
    <n v="39267"/>
    <s v="chauffeur Bus &amp; Tram"/>
    <s v="Rotty, Christoff"/>
    <x v="109"/>
    <x v="4"/>
    <n v="1"/>
  </r>
  <r>
    <s v="Joey"/>
    <s v="Tacq"/>
    <n v="39677"/>
    <s v="chauffeur Bus"/>
    <s v="De Rick, Kenneth"/>
    <x v="22"/>
    <x v="4"/>
    <n v="1"/>
  </r>
  <r>
    <s v="Christof"/>
    <s v="Byosière"/>
    <n v="23700"/>
    <s v="chauffeur Bus"/>
    <s v="De Clercq, Dominique"/>
    <x v="110"/>
    <x v="4"/>
    <n v="1"/>
  </r>
  <r>
    <s v="Mohammed"/>
    <s v="Bensalah"/>
    <n v="39379"/>
    <s v="chauffeur Bus &amp; Tram"/>
    <s v="Rotty, Christoff"/>
    <x v="54"/>
    <x v="4"/>
    <n v="1"/>
  </r>
  <r>
    <s v="Cedric"/>
    <s v="De Groote"/>
    <n v="39558"/>
    <s v="chauffeur Bus"/>
    <s v="Storm, Steven"/>
    <x v="20"/>
    <x v="4"/>
    <n v="1"/>
  </r>
  <r>
    <s v="Lisandro Javier"/>
    <s v="Camacho Encarnacion"/>
    <n v="39654"/>
    <s v="chauffeur Bus"/>
    <s v="De Rick, Kenneth"/>
    <x v="22"/>
    <x v="4"/>
    <n v="1"/>
  </r>
  <r>
    <s v="Baki"/>
    <s v="Nohut"/>
    <n v="39728"/>
    <s v="chauffeur Bus"/>
    <s v="Vande Velde, Lucie"/>
    <x v="56"/>
    <x v="4"/>
    <n v="1"/>
  </r>
  <r>
    <s v="Devrim"/>
    <s v="Sari"/>
    <n v="38481"/>
    <s v="chauffeur Bus"/>
    <s v="De Rick, Kenneth"/>
    <x v="50"/>
    <x v="4"/>
    <n v="1"/>
  </r>
  <r>
    <s v="Zouhir"/>
    <s v="Asskale"/>
    <n v="38634"/>
    <s v="chauffeur Bus &amp; Tram"/>
    <s v="Van Der Beken, Bart"/>
    <x v="111"/>
    <x v="4"/>
    <n v="1"/>
  </r>
  <r>
    <s v="Selahattin"/>
    <s v="Basgurboga"/>
    <n v="38688"/>
    <s v="chauffeur Bus"/>
    <s v="Dewulf, Els"/>
    <x v="19"/>
    <x v="4"/>
    <n v="1"/>
  </r>
  <r>
    <s v="Eyuphan"/>
    <s v="Sancak"/>
    <n v="38931"/>
    <s v="chauffeur Bus"/>
    <s v="Van Der Beken, Bart"/>
    <x v="112"/>
    <x v="4"/>
    <n v="1"/>
  </r>
  <r>
    <s v="Plamen"/>
    <s v="Mihaylov"/>
    <n v="39528"/>
    <s v="chauffeur Bus"/>
    <s v="Rotty, Christoff"/>
    <x v="21"/>
    <x v="4"/>
    <n v="1"/>
  </r>
  <r>
    <s v="Ramazan"/>
    <s v="Repaj"/>
    <n v="39712"/>
    <s v="chauffeur Bus"/>
    <s v="Van Der Beken, Bart"/>
    <x v="21"/>
    <x v="4"/>
    <n v="1"/>
  </r>
  <r>
    <s v="Mathyn"/>
    <s v="Eid"/>
    <n v="34325"/>
    <s v="chauffeur Bus &amp; Tram"/>
    <s v="Storm, Steven"/>
    <x v="113"/>
    <x v="4"/>
    <n v="1"/>
  </r>
  <r>
    <s v="Jan"/>
    <s v="Huyghe"/>
    <n v="38529"/>
    <s v="chauffeur Bus &amp; Tram"/>
    <s v="Dewulf, Els"/>
    <x v="114"/>
    <x v="4"/>
    <n v="1"/>
  </r>
  <r>
    <s v="Jens"/>
    <s v="Wasen"/>
    <n v="38808"/>
    <s v="chauffeur Bus"/>
    <s v="Dewulf, Els"/>
    <x v="115"/>
    <x v="4"/>
    <n v="1"/>
  </r>
  <r>
    <s v="Gökhan"/>
    <s v="Catar"/>
    <n v="37208"/>
    <s v="chauffeur Bus &amp; Tram"/>
    <s v="De Rick, Kenneth"/>
    <x v="116"/>
    <x v="5"/>
    <n v="1"/>
  </r>
  <r>
    <s v="Dominique"/>
    <s v="Blondeel"/>
    <n v="37222"/>
    <s v="chauffeur Bus"/>
    <s v="Vande Velde, Lucie"/>
    <x v="57"/>
    <x v="5"/>
    <n v="1"/>
  </r>
  <r>
    <s v="Frank"/>
    <s v="De Lange"/>
    <n v="37744"/>
    <s v="chauffeur Bus &amp; Tram"/>
    <s v="De Clercq, Dominique"/>
    <x v="117"/>
    <x v="5"/>
    <n v="1"/>
  </r>
  <r>
    <s v="Michael"/>
    <s v="Vandenberghe"/>
    <n v="37908"/>
    <s v="chauffeur Bus"/>
    <s v="Storm, Steven"/>
    <x v="118"/>
    <x v="5"/>
    <n v="1"/>
  </r>
  <r>
    <s v="Isa"/>
    <s v="Simsek"/>
    <n v="38035"/>
    <s v="chauffeur Bus"/>
    <s v="Van Der Beken, Bart"/>
    <x v="119"/>
    <x v="5"/>
    <n v="1"/>
  </r>
  <r>
    <s v="Muhammad Salman"/>
    <s v="Bashir"/>
    <n v="37179"/>
    <s v="chauffeur Bus &amp; Tram"/>
    <s v="Van Der Beken, Bart"/>
    <x v="120"/>
    <x v="5"/>
    <n v="1"/>
  </r>
  <r>
    <s v="Rayan"/>
    <s v="Coulon"/>
    <n v="37254"/>
    <s v="chauffeur Bus &amp; Tram"/>
    <s v="De Rick, Kenneth"/>
    <x v="121"/>
    <x v="5"/>
    <n v="2"/>
  </r>
  <r>
    <s v="Alexander"/>
    <s v="Detaeye"/>
    <n v="37936"/>
    <s v="chauffeur Bus"/>
    <s v="Storm, Steven"/>
    <x v="119"/>
    <x v="5"/>
    <n v="1"/>
  </r>
  <r>
    <s v="Kenny"/>
    <s v="Sturtewagen"/>
    <n v="37809"/>
    <s v="chauffeur Bus"/>
    <s v="Storm, Steven"/>
    <x v="122"/>
    <x v="5"/>
    <n v="1"/>
  </r>
  <r>
    <s v="Bruno"/>
    <s v="De Naegel"/>
    <n v="37950"/>
    <s v="chauffeur Bus"/>
    <s v="De Clercq, Dominique"/>
    <x v="122"/>
    <x v="5"/>
    <n v="1"/>
  </r>
  <r>
    <s v="Mustafa"/>
    <s v="Demirkazik"/>
    <n v="37439"/>
    <s v="chauffeur Bus &amp; Tram"/>
    <s v="De Rick, Kenneth"/>
    <x v="58"/>
    <x v="5"/>
    <n v="1"/>
  </r>
  <r>
    <s v="Hans"/>
    <s v="De Tandt"/>
    <n v="37542"/>
    <s v="chauffeur Bus &amp; Tram"/>
    <s v="Van Der Beken, Bart"/>
    <x v="61"/>
    <x v="5"/>
    <n v="1"/>
  </r>
  <r>
    <s v="Sven"/>
    <s v="De Clercq"/>
    <n v="36154"/>
    <s v="chauffeur Tram"/>
    <s v="Vande Velde, Lucie"/>
    <x v="123"/>
    <x v="6"/>
    <n v="1"/>
  </r>
  <r>
    <s v="Ruben"/>
    <s v="De Lange"/>
    <n v="36505"/>
    <s v="chauffeur Bus &amp; Tram"/>
    <s v="De Rick, Kenneth"/>
    <x v="64"/>
    <x v="6"/>
    <n v="1"/>
  </r>
  <r>
    <s v="Martine"/>
    <s v="De Smet"/>
    <n v="36577"/>
    <s v="chauffeur Bus"/>
    <s v="Dewulf, Els"/>
    <x v="67"/>
    <x v="6"/>
    <n v="1"/>
  </r>
  <r>
    <s v="Philip"/>
    <s v="Haché"/>
    <n v="36820"/>
    <s v="chauffeur Bus"/>
    <s v="Storm, Steven"/>
    <x v="124"/>
    <x v="6"/>
    <n v="1"/>
  </r>
  <r>
    <s v="Ismaïl"/>
    <s v="Unver"/>
    <n v="30321"/>
    <s v="chauffeur Bus &amp; Tram"/>
    <s v="De Rick, Kenneth"/>
    <x v="125"/>
    <x v="6"/>
    <n v="1"/>
  </r>
  <r>
    <s v="Elise"/>
    <s v="De Nys"/>
    <n v="36358"/>
    <s v="chauffeur Bus &amp; Tram"/>
    <s v="Dewulf, Els"/>
    <x v="126"/>
    <x v="6"/>
    <n v="2"/>
  </r>
  <r>
    <s v="Sandra"/>
    <s v="De Staercke"/>
    <n v="36559"/>
    <s v="chauffeur Bus &amp; Tram"/>
    <s v="De Rick, Kenneth"/>
    <x v="27"/>
    <x v="6"/>
    <n v="1"/>
  </r>
  <r>
    <s v="Kurt"/>
    <s v="De Meulenaere"/>
    <n v="36624"/>
    <s v="chauffeur Bus"/>
    <s v="De Clercq, Dominique"/>
    <x v="127"/>
    <x v="6"/>
    <n v="1"/>
  </r>
  <r>
    <s v="Mehmet"/>
    <s v="Coban"/>
    <n v="35216"/>
    <s v="chauffeur Bus &amp; Tram"/>
    <s v="Vande Velde, Lucie"/>
    <x v="128"/>
    <x v="7"/>
    <n v="1"/>
  </r>
  <r>
    <s v="Brisco Romeo"/>
    <s v="Nguetto"/>
    <n v="35490"/>
    <s v="chauffeur Bus"/>
    <s v="Storm, Steven"/>
    <x v="69"/>
    <x v="7"/>
    <n v="1"/>
  </r>
  <r>
    <s v="Mahmoud"/>
    <s v="Razzaz"/>
    <n v="35495"/>
    <s v="chauffeur Bus &amp; Tram"/>
    <s v="De Rick, Kenneth"/>
    <x v="69"/>
    <x v="7"/>
    <n v="1"/>
  </r>
  <r>
    <s v="Zouheir"/>
    <s v="El Mezroui"/>
    <n v="35619"/>
    <s v="chauffeur Bus &amp; Tram"/>
    <s v="Storm, Steven"/>
    <x v="129"/>
    <x v="7"/>
    <n v="1"/>
  </r>
  <r>
    <s v="Karel"/>
    <s v="De Meyer"/>
    <n v="35246"/>
    <s v="chauffeur Bus &amp; Tram"/>
    <s v="Vanhoe, Els"/>
    <x v="130"/>
    <x v="7"/>
    <n v="1"/>
  </r>
  <r>
    <s v="Sam"/>
    <s v="Engels"/>
    <n v="35379"/>
    <s v="chauffeur Bus &amp; Tram"/>
    <s v="Vanhoe, Els"/>
    <x v="131"/>
    <x v="7"/>
    <n v="2"/>
  </r>
  <r>
    <s v="Heidi"/>
    <s v="Limbourg"/>
    <n v="35395"/>
    <s v="chauffeur Tram"/>
    <s v="Storm, Steven"/>
    <x v="132"/>
    <x v="7"/>
    <n v="1"/>
  </r>
  <r>
    <s v="Dirk"/>
    <s v="Vlaminck"/>
    <n v="35430"/>
    <s v="chauffeur Bus"/>
    <s v="Vanhoe, Els"/>
    <x v="133"/>
    <x v="7"/>
    <n v="1"/>
  </r>
  <r>
    <s v="Hugo"/>
    <s v="Roos"/>
    <n v="35450"/>
    <s v="chauffeur Bus"/>
    <s v="Dewulf, Els"/>
    <x v="134"/>
    <x v="7"/>
    <n v="1"/>
  </r>
  <r>
    <s v="Tom"/>
    <s v="Vandaele"/>
    <n v="35463"/>
    <s v="chauffeur Bus &amp; Tram"/>
    <s v="De Clercq, Dominique"/>
    <x v="69"/>
    <x v="7"/>
    <n v="1"/>
  </r>
  <r>
    <s v="Patrick"/>
    <s v="Verschraegen"/>
    <n v="33640"/>
    <s v="chauffeur Bus"/>
    <s v="Storm, Steven"/>
    <x v="135"/>
    <x v="23"/>
    <n v="1"/>
  </r>
  <r>
    <s v="Tom"/>
    <s v="Hoste"/>
    <n v="34019"/>
    <s v="lijnverantwoordelijke"/>
    <s v="Rotty, Christoff"/>
    <x v="136"/>
    <x v="23"/>
    <n v="1"/>
  </r>
  <r>
    <s v="Patrik"/>
    <s v="Holub"/>
    <n v="33488"/>
    <s v="chauffeur Bus"/>
    <s v="Vanhoe, Els"/>
    <x v="137"/>
    <x v="23"/>
    <n v="1"/>
  </r>
  <r>
    <s v="Toby"/>
    <s v="Pelfrene"/>
    <n v="34198"/>
    <s v="chauffeur Bus &amp; Tram"/>
    <s v="Vanhoe, Els"/>
    <x v="138"/>
    <x v="23"/>
    <n v="1"/>
  </r>
  <r>
    <s v="Cynthia"/>
    <s v="Petit"/>
    <n v="33400"/>
    <s v="chauffeur Bus &amp; Tram"/>
    <s v="Rotty, Christoff"/>
    <x v="139"/>
    <x v="23"/>
    <n v="2"/>
  </r>
  <r>
    <s v="Dieter"/>
    <s v="Callant"/>
    <n v="34351"/>
    <s v="chauffeur Bus &amp; Tram"/>
    <s v="Vanhoe, Els"/>
    <x v="140"/>
    <x v="23"/>
    <n v="1"/>
  </r>
  <r>
    <s v="Muharrem"/>
    <s v="Göktas"/>
    <n v="33986"/>
    <s v="chauffeur Bus &amp; Tram"/>
    <s v="De Rick, Kenneth"/>
    <x v="141"/>
    <x v="23"/>
    <n v="1"/>
  </r>
  <r>
    <s v="Jürgen"/>
    <s v="Kerremans"/>
    <n v="34328"/>
    <s v="chauffeur Tram"/>
    <s v="De Rick, Kenneth"/>
    <x v="140"/>
    <x v="23"/>
    <n v="1"/>
  </r>
  <r>
    <s v="Illya"/>
    <s v="Wulleput"/>
    <n v="34445"/>
    <s v="chauffeur Bus &amp; Tram"/>
    <s v="De Clercq, Dominique"/>
    <x v="142"/>
    <x v="23"/>
    <n v="1"/>
  </r>
  <r>
    <s v="Bianca"/>
    <s v="Verlinden"/>
    <n v="32245"/>
    <s v="chauffeur Bus &amp; Tram"/>
    <s v="Vanhoe, Els"/>
    <x v="143"/>
    <x v="14"/>
    <n v="1"/>
  </r>
  <r>
    <s v="Abdelhak"/>
    <s v="Benjilali"/>
    <n v="32528"/>
    <s v="chauffeur Bus"/>
    <s v="Storm, Steven"/>
    <x v="144"/>
    <x v="14"/>
    <n v="1"/>
  </r>
  <r>
    <s v="Herman"/>
    <s v="Meersman"/>
    <n v="32387"/>
    <s v="chauffeur Bus &amp; Tram"/>
    <s v="Storm, Steven"/>
    <x v="145"/>
    <x v="14"/>
    <n v="2"/>
  </r>
  <r>
    <s v="Sonia"/>
    <s v="De Bruyne"/>
    <n v="32951"/>
    <s v="chauffeur Bus"/>
    <s v="Vande Velde, Lucie"/>
    <x v="146"/>
    <x v="14"/>
    <n v="1"/>
  </r>
  <r>
    <s v="Ömer"/>
    <s v="Kirsan"/>
    <n v="31634"/>
    <s v="chauffeur Bus &amp; Tram"/>
    <s v="Vanhoe, Els"/>
    <x v="147"/>
    <x v="15"/>
    <n v="1"/>
  </r>
  <r>
    <s v="Steve"/>
    <s v="Famelaer"/>
    <n v="31776"/>
    <s v="chauffeur Bus &amp; Tram"/>
    <s v="De Clercq, Dominique"/>
    <x v="148"/>
    <x v="15"/>
    <n v="1"/>
  </r>
  <r>
    <s v="Ercan"/>
    <s v="Köroglu"/>
    <n v="32091"/>
    <s v="chauffeur Bus &amp; Tram"/>
    <s v="De Rick, Kenneth"/>
    <x v="149"/>
    <x v="15"/>
    <n v="1"/>
  </r>
  <r>
    <s v="Tom"/>
    <s v="Mertens"/>
    <n v="31600"/>
    <s v="chauffeur Bus &amp; Tram"/>
    <s v="Dewulf, Els"/>
    <x v="150"/>
    <x v="15"/>
    <n v="1"/>
  </r>
  <r>
    <s v="Mohamed Ali"/>
    <s v="Oueslati"/>
    <n v="31150"/>
    <s v="chauffeur Bus &amp; Tram"/>
    <s v="De Rick, Kenneth"/>
    <x v="151"/>
    <x v="16"/>
    <n v="1"/>
  </r>
  <r>
    <s v="Mustafa"/>
    <s v="Gassa"/>
    <n v="30623"/>
    <s v="chauffeur Bus &amp; Tram"/>
    <s v="De Rick, Kenneth"/>
    <x v="152"/>
    <x v="16"/>
    <n v="1"/>
  </r>
  <r>
    <s v="Sandro"/>
    <s v="Govaerts"/>
    <n v="31165"/>
    <s v="chauffeur Bus"/>
    <s v="Vande Velde, Lucie"/>
    <x v="153"/>
    <x v="16"/>
    <n v="1"/>
  </r>
  <r>
    <s v="Dylan"/>
    <s v="Colaes"/>
    <n v="31231"/>
    <s v="chauffeur Bus &amp; Tram"/>
    <s v="Vanhoe, Els"/>
    <x v="154"/>
    <x v="16"/>
    <n v="1"/>
  </r>
  <r>
    <s v="Mesut"/>
    <s v="Özer"/>
    <n v="29646"/>
    <s v="chauffeur Bus"/>
    <s v="De Clercq, Dominique"/>
    <x v="155"/>
    <x v="8"/>
    <n v="1"/>
  </r>
  <r>
    <s v="Jeroen"/>
    <s v="Bracke"/>
    <n v="30271"/>
    <s v="lijnverantwoordelijke"/>
    <s v="Dewulf, Els"/>
    <x v="156"/>
    <x v="8"/>
    <n v="1"/>
  </r>
  <r>
    <s v="Tom"/>
    <s v="Haerens"/>
    <n v="30119"/>
    <s v="chauffeur Tram"/>
    <s v="De Clercq, Dominique"/>
    <x v="157"/>
    <x v="8"/>
    <n v="1"/>
  </r>
  <r>
    <s v="Andreas"/>
    <s v="Simons"/>
    <n v="30121"/>
    <s v="chauffeur Bus"/>
    <s v="Rotty, Christoff"/>
    <x v="157"/>
    <x v="8"/>
    <n v="1"/>
  </r>
  <r>
    <s v="Filip"/>
    <s v="Maes"/>
    <n v="29271"/>
    <s v="chauffeur Bus"/>
    <s v="Dewulf, Els"/>
    <x v="158"/>
    <x v="9"/>
    <n v="1"/>
  </r>
  <r>
    <s v="Heike"/>
    <s v="Priwall"/>
    <n v="29478"/>
    <s v="chauffeur Bus &amp; Tram"/>
    <s v="Dewulf, Els"/>
    <x v="159"/>
    <x v="9"/>
    <n v="1"/>
  </r>
  <r>
    <s v="Leonard"/>
    <s v="Olenski"/>
    <n v="27865"/>
    <s v="chauffeur Bus &amp; Tram"/>
    <s v="Dewulf, Els"/>
    <x v="160"/>
    <x v="24"/>
    <n v="1"/>
  </r>
  <r>
    <s v="Veronique"/>
    <s v="Criel"/>
    <n v="27672"/>
    <s v="chauffeur Tram"/>
    <s v="Storm, Steven"/>
    <x v="161"/>
    <x v="17"/>
    <n v="1"/>
  </r>
  <r>
    <s v="Koen"/>
    <s v="Verbanck"/>
    <n v="27673"/>
    <s v="chauffeur Tram"/>
    <s v="Rotty, Christoff"/>
    <x v="161"/>
    <x v="17"/>
    <n v="1"/>
  </r>
  <r>
    <s v="Thibaud"/>
    <s v="Oben"/>
    <n v="27153"/>
    <s v="lijnverantwoordelijke"/>
    <s v="Rotty, Christoff"/>
    <x v="162"/>
    <x v="17"/>
    <n v="1"/>
  </r>
  <r>
    <s v="Osman"/>
    <s v="Kazakbiyev"/>
    <n v="25873"/>
    <s v="chauffeur Bus"/>
    <s v="Vanhoe, Els"/>
    <x v="163"/>
    <x v="18"/>
    <n v="1"/>
  </r>
  <r>
    <s v="Franky"/>
    <s v="Wauters"/>
    <n v="26199"/>
    <s v="chauffeur Tram"/>
    <s v="Vanhoe, Els"/>
    <x v="164"/>
    <x v="18"/>
    <n v="1"/>
  </r>
  <r>
    <s v="Cynthia"/>
    <s v="Bolle"/>
    <n v="26524"/>
    <s v="chauffeur Tram"/>
    <s v="Vanhoe, Els"/>
    <x v="165"/>
    <x v="18"/>
    <n v="1"/>
  </r>
  <r>
    <s v="Wendy"/>
    <s v="Engels"/>
    <n v="26639"/>
    <s v="chauffeur Bus"/>
    <s v="De Rick, Kenneth"/>
    <x v="166"/>
    <x v="18"/>
    <n v="1"/>
  </r>
  <r>
    <s v="Miguel"/>
    <s v="Lippens"/>
    <n v="26695"/>
    <s v="chauffeur Bus &amp; Tram"/>
    <s v="Rotty, Christoff"/>
    <x v="167"/>
    <x v="18"/>
    <n v="1"/>
  </r>
  <r>
    <s v="David"/>
    <s v="De Meester"/>
    <n v="26847"/>
    <s v="chauffeur Tram"/>
    <s v="Van Der Beken, Bart"/>
    <x v="168"/>
    <x v="18"/>
    <n v="2"/>
  </r>
  <r>
    <s v="Pascal"/>
    <s v="Van Semmertier"/>
    <n v="26331"/>
    <s v="chauffeur Bus"/>
    <s v="Van Der Beken, Bart"/>
    <x v="169"/>
    <x v="18"/>
    <n v="1"/>
  </r>
  <r>
    <s v="Roland"/>
    <s v="Hublau"/>
    <n v="26137"/>
    <s v="chauffeur Tram"/>
    <s v="Storm, Steven"/>
    <x v="170"/>
    <x v="18"/>
    <n v="1"/>
  </r>
  <r>
    <s v="Bart"/>
    <s v="Goethals"/>
    <n v="25486"/>
    <s v="chauffeur Bus"/>
    <s v="Rotty, Christoff"/>
    <x v="31"/>
    <x v="10"/>
    <n v="1"/>
  </r>
  <r>
    <s v="Akin"/>
    <s v="Kayim"/>
    <n v="25829"/>
    <s v="chauffeur Tram"/>
    <s v="Storm, Steven"/>
    <x v="171"/>
    <x v="10"/>
    <n v="1"/>
  </r>
  <r>
    <s v="Koen"/>
    <s v="Luttens"/>
    <n v="24155"/>
    <s v="lijnverantwoordelijke Tram"/>
    <s v="Vanhoe, Els"/>
    <x v="172"/>
    <x v="19"/>
    <n v="1"/>
  </r>
  <r>
    <s v="Ali"/>
    <s v="Tayefeh Arbab"/>
    <n v="24367"/>
    <s v="lijnverantwoordelijke"/>
    <s v="Van Der Beken, Bart"/>
    <x v="173"/>
    <x v="19"/>
    <n v="2"/>
  </r>
  <r>
    <s v="Peter"/>
    <s v="Meyvaert"/>
    <n v="22052"/>
    <s v="chauffeur Bus"/>
    <s v="Dewulf, Els"/>
    <x v="174"/>
    <x v="25"/>
    <n v="1"/>
  </r>
  <r>
    <s v="Pascal"/>
    <s v="Pluym"/>
    <n v="22202"/>
    <s v="chauffeur Bus &amp; Tram"/>
    <s v="Storm, Steven"/>
    <x v="175"/>
    <x v="25"/>
    <n v="1"/>
  </r>
  <r>
    <s v="Abdul Kadir"/>
    <s v="Bicici"/>
    <n v="22416"/>
    <s v="chauffeur Tram"/>
    <s v="Rotty, Christoff"/>
    <x v="176"/>
    <x v="25"/>
    <n v="1"/>
  </r>
  <r>
    <s v="Gunther"/>
    <s v="Goossens"/>
    <n v="22877"/>
    <s v="chauffeur Bus"/>
    <s v="Dewulf, Els"/>
    <x v="177"/>
    <x v="25"/>
    <n v="1"/>
  </r>
  <r>
    <s v="Franky"/>
    <s v="Vanderstraeten"/>
    <n v="21581"/>
    <s v="chauffeur Bus"/>
    <s v="Vande Velde, Lucie"/>
    <x v="178"/>
    <x v="25"/>
    <n v="1"/>
  </r>
  <r>
    <s v="Steve"/>
    <s v="Dierick"/>
    <n v="21892"/>
    <s v="chauffeur Tram"/>
    <s v="Storm, Steven"/>
    <x v="179"/>
    <x v="25"/>
    <n v="1"/>
  </r>
  <r>
    <s v="Karina"/>
    <s v="Delahaye"/>
    <n v="22240"/>
    <s v="chauffeur Tram"/>
    <s v="Dewulf, Els"/>
    <x v="180"/>
    <x v="25"/>
    <n v="1"/>
  </r>
  <r>
    <s v="Süleyman"/>
    <s v="Kirdas"/>
    <n v="22244"/>
    <s v="chauffeur Bus &amp; Tram"/>
    <s v="Rotty, Christoff"/>
    <x v="180"/>
    <x v="25"/>
    <n v="1"/>
  </r>
  <r>
    <s v="Emra"/>
    <s v="Kizilmese"/>
    <n v="20542"/>
    <s v="chauffeur Bus &amp; Tram"/>
    <s v="Dewulf, Els"/>
    <x v="181"/>
    <x v="11"/>
    <n v="1"/>
  </r>
  <r>
    <s v="Ilkmur"/>
    <s v="Pekdemir"/>
    <n v="20543"/>
    <s v="chauffeur Tram"/>
    <s v="De Rick, Kenneth"/>
    <x v="181"/>
    <x v="11"/>
    <n v="1"/>
  </r>
  <r>
    <s v="Bart"/>
    <s v="Vonck"/>
    <n v="20656"/>
    <s v="chauffeur Bus"/>
    <s v="Vanhoe, Els"/>
    <x v="86"/>
    <x v="11"/>
    <n v="1"/>
  </r>
  <r>
    <s v="Kris"/>
    <s v="Van Steenbergen"/>
    <n v="19520"/>
    <s v="chauffeur Bus"/>
    <s v="Dewulf, Els"/>
    <x v="182"/>
    <x v="2"/>
    <n v="1"/>
  </r>
  <r>
    <s v="Dolly"/>
    <s v="De Geyter"/>
    <n v="18987"/>
    <s v="chauffeur Bus &amp; Tram"/>
    <s v="Storm, Steven"/>
    <x v="183"/>
    <x v="2"/>
    <n v="2"/>
  </r>
  <r>
    <s v="Claude"/>
    <s v="Lega"/>
    <n v="17951"/>
    <s v="chauffeur Tram"/>
    <s v="Van Der Beken, Bart"/>
    <x v="184"/>
    <x v="12"/>
    <n v="1"/>
  </r>
  <r>
    <s v="Erwin"/>
    <s v="Toch"/>
    <n v="16545"/>
    <s v="chauffeur Bus"/>
    <s v="Van Der Beken, Bart"/>
    <x v="185"/>
    <x v="3"/>
    <n v="1"/>
  </r>
  <r>
    <s v="Andy"/>
    <s v="VandenDaele"/>
    <n v="16897"/>
    <s v="chauffeur Tram"/>
    <s v="Storm, Steven"/>
    <x v="6"/>
    <x v="3"/>
    <n v="2"/>
  </r>
  <r>
    <s v="Reginald"/>
    <s v="Praet"/>
    <n v="17566"/>
    <s v="chauffeur Tram"/>
    <s v="Van Der Beken, Bart"/>
    <x v="186"/>
    <x v="3"/>
    <n v="1"/>
  </r>
  <r>
    <s v="Patrick"/>
    <s v="Devriendt"/>
    <n v="16275"/>
    <s v="chauffeur Tram"/>
    <s v="Dewulf, Els"/>
    <x v="187"/>
    <x v="20"/>
    <n v="1"/>
  </r>
  <r>
    <s v="Vincent"/>
    <s v="Rodrigue"/>
    <n v="14625"/>
    <s v="chauffeur Bus"/>
    <s v="Vande Velde, Lucie"/>
    <x v="188"/>
    <x v="26"/>
    <n v="1"/>
  </r>
  <r>
    <s v="Peter"/>
    <s v="De Mey"/>
    <n v="15219"/>
    <s v="chauffeur Tram"/>
    <s v="Van Der Beken, Bart"/>
    <x v="189"/>
    <x v="26"/>
    <n v="1"/>
  </r>
  <r>
    <s v="Katleen"/>
    <s v="Dejonghe"/>
    <n v="15220"/>
    <s v="chauffeur Bus &amp; Tram"/>
    <s v="De Clercq, Dominique"/>
    <x v="189"/>
    <x v="26"/>
    <n v="1"/>
  </r>
  <r>
    <s v="Dirk"/>
    <s v="Laute"/>
    <n v="15088"/>
    <s v="chauffeur Bus"/>
    <s v="Vanhoe, Els"/>
    <x v="190"/>
    <x v="26"/>
    <n v="1"/>
  </r>
  <r>
    <s v="Kristoff"/>
    <s v="Marinx"/>
    <n v="15282"/>
    <s v="lijnverantwoordelijke"/>
    <s v="De Rick, Kenneth"/>
    <x v="191"/>
    <x v="26"/>
    <n v="1"/>
  </r>
  <r>
    <s v="Jan"/>
    <s v="Oosterlinck"/>
    <n v="13089"/>
    <s v="lijnverantwoordelijke"/>
    <s v="Rotty, Christoff"/>
    <x v="192"/>
    <x v="27"/>
    <n v="1"/>
  </r>
  <r>
    <s v="Ramazan"/>
    <s v="Kirdas"/>
    <n v="13398"/>
    <s v="chauffeur Bus &amp; Tram"/>
    <s v="De Clercq, Dominique"/>
    <x v="193"/>
    <x v="27"/>
    <n v="1"/>
  </r>
  <r>
    <s v="Koen"/>
    <s v="Vervoort"/>
    <n v="14072"/>
    <s v="chauffeur Bus &amp; Tram"/>
    <s v="Vande Velde, Lucie"/>
    <x v="194"/>
    <x v="27"/>
    <n v="1"/>
  </r>
  <r>
    <s v="Kurt"/>
    <s v="De Cooman"/>
    <n v="12024"/>
    <s v="chauffeur Bus"/>
    <s v="Vande Velde, Lucie"/>
    <x v="195"/>
    <x v="21"/>
    <n v="1"/>
  </r>
  <r>
    <s v="Kenneth"/>
    <s v="De Smet"/>
    <n v="12514"/>
    <s v="chauffeur Bus &amp; Tram"/>
    <s v="Vande Velde, Lucie"/>
    <x v="196"/>
    <x v="21"/>
    <n v="1"/>
  </r>
  <r>
    <s v="David"/>
    <s v="Van Eenaeme"/>
    <n v="12819"/>
    <s v="chauffeur Bus &amp; Tram"/>
    <s v="Van Der Beken, Bart"/>
    <x v="197"/>
    <x v="21"/>
    <n v="1"/>
  </r>
  <r>
    <s v="Tom"/>
    <s v="Van Vliet"/>
    <n v="12124"/>
    <s v="chauffeur Tram"/>
    <s v="Storm, Steven"/>
    <x v="198"/>
    <x v="21"/>
    <n v="1"/>
  </r>
  <r>
    <s v="Marnic"/>
    <s v="Seeuws"/>
    <n v="11021"/>
    <s v="lijnverantwoordelijke Tram"/>
    <s v="Storm, Steven"/>
    <x v="199"/>
    <x v="22"/>
    <n v="1"/>
  </r>
  <r>
    <s v="Jeffrey"/>
    <s v="Goethals"/>
    <n v="11023"/>
    <s v="chauffeur Tram"/>
    <s v="Vanhoe, Els"/>
    <x v="199"/>
    <x v="22"/>
    <n v="1"/>
  </r>
  <r>
    <s v="Ludo"/>
    <s v="De Vrieze"/>
    <n v="11120"/>
    <s v="chauffeur Bus &amp; Tram"/>
    <s v="Vande Velde, Lucie"/>
    <x v="200"/>
    <x v="22"/>
    <n v="1"/>
  </r>
  <r>
    <s v="Gunter"/>
    <s v="De Plus"/>
    <n v="11213"/>
    <s v="chauffeur Tram"/>
    <s v="Van Der Beken, Bart"/>
    <x v="201"/>
    <x v="22"/>
    <n v="1"/>
  </r>
  <r>
    <s v="Ina"/>
    <s v="De Kee"/>
    <n v="10782"/>
    <s v="chauffeur Bus &amp; Tram"/>
    <s v="De Rick, Kenneth"/>
    <x v="202"/>
    <x v="28"/>
    <n v="1"/>
  </r>
  <r>
    <s v="Davy"/>
    <s v="Westelinck"/>
    <n v="9062"/>
    <s v="chauffeur Tram"/>
    <s v="De Rick, Kenneth"/>
    <x v="203"/>
    <x v="29"/>
    <n v="1"/>
  </r>
  <r>
    <s v="Ronny"/>
    <s v="De Weirdt"/>
    <n v="9158"/>
    <s v="chauffeur Tram"/>
    <s v="Storm, Steven"/>
    <x v="204"/>
    <x v="29"/>
    <n v="1"/>
  </r>
  <r>
    <s v="Eric"/>
    <s v="De Meulenaere"/>
    <n v="9824"/>
    <s v="chauffeur Tram"/>
    <s v="Storm, Steven"/>
    <x v="205"/>
    <x v="29"/>
    <n v="1"/>
  </r>
  <r>
    <s v="Marc"/>
    <s v="De Graeve"/>
    <n v="8918"/>
    <s v="lijnverantwoordelijke"/>
    <s v="De Rick, Kenneth"/>
    <x v="206"/>
    <x v="30"/>
    <n v="1"/>
  </r>
  <r>
    <s v="Antoon"/>
    <s v="Smet"/>
    <n v="8394"/>
    <s v="lijnverantwoordelijke"/>
    <s v="Vande Velde, Lucie"/>
    <x v="207"/>
    <x v="30"/>
    <n v="2"/>
  </r>
  <r>
    <s v="Didier"/>
    <s v="Aelterman"/>
    <n v="7746"/>
    <s v="chauffeur Bus"/>
    <s v="Rotty, Christoff"/>
    <x v="208"/>
    <x v="31"/>
    <n v="1"/>
  </r>
  <r>
    <s v="Antoon"/>
    <s v="De Meyer"/>
    <n v="6229"/>
    <s v="chauffeur Bus"/>
    <s v="Vanhoe, Els"/>
    <x v="209"/>
    <x v="32"/>
    <n v="1"/>
  </r>
  <r>
    <s v="Tania"/>
    <s v="Hoste"/>
    <n v="5559"/>
    <s v="chauffeur Tram"/>
    <s v="Storm, Steven"/>
    <x v="210"/>
    <x v="33"/>
    <n v="1"/>
  </r>
  <r>
    <s v="Johan"/>
    <s v="Steenbrugge"/>
    <n v="4608"/>
    <s v="chauffeur Bus"/>
    <s v="Vande Velde, Lucie"/>
    <x v="211"/>
    <x v="34"/>
    <n v="1"/>
  </r>
  <r>
    <s v="Jo"/>
    <s v="De Roo"/>
    <n v="4720"/>
    <s v="chauffeur Bus"/>
    <s v="Vanhoe, Els"/>
    <x v="212"/>
    <x v="34"/>
    <n v="1"/>
  </r>
  <r>
    <s v="Roien Sadder"/>
    <s v="Stanikazi"/>
    <n v="39889"/>
    <s v="chauffeur Bus"/>
    <s v="Storm, Steven"/>
    <x v="213"/>
    <x v="0"/>
    <n v="0"/>
  </r>
  <r>
    <s v="Abdil"/>
    <s v="Calinalti"/>
    <n v="39899"/>
    <s v="chauffeur Bus"/>
    <s v="Rotty, Christoff"/>
    <x v="214"/>
    <x v="0"/>
    <n v="0"/>
  </r>
  <r>
    <s v="Birsanuc"/>
    <s v="Marian"/>
    <n v="39907"/>
    <s v="chauffeur Bus"/>
    <s v="De Rick, Kenneth"/>
    <x v="49"/>
    <x v="0"/>
    <n v="0"/>
  </r>
  <r>
    <s v="Benjamin"/>
    <s v="De Ridder"/>
    <n v="40006"/>
    <s v="chauffeur Bus"/>
    <s v="Rotty, Christoff"/>
    <x v="101"/>
    <x v="0"/>
    <n v="0"/>
  </r>
  <r>
    <s v="Aram"/>
    <s v="Khder"/>
    <n v="40294"/>
    <s v="chauffeur Bus"/>
    <s v="Rotty, Christoff"/>
    <x v="215"/>
    <x v="0"/>
    <n v="1"/>
  </r>
  <r>
    <s v="Khaoula"/>
    <s v="Ennakaba"/>
    <n v="40414"/>
    <s v="chauffeur Bus"/>
    <s v="Storm, Steven"/>
    <x v="102"/>
    <x v="0"/>
    <n v="1"/>
  </r>
  <r>
    <s v="Marcos Eduardo"/>
    <s v="De Souza"/>
    <n v="40486"/>
    <s v="chauffeur Bus"/>
    <s v="Rotty, Christoff"/>
    <x v="216"/>
    <x v="0"/>
    <n v="0"/>
  </r>
  <r>
    <s v="Domeniko"/>
    <s v="Kurti"/>
    <n v="40608"/>
    <s v="chauffeur Bus"/>
    <s v="Vande Velde, Lucie"/>
    <x v="217"/>
    <x v="0"/>
    <n v="0"/>
  </r>
  <r>
    <s v="Wim"/>
    <s v="De Vijlder"/>
    <n v="40761"/>
    <s v="chauffeur Bus"/>
    <s v="De Rick, Kenneth"/>
    <x v="103"/>
    <x v="0"/>
    <n v="0"/>
  </r>
  <r>
    <s v="Andy"/>
    <s v="Dekens"/>
    <n v="33551"/>
    <s v="chauffeur Bus &amp; Tram"/>
    <s v="Vanhoe, Els"/>
    <x v="218"/>
    <x v="0"/>
    <n v="0"/>
  </r>
  <r>
    <s v="Rahmatullah"/>
    <s v="Mirazai"/>
    <n v="39930"/>
    <s v="chauffeur Bus"/>
    <s v="Rotty, Christoff"/>
    <x v="101"/>
    <x v="0"/>
    <n v="0"/>
  </r>
  <r>
    <s v="Khalil"/>
    <s v="Shahriyari"/>
    <n v="40200"/>
    <s v="chauffeur Bus"/>
    <s v="De Clercq, Dominique"/>
    <x v="219"/>
    <x v="0"/>
    <n v="0"/>
  </r>
  <r>
    <s v="Sharon"/>
    <s v="Van Iterson"/>
    <n v="40222"/>
    <s v="chauffeur Bus"/>
    <s v="De Clercq, Dominique"/>
    <x v="220"/>
    <x v="0"/>
    <n v="0"/>
  </r>
  <r>
    <s v="Ali"/>
    <s v="Mekdad"/>
    <n v="40521"/>
    <s v="chauffeur Bus"/>
    <s v="Vande Velde, Lucie"/>
    <x v="221"/>
    <x v="0"/>
    <n v="0"/>
  </r>
  <r>
    <s v="Kelly"/>
    <s v="Costers"/>
    <n v="39859"/>
    <s v="chauffeur Bus"/>
    <s v="Van Der Beken, Bart"/>
    <x v="39"/>
    <x v="0"/>
    <n v="1"/>
  </r>
  <r>
    <s v="Ahmad"/>
    <s v="Alassad"/>
    <n v="38551"/>
    <s v="chauffeur Bus"/>
    <s v="Van Der Beken, Bart"/>
    <x v="50"/>
    <x v="4"/>
    <n v="0"/>
  </r>
  <r>
    <s v="Sven"/>
    <s v="Haaze"/>
    <n v="38579"/>
    <s v="chauffeur Bus &amp; Tram"/>
    <s v="Dewulf, Els"/>
    <x v="222"/>
    <x v="4"/>
    <n v="0"/>
  </r>
  <r>
    <s v="Sabeur"/>
    <s v="Landoulsi"/>
    <n v="39145"/>
    <s v="chauffeur Bus &amp; Tram"/>
    <s v="Rotty, Christoff"/>
    <x v="223"/>
    <x v="4"/>
    <n v="0"/>
  </r>
  <r>
    <s v="Batuhan"/>
    <s v="Sayin"/>
    <n v="39610"/>
    <s v="chauffeur Bus &amp; Tram"/>
    <s v="Van Der Beken, Bart"/>
    <x v="20"/>
    <x v="4"/>
    <n v="0"/>
  </r>
  <r>
    <s v="Farid"/>
    <s v="Neghli"/>
    <n v="27186"/>
    <s v="chauffeur Bus"/>
    <s v="Rotty, Christoff"/>
    <x v="224"/>
    <x v="4"/>
    <n v="0"/>
  </r>
  <r>
    <s v="Kelly"/>
    <s v="De taeye"/>
    <n v="39019"/>
    <s v="chauffeur Bus"/>
    <s v="Vande Velde, Lucie"/>
    <x v="55"/>
    <x v="4"/>
    <n v="0"/>
  </r>
  <r>
    <s v="Yasin"/>
    <s v="Shinwari"/>
    <n v="39184"/>
    <s v="chauffeur Bus &amp; Tram"/>
    <s v="Rotty, Christoff"/>
    <x v="225"/>
    <x v="4"/>
    <n v="0"/>
  </r>
  <r>
    <s v="Habib"/>
    <s v="Asrih"/>
    <n v="39013"/>
    <s v="chauffeur Bus"/>
    <s v="Dewulf, Els"/>
    <x v="51"/>
    <x v="4"/>
    <n v="0"/>
  </r>
  <r>
    <s v="Alex"/>
    <s v="Burrick"/>
    <n v="39146"/>
    <s v="chauffeur Bus"/>
    <s v="Dewulf, Els"/>
    <x v="115"/>
    <x v="4"/>
    <n v="0"/>
  </r>
  <r>
    <s v="Anas"/>
    <s v="Al Masri"/>
    <n v="39183"/>
    <s v="chauffeur Bus"/>
    <s v="Rotty, Christoff"/>
    <x v="226"/>
    <x v="4"/>
    <n v="0"/>
  </r>
  <r>
    <s v="Stephan"/>
    <s v="Antoniewicz"/>
    <n v="37216"/>
    <s v="chauffeur Bus"/>
    <s v="De Rick, Kenneth"/>
    <x v="227"/>
    <x v="5"/>
    <n v="0"/>
  </r>
  <r>
    <s v="Mecit"/>
    <s v="Dedeci"/>
    <n v="37313"/>
    <s v="chauffeur Bus &amp; Tram"/>
    <s v="Van Der Beken, Bart"/>
    <x v="228"/>
    <x v="5"/>
    <n v="0"/>
  </r>
  <r>
    <s v="Nawras"/>
    <s v="Damlakhi"/>
    <n v="37564"/>
    <s v="chauffeur Bus"/>
    <s v="Vanhoe, Els"/>
    <x v="61"/>
    <x v="5"/>
    <n v="0"/>
  </r>
  <r>
    <s v="Charlotte"/>
    <s v="De Boever"/>
    <n v="37683"/>
    <s v="chauffeur Bus"/>
    <s v="Storm, Steven"/>
    <x v="229"/>
    <x v="5"/>
    <n v="0"/>
  </r>
  <r>
    <s v="Kâzim"/>
    <s v="Demirkaya"/>
    <n v="37794"/>
    <s v="chauffeur Bus &amp; Tram"/>
    <s v="Storm, Steven"/>
    <x v="230"/>
    <x v="5"/>
    <n v="1"/>
  </r>
  <r>
    <s v="Mustafa"/>
    <s v="Gök"/>
    <n v="37808"/>
    <s v="chauffeur Bus"/>
    <s v="Vanhoe, Els"/>
    <x v="231"/>
    <x v="5"/>
    <n v="0"/>
  </r>
  <r>
    <s v="Cindy"/>
    <s v="Van De Voorde"/>
    <n v="37951"/>
    <s v="chauffeur Bus"/>
    <s v="Vande Velde, Lucie"/>
    <x v="119"/>
    <x v="5"/>
    <n v="0"/>
  </r>
  <r>
    <s v="Akin"/>
    <s v="Mine"/>
    <n v="38013"/>
    <s v="chauffeur Bus"/>
    <s v="Vande Velde, Lucie"/>
    <x v="119"/>
    <x v="5"/>
    <n v="0"/>
  </r>
  <r>
    <s v="Benigna"/>
    <s v="Acosta Salinas"/>
    <n v="36275"/>
    <s v="chauffeur Bus"/>
    <s v="De Clercq, Dominique"/>
    <x v="232"/>
    <x v="5"/>
    <n v="0"/>
  </r>
  <r>
    <s v="Mehmed"/>
    <s v="Saritag"/>
    <n v="37131"/>
    <s v="chauffeur Bus &amp; Tram"/>
    <s v="De Rick, Kenneth"/>
    <x v="121"/>
    <x v="5"/>
    <n v="0"/>
  </r>
  <r>
    <s v="Dylan"/>
    <s v="De Groote"/>
    <n v="37609"/>
    <s v="chauffeur Bus &amp; Tram"/>
    <s v="De Rick, Kenneth"/>
    <x v="228"/>
    <x v="5"/>
    <n v="0"/>
  </r>
  <r>
    <s v="Yordi"/>
    <s v="Van Wayenbergh"/>
    <n v="37261"/>
    <s v="chauffeur Bus &amp; Tram"/>
    <s v="De Clercq, Dominique"/>
    <x v="57"/>
    <x v="5"/>
    <n v="0"/>
  </r>
  <r>
    <s v="Atilay"/>
    <s v="Kilinc"/>
    <n v="36228"/>
    <s v="chauffeur Bus &amp; Tram"/>
    <s v="Vanhoe, Els"/>
    <x v="233"/>
    <x v="6"/>
    <n v="0"/>
  </r>
  <r>
    <s v="Daniel"/>
    <s v="Desmadryl"/>
    <n v="36337"/>
    <s v="chauffeur Tram"/>
    <s v="De Rick, Kenneth"/>
    <x v="62"/>
    <x v="6"/>
    <n v="0"/>
  </r>
  <r>
    <s v="Khalid"/>
    <s v="Ahlaloum"/>
    <n v="36429"/>
    <s v="chauffeur Bus &amp; Tram"/>
    <s v="De Rick, Kenneth"/>
    <x v="26"/>
    <x v="6"/>
    <n v="0"/>
  </r>
  <r>
    <s v="Dimitri"/>
    <s v="Callens"/>
    <n v="36503"/>
    <s v="chauffeur Bus &amp; Tram"/>
    <s v="Rotty, Christoff"/>
    <x v="64"/>
    <x v="6"/>
    <n v="0"/>
  </r>
  <r>
    <s v="Rauf"/>
    <s v="Sogut"/>
    <n v="36513"/>
    <s v="chauffeur Bus"/>
    <s v="De Rick, Kenneth"/>
    <x v="64"/>
    <x v="6"/>
    <n v="1"/>
  </r>
  <r>
    <s v="Youri"/>
    <s v="Van Hoe"/>
    <n v="35006"/>
    <s v="chauffeur Bus &amp; Tram"/>
    <s v="De Rick, Kenneth"/>
    <x v="130"/>
    <x v="7"/>
    <n v="0"/>
  </r>
  <r>
    <s v="Dominique"/>
    <s v="Rotsaert"/>
    <n v="35107"/>
    <s v="chauffeur Bus &amp; Tram"/>
    <s v="Van Der Beken, Bart"/>
    <x v="234"/>
    <x v="7"/>
    <n v="0"/>
  </r>
  <r>
    <s v="Daniel"/>
    <s v="Delcourt"/>
    <n v="35120"/>
    <s v="chauffeur Bus"/>
    <s v="Dewulf, Els"/>
    <x v="235"/>
    <x v="7"/>
    <n v="0"/>
  </r>
  <r>
    <s v="Eric"/>
    <s v="Bastiaen"/>
    <n v="35187"/>
    <s v="chauffeur Tram"/>
    <s v="Vande Velde, Lucie"/>
    <x v="236"/>
    <x v="7"/>
    <n v="0"/>
  </r>
  <r>
    <s v="Aytekin"/>
    <s v="Kaya"/>
    <n v="35434"/>
    <s v="chauffeur Bus &amp; Tram"/>
    <s v="De Clercq, Dominique"/>
    <x v="237"/>
    <x v="7"/>
    <n v="0"/>
  </r>
  <r>
    <s v="Mariëlle"/>
    <s v="van Turnhout"/>
    <n v="35493"/>
    <s v="chauffeur Bus &amp; Tram"/>
    <s v="Vande Velde, Lucie"/>
    <x v="71"/>
    <x v="7"/>
    <n v="0"/>
  </r>
  <r>
    <s v="Wouter"/>
    <s v="Braeckman"/>
    <n v="35598"/>
    <s v="chauffeur Bus &amp; Tram"/>
    <s v="De Clercq, Dominique"/>
    <x v="71"/>
    <x v="7"/>
    <n v="0"/>
  </r>
  <r>
    <s v="Sami"/>
    <s v="El Gasmi"/>
    <n v="35709"/>
    <s v="chauffeur Bus"/>
    <s v="Vanhoe, Els"/>
    <x v="238"/>
    <x v="7"/>
    <n v="0"/>
  </r>
  <r>
    <s v="Abdülkadir"/>
    <s v="Kocabas"/>
    <n v="35055"/>
    <s v="chauffeur Bus &amp; Tram"/>
    <s v="Vanhoe, Els"/>
    <x v="234"/>
    <x v="7"/>
    <n v="0"/>
  </r>
  <r>
    <s v="Wesley"/>
    <s v="Goossens"/>
    <n v="34385"/>
    <s v="voertuigvoorbereider"/>
    <s v="Stubbe, Jarne"/>
    <x v="239"/>
    <x v="23"/>
    <n v="0"/>
  </r>
  <r>
    <s v="Chris"/>
    <s v="Verroeye"/>
    <n v="33450"/>
    <s v="chauffeur Bus &amp; Tram"/>
    <s v="De Rick, Kenneth"/>
    <x v="240"/>
    <x v="23"/>
    <n v="1"/>
  </r>
  <r>
    <s v="Kevin"/>
    <s v="Wieme"/>
    <n v="34044"/>
    <s v="chauffeur Bus &amp; Tram"/>
    <s v="Rotty, Christoff"/>
    <x v="241"/>
    <x v="23"/>
    <n v="0"/>
  </r>
  <r>
    <s v="Mozamil"/>
    <s v="Ghani"/>
    <n v="34286"/>
    <s v="chauffeur Bus &amp; Tram"/>
    <s v="Storm, Steven"/>
    <x v="242"/>
    <x v="23"/>
    <n v="0"/>
  </r>
  <r>
    <s v="Patrick"/>
    <s v="Vandenborre"/>
    <n v="32369"/>
    <s v="chauffeur Bus"/>
    <s v="Vanhoe, Els"/>
    <x v="145"/>
    <x v="14"/>
    <n v="0"/>
  </r>
  <r>
    <s v="Kenny"/>
    <s v="Vanderstock"/>
    <n v="32542"/>
    <s v="chauffeur Tram"/>
    <s v="De Clercq, Dominique"/>
    <x v="243"/>
    <x v="14"/>
    <n v="1"/>
  </r>
  <r>
    <s v="Jay"/>
    <s v="Van Achte"/>
    <n v="31689"/>
    <s v="chauffeur Bus &amp; Tram"/>
    <s v="Storm, Steven"/>
    <x v="244"/>
    <x v="15"/>
    <n v="0"/>
  </r>
  <r>
    <s v="Zulkifly"/>
    <s v="Vranken"/>
    <n v="32168"/>
    <s v="chauffeur Bus &amp; Tram"/>
    <s v="De Rick, Kenneth"/>
    <x v="245"/>
    <x v="15"/>
    <n v="0"/>
  </r>
  <r>
    <s v="Midas"/>
    <s v="Vaeyens"/>
    <n v="31635"/>
    <s v="chauffeur Bus"/>
    <s v="Vanhoe, Els"/>
    <x v="147"/>
    <x v="15"/>
    <n v="0"/>
  </r>
  <r>
    <s v="Marijke"/>
    <s v="Dedapper"/>
    <n v="31731"/>
    <s v="chauffeur Bus &amp; Tram"/>
    <s v="Vanhoe, Els"/>
    <x v="246"/>
    <x v="15"/>
    <n v="0"/>
  </r>
  <r>
    <s v="Kristof"/>
    <s v="Sonck"/>
    <n v="31733"/>
    <s v="chauffeur Bus &amp; Tram"/>
    <s v="De Clercq, Dominique"/>
    <x v="246"/>
    <x v="15"/>
    <n v="0"/>
  </r>
  <r>
    <s v="Johan"/>
    <s v="vanden Bulcke"/>
    <n v="30901"/>
    <s v="chauffeur Bus"/>
    <s v="Dewulf, Els"/>
    <x v="247"/>
    <x v="16"/>
    <n v="0"/>
  </r>
  <r>
    <s v="Kevin"/>
    <s v="De Jaeger"/>
    <n v="31092"/>
    <s v="lijnverantwoordelijke"/>
    <s v="Vande Velde, Lucie"/>
    <x v="248"/>
    <x v="16"/>
    <n v="0"/>
  </r>
  <r>
    <s v="Niko"/>
    <s v="Bonne"/>
    <n v="31111"/>
    <s v="chauffeur Bus &amp; Tram"/>
    <s v="Vanhoe, Els"/>
    <x v="248"/>
    <x v="16"/>
    <n v="0"/>
  </r>
  <r>
    <s v="Jan"/>
    <s v="De Keyzer"/>
    <n v="29540"/>
    <s v="chauffeur Bus &amp; Tram"/>
    <s v="Vande Velde, Lucie"/>
    <x v="249"/>
    <x v="8"/>
    <n v="0"/>
  </r>
  <r>
    <s v="Farhad"/>
    <s v="Mehman Doust"/>
    <n v="29821"/>
    <s v="chauffeur Bus &amp; Tram"/>
    <s v="De Clercq, Dominique"/>
    <x v="250"/>
    <x v="8"/>
    <n v="0"/>
  </r>
  <r>
    <s v="Els"/>
    <s v="Dejonckheere"/>
    <n v="28717"/>
    <s v="chauffeur Bus &amp; Tram"/>
    <s v="Vande Velde, Lucie"/>
    <x v="251"/>
    <x v="9"/>
    <n v="0"/>
  </r>
  <r>
    <s v="Niels"/>
    <s v="Van Malderghem"/>
    <n v="28794"/>
    <s v="chauffeur Bus &amp; Tram"/>
    <s v="Vande Velde, Lucie"/>
    <x v="252"/>
    <x v="9"/>
    <n v="0"/>
  </r>
  <r>
    <s v="Okan"/>
    <s v="Isiklar"/>
    <n v="28830"/>
    <s v="chauffeur Bus &amp; Tram"/>
    <s v="Rotty, Christoff"/>
    <x v="253"/>
    <x v="9"/>
    <n v="0"/>
  </r>
  <r>
    <s v="Boyke"/>
    <s v="De Vuyst"/>
    <n v="29477"/>
    <s v="chauffeur Bus &amp; Tram"/>
    <s v="Vande Velde, Lucie"/>
    <x v="159"/>
    <x v="9"/>
    <n v="1"/>
  </r>
  <r>
    <s v="Dries"/>
    <s v="Verwee"/>
    <n v="29179"/>
    <s v="chauffeur Bus &amp; Tram"/>
    <s v="Dewulf, Els"/>
    <x v="254"/>
    <x v="9"/>
    <n v="1"/>
  </r>
  <r>
    <s v="Damir"/>
    <s v="Petrovic"/>
    <n v="27635"/>
    <s v="chauffeur Bus &amp; Tram"/>
    <s v="De Rick, Kenneth"/>
    <x v="255"/>
    <x v="17"/>
    <n v="0"/>
  </r>
  <r>
    <s v="Bart"/>
    <s v="Parmentier"/>
    <n v="27713"/>
    <s v="chauffeur Tram"/>
    <s v="Dewulf, Els"/>
    <x v="256"/>
    <x v="17"/>
    <n v="0"/>
  </r>
  <r>
    <s v="Bruno"/>
    <s v="De Wit"/>
    <n v="25993"/>
    <s v="lijnverantwoordelijke"/>
    <s v="Rotty, Christoff"/>
    <x v="257"/>
    <x v="18"/>
    <n v="0"/>
  </r>
  <r>
    <s v="Mario"/>
    <s v="Peers"/>
    <n v="25994"/>
    <s v="chauffeur Bus &amp; Tram"/>
    <s v="Dewulf, Els"/>
    <x v="257"/>
    <x v="18"/>
    <n v="0"/>
  </r>
  <r>
    <s v="Jessica"/>
    <s v="Bral"/>
    <n v="26102"/>
    <s v="lijnverantwoordelijke"/>
    <s v="Dewulf, Els"/>
    <x v="258"/>
    <x v="18"/>
    <n v="0"/>
  </r>
  <r>
    <s v="Murat"/>
    <s v="Gök"/>
    <n v="26266"/>
    <s v="chauffeur Tram"/>
    <s v="Vanhoe, Els"/>
    <x v="259"/>
    <x v="18"/>
    <n v="0"/>
  </r>
  <r>
    <s v="Steven"/>
    <s v="Van Cauwenberg"/>
    <n v="26384"/>
    <s v="chauffeur Bus"/>
    <s v="Dewulf, Els"/>
    <x v="260"/>
    <x v="18"/>
    <n v="0"/>
  </r>
  <r>
    <s v="Steven"/>
    <s v="Justé"/>
    <n v="26198"/>
    <s v="chauffeur Bus &amp; Tram"/>
    <s v="De Rick, Kenneth"/>
    <x v="164"/>
    <x v="18"/>
    <n v="0"/>
  </r>
  <r>
    <s v="Attila"/>
    <s v="Adiyil"/>
    <n v="23790"/>
    <s v="chauffeur Bus &amp; Tram"/>
    <s v="De Clercq, Dominique"/>
    <x v="261"/>
    <x v="19"/>
    <n v="0"/>
  </r>
  <r>
    <s v="Jean-Pierre"/>
    <s v="Wyffels"/>
    <n v="23880"/>
    <s v="chauffeur Bus &amp; Tram"/>
    <s v="De Clercq, Dominique"/>
    <x v="262"/>
    <x v="19"/>
    <n v="0"/>
  </r>
  <r>
    <s v="Davut"/>
    <s v="Gök"/>
    <n v="24472"/>
    <s v="chauffeur Bus &amp; Tram"/>
    <s v="De Clercq, Dominique"/>
    <x v="263"/>
    <x v="19"/>
    <n v="0"/>
  </r>
  <r>
    <s v="Elisa"/>
    <s v="Dejonghe"/>
    <n v="21809"/>
    <s v="lijnverantwoordelijke Tram"/>
    <s v="Dewulf, Els"/>
    <x v="264"/>
    <x v="25"/>
    <n v="0"/>
  </r>
  <r>
    <s v="Pieter Jan"/>
    <s v="Callebert"/>
    <n v="22625"/>
    <s v="chauffeur Bus &amp; Tram"/>
    <s v="Van Der Beken, Bart"/>
    <x v="265"/>
    <x v="25"/>
    <n v="0"/>
  </r>
  <r>
    <s v="Johan"/>
    <s v="Osseel"/>
    <n v="22767"/>
    <s v="chauffeur Tram"/>
    <s v="De Clercq, Dominique"/>
    <x v="266"/>
    <x v="25"/>
    <n v="1"/>
  </r>
  <r>
    <s v="Lincey"/>
    <s v="Verlaeckt"/>
    <n v="20375"/>
    <s v="chauffeur Tram"/>
    <s v="De Clercq, Dominique"/>
    <x v="267"/>
    <x v="11"/>
    <n v="0"/>
  </r>
  <r>
    <s v="Kenneth"/>
    <s v="Allan"/>
    <n v="20400"/>
    <s v="chauffeur Tram"/>
    <s v="De Clercq, Dominique"/>
    <x v="268"/>
    <x v="11"/>
    <n v="0"/>
  </r>
  <r>
    <s v="Danny"/>
    <s v="De Ridder"/>
    <n v="21124"/>
    <s v="chauffeur Bus &amp; Tram"/>
    <s v="Rotty, Christoff"/>
    <x v="269"/>
    <x v="11"/>
    <n v="0"/>
  </r>
  <r>
    <s v="Marc"/>
    <s v="De Volder"/>
    <n v="21382"/>
    <s v="chauffeur Tram"/>
    <s v="Dewulf, Els"/>
    <x v="270"/>
    <x v="11"/>
    <n v="0"/>
  </r>
  <r>
    <s v="Kenneth"/>
    <s v="Vranken"/>
    <n v="20404"/>
    <s v="lijnverantwoordelijke"/>
    <s v="Rotty, Christoff"/>
    <x v="268"/>
    <x v="11"/>
    <n v="0"/>
  </r>
  <r>
    <s v="Mike"/>
    <s v="Laforce"/>
    <n v="21121"/>
    <s v="chauffeur Tram"/>
    <s v="De Rick, Kenneth"/>
    <x v="269"/>
    <x v="11"/>
    <n v="0"/>
  </r>
  <r>
    <s v="Peter"/>
    <s v="Deschepper"/>
    <n v="19087"/>
    <s v="chauffeur Bus"/>
    <s v="Vanhoe, Els"/>
    <x v="271"/>
    <x v="2"/>
    <n v="0"/>
  </r>
  <r>
    <s v="David"/>
    <s v="Remmery"/>
    <n v="19088"/>
    <s v="chauffeur Bus"/>
    <s v="De Rick, Kenneth"/>
    <x v="271"/>
    <x v="2"/>
    <n v="0"/>
  </r>
  <r>
    <s v="Geert"/>
    <s v="Aspeslagh"/>
    <n v="19219"/>
    <s v="chauffeur Bus"/>
    <s v="Vande Velde, Lucie"/>
    <x v="272"/>
    <x v="2"/>
    <n v="0"/>
  </r>
  <r>
    <s v="Patrick"/>
    <s v="Gevaert"/>
    <n v="19848"/>
    <s v="chauffeur Tram"/>
    <s v="Storm, Steven"/>
    <x v="273"/>
    <x v="2"/>
    <n v="0"/>
  </r>
  <r>
    <s v="Günter"/>
    <s v="De Vos"/>
    <n v="18173"/>
    <s v="chauffeur Bus"/>
    <s v="De Rick, Kenneth"/>
    <x v="274"/>
    <x v="12"/>
    <n v="1"/>
  </r>
  <r>
    <s v="Hasana"/>
    <s v="Idrisi"/>
    <n v="17931"/>
    <s v="chauffeur Tram"/>
    <s v="Dewulf, Els"/>
    <x v="275"/>
    <x v="12"/>
    <n v="0"/>
  </r>
  <r>
    <s v="Wendy"/>
    <s v="DeBisschop"/>
    <n v="17555"/>
    <s v="chauffeur Bus"/>
    <s v="Van Der Beken, Bart"/>
    <x v="186"/>
    <x v="3"/>
    <n v="1"/>
  </r>
  <r>
    <s v="Rosita"/>
    <s v="Baert"/>
    <n v="16546"/>
    <s v="chauffeur Bus"/>
    <s v="Rotty, Christoff"/>
    <x v="185"/>
    <x v="3"/>
    <n v="2"/>
  </r>
  <r>
    <s v="Tony"/>
    <s v="Mestdagh"/>
    <n v="15676"/>
    <s v="chauffeur Bus &amp; Tram"/>
    <s v="Vande Velde, Lucie"/>
    <x v="276"/>
    <x v="20"/>
    <n v="0"/>
  </r>
  <r>
    <s v="Vanessa"/>
    <s v="Petereyns"/>
    <n v="15852"/>
    <s v="chauffeur Bus &amp; Tram"/>
    <s v="De Rick, Kenneth"/>
    <x v="277"/>
    <x v="20"/>
    <n v="0"/>
  </r>
  <r>
    <s v="Ruth"/>
    <s v="Vandecasteele"/>
    <n v="16282"/>
    <s v="chauffeur Tram"/>
    <s v="De Rick, Kenneth"/>
    <x v="187"/>
    <x v="20"/>
    <n v="0"/>
  </r>
  <r>
    <s v="Dominique"/>
    <s v="Wulfranck"/>
    <n v="15628"/>
    <s v="chauffeur Bus &amp; Tram"/>
    <s v="De Rick, Kenneth"/>
    <x v="278"/>
    <x v="20"/>
    <n v="1"/>
  </r>
  <r>
    <s v="Filip"/>
    <s v="Vandenberghe"/>
    <n v="15320"/>
    <s v="lijnverantwoordelijke"/>
    <s v="Vanhoe, Els"/>
    <x v="279"/>
    <x v="26"/>
    <n v="0"/>
  </r>
  <r>
    <s v="Sofie"/>
    <s v="Vandaele"/>
    <n v="14261"/>
    <s v="chauffeur Tram"/>
    <s v="Vanhoe, Els"/>
    <x v="280"/>
    <x v="26"/>
    <n v="0"/>
  </r>
  <r>
    <s v="Philip"/>
    <s v="De Mulder"/>
    <n v="14665"/>
    <s v="chauffeur Bus"/>
    <s v="Van Der Beken, Bart"/>
    <x v="281"/>
    <x v="26"/>
    <n v="0"/>
  </r>
  <r>
    <s v="Claudine"/>
    <s v="De Geyter"/>
    <n v="13088"/>
    <s v="chauffeur Bus &amp; Tram"/>
    <s v="De Clercq, Dominique"/>
    <x v="192"/>
    <x v="27"/>
    <n v="0"/>
  </r>
  <r>
    <s v="Ronny"/>
    <s v="Schijvens"/>
    <n v="13345"/>
    <s v="chauffeur Bus"/>
    <s v="De Rick, Kenneth"/>
    <x v="282"/>
    <x v="27"/>
    <n v="0"/>
  </r>
  <r>
    <s v="Pascal"/>
    <s v="Bolle"/>
    <n v="11866"/>
    <s v="chauffeur Bus &amp; Tram"/>
    <s v="Vande Velde, Lucie"/>
    <x v="283"/>
    <x v="21"/>
    <n v="0"/>
  </r>
  <r>
    <s v="David"/>
    <s v="De Feyter"/>
    <n v="12173"/>
    <s v="chauffeur Bus"/>
    <s v="Vanhoe, Els"/>
    <x v="284"/>
    <x v="21"/>
    <n v="0"/>
  </r>
  <r>
    <s v="Nico"/>
    <s v="Beeckman"/>
    <n v="11508"/>
    <s v="chauffeur Bus &amp; Tram"/>
    <s v="Vande Velde, Lucie"/>
    <x v="285"/>
    <x v="22"/>
    <n v="0"/>
  </r>
  <r>
    <s v="Tony"/>
    <s v="Vandenbogaerde"/>
    <n v="10150"/>
    <s v="chauffeur Tram"/>
    <s v="Storm, Steven"/>
    <x v="286"/>
    <x v="28"/>
    <n v="0"/>
  </r>
  <r>
    <s v="Wim"/>
    <s v="Eggermont"/>
    <n v="10324"/>
    <s v="chauffeur Tram"/>
    <s v="Van Der Beken, Bart"/>
    <x v="287"/>
    <x v="28"/>
    <n v="0"/>
  </r>
  <r>
    <s v="Danny"/>
    <s v="Dewispelaere"/>
    <n v="9065"/>
    <s v="chauffeur Tram"/>
    <s v="Vanhoe, Els"/>
    <x v="203"/>
    <x v="29"/>
    <n v="0"/>
  </r>
  <r>
    <s v="Joeri"/>
    <s v="Lucq"/>
    <n v="8391"/>
    <s v="lijnverantwoordelijke"/>
    <s v="Vanhoe, Els"/>
    <x v="207"/>
    <x v="30"/>
    <n v="0"/>
  </r>
  <r>
    <s v="Andy"/>
    <s v="Middernacht"/>
    <n v="8708"/>
    <s v="chauffeur Bus"/>
    <s v="Vande Velde, Lucie"/>
    <x v="288"/>
    <x v="30"/>
    <n v="0"/>
  </r>
  <r>
    <s v="Roland"/>
    <s v="Vinck"/>
    <n v="8016"/>
    <s v="chauffeur Tram"/>
    <s v="De Clercq, Dominique"/>
    <x v="289"/>
    <x v="30"/>
    <n v="0"/>
  </r>
  <r>
    <s v="Philippe"/>
    <s v="Pretel"/>
    <n v="5599"/>
    <s v="chauffeur Tram"/>
    <s v="Storm, Steven"/>
    <x v="290"/>
    <x v="35"/>
    <n v="0"/>
  </r>
  <r>
    <s v="Sabine"/>
    <s v="Binard"/>
    <n v="5813"/>
    <s v="lijnverantwoordelijke"/>
    <s v="Vande Velde, Lucie"/>
    <x v="291"/>
    <x v="35"/>
    <n v="0"/>
  </r>
  <r>
    <s v="Inge"/>
    <s v="Dejonckheere"/>
    <n v="5718"/>
    <s v="chauffeur Bus &amp; Tram"/>
    <s v="De Rick, Kenneth"/>
    <x v="292"/>
    <x v="35"/>
    <n v="0"/>
  </r>
  <r>
    <s v="Bart"/>
    <s v="Merre"/>
    <n v="5063"/>
    <s v="lijnverantwoordelijke"/>
    <s v="Vande Velde, Lucie"/>
    <x v="293"/>
    <x v="33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46E33D-1394-4289-9A12-07274AB7A72F}" name="Draaitabel4" cacheId="17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rowHeaderCaption="Dienstjaren">
  <location ref="I23:J60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t="default"/>
      </items>
    </pivotField>
  </pivotFields>
  <rowFields count="1">
    <field x="6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schade/voortschr-jaar" fld="7" subtotal="count" baseField="6" baseItem="6"/>
  </dataFields>
  <formats count="1">
    <format dxfId="30">
      <pivotArea dataOnly="0" labelOnly="1" fieldPosition="0">
        <references count="1">
          <reference field="6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3"/>
    </i>
    <i>
      <x v="2"/>
    </i>
    <i>
      <x v="1"/>
    </i>
    <i>
      <x v="5"/>
    </i>
    <i>
      <x v="7"/>
    </i>
    <i>
      <x v="4"/>
    </i>
    <i>
      <x v="9"/>
    </i>
    <i>
      <x v="8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23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17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axis="axisRow" showAll="0" sortType="descending">
      <items count="268">
        <item m="1" x="266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0"/>
        <item x="50"/>
        <item x="73"/>
        <item x="3"/>
        <item x="257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1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59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5"/>
        <item x="4"/>
        <item x="121"/>
        <item x="132"/>
        <item x="142"/>
        <item x="237"/>
        <item x="246"/>
        <item x="263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2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8"/>
        <item x="125"/>
        <item x="12"/>
        <item x="154"/>
        <item x="26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97">
    <i>
      <x v="30"/>
    </i>
    <i>
      <x v="73"/>
    </i>
    <i>
      <x v="223"/>
    </i>
    <i>
      <x v="224"/>
    </i>
    <i>
      <x v="75"/>
    </i>
    <i>
      <x v="197"/>
    </i>
    <i>
      <x v="264"/>
    </i>
    <i>
      <x v="156"/>
    </i>
    <i>
      <x v="48"/>
    </i>
    <i>
      <x v="245"/>
    </i>
    <i>
      <x v="42"/>
    </i>
    <i>
      <x v="221"/>
    </i>
    <i>
      <x v="168"/>
    </i>
    <i>
      <x v="169"/>
    </i>
    <i>
      <x v="107"/>
    </i>
    <i>
      <x v="257"/>
    </i>
    <i>
      <x v="90"/>
    </i>
    <i>
      <x v="106"/>
    </i>
    <i>
      <x v="40"/>
    </i>
    <i>
      <x v="230"/>
    </i>
    <i>
      <x v="28"/>
    </i>
    <i>
      <x v="47"/>
    </i>
    <i>
      <x v="113"/>
    </i>
    <i>
      <x v="104"/>
    </i>
    <i>
      <x v="57"/>
    </i>
    <i>
      <x v="139"/>
    </i>
    <i>
      <x v="220"/>
    </i>
    <i>
      <x v="173"/>
    </i>
    <i>
      <x v="260"/>
    </i>
    <i>
      <x v="43"/>
    </i>
    <i>
      <x v="214"/>
    </i>
    <i>
      <x v="52"/>
    </i>
    <i>
      <x v="29"/>
    </i>
    <i>
      <x v="76"/>
    </i>
    <i>
      <x v="166"/>
    </i>
    <i>
      <x v="78"/>
    </i>
    <i>
      <x v="192"/>
    </i>
    <i>
      <x v="16"/>
    </i>
    <i>
      <x v="219"/>
    </i>
    <i>
      <x v="18"/>
    </i>
    <i>
      <x v="3"/>
    </i>
    <i>
      <x v="122"/>
    </i>
    <i>
      <x v="35"/>
    </i>
    <i>
      <x v="159"/>
    </i>
    <i>
      <x v="160"/>
    </i>
    <i>
      <x v="154"/>
    </i>
    <i>
      <x v="236"/>
    </i>
    <i>
      <x v="65"/>
    </i>
    <i>
      <x v="212"/>
    </i>
    <i>
      <x v="143"/>
    </i>
    <i>
      <x v="226"/>
    </i>
    <i>
      <x v="148"/>
    </i>
    <i>
      <x v="95"/>
    </i>
    <i>
      <x v="149"/>
    </i>
    <i>
      <x v="216"/>
    </i>
    <i>
      <x v="150"/>
    </i>
    <i>
      <x v="121"/>
    </i>
    <i>
      <x v="153"/>
    </i>
    <i>
      <x v="231"/>
    </i>
    <i>
      <x v="263"/>
    </i>
    <i>
      <x v="138"/>
    </i>
    <i>
      <x v="36"/>
    </i>
    <i>
      <x v="210"/>
    </i>
    <i>
      <x v="158"/>
    </i>
    <i>
      <x v="96"/>
    </i>
    <i>
      <x v="72"/>
    </i>
    <i>
      <x v="102"/>
    </i>
    <i>
      <x v="50"/>
    </i>
    <i>
      <x v="19"/>
    </i>
    <i>
      <x v="6"/>
    </i>
    <i>
      <x v="5"/>
    </i>
    <i>
      <x v="61"/>
    </i>
    <i>
      <x v="31"/>
    </i>
    <i>
      <x v="177"/>
    </i>
    <i>
      <x v="235"/>
    </i>
    <i>
      <x v="180"/>
    </i>
    <i>
      <x v="70"/>
    </i>
    <i>
      <x v="187"/>
    </i>
    <i>
      <x v="265"/>
    </i>
    <i>
      <x v="189"/>
    </i>
    <i>
      <x v="38"/>
    </i>
    <i>
      <x v="155"/>
    </i>
    <i>
      <x v="206"/>
    </i>
    <i>
      <x v="243"/>
    </i>
    <i>
      <x v="105"/>
    </i>
    <i>
      <x v="119"/>
    </i>
    <i>
      <x v="117"/>
    </i>
    <i>
      <x v="120"/>
    </i>
    <i>
      <x v="217"/>
    </i>
    <i>
      <x v="62"/>
    </i>
    <i>
      <x v="234"/>
    </i>
    <i>
      <x v="63"/>
    </i>
    <i>
      <x v="254"/>
    </i>
    <i>
      <x v="123"/>
    </i>
    <i>
      <x v="199"/>
    </i>
    <i>
      <x v="127"/>
    </i>
    <i>
      <x v="55"/>
    </i>
    <i>
      <x v="128"/>
    </i>
    <i>
      <x v="12"/>
    </i>
    <i>
      <x v="130"/>
    </i>
    <i>
      <x v="59"/>
    </i>
    <i>
      <x v="131"/>
    </i>
    <i>
      <x v="238"/>
    </i>
    <i>
      <x v="132"/>
    </i>
    <i>
      <x v="249"/>
    </i>
    <i>
      <x v="133"/>
    </i>
    <i>
      <x v="259"/>
    </i>
    <i>
      <x v="135"/>
    </i>
    <i>
      <x v="27"/>
    </i>
    <i>
      <x v="64"/>
    </i>
    <i>
      <x v="204"/>
    </i>
    <i>
      <x v="9"/>
    </i>
    <i>
      <x v="93"/>
    </i>
    <i>
      <x v="266"/>
    </i>
    <i>
      <x v="215"/>
    </i>
    <i>
      <x v="142"/>
    </i>
    <i>
      <x v="100"/>
    </i>
    <i>
      <x v="68"/>
    </i>
    <i>
      <x v="103"/>
    </i>
    <i>
      <x v="145"/>
    </i>
    <i>
      <x v="228"/>
    </i>
    <i>
      <x v="146"/>
    </i>
    <i>
      <x v="232"/>
    </i>
    <i>
      <x v="147"/>
    </i>
    <i>
      <x v="112"/>
    </i>
    <i>
      <x v="10"/>
    </i>
    <i>
      <x v="241"/>
    </i>
    <i>
      <x v="71"/>
    </i>
    <i>
      <x v="247"/>
    </i>
    <i>
      <x v="7"/>
    </i>
    <i>
      <x v="251"/>
    </i>
    <i>
      <x v="152"/>
    </i>
    <i>
      <x v="256"/>
    </i>
    <i>
      <x v="13"/>
    </i>
    <i>
      <x v="262"/>
    </i>
    <i>
      <x v="74"/>
    </i>
    <i>
      <x v="195"/>
    </i>
    <i>
      <x v="15"/>
    </i>
    <i>
      <x v="198"/>
    </i>
    <i>
      <x v="22"/>
    </i>
    <i>
      <x v="202"/>
    </i>
    <i>
      <x v="157"/>
    </i>
    <i>
      <x v="205"/>
    </i>
    <i>
      <x v="51"/>
    </i>
    <i>
      <x v="208"/>
    </i>
    <i>
      <x v="77"/>
    </i>
    <i>
      <x v="211"/>
    </i>
    <i>
      <x v="39"/>
    </i>
    <i>
      <x v="56"/>
    </i>
    <i>
      <x v="162"/>
    </i>
    <i>
      <x v="98"/>
    </i>
    <i>
      <x v="163"/>
    </i>
    <i>
      <x v="218"/>
    </i>
    <i>
      <x v="164"/>
    </i>
    <i>
      <x v="101"/>
    </i>
    <i>
      <x v="79"/>
    </i>
    <i>
      <x v="222"/>
    </i>
    <i>
      <x v="167"/>
    </i>
    <i>
      <x v="17"/>
    </i>
    <i>
      <x v="23"/>
    </i>
    <i>
      <x v="227"/>
    </i>
    <i>
      <x v="26"/>
    </i>
    <i>
      <x v="229"/>
    </i>
    <i>
      <x v="170"/>
    </i>
    <i>
      <x v="46"/>
    </i>
    <i>
      <x v="171"/>
    </i>
    <i>
      <x v="233"/>
    </i>
    <i>
      <x v="80"/>
    </i>
    <i>
      <x v="109"/>
    </i>
    <i>
      <x v="86"/>
    </i>
    <i>
      <x v="237"/>
    </i>
    <i>
      <x v="178"/>
    </i>
    <i>
      <x v="239"/>
    </i>
    <i>
      <x v="179"/>
    </i>
    <i>
      <x v="242"/>
    </i>
    <i>
      <x v="89"/>
    </i>
    <i>
      <x v="34"/>
    </i>
    <i>
      <x v="182"/>
    </i>
    <i>
      <x v="248"/>
    </i>
    <i>
      <x v="183"/>
    </i>
    <i>
      <x v="250"/>
    </i>
    <i>
      <x v="184"/>
    </i>
    <i>
      <x v="252"/>
    </i>
    <i>
      <x v="186"/>
    </i>
    <i>
      <x v="255"/>
    </i>
    <i>
      <x v="53"/>
    </i>
    <i>
      <x v="20"/>
    </i>
    <i>
      <x v="91"/>
    </i>
    <i>
      <x v="115"/>
    </i>
    <i>
      <x v="190"/>
    </i>
    <i>
      <x v="116"/>
    </i>
    <i>
      <x v="92"/>
    </i>
    <i>
      <x v="118"/>
    </i>
    <i>
      <x v="194"/>
    </i>
    <i>
      <x v="2"/>
    </i>
    <i>
      <x v="141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297" firstHeaderRow="1" firstDataRow="1" firstDataCol="1"/>
  <pivotFields count="34">
    <pivotField showAll="0"/>
    <pivotField axis="axisRow" showAll="0" sortType="descending">
      <items count="608">
        <item m="1" x="591"/>
        <item m="1" x="606"/>
        <item m="1" x="458"/>
        <item x="137"/>
        <item x="45"/>
        <item m="1" x="534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65"/>
        <item x="178"/>
        <item x="132"/>
        <item x="405"/>
        <item m="1" x="481"/>
        <item x="53"/>
        <item x="266"/>
        <item m="1" x="460"/>
        <item m="1" x="466"/>
        <item m="1" x="474"/>
        <item m="1" x="577"/>
        <item x="400"/>
        <item x="158"/>
        <item m="1" x="535"/>
        <item x="339"/>
        <item x="160"/>
        <item m="1" x="578"/>
        <item x="129"/>
        <item m="1" x="495"/>
        <item x="392"/>
        <item x="398"/>
        <item x="11"/>
        <item x="85"/>
        <item x="330"/>
        <item m="1" x="469"/>
        <item x="26"/>
        <item x="229"/>
        <item m="1" x="536"/>
        <item x="128"/>
        <item m="1" x="439"/>
        <item m="1" x="513"/>
        <item x="393"/>
        <item m="1" x="586"/>
        <item m="1" x="551"/>
        <item x="94"/>
        <item x="226"/>
        <item x="257"/>
        <item m="1" x="561"/>
        <item x="230"/>
        <item x="247"/>
        <item m="1" x="499"/>
        <item m="1" x="537"/>
        <item m="1" x="538"/>
        <item m="1" x="539"/>
        <item x="244"/>
        <item x="9"/>
        <item x="145"/>
        <item x="271"/>
        <item m="1" x="492"/>
        <item x="357"/>
        <item m="1" x="540"/>
        <item m="1" x="488"/>
        <item x="248"/>
        <item m="1" x="443"/>
        <item m="1" x="414"/>
        <item m="1" x="562"/>
        <item m="1" x="475"/>
        <item x="144"/>
        <item x="80"/>
        <item m="1" x="519"/>
        <item x="34"/>
        <item x="149"/>
        <item m="1" x="500"/>
        <item x="288"/>
        <item m="1" x="483"/>
        <item m="1" x="501"/>
        <item m="1" x="450"/>
        <item m="1" x="444"/>
        <item m="1" x="453"/>
        <item x="100"/>
        <item x="12"/>
        <item x="177"/>
        <item m="1" x="476"/>
        <item x="225"/>
        <item m="1" x="579"/>
        <item x="23"/>
        <item m="1" x="482"/>
        <item x="391"/>
        <item x="395"/>
        <item m="1" x="436"/>
        <item m="1" x="602"/>
        <item x="65"/>
        <item m="1" x="496"/>
        <item x="370"/>
        <item m="1" x="563"/>
        <item m="1" x="580"/>
        <item x="170"/>
        <item x="117"/>
        <item m="1" x="502"/>
        <item m="1" x="520"/>
        <item x="92"/>
        <item m="1" x="596"/>
        <item x="268"/>
        <item m="1" x="564"/>
        <item m="1" x="503"/>
        <item m="1" x="552"/>
        <item m="1" x="504"/>
        <item m="1" x="484"/>
        <item x="63"/>
        <item x="168"/>
        <item m="1" x="415"/>
        <item m="1" x="581"/>
        <item m="1" x="464"/>
        <item x="83"/>
        <item x="254"/>
        <item m="1" x="505"/>
        <item x="219"/>
        <item m="1" x="506"/>
        <item x="262"/>
        <item m="1" x="600"/>
        <item x="364"/>
        <item x="77"/>
        <item x="162"/>
        <item m="1" x="429"/>
        <item x="346"/>
        <item x="118"/>
        <item x="245"/>
        <item m="1" x="477"/>
        <item x="350"/>
        <item m="1" x="463"/>
        <item m="1" x="541"/>
        <item m="1" x="521"/>
        <item m="1" x="553"/>
        <item x="146"/>
        <item x="191"/>
        <item m="1" x="587"/>
        <item m="1" x="471"/>
        <item m="1" x="417"/>
        <item x="213"/>
        <item m="1" x="522"/>
        <item x="317"/>
        <item m="1" x="467"/>
        <item x="60"/>
        <item x="192"/>
        <item m="1" x="485"/>
        <item m="1" x="523"/>
        <item x="134"/>
        <item x="275"/>
        <item m="1" x="486"/>
        <item x="307"/>
        <item x="367"/>
        <item m="1" x="440"/>
        <item x="399"/>
        <item x="82"/>
        <item x="54"/>
        <item x="224"/>
        <item m="1" x="478"/>
        <item x="180"/>
        <item m="1" x="489"/>
        <item x="79"/>
        <item x="279"/>
        <item m="1" x="468"/>
        <item x="209"/>
        <item x="84"/>
        <item m="1" x="565"/>
        <item x="33"/>
        <item m="1" x="566"/>
        <item x="407"/>
        <item m="1" x="472"/>
        <item x="401"/>
        <item x="338"/>
        <item m="1" x="554"/>
        <item x="252"/>
        <item m="1" x="588"/>
        <item x="90"/>
        <item x="32"/>
        <item x="68"/>
        <item m="1" x="542"/>
        <item x="40"/>
        <item m="1" x="524"/>
        <item m="1" x="514"/>
        <item x="202"/>
        <item x="323"/>
        <item x="397"/>
        <item m="1" x="525"/>
        <item x="56"/>
        <item m="1" x="597"/>
        <item x="413"/>
        <item m="1" x="574"/>
        <item m="1" x="454"/>
        <item m="1" x="567"/>
        <item x="108"/>
        <item x="274"/>
        <item x="173"/>
        <item m="1" x="445"/>
        <item x="171"/>
        <item m="1" x="526"/>
        <item x="293"/>
        <item x="103"/>
        <item m="1" x="446"/>
        <item x="386"/>
        <item m="1" x="543"/>
        <item x="246"/>
        <item x="152"/>
        <item m="1" x="604"/>
        <item x="222"/>
        <item m="1" x="490"/>
        <item x="343"/>
        <item x="291"/>
        <item x="325"/>
        <item m="1" x="515"/>
        <item m="1" x="569"/>
        <item x="233"/>
        <item x="227"/>
        <item x="28"/>
        <item x="352"/>
        <item m="1" x="570"/>
        <item x="123"/>
        <item m="1" x="589"/>
        <item m="1" x="418"/>
        <item x="217"/>
        <item x="122"/>
        <item x="234"/>
        <item m="1" x="435"/>
        <item x="30"/>
        <item x="4"/>
        <item x="302"/>
        <item x="337"/>
        <item x="186"/>
        <item x="86"/>
        <item x="189"/>
        <item m="1" x="568"/>
        <item m="1" x="571"/>
        <item x="258"/>
        <item m="1" x="572"/>
        <item x="99"/>
        <item m="1" x="573"/>
        <item x="374"/>
        <item x="200"/>
        <item m="1" x="544"/>
        <item x="20"/>
        <item x="153"/>
        <item x="24"/>
        <item x="27"/>
        <item x="347"/>
        <item x="315"/>
        <item x="292"/>
        <item m="1" x="545"/>
        <item x="195"/>
        <item m="1" x="507"/>
        <item x="312"/>
        <item x="55"/>
        <item x="175"/>
        <item m="1" x="582"/>
        <item x="81"/>
        <item x="163"/>
        <item x="300"/>
        <item x="105"/>
        <item x="73"/>
        <item m="1" x="601"/>
        <item x="316"/>
        <item x="96"/>
        <item x="91"/>
        <item x="223"/>
        <item x="124"/>
        <item m="1" x="516"/>
        <item m="1" x="449"/>
        <item x="269"/>
        <item m="1" x="508"/>
        <item m="1" x="437"/>
        <item x="71"/>
        <item m="1" x="455"/>
        <item x="157"/>
        <item x="289"/>
        <item x="115"/>
        <item x="42"/>
        <item x="93"/>
        <item m="1" x="605"/>
        <item x="52"/>
        <item x="1"/>
        <item x="114"/>
        <item x="104"/>
        <item x="22"/>
        <item m="1" x="479"/>
        <item x="361"/>
        <item m="1" x="447"/>
        <item x="164"/>
        <item m="1" x="438"/>
        <item m="1" x="555"/>
        <item x="49"/>
        <item x="88"/>
        <item x="58"/>
        <item x="142"/>
        <item x="298"/>
        <item m="1" x="556"/>
        <item x="136"/>
        <item m="1" x="598"/>
        <item x="241"/>
        <item x="161"/>
        <item x="287"/>
        <item m="1" x="509"/>
        <item m="1" x="557"/>
        <item x="231"/>
        <item x="198"/>
        <item x="113"/>
        <item x="36"/>
        <item x="281"/>
        <item x="267"/>
        <item x="159"/>
        <item m="1" x="451"/>
        <item x="295"/>
        <item x="197"/>
        <item x="214"/>
        <item x="304"/>
        <item m="1" x="546"/>
        <item x="228"/>
        <item x="62"/>
        <item m="1" x="583"/>
        <item m="1" x="497"/>
        <item x="362"/>
        <item x="333"/>
        <item x="232"/>
        <item x="50"/>
        <item x="46"/>
        <item m="1" x="558"/>
        <item x="176"/>
        <item m="1" x="452"/>
        <item m="1" x="422"/>
        <item x="255"/>
        <item m="1" x="493"/>
        <item m="1" x="432"/>
        <item x="259"/>
        <item x="181"/>
        <item x="110"/>
        <item x="239"/>
        <item x="141"/>
        <item x="409"/>
        <item m="1" x="480"/>
        <item x="182"/>
        <item x="250"/>
        <item x="203"/>
        <item m="1" x="416"/>
        <item x="351"/>
        <item x="148"/>
        <item m="1" x="441"/>
        <item x="13"/>
        <item x="19"/>
        <item x="48"/>
        <item x="260"/>
        <item x="308"/>
        <item m="1" x="462"/>
        <item x="151"/>
        <item x="314"/>
        <item x="169"/>
        <item x="334"/>
        <item x="102"/>
        <item x="377"/>
        <item m="1" x="456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5"/>
        <item x="318"/>
        <item x="150"/>
        <item x="130"/>
        <item x="121"/>
        <item x="31"/>
        <item x="305"/>
        <item m="1" x="527"/>
        <item m="1" x="430"/>
        <item m="1" x="510"/>
        <item x="3"/>
        <item x="57"/>
        <item x="101"/>
        <item x="38"/>
        <item m="1" x="528"/>
        <item x="210"/>
        <item x="388"/>
        <item x="16"/>
        <item x="301"/>
        <item x="190"/>
        <item x="10"/>
        <item x="70"/>
        <item x="135"/>
        <item m="1" x="584"/>
        <item x="321"/>
        <item x="319"/>
        <item x="107"/>
        <item x="37"/>
        <item x="15"/>
        <item x="29"/>
        <item x="64"/>
        <item x="66"/>
        <item x="17"/>
        <item m="1" x="529"/>
        <item m="1" x="431"/>
        <item x="8"/>
        <item x="35"/>
        <item x="7"/>
        <item x="59"/>
        <item m="1" x="457"/>
        <item m="1" x="470"/>
        <item x="276"/>
        <item x="41"/>
        <item x="167"/>
        <item x="143"/>
        <item x="166"/>
        <item x="165"/>
        <item x="75"/>
        <item m="1" x="433"/>
        <item x="2"/>
        <item x="172"/>
        <item x="69"/>
        <item x="196"/>
        <item x="95"/>
        <item x="76"/>
        <item m="1" x="459"/>
        <item x="18"/>
        <item x="303"/>
        <item x="72"/>
        <item m="1" x="590"/>
        <item x="201"/>
        <item x="47"/>
        <item m="1" x="594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m="1" x="442"/>
        <item m="1" x="599"/>
        <item x="251"/>
        <item x="205"/>
        <item x="156"/>
        <item m="1" x="593"/>
        <item x="273"/>
        <item x="131"/>
        <item x="127"/>
        <item x="236"/>
        <item x="235"/>
        <item m="1" x="530"/>
        <item x="78"/>
        <item m="1" x="576"/>
        <item x="133"/>
        <item x="87"/>
        <item m="1" x="531"/>
        <item x="193"/>
        <item x="221"/>
        <item x="243"/>
        <item x="342"/>
        <item x="326"/>
        <item m="1" x="473"/>
        <item x="179"/>
        <item x="253"/>
        <item x="309"/>
        <item x="263"/>
        <item x="174"/>
        <item x="204"/>
        <item x="154"/>
        <item m="1" x="547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m="1" x="592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m="1" x="595"/>
        <item x="299"/>
        <item x="313"/>
        <item m="1" x="461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382"/>
        <item x="383"/>
        <item m="1" x="532"/>
        <item x="256"/>
        <item m="1" x="487"/>
        <item x="320"/>
        <item x="349"/>
        <item m="1" x="448"/>
        <item m="1" x="603"/>
        <item m="1" x="498"/>
        <item m="1" x="517"/>
        <item x="21"/>
        <item m="1" x="548"/>
        <item m="1" x="585"/>
        <item x="89"/>
        <item x="112"/>
        <item x="211"/>
        <item x="44"/>
        <item m="1" x="494"/>
        <item m="1" x="559"/>
        <item m="1" x="511"/>
        <item x="277"/>
        <item m="1" x="434"/>
        <item x="138"/>
        <item m="1" x="549"/>
        <item x="336"/>
        <item m="1" x="560"/>
        <item x="185"/>
        <item m="1" x="533"/>
        <item x="206"/>
        <item m="1" x="512"/>
        <item x="74"/>
        <item x="106"/>
        <item m="1" x="550"/>
        <item x="411"/>
        <item x="373"/>
        <item x="125"/>
        <item x="306"/>
        <item m="1" x="518"/>
        <item x="286"/>
        <item m="1" x="491"/>
        <item x="0"/>
        <item m="1" x="421"/>
        <item m="1" x="424"/>
        <item m="1" x="423"/>
        <item m="1" x="427"/>
        <item m="1" x="426"/>
        <item m="1" x="425"/>
        <item m="1" x="428"/>
        <item x="43"/>
        <item m="1" x="420"/>
        <item m="1" x="419"/>
        <item x="404"/>
        <item x="406"/>
        <item x="410"/>
        <item x="4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1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87">
    <i>
      <x v="600"/>
    </i>
    <i>
      <x v="513"/>
    </i>
    <i>
      <x v="474"/>
    </i>
    <i>
      <x v="516"/>
    </i>
    <i>
      <x v="498"/>
    </i>
    <i>
      <x v="502"/>
    </i>
    <i>
      <x v="509"/>
    </i>
    <i>
      <x v="358"/>
    </i>
    <i>
      <x v="479"/>
    </i>
    <i>
      <x v="202"/>
    </i>
    <i>
      <x v="156"/>
    </i>
    <i>
      <x v="342"/>
    </i>
    <i>
      <x v="505"/>
    </i>
    <i>
      <x v="90"/>
    </i>
    <i>
      <x v="280"/>
    </i>
    <i>
      <x v="519"/>
    </i>
    <i>
      <x v="442"/>
    </i>
    <i>
      <x v="380"/>
    </i>
    <i>
      <x v="440"/>
    </i>
    <i>
      <x v="554"/>
    </i>
    <i>
      <x v="497"/>
    </i>
    <i>
      <x v="526"/>
    </i>
    <i>
      <x v="255"/>
    </i>
    <i>
      <x v="325"/>
    </i>
    <i>
      <x v="482"/>
    </i>
    <i>
      <x v="341"/>
    </i>
    <i>
      <x v="503"/>
    </i>
    <i>
      <x v="81"/>
    </i>
    <i>
      <x v="69"/>
    </i>
    <i>
      <x v="348"/>
    </i>
    <i>
      <x v="58"/>
    </i>
    <i>
      <x v="355"/>
    </i>
    <i>
      <x v="491"/>
    </i>
    <i>
      <x v="11"/>
    </i>
    <i>
      <x v="499"/>
    </i>
    <i>
      <x v="112"/>
    </i>
    <i>
      <x v="250"/>
    </i>
    <i>
      <x v="374"/>
    </i>
    <i>
      <x v="512"/>
    </i>
    <i>
      <x v="375"/>
    </i>
    <i>
      <x v="309"/>
    </i>
    <i>
      <x v="148"/>
    </i>
    <i>
      <x v="317"/>
    </i>
    <i>
      <x v="397"/>
    </i>
    <i>
      <x v="481"/>
    </i>
    <i>
      <x v="407"/>
    </i>
    <i>
      <x v="484"/>
    </i>
    <i>
      <x v="411"/>
    </i>
    <i>
      <x v="495"/>
    </i>
    <i>
      <x v="538"/>
    </i>
    <i>
      <x v="219"/>
    </i>
    <i>
      <x v="428"/>
    </i>
    <i>
      <x v="232"/>
    </i>
    <i>
      <x v="431"/>
    </i>
    <i>
      <x v="504"/>
    </i>
    <i>
      <x v="432"/>
    </i>
    <i>
      <x v="508"/>
    </i>
    <i>
      <x v="435"/>
    </i>
    <i>
      <x v="510"/>
    </i>
    <i>
      <x v="438"/>
    </i>
    <i>
      <x v="270"/>
    </i>
    <i>
      <x v="18"/>
    </i>
    <i>
      <x v="518"/>
    </i>
    <i>
      <x v="157"/>
    </i>
    <i>
      <x v="523"/>
    </i>
    <i>
      <x v="447"/>
    </i>
    <i>
      <x v="529"/>
    </i>
    <i>
      <x v="473"/>
    </i>
    <i>
      <x v="184"/>
    </i>
    <i>
      <x v="412"/>
    </i>
    <i>
      <x v="362"/>
    </i>
    <i>
      <x v="65"/>
    </i>
    <i>
      <x v="470"/>
    </i>
    <i>
      <x v="160"/>
    </i>
    <i>
      <x v="267"/>
    </i>
    <i>
      <x v="223"/>
    </i>
    <i>
      <x v="268"/>
    </i>
    <i>
      <x v="262"/>
    </i>
    <i>
      <x v="17"/>
    </i>
    <i>
      <x v="450"/>
    </i>
    <i>
      <x v="273"/>
    </i>
    <i>
      <x v="485"/>
    </i>
    <i>
      <x v="277"/>
    </i>
    <i>
      <x v="237"/>
    </i>
    <i>
      <x v="10"/>
    </i>
    <i>
      <x v="260"/>
    </i>
    <i>
      <x v="283"/>
    </i>
    <i>
      <x v="572"/>
    </i>
    <i>
      <x v="285"/>
    </i>
    <i>
      <x v="443"/>
    </i>
    <i>
      <x v="288"/>
    </i>
    <i>
      <x v="461"/>
    </i>
    <i>
      <x v="290"/>
    </i>
    <i>
      <x v="43"/>
    </i>
    <i>
      <x v="292"/>
    </i>
    <i>
      <x v="207"/>
    </i>
    <i>
      <x v="303"/>
    </i>
    <i>
      <x v="59"/>
    </i>
    <i>
      <x v="305"/>
    </i>
    <i>
      <x v="243"/>
    </i>
    <i>
      <x v="307"/>
    </i>
    <i>
      <x v="67"/>
    </i>
    <i>
      <x v="308"/>
    </i>
    <i>
      <x v="533"/>
    </i>
    <i>
      <x v="83"/>
    </i>
    <i>
      <x v="550"/>
    </i>
    <i>
      <x v="314"/>
    </i>
    <i>
      <x v="159"/>
    </i>
    <i>
      <x v="316"/>
    </i>
    <i>
      <x v="167"/>
    </i>
    <i>
      <x v="19"/>
    </i>
    <i>
      <x v="173"/>
    </i>
    <i>
      <x v="320"/>
    </i>
    <i>
      <x v="452"/>
    </i>
    <i>
      <x v="321"/>
    </i>
    <i>
      <x v="466"/>
    </i>
    <i>
      <x v="323"/>
    </i>
    <i>
      <x v="180"/>
    </i>
    <i>
      <x v="101"/>
    </i>
    <i>
      <x v="192"/>
    </i>
    <i>
      <x v="329"/>
    </i>
    <i>
      <x v="489"/>
    </i>
    <i>
      <x v="330"/>
    </i>
    <i>
      <x v="218"/>
    </i>
    <i>
      <x v="333"/>
    </i>
    <i>
      <x v="224"/>
    </i>
    <i>
      <x v="338"/>
    </i>
    <i>
      <x v="506"/>
    </i>
    <i>
      <x v="103"/>
    </i>
    <i>
      <x v="239"/>
    </i>
    <i>
      <x v="26"/>
    </i>
    <i>
      <x v="245"/>
    </i>
    <i>
      <x v="344"/>
    </i>
    <i>
      <x v="520"/>
    </i>
    <i>
      <x v="118"/>
    </i>
    <i>
      <x v="256"/>
    </i>
    <i>
      <x v="350"/>
    </i>
    <i>
      <x v="531"/>
    </i>
    <i>
      <x v="352"/>
    </i>
    <i>
      <x v="535"/>
    </i>
    <i>
      <x v="353"/>
    </i>
    <i>
      <x v="545"/>
    </i>
    <i>
      <x v="119"/>
    </i>
    <i>
      <x v="556"/>
    </i>
    <i>
      <x v="356"/>
    </i>
    <i>
      <x v="266"/>
    </i>
    <i>
      <x v="357"/>
    </i>
    <i>
      <x v="437"/>
    </i>
    <i>
      <x v="128"/>
    </i>
    <i>
      <x v="439"/>
    </i>
    <i>
      <x v="359"/>
    </i>
    <i>
      <x v="170"/>
    </i>
    <i>
      <x v="582"/>
    </i>
    <i>
      <x v="444"/>
    </i>
    <i>
      <x v="588"/>
    </i>
    <i>
      <x v="449"/>
    </i>
    <i>
      <x v="130"/>
    </i>
    <i>
      <x v="451"/>
    </i>
    <i>
      <x v="6"/>
    </i>
    <i>
      <x v="459"/>
    </i>
    <i>
      <x v="368"/>
    </i>
    <i>
      <x v="463"/>
    </i>
    <i>
      <x v="369"/>
    </i>
    <i>
      <x v="468"/>
    </i>
    <i>
      <x v="372"/>
    </i>
    <i>
      <x v="472"/>
    </i>
    <i>
      <x v="373"/>
    </i>
    <i>
      <x v="182"/>
    </i>
    <i>
      <x v="131"/>
    </i>
    <i>
      <x v="185"/>
    </i>
    <i>
      <x v="132"/>
    </i>
    <i>
      <x v="55"/>
    </i>
    <i>
      <x v="376"/>
    </i>
    <i>
      <x v="487"/>
    </i>
    <i>
      <x v="377"/>
    </i>
    <i>
      <x v="490"/>
    </i>
    <i>
      <x v="134"/>
    </i>
    <i>
      <x v="217"/>
    </i>
    <i>
      <x v="382"/>
    </i>
    <i>
      <x v="7"/>
    </i>
    <i>
      <x v="385"/>
    </i>
    <i>
      <x v="500"/>
    </i>
    <i>
      <x v="387"/>
    </i>
    <i>
      <x v="225"/>
    </i>
    <i>
      <x v="388"/>
    </i>
    <i>
      <x v="236"/>
    </i>
    <i>
      <x v="389"/>
    </i>
    <i>
      <x v="507"/>
    </i>
    <i>
      <x v="392"/>
    </i>
    <i>
      <x v="238"/>
    </i>
    <i>
      <x v="138"/>
    </i>
    <i>
      <x v="240"/>
    </i>
    <i>
      <x v="398"/>
    </i>
    <i>
      <x v="515"/>
    </i>
    <i>
      <x v="404"/>
    </i>
    <i>
      <x v="517"/>
    </i>
    <i>
      <x v="405"/>
    </i>
    <i>
      <x v="254"/>
    </i>
    <i>
      <x v="406"/>
    </i>
    <i>
      <x v="522"/>
    </i>
    <i>
      <x v="143"/>
    </i>
    <i>
      <x v="524"/>
    </i>
    <i>
      <x v="410"/>
    </i>
    <i>
      <x v="527"/>
    </i>
    <i>
      <x v="34"/>
    </i>
    <i>
      <x v="530"/>
    </i>
    <i>
      <x v="150"/>
    </i>
    <i>
      <x v="532"/>
    </i>
    <i>
      <x v="413"/>
    </i>
    <i>
      <x v="534"/>
    </i>
    <i>
      <x v="414"/>
    </i>
    <i>
      <x v="537"/>
    </i>
    <i>
      <x v="415"/>
    </i>
    <i>
      <x v="542"/>
    </i>
    <i>
      <x v="417"/>
    </i>
    <i>
      <x v="549"/>
    </i>
    <i>
      <x v="427"/>
    </i>
    <i>
      <x v="264"/>
    </i>
    <i>
      <x v="152"/>
    </i>
    <i>
      <x v="557"/>
    </i>
    <i>
      <x v="430"/>
    </i>
    <i>
      <x v="576"/>
    </i>
    <i>
      <x v="37"/>
    </i>
    <i>
      <x v="41"/>
    </i>
    <i>
      <x v="590"/>
    </i>
    <i>
      <x v="363"/>
    </i>
    <i>
      <x v="364"/>
    </i>
    <i>
      <x v="366"/>
    </i>
    <i>
      <x v="162"/>
    </i>
    <i>
      <x v="230"/>
    </i>
    <i>
      <x v="433"/>
    </i>
    <i>
      <x v="346"/>
    </i>
    <i>
      <x v="604"/>
    </i>
    <i>
      <x v="40"/>
    </i>
    <i>
      <x v="546"/>
    </i>
    <i>
      <x v="23"/>
    </i>
    <i>
      <x v="177"/>
    </i>
    <i>
      <x v="399"/>
    </i>
    <i>
      <x v="14"/>
    </i>
    <i>
      <x v="514"/>
    </i>
    <i>
      <x v="540"/>
    </i>
    <i>
      <x v="453"/>
    </i>
    <i>
      <x v="544"/>
    </i>
    <i>
      <x v="457"/>
    </i>
    <i>
      <x v="548"/>
    </i>
    <i>
      <x v="402"/>
    </i>
    <i>
      <x v="552"/>
    </i>
    <i>
      <x v="460"/>
    </i>
    <i>
      <x v="565"/>
    </i>
    <i>
      <x v="289"/>
    </i>
    <i>
      <x v="585"/>
    </i>
    <i>
      <x v="188"/>
    </i>
    <i>
      <x v="446"/>
    </i>
    <i>
      <x v="521"/>
    </i>
    <i>
      <x v="606"/>
    </i>
    <i>
      <x v="126"/>
    </i>
    <i>
      <x v="541"/>
    </i>
    <i>
      <x v="294"/>
    </i>
    <i>
      <x v="543"/>
    </i>
    <i>
      <x v="408"/>
    </i>
    <i>
      <x v="97"/>
    </i>
    <i>
      <x v="471"/>
    </i>
    <i>
      <x v="547"/>
    </i>
    <i>
      <x v="193"/>
    </i>
    <i>
      <x v="98"/>
    </i>
    <i>
      <x v="247"/>
    </i>
    <i>
      <x v="551"/>
    </i>
    <i>
      <x v="197"/>
    </i>
    <i>
      <x v="9"/>
    </i>
    <i>
      <x v="8"/>
    </i>
    <i>
      <x v="227"/>
    </i>
    <i>
      <x v="51"/>
    </i>
    <i>
      <x v="271"/>
    </i>
    <i>
      <x v="312"/>
    </i>
    <i>
      <x v="179"/>
    </i>
    <i>
      <x v="210"/>
    </i>
    <i>
      <x v="586"/>
    </i>
    <i>
      <x v="315"/>
    </i>
    <i>
      <x v="282"/>
    </i>
    <i>
      <x v="536"/>
    </i>
    <i>
      <x v="603"/>
    </i>
    <i>
      <x v="31"/>
    </i>
    <i>
      <x v="605"/>
    </i>
    <i>
      <x v="429"/>
    </i>
    <i>
      <x v="39"/>
    </i>
    <i>
      <x v="539"/>
    </i>
    <i t="grand">
      <x/>
    </i>
  </rowItems>
  <colItems count="1">
    <i/>
  </colItems>
  <dataFields count="1">
    <dataField name="Som van totaal schade" fld="18" baseField="0" baseItem="0"/>
  </dataFields>
  <pivotTableStyleInfo name="PivotStyleLight16" showRowHeaders="1" showColHeaders="1" showRowStripes="0" showColStripes="0" showLastColumn="1"/>
  <filters count="1">
    <filter fld="19" type="dateBetween" evalOrder="-1" id="3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10989C-83CF-48AE-9298-F98FE3C9AC08}" name="Draaitabel1" cacheId="17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>
  <location ref="J2:K39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descending">
      <items count="39">
        <item m="1" x="36"/>
        <item x="13"/>
        <item x="34"/>
        <item m="1" x="37"/>
        <item x="33"/>
        <item x="35"/>
        <item x="32"/>
        <item x="31"/>
        <item x="30"/>
        <item x="29"/>
        <item x="28"/>
        <item x="22"/>
        <item x="21"/>
        <item x="27"/>
        <item x="26"/>
        <item x="20"/>
        <item x="3"/>
        <item x="12"/>
        <item x="2"/>
        <item x="11"/>
        <item x="25"/>
        <item x="19"/>
        <item x="10"/>
        <item x="18"/>
        <item x="17"/>
        <item x="24"/>
        <item x="9"/>
        <item x="8"/>
        <item x="16"/>
        <item x="15"/>
        <item x="14"/>
        <item x="23"/>
        <item x="7"/>
        <item x="6"/>
        <item x="5"/>
        <item x="4"/>
        <item x="0"/>
        <item x="1"/>
        <item t="default"/>
      </items>
    </pivotField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t="default"/>
      </items>
    </pivotField>
  </pivotFields>
  <rowFields count="1">
    <field x="6"/>
  </rowFields>
  <rowItems count="37">
    <i>
      <x v="1"/>
    </i>
    <i>
      <x v="2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 t="grand">
      <x/>
    </i>
  </rowItems>
  <colItems count="1">
    <i/>
  </colItems>
  <dataFields count="1">
    <dataField name="Aantal van aantal schades" fld="7" subtotal="count" baseField="6" baseItem="1"/>
  </dataFields>
  <formats count="5">
    <format dxfId="35">
      <pivotArea field="6" type="button" dataOnly="0" labelOnly="1" outline="0" axis="axisRow" fieldPosition="0"/>
    </format>
    <format dxfId="34">
      <pivotArea dataOnly="0" labelOnly="1" fieldPosition="0">
        <references count="1">
          <reference field="6" count="0"/>
        </references>
      </pivotArea>
    </format>
    <format dxfId="33">
      <pivotArea dataOnly="0" labelOnly="1" grandRow="1" outline="0" fieldPosition="0"/>
    </format>
    <format dxfId="32">
      <pivotArea outline="0" collapsedLevelsAreSubtotals="1" fieldPosition="0"/>
    </format>
    <format dxfId="31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48"/>
    <tableColumn id="5" xr3:uid="{DF37AD45-FC5C-478A-989D-9143E744CEEA}" name="voornaam" dataDxfId="47">
      <calculatedColumnFormula>VLOOKUP(Tabel2[[#This Row],[nr]],'data hastus'!A:C,3,FALSE)</calculatedColumnFormula>
    </tableColumn>
    <tableColumn id="6" xr3:uid="{4098FAFB-9B09-4A81-8B22-18CC90B5F979}" name="achternaam" dataDxfId="46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984" totalsRowShown="0" headerRowDxfId="45">
  <autoFilter ref="A1:AB984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B984">
    <sortCondition ref="T1:T984"/>
  </sortState>
  <tableColumns count="28">
    <tableColumn id="1" xr3:uid="{A89FCEBD-EFF0-43A5-BEAC-9201FF09453E}" name="personeelsnr"/>
    <tableColumn id="23" xr3:uid="{3989647C-F1EB-4322-A586-1EC53B4E823E}" name="volledige naam" dataDxfId="44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43"/>
    <tableColumn id="11" xr3:uid="{97ECF1D5-48DC-4487-B3C2-17232CC8E19E}" name="Januari" dataDxfId="42"/>
    <tableColumn id="12" xr3:uid="{7B2FF520-A575-45C0-BB5A-19B87DDB4EA0}" name="Februari" dataDxfId="41"/>
    <tableColumn id="13" xr3:uid="{4E6C30D1-FB72-4AB2-900F-14A3D53F34DE}" name="Maart" dataDxfId="40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39">
      <calculatedColumnFormula>SUM(bron[[#This Row],[Januari]:[December]])</calculatedColumnFormula>
    </tableColumn>
    <tableColumn id="10" xr3:uid="{8D9646BD-38B6-4F4D-9859-B3933369346B}" name="Datum" dataDxfId="38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  <tableColumn id="28" xr3:uid="{F72DC24A-B2EB-4B60-B43B-9E1E6F64B37E}" name="totaal" dataDxfId="37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4EA397-83BA-4F1D-890D-B07039C4F892}" name="Table1" displayName="Table1" ref="A1:H403" totalsRowShown="0">
  <autoFilter ref="A1:H403" xr:uid="{6E4EA397-83BA-4F1D-890D-B07039C4F892}"/>
  <sortState xmlns:xlrd2="http://schemas.microsoft.com/office/spreadsheetml/2017/richdata2" ref="A2:H403">
    <sortCondition descending="1" ref="H1:H403"/>
  </sortState>
  <tableColumns count="8">
    <tableColumn id="6" xr3:uid="{809DDAC6-D2B7-45A4-AF74-10071D31D6C9}" name="Voornaam"/>
    <tableColumn id="8" xr3:uid="{8160F432-5167-4F92-A4D3-B6C8D313546A}" name="Achternaam"/>
    <tableColumn id="2" xr3:uid="{D7A48FA0-F5E4-4CB3-8A15-FFDA2D5D3E7C}" name="Personeelsnummer" dataDxfId="26"/>
    <tableColumn id="12" xr3:uid="{4F84A526-B815-4ADD-8DF0-08A7624A0C6D}" name="Functie"/>
    <tableColumn id="14" xr3:uid="{FAE7BE2A-23CF-435C-9806-51CFA2271516}" name="Team Coach"/>
    <tableColumn id="16" xr3:uid="{DD31FE88-52DA-4E01-ADEB-EBE10F59DD49}" name="Datum in dienst"/>
    <tableColumn id="4" xr3:uid="{55253A26-1E51-4B89-8BAA-485B1194F712}" name="jaar in dienst" dataDxfId="36">
      <calculatedColumnFormula>YEAR(TODAY()) - YEAR(F2) - (IF(DATE(YEAR(TODAY()), MONTH(F2), DAY(F2)) &gt; TODAY(), 1, 0))</calculatedColumnFormula>
    </tableColumn>
    <tableColumn id="5" xr3:uid="{4C697650-E57C-44EB-9139-9D19E4E44782}" name="aantal schades" dataDxfId="18">
      <calculatedColumnFormula array="1">SUMPRODUCT((BRON!$A$2:$A$1197=Table1[[#This Row],[Personeelsnummer]])*(BRON!$T$2:$T$1197&gt;=DATE(YEAR(TODAY())-1,MONTH(TODAY()),DAY(TODAY())))*(BRON!$T$2:$T$1197&lt;=TODAY()))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hyperlink" Target="../../../../../../:b:/r/teams/CTM-OTGentStad/Shared%20Documents/General/EAF/CSI(nieuwe%20sharepoint)%202025/11.%20November/EAF%206366%20Gent%2023112025.pdf?csf=1&amp;web=1&amp;e=cvlkvp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824" Type="http://schemas.openxmlformats.org/officeDocument/2006/relationships/drawing" Target="../drawings/drawing1.xm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printerSettings" Target="../printerSettings/printerSettings1.bin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825" Type="http://schemas.openxmlformats.org/officeDocument/2006/relationships/table" Target="../tables/table2.xm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microsoft.com/office/2011/relationships/timeline" Target="../timelines/timelin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ivotTable" Target="../pivotTables/pivot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25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25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84"/>
  <sheetViews>
    <sheetView tabSelected="1" zoomScale="85" zoomScaleNormal="85" workbookViewId="0">
      <pane ySplit="1" topLeftCell="A955" activePane="bottomLeft" state="frozen"/>
      <selection activeCell="F1" sqref="F1"/>
      <selection pane="bottomLeft" activeCell="B982" sqref="B982:E982"/>
    </sheetView>
  </sheetViews>
  <sheetFormatPr defaultRowHeight="15" x14ac:dyDescent="0.25"/>
  <cols>
    <col min="1" max="1" width="15" style="39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27" hidden="1" customWidth="1"/>
    <col min="7" max="7" width="11.5703125" style="25" hidden="1" customWidth="1"/>
    <col min="8" max="8" width="14.5703125" style="25" hidden="1" customWidth="1"/>
    <col min="9" max="9" width="9.5703125" style="25" hidden="1" customWidth="1"/>
    <col min="10" max="10" width="8.28515625" style="25" hidden="1" customWidth="1"/>
    <col min="11" max="11" width="10.85546875" style="25" hidden="1" customWidth="1"/>
    <col min="12" max="13" width="9.140625" style="25" hidden="1" customWidth="1"/>
    <col min="14" max="14" width="11.42578125" style="25" hidden="1" customWidth="1"/>
    <col min="15" max="15" width="13" style="25" hidden="1" customWidth="1"/>
    <col min="16" max="16" width="10.42578125" style="25" hidden="1" customWidth="1"/>
    <col min="17" max="19" width="12.5703125" style="25" hidden="1" customWidth="1"/>
    <col min="20" max="20" width="11.85546875" style="30" customWidth="1"/>
    <col min="21" max="21" width="50.140625" style="5" customWidth="1"/>
    <col min="22" max="22" width="9.28515625" style="25" hidden="1" customWidth="1"/>
    <col min="23" max="23" width="6.7109375" style="25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32" customWidth="1"/>
  </cols>
  <sheetData>
    <row r="1" spans="1:28" x14ac:dyDescent="0.25">
      <c r="A1" s="39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3534</v>
      </c>
      <c r="AA1" s="31" t="s">
        <v>3845</v>
      </c>
      <c r="AB1" t="s">
        <v>90</v>
      </c>
    </row>
    <row r="2" spans="1:28" s="13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3611</v>
      </c>
      <c r="AB2">
        <f ca="1">COUNTIF(B:B,bron[[#This Row],[volledige naam]])</f>
        <v>58</v>
      </c>
    </row>
    <row r="3" spans="1:28" s="13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3611</v>
      </c>
      <c r="AB3">
        <f ca="1">COUNTIF(B:B,bron[[#This Row],[volledige naam]])</f>
        <v>4</v>
      </c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3611</v>
      </c>
      <c r="AB4">
        <f ca="1">COUNTIF(B:B,bron[[#This Row],[volledige naam]])</f>
        <v>5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3611</v>
      </c>
      <c r="AB5">
        <f ca="1">COUNTIF(B:B,bron[[#This Row],[volledige naam]])</f>
        <v>3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3611</v>
      </c>
      <c r="AB6">
        <f ca="1">COUNTIF(B:B,bron[[#This Row],[volledige naam]])</f>
        <v>2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3611</v>
      </c>
      <c r="AB7">
        <f ca="1">COUNTIF(B:B,bron[[#This Row],[volledige naam]])</f>
        <v>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3611</v>
      </c>
      <c r="AB8">
        <f ca="1">COUNTIF(B:B,bron[[#This Row],[volledige naam]])</f>
        <v>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3611</v>
      </c>
      <c r="AB9">
        <f ca="1">COUNTIF(B:B,bron[[#This Row],[volledige naam]])</f>
        <v>4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3611</v>
      </c>
      <c r="AB10">
        <f ca="1">COUNTIF(B:B,bron[[#This Row],[volledige naam]])</f>
        <v>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3611</v>
      </c>
      <c r="AB11">
        <f ca="1">COUNTIF(B:B,bron[[#This Row],[volledige naam]])</f>
        <v>2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3611</v>
      </c>
      <c r="AB12">
        <f ca="1">COUNTIF(B:B,bron[[#This Row],[volledige naam]])</f>
        <v>3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3611</v>
      </c>
      <c r="AB13">
        <f ca="1">COUNTIF(B:B,bron[[#This Row],[volledige naam]])</f>
        <v>2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3611</v>
      </c>
      <c r="AB14">
        <f ca="1">COUNTIF(B:B,bron[[#This Row],[volledige naam]])</f>
        <v>58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3611</v>
      </c>
      <c r="AB15">
        <f ca="1">COUNTIF(B:B,bron[[#This Row],[volledige naam]])</f>
        <v>58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3611</v>
      </c>
      <c r="AB16">
        <f ca="1">COUNTIF(B:B,bron[[#This Row],[volledige naam]])</f>
        <v>10</v>
      </c>
    </row>
    <row r="17" spans="1:28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3611</v>
      </c>
      <c r="AB17">
        <f ca="1">COUNTIF(B:B,bron[[#This Row],[volledige naam]])</f>
        <v>10</v>
      </c>
    </row>
    <row r="18" spans="1:28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3611</v>
      </c>
      <c r="AB18">
        <f ca="1">COUNTIF(B:B,bron[[#This Row],[volledige naam]])</f>
        <v>4</v>
      </c>
    </row>
    <row r="19" spans="1:28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3611</v>
      </c>
      <c r="AB19">
        <f ca="1">COUNTIF(B:B,bron[[#This Row],[volledige naam]])</f>
        <v>4</v>
      </c>
    </row>
    <row r="20" spans="1:28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3611</v>
      </c>
      <c r="AB20">
        <f ca="1">COUNTIF(B:B,bron[[#This Row],[volledige naam]])</f>
        <v>1</v>
      </c>
    </row>
    <row r="21" spans="1:28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3611</v>
      </c>
      <c r="AB21">
        <f ca="1">COUNTIF(B:B,bron[[#This Row],[volledige naam]])</f>
        <v>2</v>
      </c>
    </row>
    <row r="22" spans="1:28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3611</v>
      </c>
      <c r="AB22">
        <f ca="1">COUNTIF(B:B,bron[[#This Row],[volledige naam]])</f>
        <v>5</v>
      </c>
    </row>
    <row r="23" spans="1:28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3611</v>
      </c>
      <c r="AB23">
        <f ca="1">COUNTIF(B:B,bron[[#This Row],[volledige naam]])</f>
        <v>4</v>
      </c>
    </row>
    <row r="24" spans="1:28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3611</v>
      </c>
      <c r="AB24">
        <f ca="1">COUNTIF(B:B,bron[[#This Row],[volledige naam]])</f>
        <v>5</v>
      </c>
    </row>
    <row r="25" spans="1:28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3611</v>
      </c>
      <c r="AB25">
        <f ca="1">COUNTIF(B:B,bron[[#This Row],[volledige naam]])</f>
        <v>58</v>
      </c>
    </row>
    <row r="26" spans="1:28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3611</v>
      </c>
      <c r="AB26">
        <f ca="1">COUNTIF(B:B,bron[[#This Row],[volledige naam]])</f>
        <v>58</v>
      </c>
    </row>
    <row r="27" spans="1:28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3611</v>
      </c>
      <c r="AB27">
        <f ca="1">COUNTIF(B:B,bron[[#This Row],[volledige naam]])</f>
        <v>1</v>
      </c>
    </row>
    <row r="28" spans="1:28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3611</v>
      </c>
      <c r="AB28">
        <f ca="1">COUNTIF(B:B,bron[[#This Row],[volledige naam]])</f>
        <v>58</v>
      </c>
    </row>
    <row r="29" spans="1:28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3611</v>
      </c>
      <c r="AB29">
        <f ca="1">COUNTIF(B:B,bron[[#This Row],[volledige naam]])</f>
        <v>10</v>
      </c>
    </row>
    <row r="30" spans="1:28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3611</v>
      </c>
      <c r="AB30">
        <f ca="1">COUNTIF(B:B,bron[[#This Row],[volledige naam]])</f>
        <v>5</v>
      </c>
    </row>
    <row r="31" spans="1:28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3611</v>
      </c>
      <c r="AB31">
        <f ca="1">COUNTIF(B:B,bron[[#This Row],[volledige naam]])</f>
        <v>2</v>
      </c>
    </row>
    <row r="32" spans="1:28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3611</v>
      </c>
      <c r="AB32">
        <f ca="1">COUNTIF(B:B,bron[[#This Row],[volledige naam]])</f>
        <v>2</v>
      </c>
    </row>
    <row r="33" spans="1:28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3611</v>
      </c>
      <c r="AB33">
        <f ca="1">COUNTIF(B:B,bron[[#This Row],[volledige naam]])</f>
        <v>6</v>
      </c>
    </row>
    <row r="34" spans="1:28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3611</v>
      </c>
      <c r="AB34">
        <f ca="1">COUNTIF(B:B,bron[[#This Row],[volledige naam]])</f>
        <v>3</v>
      </c>
    </row>
    <row r="35" spans="1:28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3611</v>
      </c>
      <c r="AB35">
        <f ca="1">COUNTIF(B:B,bron[[#This Row],[volledige naam]])</f>
        <v>2</v>
      </c>
    </row>
    <row r="36" spans="1:28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3611</v>
      </c>
      <c r="AB36">
        <f ca="1">COUNTIF(B:B,bron[[#This Row],[volledige naam]])</f>
        <v>3</v>
      </c>
    </row>
    <row r="37" spans="1:28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3611</v>
      </c>
      <c r="AB37">
        <f ca="1">COUNTIF(B:B,bron[[#This Row],[volledige naam]])</f>
        <v>7</v>
      </c>
    </row>
    <row r="38" spans="1:28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3611</v>
      </c>
      <c r="AB38">
        <f ca="1">COUNTIF(B:B,bron[[#This Row],[volledige naam]])</f>
        <v>2</v>
      </c>
    </row>
    <row r="39" spans="1:28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3611</v>
      </c>
      <c r="AB39">
        <f ca="1">COUNTIF(B:B,bron[[#This Row],[volledige naam]])</f>
        <v>1</v>
      </c>
    </row>
    <row r="40" spans="1:28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3611</v>
      </c>
      <c r="AB40">
        <f ca="1">COUNTIF(B:B,bron[[#This Row],[volledige naam]])</f>
        <v>3</v>
      </c>
    </row>
    <row r="41" spans="1:28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3611</v>
      </c>
      <c r="AB41">
        <f ca="1">COUNTIF(B:B,bron[[#This Row],[volledige naam]])</f>
        <v>1</v>
      </c>
    </row>
    <row r="42" spans="1:28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3611</v>
      </c>
      <c r="AB42">
        <f ca="1">COUNTIF(B:B,bron[[#This Row],[volledige naam]])</f>
        <v>1</v>
      </c>
    </row>
    <row r="43" spans="1:28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3611</v>
      </c>
      <c r="AB43">
        <f ca="1">COUNTIF(B:B,bron[[#This Row],[volledige naam]])</f>
        <v>3</v>
      </c>
    </row>
    <row r="44" spans="1:28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3611</v>
      </c>
      <c r="AB44">
        <f ca="1">COUNTIF(B:B,bron[[#This Row],[volledige naam]])</f>
        <v>3</v>
      </c>
    </row>
    <row r="45" spans="1:28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3611</v>
      </c>
      <c r="AB45">
        <f ca="1">COUNTIF(B:B,bron[[#This Row],[volledige naam]])</f>
        <v>4</v>
      </c>
    </row>
    <row r="46" spans="1:28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3611</v>
      </c>
      <c r="AB46">
        <f ca="1">COUNTIF(B:B,bron[[#This Row],[volledige naam]])</f>
        <v>5</v>
      </c>
    </row>
    <row r="47" spans="1:28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3611</v>
      </c>
      <c r="AB47">
        <f ca="1">COUNTIF(B:B,bron[[#This Row],[volledige naam]])</f>
        <v>5</v>
      </c>
    </row>
    <row r="48" spans="1:28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3611</v>
      </c>
      <c r="AB48">
        <f ca="1">COUNTIF(B:B,bron[[#This Row],[volledige naam]])</f>
        <v>1</v>
      </c>
    </row>
    <row r="49" spans="1:28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3611</v>
      </c>
      <c r="AB49">
        <f ca="1">COUNTIF(B:B,bron[[#This Row],[volledige naam]])</f>
        <v>5</v>
      </c>
    </row>
    <row r="50" spans="1:28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3611</v>
      </c>
      <c r="AB50">
        <f ca="1">COUNTIF(B:B,bron[[#This Row],[volledige naam]])</f>
        <v>3</v>
      </c>
    </row>
    <row r="51" spans="1:28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3611</v>
      </c>
      <c r="AB51">
        <f ca="1">COUNTIF(B:B,bron[[#This Row],[volledige naam]])</f>
        <v>5</v>
      </c>
    </row>
    <row r="52" spans="1:28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3611</v>
      </c>
      <c r="AB52">
        <f ca="1">COUNTIF(B:B,bron[[#This Row],[volledige naam]])</f>
        <v>2</v>
      </c>
    </row>
    <row r="53" spans="1:28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3611</v>
      </c>
      <c r="AB53">
        <f ca="1">COUNTIF(B:B,bron[[#This Row],[volledige naam]])</f>
        <v>19</v>
      </c>
    </row>
    <row r="54" spans="1:28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3611</v>
      </c>
      <c r="AB54">
        <f ca="1">COUNTIF(B:B,bron[[#This Row],[volledige naam]])</f>
        <v>1</v>
      </c>
    </row>
    <row r="55" spans="1:28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3611</v>
      </c>
      <c r="AB55">
        <f ca="1">COUNTIF(B:B,bron[[#This Row],[volledige naam]])</f>
        <v>5</v>
      </c>
    </row>
    <row r="56" spans="1:28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3611</v>
      </c>
      <c r="AB56">
        <f ca="1">COUNTIF(B:B,bron[[#This Row],[volledige naam]])</f>
        <v>1</v>
      </c>
    </row>
    <row r="57" spans="1:28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3611</v>
      </c>
      <c r="AB57">
        <f ca="1">COUNTIF(B:B,bron[[#This Row],[volledige naam]])</f>
        <v>3</v>
      </c>
    </row>
    <row r="58" spans="1:28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3611</v>
      </c>
      <c r="AB58">
        <f ca="1">COUNTIF(B:B,bron[[#This Row],[volledige naam]])</f>
        <v>7</v>
      </c>
    </row>
    <row r="59" spans="1:28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3611</v>
      </c>
      <c r="AB59">
        <f ca="1">COUNTIF(B:B,bron[[#This Row],[volledige naam]])</f>
        <v>58</v>
      </c>
    </row>
    <row r="60" spans="1:28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3611</v>
      </c>
      <c r="AB60">
        <f ca="1">COUNTIF(B:B,bron[[#This Row],[volledige naam]])</f>
        <v>4</v>
      </c>
    </row>
    <row r="61" spans="1:28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3611</v>
      </c>
      <c r="AB61">
        <f ca="1">COUNTIF(B:B,bron[[#This Row],[volledige naam]])</f>
        <v>2</v>
      </c>
    </row>
    <row r="62" spans="1:28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3611</v>
      </c>
      <c r="AB62">
        <f ca="1">COUNTIF(B:B,bron[[#This Row],[volledige naam]])</f>
        <v>5</v>
      </c>
    </row>
    <row r="63" spans="1:28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3611</v>
      </c>
      <c r="AB63">
        <f ca="1">COUNTIF(B:B,bron[[#This Row],[volledige naam]])</f>
        <v>2</v>
      </c>
    </row>
    <row r="64" spans="1:28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3611</v>
      </c>
      <c r="AB64">
        <f ca="1">COUNTIF(B:B,bron[[#This Row],[volledige naam]])</f>
        <v>4</v>
      </c>
    </row>
    <row r="65" spans="1:28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3611</v>
      </c>
      <c r="AB65">
        <f ca="1">COUNTIF(B:B,bron[[#This Row],[volledige naam]])</f>
        <v>5</v>
      </c>
    </row>
    <row r="66" spans="1:28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3611</v>
      </c>
      <c r="AB66">
        <f ca="1">COUNTIF(B:B,bron[[#This Row],[volledige naam]])</f>
        <v>19</v>
      </c>
    </row>
    <row r="67" spans="1:28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3611</v>
      </c>
      <c r="AB67">
        <f ca="1">COUNTIF(B:B,bron[[#This Row],[volledige naam]])</f>
        <v>5</v>
      </c>
    </row>
    <row r="68" spans="1:28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3611</v>
      </c>
      <c r="AB68">
        <f ca="1">COUNTIF(B:B,bron[[#This Row],[volledige naam]])</f>
        <v>1</v>
      </c>
    </row>
    <row r="69" spans="1:28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3611</v>
      </c>
      <c r="AB69">
        <f ca="1">COUNTIF(B:B,bron[[#This Row],[volledige naam]])</f>
        <v>7</v>
      </c>
    </row>
    <row r="70" spans="1:28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3611</v>
      </c>
      <c r="AB70">
        <f ca="1">COUNTIF(B:B,bron[[#This Row],[volledige naam]])</f>
        <v>1</v>
      </c>
    </row>
    <row r="71" spans="1:28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3611</v>
      </c>
      <c r="AB71">
        <f ca="1">COUNTIF(B:B,bron[[#This Row],[volledige naam]])</f>
        <v>19</v>
      </c>
    </row>
    <row r="72" spans="1:28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3611</v>
      </c>
      <c r="AB72">
        <f ca="1">COUNTIF(B:B,bron[[#This Row],[volledige naam]])</f>
        <v>1</v>
      </c>
    </row>
    <row r="73" spans="1:28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3611</v>
      </c>
      <c r="AB73">
        <f ca="1">COUNTIF(B:B,bron[[#This Row],[volledige naam]])</f>
        <v>1</v>
      </c>
    </row>
    <row r="74" spans="1:28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3611</v>
      </c>
      <c r="AB74">
        <f ca="1">COUNTIF(B:B,bron[[#This Row],[volledige naam]])</f>
        <v>4</v>
      </c>
    </row>
    <row r="75" spans="1:28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3611</v>
      </c>
      <c r="AB75">
        <f ca="1">COUNTIF(B:B,bron[[#This Row],[volledige naam]])</f>
        <v>1</v>
      </c>
    </row>
    <row r="76" spans="1:28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3611</v>
      </c>
      <c r="AB76">
        <f ca="1">COUNTIF(B:B,bron[[#This Row],[volledige naam]])</f>
        <v>58</v>
      </c>
    </row>
    <row r="77" spans="1:28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3611</v>
      </c>
      <c r="AB77">
        <f ca="1">COUNTIF(B:B,bron[[#This Row],[volledige naam]])</f>
        <v>2</v>
      </c>
    </row>
    <row r="78" spans="1:28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3611</v>
      </c>
      <c r="AB78">
        <f ca="1">COUNTIF(B:B,bron[[#This Row],[volledige naam]])</f>
        <v>3</v>
      </c>
    </row>
    <row r="79" spans="1:28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3611</v>
      </c>
      <c r="AB79">
        <f ca="1">COUNTIF(B:B,bron[[#This Row],[volledige naam]])</f>
        <v>4</v>
      </c>
    </row>
    <row r="80" spans="1:28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3611</v>
      </c>
      <c r="AB80">
        <f ca="1">COUNTIF(B:B,bron[[#This Row],[volledige naam]])</f>
        <v>4</v>
      </c>
    </row>
    <row r="81" spans="1:28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3611</v>
      </c>
      <c r="AB81">
        <f ca="1">COUNTIF(B:B,bron[[#This Row],[volledige naam]])</f>
        <v>1</v>
      </c>
    </row>
    <row r="82" spans="1:28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3611</v>
      </c>
      <c r="AB82">
        <f ca="1">COUNTIF(B:B,bron[[#This Row],[volledige naam]])</f>
        <v>6</v>
      </c>
    </row>
    <row r="83" spans="1:28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3611</v>
      </c>
      <c r="AB83">
        <f ca="1">COUNTIF(B:B,bron[[#This Row],[volledige naam]])</f>
        <v>10</v>
      </c>
    </row>
    <row r="84" spans="1:28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3611</v>
      </c>
      <c r="AB84">
        <f ca="1">COUNTIF(B:B,bron[[#This Row],[volledige naam]])</f>
        <v>4</v>
      </c>
    </row>
    <row r="85" spans="1:28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3611</v>
      </c>
      <c r="AB85">
        <f ca="1">COUNTIF(B:B,bron[[#This Row],[volledige naam]])</f>
        <v>2</v>
      </c>
    </row>
    <row r="86" spans="1:28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3611</v>
      </c>
      <c r="AB86">
        <f ca="1">COUNTIF(B:B,bron[[#This Row],[volledige naam]])</f>
        <v>3</v>
      </c>
    </row>
    <row r="87" spans="1:28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3611</v>
      </c>
      <c r="AB87">
        <f ca="1">COUNTIF(B:B,bron[[#This Row],[volledige naam]])</f>
        <v>3</v>
      </c>
    </row>
    <row r="88" spans="1:28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3611</v>
      </c>
      <c r="AB88">
        <f ca="1">COUNTIF(B:B,bron[[#This Row],[volledige naam]])</f>
        <v>3</v>
      </c>
    </row>
    <row r="89" spans="1:28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3611</v>
      </c>
      <c r="AB89">
        <f ca="1">COUNTIF(B:B,bron[[#This Row],[volledige naam]])</f>
        <v>9</v>
      </c>
    </row>
    <row r="90" spans="1:28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3611</v>
      </c>
      <c r="AB90">
        <f ca="1">COUNTIF(B:B,bron[[#This Row],[volledige naam]])</f>
        <v>2</v>
      </c>
    </row>
    <row r="91" spans="1:28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3611</v>
      </c>
      <c r="AB91">
        <f ca="1">COUNTIF(B:B,bron[[#This Row],[volledige naam]])</f>
        <v>2</v>
      </c>
    </row>
    <row r="92" spans="1:28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3611</v>
      </c>
      <c r="AB92">
        <f ca="1">COUNTIF(B:B,bron[[#This Row],[volledige naam]])</f>
        <v>4</v>
      </c>
    </row>
    <row r="93" spans="1:28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3611</v>
      </c>
      <c r="AB93">
        <f ca="1">COUNTIF(B:B,bron[[#This Row],[volledige naam]])</f>
        <v>10</v>
      </c>
    </row>
    <row r="94" spans="1:28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3611</v>
      </c>
      <c r="AB94">
        <f ca="1">COUNTIF(B:B,bron[[#This Row],[volledige naam]])</f>
        <v>6</v>
      </c>
    </row>
    <row r="95" spans="1:28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3611</v>
      </c>
      <c r="AB95">
        <f ca="1">COUNTIF(B:B,bron[[#This Row],[volledige naam]])</f>
        <v>4</v>
      </c>
    </row>
    <row r="96" spans="1:28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3611</v>
      </c>
      <c r="AB96">
        <f ca="1">COUNTIF(B:B,bron[[#This Row],[volledige naam]])</f>
        <v>4</v>
      </c>
    </row>
    <row r="97" spans="1:28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3611</v>
      </c>
      <c r="AB97">
        <f ca="1">COUNTIF(B:B,bron[[#This Row],[volledige naam]])</f>
        <v>58</v>
      </c>
    </row>
    <row r="98" spans="1:28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3611</v>
      </c>
      <c r="AB98">
        <f ca="1">COUNTIF(B:B,bron[[#This Row],[volledige naam]])</f>
        <v>6</v>
      </c>
    </row>
    <row r="99" spans="1:28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3611</v>
      </c>
      <c r="AB99">
        <f ca="1">COUNTIF(B:B,bron[[#This Row],[volledige naam]])</f>
        <v>9</v>
      </c>
    </row>
    <row r="100" spans="1:28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3611</v>
      </c>
      <c r="AB100">
        <f ca="1">COUNTIF(B:B,bron[[#This Row],[volledige naam]])</f>
        <v>6</v>
      </c>
    </row>
    <row r="101" spans="1:28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3611</v>
      </c>
      <c r="AB101">
        <f ca="1">COUNTIF(B:B,bron[[#This Row],[volledige naam]])</f>
        <v>4</v>
      </c>
    </row>
    <row r="102" spans="1:28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3611</v>
      </c>
      <c r="AB102">
        <f ca="1">COUNTIF(B:B,bron[[#This Row],[volledige naam]])</f>
        <v>3</v>
      </c>
    </row>
    <row r="103" spans="1:28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3611</v>
      </c>
      <c r="AB103">
        <f ca="1">COUNTIF(B:B,bron[[#This Row],[volledige naam]])</f>
        <v>58</v>
      </c>
    </row>
    <row r="104" spans="1:28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3611</v>
      </c>
      <c r="AB104">
        <f ca="1">COUNTIF(B:B,bron[[#This Row],[volledige naam]])</f>
        <v>2</v>
      </c>
    </row>
    <row r="105" spans="1:28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3611</v>
      </c>
      <c r="AB105">
        <f ca="1">COUNTIF(B:B,bron[[#This Row],[volledige naam]])</f>
        <v>6</v>
      </c>
    </row>
    <row r="106" spans="1:28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3611</v>
      </c>
      <c r="AB106">
        <f ca="1">COUNTIF(B:B,bron[[#This Row],[volledige naam]])</f>
        <v>10</v>
      </c>
    </row>
    <row r="107" spans="1:28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3611</v>
      </c>
      <c r="AB107">
        <f ca="1">COUNTIF(B:B,bron[[#This Row],[volledige naam]])</f>
        <v>2</v>
      </c>
    </row>
    <row r="108" spans="1:28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3611</v>
      </c>
      <c r="AB108">
        <f ca="1">COUNTIF(B:B,bron[[#This Row],[volledige naam]])</f>
        <v>2</v>
      </c>
    </row>
    <row r="109" spans="1:28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3611</v>
      </c>
      <c r="AB109">
        <f ca="1">COUNTIF(B:B,bron[[#This Row],[volledige naam]])</f>
        <v>3</v>
      </c>
    </row>
    <row r="110" spans="1:28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3611</v>
      </c>
      <c r="AB110">
        <f ca="1">COUNTIF(B:B,bron[[#This Row],[volledige naam]])</f>
        <v>3</v>
      </c>
    </row>
    <row r="111" spans="1:28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3611</v>
      </c>
      <c r="AB111">
        <f ca="1">COUNTIF(B:B,bron[[#This Row],[volledige naam]])</f>
        <v>1</v>
      </c>
    </row>
    <row r="112" spans="1:28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3611</v>
      </c>
      <c r="AB112">
        <f ca="1">COUNTIF(B:B,bron[[#This Row],[volledige naam]])</f>
        <v>7</v>
      </c>
    </row>
    <row r="113" spans="1:28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3611</v>
      </c>
      <c r="AB113">
        <f ca="1">COUNTIF(B:B,bron[[#This Row],[volledige naam]])</f>
        <v>2</v>
      </c>
    </row>
    <row r="114" spans="1:28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3611</v>
      </c>
      <c r="AB114">
        <f ca="1">COUNTIF(B:B,bron[[#This Row],[volledige naam]])</f>
        <v>1</v>
      </c>
    </row>
    <row r="115" spans="1:28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3611</v>
      </c>
      <c r="AB115">
        <f ca="1">COUNTIF(B:B,bron[[#This Row],[volledige naam]])</f>
        <v>4</v>
      </c>
    </row>
    <row r="116" spans="1:28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3611</v>
      </c>
      <c r="AB116">
        <f ca="1">COUNTIF(B:B,bron[[#This Row],[volledige naam]])</f>
        <v>1</v>
      </c>
    </row>
    <row r="117" spans="1:28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3611</v>
      </c>
      <c r="AB117">
        <f ca="1">COUNTIF(B:B,bron[[#This Row],[volledige naam]])</f>
        <v>19</v>
      </c>
    </row>
    <row r="118" spans="1:28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3611</v>
      </c>
      <c r="AB118">
        <f ca="1">COUNTIF(B:B,bron[[#This Row],[volledige naam]])</f>
        <v>3</v>
      </c>
    </row>
    <row r="119" spans="1:28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3611</v>
      </c>
      <c r="AB119">
        <f ca="1">COUNTIF(B:B,bron[[#This Row],[volledige naam]])</f>
        <v>1</v>
      </c>
    </row>
    <row r="120" spans="1:28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3611</v>
      </c>
      <c r="AB120">
        <f ca="1">COUNTIF(B:B,bron[[#This Row],[volledige naam]])</f>
        <v>5</v>
      </c>
    </row>
    <row r="121" spans="1:28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3611</v>
      </c>
      <c r="AB121">
        <f ca="1">COUNTIF(B:B,bron[[#This Row],[volledige naam]])</f>
        <v>4</v>
      </c>
    </row>
    <row r="122" spans="1:28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3611</v>
      </c>
      <c r="AB122">
        <f ca="1">COUNTIF(B:B,bron[[#This Row],[volledige naam]])</f>
        <v>3</v>
      </c>
    </row>
    <row r="123" spans="1:28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3611</v>
      </c>
      <c r="AB123">
        <f ca="1">COUNTIF(B:B,bron[[#This Row],[volledige naam]])</f>
        <v>10</v>
      </c>
    </row>
    <row r="124" spans="1:28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3611</v>
      </c>
      <c r="AB124">
        <f ca="1">COUNTIF(B:B,bron[[#This Row],[volledige naam]])</f>
        <v>8</v>
      </c>
    </row>
    <row r="125" spans="1:28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3611</v>
      </c>
      <c r="AB125">
        <f ca="1">COUNTIF(B:B,bron[[#This Row],[volledige naam]])</f>
        <v>58</v>
      </c>
    </row>
    <row r="126" spans="1:28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3611</v>
      </c>
      <c r="AB126">
        <f ca="1">COUNTIF(B:B,bron[[#This Row],[volledige naam]])</f>
        <v>1</v>
      </c>
    </row>
    <row r="127" spans="1:28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3611</v>
      </c>
      <c r="AB127">
        <f ca="1">COUNTIF(B:B,bron[[#This Row],[volledige naam]])</f>
        <v>2</v>
      </c>
    </row>
    <row r="128" spans="1:28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3611</v>
      </c>
      <c r="AB128">
        <f ca="1">COUNTIF(B:B,bron[[#This Row],[volledige naam]])</f>
        <v>3</v>
      </c>
    </row>
    <row r="129" spans="1:28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3611</v>
      </c>
      <c r="AB129">
        <f ca="1">COUNTIF(B:B,bron[[#This Row],[volledige naam]])</f>
        <v>2</v>
      </c>
    </row>
    <row r="130" spans="1:28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3611</v>
      </c>
      <c r="AB130">
        <f ca="1">COUNTIF(B:B,bron[[#This Row],[volledige naam]])</f>
        <v>6</v>
      </c>
    </row>
    <row r="131" spans="1:28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3611</v>
      </c>
      <c r="AB131">
        <f ca="1">COUNTIF(B:B,bron[[#This Row],[volledige naam]])</f>
        <v>1</v>
      </c>
    </row>
    <row r="132" spans="1:28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3611</v>
      </c>
      <c r="AB132">
        <f ca="1">COUNTIF(B:B,bron[[#This Row],[volledige naam]])</f>
        <v>2</v>
      </c>
    </row>
    <row r="133" spans="1:28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3611</v>
      </c>
      <c r="AB133">
        <f ca="1">COUNTIF(B:B,bron[[#This Row],[volledige naam]])</f>
        <v>1</v>
      </c>
    </row>
    <row r="134" spans="1:28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3611</v>
      </c>
      <c r="AB134">
        <f ca="1">COUNTIF(B:B,bron[[#This Row],[volledige naam]])</f>
        <v>58</v>
      </c>
    </row>
    <row r="135" spans="1:28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3611</v>
      </c>
      <c r="AB135">
        <f ca="1">COUNTIF(B:B,bron[[#This Row],[volledige naam]])</f>
        <v>2</v>
      </c>
    </row>
    <row r="136" spans="1:28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3611</v>
      </c>
      <c r="AB136">
        <f ca="1">COUNTIF(B:B,bron[[#This Row],[volledige naam]])</f>
        <v>3</v>
      </c>
    </row>
    <row r="137" spans="1:28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3611</v>
      </c>
      <c r="AB137">
        <f ca="1">COUNTIF(B:B,bron[[#This Row],[volledige naam]])</f>
        <v>4</v>
      </c>
    </row>
    <row r="138" spans="1:28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3611</v>
      </c>
      <c r="AB138">
        <f ca="1">COUNTIF(B:B,bron[[#This Row],[volledige naam]])</f>
        <v>4</v>
      </c>
    </row>
    <row r="139" spans="1:28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3611</v>
      </c>
      <c r="AB139">
        <f ca="1">COUNTIF(B:B,bron[[#This Row],[volledige naam]])</f>
        <v>2</v>
      </c>
    </row>
    <row r="140" spans="1:28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3611</v>
      </c>
      <c r="AB140">
        <f ca="1">COUNTIF(B:B,bron[[#This Row],[volledige naam]])</f>
        <v>1</v>
      </c>
    </row>
    <row r="141" spans="1:28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3611</v>
      </c>
      <c r="AB141">
        <f ca="1">COUNTIF(B:B,bron[[#This Row],[volledige naam]])</f>
        <v>58</v>
      </c>
    </row>
    <row r="142" spans="1:28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3611</v>
      </c>
      <c r="AB142">
        <f ca="1">COUNTIF(B:B,bron[[#This Row],[volledige naam]])</f>
        <v>3</v>
      </c>
    </row>
    <row r="143" spans="1:28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3611</v>
      </c>
      <c r="AB143">
        <f ca="1">COUNTIF(B:B,bron[[#This Row],[volledige naam]])</f>
        <v>1</v>
      </c>
    </row>
    <row r="144" spans="1:28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3611</v>
      </c>
      <c r="AB144">
        <f ca="1">COUNTIF(B:B,bron[[#This Row],[volledige naam]])</f>
        <v>58</v>
      </c>
    </row>
    <row r="145" spans="1:28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3611</v>
      </c>
      <c r="AB145">
        <f ca="1">COUNTIF(B:B,bron[[#This Row],[volledige naam]])</f>
        <v>6</v>
      </c>
    </row>
    <row r="146" spans="1:28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3611</v>
      </c>
      <c r="AB146">
        <f ca="1">COUNTIF(B:B,bron[[#This Row],[volledige naam]])</f>
        <v>1</v>
      </c>
    </row>
    <row r="147" spans="1:28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3611</v>
      </c>
      <c r="AB147">
        <f ca="1">COUNTIF(B:B,bron[[#This Row],[volledige naam]])</f>
        <v>3</v>
      </c>
    </row>
    <row r="148" spans="1:28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3611</v>
      </c>
      <c r="AB148">
        <f ca="1">COUNTIF(B:B,bron[[#This Row],[volledige naam]])</f>
        <v>58</v>
      </c>
    </row>
    <row r="149" spans="1:28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3611</v>
      </c>
      <c r="AB149">
        <f ca="1">COUNTIF(B:B,bron[[#This Row],[volledige naam]])</f>
        <v>1</v>
      </c>
    </row>
    <row r="150" spans="1:28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3611</v>
      </c>
      <c r="AB150">
        <f ca="1">COUNTIF(B:B,bron[[#This Row],[volledige naam]])</f>
        <v>58</v>
      </c>
    </row>
    <row r="151" spans="1:28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3611</v>
      </c>
      <c r="AB151">
        <f ca="1">COUNTIF(B:B,bron[[#This Row],[volledige naam]])</f>
        <v>4</v>
      </c>
    </row>
    <row r="152" spans="1:28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3611</v>
      </c>
      <c r="AB152">
        <f ca="1">COUNTIF(B:B,bron[[#This Row],[volledige naam]])</f>
        <v>1</v>
      </c>
    </row>
    <row r="153" spans="1:28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3611</v>
      </c>
      <c r="AB153">
        <f ca="1">COUNTIF(B:B,bron[[#This Row],[volledige naam]])</f>
        <v>2</v>
      </c>
    </row>
    <row r="154" spans="1:28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3611</v>
      </c>
      <c r="AB154">
        <f ca="1">COUNTIF(B:B,bron[[#This Row],[volledige naam]])</f>
        <v>1</v>
      </c>
    </row>
    <row r="155" spans="1:28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3611</v>
      </c>
      <c r="AB155">
        <f ca="1">COUNTIF(B:B,bron[[#This Row],[volledige naam]])</f>
        <v>3</v>
      </c>
    </row>
    <row r="156" spans="1:28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3611</v>
      </c>
      <c r="AB156">
        <f ca="1">COUNTIF(B:B,bron[[#This Row],[volledige naam]])</f>
        <v>2</v>
      </c>
    </row>
    <row r="157" spans="1:28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3611</v>
      </c>
      <c r="AB157">
        <f ca="1">COUNTIF(B:B,bron[[#This Row],[volledige naam]])</f>
        <v>2</v>
      </c>
    </row>
    <row r="158" spans="1:28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3611</v>
      </c>
      <c r="AB158">
        <f ca="1">COUNTIF(B:B,bron[[#This Row],[volledige naam]])</f>
        <v>8</v>
      </c>
    </row>
    <row r="159" spans="1:28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3611</v>
      </c>
      <c r="AB159">
        <f ca="1">COUNTIF(B:B,bron[[#This Row],[volledige naam]])</f>
        <v>1</v>
      </c>
    </row>
    <row r="160" spans="1:28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3611</v>
      </c>
      <c r="AB160">
        <f ca="1">COUNTIF(B:B,bron[[#This Row],[volledige naam]])</f>
        <v>3</v>
      </c>
    </row>
    <row r="161" spans="1:28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3611</v>
      </c>
      <c r="AB161">
        <f ca="1">COUNTIF(B:B,bron[[#This Row],[volledige naam]])</f>
        <v>4</v>
      </c>
    </row>
    <row r="162" spans="1:28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3611</v>
      </c>
      <c r="AB162">
        <f ca="1">COUNTIF(B:B,bron[[#This Row],[volledige naam]])</f>
        <v>3</v>
      </c>
    </row>
    <row r="163" spans="1:28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3611</v>
      </c>
      <c r="AB163">
        <f ca="1">COUNTIF(B:B,bron[[#This Row],[volledige naam]])</f>
        <v>4</v>
      </c>
    </row>
    <row r="164" spans="1:28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3611</v>
      </c>
      <c r="AB164">
        <f ca="1">COUNTIF(B:B,bron[[#This Row],[volledige naam]])</f>
        <v>6</v>
      </c>
    </row>
    <row r="165" spans="1:28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3611</v>
      </c>
      <c r="AB165">
        <f ca="1">COUNTIF(B:B,bron[[#This Row],[volledige naam]])</f>
        <v>2</v>
      </c>
    </row>
    <row r="166" spans="1:28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3611</v>
      </c>
      <c r="AB166">
        <f ca="1">COUNTIF(B:B,bron[[#This Row],[volledige naam]])</f>
        <v>1</v>
      </c>
    </row>
    <row r="167" spans="1:28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3611</v>
      </c>
      <c r="AB167">
        <f ca="1">COUNTIF(B:B,bron[[#This Row],[volledige naam]])</f>
        <v>58</v>
      </c>
    </row>
    <row r="168" spans="1:28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3611</v>
      </c>
      <c r="AB168">
        <f ca="1">COUNTIF(B:B,bron[[#This Row],[volledige naam]])</f>
        <v>1</v>
      </c>
    </row>
    <row r="169" spans="1:28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3611</v>
      </c>
      <c r="AB169">
        <f ca="1">COUNTIF(B:B,bron[[#This Row],[volledige naam]])</f>
        <v>1</v>
      </c>
    </row>
    <row r="170" spans="1:28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3611</v>
      </c>
      <c r="AB170">
        <f ca="1">COUNTIF(B:B,bron[[#This Row],[volledige naam]])</f>
        <v>10</v>
      </c>
    </row>
    <row r="171" spans="1:28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3611</v>
      </c>
      <c r="AB171">
        <f ca="1">COUNTIF(B:B,bron[[#This Row],[volledige naam]])</f>
        <v>2</v>
      </c>
    </row>
    <row r="172" spans="1:28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3611</v>
      </c>
      <c r="AB172">
        <f ca="1">COUNTIF(B:B,bron[[#This Row],[volledige naam]])</f>
        <v>1</v>
      </c>
    </row>
    <row r="173" spans="1:28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3611</v>
      </c>
      <c r="AB173">
        <f ca="1">COUNTIF(B:B,bron[[#This Row],[volledige naam]])</f>
        <v>1</v>
      </c>
    </row>
    <row r="174" spans="1:28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3611</v>
      </c>
      <c r="AB174">
        <f ca="1">COUNTIF(B:B,bron[[#This Row],[volledige naam]])</f>
        <v>58</v>
      </c>
    </row>
    <row r="175" spans="1:28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3611</v>
      </c>
      <c r="AB175">
        <f ca="1">COUNTIF(B:B,bron[[#This Row],[volledige naam]])</f>
        <v>58</v>
      </c>
    </row>
    <row r="176" spans="1:28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3611</v>
      </c>
      <c r="AB176">
        <f ca="1">COUNTIF(B:B,bron[[#This Row],[volledige naam]])</f>
        <v>2</v>
      </c>
    </row>
    <row r="177" spans="1:28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3611</v>
      </c>
      <c r="AB177">
        <f ca="1">COUNTIF(B:B,bron[[#This Row],[volledige naam]])</f>
        <v>2</v>
      </c>
    </row>
    <row r="178" spans="1:28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3611</v>
      </c>
      <c r="AB178">
        <f ca="1">COUNTIF(B:B,bron[[#This Row],[volledige naam]])</f>
        <v>2</v>
      </c>
    </row>
    <row r="179" spans="1:28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3611</v>
      </c>
      <c r="AB179">
        <f ca="1">COUNTIF(B:B,bron[[#This Row],[volledige naam]])</f>
        <v>58</v>
      </c>
    </row>
    <row r="180" spans="1:28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3611</v>
      </c>
      <c r="AB180">
        <f ca="1">COUNTIF(B:B,bron[[#This Row],[volledige naam]])</f>
        <v>19</v>
      </c>
    </row>
    <row r="181" spans="1:28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3611</v>
      </c>
      <c r="AB181">
        <f ca="1">COUNTIF(B:B,bron[[#This Row],[volledige naam]])</f>
        <v>1</v>
      </c>
    </row>
    <row r="182" spans="1:28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3611</v>
      </c>
      <c r="AB182">
        <f ca="1">COUNTIF(B:B,bron[[#This Row],[volledige naam]])</f>
        <v>2</v>
      </c>
    </row>
    <row r="183" spans="1:28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3611</v>
      </c>
      <c r="AB183">
        <f ca="1">COUNTIF(B:B,bron[[#This Row],[volledige naam]])</f>
        <v>7</v>
      </c>
    </row>
    <row r="184" spans="1:28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3611</v>
      </c>
      <c r="AB184">
        <f ca="1">COUNTIF(B:B,bron[[#This Row],[volledige naam]])</f>
        <v>4</v>
      </c>
    </row>
    <row r="185" spans="1:28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3611</v>
      </c>
      <c r="AB185">
        <f ca="1">COUNTIF(B:B,bron[[#This Row],[volledige naam]])</f>
        <v>4</v>
      </c>
    </row>
    <row r="186" spans="1:28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3611</v>
      </c>
      <c r="AB186">
        <f ca="1">COUNTIF(B:B,bron[[#This Row],[volledige naam]])</f>
        <v>1</v>
      </c>
    </row>
    <row r="187" spans="1:28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3611</v>
      </c>
      <c r="AB187">
        <f ca="1">COUNTIF(B:B,bron[[#This Row],[volledige naam]])</f>
        <v>2</v>
      </c>
    </row>
    <row r="188" spans="1:28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3611</v>
      </c>
      <c r="AB188">
        <f ca="1">COUNTIF(B:B,bron[[#This Row],[volledige naam]])</f>
        <v>3</v>
      </c>
    </row>
    <row r="189" spans="1:28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3611</v>
      </c>
      <c r="AB189">
        <f ca="1">COUNTIF(B:B,bron[[#This Row],[volledige naam]])</f>
        <v>10</v>
      </c>
    </row>
    <row r="190" spans="1:28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3611</v>
      </c>
      <c r="AB190">
        <f ca="1">COUNTIF(B:B,bron[[#This Row],[volledige naam]])</f>
        <v>3</v>
      </c>
    </row>
    <row r="191" spans="1:28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3611</v>
      </c>
      <c r="AB191">
        <f ca="1">COUNTIF(B:B,bron[[#This Row],[volledige naam]])</f>
        <v>1</v>
      </c>
    </row>
    <row r="192" spans="1:28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3611</v>
      </c>
      <c r="AB192">
        <f ca="1">COUNTIF(B:B,bron[[#This Row],[volledige naam]])</f>
        <v>2</v>
      </c>
    </row>
    <row r="193" spans="1:28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3611</v>
      </c>
      <c r="AB193">
        <f ca="1">COUNTIF(B:B,bron[[#This Row],[volledige naam]])</f>
        <v>4</v>
      </c>
    </row>
    <row r="194" spans="1:28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3611</v>
      </c>
      <c r="AB194">
        <f ca="1">COUNTIF(B:B,bron[[#This Row],[volledige naam]])</f>
        <v>58</v>
      </c>
    </row>
    <row r="195" spans="1:28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3611</v>
      </c>
      <c r="AB195">
        <f ca="1">COUNTIF(B:B,bron[[#This Row],[volledige naam]])</f>
        <v>2</v>
      </c>
    </row>
    <row r="196" spans="1:28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3611</v>
      </c>
      <c r="AB196">
        <f ca="1">COUNTIF(B:B,bron[[#This Row],[volledige naam]])</f>
        <v>3</v>
      </c>
    </row>
    <row r="197" spans="1:28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3611</v>
      </c>
      <c r="AB197">
        <f ca="1">COUNTIF(B:B,bron[[#This Row],[volledige naam]])</f>
        <v>2</v>
      </c>
    </row>
    <row r="198" spans="1:28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3611</v>
      </c>
      <c r="AB198">
        <f ca="1">COUNTIF(B:B,bron[[#This Row],[volledige naam]])</f>
        <v>1</v>
      </c>
    </row>
    <row r="199" spans="1:28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3611</v>
      </c>
      <c r="AB199">
        <f ca="1">COUNTIF(B:B,bron[[#This Row],[volledige naam]])</f>
        <v>58</v>
      </c>
    </row>
    <row r="200" spans="1:28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3611</v>
      </c>
      <c r="AB200">
        <f ca="1">COUNTIF(B:B,bron[[#This Row],[volledige naam]])</f>
        <v>3</v>
      </c>
    </row>
    <row r="201" spans="1:28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3611</v>
      </c>
      <c r="AB201">
        <f ca="1">COUNTIF(B:B,bron[[#This Row],[volledige naam]])</f>
        <v>3</v>
      </c>
    </row>
    <row r="202" spans="1:28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3611</v>
      </c>
      <c r="AB202">
        <f ca="1">COUNTIF(B:B,bron[[#This Row],[volledige naam]])</f>
        <v>1</v>
      </c>
    </row>
    <row r="203" spans="1:28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3611</v>
      </c>
      <c r="AB203">
        <f ca="1">COUNTIF(B:B,bron[[#This Row],[volledige naam]])</f>
        <v>10</v>
      </c>
    </row>
    <row r="204" spans="1:28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3611</v>
      </c>
      <c r="AB204">
        <f ca="1">COUNTIF(B:B,bron[[#This Row],[volledige naam]])</f>
        <v>5</v>
      </c>
    </row>
    <row r="205" spans="1:28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3611</v>
      </c>
      <c r="AB205">
        <f ca="1">COUNTIF(B:B,bron[[#This Row],[volledige naam]])</f>
        <v>3</v>
      </c>
    </row>
    <row r="206" spans="1:28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3611</v>
      </c>
      <c r="AB206">
        <f ca="1">COUNTIF(B:B,bron[[#This Row],[volledige naam]])</f>
        <v>1</v>
      </c>
    </row>
    <row r="207" spans="1:28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3611</v>
      </c>
      <c r="AB207">
        <f ca="1">COUNTIF(B:B,bron[[#This Row],[volledige naam]])</f>
        <v>4</v>
      </c>
    </row>
    <row r="208" spans="1:28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3611</v>
      </c>
      <c r="AB208">
        <f ca="1">COUNTIF(B:B,bron[[#This Row],[volledige naam]])</f>
        <v>3</v>
      </c>
    </row>
    <row r="209" spans="1:28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3611</v>
      </c>
      <c r="AB209">
        <f ca="1">COUNTIF(B:B,bron[[#This Row],[volledige naam]])</f>
        <v>8</v>
      </c>
    </row>
    <row r="210" spans="1:28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3611</v>
      </c>
      <c r="AB210">
        <f ca="1">COUNTIF(B:B,bron[[#This Row],[volledige naam]])</f>
        <v>1</v>
      </c>
    </row>
    <row r="211" spans="1:28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3611</v>
      </c>
      <c r="AB211">
        <f ca="1">COUNTIF(B:B,bron[[#This Row],[volledige naam]])</f>
        <v>4</v>
      </c>
    </row>
    <row r="212" spans="1:28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3611</v>
      </c>
      <c r="AB212">
        <f ca="1">COUNTIF(B:B,bron[[#This Row],[volledige naam]])</f>
        <v>1</v>
      </c>
    </row>
    <row r="213" spans="1:28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3611</v>
      </c>
      <c r="AB213">
        <f ca="1">COUNTIF(B:B,bron[[#This Row],[volledige naam]])</f>
        <v>4</v>
      </c>
    </row>
    <row r="214" spans="1:28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3611</v>
      </c>
      <c r="AB214">
        <f ca="1">COUNTIF(B:B,bron[[#This Row],[volledige naam]])</f>
        <v>2</v>
      </c>
    </row>
    <row r="215" spans="1:28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3611</v>
      </c>
      <c r="AB215">
        <f ca="1">COUNTIF(B:B,bron[[#This Row],[volledige naam]])</f>
        <v>4</v>
      </c>
    </row>
    <row r="216" spans="1:28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3611</v>
      </c>
      <c r="AB216">
        <f ca="1">COUNTIF(B:B,bron[[#This Row],[volledige naam]])</f>
        <v>58</v>
      </c>
    </row>
    <row r="217" spans="1:28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3611</v>
      </c>
      <c r="AB217">
        <f ca="1">COUNTIF(B:B,bron[[#This Row],[volledige naam]])</f>
        <v>2</v>
      </c>
    </row>
    <row r="218" spans="1:28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3611</v>
      </c>
      <c r="AB218">
        <f ca="1">COUNTIF(B:B,bron[[#This Row],[volledige naam]])</f>
        <v>58</v>
      </c>
    </row>
    <row r="219" spans="1:28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3611</v>
      </c>
      <c r="AB219">
        <f ca="1">COUNTIF(B:B,bron[[#This Row],[volledige naam]])</f>
        <v>58</v>
      </c>
    </row>
    <row r="220" spans="1:28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3611</v>
      </c>
      <c r="AB220">
        <f ca="1">COUNTIF(B:B,bron[[#This Row],[volledige naam]])</f>
        <v>2</v>
      </c>
    </row>
    <row r="221" spans="1:28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3611</v>
      </c>
      <c r="AB221">
        <f ca="1">COUNTIF(B:B,bron[[#This Row],[volledige naam]])</f>
        <v>2</v>
      </c>
    </row>
    <row r="222" spans="1:28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3611</v>
      </c>
      <c r="AB222">
        <f ca="1">COUNTIF(B:B,bron[[#This Row],[volledige naam]])</f>
        <v>58</v>
      </c>
    </row>
    <row r="223" spans="1:28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3611</v>
      </c>
      <c r="AB223">
        <f ca="1">COUNTIF(B:B,bron[[#This Row],[volledige naam]])</f>
        <v>10</v>
      </c>
    </row>
    <row r="224" spans="1:28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3611</v>
      </c>
      <c r="AB224">
        <f ca="1">COUNTIF(B:B,bron[[#This Row],[volledige naam]])</f>
        <v>1</v>
      </c>
    </row>
    <row r="225" spans="1:28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3611</v>
      </c>
      <c r="AB225">
        <f ca="1">COUNTIF(B:B,bron[[#This Row],[volledige naam]])</f>
        <v>3</v>
      </c>
    </row>
    <row r="226" spans="1:28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3611</v>
      </c>
      <c r="AB226">
        <f ca="1">COUNTIF(B:B,bron[[#This Row],[volledige naam]])</f>
        <v>58</v>
      </c>
    </row>
    <row r="227" spans="1:28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3611</v>
      </c>
      <c r="AB227">
        <f ca="1">COUNTIF(B:B,bron[[#This Row],[volledige naam]])</f>
        <v>5</v>
      </c>
    </row>
    <row r="228" spans="1:28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3611</v>
      </c>
      <c r="AB228">
        <f ca="1">COUNTIF(B:B,bron[[#This Row],[volledige naam]])</f>
        <v>4</v>
      </c>
    </row>
    <row r="229" spans="1:28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3611</v>
      </c>
      <c r="AB229">
        <f ca="1">COUNTIF(B:B,bron[[#This Row],[volledige naam]])</f>
        <v>5</v>
      </c>
    </row>
    <row r="230" spans="1:28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3611</v>
      </c>
      <c r="AB230">
        <f ca="1">COUNTIF(B:B,bron[[#This Row],[volledige naam]])</f>
        <v>2</v>
      </c>
    </row>
    <row r="231" spans="1:28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3611</v>
      </c>
      <c r="AB231">
        <f ca="1">COUNTIF(B:B,bron[[#This Row],[volledige naam]])</f>
        <v>4</v>
      </c>
    </row>
    <row r="232" spans="1:28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3611</v>
      </c>
      <c r="AB232">
        <f ca="1">COUNTIF(B:B,bron[[#This Row],[volledige naam]])</f>
        <v>6</v>
      </c>
    </row>
    <row r="233" spans="1:28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3611</v>
      </c>
      <c r="AB233">
        <f ca="1">COUNTIF(B:B,bron[[#This Row],[volledige naam]])</f>
        <v>4</v>
      </c>
    </row>
    <row r="234" spans="1:28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3611</v>
      </c>
      <c r="AB234">
        <f ca="1">COUNTIF(B:B,bron[[#This Row],[volledige naam]])</f>
        <v>58</v>
      </c>
    </row>
    <row r="235" spans="1:28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3611</v>
      </c>
      <c r="AB235">
        <f ca="1">COUNTIF(B:B,bron[[#This Row],[volledige naam]])</f>
        <v>2</v>
      </c>
    </row>
    <row r="236" spans="1:28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3611</v>
      </c>
      <c r="AB236">
        <f ca="1">COUNTIF(B:B,bron[[#This Row],[volledige naam]])</f>
        <v>58</v>
      </c>
    </row>
    <row r="237" spans="1:28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3611</v>
      </c>
      <c r="AB237">
        <f ca="1">COUNTIF(B:B,bron[[#This Row],[volledige naam]])</f>
        <v>2</v>
      </c>
    </row>
    <row r="238" spans="1:28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3611</v>
      </c>
      <c r="AB238">
        <f ca="1">COUNTIF(B:B,bron[[#This Row],[volledige naam]])</f>
        <v>3</v>
      </c>
    </row>
    <row r="239" spans="1:28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3611</v>
      </c>
      <c r="AB239">
        <f ca="1">COUNTIF(B:B,bron[[#This Row],[volledige naam]])</f>
        <v>2</v>
      </c>
    </row>
    <row r="240" spans="1:28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3611</v>
      </c>
      <c r="AB240">
        <f ca="1">COUNTIF(B:B,bron[[#This Row],[volledige naam]])</f>
        <v>5</v>
      </c>
    </row>
    <row r="241" spans="1:28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3611</v>
      </c>
      <c r="AB241">
        <f ca="1">COUNTIF(B:B,bron[[#This Row],[volledige naam]])</f>
        <v>58</v>
      </c>
    </row>
    <row r="242" spans="1:28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3611</v>
      </c>
      <c r="AB242">
        <f ca="1">COUNTIF(B:B,bron[[#This Row],[volledige naam]])</f>
        <v>3</v>
      </c>
    </row>
    <row r="243" spans="1:28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3611</v>
      </c>
      <c r="AB243">
        <f ca="1">COUNTIF(B:B,bron[[#This Row],[volledige naam]])</f>
        <v>58</v>
      </c>
    </row>
    <row r="244" spans="1:28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3611</v>
      </c>
      <c r="AB244">
        <f ca="1">COUNTIF(B:B,bron[[#This Row],[volledige naam]])</f>
        <v>9</v>
      </c>
    </row>
    <row r="245" spans="1:28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3611</v>
      </c>
      <c r="AB245">
        <f ca="1">COUNTIF(B:B,bron[[#This Row],[volledige naam]])</f>
        <v>7</v>
      </c>
    </row>
    <row r="246" spans="1:28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3611</v>
      </c>
      <c r="AB246">
        <f ca="1">COUNTIF(B:B,bron[[#This Row],[volledige naam]])</f>
        <v>1</v>
      </c>
    </row>
    <row r="247" spans="1:28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3611</v>
      </c>
      <c r="AB247">
        <f ca="1">COUNTIF(B:B,bron[[#This Row],[volledige naam]])</f>
        <v>2</v>
      </c>
    </row>
    <row r="248" spans="1:28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3611</v>
      </c>
      <c r="AB248">
        <f ca="1">COUNTIF(B:B,bron[[#This Row],[volledige naam]])</f>
        <v>5</v>
      </c>
    </row>
    <row r="249" spans="1:28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3611</v>
      </c>
      <c r="AB249">
        <f ca="1">COUNTIF(B:B,bron[[#This Row],[volledige naam]])</f>
        <v>5</v>
      </c>
    </row>
    <row r="250" spans="1:28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3611</v>
      </c>
      <c r="AB250">
        <f ca="1">COUNTIF(B:B,bron[[#This Row],[volledige naam]])</f>
        <v>2</v>
      </c>
    </row>
    <row r="251" spans="1:28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3611</v>
      </c>
      <c r="AB251">
        <f ca="1">COUNTIF(B:B,bron[[#This Row],[volledige naam]])</f>
        <v>4</v>
      </c>
    </row>
    <row r="252" spans="1:28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3611</v>
      </c>
      <c r="AB252">
        <f ca="1">COUNTIF(B:B,bron[[#This Row],[volledige naam]])</f>
        <v>6</v>
      </c>
    </row>
    <row r="253" spans="1:28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3611</v>
      </c>
      <c r="AB253">
        <f ca="1">COUNTIF(B:B,bron[[#This Row],[volledige naam]])</f>
        <v>6</v>
      </c>
    </row>
    <row r="254" spans="1:28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3611</v>
      </c>
      <c r="AB254">
        <f ca="1">COUNTIF(B:B,bron[[#This Row],[volledige naam]])</f>
        <v>2</v>
      </c>
    </row>
    <row r="255" spans="1:28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3611</v>
      </c>
      <c r="AB255">
        <f ca="1">COUNTIF(B:B,bron[[#This Row],[volledige naam]])</f>
        <v>1</v>
      </c>
    </row>
    <row r="256" spans="1:28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3611</v>
      </c>
      <c r="AB256">
        <f ca="1">COUNTIF(B:B,bron[[#This Row],[volledige naam]])</f>
        <v>4</v>
      </c>
    </row>
    <row r="257" spans="1:28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3611</v>
      </c>
      <c r="AB257">
        <f ca="1">COUNTIF(B:B,bron[[#This Row],[volledige naam]])</f>
        <v>4</v>
      </c>
    </row>
    <row r="258" spans="1:28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3611</v>
      </c>
      <c r="AB258">
        <f ca="1">COUNTIF(B:B,bron[[#This Row],[volledige naam]])</f>
        <v>8</v>
      </c>
    </row>
    <row r="259" spans="1:28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3611</v>
      </c>
      <c r="AB259">
        <f ca="1">COUNTIF(B:B,bron[[#This Row],[volledige naam]])</f>
        <v>58</v>
      </c>
    </row>
    <row r="260" spans="1:28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3611</v>
      </c>
      <c r="AB260">
        <f ca="1">COUNTIF(B:B,bron[[#This Row],[volledige naam]])</f>
        <v>2</v>
      </c>
    </row>
    <row r="261" spans="1:28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3611</v>
      </c>
      <c r="AB261">
        <f ca="1">COUNTIF(B:B,bron[[#This Row],[volledige naam]])</f>
        <v>58</v>
      </c>
    </row>
    <row r="262" spans="1:28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3611</v>
      </c>
      <c r="AB262">
        <f ca="1">COUNTIF(B:B,bron[[#This Row],[volledige naam]])</f>
        <v>2</v>
      </c>
    </row>
    <row r="263" spans="1:28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3611</v>
      </c>
      <c r="AB263">
        <f ca="1">COUNTIF(B:B,bron[[#This Row],[volledige naam]])</f>
        <v>2</v>
      </c>
    </row>
    <row r="264" spans="1:28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3611</v>
      </c>
      <c r="AB264">
        <f ca="1">COUNTIF(B:B,bron[[#This Row],[volledige naam]])</f>
        <v>3</v>
      </c>
    </row>
    <row r="265" spans="1:28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3611</v>
      </c>
      <c r="AB265">
        <f ca="1">COUNTIF(B:B,bron[[#This Row],[volledige naam]])</f>
        <v>6</v>
      </c>
    </row>
    <row r="266" spans="1:28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3611</v>
      </c>
      <c r="AB266">
        <f ca="1">COUNTIF(B:B,bron[[#This Row],[volledige naam]])</f>
        <v>2</v>
      </c>
    </row>
    <row r="267" spans="1:28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3611</v>
      </c>
      <c r="AB267">
        <f ca="1">COUNTIF(B:B,bron[[#This Row],[volledige naam]])</f>
        <v>2</v>
      </c>
    </row>
    <row r="268" spans="1:28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3611</v>
      </c>
      <c r="AB268">
        <f ca="1">COUNTIF(B:B,bron[[#This Row],[volledige naam]])</f>
        <v>1</v>
      </c>
    </row>
    <row r="269" spans="1:28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3611</v>
      </c>
      <c r="AB269">
        <f ca="1">COUNTIF(B:B,bron[[#This Row],[volledige naam]])</f>
        <v>58</v>
      </c>
    </row>
    <row r="270" spans="1:28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3611</v>
      </c>
      <c r="AB270">
        <f ca="1">COUNTIF(B:B,bron[[#This Row],[volledige naam]])</f>
        <v>4</v>
      </c>
    </row>
    <row r="271" spans="1:28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3611</v>
      </c>
      <c r="AB271">
        <f ca="1">COUNTIF(B:B,bron[[#This Row],[volledige naam]])</f>
        <v>58</v>
      </c>
    </row>
    <row r="272" spans="1:28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3611</v>
      </c>
      <c r="AB272">
        <f ca="1">COUNTIF(B:B,bron[[#This Row],[volledige naam]])</f>
        <v>4</v>
      </c>
    </row>
    <row r="273" spans="1:28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3611</v>
      </c>
      <c r="AB273">
        <f ca="1">COUNTIF(B:B,bron[[#This Row],[volledige naam]])</f>
        <v>3</v>
      </c>
    </row>
    <row r="274" spans="1:28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3611</v>
      </c>
      <c r="AB274">
        <f ca="1">COUNTIF(B:B,bron[[#This Row],[volledige naam]])</f>
        <v>6</v>
      </c>
    </row>
    <row r="275" spans="1:28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3611</v>
      </c>
      <c r="AB275">
        <f ca="1">COUNTIF(B:B,bron[[#This Row],[volledige naam]])</f>
        <v>4</v>
      </c>
    </row>
    <row r="276" spans="1:28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3611</v>
      </c>
      <c r="AB276">
        <f ca="1">COUNTIF(B:B,bron[[#This Row],[volledige naam]])</f>
        <v>2</v>
      </c>
    </row>
    <row r="277" spans="1:28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3611</v>
      </c>
      <c r="AB277">
        <f ca="1">COUNTIF(B:B,bron[[#This Row],[volledige naam]])</f>
        <v>2</v>
      </c>
    </row>
    <row r="278" spans="1:28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3611</v>
      </c>
      <c r="AB278">
        <f ca="1">COUNTIF(B:B,bron[[#This Row],[volledige naam]])</f>
        <v>19</v>
      </c>
    </row>
    <row r="279" spans="1:28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3611</v>
      </c>
      <c r="AB279">
        <f ca="1">COUNTIF(B:B,bron[[#This Row],[volledige naam]])</f>
        <v>58</v>
      </c>
    </row>
    <row r="280" spans="1:28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3611</v>
      </c>
      <c r="AB280">
        <f ca="1">COUNTIF(B:B,bron[[#This Row],[volledige naam]])</f>
        <v>58</v>
      </c>
    </row>
    <row r="281" spans="1:28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3611</v>
      </c>
      <c r="AB281">
        <f ca="1">COUNTIF(B:B,bron[[#This Row],[volledige naam]])</f>
        <v>58</v>
      </c>
    </row>
    <row r="282" spans="1:28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3611</v>
      </c>
      <c r="AB282">
        <f ca="1">COUNTIF(B:B,bron[[#This Row],[volledige naam]])</f>
        <v>5</v>
      </c>
    </row>
    <row r="283" spans="1:28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3611</v>
      </c>
      <c r="AB283">
        <f ca="1">COUNTIF(B:B,bron[[#This Row],[volledige naam]])</f>
        <v>2</v>
      </c>
    </row>
    <row r="284" spans="1:28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3611</v>
      </c>
      <c r="AB284">
        <f ca="1">COUNTIF(B:B,bron[[#This Row],[volledige naam]])</f>
        <v>4</v>
      </c>
    </row>
    <row r="285" spans="1:28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3611</v>
      </c>
      <c r="AB285">
        <f ca="1">COUNTIF(B:B,bron[[#This Row],[volledige naam]])</f>
        <v>6</v>
      </c>
    </row>
    <row r="286" spans="1:28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3611</v>
      </c>
      <c r="AB286">
        <f ca="1">COUNTIF(B:B,bron[[#This Row],[volledige naam]])</f>
        <v>7</v>
      </c>
    </row>
    <row r="287" spans="1:28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3611</v>
      </c>
      <c r="AB287">
        <f ca="1">COUNTIF(B:B,bron[[#This Row],[volledige naam]])</f>
        <v>6</v>
      </c>
    </row>
    <row r="288" spans="1:28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3611</v>
      </c>
      <c r="AB288">
        <f ca="1">COUNTIF(B:B,bron[[#This Row],[volledige naam]])</f>
        <v>4</v>
      </c>
    </row>
    <row r="289" spans="1:28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3611</v>
      </c>
      <c r="AB289">
        <f ca="1">COUNTIF(B:B,bron[[#This Row],[volledige naam]])</f>
        <v>2</v>
      </c>
    </row>
    <row r="290" spans="1:28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3611</v>
      </c>
      <c r="AB290">
        <f ca="1">COUNTIF(B:B,bron[[#This Row],[volledige naam]])</f>
        <v>2</v>
      </c>
    </row>
    <row r="291" spans="1:28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3611</v>
      </c>
      <c r="AB291">
        <f ca="1">COUNTIF(B:B,bron[[#This Row],[volledige naam]])</f>
        <v>6</v>
      </c>
    </row>
    <row r="292" spans="1:28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3611</v>
      </c>
      <c r="AB292">
        <f ca="1">COUNTIF(B:B,bron[[#This Row],[volledige naam]])</f>
        <v>4</v>
      </c>
    </row>
    <row r="293" spans="1:28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3611</v>
      </c>
      <c r="AB293">
        <f ca="1">COUNTIF(B:B,bron[[#This Row],[volledige naam]])</f>
        <v>2</v>
      </c>
    </row>
    <row r="294" spans="1:28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3611</v>
      </c>
      <c r="AB294">
        <f ca="1">COUNTIF(B:B,bron[[#This Row],[volledige naam]])</f>
        <v>3</v>
      </c>
    </row>
    <row r="295" spans="1:28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3611</v>
      </c>
      <c r="AB295">
        <f ca="1">COUNTIF(B:B,bron[[#This Row],[volledige naam]])</f>
        <v>6</v>
      </c>
    </row>
    <row r="296" spans="1:28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3611</v>
      </c>
      <c r="AB296">
        <f ca="1">COUNTIF(B:B,bron[[#This Row],[volledige naam]])</f>
        <v>4</v>
      </c>
    </row>
    <row r="297" spans="1:28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3611</v>
      </c>
      <c r="AB297">
        <f ca="1">COUNTIF(B:B,bron[[#This Row],[volledige naam]])</f>
        <v>58</v>
      </c>
    </row>
    <row r="298" spans="1:28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3611</v>
      </c>
      <c r="AB298">
        <f ca="1">COUNTIF(B:B,bron[[#This Row],[volledige naam]])</f>
        <v>1</v>
      </c>
    </row>
    <row r="299" spans="1:28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3611</v>
      </c>
      <c r="AB299">
        <f ca="1">COUNTIF(B:B,bron[[#This Row],[volledige naam]])</f>
        <v>1</v>
      </c>
    </row>
    <row r="300" spans="1:28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3611</v>
      </c>
      <c r="AB300">
        <f ca="1">COUNTIF(B:B,bron[[#This Row],[volledige naam]])</f>
        <v>2</v>
      </c>
    </row>
    <row r="301" spans="1:28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3611</v>
      </c>
      <c r="AB301">
        <f ca="1">COUNTIF(B:B,bron[[#This Row],[volledige naam]])</f>
        <v>1</v>
      </c>
    </row>
    <row r="302" spans="1:28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3611</v>
      </c>
      <c r="AB302">
        <f ca="1">COUNTIF(B:B,bron[[#This Row],[volledige naam]])</f>
        <v>5</v>
      </c>
    </row>
    <row r="303" spans="1:28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3611</v>
      </c>
      <c r="AB303">
        <f ca="1">COUNTIF(B:B,bron[[#This Row],[volledige naam]])</f>
        <v>4</v>
      </c>
    </row>
    <row r="304" spans="1:28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3611</v>
      </c>
      <c r="AB304">
        <f ca="1">COUNTIF(B:B,bron[[#This Row],[volledige naam]])</f>
        <v>4</v>
      </c>
    </row>
    <row r="305" spans="1:28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3611</v>
      </c>
      <c r="AB305">
        <f ca="1">COUNTIF(B:B,bron[[#This Row],[volledige naam]])</f>
        <v>3</v>
      </c>
    </row>
    <row r="306" spans="1:28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3611</v>
      </c>
      <c r="AB306">
        <f ca="1">COUNTIF(B:B,bron[[#This Row],[volledige naam]])</f>
        <v>3</v>
      </c>
    </row>
    <row r="307" spans="1:28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3611</v>
      </c>
      <c r="AB307">
        <f ca="1">COUNTIF(B:B,bron[[#This Row],[volledige naam]])</f>
        <v>1</v>
      </c>
    </row>
    <row r="308" spans="1:28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3611</v>
      </c>
      <c r="AB308">
        <f ca="1">COUNTIF(B:B,bron[[#This Row],[volledige naam]])</f>
        <v>1</v>
      </c>
    </row>
    <row r="309" spans="1:28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3611</v>
      </c>
      <c r="AB309">
        <f ca="1">COUNTIF(B:B,bron[[#This Row],[volledige naam]])</f>
        <v>2</v>
      </c>
    </row>
    <row r="310" spans="1:28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3611</v>
      </c>
      <c r="AB310">
        <f ca="1">COUNTIF(B:B,bron[[#This Row],[volledige naam]])</f>
        <v>3</v>
      </c>
    </row>
    <row r="311" spans="1:28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3611</v>
      </c>
      <c r="AB311">
        <f ca="1">COUNTIF(B:B,bron[[#This Row],[volledige naam]])</f>
        <v>4</v>
      </c>
    </row>
    <row r="312" spans="1:28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3611</v>
      </c>
      <c r="AB312">
        <f ca="1">COUNTIF(B:B,bron[[#This Row],[volledige naam]])</f>
        <v>5</v>
      </c>
    </row>
    <row r="313" spans="1:28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3611</v>
      </c>
      <c r="AB313">
        <f ca="1">COUNTIF(B:B,bron[[#This Row],[volledige naam]])</f>
        <v>58</v>
      </c>
    </row>
    <row r="314" spans="1:28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3611</v>
      </c>
      <c r="AB314">
        <f ca="1">COUNTIF(B:B,bron[[#This Row],[volledige naam]])</f>
        <v>58</v>
      </c>
    </row>
    <row r="315" spans="1:28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3611</v>
      </c>
      <c r="AB315">
        <f ca="1">COUNTIF(B:B,bron[[#This Row],[volledige naam]])</f>
        <v>3</v>
      </c>
    </row>
    <row r="316" spans="1:28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3611</v>
      </c>
      <c r="AB316">
        <f ca="1">COUNTIF(B:B,bron[[#This Row],[volledige naam]])</f>
        <v>9</v>
      </c>
    </row>
    <row r="317" spans="1:28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3611</v>
      </c>
      <c r="AB317">
        <f ca="1">COUNTIF(B:B,bron[[#This Row],[volledige naam]])</f>
        <v>8</v>
      </c>
    </row>
    <row r="318" spans="1:28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3611</v>
      </c>
      <c r="AB318">
        <f ca="1">COUNTIF(B:B,bron[[#This Row],[volledige naam]])</f>
        <v>1</v>
      </c>
    </row>
    <row r="319" spans="1:28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3611</v>
      </c>
      <c r="AB319">
        <f ca="1">COUNTIF(B:B,bron[[#This Row],[volledige naam]])</f>
        <v>2</v>
      </c>
    </row>
    <row r="320" spans="1:28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3611</v>
      </c>
      <c r="AB320">
        <f ca="1">COUNTIF(B:B,bron[[#This Row],[volledige naam]])</f>
        <v>2</v>
      </c>
    </row>
    <row r="321" spans="1:28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3611</v>
      </c>
      <c r="AB321">
        <f ca="1">COUNTIF(B:B,bron[[#This Row],[volledige naam]])</f>
        <v>6</v>
      </c>
    </row>
    <row r="322" spans="1:28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3611</v>
      </c>
      <c r="AB322">
        <f ca="1">COUNTIF(B:B,bron[[#This Row],[volledige naam]])</f>
        <v>2</v>
      </c>
    </row>
    <row r="323" spans="1:28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3611</v>
      </c>
      <c r="AB323">
        <f ca="1">COUNTIF(B:B,bron[[#This Row],[volledige naam]])</f>
        <v>58</v>
      </c>
    </row>
    <row r="324" spans="1:28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3611</v>
      </c>
      <c r="AB324">
        <f ca="1">COUNTIF(B:B,bron[[#This Row],[volledige naam]])</f>
        <v>2</v>
      </c>
    </row>
    <row r="325" spans="1:28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3611</v>
      </c>
      <c r="AB325">
        <f ca="1">COUNTIF(B:B,bron[[#This Row],[volledige naam]])</f>
        <v>2</v>
      </c>
    </row>
    <row r="326" spans="1:28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3611</v>
      </c>
      <c r="AB326">
        <f ca="1">COUNTIF(B:B,bron[[#This Row],[volledige naam]])</f>
        <v>58</v>
      </c>
    </row>
    <row r="327" spans="1:28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3611</v>
      </c>
      <c r="AB327">
        <f ca="1">COUNTIF(B:B,bron[[#This Row],[volledige naam]])</f>
        <v>10</v>
      </c>
    </row>
    <row r="328" spans="1:28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3611</v>
      </c>
      <c r="AB328">
        <f ca="1">COUNTIF(B:B,bron[[#This Row],[volledige naam]])</f>
        <v>3</v>
      </c>
    </row>
    <row r="329" spans="1:28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3611</v>
      </c>
      <c r="AB329">
        <f ca="1">COUNTIF(B:B,bron[[#This Row],[volledige naam]])</f>
        <v>8</v>
      </c>
    </row>
    <row r="330" spans="1:28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3611</v>
      </c>
      <c r="AB330">
        <f ca="1">COUNTIF(B:B,bron[[#This Row],[volledige naam]])</f>
        <v>10</v>
      </c>
    </row>
    <row r="331" spans="1:28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3611</v>
      </c>
      <c r="AB331">
        <f ca="1">COUNTIF(B:B,bron[[#This Row],[volledige naam]])</f>
        <v>19</v>
      </c>
    </row>
    <row r="332" spans="1:28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3611</v>
      </c>
      <c r="AB332">
        <f ca="1">COUNTIF(B:B,bron[[#This Row],[volledige naam]])</f>
        <v>2</v>
      </c>
    </row>
    <row r="333" spans="1:28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3611</v>
      </c>
      <c r="AB333">
        <f ca="1">COUNTIF(B:B,bron[[#This Row],[volledige naam]])</f>
        <v>58</v>
      </c>
    </row>
    <row r="334" spans="1:28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3611</v>
      </c>
      <c r="AB334">
        <f ca="1">COUNTIF(B:B,bron[[#This Row],[volledige naam]])</f>
        <v>6</v>
      </c>
    </row>
    <row r="335" spans="1:28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3611</v>
      </c>
      <c r="AB335">
        <f ca="1">COUNTIF(B:B,bron[[#This Row],[volledige naam]])</f>
        <v>58</v>
      </c>
    </row>
    <row r="336" spans="1:28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3611</v>
      </c>
      <c r="AB336">
        <f ca="1">COUNTIF(B:B,bron[[#This Row],[volledige naam]])</f>
        <v>2</v>
      </c>
    </row>
    <row r="337" spans="1:28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3611</v>
      </c>
      <c r="AB337">
        <f ca="1">COUNTIF(B:B,bron[[#This Row],[volledige naam]])</f>
        <v>5</v>
      </c>
    </row>
    <row r="338" spans="1:28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3611</v>
      </c>
      <c r="AB338">
        <f ca="1">COUNTIF(B:B,bron[[#This Row],[volledige naam]])</f>
        <v>6</v>
      </c>
    </row>
    <row r="339" spans="1:28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3611</v>
      </c>
      <c r="AB339">
        <f ca="1">COUNTIF(B:B,bron[[#This Row],[volledige naam]])</f>
        <v>10</v>
      </c>
    </row>
    <row r="340" spans="1:28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3611</v>
      </c>
      <c r="AB340">
        <f ca="1">COUNTIF(B:B,bron[[#This Row],[volledige naam]])</f>
        <v>3</v>
      </c>
    </row>
    <row r="341" spans="1:28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3611</v>
      </c>
      <c r="AB341">
        <f ca="1">COUNTIF(B:B,bron[[#This Row],[volledige naam]])</f>
        <v>4</v>
      </c>
    </row>
    <row r="342" spans="1:28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3611</v>
      </c>
      <c r="AB342">
        <f ca="1">COUNTIF(B:B,bron[[#This Row],[volledige naam]])</f>
        <v>3</v>
      </c>
    </row>
    <row r="343" spans="1:28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3611</v>
      </c>
      <c r="AB343">
        <f ca="1">COUNTIF(B:B,bron[[#This Row],[volledige naam]])</f>
        <v>1</v>
      </c>
    </row>
    <row r="344" spans="1:28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3611</v>
      </c>
      <c r="AB344">
        <f ca="1">COUNTIF(B:B,bron[[#This Row],[volledige naam]])</f>
        <v>5</v>
      </c>
    </row>
    <row r="345" spans="1:28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3611</v>
      </c>
      <c r="AB345">
        <f ca="1">COUNTIF(B:B,bron[[#This Row],[volledige naam]])</f>
        <v>6</v>
      </c>
    </row>
    <row r="346" spans="1:28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3611</v>
      </c>
      <c r="AB346">
        <f ca="1">COUNTIF(B:B,bron[[#This Row],[volledige naam]])</f>
        <v>58</v>
      </c>
    </row>
    <row r="347" spans="1:28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3611</v>
      </c>
      <c r="AB347">
        <f ca="1">COUNTIF(B:B,bron[[#This Row],[volledige naam]])</f>
        <v>6</v>
      </c>
    </row>
    <row r="348" spans="1:28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3611</v>
      </c>
      <c r="AB348">
        <f ca="1">COUNTIF(B:B,bron[[#This Row],[volledige naam]])</f>
        <v>3</v>
      </c>
    </row>
    <row r="349" spans="1:28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3611</v>
      </c>
      <c r="AB349">
        <f ca="1">COUNTIF(B:B,bron[[#This Row],[volledige naam]])</f>
        <v>1</v>
      </c>
    </row>
    <row r="350" spans="1:28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3611</v>
      </c>
      <c r="AB350">
        <f ca="1">COUNTIF(B:B,bron[[#This Row],[volledige naam]])</f>
        <v>8</v>
      </c>
    </row>
    <row r="351" spans="1:28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3611</v>
      </c>
      <c r="AB351">
        <f ca="1">COUNTIF(B:B,bron[[#This Row],[volledige naam]])</f>
        <v>9</v>
      </c>
    </row>
    <row r="352" spans="1:28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3611</v>
      </c>
      <c r="AB352">
        <f ca="1">COUNTIF(B:B,bron[[#This Row],[volledige naam]])</f>
        <v>3</v>
      </c>
    </row>
    <row r="353" spans="1:28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3611</v>
      </c>
      <c r="AB353">
        <f ca="1">COUNTIF(B:B,bron[[#This Row],[volledige naam]])</f>
        <v>4</v>
      </c>
    </row>
    <row r="354" spans="1:28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3611</v>
      </c>
      <c r="AB354">
        <f ca="1">COUNTIF(B:B,bron[[#This Row],[volledige naam]])</f>
        <v>4</v>
      </c>
    </row>
    <row r="355" spans="1:28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3611</v>
      </c>
      <c r="AB355">
        <f ca="1">COUNTIF(B:B,bron[[#This Row],[volledige naam]])</f>
        <v>58</v>
      </c>
    </row>
    <row r="356" spans="1:28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3611</v>
      </c>
      <c r="AB356">
        <f ca="1">COUNTIF(B:B,bron[[#This Row],[volledige naam]])</f>
        <v>4</v>
      </c>
    </row>
    <row r="357" spans="1:28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3611</v>
      </c>
      <c r="AB357">
        <f ca="1">COUNTIF(B:B,bron[[#This Row],[volledige naam]])</f>
        <v>1</v>
      </c>
    </row>
    <row r="358" spans="1:28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3611</v>
      </c>
      <c r="AB358">
        <f ca="1">COUNTIF(B:B,bron[[#This Row],[volledige naam]])</f>
        <v>4</v>
      </c>
    </row>
    <row r="359" spans="1:28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3611</v>
      </c>
      <c r="AB359">
        <f ca="1">COUNTIF(B:B,bron[[#This Row],[volledige naam]])</f>
        <v>4</v>
      </c>
    </row>
    <row r="360" spans="1:28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3611</v>
      </c>
      <c r="AB360">
        <f ca="1">COUNTIF(B:B,bron[[#This Row],[volledige naam]])</f>
        <v>3</v>
      </c>
    </row>
    <row r="361" spans="1:28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3611</v>
      </c>
      <c r="AB361">
        <f ca="1">COUNTIF(B:B,bron[[#This Row],[volledige naam]])</f>
        <v>1</v>
      </c>
    </row>
    <row r="362" spans="1:28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3611</v>
      </c>
      <c r="AB362">
        <f ca="1">COUNTIF(B:B,bron[[#This Row],[volledige naam]])</f>
        <v>7</v>
      </c>
    </row>
    <row r="363" spans="1:28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3611</v>
      </c>
      <c r="AB363">
        <f ca="1">COUNTIF(B:B,bron[[#This Row],[volledige naam]])</f>
        <v>7</v>
      </c>
    </row>
    <row r="364" spans="1:28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3611</v>
      </c>
      <c r="AB364">
        <f ca="1">COUNTIF(B:B,bron[[#This Row],[volledige naam]])</f>
        <v>9</v>
      </c>
    </row>
    <row r="365" spans="1:28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3611</v>
      </c>
      <c r="AB365">
        <f ca="1">COUNTIF(B:B,bron[[#This Row],[volledige naam]])</f>
        <v>3</v>
      </c>
    </row>
    <row r="366" spans="1:28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3611</v>
      </c>
      <c r="AB366">
        <f ca="1">COUNTIF(B:B,bron[[#This Row],[volledige naam]])</f>
        <v>4</v>
      </c>
    </row>
    <row r="367" spans="1:28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3611</v>
      </c>
      <c r="AB367">
        <f ca="1">COUNTIF(B:B,bron[[#This Row],[volledige naam]])</f>
        <v>4</v>
      </c>
    </row>
    <row r="368" spans="1:28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3611</v>
      </c>
      <c r="AB368">
        <f ca="1">COUNTIF(B:B,bron[[#This Row],[volledige naam]])</f>
        <v>2</v>
      </c>
    </row>
    <row r="369" spans="1:28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3611</v>
      </c>
      <c r="AB369">
        <f ca="1">COUNTIF(B:B,bron[[#This Row],[volledige naam]])</f>
        <v>2</v>
      </c>
    </row>
    <row r="370" spans="1:28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3611</v>
      </c>
      <c r="AB370">
        <f ca="1">COUNTIF(B:B,bron[[#This Row],[volledige naam]])</f>
        <v>58</v>
      </c>
    </row>
    <row r="371" spans="1:28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3611</v>
      </c>
      <c r="AB371">
        <f ca="1">COUNTIF(B:B,bron[[#This Row],[volledige naam]])</f>
        <v>1</v>
      </c>
    </row>
    <row r="372" spans="1:28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3611</v>
      </c>
      <c r="AB372">
        <f ca="1">COUNTIF(B:B,bron[[#This Row],[volledige naam]])</f>
        <v>2</v>
      </c>
    </row>
    <row r="373" spans="1:28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3611</v>
      </c>
      <c r="AB373">
        <f ca="1">COUNTIF(B:B,bron[[#This Row],[volledige naam]])</f>
        <v>58</v>
      </c>
    </row>
    <row r="374" spans="1:28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3611</v>
      </c>
      <c r="AB374">
        <f ca="1">COUNTIF(B:B,bron[[#This Row],[volledige naam]])</f>
        <v>1</v>
      </c>
    </row>
    <row r="375" spans="1:28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3611</v>
      </c>
      <c r="AB375">
        <f ca="1">COUNTIF(B:B,bron[[#This Row],[volledige naam]])</f>
        <v>4</v>
      </c>
    </row>
    <row r="376" spans="1:28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3611</v>
      </c>
      <c r="AB376">
        <f ca="1">COUNTIF(B:B,bron[[#This Row],[volledige naam]])</f>
        <v>5</v>
      </c>
    </row>
    <row r="377" spans="1:28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3611</v>
      </c>
      <c r="AB377">
        <f ca="1">COUNTIF(B:B,bron[[#This Row],[volledige naam]])</f>
        <v>4</v>
      </c>
    </row>
    <row r="378" spans="1:28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3611</v>
      </c>
      <c r="AB378">
        <f ca="1">COUNTIF(B:B,bron[[#This Row],[volledige naam]])</f>
        <v>3</v>
      </c>
    </row>
    <row r="379" spans="1:28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3611</v>
      </c>
      <c r="AB379">
        <f ca="1">COUNTIF(B:B,bron[[#This Row],[volledige naam]])</f>
        <v>5</v>
      </c>
    </row>
    <row r="380" spans="1:28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3611</v>
      </c>
      <c r="AB380">
        <f ca="1">COUNTIF(B:B,bron[[#This Row],[volledige naam]])</f>
        <v>4</v>
      </c>
    </row>
    <row r="381" spans="1:28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3611</v>
      </c>
      <c r="AB381">
        <f ca="1">COUNTIF(B:B,bron[[#This Row],[volledige naam]])</f>
        <v>3</v>
      </c>
    </row>
    <row r="382" spans="1:28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3611</v>
      </c>
      <c r="AB382">
        <f ca="1">COUNTIF(B:B,bron[[#This Row],[volledige naam]])</f>
        <v>58</v>
      </c>
    </row>
    <row r="383" spans="1:28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3611</v>
      </c>
      <c r="AB383">
        <f ca="1">COUNTIF(B:B,bron[[#This Row],[volledige naam]])</f>
        <v>1</v>
      </c>
    </row>
    <row r="384" spans="1:28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3611</v>
      </c>
      <c r="AB384">
        <f ca="1">COUNTIF(B:B,bron[[#This Row],[volledige naam]])</f>
        <v>2</v>
      </c>
    </row>
    <row r="385" spans="1:28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3611</v>
      </c>
      <c r="AB385">
        <f ca="1">COUNTIF(B:B,bron[[#This Row],[volledige naam]])</f>
        <v>1</v>
      </c>
    </row>
    <row r="386" spans="1:28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3611</v>
      </c>
      <c r="AB386">
        <f ca="1">COUNTIF(B:B,bron[[#This Row],[volledige naam]])</f>
        <v>1</v>
      </c>
    </row>
    <row r="387" spans="1:28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3611</v>
      </c>
      <c r="AB387">
        <f ca="1">COUNTIF(B:B,bron[[#This Row],[volledige naam]])</f>
        <v>2</v>
      </c>
    </row>
    <row r="388" spans="1:28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3611</v>
      </c>
      <c r="AB388">
        <f ca="1">COUNTIF(B:B,bron[[#This Row],[volledige naam]])</f>
        <v>5</v>
      </c>
    </row>
    <row r="389" spans="1:28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3611</v>
      </c>
      <c r="AB389">
        <f ca="1">COUNTIF(B:B,bron[[#This Row],[volledige naam]])</f>
        <v>2</v>
      </c>
    </row>
    <row r="390" spans="1:28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3611</v>
      </c>
      <c r="AB390">
        <f ca="1">COUNTIF(B:B,bron[[#This Row],[volledige naam]])</f>
        <v>4</v>
      </c>
    </row>
    <row r="391" spans="1:28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3611</v>
      </c>
      <c r="AB391">
        <f ca="1">COUNTIF(B:B,bron[[#This Row],[volledige naam]])</f>
        <v>1</v>
      </c>
    </row>
    <row r="392" spans="1:28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3611</v>
      </c>
      <c r="AB392">
        <f ca="1">COUNTIF(B:B,bron[[#This Row],[volledige naam]])</f>
        <v>5</v>
      </c>
    </row>
    <row r="393" spans="1:28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3611</v>
      </c>
      <c r="AB393">
        <f ca="1">COUNTIF(B:B,bron[[#This Row],[volledige naam]])</f>
        <v>3</v>
      </c>
    </row>
    <row r="394" spans="1:28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3611</v>
      </c>
      <c r="AB394">
        <f ca="1">COUNTIF(B:B,bron[[#This Row],[volledige naam]])</f>
        <v>5</v>
      </c>
    </row>
    <row r="395" spans="1:28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3611</v>
      </c>
      <c r="AB395">
        <f ca="1">COUNTIF(B:B,bron[[#This Row],[volledige naam]])</f>
        <v>1</v>
      </c>
    </row>
    <row r="396" spans="1:28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3611</v>
      </c>
      <c r="AB396">
        <f ca="1">COUNTIF(B:B,bron[[#This Row],[volledige naam]])</f>
        <v>10</v>
      </c>
    </row>
    <row r="397" spans="1:28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3611</v>
      </c>
      <c r="AB397">
        <f ca="1">COUNTIF(B:B,bron[[#This Row],[volledige naam]])</f>
        <v>3</v>
      </c>
    </row>
    <row r="398" spans="1:28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3611</v>
      </c>
      <c r="AB398">
        <f ca="1">COUNTIF(B:B,bron[[#This Row],[volledige naam]])</f>
        <v>58</v>
      </c>
    </row>
    <row r="399" spans="1:28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3611</v>
      </c>
      <c r="AB399">
        <f ca="1">COUNTIF(B:B,bron[[#This Row],[volledige naam]])</f>
        <v>1</v>
      </c>
    </row>
    <row r="400" spans="1:28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3611</v>
      </c>
      <c r="AB400">
        <f ca="1">COUNTIF(B:B,bron[[#This Row],[volledige naam]])</f>
        <v>6</v>
      </c>
    </row>
    <row r="401" spans="1:28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3611</v>
      </c>
      <c r="AB401">
        <f ca="1">COUNTIF(B:B,bron[[#This Row],[volledige naam]])</f>
        <v>2</v>
      </c>
    </row>
    <row r="402" spans="1:28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3611</v>
      </c>
      <c r="AB402">
        <f ca="1">COUNTIF(B:B,bron[[#This Row],[volledige naam]])</f>
        <v>1</v>
      </c>
    </row>
    <row r="403" spans="1:28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3611</v>
      </c>
      <c r="AB403">
        <f ca="1">COUNTIF(B:B,bron[[#This Row],[volledige naam]])</f>
        <v>3</v>
      </c>
    </row>
    <row r="404" spans="1:28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3611</v>
      </c>
      <c r="AB404">
        <f ca="1">COUNTIF(B:B,bron[[#This Row],[volledige naam]])</f>
        <v>10</v>
      </c>
    </row>
    <row r="405" spans="1:28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3611</v>
      </c>
      <c r="AB405">
        <f ca="1">COUNTIF(B:B,bron[[#This Row],[volledige naam]])</f>
        <v>7</v>
      </c>
    </row>
    <row r="406" spans="1:28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3611</v>
      </c>
      <c r="AB406">
        <f ca="1">COUNTIF(B:B,bron[[#This Row],[volledige naam]])</f>
        <v>19</v>
      </c>
    </row>
    <row r="407" spans="1:28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3611</v>
      </c>
      <c r="AB407">
        <f ca="1">COUNTIF(B:B,bron[[#This Row],[volledige naam]])</f>
        <v>58</v>
      </c>
    </row>
    <row r="408" spans="1:28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3611</v>
      </c>
      <c r="AB408">
        <f ca="1">COUNTIF(B:B,bron[[#This Row],[volledige naam]])</f>
        <v>3</v>
      </c>
    </row>
    <row r="409" spans="1:28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3611</v>
      </c>
      <c r="AB409">
        <f ca="1">COUNTIF(B:B,bron[[#This Row],[volledige naam]])</f>
        <v>8</v>
      </c>
    </row>
    <row r="410" spans="1:28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3611</v>
      </c>
      <c r="AB410">
        <f ca="1">COUNTIF(B:B,bron[[#This Row],[volledige naam]])</f>
        <v>7</v>
      </c>
    </row>
    <row r="411" spans="1:28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3611</v>
      </c>
      <c r="AB411">
        <f ca="1">COUNTIF(B:B,bron[[#This Row],[volledige naam]])</f>
        <v>4</v>
      </c>
    </row>
    <row r="412" spans="1:28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3611</v>
      </c>
      <c r="AB412">
        <f ca="1">COUNTIF(B:B,bron[[#This Row],[volledige naam]])</f>
        <v>3</v>
      </c>
    </row>
    <row r="413" spans="1:28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3611</v>
      </c>
      <c r="AB413">
        <f ca="1">COUNTIF(B:B,bron[[#This Row],[volledige naam]])</f>
        <v>9</v>
      </c>
    </row>
    <row r="414" spans="1:28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3611</v>
      </c>
      <c r="AB414">
        <f ca="1">COUNTIF(B:B,bron[[#This Row],[volledige naam]])</f>
        <v>4</v>
      </c>
    </row>
    <row r="415" spans="1:28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3611</v>
      </c>
      <c r="AB415">
        <f ca="1">COUNTIF(B:B,bron[[#This Row],[volledige naam]])</f>
        <v>2</v>
      </c>
    </row>
    <row r="416" spans="1:28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3611</v>
      </c>
      <c r="AB416">
        <f ca="1">COUNTIF(B:B,bron[[#This Row],[volledige naam]])</f>
        <v>1</v>
      </c>
    </row>
    <row r="417" spans="1:28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3611</v>
      </c>
      <c r="AB417">
        <f ca="1">COUNTIF(B:B,bron[[#This Row],[volledige naam]])</f>
        <v>2</v>
      </c>
    </row>
    <row r="418" spans="1:28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3611</v>
      </c>
      <c r="AB418">
        <f ca="1">COUNTIF(B:B,bron[[#This Row],[volledige naam]])</f>
        <v>4</v>
      </c>
    </row>
    <row r="419" spans="1:28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3611</v>
      </c>
      <c r="AB419">
        <f ca="1">COUNTIF(B:B,bron[[#This Row],[volledige naam]])</f>
        <v>7</v>
      </c>
    </row>
    <row r="420" spans="1:28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3611</v>
      </c>
      <c r="AB420">
        <f ca="1">COUNTIF(B:B,bron[[#This Row],[volledige naam]])</f>
        <v>3</v>
      </c>
    </row>
    <row r="421" spans="1:28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3611</v>
      </c>
      <c r="AB421">
        <f ca="1">COUNTIF(B:B,bron[[#This Row],[volledige naam]])</f>
        <v>2</v>
      </c>
    </row>
    <row r="422" spans="1:28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3611</v>
      </c>
      <c r="AB422">
        <f ca="1">COUNTIF(B:B,bron[[#This Row],[volledige naam]])</f>
        <v>3</v>
      </c>
    </row>
    <row r="423" spans="1:28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3611</v>
      </c>
      <c r="AB423">
        <f ca="1">COUNTIF(B:B,bron[[#This Row],[volledige naam]])</f>
        <v>4</v>
      </c>
    </row>
    <row r="424" spans="1:28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3611</v>
      </c>
      <c r="AB424">
        <f ca="1">COUNTIF(B:B,bron[[#This Row],[volledige naam]])</f>
        <v>2</v>
      </c>
    </row>
    <row r="425" spans="1:28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3611</v>
      </c>
      <c r="AB425">
        <f ca="1">COUNTIF(B:B,bron[[#This Row],[volledige naam]])</f>
        <v>1</v>
      </c>
    </row>
    <row r="426" spans="1:28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3611</v>
      </c>
      <c r="AB426">
        <f ca="1">COUNTIF(B:B,bron[[#This Row],[volledige naam]])</f>
        <v>5</v>
      </c>
    </row>
    <row r="427" spans="1:28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3611</v>
      </c>
      <c r="AB427">
        <f ca="1">COUNTIF(B:B,bron[[#This Row],[volledige naam]])</f>
        <v>4</v>
      </c>
    </row>
    <row r="428" spans="1:28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3611</v>
      </c>
      <c r="AB428">
        <f ca="1">COUNTIF(B:B,bron[[#This Row],[volledige naam]])</f>
        <v>1</v>
      </c>
    </row>
    <row r="429" spans="1:28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3611</v>
      </c>
      <c r="AB429">
        <f ca="1">COUNTIF(B:B,bron[[#This Row],[volledige naam]])</f>
        <v>2</v>
      </c>
    </row>
    <row r="430" spans="1:28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3611</v>
      </c>
      <c r="AB430">
        <f ca="1">COUNTIF(B:B,bron[[#This Row],[volledige naam]])</f>
        <v>58</v>
      </c>
    </row>
    <row r="431" spans="1:28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3611</v>
      </c>
      <c r="AB431">
        <f ca="1">COUNTIF(B:B,bron[[#This Row],[volledige naam]])</f>
        <v>5</v>
      </c>
    </row>
    <row r="432" spans="1:28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3611</v>
      </c>
      <c r="AB432">
        <f ca="1">COUNTIF(B:B,bron[[#This Row],[volledige naam]])</f>
        <v>2</v>
      </c>
    </row>
    <row r="433" spans="1:28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3611</v>
      </c>
      <c r="AB433">
        <f ca="1">COUNTIF(B:B,bron[[#This Row],[volledige naam]])</f>
        <v>1</v>
      </c>
    </row>
    <row r="434" spans="1:28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3611</v>
      </c>
      <c r="AB434">
        <f ca="1">COUNTIF(B:B,bron[[#This Row],[volledige naam]])</f>
        <v>4</v>
      </c>
    </row>
    <row r="435" spans="1:28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3611</v>
      </c>
      <c r="AB435">
        <f ca="1">COUNTIF(B:B,bron[[#This Row],[volledige naam]])</f>
        <v>6</v>
      </c>
    </row>
    <row r="436" spans="1:28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3611</v>
      </c>
      <c r="AB436">
        <f ca="1">COUNTIF(B:B,bron[[#This Row],[volledige naam]])</f>
        <v>3</v>
      </c>
    </row>
    <row r="437" spans="1:28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3611</v>
      </c>
      <c r="AB437">
        <f ca="1">COUNTIF(B:B,bron[[#This Row],[volledige naam]])</f>
        <v>10</v>
      </c>
    </row>
    <row r="438" spans="1:28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3611</v>
      </c>
      <c r="AB438">
        <f ca="1">COUNTIF(B:B,bron[[#This Row],[volledige naam]])</f>
        <v>8</v>
      </c>
    </row>
    <row r="439" spans="1:28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3611</v>
      </c>
      <c r="AB439">
        <f ca="1">COUNTIF(B:B,bron[[#This Row],[volledige naam]])</f>
        <v>1</v>
      </c>
    </row>
    <row r="440" spans="1:28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3611</v>
      </c>
      <c r="AB440">
        <f ca="1">COUNTIF(B:B,bron[[#This Row],[volledige naam]])</f>
        <v>2</v>
      </c>
    </row>
    <row r="441" spans="1:28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3611</v>
      </c>
      <c r="AB441">
        <f ca="1">COUNTIF(B:B,bron[[#This Row],[volledige naam]])</f>
        <v>4</v>
      </c>
    </row>
    <row r="442" spans="1:28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3611</v>
      </c>
      <c r="AB442">
        <f ca="1">COUNTIF(B:B,bron[[#This Row],[volledige naam]])</f>
        <v>2</v>
      </c>
    </row>
    <row r="443" spans="1:28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3611</v>
      </c>
      <c r="AB443">
        <f ca="1">COUNTIF(B:B,bron[[#This Row],[volledige naam]])</f>
        <v>2</v>
      </c>
    </row>
    <row r="444" spans="1:28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3611</v>
      </c>
      <c r="AB444">
        <f ca="1">COUNTIF(B:B,bron[[#This Row],[volledige naam]])</f>
        <v>10</v>
      </c>
    </row>
    <row r="445" spans="1:28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3611</v>
      </c>
      <c r="AB445">
        <f ca="1">COUNTIF(B:B,bron[[#This Row],[volledige naam]])</f>
        <v>4</v>
      </c>
    </row>
    <row r="446" spans="1:28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3611</v>
      </c>
      <c r="AB446">
        <f ca="1">COUNTIF(B:B,bron[[#This Row],[volledige naam]])</f>
        <v>4</v>
      </c>
    </row>
    <row r="447" spans="1:28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3611</v>
      </c>
      <c r="AB447">
        <f ca="1">COUNTIF(B:B,bron[[#This Row],[volledige naam]])</f>
        <v>1</v>
      </c>
    </row>
    <row r="448" spans="1:28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3611</v>
      </c>
      <c r="AB448">
        <f ca="1">COUNTIF(B:B,bron[[#This Row],[volledige naam]])</f>
        <v>58</v>
      </c>
    </row>
    <row r="449" spans="1:28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3611</v>
      </c>
      <c r="AB449">
        <f ca="1">COUNTIF(B:B,bron[[#This Row],[volledige naam]])</f>
        <v>2</v>
      </c>
    </row>
    <row r="450" spans="1:28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3611</v>
      </c>
      <c r="AB450">
        <f ca="1">COUNTIF(B:B,bron[[#This Row],[volledige naam]])</f>
        <v>6</v>
      </c>
    </row>
    <row r="451" spans="1:28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3611</v>
      </c>
      <c r="AB451">
        <f ca="1">COUNTIF(B:B,bron[[#This Row],[volledige naam]])</f>
        <v>2</v>
      </c>
    </row>
    <row r="452" spans="1:28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3611</v>
      </c>
      <c r="AB452">
        <f ca="1">COUNTIF(B:B,bron[[#This Row],[volledige naam]])</f>
        <v>2</v>
      </c>
    </row>
    <row r="453" spans="1:28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3611</v>
      </c>
      <c r="AB453">
        <f ca="1">COUNTIF(B:B,bron[[#This Row],[volledige naam]])</f>
        <v>1</v>
      </c>
    </row>
    <row r="454" spans="1:28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3611</v>
      </c>
      <c r="AB454">
        <f ca="1">COUNTIF(B:B,bron[[#This Row],[volledige naam]])</f>
        <v>2</v>
      </c>
    </row>
    <row r="455" spans="1:28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3611</v>
      </c>
      <c r="AB455">
        <f ca="1">COUNTIF(B:B,bron[[#This Row],[volledige naam]])</f>
        <v>4</v>
      </c>
    </row>
    <row r="456" spans="1:28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3611</v>
      </c>
      <c r="AB456">
        <f ca="1">COUNTIF(B:B,bron[[#This Row],[volledige naam]])</f>
        <v>1</v>
      </c>
    </row>
    <row r="457" spans="1:28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3611</v>
      </c>
      <c r="AB457">
        <f ca="1">COUNTIF(B:B,bron[[#This Row],[volledige naam]])</f>
        <v>3</v>
      </c>
    </row>
    <row r="458" spans="1:28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3611</v>
      </c>
      <c r="AB458">
        <f ca="1">COUNTIF(B:B,bron[[#This Row],[volledige naam]])</f>
        <v>2</v>
      </c>
    </row>
    <row r="459" spans="1:28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3611</v>
      </c>
      <c r="AB459">
        <f ca="1">COUNTIF(B:B,bron[[#This Row],[volledige naam]])</f>
        <v>5</v>
      </c>
    </row>
    <row r="460" spans="1:28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3611</v>
      </c>
      <c r="AB460">
        <f ca="1">COUNTIF(B:B,bron[[#This Row],[volledige naam]])</f>
        <v>6</v>
      </c>
    </row>
    <row r="461" spans="1:28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3611</v>
      </c>
      <c r="AB461">
        <f ca="1">COUNTIF(B:B,bron[[#This Row],[volledige naam]])</f>
        <v>5</v>
      </c>
    </row>
    <row r="462" spans="1:28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3611</v>
      </c>
      <c r="AB462">
        <f ca="1">COUNTIF(B:B,bron[[#This Row],[volledige naam]])</f>
        <v>10</v>
      </c>
    </row>
    <row r="463" spans="1:28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3611</v>
      </c>
      <c r="AB463">
        <f ca="1">COUNTIF(B:B,bron[[#This Row],[volledige naam]])</f>
        <v>58</v>
      </c>
    </row>
    <row r="464" spans="1:28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3611</v>
      </c>
      <c r="AB464">
        <f ca="1">COUNTIF(B:B,bron[[#This Row],[volledige naam]])</f>
        <v>2</v>
      </c>
    </row>
    <row r="465" spans="1:28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3611</v>
      </c>
      <c r="AB465">
        <f ca="1">COUNTIF(B:B,bron[[#This Row],[volledige naam]])</f>
        <v>4</v>
      </c>
    </row>
    <row r="466" spans="1:28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3611</v>
      </c>
      <c r="AB466">
        <f ca="1">COUNTIF(B:B,bron[[#This Row],[volledige naam]])</f>
        <v>4</v>
      </c>
    </row>
    <row r="467" spans="1:28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3611</v>
      </c>
      <c r="AB467">
        <f ca="1">COUNTIF(B:B,bron[[#This Row],[volledige naam]])</f>
        <v>58</v>
      </c>
    </row>
    <row r="468" spans="1:28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3611</v>
      </c>
      <c r="AB468">
        <f ca="1">COUNTIF(B:B,bron[[#This Row],[volledige naam]])</f>
        <v>8</v>
      </c>
    </row>
    <row r="469" spans="1:28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3611</v>
      </c>
      <c r="AB469">
        <f ca="1">COUNTIF(B:B,bron[[#This Row],[volledige naam]])</f>
        <v>4</v>
      </c>
    </row>
    <row r="470" spans="1:28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3611</v>
      </c>
      <c r="AB470">
        <f ca="1">COUNTIF(B:B,bron[[#This Row],[volledige naam]])</f>
        <v>3</v>
      </c>
    </row>
    <row r="471" spans="1:28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3611</v>
      </c>
      <c r="AB471">
        <f ca="1">COUNTIF(B:B,bron[[#This Row],[volledige naam]])</f>
        <v>10</v>
      </c>
    </row>
    <row r="472" spans="1:28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3611</v>
      </c>
      <c r="AB472">
        <f ca="1">COUNTIF(B:B,bron[[#This Row],[volledige naam]])</f>
        <v>2</v>
      </c>
    </row>
    <row r="473" spans="1:28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3611</v>
      </c>
      <c r="AB473">
        <f ca="1">COUNTIF(B:B,bron[[#This Row],[volledige naam]])</f>
        <v>3</v>
      </c>
    </row>
    <row r="474" spans="1:28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3611</v>
      </c>
      <c r="AB474">
        <f ca="1">COUNTIF(B:B,bron[[#This Row],[volledige naam]])</f>
        <v>10</v>
      </c>
    </row>
    <row r="475" spans="1:28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3611</v>
      </c>
      <c r="AB475">
        <f ca="1">COUNTIF(B:B,bron[[#This Row],[volledige naam]])</f>
        <v>2</v>
      </c>
    </row>
    <row r="476" spans="1:28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3611</v>
      </c>
      <c r="AB476">
        <f ca="1">COUNTIF(B:B,bron[[#This Row],[volledige naam]])</f>
        <v>4</v>
      </c>
    </row>
    <row r="477" spans="1:28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3611</v>
      </c>
      <c r="AB477">
        <f ca="1">COUNTIF(B:B,bron[[#This Row],[volledige naam]])</f>
        <v>19</v>
      </c>
    </row>
    <row r="478" spans="1:28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3611</v>
      </c>
      <c r="AB478">
        <f ca="1">COUNTIF(B:B,bron[[#This Row],[volledige naam]])</f>
        <v>4</v>
      </c>
    </row>
    <row r="479" spans="1:28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3611</v>
      </c>
      <c r="AB479">
        <f ca="1">COUNTIF(B:B,bron[[#This Row],[volledige naam]])</f>
        <v>6</v>
      </c>
    </row>
    <row r="480" spans="1:28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3611</v>
      </c>
      <c r="AB480">
        <f ca="1">COUNTIF(B:B,bron[[#This Row],[volledige naam]])</f>
        <v>6</v>
      </c>
    </row>
    <row r="481" spans="1:28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3611</v>
      </c>
      <c r="AB481">
        <f ca="1">COUNTIF(B:B,bron[[#This Row],[volledige naam]])</f>
        <v>2</v>
      </c>
    </row>
    <row r="482" spans="1:28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3611</v>
      </c>
      <c r="AB482">
        <f ca="1">COUNTIF(B:B,bron[[#This Row],[volledige naam]])</f>
        <v>1</v>
      </c>
    </row>
    <row r="483" spans="1:28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3611</v>
      </c>
      <c r="AB483">
        <f ca="1">COUNTIF(B:B,bron[[#This Row],[volledige naam]])</f>
        <v>1</v>
      </c>
    </row>
    <row r="484" spans="1:28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3611</v>
      </c>
      <c r="AB484">
        <f ca="1">COUNTIF(B:B,bron[[#This Row],[volledige naam]])</f>
        <v>8</v>
      </c>
    </row>
    <row r="485" spans="1:28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3611</v>
      </c>
      <c r="AB485">
        <f ca="1">COUNTIF(B:B,bron[[#This Row],[volledige naam]])</f>
        <v>2</v>
      </c>
    </row>
    <row r="486" spans="1:28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3611</v>
      </c>
      <c r="AB486">
        <f ca="1">COUNTIF(B:B,bron[[#This Row],[volledige naam]])</f>
        <v>2</v>
      </c>
    </row>
    <row r="487" spans="1:28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3611</v>
      </c>
      <c r="AB487">
        <f ca="1">COUNTIF(B:B,bron[[#This Row],[volledige naam]])</f>
        <v>1</v>
      </c>
    </row>
    <row r="488" spans="1:28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3611</v>
      </c>
      <c r="AB488">
        <f ca="1">COUNTIF(B:B,bron[[#This Row],[volledige naam]])</f>
        <v>4</v>
      </c>
    </row>
    <row r="489" spans="1:28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3611</v>
      </c>
      <c r="AB489">
        <f ca="1">COUNTIF(B:B,bron[[#This Row],[volledige naam]])</f>
        <v>3</v>
      </c>
    </row>
    <row r="490" spans="1:28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3611</v>
      </c>
      <c r="AB490">
        <f ca="1">COUNTIF(B:B,bron[[#This Row],[volledige naam]])</f>
        <v>7</v>
      </c>
    </row>
    <row r="491" spans="1:28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3611</v>
      </c>
      <c r="AB491">
        <f ca="1">COUNTIF(B:B,bron[[#This Row],[volledige naam]])</f>
        <v>1</v>
      </c>
    </row>
    <row r="492" spans="1:28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3611</v>
      </c>
      <c r="AB492">
        <f ca="1">COUNTIF(B:B,bron[[#This Row],[volledige naam]])</f>
        <v>1</v>
      </c>
    </row>
    <row r="493" spans="1:28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3611</v>
      </c>
      <c r="AB493">
        <f ca="1">COUNTIF(B:B,bron[[#This Row],[volledige naam]])</f>
        <v>2</v>
      </c>
    </row>
    <row r="494" spans="1:28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3611</v>
      </c>
      <c r="AB494">
        <f ca="1">COUNTIF(B:B,bron[[#This Row],[volledige naam]])</f>
        <v>1</v>
      </c>
    </row>
    <row r="495" spans="1:28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3611</v>
      </c>
      <c r="AB495">
        <f ca="1">COUNTIF(B:B,bron[[#This Row],[volledige naam]])</f>
        <v>2</v>
      </c>
    </row>
    <row r="496" spans="1:28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3611</v>
      </c>
      <c r="AB496">
        <f ca="1">COUNTIF(B:B,bron[[#This Row],[volledige naam]])</f>
        <v>1</v>
      </c>
    </row>
    <row r="497" spans="1:28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3611</v>
      </c>
      <c r="AB497">
        <f ca="1">COUNTIF(B:B,bron[[#This Row],[volledige naam]])</f>
        <v>3</v>
      </c>
    </row>
    <row r="498" spans="1:28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3611</v>
      </c>
      <c r="AB498">
        <f ca="1">COUNTIF(B:B,bron[[#This Row],[volledige naam]])</f>
        <v>3</v>
      </c>
    </row>
    <row r="499" spans="1:28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3611</v>
      </c>
      <c r="AB499">
        <f ca="1">COUNTIF(B:B,bron[[#This Row],[volledige naam]])</f>
        <v>2</v>
      </c>
    </row>
    <row r="500" spans="1:28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3611</v>
      </c>
      <c r="AB500">
        <f ca="1">COUNTIF(B:B,bron[[#This Row],[volledige naam]])</f>
        <v>7</v>
      </c>
    </row>
    <row r="501" spans="1:28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3611</v>
      </c>
      <c r="AB501">
        <f ca="1">COUNTIF(B:B,bron[[#This Row],[volledige naam]])</f>
        <v>2</v>
      </c>
    </row>
    <row r="502" spans="1:28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3611</v>
      </c>
      <c r="AB502">
        <f ca="1">COUNTIF(B:B,bron[[#This Row],[volledige naam]])</f>
        <v>7</v>
      </c>
    </row>
    <row r="503" spans="1:28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3611</v>
      </c>
      <c r="AB503">
        <f ca="1">COUNTIF(B:B,bron[[#This Row],[volledige naam]])</f>
        <v>1</v>
      </c>
    </row>
    <row r="504" spans="1:28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3611</v>
      </c>
      <c r="AB504">
        <f ca="1">COUNTIF(B:B,bron[[#This Row],[volledige naam]])</f>
        <v>1</v>
      </c>
    </row>
    <row r="505" spans="1:28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3611</v>
      </c>
      <c r="AB505">
        <f ca="1">COUNTIF(B:B,bron[[#This Row],[volledige naam]])</f>
        <v>7</v>
      </c>
    </row>
    <row r="506" spans="1:28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3611</v>
      </c>
      <c r="AB506">
        <f ca="1">COUNTIF(B:B,bron[[#This Row],[volledige naam]])</f>
        <v>7</v>
      </c>
    </row>
    <row r="507" spans="1:28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3611</v>
      </c>
      <c r="AB507">
        <f ca="1">COUNTIF(B:B,bron[[#This Row],[volledige naam]])</f>
        <v>2</v>
      </c>
    </row>
    <row r="508" spans="1:28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3611</v>
      </c>
      <c r="AB508">
        <f ca="1">COUNTIF(B:B,bron[[#This Row],[volledige naam]])</f>
        <v>4</v>
      </c>
    </row>
    <row r="509" spans="1:28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3611</v>
      </c>
      <c r="AB509">
        <f ca="1">COUNTIF(B:B,bron[[#This Row],[volledige naam]])</f>
        <v>58</v>
      </c>
    </row>
    <row r="510" spans="1:28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3611</v>
      </c>
      <c r="AB510">
        <f ca="1">COUNTIF(B:B,bron[[#This Row],[volledige naam]])</f>
        <v>58</v>
      </c>
    </row>
    <row r="511" spans="1:28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3611</v>
      </c>
      <c r="AB511">
        <f ca="1">COUNTIF(B:B,bron[[#This Row],[volledige naam]])</f>
        <v>2</v>
      </c>
    </row>
    <row r="512" spans="1:28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3611</v>
      </c>
      <c r="AB512">
        <f ca="1">COUNTIF(B:B,bron[[#This Row],[volledige naam]])</f>
        <v>2</v>
      </c>
    </row>
    <row r="513" spans="1:28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3611</v>
      </c>
      <c r="AB513">
        <f ca="1">COUNTIF(B:B,bron[[#This Row],[volledige naam]])</f>
        <v>4</v>
      </c>
    </row>
    <row r="514" spans="1:28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3611</v>
      </c>
      <c r="AB514">
        <f ca="1">COUNTIF(B:B,bron[[#This Row],[volledige naam]])</f>
        <v>6</v>
      </c>
    </row>
    <row r="515" spans="1:28" x14ac:dyDescent="0.25">
      <c r="A515" s="39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3527</v>
      </c>
      <c r="Y515" t="s">
        <v>150</v>
      </c>
      <c r="Z515">
        <v>6312</v>
      </c>
      <c r="AA515" s="24" t="s">
        <v>3538</v>
      </c>
      <c r="AB515">
        <f ca="1">COUNTIF(B:B,bron[[#This Row],[volledige naam]])</f>
        <v>3</v>
      </c>
    </row>
    <row r="516" spans="1:28" x14ac:dyDescent="0.25">
      <c r="A516" s="39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3492</v>
      </c>
      <c r="Y516" t="s">
        <v>10</v>
      </c>
      <c r="Z516">
        <v>5934</v>
      </c>
      <c r="AA516" s="24" t="s">
        <v>3538</v>
      </c>
      <c r="AB516">
        <f ca="1">COUNTIF(B:B,bron[[#This Row],[volledige naam]])</f>
        <v>1</v>
      </c>
    </row>
    <row r="517" spans="1:28" x14ac:dyDescent="0.25">
      <c r="A517" s="39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3491</v>
      </c>
      <c r="Y517" t="s">
        <v>12</v>
      </c>
      <c r="Z517">
        <v>5048</v>
      </c>
      <c r="AA517" s="24" t="s">
        <v>3538</v>
      </c>
      <c r="AB517">
        <f ca="1">COUNTIF(B:B,bron[[#This Row],[volledige naam]])</f>
        <v>3</v>
      </c>
    </row>
    <row r="518" spans="1:28" x14ac:dyDescent="0.25">
      <c r="A518" s="39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3527</v>
      </c>
      <c r="Y518" t="s">
        <v>215</v>
      </c>
      <c r="Z518">
        <v>6311</v>
      </c>
      <c r="AA518" s="24" t="s">
        <v>3539</v>
      </c>
      <c r="AB518">
        <f ca="1">COUNTIF(B:B,bron[[#This Row],[volledige naam]])</f>
        <v>3</v>
      </c>
    </row>
    <row r="519" spans="1:28" x14ac:dyDescent="0.25">
      <c r="A519" s="3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3493</v>
      </c>
      <c r="Y519" t="s">
        <v>242</v>
      </c>
      <c r="Z519">
        <v>5048</v>
      </c>
      <c r="AA519" s="24" t="s">
        <v>3538</v>
      </c>
      <c r="AB519">
        <f ca="1">COUNTIF(B:B,bron[[#This Row],[volledige naam]])</f>
        <v>3</v>
      </c>
    </row>
    <row r="520" spans="1:28" x14ac:dyDescent="0.25">
      <c r="A520" s="39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3493</v>
      </c>
      <c r="Y520" t="s">
        <v>8</v>
      </c>
      <c r="Z520">
        <v>5229</v>
      </c>
      <c r="AA520" s="24" t="s">
        <v>3538</v>
      </c>
      <c r="AB520">
        <f ca="1">COUNTIF(B:B,bron[[#This Row],[volledige naam]])</f>
        <v>5</v>
      </c>
    </row>
    <row r="521" spans="1:28" x14ac:dyDescent="0.25">
      <c r="A521" s="39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3491</v>
      </c>
      <c r="Y521" t="s">
        <v>100</v>
      </c>
      <c r="Z521">
        <v>5047</v>
      </c>
      <c r="AA521" s="24" t="s">
        <v>3539</v>
      </c>
      <c r="AB521">
        <f ca="1">COUNTIF(B:B,bron[[#This Row],[volledige naam]])</f>
        <v>3</v>
      </c>
    </row>
    <row r="522" spans="1:28" x14ac:dyDescent="0.25">
      <c r="A522" s="39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3492</v>
      </c>
      <c r="Z522">
        <v>0</v>
      </c>
      <c r="AA522" s="24" t="s">
        <v>3538</v>
      </c>
      <c r="AB522">
        <f ca="1">COUNTIF(B:B,bron[[#This Row],[volledige naam]])</f>
        <v>3</v>
      </c>
    </row>
    <row r="523" spans="1:28" x14ac:dyDescent="0.25">
      <c r="A523" s="39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3493</v>
      </c>
      <c r="Y523" t="s">
        <v>236</v>
      </c>
      <c r="Z523">
        <v>5051</v>
      </c>
      <c r="AA523" s="24" t="s">
        <v>3538</v>
      </c>
      <c r="AB523">
        <f ca="1">COUNTIF(B:B,bron[[#This Row],[volledige naam]])</f>
        <v>10</v>
      </c>
    </row>
    <row r="524" spans="1:28" x14ac:dyDescent="0.25">
      <c r="A524" s="39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3492</v>
      </c>
      <c r="Y524" t="s">
        <v>98</v>
      </c>
      <c r="Z524">
        <v>5931</v>
      </c>
      <c r="AA524" s="24" t="s">
        <v>3538</v>
      </c>
      <c r="AB524">
        <f ca="1">COUNTIF(B:B,bron[[#This Row],[volledige naam]])</f>
        <v>3</v>
      </c>
    </row>
    <row r="525" spans="1:28" x14ac:dyDescent="0.25">
      <c r="A525" s="39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3492</v>
      </c>
      <c r="Y525" t="s">
        <v>20</v>
      </c>
      <c r="Z525">
        <v>5926</v>
      </c>
      <c r="AA525" s="24" t="s">
        <v>3538</v>
      </c>
      <c r="AB525">
        <f ca="1">COUNTIF(B:B,bron[[#This Row],[volledige naam]])</f>
        <v>4</v>
      </c>
    </row>
    <row r="526" spans="1:28" x14ac:dyDescent="0.25">
      <c r="A526" s="39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3492</v>
      </c>
      <c r="Y526" t="s">
        <v>18</v>
      </c>
      <c r="Z526">
        <v>5767</v>
      </c>
      <c r="AA526" s="24" t="s">
        <v>3538</v>
      </c>
      <c r="AB526">
        <f ca="1">COUNTIF(B:B,bron[[#This Row],[volledige naam]])</f>
        <v>10</v>
      </c>
    </row>
    <row r="527" spans="1:28" x14ac:dyDescent="0.25">
      <c r="A527" s="39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3528</v>
      </c>
      <c r="Y527" t="s">
        <v>276</v>
      </c>
      <c r="Z527">
        <v>6366</v>
      </c>
      <c r="AA527" s="24" t="s">
        <v>3538</v>
      </c>
      <c r="AB527">
        <f ca="1">COUNTIF(B:B,bron[[#This Row],[volledige naam]])</f>
        <v>2</v>
      </c>
    </row>
    <row r="528" spans="1:28" x14ac:dyDescent="0.25">
      <c r="A528" s="39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3492</v>
      </c>
      <c r="Y528" t="s">
        <v>83</v>
      </c>
      <c r="Z528">
        <v>5912</v>
      </c>
      <c r="AA528" s="24" t="s">
        <v>3538</v>
      </c>
      <c r="AB528">
        <f ca="1">COUNTIF(B:B,bron[[#This Row],[volledige naam]])</f>
        <v>3</v>
      </c>
    </row>
    <row r="529" spans="1:28" x14ac:dyDescent="0.25">
      <c r="A529" s="3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3493</v>
      </c>
      <c r="Y529" t="s">
        <v>229</v>
      </c>
      <c r="Z529">
        <v>5267</v>
      </c>
      <c r="AA529" s="24" t="s">
        <v>3538</v>
      </c>
      <c r="AB529">
        <f ca="1">COUNTIF(B:B,bron[[#This Row],[volledige naam]])</f>
        <v>4</v>
      </c>
    </row>
    <row r="530" spans="1:28" x14ac:dyDescent="0.25">
      <c r="A530" s="39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3491</v>
      </c>
      <c r="Y530" t="s">
        <v>8</v>
      </c>
      <c r="Z530">
        <v>5328</v>
      </c>
      <c r="AA530" s="24" t="s">
        <v>3538</v>
      </c>
      <c r="AB530">
        <f ca="1">COUNTIF(B:B,bron[[#This Row],[volledige naam]])</f>
        <v>5</v>
      </c>
    </row>
    <row r="531" spans="1:28" x14ac:dyDescent="0.25">
      <c r="A531" s="39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3491</v>
      </c>
      <c r="Y531" t="s">
        <v>94</v>
      </c>
      <c r="Z531">
        <v>5263</v>
      </c>
      <c r="AA531" s="24" t="s">
        <v>3539</v>
      </c>
      <c r="AB531">
        <f ca="1">COUNTIF(B:B,bron[[#This Row],[volledige naam]])</f>
        <v>1</v>
      </c>
    </row>
    <row r="532" spans="1:28" x14ac:dyDescent="0.25">
      <c r="A532" s="39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3493</v>
      </c>
      <c r="Y532" t="s">
        <v>81</v>
      </c>
      <c r="Z532">
        <v>5260</v>
      </c>
      <c r="AA532" s="24" t="s">
        <v>3538</v>
      </c>
      <c r="AB532">
        <f ca="1">COUNTIF(B:B,bron[[#This Row],[volledige naam]])</f>
        <v>1</v>
      </c>
    </row>
    <row r="533" spans="1:28" x14ac:dyDescent="0.25">
      <c r="A533" s="39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3492</v>
      </c>
      <c r="Y533" t="s">
        <v>73</v>
      </c>
      <c r="Z533">
        <v>5912</v>
      </c>
      <c r="AA533" s="24" t="s">
        <v>3538</v>
      </c>
      <c r="AB533">
        <f ca="1">COUNTIF(B:B,bron[[#This Row],[volledige naam]])</f>
        <v>4</v>
      </c>
    </row>
    <row r="534" spans="1:28" x14ac:dyDescent="0.25">
      <c r="A534" s="39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3492</v>
      </c>
      <c r="Y534" t="s">
        <v>14</v>
      </c>
      <c r="Z534">
        <v>5927</v>
      </c>
      <c r="AA534" s="24" t="s">
        <v>3538</v>
      </c>
      <c r="AB534">
        <f ca="1">COUNTIF(B:B,bron[[#This Row],[volledige naam]])</f>
        <v>10</v>
      </c>
    </row>
    <row r="535" spans="1:28" x14ac:dyDescent="0.25">
      <c r="A535" s="39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3492</v>
      </c>
      <c r="Y535" t="s">
        <v>10</v>
      </c>
      <c r="Z535">
        <v>5929</v>
      </c>
      <c r="AA535" s="24" t="s">
        <v>3538</v>
      </c>
      <c r="AB535">
        <f ca="1">COUNTIF(B:B,bron[[#This Row],[volledige naam]])</f>
        <v>19</v>
      </c>
    </row>
    <row r="536" spans="1:28" x14ac:dyDescent="0.25">
      <c r="A536" s="39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3527</v>
      </c>
      <c r="Y536" t="s">
        <v>46</v>
      </c>
      <c r="Z536">
        <v>6334</v>
      </c>
      <c r="AA536" s="24" t="s">
        <v>3538</v>
      </c>
      <c r="AB536">
        <f ca="1">COUNTIF(B:B,bron[[#This Row],[volledige naam]])</f>
        <v>3</v>
      </c>
    </row>
    <row r="537" spans="1:28" x14ac:dyDescent="0.25">
      <c r="A537" s="39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3492</v>
      </c>
      <c r="Y537" t="s">
        <v>166</v>
      </c>
      <c r="Z537">
        <v>5920</v>
      </c>
      <c r="AA537" s="24" t="s">
        <v>3538</v>
      </c>
      <c r="AB537">
        <f ca="1">COUNTIF(B:B,bron[[#This Row],[volledige naam]])</f>
        <v>2</v>
      </c>
    </row>
    <row r="538" spans="1:28" x14ac:dyDescent="0.25">
      <c r="A538" s="39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3528</v>
      </c>
      <c r="Y538" t="s">
        <v>2</v>
      </c>
      <c r="Z538">
        <v>6357</v>
      </c>
      <c r="AA538" s="24" t="s">
        <v>3538</v>
      </c>
      <c r="AB538">
        <f ca="1">COUNTIF(B:B,bron[[#This Row],[volledige naam]])</f>
        <v>10</v>
      </c>
    </row>
    <row r="539" spans="1:28" x14ac:dyDescent="0.25">
      <c r="A539" s="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3492</v>
      </c>
      <c r="Y539" t="s">
        <v>18</v>
      </c>
      <c r="Z539">
        <v>5771</v>
      </c>
      <c r="AA539" s="24" t="s">
        <v>3538</v>
      </c>
      <c r="AB539">
        <f ca="1">COUNTIF(B:B,bron[[#This Row],[volledige naam]])</f>
        <v>1</v>
      </c>
    </row>
    <row r="540" spans="1:28" x14ac:dyDescent="0.25">
      <c r="A540" s="39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3527</v>
      </c>
      <c r="Y540" t="s">
        <v>559</v>
      </c>
      <c r="Z540">
        <v>6337</v>
      </c>
      <c r="AA540" s="24" t="s">
        <v>3539</v>
      </c>
      <c r="AB540">
        <f ca="1">COUNTIF(B:B,bron[[#This Row],[volledige naam]])</f>
        <v>4</v>
      </c>
    </row>
    <row r="541" spans="1:28" x14ac:dyDescent="0.25">
      <c r="A541" s="39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3528</v>
      </c>
      <c r="Y541" t="s">
        <v>168</v>
      </c>
      <c r="Z541">
        <v>6355</v>
      </c>
      <c r="AA541" s="24" t="s">
        <v>3538</v>
      </c>
      <c r="AB541">
        <f ca="1">COUNTIF(B:B,bron[[#This Row],[volledige naam]])</f>
        <v>2</v>
      </c>
    </row>
    <row r="542" spans="1:28" x14ac:dyDescent="0.25">
      <c r="A542" s="39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3528</v>
      </c>
      <c r="Y542" t="s">
        <v>55</v>
      </c>
      <c r="Z542">
        <v>6356</v>
      </c>
      <c r="AA542" s="24" t="s">
        <v>3539</v>
      </c>
      <c r="AB542">
        <f ca="1">COUNTIF(B:B,bron[[#This Row],[volledige naam]])</f>
        <v>3</v>
      </c>
    </row>
    <row r="543" spans="1:28" x14ac:dyDescent="0.25">
      <c r="A543" s="39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3491</v>
      </c>
      <c r="Y543" t="s">
        <v>264</v>
      </c>
      <c r="Z543">
        <v>5039</v>
      </c>
      <c r="AA543" s="24" t="s">
        <v>3538</v>
      </c>
      <c r="AB543">
        <f ca="1">COUNTIF(B:B,bron[[#This Row],[volledige naam]])</f>
        <v>4</v>
      </c>
    </row>
    <row r="544" spans="1:28" x14ac:dyDescent="0.25">
      <c r="A544" s="39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3527</v>
      </c>
      <c r="Y544" t="s">
        <v>20</v>
      </c>
      <c r="Z544">
        <v>6327</v>
      </c>
      <c r="AA544" s="24" t="s">
        <v>3538</v>
      </c>
      <c r="AB544">
        <f ca="1">COUNTIF(B:B,bron[[#This Row],[volledige naam]])</f>
        <v>10</v>
      </c>
    </row>
    <row r="545" spans="1:28" x14ac:dyDescent="0.25">
      <c r="A545" s="39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3491</v>
      </c>
      <c r="Y545" t="s">
        <v>1304</v>
      </c>
      <c r="Z545">
        <v>5040</v>
      </c>
      <c r="AA545" s="24" t="s">
        <v>3539</v>
      </c>
      <c r="AB545">
        <f ca="1">COUNTIF(B:B,bron[[#This Row],[volledige naam]])</f>
        <v>2</v>
      </c>
    </row>
    <row r="546" spans="1:28" x14ac:dyDescent="0.25">
      <c r="A546" s="39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3492</v>
      </c>
      <c r="Y546" t="s">
        <v>73</v>
      </c>
      <c r="Z546">
        <v>5922</v>
      </c>
      <c r="AA546" s="24" t="s">
        <v>3538</v>
      </c>
      <c r="AB546">
        <f ca="1">COUNTIF(B:B,bron[[#This Row],[volledige naam]])</f>
        <v>5</v>
      </c>
    </row>
    <row r="547" spans="1:28" x14ac:dyDescent="0.25">
      <c r="A547" s="39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3527</v>
      </c>
      <c r="Y547" t="s">
        <v>140</v>
      </c>
      <c r="Z547">
        <v>6324</v>
      </c>
      <c r="AA547" s="24" t="s">
        <v>3538</v>
      </c>
      <c r="AB547">
        <f ca="1">COUNTIF(B:B,bron[[#This Row],[volledige naam]])</f>
        <v>3</v>
      </c>
    </row>
    <row r="548" spans="1:28" x14ac:dyDescent="0.25">
      <c r="A548" s="39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3493</v>
      </c>
      <c r="Y548" t="s">
        <v>32</v>
      </c>
      <c r="Z548">
        <v>5264</v>
      </c>
      <c r="AA548" s="24" t="s">
        <v>3538</v>
      </c>
      <c r="AB548">
        <f ca="1">COUNTIF(B:B,bron[[#This Row],[volledige naam]])</f>
        <v>6</v>
      </c>
    </row>
    <row r="549" spans="1:28" x14ac:dyDescent="0.25">
      <c r="A549" s="3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3492</v>
      </c>
      <c r="Y549" t="s">
        <v>108</v>
      </c>
      <c r="Z549">
        <v>5929</v>
      </c>
      <c r="AA549" s="24" t="s">
        <v>3538</v>
      </c>
      <c r="AB549">
        <f ca="1">COUNTIF(B:B,bron[[#This Row],[volledige naam]])</f>
        <v>5</v>
      </c>
    </row>
    <row r="550" spans="1:28" x14ac:dyDescent="0.25">
      <c r="A550" s="39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3527</v>
      </c>
      <c r="Y550" t="s">
        <v>58</v>
      </c>
      <c r="Z550">
        <v>6325</v>
      </c>
      <c r="AA550" s="24" t="s">
        <v>3538</v>
      </c>
      <c r="AB550">
        <f ca="1">COUNTIF(B:B,bron[[#This Row],[volledige naam]])</f>
        <v>3</v>
      </c>
    </row>
    <row r="551" spans="1:28" x14ac:dyDescent="0.25">
      <c r="A551" s="39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3527</v>
      </c>
      <c r="Y551" t="s">
        <v>152</v>
      </c>
      <c r="Z551">
        <v>6320</v>
      </c>
      <c r="AA551" s="24" t="s">
        <v>3538</v>
      </c>
      <c r="AB551">
        <f ca="1">COUNTIF(B:B,bron[[#This Row],[volledige naam]])</f>
        <v>2</v>
      </c>
    </row>
    <row r="552" spans="1:28" x14ac:dyDescent="0.25">
      <c r="A552" s="39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3527</v>
      </c>
      <c r="Y552" t="s">
        <v>110</v>
      </c>
      <c r="Z552">
        <v>6333</v>
      </c>
      <c r="AA552" s="24" t="s">
        <v>3538</v>
      </c>
      <c r="AB552">
        <f ca="1">COUNTIF(B:B,bron[[#This Row],[volledige naam]])</f>
        <v>1</v>
      </c>
    </row>
    <row r="553" spans="1:28" x14ac:dyDescent="0.25">
      <c r="A553" s="39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3527</v>
      </c>
      <c r="Y553" t="s">
        <v>64</v>
      </c>
      <c r="Z553">
        <v>6303</v>
      </c>
      <c r="AA553" s="24" t="s">
        <v>3539</v>
      </c>
      <c r="AB553">
        <f ca="1">COUNTIF(B:B,bron[[#This Row],[volledige naam]])</f>
        <v>6</v>
      </c>
    </row>
    <row r="554" spans="1:28" x14ac:dyDescent="0.25">
      <c r="A554" s="39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3493</v>
      </c>
      <c r="Y554" t="s">
        <v>64</v>
      </c>
      <c r="Z554">
        <v>5267</v>
      </c>
      <c r="AA554" s="24" t="s">
        <v>3538</v>
      </c>
      <c r="AB554">
        <f ca="1">COUNTIF(B:B,bron[[#This Row],[volledige naam]])</f>
        <v>3</v>
      </c>
    </row>
    <row r="555" spans="1:28" x14ac:dyDescent="0.25">
      <c r="A555" s="39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3491</v>
      </c>
      <c r="Y555" t="s">
        <v>14</v>
      </c>
      <c r="Z555">
        <v>5235</v>
      </c>
      <c r="AA555" s="24" t="s">
        <v>3538</v>
      </c>
      <c r="AB555">
        <f ca="1">COUNTIF(B:B,bron[[#This Row],[volledige naam]])</f>
        <v>2</v>
      </c>
    </row>
    <row r="556" spans="1:28" x14ac:dyDescent="0.25">
      <c r="A556" s="39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3492</v>
      </c>
      <c r="Y556" t="s">
        <v>37</v>
      </c>
      <c r="Z556">
        <v>5923</v>
      </c>
      <c r="AA556" s="24" t="s">
        <v>3538</v>
      </c>
      <c r="AB556">
        <f ca="1">COUNTIF(B:B,bron[[#This Row],[volledige naam]])</f>
        <v>10</v>
      </c>
    </row>
    <row r="557" spans="1:28" x14ac:dyDescent="0.25">
      <c r="A557" s="39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3527</v>
      </c>
      <c r="Y557" t="s">
        <v>58</v>
      </c>
      <c r="Z557">
        <v>6337</v>
      </c>
      <c r="AA557" s="24" t="s">
        <v>3538</v>
      </c>
      <c r="AB557">
        <f ca="1">COUNTIF(B:B,bron[[#This Row],[volledige naam]])</f>
        <v>4</v>
      </c>
    </row>
    <row r="558" spans="1:28" x14ac:dyDescent="0.25">
      <c r="A558" s="39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3528</v>
      </c>
      <c r="Y558" t="s">
        <v>20</v>
      </c>
      <c r="Z558">
        <v>6368</v>
      </c>
      <c r="AA558" s="24" t="s">
        <v>3538</v>
      </c>
      <c r="AB558">
        <f ca="1">COUNTIF(B:B,bron[[#This Row],[volledige naam]])</f>
        <v>2</v>
      </c>
    </row>
    <row r="559" spans="1:28" x14ac:dyDescent="0.25">
      <c r="A559" s="3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3492</v>
      </c>
      <c r="Y559" t="s">
        <v>195</v>
      </c>
      <c r="Z559">
        <v>5763</v>
      </c>
      <c r="AA559" s="24" t="s">
        <v>3538</v>
      </c>
      <c r="AB559">
        <f ca="1">COUNTIF(B:B,bron[[#This Row],[volledige naam]])</f>
        <v>1</v>
      </c>
    </row>
    <row r="560" spans="1:28" x14ac:dyDescent="0.25">
      <c r="A560" s="39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3493</v>
      </c>
      <c r="Y560" t="s">
        <v>221</v>
      </c>
      <c r="Z560">
        <v>2204</v>
      </c>
      <c r="AA560" s="24" t="s">
        <v>3538</v>
      </c>
      <c r="AB560">
        <f ca="1">COUNTIF(B:B,bron[[#This Row],[volledige naam]])</f>
        <v>7</v>
      </c>
    </row>
    <row r="561" spans="1:28" x14ac:dyDescent="0.25">
      <c r="A561" s="39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3492</v>
      </c>
      <c r="Y561" t="s">
        <v>8</v>
      </c>
      <c r="Z561">
        <v>5053</v>
      </c>
      <c r="AA561" s="24" t="s">
        <v>3538</v>
      </c>
      <c r="AB561">
        <f ca="1">COUNTIF(B:B,bron[[#This Row],[volledige naam]])</f>
        <v>3</v>
      </c>
    </row>
    <row r="562" spans="1:28" x14ac:dyDescent="0.25">
      <c r="A562" s="39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3493</v>
      </c>
      <c r="Y562" t="s">
        <v>8</v>
      </c>
      <c r="Z562">
        <v>5048</v>
      </c>
      <c r="AA562" s="24" t="s">
        <v>3538</v>
      </c>
      <c r="AB562">
        <f ca="1">COUNTIF(B:B,bron[[#This Row],[volledige naam]])</f>
        <v>6</v>
      </c>
    </row>
    <row r="563" spans="1:28" x14ac:dyDescent="0.25">
      <c r="A563" s="39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3527</v>
      </c>
      <c r="Y563" t="s">
        <v>2</v>
      </c>
      <c r="Z563">
        <v>6327</v>
      </c>
      <c r="AA563" s="24" t="s">
        <v>3538</v>
      </c>
      <c r="AB563">
        <f ca="1">COUNTIF(B:B,bron[[#This Row],[volledige naam]])</f>
        <v>4</v>
      </c>
    </row>
    <row r="564" spans="1:28" x14ac:dyDescent="0.25">
      <c r="A564" s="39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3527</v>
      </c>
      <c r="Y564" t="s">
        <v>128</v>
      </c>
      <c r="Z564">
        <v>6314</v>
      </c>
      <c r="AA564" s="24" t="s">
        <v>3538</v>
      </c>
      <c r="AB564">
        <f ca="1">COUNTIF(B:B,bron[[#This Row],[volledige naam]])</f>
        <v>1</v>
      </c>
    </row>
    <row r="565" spans="1:28" x14ac:dyDescent="0.25">
      <c r="A565" s="39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3492</v>
      </c>
      <c r="Y565" t="s">
        <v>130</v>
      </c>
      <c r="Z565">
        <v>5916</v>
      </c>
      <c r="AA565" s="24" t="s">
        <v>3538</v>
      </c>
      <c r="AB565">
        <f ca="1">COUNTIF(B:B,bron[[#This Row],[volledige naam]])</f>
        <v>19</v>
      </c>
    </row>
    <row r="566" spans="1:28" x14ac:dyDescent="0.25">
      <c r="A566" s="39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3491</v>
      </c>
      <c r="Y566" t="s">
        <v>12</v>
      </c>
      <c r="Z566">
        <v>5327</v>
      </c>
      <c r="AA566" s="24" t="s">
        <v>3538</v>
      </c>
      <c r="AB566">
        <f ca="1">COUNTIF(B:B,bron[[#This Row],[volledige naam]])</f>
        <v>2</v>
      </c>
    </row>
    <row r="567" spans="1:28" x14ac:dyDescent="0.25">
      <c r="A567" s="39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3492</v>
      </c>
      <c r="Y567" t="s">
        <v>61</v>
      </c>
      <c r="Z567">
        <v>5911</v>
      </c>
      <c r="AA567" s="24" t="s">
        <v>3538</v>
      </c>
      <c r="AB567">
        <f ca="1">COUNTIF(B:B,bron[[#This Row],[volledige naam]])</f>
        <v>2</v>
      </c>
    </row>
    <row r="568" spans="1:28" x14ac:dyDescent="0.25">
      <c r="A568" s="39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3493</v>
      </c>
      <c r="Y568" t="s">
        <v>28</v>
      </c>
      <c r="Z568">
        <v>2199</v>
      </c>
      <c r="AA568" s="24" t="s">
        <v>3538</v>
      </c>
      <c r="AB568">
        <f ca="1">COUNTIF(B:B,bron[[#This Row],[volledige naam]])</f>
        <v>3</v>
      </c>
    </row>
    <row r="569" spans="1:28" x14ac:dyDescent="0.25">
      <c r="A569" s="3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3491</v>
      </c>
      <c r="Y569" t="s">
        <v>252</v>
      </c>
      <c r="Z569">
        <v>5325</v>
      </c>
      <c r="AA569" s="24" t="s">
        <v>3538</v>
      </c>
      <c r="AB569">
        <f ca="1">COUNTIF(B:B,bron[[#This Row],[volledige naam]])</f>
        <v>4</v>
      </c>
    </row>
    <row r="570" spans="1:28" x14ac:dyDescent="0.25">
      <c r="A570" s="39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3492</v>
      </c>
      <c r="Y570" t="s">
        <v>40</v>
      </c>
      <c r="Z570">
        <v>5935</v>
      </c>
      <c r="AA570" s="24" t="s">
        <v>3538</v>
      </c>
      <c r="AB570">
        <f ca="1">COUNTIF(B:B,bron[[#This Row],[volledige naam]])</f>
        <v>8</v>
      </c>
    </row>
    <row r="571" spans="1:28" x14ac:dyDescent="0.25">
      <c r="A571" s="39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3492</v>
      </c>
      <c r="Y571" t="s">
        <v>240</v>
      </c>
      <c r="Z571">
        <v>5769</v>
      </c>
      <c r="AA571" s="24" t="s">
        <v>3538</v>
      </c>
      <c r="AB571">
        <f ca="1">COUNTIF(B:B,bron[[#This Row],[volledige naam]])</f>
        <v>5</v>
      </c>
    </row>
    <row r="572" spans="1:28" x14ac:dyDescent="0.25">
      <c r="A572" s="39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3527</v>
      </c>
      <c r="Y572" t="s">
        <v>102</v>
      </c>
      <c r="Z572">
        <v>6317</v>
      </c>
      <c r="AA572" s="24" t="s">
        <v>3538</v>
      </c>
      <c r="AB572">
        <f ca="1">COUNTIF(B:B,bron[[#This Row],[volledige naam]])</f>
        <v>1</v>
      </c>
    </row>
    <row r="573" spans="1:28" x14ac:dyDescent="0.25">
      <c r="A573" s="39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3491</v>
      </c>
      <c r="Y573" t="s">
        <v>192</v>
      </c>
      <c r="Z573">
        <v>2208</v>
      </c>
      <c r="AA573" s="24" t="s">
        <v>3538</v>
      </c>
      <c r="AB573">
        <f ca="1">COUNTIF(B:B,bron[[#This Row],[volledige naam]])</f>
        <v>5</v>
      </c>
    </row>
    <row r="574" spans="1:28" x14ac:dyDescent="0.25">
      <c r="A574" s="39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3491</v>
      </c>
      <c r="Y574" t="s">
        <v>6</v>
      </c>
      <c r="Z574">
        <v>2195</v>
      </c>
      <c r="AA574" s="24" t="s">
        <v>3538</v>
      </c>
      <c r="AB574">
        <f ca="1">COUNTIF(B:B,bron[[#This Row],[volledige naam]])</f>
        <v>4</v>
      </c>
    </row>
    <row r="575" spans="1:28" x14ac:dyDescent="0.25">
      <c r="A575" s="39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3491</v>
      </c>
      <c r="Y575" t="s">
        <v>12</v>
      </c>
      <c r="Z575">
        <v>5261</v>
      </c>
      <c r="AA575" s="24" t="s">
        <v>3538</v>
      </c>
      <c r="AB575">
        <f ca="1">COUNTIF(B:B,bron[[#This Row],[volledige naam]])</f>
        <v>2</v>
      </c>
    </row>
    <row r="576" spans="1:28" x14ac:dyDescent="0.25">
      <c r="A576" s="39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3528</v>
      </c>
      <c r="Y576" t="s">
        <v>201</v>
      </c>
      <c r="Z576">
        <v>6369</v>
      </c>
      <c r="AA576" s="24" t="s">
        <v>3538</v>
      </c>
      <c r="AB576">
        <f ca="1">COUNTIF(B:B,bron[[#This Row],[volledige naam]])</f>
        <v>3</v>
      </c>
    </row>
    <row r="577" spans="1:28" x14ac:dyDescent="0.25">
      <c r="A577" s="39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3492</v>
      </c>
      <c r="Y577" t="s">
        <v>6</v>
      </c>
      <c r="Z577">
        <v>4676</v>
      </c>
      <c r="AA577" s="24" t="s">
        <v>3538</v>
      </c>
      <c r="AB577">
        <f ca="1">COUNTIF(B:B,bron[[#This Row],[volledige naam]])</f>
        <v>2</v>
      </c>
    </row>
    <row r="578" spans="1:28" x14ac:dyDescent="0.25">
      <c r="A578" s="39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3493</v>
      </c>
      <c r="Y578" t="s">
        <v>278</v>
      </c>
      <c r="Z578">
        <v>5052</v>
      </c>
      <c r="AA578" s="24" t="s">
        <v>3538</v>
      </c>
      <c r="AB578">
        <f ca="1">COUNTIF(B:B,bron[[#This Row],[volledige naam]])</f>
        <v>8</v>
      </c>
    </row>
    <row r="579" spans="1:28" x14ac:dyDescent="0.25">
      <c r="A579" s="3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3527</v>
      </c>
      <c r="Y579" t="s">
        <v>64</v>
      </c>
      <c r="Z579">
        <v>6317</v>
      </c>
      <c r="AA579" s="24" t="s">
        <v>3538</v>
      </c>
      <c r="AB579">
        <f ca="1">COUNTIF(B:B,bron[[#This Row],[volledige naam]])</f>
        <v>1</v>
      </c>
    </row>
    <row r="580" spans="1:28" x14ac:dyDescent="0.25">
      <c r="A580" s="39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3491</v>
      </c>
      <c r="Y580" t="s">
        <v>174</v>
      </c>
      <c r="Z580">
        <v>5240</v>
      </c>
      <c r="AA580" s="24" t="s">
        <v>3538</v>
      </c>
      <c r="AB580">
        <f ca="1">COUNTIF(B:B,bron[[#This Row],[volledige naam]])</f>
        <v>1</v>
      </c>
    </row>
    <row r="581" spans="1:28" x14ac:dyDescent="0.25">
      <c r="A581" s="39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3491</v>
      </c>
      <c r="Y581" t="s">
        <v>49</v>
      </c>
      <c r="Z581">
        <v>5241</v>
      </c>
      <c r="AA581" s="24" t="s">
        <v>3538</v>
      </c>
      <c r="AB581">
        <f ca="1">COUNTIF(B:B,bron[[#This Row],[volledige naam]])</f>
        <v>4</v>
      </c>
    </row>
    <row r="582" spans="1:28" x14ac:dyDescent="0.25">
      <c r="A582" s="39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3527</v>
      </c>
      <c r="Y582" t="s">
        <v>71</v>
      </c>
      <c r="Z582">
        <v>6322</v>
      </c>
      <c r="AA582" s="24" t="s">
        <v>3538</v>
      </c>
      <c r="AB582">
        <f ca="1">COUNTIF(B:B,bron[[#This Row],[volledige naam]])</f>
        <v>4</v>
      </c>
    </row>
    <row r="583" spans="1:28" x14ac:dyDescent="0.25">
      <c r="A583" s="39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3491</v>
      </c>
      <c r="Y583" t="s">
        <v>197</v>
      </c>
      <c r="Z583">
        <v>5052</v>
      </c>
      <c r="AA583" s="24" t="s">
        <v>3538</v>
      </c>
      <c r="AB583">
        <f ca="1">COUNTIF(B:B,bron[[#This Row],[volledige naam]])</f>
        <v>8</v>
      </c>
    </row>
    <row r="584" spans="1:28" x14ac:dyDescent="0.25">
      <c r="A584" s="39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3492</v>
      </c>
      <c r="Y584" t="s">
        <v>43</v>
      </c>
      <c r="Z584">
        <v>5909</v>
      </c>
      <c r="AA584" s="24" t="s">
        <v>3538</v>
      </c>
      <c r="AB584">
        <f ca="1">COUNTIF(B:B,bron[[#This Row],[volledige naam]])</f>
        <v>1</v>
      </c>
    </row>
    <row r="585" spans="1:28" x14ac:dyDescent="0.25">
      <c r="A585" s="39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3528</v>
      </c>
      <c r="Y585" t="s">
        <v>144</v>
      </c>
      <c r="Z585">
        <v>6364</v>
      </c>
      <c r="AA585" s="24" t="s">
        <v>3538</v>
      </c>
      <c r="AB585">
        <f ca="1">COUNTIF(B:B,bron[[#This Row],[volledige naam]])</f>
        <v>1</v>
      </c>
    </row>
    <row r="586" spans="1:28" x14ac:dyDescent="0.25">
      <c r="A586" s="39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3493</v>
      </c>
      <c r="Y586" t="s">
        <v>87</v>
      </c>
      <c r="Z586">
        <v>2208</v>
      </c>
      <c r="AA586" s="24" t="s">
        <v>3539</v>
      </c>
      <c r="AB586">
        <f ca="1">COUNTIF(B:B,bron[[#This Row],[volledige naam]])</f>
        <v>6</v>
      </c>
    </row>
    <row r="587" spans="1:28" x14ac:dyDescent="0.25">
      <c r="A587" s="39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3492</v>
      </c>
      <c r="Y587" t="s">
        <v>92</v>
      </c>
      <c r="Z587">
        <v>5928</v>
      </c>
      <c r="AA587" s="24" t="s">
        <v>3538</v>
      </c>
      <c r="AB587">
        <f ca="1">COUNTIF(B:B,bron[[#This Row],[volledige naam]])</f>
        <v>2</v>
      </c>
    </row>
    <row r="588" spans="1:28" x14ac:dyDescent="0.25">
      <c r="A588" s="39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3492</v>
      </c>
      <c r="Y588" t="s">
        <v>199</v>
      </c>
      <c r="Z588">
        <v>5912</v>
      </c>
      <c r="AA588" s="24" t="s">
        <v>3539</v>
      </c>
      <c r="AB588">
        <f ca="1">COUNTIF(B:B,bron[[#This Row],[volledige naam]])</f>
        <v>1</v>
      </c>
    </row>
    <row r="589" spans="1:28" x14ac:dyDescent="0.25">
      <c r="A589" s="3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3493</v>
      </c>
      <c r="Y589" t="s">
        <v>1272</v>
      </c>
      <c r="Z589">
        <v>2200</v>
      </c>
      <c r="AA589" s="24" t="s">
        <v>3539</v>
      </c>
      <c r="AB589">
        <f ca="1">COUNTIF(B:B,bron[[#This Row],[volledige naam]])</f>
        <v>3</v>
      </c>
    </row>
    <row r="590" spans="1:28" x14ac:dyDescent="0.25">
      <c r="A590" s="39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3492</v>
      </c>
      <c r="Y590" t="s">
        <v>493</v>
      </c>
      <c r="Z590">
        <v>5923</v>
      </c>
      <c r="AA590" s="24" t="s">
        <v>3538</v>
      </c>
      <c r="AB590">
        <f ca="1">COUNTIF(B:B,bron[[#This Row],[volledige naam]])</f>
        <v>2</v>
      </c>
    </row>
    <row r="591" spans="1:28" x14ac:dyDescent="0.25">
      <c r="A591" s="39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3492</v>
      </c>
      <c r="Y591" t="s">
        <v>199</v>
      </c>
      <c r="Z591">
        <v>5925</v>
      </c>
      <c r="AA591" s="24" t="s">
        <v>3538</v>
      </c>
      <c r="AB591">
        <f ca="1">COUNTIF(B:B,bron[[#This Row],[volledige naam]])</f>
        <v>4</v>
      </c>
    </row>
    <row r="592" spans="1:28" x14ac:dyDescent="0.25">
      <c r="A592" s="39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3492</v>
      </c>
      <c r="Y592" t="s">
        <v>193</v>
      </c>
      <c r="Z592">
        <v>5927</v>
      </c>
      <c r="AA592" s="24" t="s">
        <v>3538</v>
      </c>
      <c r="AB592">
        <f ca="1">COUNTIF(B:B,bron[[#This Row],[volledige naam]])</f>
        <v>5</v>
      </c>
    </row>
    <row r="593" spans="1:28" x14ac:dyDescent="0.25">
      <c r="A593" s="39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3493</v>
      </c>
      <c r="Y593" t="s">
        <v>28</v>
      </c>
      <c r="Z593">
        <v>2195</v>
      </c>
      <c r="AA593" s="24" t="s">
        <v>3538</v>
      </c>
      <c r="AB593">
        <f ca="1">COUNTIF(B:B,bron[[#This Row],[volledige naam]])</f>
        <v>6</v>
      </c>
    </row>
    <row r="594" spans="1:28" x14ac:dyDescent="0.25">
      <c r="A594" s="39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3527</v>
      </c>
      <c r="Y594" t="s">
        <v>2</v>
      </c>
      <c r="Z594">
        <v>6333</v>
      </c>
      <c r="AA594" s="24" t="s">
        <v>3538</v>
      </c>
      <c r="AB594">
        <f ca="1">COUNTIF(B:B,bron[[#This Row],[volledige naam]])</f>
        <v>19</v>
      </c>
    </row>
    <row r="595" spans="1:28" x14ac:dyDescent="0.25">
      <c r="A595" s="39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3492</v>
      </c>
      <c r="Y595" t="s">
        <v>112</v>
      </c>
      <c r="Z595">
        <v>5916</v>
      </c>
      <c r="AA595" s="24" t="s">
        <v>3538</v>
      </c>
      <c r="AB595">
        <f ca="1">COUNTIF(B:B,bron[[#This Row],[volledige naam]])</f>
        <v>3</v>
      </c>
    </row>
    <row r="596" spans="1:28" x14ac:dyDescent="0.25">
      <c r="A596" s="39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3493</v>
      </c>
      <c r="Z596">
        <v>0</v>
      </c>
      <c r="AA596" s="24" t="s">
        <v>3538</v>
      </c>
      <c r="AB596">
        <f ca="1">COUNTIF(B:B,bron[[#This Row],[volledige naam]])</f>
        <v>4</v>
      </c>
    </row>
    <row r="597" spans="1:28" x14ac:dyDescent="0.25">
      <c r="A597" s="39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3491</v>
      </c>
      <c r="Y597" t="s">
        <v>16</v>
      </c>
      <c r="Z597">
        <v>5229</v>
      </c>
      <c r="AA597" s="24" t="s">
        <v>3538</v>
      </c>
      <c r="AB597">
        <f ca="1">COUNTIF(B:B,bron[[#This Row],[volledige naam]])</f>
        <v>1</v>
      </c>
    </row>
    <row r="598" spans="1:28" x14ac:dyDescent="0.25">
      <c r="A598" s="39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3492</v>
      </c>
      <c r="Y598" t="s">
        <v>10</v>
      </c>
      <c r="Z598">
        <v>5929</v>
      </c>
      <c r="AA598" s="24" t="s">
        <v>3538</v>
      </c>
      <c r="AB598">
        <f ca="1">COUNTIF(B:B,bron[[#This Row],[volledige naam]])</f>
        <v>6</v>
      </c>
    </row>
    <row r="599" spans="1:28" x14ac:dyDescent="0.25">
      <c r="A599" s="3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3493</v>
      </c>
      <c r="Y599" t="s">
        <v>493</v>
      </c>
      <c r="Z599">
        <v>5043</v>
      </c>
      <c r="AA599" s="24" t="s">
        <v>3538</v>
      </c>
      <c r="AB599">
        <f ca="1">COUNTIF(B:B,bron[[#This Row],[volledige naam]])</f>
        <v>3</v>
      </c>
    </row>
    <row r="600" spans="1:28" x14ac:dyDescent="0.25">
      <c r="A600" s="39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3492</v>
      </c>
      <c r="Y600" t="s">
        <v>1054</v>
      </c>
      <c r="Z600">
        <v>5929</v>
      </c>
      <c r="AA600" s="24" t="s">
        <v>3538</v>
      </c>
      <c r="AB600">
        <f ca="1">COUNTIF(B:B,bron[[#This Row],[volledige naam]])</f>
        <v>19</v>
      </c>
    </row>
    <row r="601" spans="1:28" x14ac:dyDescent="0.25">
      <c r="A601" s="39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3493</v>
      </c>
      <c r="Y601" t="s">
        <v>94</v>
      </c>
      <c r="Z601">
        <v>5043</v>
      </c>
      <c r="AA601" s="24" t="s">
        <v>3539</v>
      </c>
      <c r="AB601">
        <f ca="1">COUNTIF(B:B,bron[[#This Row],[volledige naam]])</f>
        <v>1</v>
      </c>
    </row>
    <row r="602" spans="1:28" x14ac:dyDescent="0.25">
      <c r="A602" s="39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3527</v>
      </c>
      <c r="Y602" t="s">
        <v>2</v>
      </c>
      <c r="Z602">
        <v>6364</v>
      </c>
      <c r="AA602" s="24" t="s">
        <v>3538</v>
      </c>
      <c r="AB602">
        <f ca="1">COUNTIF(B:B,bron[[#This Row],[volledige naam]])</f>
        <v>1</v>
      </c>
    </row>
    <row r="603" spans="1:28" x14ac:dyDescent="0.25">
      <c r="A603" s="39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3492</v>
      </c>
      <c r="Y603" t="s">
        <v>18</v>
      </c>
      <c r="Z603">
        <v>5771</v>
      </c>
      <c r="AA603" s="24" t="s">
        <v>3538</v>
      </c>
      <c r="AB603">
        <f ca="1">COUNTIF(B:B,bron[[#This Row],[volledige naam]])</f>
        <v>4</v>
      </c>
    </row>
    <row r="604" spans="1:28" x14ac:dyDescent="0.25">
      <c r="A604" s="39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3493</v>
      </c>
      <c r="Y604" t="s">
        <v>16</v>
      </c>
      <c r="Z604">
        <v>5049</v>
      </c>
      <c r="AA604" s="24" t="s">
        <v>3538</v>
      </c>
      <c r="AB604">
        <f ca="1">COUNTIF(B:B,bron[[#This Row],[volledige naam]])</f>
        <v>8</v>
      </c>
    </row>
    <row r="605" spans="1:28" x14ac:dyDescent="0.25">
      <c r="A605" s="39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3491</v>
      </c>
      <c r="Y605" t="s">
        <v>170</v>
      </c>
      <c r="Z605">
        <v>2206</v>
      </c>
      <c r="AA605" s="24" t="s">
        <v>3538</v>
      </c>
      <c r="AB605">
        <f ca="1">COUNTIF(B:B,bron[[#This Row],[volledige naam]])</f>
        <v>3</v>
      </c>
    </row>
    <row r="606" spans="1:28" x14ac:dyDescent="0.25">
      <c r="A606" s="39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3491</v>
      </c>
      <c r="Y606" t="s">
        <v>89</v>
      </c>
      <c r="Z606">
        <v>5914</v>
      </c>
      <c r="AA606" s="24" t="s">
        <v>3538</v>
      </c>
      <c r="AB606">
        <f ca="1">COUNTIF(B:B,bron[[#This Row],[volledige naam]])</f>
        <v>2</v>
      </c>
    </row>
    <row r="607" spans="1:28" x14ac:dyDescent="0.25">
      <c r="A607" s="39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3527</v>
      </c>
      <c r="Y607" t="s">
        <v>647</v>
      </c>
      <c r="Z607">
        <v>6320</v>
      </c>
      <c r="AA607" s="24" t="s">
        <v>3539</v>
      </c>
      <c r="AB607">
        <f ca="1">COUNTIF(B:B,bron[[#This Row],[volledige naam]])</f>
        <v>3</v>
      </c>
    </row>
    <row r="608" spans="1:28" x14ac:dyDescent="0.25">
      <c r="A608" s="39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3492</v>
      </c>
      <c r="Y608" t="s">
        <v>256</v>
      </c>
      <c r="Z608">
        <v>5923</v>
      </c>
      <c r="AA608" s="24" t="s">
        <v>3538</v>
      </c>
      <c r="AB608">
        <f ca="1">COUNTIF(B:B,bron[[#This Row],[volledige naam]])</f>
        <v>7</v>
      </c>
    </row>
    <row r="609" spans="1:28" x14ac:dyDescent="0.25">
      <c r="A609" s="3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3491</v>
      </c>
      <c r="Y609" t="s">
        <v>2</v>
      </c>
      <c r="Z609">
        <v>5046</v>
      </c>
      <c r="AA609" s="24" t="s">
        <v>3538</v>
      </c>
      <c r="AB609">
        <f ca="1">COUNTIF(B:B,bron[[#This Row],[volledige naam]])</f>
        <v>2</v>
      </c>
    </row>
    <row r="610" spans="1:28" x14ac:dyDescent="0.25">
      <c r="A610" s="39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3492</v>
      </c>
      <c r="Y610" t="s">
        <v>188</v>
      </c>
      <c r="Z610">
        <v>2546</v>
      </c>
      <c r="AA610" s="24" t="s">
        <v>3538</v>
      </c>
      <c r="AB610">
        <f ca="1">COUNTIF(B:B,bron[[#This Row],[volledige naam]])</f>
        <v>6</v>
      </c>
    </row>
    <row r="611" spans="1:28" x14ac:dyDescent="0.25">
      <c r="A611" s="39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3492</v>
      </c>
      <c r="Y611" t="s">
        <v>22</v>
      </c>
      <c r="Z611">
        <v>2548</v>
      </c>
      <c r="AA611" s="24" t="s">
        <v>3538</v>
      </c>
      <c r="AB611">
        <f ca="1">COUNTIF(B:B,bron[[#This Row],[volledige naam]])</f>
        <v>8</v>
      </c>
    </row>
    <row r="612" spans="1:28" x14ac:dyDescent="0.25">
      <c r="A612" s="42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3492</v>
      </c>
      <c r="Y612" s="13" t="s">
        <v>266</v>
      </c>
      <c r="Z612">
        <v>5047</v>
      </c>
      <c r="AA612" s="24" t="s">
        <v>3538</v>
      </c>
      <c r="AB612">
        <f ca="1">COUNTIF(B:B,bron[[#This Row],[volledige naam]])</f>
        <v>10</v>
      </c>
    </row>
    <row r="613" spans="1:28" x14ac:dyDescent="0.25">
      <c r="A613" s="39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3492</v>
      </c>
      <c r="Y613" t="s">
        <v>61</v>
      </c>
      <c r="Z613">
        <v>5929</v>
      </c>
      <c r="AA613" s="24" t="s">
        <v>3538</v>
      </c>
      <c r="AB613">
        <f ca="1">COUNTIF(B:B,bron[[#This Row],[volledige naam]])</f>
        <v>4</v>
      </c>
    </row>
    <row r="614" spans="1:28" x14ac:dyDescent="0.25">
      <c r="A614" s="39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3528</v>
      </c>
      <c r="Y614" t="s">
        <v>6</v>
      </c>
      <c r="Z614">
        <v>6375</v>
      </c>
      <c r="AA614" s="24" t="s">
        <v>3538</v>
      </c>
      <c r="AB614">
        <f ca="1">COUNTIF(B:B,bron[[#This Row],[volledige naam]])</f>
        <v>4</v>
      </c>
    </row>
    <row r="615" spans="1:28" x14ac:dyDescent="0.25">
      <c r="A615" s="39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3491</v>
      </c>
      <c r="Y615" t="s">
        <v>26</v>
      </c>
      <c r="Z615">
        <v>2196</v>
      </c>
      <c r="AA615" s="24" t="s">
        <v>3538</v>
      </c>
      <c r="AB615">
        <f ca="1">COUNTIF(B:B,bron[[#This Row],[volledige naam]])</f>
        <v>1</v>
      </c>
    </row>
    <row r="616" spans="1:28" x14ac:dyDescent="0.25">
      <c r="A616" s="39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3492</v>
      </c>
      <c r="Y616" t="s">
        <v>108</v>
      </c>
      <c r="Z616">
        <v>5911</v>
      </c>
      <c r="AA616" s="24" t="s">
        <v>3538</v>
      </c>
      <c r="AB616">
        <f ca="1">COUNTIF(B:B,bron[[#This Row],[volledige naam]])</f>
        <v>1</v>
      </c>
    </row>
    <row r="617" spans="1:28" x14ac:dyDescent="0.25">
      <c r="A617" s="39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3493</v>
      </c>
      <c r="Y617" t="s">
        <v>14</v>
      </c>
      <c r="Z617">
        <v>5042</v>
      </c>
      <c r="AA617" s="24" t="s">
        <v>3538</v>
      </c>
      <c r="AB617">
        <f ca="1">COUNTIF(B:B,bron[[#This Row],[volledige naam]])</f>
        <v>2</v>
      </c>
    </row>
    <row r="618" spans="1:28" x14ac:dyDescent="0.25">
      <c r="A618" s="39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3527</v>
      </c>
      <c r="Y618" t="s">
        <v>55</v>
      </c>
      <c r="Z618">
        <v>6314</v>
      </c>
      <c r="AA618" s="24" t="s">
        <v>3538</v>
      </c>
      <c r="AB618">
        <f ca="1">COUNTIF(B:B,bron[[#This Row],[volledige naam]])</f>
        <v>2</v>
      </c>
    </row>
    <row r="619" spans="1:28" x14ac:dyDescent="0.25">
      <c r="A619" s="3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3492</v>
      </c>
      <c r="Y619" t="s">
        <v>46</v>
      </c>
      <c r="Z619">
        <v>5916</v>
      </c>
      <c r="AA619" s="24" t="s">
        <v>3538</v>
      </c>
      <c r="AB619">
        <f ca="1">COUNTIF(B:B,bron[[#This Row],[volledige naam]])</f>
        <v>3</v>
      </c>
    </row>
    <row r="620" spans="1:28" x14ac:dyDescent="0.25">
      <c r="A620" s="39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3527</v>
      </c>
      <c r="Y620" t="s">
        <v>2</v>
      </c>
      <c r="Z620">
        <v>6313</v>
      </c>
      <c r="AA620" s="24" t="s">
        <v>3538</v>
      </c>
      <c r="AB620">
        <f ca="1">COUNTIF(B:B,bron[[#This Row],[volledige naam]])</f>
        <v>1</v>
      </c>
    </row>
    <row r="621" spans="1:28" x14ac:dyDescent="0.25">
      <c r="A621" s="39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3492</v>
      </c>
      <c r="Y621" t="s">
        <v>6</v>
      </c>
      <c r="Z621">
        <v>5911</v>
      </c>
      <c r="AA621" s="24" t="s">
        <v>3538</v>
      </c>
      <c r="AB621">
        <f ca="1">COUNTIF(B:B,bron[[#This Row],[volledige naam]])</f>
        <v>1</v>
      </c>
    </row>
    <row r="622" spans="1:28" x14ac:dyDescent="0.25">
      <c r="A622" s="39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3492</v>
      </c>
      <c r="Y622" t="s">
        <v>205</v>
      </c>
      <c r="Z622">
        <v>5909</v>
      </c>
      <c r="AA622" s="24" t="s">
        <v>3538</v>
      </c>
      <c r="AB622">
        <f ca="1">COUNTIF(B:B,bron[[#This Row],[volledige naam]])</f>
        <v>8</v>
      </c>
    </row>
    <row r="623" spans="1:28" x14ac:dyDescent="0.25">
      <c r="A623" s="39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3527</v>
      </c>
      <c r="Y623" t="s">
        <v>118</v>
      </c>
      <c r="Z623">
        <v>6303</v>
      </c>
      <c r="AA623" s="24" t="s">
        <v>3538</v>
      </c>
      <c r="AB623">
        <f ca="1">COUNTIF(B:B,bron[[#This Row],[volledige naam]])</f>
        <v>4</v>
      </c>
    </row>
    <row r="624" spans="1:28" x14ac:dyDescent="0.25">
      <c r="A624" s="39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3491</v>
      </c>
      <c r="Y624" t="s">
        <v>132</v>
      </c>
      <c r="Z624">
        <v>5040</v>
      </c>
      <c r="AA624" s="24" t="s">
        <v>3538</v>
      </c>
      <c r="AB624">
        <f ca="1">COUNTIF(B:B,bron[[#This Row],[volledige naam]])</f>
        <v>2</v>
      </c>
    </row>
    <row r="625" spans="1:28" x14ac:dyDescent="0.25">
      <c r="A625" s="39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3492</v>
      </c>
      <c r="Y625" t="s">
        <v>8</v>
      </c>
      <c r="Z625">
        <v>5932</v>
      </c>
      <c r="AA625" s="24" t="s">
        <v>3538</v>
      </c>
      <c r="AB625">
        <f ca="1">COUNTIF(B:B,bron[[#This Row],[volledige naam]])</f>
        <v>3</v>
      </c>
    </row>
    <row r="626" spans="1:28" x14ac:dyDescent="0.25">
      <c r="A626" s="39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3492</v>
      </c>
      <c r="Y626" t="s">
        <v>30</v>
      </c>
      <c r="Z626">
        <v>5938</v>
      </c>
      <c r="AA626" s="24" t="s">
        <v>3538</v>
      </c>
      <c r="AB626">
        <f ca="1">COUNTIF(B:B,bron[[#This Row],[volledige naam]])</f>
        <v>4</v>
      </c>
    </row>
    <row r="627" spans="1:28" x14ac:dyDescent="0.25">
      <c r="A627" s="39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3493</v>
      </c>
      <c r="Y627" t="s">
        <v>26</v>
      </c>
      <c r="Z627">
        <v>5325</v>
      </c>
      <c r="AA627" s="24" t="s">
        <v>3538</v>
      </c>
      <c r="AB627">
        <f ca="1">COUNTIF(B:B,bron[[#This Row],[volledige naam]])</f>
        <v>10</v>
      </c>
    </row>
    <row r="628" spans="1:28" x14ac:dyDescent="0.25">
      <c r="A628" s="39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3493</v>
      </c>
      <c r="Y628" t="s">
        <v>81</v>
      </c>
      <c r="Z628">
        <v>5237</v>
      </c>
      <c r="AA628" s="24" t="s">
        <v>3538</v>
      </c>
      <c r="AB628">
        <f ca="1">COUNTIF(B:B,bron[[#This Row],[volledige naam]])</f>
        <v>6</v>
      </c>
    </row>
    <row r="629" spans="1:28" x14ac:dyDescent="0.25">
      <c r="A629" s="3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3493</v>
      </c>
      <c r="Y629" t="s">
        <v>96</v>
      </c>
      <c r="Z629">
        <v>5240</v>
      </c>
      <c r="AA629" s="24" t="s">
        <v>3538</v>
      </c>
      <c r="AB629">
        <f ca="1">COUNTIF(B:B,bron[[#This Row],[volledige naam]])</f>
        <v>2</v>
      </c>
    </row>
    <row r="630" spans="1:28" x14ac:dyDescent="0.25">
      <c r="A630" s="39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3492</v>
      </c>
      <c r="Y630" t="s">
        <v>104</v>
      </c>
      <c r="Z630">
        <v>5915</v>
      </c>
      <c r="AA630" s="24" t="s">
        <v>3538</v>
      </c>
      <c r="AB630">
        <f ca="1">COUNTIF(B:B,bron[[#This Row],[volledige naam]])</f>
        <v>8</v>
      </c>
    </row>
    <row r="631" spans="1:28" x14ac:dyDescent="0.25">
      <c r="A631" s="39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3527</v>
      </c>
      <c r="Y631" t="s">
        <v>946</v>
      </c>
      <c r="Z631">
        <v>6326</v>
      </c>
      <c r="AA631" s="24" t="s">
        <v>3539</v>
      </c>
      <c r="AB631">
        <f ca="1">COUNTIF(B:B,bron[[#This Row],[volledige naam]])</f>
        <v>1</v>
      </c>
    </row>
    <row r="632" spans="1:28" x14ac:dyDescent="0.25">
      <c r="A632" s="42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3492</v>
      </c>
      <c r="Y632" s="13" t="s">
        <v>102</v>
      </c>
      <c r="Z632">
        <v>5928</v>
      </c>
      <c r="AA632" s="24" t="s">
        <v>3538</v>
      </c>
      <c r="AB632">
        <f ca="1">COUNTIF(B:B,bron[[#This Row],[volledige naam]])</f>
        <v>3</v>
      </c>
    </row>
    <row r="633" spans="1:28" x14ac:dyDescent="0.25">
      <c r="A633" s="39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3527</v>
      </c>
      <c r="Y633" t="s">
        <v>85</v>
      </c>
      <c r="Z633">
        <v>6331</v>
      </c>
      <c r="AA633" s="24" t="s">
        <v>3538</v>
      </c>
      <c r="AB633">
        <f ca="1">COUNTIF(B:B,bron[[#This Row],[volledige naam]])</f>
        <v>4</v>
      </c>
    </row>
    <row r="634" spans="1:28" x14ac:dyDescent="0.25">
      <c r="A634" s="39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3492</v>
      </c>
      <c r="Y634" t="s">
        <v>61</v>
      </c>
      <c r="Z634">
        <v>5922</v>
      </c>
      <c r="AA634" s="24" t="s">
        <v>3538</v>
      </c>
      <c r="AB634">
        <f ca="1">COUNTIF(B:B,bron[[#This Row],[volledige naam]])</f>
        <v>2</v>
      </c>
    </row>
    <row r="635" spans="1:28" x14ac:dyDescent="0.25">
      <c r="A635" s="39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3491</v>
      </c>
      <c r="Y635" t="s">
        <v>16</v>
      </c>
      <c r="Z635">
        <v>5045</v>
      </c>
      <c r="AA635" s="24" t="s">
        <v>3538</v>
      </c>
      <c r="AB635">
        <f ca="1">COUNTIF(B:B,bron[[#This Row],[volledige naam]])</f>
        <v>2</v>
      </c>
    </row>
    <row r="636" spans="1:28" x14ac:dyDescent="0.25">
      <c r="A636" s="39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3492</v>
      </c>
      <c r="Y636" t="s">
        <v>6</v>
      </c>
      <c r="Z636">
        <v>2549</v>
      </c>
      <c r="AA636" s="24" t="s">
        <v>3538</v>
      </c>
      <c r="AB636">
        <f ca="1">COUNTIF(B:B,bron[[#This Row],[volledige naam]])</f>
        <v>2</v>
      </c>
    </row>
    <row r="637" spans="1:28" x14ac:dyDescent="0.25">
      <c r="A637" s="39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3492</v>
      </c>
      <c r="Y637" t="s">
        <v>83</v>
      </c>
      <c r="Z637">
        <v>5770</v>
      </c>
      <c r="AA637" s="24" t="s">
        <v>3538</v>
      </c>
      <c r="AB637">
        <f ca="1">COUNTIF(B:B,bron[[#This Row],[volledige naam]])</f>
        <v>8</v>
      </c>
    </row>
    <row r="638" spans="1:28" x14ac:dyDescent="0.25">
      <c r="A638" s="39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3527</v>
      </c>
      <c r="Y638" t="s">
        <v>1311</v>
      </c>
      <c r="Z638">
        <v>6322</v>
      </c>
      <c r="AA638" s="24" t="s">
        <v>3539</v>
      </c>
      <c r="AB638">
        <f ca="1">COUNTIF(B:B,bron[[#This Row],[volledige naam]])</f>
        <v>1</v>
      </c>
    </row>
    <row r="639" spans="1:28" x14ac:dyDescent="0.25">
      <c r="A639" s="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3492</v>
      </c>
      <c r="Y639" t="s">
        <v>134</v>
      </c>
      <c r="Z639">
        <v>5924</v>
      </c>
      <c r="AA639" s="24" t="s">
        <v>3538</v>
      </c>
      <c r="AB639">
        <f ca="1">COUNTIF(B:B,bron[[#This Row],[volledige naam]])</f>
        <v>1</v>
      </c>
    </row>
    <row r="640" spans="1:28" x14ac:dyDescent="0.25">
      <c r="A640" s="39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3492</v>
      </c>
      <c r="Y640" t="s">
        <v>234</v>
      </c>
      <c r="Z640">
        <v>4665</v>
      </c>
      <c r="AA640" s="24" t="s">
        <v>3538</v>
      </c>
      <c r="AB640">
        <f ca="1">COUNTIF(B:B,bron[[#This Row],[volledige naam]])</f>
        <v>4</v>
      </c>
    </row>
    <row r="641" spans="1:28" x14ac:dyDescent="0.25">
      <c r="A641" s="39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3493</v>
      </c>
      <c r="Y641" t="s">
        <v>55</v>
      </c>
      <c r="Z641">
        <v>5054</v>
      </c>
      <c r="AA641" s="24" t="s">
        <v>3539</v>
      </c>
      <c r="AB641">
        <f ca="1">COUNTIF(B:B,bron[[#This Row],[volledige naam]])</f>
        <v>7</v>
      </c>
    </row>
    <row r="642" spans="1:28" x14ac:dyDescent="0.25">
      <c r="A642" s="39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3492</v>
      </c>
      <c r="Y642" t="s">
        <v>126</v>
      </c>
      <c r="Z642">
        <v>8138</v>
      </c>
      <c r="AA642" s="24" t="s">
        <v>3538</v>
      </c>
      <c r="AB642">
        <f ca="1">COUNTIF(B:B,bron[[#This Row],[volledige naam]])</f>
        <v>3</v>
      </c>
    </row>
    <row r="643" spans="1:28" x14ac:dyDescent="0.25">
      <c r="A643" s="39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3491</v>
      </c>
      <c r="Y643" t="s">
        <v>1293</v>
      </c>
      <c r="Z643">
        <v>2197</v>
      </c>
      <c r="AA643" s="24" t="s">
        <v>3539</v>
      </c>
      <c r="AB643">
        <f ca="1">COUNTIF(B:B,bron[[#This Row],[volledige naam]])</f>
        <v>2</v>
      </c>
    </row>
    <row r="644" spans="1:28" x14ac:dyDescent="0.25">
      <c r="A644" s="39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3492</v>
      </c>
      <c r="Y644" t="s">
        <v>43</v>
      </c>
      <c r="Z644">
        <v>5922</v>
      </c>
      <c r="AA644" s="24" t="s">
        <v>3538</v>
      </c>
      <c r="AB644">
        <f ca="1">COUNTIF(B:B,bron[[#This Row],[volledige naam]])</f>
        <v>2</v>
      </c>
    </row>
    <row r="645" spans="1:28" x14ac:dyDescent="0.25">
      <c r="A645" s="39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3491</v>
      </c>
      <c r="Y645" t="s">
        <v>14</v>
      </c>
      <c r="Z645">
        <v>5235</v>
      </c>
      <c r="AA645" s="24" t="s">
        <v>3538</v>
      </c>
      <c r="AB645">
        <f ca="1">COUNTIF(B:B,bron[[#This Row],[volledige naam]])</f>
        <v>3</v>
      </c>
    </row>
    <row r="646" spans="1:28" x14ac:dyDescent="0.25">
      <c r="A646" s="39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3493</v>
      </c>
      <c r="Y646" t="s">
        <v>32</v>
      </c>
      <c r="Z646">
        <v>5266</v>
      </c>
      <c r="AA646" s="24" t="s">
        <v>3538</v>
      </c>
      <c r="AB646">
        <f ca="1">COUNTIF(B:B,bron[[#This Row],[volledige naam]])</f>
        <v>2</v>
      </c>
    </row>
    <row r="647" spans="1:28" x14ac:dyDescent="0.25">
      <c r="A647" s="39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3491</v>
      </c>
      <c r="Y647" t="s">
        <v>87</v>
      </c>
      <c r="Z647">
        <v>5043</v>
      </c>
      <c r="AA647" s="24" t="s">
        <v>3538</v>
      </c>
      <c r="AB647">
        <f ca="1">COUNTIF(B:B,bron[[#This Row],[volledige naam]])</f>
        <v>1</v>
      </c>
    </row>
    <row r="648" spans="1:28" x14ac:dyDescent="0.25">
      <c r="A648" s="39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3492</v>
      </c>
      <c r="Y648" t="s">
        <v>493</v>
      </c>
      <c r="Z648">
        <v>5922</v>
      </c>
      <c r="AA648" s="24" t="s">
        <v>3538</v>
      </c>
      <c r="AB648">
        <f ca="1">COUNTIF(B:B,bron[[#This Row],[volledige naam]])</f>
        <v>2</v>
      </c>
    </row>
    <row r="649" spans="1:28" x14ac:dyDescent="0.25">
      <c r="A649" s="3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3528</v>
      </c>
      <c r="Y649" t="s">
        <v>46</v>
      </c>
      <c r="Z649">
        <v>6370</v>
      </c>
      <c r="AA649" s="24" t="s">
        <v>3538</v>
      </c>
      <c r="AB649">
        <f ca="1">COUNTIF(B:B,bron[[#This Row],[volledige naam]])</f>
        <v>2</v>
      </c>
    </row>
    <row r="650" spans="1:28" x14ac:dyDescent="0.25">
      <c r="A650" s="39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3527</v>
      </c>
      <c r="Y650" t="s">
        <v>148</v>
      </c>
      <c r="Z650">
        <v>6325</v>
      </c>
      <c r="AA650" s="24" t="s">
        <v>3538</v>
      </c>
      <c r="AB650">
        <f ca="1">COUNTIF(B:B,bron[[#This Row],[volledige naam]])</f>
        <v>19</v>
      </c>
    </row>
    <row r="651" spans="1:28" x14ac:dyDescent="0.25">
      <c r="A651" s="39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3493</v>
      </c>
      <c r="Y651" t="s">
        <v>32</v>
      </c>
      <c r="Z651">
        <v>5261</v>
      </c>
      <c r="AA651" s="24" t="s">
        <v>3538</v>
      </c>
      <c r="AB651">
        <f ca="1">COUNTIF(B:B,bron[[#This Row],[volledige naam]])</f>
        <v>5</v>
      </c>
    </row>
    <row r="652" spans="1:28" x14ac:dyDescent="0.25">
      <c r="A652" s="39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3492</v>
      </c>
      <c r="Y652" t="s">
        <v>6</v>
      </c>
      <c r="Z652">
        <v>5918</v>
      </c>
      <c r="AA652" s="24" t="s">
        <v>3538</v>
      </c>
      <c r="AB652">
        <f ca="1">COUNTIF(B:B,bron[[#This Row],[volledige naam]])</f>
        <v>5</v>
      </c>
    </row>
    <row r="653" spans="1:28" x14ac:dyDescent="0.25">
      <c r="A653" s="39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3540</v>
      </c>
      <c r="V653" s="8"/>
      <c r="W653" s="8">
        <v>1</v>
      </c>
      <c r="X653" t="s">
        <v>3527</v>
      </c>
      <c r="Y653" t="s">
        <v>20</v>
      </c>
      <c r="Z653">
        <v>6324</v>
      </c>
      <c r="AA653" s="24" t="s">
        <v>3538</v>
      </c>
      <c r="AB653">
        <f ca="1">COUNTIF(B:B,bron[[#This Row],[volledige naam]])</f>
        <v>2</v>
      </c>
    </row>
    <row r="654" spans="1:28" x14ac:dyDescent="0.25">
      <c r="A654" s="39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3527</v>
      </c>
      <c r="Y654" t="s">
        <v>30</v>
      </c>
      <c r="Z654">
        <v>6929</v>
      </c>
      <c r="AA654" s="24" t="s">
        <v>3538</v>
      </c>
      <c r="AB654">
        <f ca="1">COUNTIF(B:B,bron[[#This Row],[volledige naam]])</f>
        <v>3</v>
      </c>
    </row>
    <row r="655" spans="1:28" x14ac:dyDescent="0.25">
      <c r="A655" s="39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3493</v>
      </c>
      <c r="Y655" t="s">
        <v>26</v>
      </c>
      <c r="Z655">
        <v>5046</v>
      </c>
      <c r="AA655" s="24" t="s">
        <v>3538</v>
      </c>
      <c r="AB655">
        <f ca="1">COUNTIF(B:B,bron[[#This Row],[volledige naam]])</f>
        <v>4</v>
      </c>
    </row>
    <row r="656" spans="1:28" x14ac:dyDescent="0.25">
      <c r="A656" s="39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3493</v>
      </c>
      <c r="Y656" t="s">
        <v>28</v>
      </c>
      <c r="Z656">
        <v>2198</v>
      </c>
      <c r="AA656" s="24" t="s">
        <v>3538</v>
      </c>
      <c r="AB656">
        <f ca="1">COUNTIF(B:B,bron[[#This Row],[volledige naam]])</f>
        <v>6</v>
      </c>
    </row>
    <row r="657" spans="1:28" x14ac:dyDescent="0.25">
      <c r="A657" s="39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3491</v>
      </c>
      <c r="Y657" t="s">
        <v>28</v>
      </c>
      <c r="Z657">
        <v>2198</v>
      </c>
      <c r="AA657" s="24" t="s">
        <v>3538</v>
      </c>
      <c r="AB657">
        <f ca="1">COUNTIF(B:B,bron[[#This Row],[volledige naam]])</f>
        <v>3</v>
      </c>
    </row>
    <row r="658" spans="1:28" x14ac:dyDescent="0.25">
      <c r="A658" s="39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3493</v>
      </c>
      <c r="Y658" t="s">
        <v>1299</v>
      </c>
      <c r="Z658">
        <v>2197</v>
      </c>
      <c r="AA658" s="24" t="s">
        <v>3539</v>
      </c>
      <c r="AB658">
        <f ca="1">COUNTIF(B:B,bron[[#This Row],[volledige naam]])</f>
        <v>1</v>
      </c>
    </row>
    <row r="659" spans="1:28" x14ac:dyDescent="0.25">
      <c r="A659" s="3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3492</v>
      </c>
      <c r="Y659" t="s">
        <v>100</v>
      </c>
      <c r="Z659">
        <v>5766</v>
      </c>
      <c r="AA659" s="24" t="s">
        <v>3538</v>
      </c>
      <c r="AB659">
        <f ca="1">COUNTIF(B:B,bron[[#This Row],[volledige naam]])</f>
        <v>8</v>
      </c>
    </row>
    <row r="660" spans="1:28" x14ac:dyDescent="0.25">
      <c r="A660" s="39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3527</v>
      </c>
      <c r="Y660" t="s">
        <v>52</v>
      </c>
      <c r="Z660">
        <v>6306</v>
      </c>
      <c r="AA660" s="24" t="s">
        <v>3538</v>
      </c>
      <c r="AB660">
        <f ca="1">COUNTIF(B:B,bron[[#This Row],[volledige naam]])</f>
        <v>1</v>
      </c>
    </row>
    <row r="661" spans="1:28" x14ac:dyDescent="0.25">
      <c r="A661" s="39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3527</v>
      </c>
      <c r="Y661" t="s">
        <v>2</v>
      </c>
      <c r="Z661">
        <v>6308</v>
      </c>
      <c r="AA661" s="24" t="s">
        <v>3538</v>
      </c>
      <c r="AB661">
        <f ca="1">COUNTIF(B:B,bron[[#This Row],[volledige naam]])</f>
        <v>2</v>
      </c>
    </row>
    <row r="662" spans="1:28" x14ac:dyDescent="0.25">
      <c r="A662" s="39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3492</v>
      </c>
      <c r="Y662" t="s">
        <v>14</v>
      </c>
      <c r="Z662">
        <v>5765</v>
      </c>
      <c r="AA662" s="24" t="s">
        <v>3538</v>
      </c>
      <c r="AB662">
        <f ca="1">COUNTIF(B:B,bron[[#This Row],[volledige naam]])</f>
        <v>1</v>
      </c>
    </row>
    <row r="663" spans="1:28" x14ac:dyDescent="0.25">
      <c r="A663" s="39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3493</v>
      </c>
      <c r="Y663" t="s">
        <v>16</v>
      </c>
      <c r="Z663">
        <v>5238</v>
      </c>
      <c r="AA663" s="24" t="s">
        <v>3538</v>
      </c>
      <c r="AB663">
        <f ca="1">COUNTIF(B:B,bron[[#This Row],[volledige naam]])</f>
        <v>5</v>
      </c>
    </row>
    <row r="664" spans="1:28" x14ac:dyDescent="0.25">
      <c r="A664" s="39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3491</v>
      </c>
      <c r="Y664" t="s">
        <v>232</v>
      </c>
      <c r="Z664">
        <v>2197</v>
      </c>
      <c r="AA664" s="24" t="s">
        <v>3538</v>
      </c>
      <c r="AB664">
        <f ca="1">COUNTIF(B:B,bron[[#This Row],[volledige naam]])</f>
        <v>9</v>
      </c>
    </row>
    <row r="665" spans="1:28" x14ac:dyDescent="0.25">
      <c r="A665" s="39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3528</v>
      </c>
      <c r="Y665" t="s">
        <v>254</v>
      </c>
      <c r="Z665">
        <v>6364</v>
      </c>
      <c r="AA665" s="24" t="s">
        <v>3538</v>
      </c>
      <c r="AB665">
        <f ca="1">COUNTIF(B:B,bron[[#This Row],[volledige naam]])</f>
        <v>5</v>
      </c>
    </row>
    <row r="666" spans="1:28" x14ac:dyDescent="0.25">
      <c r="A666" s="39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3528</v>
      </c>
      <c r="Y666" t="s">
        <v>2</v>
      </c>
      <c r="Z666">
        <v>6373</v>
      </c>
      <c r="AA666" s="24" t="s">
        <v>3538</v>
      </c>
      <c r="AB666">
        <f ca="1">COUNTIF(B:B,bron[[#This Row],[volledige naam]])</f>
        <v>1</v>
      </c>
    </row>
    <row r="667" spans="1:28" x14ac:dyDescent="0.25">
      <c r="A667" s="39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3491</v>
      </c>
      <c r="Y667" t="s">
        <v>8</v>
      </c>
      <c r="Z667">
        <v>5238</v>
      </c>
      <c r="AA667" s="24" t="s">
        <v>3538</v>
      </c>
      <c r="AB667">
        <f ca="1">COUNTIF(B:B,bron[[#This Row],[volledige naam]])</f>
        <v>4</v>
      </c>
    </row>
    <row r="668" spans="1:28" x14ac:dyDescent="0.25">
      <c r="A668" s="39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3527</v>
      </c>
      <c r="Y668" t="s">
        <v>114</v>
      </c>
      <c r="Z668">
        <v>6329</v>
      </c>
      <c r="AA668" s="24" t="s">
        <v>3538</v>
      </c>
      <c r="AB668">
        <f ca="1">COUNTIF(B:B,bron[[#This Row],[volledige naam]])</f>
        <v>2</v>
      </c>
    </row>
    <row r="669" spans="1:28" x14ac:dyDescent="0.25">
      <c r="A669" s="3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3493</v>
      </c>
      <c r="Y669" t="s">
        <v>493</v>
      </c>
      <c r="Z669">
        <v>5229</v>
      </c>
      <c r="AA669" s="24" t="s">
        <v>3538</v>
      </c>
      <c r="AB669">
        <f ca="1">COUNTIF(B:B,bron[[#This Row],[volledige naam]])</f>
        <v>1</v>
      </c>
    </row>
    <row r="670" spans="1:28" x14ac:dyDescent="0.25">
      <c r="A670" s="39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3492</v>
      </c>
      <c r="Y670" t="s">
        <v>34</v>
      </c>
      <c r="Z670">
        <v>5767</v>
      </c>
      <c r="AA670" s="24" t="s">
        <v>3538</v>
      </c>
      <c r="AB670">
        <f ca="1">COUNTIF(B:B,bron[[#This Row],[volledige naam]])</f>
        <v>1</v>
      </c>
    </row>
    <row r="671" spans="1:28" x14ac:dyDescent="0.25">
      <c r="A671" s="39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3491</v>
      </c>
      <c r="Y671" t="s">
        <v>2</v>
      </c>
      <c r="Z671">
        <v>5235</v>
      </c>
      <c r="AA671" s="24" t="s">
        <v>3539</v>
      </c>
      <c r="AB671">
        <f ca="1">COUNTIF(B:B,bron[[#This Row],[volledige naam]])</f>
        <v>2</v>
      </c>
    </row>
    <row r="672" spans="1:28" x14ac:dyDescent="0.25">
      <c r="A672" s="39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3528</v>
      </c>
      <c r="Y672" t="s">
        <v>30</v>
      </c>
      <c r="Z672">
        <v>6357</v>
      </c>
      <c r="AA672" s="24" t="s">
        <v>3538</v>
      </c>
      <c r="AB672">
        <f ca="1">COUNTIF(B:B,bron[[#This Row],[volledige naam]])</f>
        <v>5</v>
      </c>
    </row>
    <row r="673" spans="1:28" x14ac:dyDescent="0.25">
      <c r="A673" s="39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3527</v>
      </c>
      <c r="Y673" t="s">
        <v>6</v>
      </c>
      <c r="Z673">
        <v>6305</v>
      </c>
      <c r="AA673" s="24" t="s">
        <v>3538</v>
      </c>
      <c r="AB673">
        <f ca="1">COUNTIF(B:B,bron[[#This Row],[volledige naam]])</f>
        <v>19</v>
      </c>
    </row>
    <row r="674" spans="1:28" x14ac:dyDescent="0.25">
      <c r="A674" s="39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3491</v>
      </c>
      <c r="Y674" t="s">
        <v>69</v>
      </c>
      <c r="Z674">
        <v>5325</v>
      </c>
      <c r="AA674" s="24" t="s">
        <v>3538</v>
      </c>
      <c r="AB674">
        <f ca="1">COUNTIF(B:B,bron[[#This Row],[volledige naam]])</f>
        <v>1</v>
      </c>
    </row>
    <row r="675" spans="1:28" x14ac:dyDescent="0.25">
      <c r="A675" s="39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3527</v>
      </c>
      <c r="Y675" t="s">
        <v>71</v>
      </c>
      <c r="Z675">
        <v>6339</v>
      </c>
      <c r="AA675" s="24" t="s">
        <v>3538</v>
      </c>
      <c r="AB675">
        <f ca="1">COUNTIF(B:B,bron[[#This Row],[volledige naam]])</f>
        <v>7</v>
      </c>
    </row>
    <row r="676" spans="1:28" x14ac:dyDescent="0.25">
      <c r="A676" s="39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3492</v>
      </c>
      <c r="Y676" t="s">
        <v>112</v>
      </c>
      <c r="Z676">
        <v>5910</v>
      </c>
      <c r="AA676" s="24" t="s">
        <v>3538</v>
      </c>
      <c r="AB676">
        <f ca="1">COUNTIF(B:B,bron[[#This Row],[volledige naam]])</f>
        <v>2</v>
      </c>
    </row>
    <row r="677" spans="1:28" x14ac:dyDescent="0.25">
      <c r="A677" s="39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3492</v>
      </c>
      <c r="Y677" t="s">
        <v>8</v>
      </c>
      <c r="Z677">
        <v>5918</v>
      </c>
      <c r="AA677" s="24" t="s">
        <v>3538</v>
      </c>
      <c r="AB677">
        <f ca="1">COUNTIF(B:B,bron[[#This Row],[volledige naam]])</f>
        <v>1</v>
      </c>
    </row>
    <row r="678" spans="1:28" x14ac:dyDescent="0.25">
      <c r="A678" s="39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3491</v>
      </c>
      <c r="Y678" t="s">
        <v>158</v>
      </c>
      <c r="Z678">
        <v>2197</v>
      </c>
      <c r="AA678" s="24" t="s">
        <v>3538</v>
      </c>
      <c r="AB678">
        <f ca="1">COUNTIF(B:B,bron[[#This Row],[volledige naam]])</f>
        <v>7</v>
      </c>
    </row>
    <row r="679" spans="1:28" x14ac:dyDescent="0.25">
      <c r="A679" s="3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3492</v>
      </c>
      <c r="Y679" t="s">
        <v>248</v>
      </c>
      <c r="Z679">
        <v>5919</v>
      </c>
      <c r="AA679" s="24" t="s">
        <v>3538</v>
      </c>
      <c r="AB679">
        <f ca="1">COUNTIF(B:B,bron[[#This Row],[volledige naam]])</f>
        <v>3</v>
      </c>
    </row>
    <row r="680" spans="1:28" x14ac:dyDescent="0.25">
      <c r="A680" s="39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3492</v>
      </c>
      <c r="Y680" t="s">
        <v>225</v>
      </c>
      <c r="Z680">
        <v>5772</v>
      </c>
      <c r="AA680" s="24" t="s">
        <v>3538</v>
      </c>
      <c r="AB680">
        <f ca="1">COUNTIF(B:B,bron[[#This Row],[volledige naam]])</f>
        <v>4</v>
      </c>
    </row>
    <row r="681" spans="1:28" x14ac:dyDescent="0.25">
      <c r="A681" s="39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3492</v>
      </c>
      <c r="Y681" t="s">
        <v>164</v>
      </c>
      <c r="Z681">
        <v>7897</v>
      </c>
      <c r="AA681" s="24" t="s">
        <v>3538</v>
      </c>
      <c r="AB681">
        <f ca="1">COUNTIF(B:B,bron[[#This Row],[volledige naam]])</f>
        <v>2</v>
      </c>
    </row>
    <row r="682" spans="1:28" x14ac:dyDescent="0.25">
      <c r="A682" s="39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3527</v>
      </c>
      <c r="Y682" t="s">
        <v>20</v>
      </c>
      <c r="Z682">
        <v>6313</v>
      </c>
      <c r="AA682" s="24" t="s">
        <v>3538</v>
      </c>
      <c r="AB682">
        <f ca="1">COUNTIF(B:B,bron[[#This Row],[volledige naam]])</f>
        <v>3</v>
      </c>
    </row>
    <row r="683" spans="1:28" x14ac:dyDescent="0.25">
      <c r="A683" s="39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3527</v>
      </c>
      <c r="Y683" t="s">
        <v>258</v>
      </c>
      <c r="Z683">
        <v>6320</v>
      </c>
      <c r="AA683" s="24" t="s">
        <v>3538</v>
      </c>
      <c r="AB683">
        <f ca="1">COUNTIF(B:B,bron[[#This Row],[volledige naam]])</f>
        <v>2</v>
      </c>
    </row>
    <row r="684" spans="1:28" x14ac:dyDescent="0.25">
      <c r="A684" s="39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3492</v>
      </c>
      <c r="Y684" t="s">
        <v>2</v>
      </c>
      <c r="Z684">
        <v>8232</v>
      </c>
      <c r="AA684" s="24" t="s">
        <v>3538</v>
      </c>
      <c r="AB684">
        <f ca="1">COUNTIF(B:B,bron[[#This Row],[volledige naam]])</f>
        <v>19</v>
      </c>
    </row>
    <row r="685" spans="1:28" x14ac:dyDescent="0.25">
      <c r="A685" s="39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3492</v>
      </c>
      <c r="Y685" t="s">
        <v>49</v>
      </c>
      <c r="Z685">
        <v>5917</v>
      </c>
      <c r="AA685" s="24" t="s">
        <v>3538</v>
      </c>
      <c r="AB685">
        <f ca="1">COUNTIF(B:B,bron[[#This Row],[volledige naam]])</f>
        <v>10</v>
      </c>
    </row>
    <row r="686" spans="1:28" x14ac:dyDescent="0.25">
      <c r="A686" s="39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3492</v>
      </c>
      <c r="Y686" t="s">
        <v>178</v>
      </c>
      <c r="Z686">
        <v>5933</v>
      </c>
      <c r="AA686" s="24" t="s">
        <v>3538</v>
      </c>
      <c r="AB686">
        <f ca="1">COUNTIF(B:B,bron[[#This Row],[volledige naam]])</f>
        <v>4</v>
      </c>
    </row>
    <row r="687" spans="1:28" x14ac:dyDescent="0.25">
      <c r="A687" s="39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3528</v>
      </c>
      <c r="Y687" t="s">
        <v>2</v>
      </c>
      <c r="Z687">
        <v>6372</v>
      </c>
      <c r="AA687" s="24" t="s">
        <v>3539</v>
      </c>
      <c r="AB687">
        <f ca="1">COUNTIF(B:B,bron[[#This Row],[volledige naam]])</f>
        <v>2</v>
      </c>
    </row>
    <row r="688" spans="1:28" x14ac:dyDescent="0.25">
      <c r="A688" s="39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3493</v>
      </c>
      <c r="Y688" t="s">
        <v>120</v>
      </c>
      <c r="Z688">
        <v>2198</v>
      </c>
      <c r="AA688" s="24" t="s">
        <v>3538</v>
      </c>
      <c r="AB688">
        <f ca="1">COUNTIF(B:B,bron[[#This Row],[volledige naam]])</f>
        <v>2</v>
      </c>
    </row>
    <row r="689" spans="1:28" x14ac:dyDescent="0.25">
      <c r="A689" s="3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3492</v>
      </c>
      <c r="Y689" t="s">
        <v>67</v>
      </c>
      <c r="Z689">
        <v>5930</v>
      </c>
      <c r="AA689" s="24" t="s">
        <v>3538</v>
      </c>
      <c r="AB689">
        <f ca="1">COUNTIF(B:B,bron[[#This Row],[volledige naam]])</f>
        <v>4</v>
      </c>
    </row>
    <row r="690" spans="1:28" x14ac:dyDescent="0.25">
      <c r="A690" s="39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3492</v>
      </c>
      <c r="Y690" t="s">
        <v>160</v>
      </c>
      <c r="Z690">
        <v>5770</v>
      </c>
      <c r="AA690" s="24" t="s">
        <v>3538</v>
      </c>
      <c r="AB690">
        <f ca="1">COUNTIF(B:B,bron[[#This Row],[volledige naam]])</f>
        <v>4</v>
      </c>
    </row>
    <row r="691" spans="1:28" x14ac:dyDescent="0.25">
      <c r="A691" s="39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3493</v>
      </c>
      <c r="Y691" t="s">
        <v>138</v>
      </c>
      <c r="Z691">
        <v>2208</v>
      </c>
      <c r="AA691" s="24" t="s">
        <v>3538</v>
      </c>
      <c r="AB691">
        <f ca="1">COUNTIF(B:B,bron[[#This Row],[volledige naam]])</f>
        <v>2</v>
      </c>
    </row>
    <row r="692" spans="1:28" x14ac:dyDescent="0.25">
      <c r="A692" s="39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3528</v>
      </c>
      <c r="Y692" t="s">
        <v>203</v>
      </c>
      <c r="Z692">
        <v>6368</v>
      </c>
      <c r="AA692" s="24" t="s">
        <v>3538</v>
      </c>
      <c r="AB692">
        <f ca="1">COUNTIF(B:B,bron[[#This Row],[volledige naam]])</f>
        <v>1</v>
      </c>
    </row>
    <row r="693" spans="1:28" x14ac:dyDescent="0.25">
      <c r="A693" s="39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3491</v>
      </c>
      <c r="Y693" t="s">
        <v>16</v>
      </c>
      <c r="Z693">
        <v>5054</v>
      </c>
      <c r="AA693" s="24" t="s">
        <v>3538</v>
      </c>
      <c r="AB693">
        <f ca="1">COUNTIF(B:B,bron[[#This Row],[volledige naam]])</f>
        <v>1</v>
      </c>
    </row>
    <row r="694" spans="1:28" x14ac:dyDescent="0.25">
      <c r="A694" s="39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3527</v>
      </c>
      <c r="Y694" t="s">
        <v>838</v>
      </c>
      <c r="Z694">
        <v>6322</v>
      </c>
      <c r="AA694" s="24" t="s">
        <v>3539</v>
      </c>
      <c r="AB694">
        <f ca="1">COUNTIF(B:B,bron[[#This Row],[volledige naam]])</f>
        <v>2</v>
      </c>
    </row>
    <row r="695" spans="1:28" x14ac:dyDescent="0.25">
      <c r="A695" s="39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3492</v>
      </c>
      <c r="Y695" t="s">
        <v>114</v>
      </c>
      <c r="Z695">
        <v>5912</v>
      </c>
      <c r="AA695" s="24" t="s">
        <v>3538</v>
      </c>
      <c r="AB695">
        <f ca="1">COUNTIF(B:B,bron[[#This Row],[volledige naam]])</f>
        <v>8</v>
      </c>
    </row>
    <row r="696" spans="1:28" x14ac:dyDescent="0.25">
      <c r="A696" s="39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3491</v>
      </c>
      <c r="Y696" t="s">
        <v>12</v>
      </c>
      <c r="Z696">
        <v>2205</v>
      </c>
      <c r="AA696" s="24" t="s">
        <v>3538</v>
      </c>
      <c r="AB696">
        <f ca="1">COUNTIF(B:B,bron[[#This Row],[volledige naam]])</f>
        <v>3</v>
      </c>
    </row>
    <row r="697" spans="1:28" x14ac:dyDescent="0.25">
      <c r="A697" s="39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3493</v>
      </c>
      <c r="Y697" t="s">
        <v>26</v>
      </c>
      <c r="Z697">
        <v>5039</v>
      </c>
      <c r="AA697" s="24" t="s">
        <v>3538</v>
      </c>
      <c r="AB697">
        <f ca="1">COUNTIF(B:B,bron[[#This Row],[volledige naam]])</f>
        <v>7</v>
      </c>
    </row>
    <row r="698" spans="1:28" x14ac:dyDescent="0.25">
      <c r="A698" s="39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3493</v>
      </c>
      <c r="Y698" t="s">
        <v>26</v>
      </c>
      <c r="Z698">
        <v>2198</v>
      </c>
      <c r="AA698" s="24" t="s">
        <v>3538</v>
      </c>
      <c r="AB698">
        <f ca="1">COUNTIF(B:B,bron[[#This Row],[volledige naam]])</f>
        <v>7</v>
      </c>
    </row>
    <row r="699" spans="1:28" x14ac:dyDescent="0.25">
      <c r="A699" s="3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3491</v>
      </c>
      <c r="Y699" t="s">
        <v>22</v>
      </c>
      <c r="Z699">
        <v>2208</v>
      </c>
      <c r="AA699" s="24" t="s">
        <v>3538</v>
      </c>
      <c r="AB699">
        <f ca="1">COUNTIF(B:B,bron[[#This Row],[volledige naam]])</f>
        <v>1</v>
      </c>
    </row>
    <row r="700" spans="1:28" x14ac:dyDescent="0.25">
      <c r="A700" s="39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3527</v>
      </c>
      <c r="Y700" t="s">
        <v>2</v>
      </c>
      <c r="Z700">
        <v>6325</v>
      </c>
      <c r="AA700" s="24" t="s">
        <v>3538</v>
      </c>
      <c r="AB700">
        <f ca="1">COUNTIF(B:B,bron[[#This Row],[volledige naam]])</f>
        <v>10</v>
      </c>
    </row>
    <row r="701" spans="1:28" x14ac:dyDescent="0.25">
      <c r="A701" s="39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3493</v>
      </c>
      <c r="Y701" t="s">
        <v>8</v>
      </c>
      <c r="Z701">
        <v>5053</v>
      </c>
      <c r="AA701" s="24" t="s">
        <v>3538</v>
      </c>
      <c r="AB701">
        <f ca="1">COUNTIF(B:B,bron[[#This Row],[volledige naam]])</f>
        <v>1</v>
      </c>
    </row>
    <row r="702" spans="1:28" x14ac:dyDescent="0.25">
      <c r="A702" s="39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3492</v>
      </c>
      <c r="Y702" t="s">
        <v>468</v>
      </c>
      <c r="Z702">
        <v>4667</v>
      </c>
      <c r="AA702" s="24" t="s">
        <v>3539</v>
      </c>
      <c r="AB702">
        <f ca="1">COUNTIF(B:B,bron[[#This Row],[volledige naam]])</f>
        <v>2</v>
      </c>
    </row>
    <row r="703" spans="1:28" x14ac:dyDescent="0.25">
      <c r="A703" s="39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3491</v>
      </c>
      <c r="Y703" t="s">
        <v>22</v>
      </c>
      <c r="Z703">
        <v>5044</v>
      </c>
      <c r="AA703" s="24" t="s">
        <v>3539</v>
      </c>
      <c r="AB703">
        <f ca="1">COUNTIF(B:B,bron[[#This Row],[volledige naam]])</f>
        <v>8</v>
      </c>
    </row>
    <row r="704" spans="1:28" x14ac:dyDescent="0.25">
      <c r="A704" s="39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3491</v>
      </c>
      <c r="Y704" t="s">
        <v>28</v>
      </c>
      <c r="Z704">
        <v>2196</v>
      </c>
      <c r="AA704" s="24" t="s">
        <v>3538</v>
      </c>
      <c r="AB704">
        <f ca="1">COUNTIF(B:B,bron[[#This Row],[volledige naam]])</f>
        <v>4</v>
      </c>
    </row>
    <row r="705" spans="1:28" x14ac:dyDescent="0.25">
      <c r="A705" s="39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3493</v>
      </c>
      <c r="Y705" t="s">
        <v>274</v>
      </c>
      <c r="Z705">
        <v>2196</v>
      </c>
      <c r="AA705" s="24" t="s">
        <v>3538</v>
      </c>
      <c r="AB705">
        <f ca="1">COUNTIF(B:B,bron[[#This Row],[volledige naam]])</f>
        <v>7</v>
      </c>
    </row>
    <row r="706" spans="1:28" x14ac:dyDescent="0.25">
      <c r="A706" s="39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3492</v>
      </c>
      <c r="Y706" t="s">
        <v>146</v>
      </c>
      <c r="Z706">
        <v>4678</v>
      </c>
      <c r="AA706" s="24" t="s">
        <v>3538</v>
      </c>
      <c r="AB706">
        <f ca="1">COUNTIF(B:B,bron[[#This Row],[volledige naam]])</f>
        <v>4</v>
      </c>
    </row>
    <row r="707" spans="1:28" x14ac:dyDescent="0.25">
      <c r="A707" s="39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3527</v>
      </c>
      <c r="Y707" t="s">
        <v>55</v>
      </c>
      <c r="Z707">
        <v>6311</v>
      </c>
      <c r="AA707" s="24" t="s">
        <v>3538</v>
      </c>
      <c r="AB707">
        <f ca="1">COUNTIF(B:B,bron[[#This Row],[volledige naam]])</f>
        <v>1</v>
      </c>
    </row>
    <row r="708" spans="1:28" x14ac:dyDescent="0.25">
      <c r="A708" s="39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3491</v>
      </c>
      <c r="Y708" t="s">
        <v>116</v>
      </c>
      <c r="Z708">
        <v>5048</v>
      </c>
      <c r="AA708" s="24" t="s">
        <v>3538</v>
      </c>
      <c r="AB708">
        <f ca="1">COUNTIF(B:B,bron[[#This Row],[volledige naam]])</f>
        <v>2</v>
      </c>
    </row>
    <row r="709" spans="1:28" x14ac:dyDescent="0.25">
      <c r="A709" s="3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3493</v>
      </c>
      <c r="Y709" t="s">
        <v>16</v>
      </c>
      <c r="Z709">
        <v>5047</v>
      </c>
      <c r="AA709" s="24" t="s">
        <v>3538</v>
      </c>
      <c r="AB709">
        <f ca="1">COUNTIF(B:B,bron[[#This Row],[volledige naam]])</f>
        <v>10</v>
      </c>
    </row>
    <row r="710" spans="1:28" x14ac:dyDescent="0.25">
      <c r="A710" s="39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3491</v>
      </c>
      <c r="Y710" t="s">
        <v>142</v>
      </c>
      <c r="Z710">
        <v>5265</v>
      </c>
      <c r="AA710" s="24" t="s">
        <v>3538</v>
      </c>
      <c r="AB710">
        <f ca="1">COUNTIF(B:B,bron[[#This Row],[volledige naam]])</f>
        <v>2</v>
      </c>
    </row>
    <row r="711" spans="1:28" x14ac:dyDescent="0.25">
      <c r="A711" s="39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3491</v>
      </c>
      <c r="Y711" t="s">
        <v>8</v>
      </c>
      <c r="Z711">
        <v>5231</v>
      </c>
      <c r="AA711" s="24" t="s">
        <v>3538</v>
      </c>
      <c r="AB711">
        <f ca="1">COUNTIF(B:B,bron[[#This Row],[volledige naam]])</f>
        <v>3</v>
      </c>
    </row>
    <row r="712" spans="1:28" x14ac:dyDescent="0.25">
      <c r="A712" s="39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3528</v>
      </c>
      <c r="Y712" t="s">
        <v>6</v>
      </c>
      <c r="Z712">
        <v>6367</v>
      </c>
      <c r="AA712" s="24" t="s">
        <v>3538</v>
      </c>
      <c r="AB712">
        <f ca="1">COUNTIF(B:B,bron[[#This Row],[volledige naam]])</f>
        <v>5</v>
      </c>
    </row>
    <row r="713" spans="1:28" x14ac:dyDescent="0.25">
      <c r="A713" s="39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3492</v>
      </c>
      <c r="Y713" t="s">
        <v>156</v>
      </c>
      <c r="Z713">
        <v>7897</v>
      </c>
      <c r="AA713" s="24" t="s">
        <v>3538</v>
      </c>
      <c r="AB713">
        <f ca="1">COUNTIF(B:B,bron[[#This Row],[volledige naam]])</f>
        <v>1</v>
      </c>
    </row>
    <row r="714" spans="1:28" x14ac:dyDescent="0.25">
      <c r="A714" s="39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3492</v>
      </c>
      <c r="Y714" t="s">
        <v>260</v>
      </c>
      <c r="Z714">
        <v>5924</v>
      </c>
      <c r="AA714" s="24" t="s">
        <v>3538</v>
      </c>
      <c r="AB714">
        <f ca="1">COUNTIF(B:B,bron[[#This Row],[volledige naam]])</f>
        <v>2</v>
      </c>
    </row>
    <row r="715" spans="1:28" x14ac:dyDescent="0.25">
      <c r="A715" s="39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3492</v>
      </c>
      <c r="Y715" t="s">
        <v>112</v>
      </c>
      <c r="Z715">
        <v>5935</v>
      </c>
      <c r="AA715" s="24" t="s">
        <v>3539</v>
      </c>
      <c r="AB715">
        <f ca="1">COUNTIF(B:B,bron[[#This Row],[volledige naam]])</f>
        <v>3</v>
      </c>
    </row>
    <row r="716" spans="1:28" x14ac:dyDescent="0.25">
      <c r="A716" s="39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3527</v>
      </c>
      <c r="Y716" t="s">
        <v>154</v>
      </c>
      <c r="Z716">
        <v>6333</v>
      </c>
      <c r="AA716" s="24" t="s">
        <v>3538</v>
      </c>
      <c r="AB716">
        <f ca="1">COUNTIF(B:B,bron[[#This Row],[volledige naam]])</f>
        <v>4</v>
      </c>
    </row>
    <row r="717" spans="1:28" x14ac:dyDescent="0.25">
      <c r="A717" s="39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3492</v>
      </c>
      <c r="Y717" t="s">
        <v>89</v>
      </c>
      <c r="Z717">
        <v>2546</v>
      </c>
      <c r="AA717" s="24" t="s">
        <v>3538</v>
      </c>
      <c r="AB717">
        <f ca="1">COUNTIF(B:B,bron[[#This Row],[volledige naam]])</f>
        <v>1</v>
      </c>
    </row>
    <row r="718" spans="1:28" x14ac:dyDescent="0.25">
      <c r="A718" s="39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3492</v>
      </c>
      <c r="Y718" t="s">
        <v>30</v>
      </c>
      <c r="Z718">
        <v>8232</v>
      </c>
      <c r="AA718" s="24" t="s">
        <v>3538</v>
      </c>
      <c r="AB718">
        <f ca="1">COUNTIF(B:B,bron[[#This Row],[volledige naam]])</f>
        <v>1</v>
      </c>
    </row>
    <row r="719" spans="1:28" x14ac:dyDescent="0.25">
      <c r="A719" s="3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3492</v>
      </c>
      <c r="Y719" t="s">
        <v>6</v>
      </c>
      <c r="Z719">
        <v>5238</v>
      </c>
      <c r="AA719" s="24" t="s">
        <v>3539</v>
      </c>
      <c r="AB719">
        <f ca="1">COUNTIF(B:B,bron[[#This Row],[volledige naam]])</f>
        <v>4</v>
      </c>
    </row>
    <row r="720" spans="1:28" x14ac:dyDescent="0.25">
      <c r="A720" s="39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3493</v>
      </c>
      <c r="Y720" t="s">
        <v>24</v>
      </c>
      <c r="Z720">
        <v>0</v>
      </c>
      <c r="AA720" s="24" t="s">
        <v>3538</v>
      </c>
      <c r="AB720">
        <f ca="1">COUNTIF(B:B,bron[[#This Row],[volledige naam]])</f>
        <v>4</v>
      </c>
    </row>
    <row r="721" spans="1:28" x14ac:dyDescent="0.25">
      <c r="A721" s="39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3492</v>
      </c>
      <c r="Y721" t="s">
        <v>22</v>
      </c>
      <c r="Z721">
        <v>5928</v>
      </c>
      <c r="AA721" s="24" t="s">
        <v>3538</v>
      </c>
      <c r="AB721">
        <f ca="1">COUNTIF(B:B,bron[[#This Row],[volledige naam]])</f>
        <v>3</v>
      </c>
    </row>
    <row r="722" spans="1:28" x14ac:dyDescent="0.25">
      <c r="A722" s="39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3527</v>
      </c>
      <c r="Y722" t="s">
        <v>110</v>
      </c>
      <c r="Z722">
        <v>6322</v>
      </c>
      <c r="AA722" s="24" t="s">
        <v>3538</v>
      </c>
      <c r="AB722">
        <f ca="1">COUNTIF(B:B,bron[[#This Row],[volledige naam]])</f>
        <v>2</v>
      </c>
    </row>
    <row r="723" spans="1:28" x14ac:dyDescent="0.25">
      <c r="A723" s="39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3493</v>
      </c>
      <c r="Y723" t="s">
        <v>96</v>
      </c>
      <c r="Z723">
        <v>5266</v>
      </c>
      <c r="AA723" s="24" t="s">
        <v>3538</v>
      </c>
      <c r="AB723">
        <f ca="1">COUNTIF(B:B,bron[[#This Row],[volledige naam]])</f>
        <v>2</v>
      </c>
    </row>
    <row r="724" spans="1:28" x14ac:dyDescent="0.25">
      <c r="A724" s="39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3527</v>
      </c>
      <c r="Y724" t="s">
        <v>58</v>
      </c>
      <c r="Z724">
        <v>6314</v>
      </c>
      <c r="AA724" s="24" t="s">
        <v>3538</v>
      </c>
      <c r="AB724">
        <f ca="1">COUNTIF(B:B,bron[[#This Row],[volledige naam]])</f>
        <v>3</v>
      </c>
    </row>
    <row r="725" spans="1:28" x14ac:dyDescent="0.25">
      <c r="A725" s="39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3491</v>
      </c>
      <c r="Y725" t="s">
        <v>106</v>
      </c>
      <c r="Z725">
        <v>5630</v>
      </c>
      <c r="AA725" s="24" t="s">
        <v>3538</v>
      </c>
      <c r="AB725">
        <f ca="1">COUNTIF(B:B,bron[[#This Row],[volledige naam]])</f>
        <v>5</v>
      </c>
    </row>
    <row r="726" spans="1:28" x14ac:dyDescent="0.25">
      <c r="A726" s="39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3492</v>
      </c>
      <c r="Y726" t="s">
        <v>40</v>
      </c>
      <c r="Z726">
        <v>5927</v>
      </c>
      <c r="AA726" s="24" t="s">
        <v>3538</v>
      </c>
      <c r="AB726">
        <f ca="1">COUNTIF(B:B,bron[[#This Row],[volledige naam]])</f>
        <v>3</v>
      </c>
    </row>
    <row r="727" spans="1:28" x14ac:dyDescent="0.25">
      <c r="A727" s="39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3528</v>
      </c>
      <c r="Y727" t="s">
        <v>2</v>
      </c>
      <c r="Z727">
        <v>6355</v>
      </c>
      <c r="AA727" s="24" t="s">
        <v>3538</v>
      </c>
      <c r="AB727">
        <f ca="1">COUNTIF(B:B,bron[[#This Row],[volledige naam]])</f>
        <v>2</v>
      </c>
    </row>
    <row r="728" spans="1:28" x14ac:dyDescent="0.25">
      <c r="A728" s="39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3492</v>
      </c>
      <c r="Y728" t="s">
        <v>43</v>
      </c>
      <c r="Z728">
        <v>5931</v>
      </c>
      <c r="AA728" s="24" t="s">
        <v>3538</v>
      </c>
      <c r="AB728">
        <f ca="1">COUNTIF(B:B,bron[[#This Row],[volledige naam]])</f>
        <v>2</v>
      </c>
    </row>
    <row r="729" spans="1:28" x14ac:dyDescent="0.25">
      <c r="A729" s="3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3493</v>
      </c>
      <c r="Y729" t="s">
        <v>79</v>
      </c>
      <c r="Z729">
        <v>5236</v>
      </c>
      <c r="AA729" s="24" t="s">
        <v>3538</v>
      </c>
      <c r="AB729">
        <f ca="1">COUNTIF(B:B,bron[[#This Row],[volledige naam]])</f>
        <v>4</v>
      </c>
    </row>
    <row r="730" spans="1:28" x14ac:dyDescent="0.25">
      <c r="A730" s="39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3492</v>
      </c>
      <c r="Y730" t="s">
        <v>18</v>
      </c>
      <c r="Z730">
        <v>5489</v>
      </c>
      <c r="AA730" s="24" t="s">
        <v>3538</v>
      </c>
      <c r="AB730">
        <f ca="1">COUNTIF(B:B,bron[[#This Row],[volledige naam]])</f>
        <v>4</v>
      </c>
    </row>
    <row r="731" spans="1:28" x14ac:dyDescent="0.25">
      <c r="A731" s="39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3492</v>
      </c>
      <c r="Y731" t="s">
        <v>136</v>
      </c>
      <c r="Z731">
        <v>5931</v>
      </c>
      <c r="AA731" s="24" t="s">
        <v>3538</v>
      </c>
      <c r="AB731">
        <f ca="1">COUNTIF(B:B,bron[[#This Row],[volledige naam]])</f>
        <v>3</v>
      </c>
    </row>
    <row r="732" spans="1:28" x14ac:dyDescent="0.25">
      <c r="A732" s="39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3528</v>
      </c>
      <c r="Y732" t="s">
        <v>64</v>
      </c>
      <c r="Z732">
        <v>6356</v>
      </c>
      <c r="AA732" s="24" t="s">
        <v>3538</v>
      </c>
      <c r="AB732">
        <f ca="1">COUNTIF(B:B,bron[[#This Row],[volledige naam]])</f>
        <v>1</v>
      </c>
    </row>
    <row r="733" spans="1:28" x14ac:dyDescent="0.25">
      <c r="A733" s="39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3492</v>
      </c>
      <c r="Y733" t="s">
        <v>2</v>
      </c>
      <c r="Z733">
        <v>5048</v>
      </c>
      <c r="AA733" s="24" t="s">
        <v>3538</v>
      </c>
      <c r="AB733">
        <f ca="1">COUNTIF(B:B,bron[[#This Row],[volledige naam]])</f>
        <v>2</v>
      </c>
    </row>
    <row r="734" spans="1:28" x14ac:dyDescent="0.25">
      <c r="A734" s="39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3492</v>
      </c>
      <c r="Y734" t="s">
        <v>262</v>
      </c>
      <c r="Z734">
        <v>5920</v>
      </c>
      <c r="AA734" s="24" t="s">
        <v>3538</v>
      </c>
      <c r="AB734">
        <f ca="1">COUNTIF(B:B,bron[[#This Row],[volledige naam]])</f>
        <v>3</v>
      </c>
    </row>
    <row r="735" spans="1:28" x14ac:dyDescent="0.25">
      <c r="A735" s="39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3492</v>
      </c>
      <c r="Y735" t="s">
        <v>227</v>
      </c>
      <c r="Z735">
        <v>0</v>
      </c>
      <c r="AA735" s="24" t="s">
        <v>3538</v>
      </c>
      <c r="AB735">
        <f ca="1">COUNTIF(B:B,bron[[#This Row],[volledige naam]])</f>
        <v>3</v>
      </c>
    </row>
    <row r="736" spans="1:28" x14ac:dyDescent="0.25">
      <c r="A736" s="39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3527</v>
      </c>
      <c r="Y736" t="s">
        <v>20</v>
      </c>
      <c r="Z736">
        <v>6323</v>
      </c>
      <c r="AA736" s="24" t="s">
        <v>3539</v>
      </c>
      <c r="AB736">
        <f ca="1">COUNTIF(B:B,bron[[#This Row],[volledige naam]])</f>
        <v>2</v>
      </c>
    </row>
    <row r="737" spans="1:28" x14ac:dyDescent="0.25">
      <c r="A737" s="39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3493</v>
      </c>
      <c r="Y737" t="s">
        <v>98</v>
      </c>
      <c r="Z737">
        <v>5237</v>
      </c>
      <c r="AA737" s="24" t="s">
        <v>3538</v>
      </c>
      <c r="AB737">
        <f ca="1">COUNTIF(B:B,bron[[#This Row],[volledige naam]])</f>
        <v>4</v>
      </c>
    </row>
    <row r="738" spans="1:28" x14ac:dyDescent="0.25">
      <c r="A738" s="39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3493</v>
      </c>
      <c r="Y738" t="s">
        <v>22</v>
      </c>
      <c r="Z738">
        <v>5237</v>
      </c>
      <c r="AA738" s="24" t="s">
        <v>3538</v>
      </c>
      <c r="AB738">
        <f ca="1">COUNTIF(B:B,bron[[#This Row],[volledige naam]])</f>
        <v>4</v>
      </c>
    </row>
    <row r="739" spans="1:28" x14ac:dyDescent="0.25">
      <c r="A739" s="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3528</v>
      </c>
      <c r="Y739" t="s">
        <v>55</v>
      </c>
      <c r="Z739">
        <v>6374</v>
      </c>
      <c r="AA739" s="24" t="s">
        <v>3538</v>
      </c>
      <c r="AB739">
        <f ca="1">COUNTIF(B:B,bron[[#This Row],[volledige naam]])</f>
        <v>4</v>
      </c>
    </row>
    <row r="740" spans="1:28" x14ac:dyDescent="0.25">
      <c r="A740" s="39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3527</v>
      </c>
      <c r="Y740" t="s">
        <v>6</v>
      </c>
      <c r="Z740">
        <v>6329</v>
      </c>
      <c r="AA740" s="24" t="s">
        <v>3538</v>
      </c>
      <c r="AB740">
        <f ca="1">COUNTIF(B:B,bron[[#This Row],[volledige naam]])</f>
        <v>1</v>
      </c>
    </row>
    <row r="741" spans="1:28" x14ac:dyDescent="0.25">
      <c r="A741" s="39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3492</v>
      </c>
      <c r="Y741" t="s">
        <v>10</v>
      </c>
      <c r="Z741">
        <v>5909</v>
      </c>
      <c r="AA741" s="24" t="s">
        <v>3538</v>
      </c>
      <c r="AB741">
        <f ca="1">COUNTIF(B:B,bron[[#This Row],[volledige naam]])</f>
        <v>2</v>
      </c>
    </row>
    <row r="742" spans="1:28" x14ac:dyDescent="0.25">
      <c r="A742" s="39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3492</v>
      </c>
      <c r="Y742" t="s">
        <v>69</v>
      </c>
      <c r="Z742">
        <v>5934</v>
      </c>
      <c r="AA742" s="24" t="s">
        <v>3538</v>
      </c>
      <c r="AB742">
        <f ca="1">COUNTIF(B:B,bron[[#This Row],[volledige naam]])</f>
        <v>3</v>
      </c>
    </row>
    <row r="743" spans="1:28" x14ac:dyDescent="0.25">
      <c r="A743" s="39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3492</v>
      </c>
      <c r="Y743" t="s">
        <v>75</v>
      </c>
      <c r="Z743">
        <v>5488</v>
      </c>
      <c r="AA743" s="24" t="s">
        <v>3538</v>
      </c>
      <c r="AB743">
        <f ca="1">COUNTIF(B:B,bron[[#This Row],[volledige naam]])</f>
        <v>1</v>
      </c>
    </row>
    <row r="744" spans="1:28" x14ac:dyDescent="0.25">
      <c r="A744" s="39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3491</v>
      </c>
      <c r="Y744" t="s">
        <v>12</v>
      </c>
      <c r="Z744">
        <v>5039</v>
      </c>
      <c r="AA744" s="24" t="s">
        <v>3538</v>
      </c>
      <c r="AB744">
        <f ca="1">COUNTIF(B:B,bron[[#This Row],[volledige naam]])</f>
        <v>1</v>
      </c>
    </row>
    <row r="745" spans="1:28" x14ac:dyDescent="0.25">
      <c r="A745" s="39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3492</v>
      </c>
      <c r="Y745" t="s">
        <v>75</v>
      </c>
      <c r="Z745">
        <v>5489</v>
      </c>
      <c r="AA745" s="24" t="s">
        <v>3539</v>
      </c>
      <c r="AB745">
        <f ca="1">COUNTIF(B:B,bron[[#This Row],[volledige naam]])</f>
        <v>1</v>
      </c>
    </row>
    <row r="746" spans="1:28" x14ac:dyDescent="0.25">
      <c r="A746" s="39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3491</v>
      </c>
      <c r="Y746" t="s">
        <v>406</v>
      </c>
      <c r="Z746">
        <v>2209</v>
      </c>
      <c r="AA746" s="24" t="s">
        <v>3539</v>
      </c>
      <c r="AB746">
        <f ca="1">COUNTIF(B:B,bron[[#This Row],[volledige naam]])</f>
        <v>1</v>
      </c>
    </row>
    <row r="747" spans="1:28" x14ac:dyDescent="0.25">
      <c r="A747" s="39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3527</v>
      </c>
      <c r="Y747" t="s">
        <v>6</v>
      </c>
      <c r="Z747">
        <v>6361</v>
      </c>
      <c r="AA747" s="24" t="s">
        <v>3538</v>
      </c>
      <c r="AB747">
        <f ca="1">COUNTIF(B:B,bron[[#This Row],[volledige naam]])</f>
        <v>2</v>
      </c>
    </row>
    <row r="748" spans="1:28" x14ac:dyDescent="0.25">
      <c r="A748" s="39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3528</v>
      </c>
      <c r="Y748" t="s">
        <v>280</v>
      </c>
      <c r="Z748">
        <v>6364</v>
      </c>
      <c r="AA748" s="24" t="s">
        <v>3538</v>
      </c>
      <c r="AB748">
        <f ca="1">COUNTIF(B:B,bron[[#This Row],[volledige naam]])</f>
        <v>3</v>
      </c>
    </row>
    <row r="749" spans="1:28" x14ac:dyDescent="0.25">
      <c r="A749" s="3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3527</v>
      </c>
      <c r="Y749" t="s">
        <v>20</v>
      </c>
      <c r="Z749">
        <v>6321</v>
      </c>
      <c r="AA749" s="24" t="s">
        <v>3538</v>
      </c>
      <c r="AB749">
        <f ca="1">COUNTIF(B:B,bron[[#This Row],[volledige naam]])</f>
        <v>19</v>
      </c>
    </row>
    <row r="750" spans="1:28" x14ac:dyDescent="0.25">
      <c r="A750" s="39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3492</v>
      </c>
      <c r="Y750" t="s">
        <v>40</v>
      </c>
      <c r="Z750">
        <v>5938</v>
      </c>
      <c r="AA750" s="24" t="s">
        <v>3538</v>
      </c>
      <c r="AB750">
        <f ca="1">COUNTIF(B:B,bron[[#This Row],[volledige naam]])</f>
        <v>1</v>
      </c>
    </row>
    <row r="751" spans="1:28" x14ac:dyDescent="0.25">
      <c r="A751" s="39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3492</v>
      </c>
      <c r="Y751" t="s">
        <v>238</v>
      </c>
      <c r="Z751">
        <v>5910</v>
      </c>
      <c r="AA751" s="24" t="s">
        <v>3538</v>
      </c>
      <c r="AB751">
        <f ca="1">COUNTIF(B:B,bron[[#This Row],[volledige naam]])</f>
        <v>3</v>
      </c>
    </row>
    <row r="752" spans="1:28" x14ac:dyDescent="0.25">
      <c r="A752" s="39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3492</v>
      </c>
      <c r="Y752" t="s">
        <v>37</v>
      </c>
      <c r="Z752">
        <v>5771</v>
      </c>
      <c r="AA752" s="24" t="s">
        <v>3538</v>
      </c>
      <c r="AB752">
        <f ca="1">COUNTIF(B:B,bron[[#This Row],[volledige naam]])</f>
        <v>1</v>
      </c>
    </row>
    <row r="753" spans="1:28" x14ac:dyDescent="0.25">
      <c r="A753" s="39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3492</v>
      </c>
      <c r="Y753" t="s">
        <v>10</v>
      </c>
      <c r="Z753">
        <v>5926</v>
      </c>
      <c r="AA753" s="24" t="s">
        <v>3538</v>
      </c>
      <c r="AB753">
        <f ca="1">COUNTIF(B:B,bron[[#This Row],[volledige naam]])</f>
        <v>5</v>
      </c>
    </row>
    <row r="754" spans="1:28" x14ac:dyDescent="0.25">
      <c r="A754" s="39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3491</v>
      </c>
      <c r="Y754" t="s">
        <v>32</v>
      </c>
      <c r="Z754">
        <v>5260</v>
      </c>
      <c r="AA754" s="24" t="s">
        <v>3538</v>
      </c>
      <c r="AB754">
        <f ca="1">COUNTIF(B:B,bron[[#This Row],[volledige naam]])</f>
        <v>10</v>
      </c>
    </row>
    <row r="755" spans="1:28" x14ac:dyDescent="0.25">
      <c r="A755" s="39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3528</v>
      </c>
      <c r="Y755" t="s">
        <v>718</v>
      </c>
      <c r="Z755">
        <v>6368</v>
      </c>
      <c r="AA755" s="24" t="s">
        <v>3539</v>
      </c>
      <c r="AB755">
        <f ca="1">COUNTIF(B:B,bron[[#This Row],[volledige naam]])</f>
        <v>3</v>
      </c>
    </row>
    <row r="756" spans="1:28" x14ac:dyDescent="0.25">
      <c r="A756" s="39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3491</v>
      </c>
      <c r="Y756" t="s">
        <v>18</v>
      </c>
      <c r="Z756">
        <v>2269</v>
      </c>
      <c r="AA756" s="24" t="s">
        <v>3538</v>
      </c>
      <c r="AB756">
        <f ca="1">COUNTIF(B:B,bron[[#This Row],[volledige naam]])</f>
        <v>3</v>
      </c>
    </row>
    <row r="757" spans="1:28" x14ac:dyDescent="0.25">
      <c r="A757" s="39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3492</v>
      </c>
      <c r="Y757" t="s">
        <v>67</v>
      </c>
      <c r="Z757">
        <v>5911</v>
      </c>
      <c r="AA757" s="24" t="s">
        <v>3538</v>
      </c>
      <c r="AB757">
        <f ca="1">COUNTIF(B:B,bron[[#This Row],[volledige naam]])</f>
        <v>4</v>
      </c>
    </row>
    <row r="758" spans="1:28" x14ac:dyDescent="0.25">
      <c r="A758" s="39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3527</v>
      </c>
      <c r="Y758" t="s">
        <v>219</v>
      </c>
      <c r="Z758">
        <v>6339</v>
      </c>
      <c r="AA758" s="24" t="s">
        <v>3538</v>
      </c>
      <c r="AB758">
        <f ca="1">COUNTIF(B:B,bron[[#This Row],[volledige naam]])</f>
        <v>3</v>
      </c>
    </row>
    <row r="759" spans="1:28" x14ac:dyDescent="0.25">
      <c r="A759" s="3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3493</v>
      </c>
      <c r="Y759" t="s">
        <v>186</v>
      </c>
      <c r="Z759">
        <v>5261</v>
      </c>
      <c r="AA759" s="24" t="s">
        <v>3538</v>
      </c>
      <c r="AB759">
        <f ca="1">COUNTIF(B:B,bron[[#This Row],[volledige naam]])</f>
        <v>2</v>
      </c>
    </row>
    <row r="760" spans="1:28" x14ac:dyDescent="0.25">
      <c r="A760" s="39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3493</v>
      </c>
      <c r="Y760" t="s">
        <v>34</v>
      </c>
      <c r="Z760">
        <v>5235</v>
      </c>
      <c r="AA760" s="24" t="s">
        <v>3538</v>
      </c>
      <c r="AB760">
        <f ca="1">COUNTIF(B:B,bron[[#This Row],[volledige naam]])</f>
        <v>3</v>
      </c>
    </row>
    <row r="761" spans="1:28" x14ac:dyDescent="0.25">
      <c r="A761" s="39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3492</v>
      </c>
      <c r="Y761" t="s">
        <v>1286</v>
      </c>
      <c r="Z761">
        <v>5912</v>
      </c>
      <c r="AA761" s="24" t="s">
        <v>3539</v>
      </c>
      <c r="AB761">
        <f ca="1">COUNTIF(B:B,bron[[#This Row],[volledige naam]])</f>
        <v>1</v>
      </c>
    </row>
    <row r="762" spans="1:28" x14ac:dyDescent="0.25">
      <c r="A762" s="39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3491</v>
      </c>
      <c r="Y762" t="s">
        <v>32</v>
      </c>
      <c r="Z762">
        <v>5046</v>
      </c>
      <c r="AA762" s="24" t="s">
        <v>3539</v>
      </c>
      <c r="AB762">
        <f ca="1">COUNTIF(B:B,bron[[#This Row],[volledige naam]])</f>
        <v>2</v>
      </c>
    </row>
    <row r="763" spans="1:28" x14ac:dyDescent="0.25">
      <c r="A763" s="39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3491</v>
      </c>
      <c r="Y763" t="s">
        <v>100</v>
      </c>
      <c r="Z763">
        <v>5042</v>
      </c>
      <c r="AA763" s="24" t="s">
        <v>3538</v>
      </c>
      <c r="AB763">
        <f ca="1">COUNTIF(B:B,bron[[#This Row],[volledige naam]])</f>
        <v>2</v>
      </c>
    </row>
    <row r="764" spans="1:28" x14ac:dyDescent="0.25">
      <c r="A764" s="39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3493</v>
      </c>
      <c r="Y764" t="s">
        <v>250</v>
      </c>
      <c r="Z764">
        <v>5047</v>
      </c>
      <c r="AA764" s="24" t="s">
        <v>3538</v>
      </c>
      <c r="AB764">
        <f ca="1">COUNTIF(B:B,bron[[#This Row],[volledige naam]])</f>
        <v>8</v>
      </c>
    </row>
    <row r="765" spans="1:28" x14ac:dyDescent="0.25">
      <c r="A765" s="39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3491</v>
      </c>
      <c r="Y765" t="s">
        <v>207</v>
      </c>
      <c r="Z765">
        <v>2195</v>
      </c>
      <c r="AA765" s="24" t="s">
        <v>3538</v>
      </c>
      <c r="AB765">
        <f ca="1">COUNTIF(B:B,bron[[#This Row],[volledige naam]])</f>
        <v>4</v>
      </c>
    </row>
    <row r="766" spans="1:28" x14ac:dyDescent="0.25">
      <c r="A766" s="39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3527</v>
      </c>
      <c r="Y766" t="s">
        <v>52</v>
      </c>
      <c r="Z766">
        <v>6319</v>
      </c>
      <c r="AA766" s="24" t="s">
        <v>3538</v>
      </c>
      <c r="AB766">
        <f ca="1">COUNTIF(B:B,bron[[#This Row],[volledige naam]])</f>
        <v>6</v>
      </c>
    </row>
    <row r="767" spans="1:28" x14ac:dyDescent="0.25">
      <c r="A767" s="39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3491</v>
      </c>
      <c r="Y767" t="s">
        <v>49</v>
      </c>
      <c r="Z767">
        <v>5264</v>
      </c>
      <c r="AA767" s="24" t="s">
        <v>3538</v>
      </c>
      <c r="AB767">
        <f ca="1">COUNTIF(B:B,bron[[#This Row],[volledige naam]])</f>
        <v>2</v>
      </c>
    </row>
    <row r="768" spans="1:28" x14ac:dyDescent="0.25">
      <c r="A768" s="39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3528</v>
      </c>
      <c r="Y768" t="s">
        <v>30</v>
      </c>
      <c r="Z768">
        <v>6362</v>
      </c>
      <c r="AA768" s="24" t="s">
        <v>3538</v>
      </c>
      <c r="AB768">
        <f ca="1">COUNTIF(B:B,bron[[#This Row],[volledige naam]])</f>
        <v>5</v>
      </c>
    </row>
    <row r="769" spans="1:28" x14ac:dyDescent="0.25">
      <c r="A769" s="3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3528</v>
      </c>
      <c r="Y769" t="s">
        <v>2</v>
      </c>
      <c r="Z769">
        <v>6368</v>
      </c>
      <c r="AA769" s="24" t="s">
        <v>3538</v>
      </c>
      <c r="AB769">
        <f ca="1">COUNTIF(B:B,bron[[#This Row],[volledige naam]])</f>
        <v>4</v>
      </c>
    </row>
    <row r="770" spans="1:28" x14ac:dyDescent="0.25">
      <c r="A770" s="39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3491</v>
      </c>
      <c r="Y770" t="s">
        <v>1313</v>
      </c>
      <c r="Z770">
        <v>2193</v>
      </c>
      <c r="AA770" s="24" t="s">
        <v>3539</v>
      </c>
      <c r="AB770">
        <f ca="1">COUNTIF(B:B,bron[[#This Row],[volledige naam]])</f>
        <v>4</v>
      </c>
    </row>
    <row r="771" spans="1:28" x14ac:dyDescent="0.25">
      <c r="A771" s="39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3491</v>
      </c>
      <c r="Y771" t="s">
        <v>79</v>
      </c>
      <c r="Z771">
        <v>5259</v>
      </c>
      <c r="AA771" s="24" t="s">
        <v>3538</v>
      </c>
      <c r="AB771">
        <f ca="1">COUNTIF(B:B,bron[[#This Row],[volledige naam]])</f>
        <v>1</v>
      </c>
    </row>
    <row r="772" spans="1:28" x14ac:dyDescent="0.25">
      <c r="A772" s="39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3491</v>
      </c>
      <c r="Y772" t="s">
        <v>516</v>
      </c>
      <c r="Z772">
        <v>5046</v>
      </c>
      <c r="AA772" s="24" t="s">
        <v>3538</v>
      </c>
      <c r="AB772">
        <f ca="1">COUNTIF(B:B,bron[[#This Row],[volledige naam]])</f>
        <v>3</v>
      </c>
    </row>
    <row r="773" spans="1:28" x14ac:dyDescent="0.25">
      <c r="A773" s="39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3493</v>
      </c>
      <c r="Y773" t="s">
        <v>207</v>
      </c>
      <c r="Z773">
        <v>2190</v>
      </c>
      <c r="AA773" s="24" t="s">
        <v>3539</v>
      </c>
      <c r="AB773">
        <f ca="1">COUNTIF(B:B,bron[[#This Row],[volledige naam]])</f>
        <v>6</v>
      </c>
    </row>
    <row r="774" spans="1:28" x14ac:dyDescent="0.25">
      <c r="A774" s="39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3528</v>
      </c>
      <c r="Y774" t="s">
        <v>211</v>
      </c>
      <c r="Z774">
        <v>6355</v>
      </c>
      <c r="AA774" s="24" t="s">
        <v>3538</v>
      </c>
      <c r="AB774">
        <f ca="1">COUNTIF(B:B,bron[[#This Row],[volledige naam]])</f>
        <v>1</v>
      </c>
    </row>
    <row r="775" spans="1:28" x14ac:dyDescent="0.25">
      <c r="A775" s="39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3491</v>
      </c>
      <c r="Y775" t="s">
        <v>14</v>
      </c>
      <c r="Z775">
        <v>5046</v>
      </c>
      <c r="AA775" s="24" t="s">
        <v>3538</v>
      </c>
      <c r="AB775">
        <f ca="1">COUNTIF(B:B,bron[[#This Row],[volledige naam]])</f>
        <v>3</v>
      </c>
    </row>
    <row r="776" spans="1:28" x14ac:dyDescent="0.25">
      <c r="A776" s="39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3491</v>
      </c>
      <c r="Y776" t="s">
        <v>12</v>
      </c>
      <c r="Z776">
        <v>2198</v>
      </c>
      <c r="AA776" s="24" t="s">
        <v>3538</v>
      </c>
      <c r="AB776">
        <f ca="1">COUNTIF(B:B,bron[[#This Row],[volledige naam]])</f>
        <v>1</v>
      </c>
    </row>
    <row r="777" spans="1:28" x14ac:dyDescent="0.25">
      <c r="A777" s="39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3492</v>
      </c>
      <c r="Y777" t="s">
        <v>87</v>
      </c>
      <c r="Z777">
        <v>5486</v>
      </c>
      <c r="AA777" s="24" t="s">
        <v>3538</v>
      </c>
      <c r="AB777">
        <f ca="1">COUNTIF(B:B,bron[[#This Row],[volledige naam]])</f>
        <v>4</v>
      </c>
    </row>
    <row r="778" spans="1:28" x14ac:dyDescent="0.25">
      <c r="A778" s="39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3492</v>
      </c>
      <c r="Y778" t="s">
        <v>10</v>
      </c>
      <c r="Z778">
        <v>5921</v>
      </c>
      <c r="AA778" s="24" t="s">
        <v>3538</v>
      </c>
      <c r="AB778">
        <f ca="1">COUNTIF(B:B,bron[[#This Row],[volledige naam]])</f>
        <v>1</v>
      </c>
    </row>
    <row r="779" spans="1:28" x14ac:dyDescent="0.25">
      <c r="A779" s="3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3527</v>
      </c>
      <c r="Y779" t="s">
        <v>85</v>
      </c>
      <c r="Z779">
        <v>6313</v>
      </c>
      <c r="AA779" s="24" t="s">
        <v>3538</v>
      </c>
      <c r="AB779">
        <f ca="1">COUNTIF(B:B,bron[[#This Row],[volledige naam]])</f>
        <v>19</v>
      </c>
    </row>
    <row r="780" spans="1:28" x14ac:dyDescent="0.25">
      <c r="A780" s="39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3492</v>
      </c>
      <c r="Y780" t="s">
        <v>172</v>
      </c>
      <c r="Z780">
        <v>5772</v>
      </c>
      <c r="AA780" s="24" t="s">
        <v>3538</v>
      </c>
      <c r="AB780">
        <f ca="1">COUNTIF(B:B,bron[[#This Row],[volledige naam]])</f>
        <v>1</v>
      </c>
    </row>
    <row r="781" spans="1:28" x14ac:dyDescent="0.25">
      <c r="A781" s="39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3491</v>
      </c>
      <c r="Y781" t="s">
        <v>106</v>
      </c>
      <c r="Z781">
        <v>2189</v>
      </c>
      <c r="AA781" s="24" t="s">
        <v>3538</v>
      </c>
      <c r="AB781">
        <f ca="1">COUNTIF(B:B,bron[[#This Row],[volledige naam]])</f>
        <v>1</v>
      </c>
    </row>
    <row r="782" spans="1:28" x14ac:dyDescent="0.25">
      <c r="A782" s="39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3491</v>
      </c>
      <c r="Y782" t="s">
        <v>24</v>
      </c>
      <c r="Z782">
        <v>5046</v>
      </c>
      <c r="AA782" s="24" t="s">
        <v>3538</v>
      </c>
      <c r="AB782">
        <f ca="1">COUNTIF(B:B,bron[[#This Row],[volledige naam]])</f>
        <v>3</v>
      </c>
    </row>
    <row r="783" spans="1:28" x14ac:dyDescent="0.25">
      <c r="A783" s="39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3491</v>
      </c>
      <c r="Y783" t="s">
        <v>10</v>
      </c>
      <c r="Z783">
        <v>2196</v>
      </c>
      <c r="AA783" s="24" t="s">
        <v>3538</v>
      </c>
      <c r="AB783">
        <f ca="1">COUNTIF(B:B,bron[[#This Row],[volledige naam]])</f>
        <v>5</v>
      </c>
    </row>
    <row r="784" spans="1:28" x14ac:dyDescent="0.25">
      <c r="A784" s="39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3528</v>
      </c>
      <c r="Y784" t="s">
        <v>162</v>
      </c>
      <c r="Z784">
        <v>6355</v>
      </c>
      <c r="AA784" s="24" t="s">
        <v>3538</v>
      </c>
      <c r="AB784">
        <f ca="1">COUNTIF(B:B,bron[[#This Row],[volledige naam]])</f>
        <v>2</v>
      </c>
    </row>
    <row r="785" spans="1:28" x14ac:dyDescent="0.25">
      <c r="A785" s="39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3492</v>
      </c>
      <c r="Y785" t="s">
        <v>498</v>
      </c>
      <c r="Z785">
        <v>5915</v>
      </c>
      <c r="AA785" s="24" t="s">
        <v>3538</v>
      </c>
      <c r="AB785">
        <f ca="1">COUNTIF(B:B,bron[[#This Row],[volledige naam]])</f>
        <v>3</v>
      </c>
    </row>
    <row r="786" spans="1:28" x14ac:dyDescent="0.25">
      <c r="A786" s="39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3493</v>
      </c>
      <c r="Y786" t="s">
        <v>116</v>
      </c>
      <c r="Z786">
        <v>5324</v>
      </c>
      <c r="AA786" s="24" t="s">
        <v>3538</v>
      </c>
      <c r="AB786">
        <f ca="1">COUNTIF(B:B,bron[[#This Row],[volledige naam]])</f>
        <v>2</v>
      </c>
    </row>
    <row r="787" spans="1:28" x14ac:dyDescent="0.25">
      <c r="A787" s="39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3491</v>
      </c>
      <c r="Y787" t="s">
        <v>12</v>
      </c>
      <c r="Z787">
        <v>5043</v>
      </c>
      <c r="AA787" s="24" t="s">
        <v>3538</v>
      </c>
      <c r="AB787">
        <f ca="1">COUNTIF(B:B,bron[[#This Row],[volledige naam]])</f>
        <v>5</v>
      </c>
    </row>
    <row r="788" spans="1:28" x14ac:dyDescent="0.25">
      <c r="A788" s="39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3492</v>
      </c>
      <c r="Y788" t="s">
        <v>182</v>
      </c>
      <c r="Z788">
        <v>5763</v>
      </c>
      <c r="AA788" s="24" t="s">
        <v>3538</v>
      </c>
      <c r="AB788">
        <f ca="1">COUNTIF(B:B,bron[[#This Row],[volledige naam]])</f>
        <v>5</v>
      </c>
    </row>
    <row r="789" spans="1:28" x14ac:dyDescent="0.25">
      <c r="A789" s="3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3492</v>
      </c>
      <c r="Y789" t="s">
        <v>209</v>
      </c>
      <c r="Z789">
        <v>5911</v>
      </c>
      <c r="AA789" s="24" t="s">
        <v>3538</v>
      </c>
      <c r="AB789">
        <f ca="1">COUNTIF(B:B,bron[[#This Row],[volledige naam]])</f>
        <v>2</v>
      </c>
    </row>
    <row r="790" spans="1:28" x14ac:dyDescent="0.25">
      <c r="A790" s="39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3528</v>
      </c>
      <c r="Y790" t="s">
        <v>52</v>
      </c>
      <c r="Z790">
        <v>6353</v>
      </c>
      <c r="AA790" s="24" t="s">
        <v>3538</v>
      </c>
      <c r="AB790">
        <f ca="1">COUNTIF(B:B,bron[[#This Row],[volledige naam]])</f>
        <v>1</v>
      </c>
    </row>
    <row r="791" spans="1:28" x14ac:dyDescent="0.25">
      <c r="A791" s="39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3491</v>
      </c>
      <c r="Y791" t="s">
        <v>217</v>
      </c>
      <c r="Z791">
        <v>5044</v>
      </c>
      <c r="AA791" s="24" t="s">
        <v>3538</v>
      </c>
      <c r="AB791">
        <f ca="1">COUNTIF(B:B,bron[[#This Row],[volledige naam]])</f>
        <v>3</v>
      </c>
    </row>
    <row r="792" spans="1:28" x14ac:dyDescent="0.25">
      <c r="A792" s="39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3491</v>
      </c>
      <c r="Y792" t="s">
        <v>18</v>
      </c>
      <c r="Z792">
        <v>5231</v>
      </c>
      <c r="AA792" s="24" t="s">
        <v>3538</v>
      </c>
      <c r="AB792">
        <f ca="1">COUNTIF(B:B,bron[[#This Row],[volledige naam]])</f>
        <v>10</v>
      </c>
    </row>
    <row r="793" spans="1:28" x14ac:dyDescent="0.25">
      <c r="A793" s="39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3528</v>
      </c>
      <c r="Y793" t="s">
        <v>941</v>
      </c>
      <c r="Z793">
        <v>6375</v>
      </c>
      <c r="AA793" s="24" t="s">
        <v>3539</v>
      </c>
      <c r="AB793">
        <f ca="1">COUNTIF(B:B,bron[[#This Row],[volledige naam]])</f>
        <v>4</v>
      </c>
    </row>
    <row r="794" spans="1:28" x14ac:dyDescent="0.25">
      <c r="A794" s="39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3491</v>
      </c>
      <c r="Y794" t="s">
        <v>6</v>
      </c>
      <c r="Z794">
        <v>2807</v>
      </c>
      <c r="AA794" s="24" t="s">
        <v>3538</v>
      </c>
      <c r="AB794">
        <f ca="1">COUNTIF(B:B,bron[[#This Row],[volledige naam]])</f>
        <v>1</v>
      </c>
    </row>
    <row r="795" spans="1:28" x14ac:dyDescent="0.25">
      <c r="A795" s="39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3493</v>
      </c>
      <c r="Y795" t="s">
        <v>231</v>
      </c>
      <c r="Z795">
        <v>5266</v>
      </c>
      <c r="AA795" s="24" t="s">
        <v>3538</v>
      </c>
      <c r="AB795">
        <f ca="1">COUNTIF(B:B,bron[[#This Row],[volledige naam]])</f>
        <v>3</v>
      </c>
    </row>
    <row r="796" spans="1:28" x14ac:dyDescent="0.25">
      <c r="A796" s="39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3492</v>
      </c>
      <c r="Y796" t="s">
        <v>92</v>
      </c>
      <c r="Z796">
        <v>5767</v>
      </c>
      <c r="AA796" s="24" t="s">
        <v>3538</v>
      </c>
      <c r="AB796">
        <f ca="1">COUNTIF(B:B,bron[[#This Row],[volledige naam]])</f>
        <v>1</v>
      </c>
    </row>
    <row r="797" spans="1:28" x14ac:dyDescent="0.25">
      <c r="A797" s="39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3527</v>
      </c>
      <c r="Y797" t="s">
        <v>246</v>
      </c>
      <c r="Z797">
        <v>6323</v>
      </c>
      <c r="AA797" s="24" t="s">
        <v>3538</v>
      </c>
      <c r="AB797">
        <f ca="1">COUNTIF(B:B,bron[[#This Row],[volledige naam]])</f>
        <v>2</v>
      </c>
    </row>
    <row r="798" spans="1:28" x14ac:dyDescent="0.25">
      <c r="A798" s="39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3493</v>
      </c>
      <c r="Y798" t="s">
        <v>94</v>
      </c>
      <c r="Z798">
        <v>5260</v>
      </c>
      <c r="AA798" s="24" t="s">
        <v>3538</v>
      </c>
      <c r="AB798">
        <f ca="1">COUNTIF(B:B,bron[[#This Row],[volledige naam]])</f>
        <v>5</v>
      </c>
    </row>
    <row r="799" spans="1:28" x14ac:dyDescent="0.25">
      <c r="A799" s="3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3493</v>
      </c>
      <c r="Y799" t="s">
        <v>1231</v>
      </c>
      <c r="Z799">
        <v>5046</v>
      </c>
      <c r="AA799" s="24" t="s">
        <v>3538</v>
      </c>
      <c r="AB799">
        <f ca="1">COUNTIF(B:B,bron[[#This Row],[volledige naam]])</f>
        <v>5</v>
      </c>
    </row>
    <row r="800" spans="1:28" x14ac:dyDescent="0.25">
      <c r="A800" s="39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3527</v>
      </c>
      <c r="Y800" t="s">
        <v>213</v>
      </c>
      <c r="Z800">
        <v>6331</v>
      </c>
      <c r="AA800" s="24" t="s">
        <v>3538</v>
      </c>
      <c r="AB800">
        <f ca="1">COUNTIF(B:B,bron[[#This Row],[volledige naam]])</f>
        <v>1</v>
      </c>
    </row>
    <row r="801" spans="1:28" x14ac:dyDescent="0.25">
      <c r="A801" s="39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3492</v>
      </c>
      <c r="Y801" t="s">
        <v>10</v>
      </c>
      <c r="Z801">
        <v>5933</v>
      </c>
      <c r="AA801" s="24" t="s">
        <v>3538</v>
      </c>
      <c r="AB801">
        <f ca="1">COUNTIF(B:B,bron[[#This Row],[volledige naam]])</f>
        <v>3</v>
      </c>
    </row>
    <row r="802" spans="1:28" x14ac:dyDescent="0.25">
      <c r="A802" s="39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3492</v>
      </c>
      <c r="Y802" t="s">
        <v>10</v>
      </c>
      <c r="Z802">
        <v>5924</v>
      </c>
      <c r="AA802" s="24" t="s">
        <v>3539</v>
      </c>
      <c r="AB802">
        <f ca="1">COUNTIF(B:B,bron[[#This Row],[volledige naam]])</f>
        <v>2</v>
      </c>
    </row>
    <row r="803" spans="1:28" x14ac:dyDescent="0.25">
      <c r="A803" s="39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3491</v>
      </c>
      <c r="Y803" t="s">
        <v>184</v>
      </c>
      <c r="Z803">
        <v>5041</v>
      </c>
      <c r="AA803" s="24" t="s">
        <v>3538</v>
      </c>
      <c r="AB803">
        <f ca="1">COUNTIF(B:B,bron[[#This Row],[volledige naam]])</f>
        <v>1</v>
      </c>
    </row>
    <row r="804" spans="1:28" x14ac:dyDescent="0.25">
      <c r="A804" s="39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3528</v>
      </c>
      <c r="Y804" t="s">
        <v>647</v>
      </c>
      <c r="Z804">
        <v>6359</v>
      </c>
      <c r="AA804" s="24" t="s">
        <v>3539</v>
      </c>
      <c r="AB804">
        <f ca="1">COUNTIF(B:B,bron[[#This Row],[volledige naam]])</f>
        <v>3</v>
      </c>
    </row>
    <row r="805" spans="1:28" x14ac:dyDescent="0.25">
      <c r="A805" s="39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3492</v>
      </c>
      <c r="Y805" t="s">
        <v>89</v>
      </c>
      <c r="Z805">
        <v>5767</v>
      </c>
      <c r="AA805" s="24" t="s">
        <v>3539</v>
      </c>
      <c r="AB805">
        <f ca="1">COUNTIF(B:B,bron[[#This Row],[volledige naam]])</f>
        <v>4</v>
      </c>
    </row>
    <row r="806" spans="1:28" x14ac:dyDescent="0.25">
      <c r="A806" s="39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3493</v>
      </c>
      <c r="Y806" t="s">
        <v>12</v>
      </c>
      <c r="Z806">
        <v>2195</v>
      </c>
      <c r="AA806" s="24" t="s">
        <v>3538</v>
      </c>
      <c r="AB806">
        <f ca="1">COUNTIF(B:B,bron[[#This Row],[volledige naam]])</f>
        <v>1</v>
      </c>
    </row>
    <row r="807" spans="1:28" x14ac:dyDescent="0.25">
      <c r="A807" s="39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3493</v>
      </c>
      <c r="Y807" t="s">
        <v>244</v>
      </c>
      <c r="Z807">
        <v>2192</v>
      </c>
      <c r="AA807" s="24" t="s">
        <v>3538</v>
      </c>
      <c r="AB807">
        <f ca="1">COUNTIF(B:B,bron[[#This Row],[volledige naam]])</f>
        <v>5</v>
      </c>
    </row>
    <row r="808" spans="1:28" x14ac:dyDescent="0.25">
      <c r="A808" s="39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3527</v>
      </c>
      <c r="Y808" t="s">
        <v>114</v>
      </c>
      <c r="Z808">
        <v>6325</v>
      </c>
      <c r="AA808" s="24" t="s">
        <v>3539</v>
      </c>
      <c r="AB808">
        <f ca="1">COUNTIF(B:B,bron[[#This Row],[volledige naam]])</f>
        <v>3</v>
      </c>
    </row>
    <row r="809" spans="1:28" x14ac:dyDescent="0.25">
      <c r="A809" s="39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3492</v>
      </c>
      <c r="Y809" t="s">
        <v>10</v>
      </c>
      <c r="Z809">
        <v>5923</v>
      </c>
      <c r="AA809" s="24" t="s">
        <v>3538</v>
      </c>
      <c r="AB809">
        <f ca="1">COUNTIF(B:B,bron[[#This Row],[volledige naam]])</f>
        <v>1</v>
      </c>
    </row>
    <row r="810" spans="1:28" x14ac:dyDescent="0.25">
      <c r="A810" s="39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3493</v>
      </c>
      <c r="Y810" t="s">
        <v>122</v>
      </c>
      <c r="Z810">
        <v>5271</v>
      </c>
      <c r="AA810" s="24" t="s">
        <v>3538</v>
      </c>
      <c r="AB810">
        <f ca="1">COUNTIF(B:B,bron[[#This Row],[volledige naam]])</f>
        <v>2</v>
      </c>
    </row>
    <row r="811" spans="1:28" x14ac:dyDescent="0.25">
      <c r="A811" s="39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3527</v>
      </c>
      <c r="Y811" t="s">
        <v>1302</v>
      </c>
      <c r="Z811">
        <v>6337</v>
      </c>
      <c r="AA811" s="24" t="s">
        <v>3539</v>
      </c>
      <c r="AB811">
        <f ca="1">COUNTIF(B:B,bron[[#This Row],[volledige naam]])</f>
        <v>1</v>
      </c>
    </row>
    <row r="812" spans="1:28" x14ac:dyDescent="0.25">
      <c r="A812" s="39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3600</v>
      </c>
      <c r="V812" s="22">
        <v>1</v>
      </c>
      <c r="W812" s="22"/>
      <c r="X812" t="s">
        <v>3493</v>
      </c>
      <c r="Y812" t="s">
        <v>493</v>
      </c>
      <c r="Z812">
        <v>5042</v>
      </c>
      <c r="AA812" s="24" t="s">
        <v>3538</v>
      </c>
      <c r="AB812">
        <f ca="1">COUNTIF(B:B,bron[[#This Row],[volledige naam]])</f>
        <v>1</v>
      </c>
    </row>
    <row r="813" spans="1:28" x14ac:dyDescent="0.25">
      <c r="A813" s="39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3492</v>
      </c>
      <c r="Y813" t="s">
        <v>16</v>
      </c>
      <c r="Z813">
        <v>5915</v>
      </c>
      <c r="AA813" s="24" t="s">
        <v>3538</v>
      </c>
      <c r="AB813">
        <f ca="1">COUNTIF(B:B,bron[[#This Row],[volledige naam]])</f>
        <v>10</v>
      </c>
    </row>
    <row r="814" spans="1:28" x14ac:dyDescent="0.25">
      <c r="A814" s="39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3491</v>
      </c>
      <c r="Y814" t="s">
        <v>190</v>
      </c>
      <c r="Z814">
        <v>2190</v>
      </c>
      <c r="AA814" s="24" t="s">
        <v>3538</v>
      </c>
      <c r="AB814">
        <f ca="1">COUNTIF(B:B,bron[[#This Row],[volledige naam]])</f>
        <v>4</v>
      </c>
    </row>
    <row r="815" spans="1:28" x14ac:dyDescent="0.25">
      <c r="A815" s="39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3491</v>
      </c>
      <c r="Y815" t="s">
        <v>34</v>
      </c>
      <c r="Z815">
        <v>5042</v>
      </c>
      <c r="AA815" s="24" t="s">
        <v>3539</v>
      </c>
      <c r="AB815">
        <f ca="1">COUNTIF(B:B,bron[[#This Row],[volledige naam]])</f>
        <v>2</v>
      </c>
    </row>
    <row r="816" spans="1:28" x14ac:dyDescent="0.25">
      <c r="A816" s="39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3528</v>
      </c>
      <c r="Y816" t="s">
        <v>6</v>
      </c>
      <c r="Z816">
        <v>6372</v>
      </c>
      <c r="AA816" s="24" t="s">
        <v>3538</v>
      </c>
      <c r="AB816">
        <f ca="1">COUNTIF(B:B,bron[[#This Row],[volledige naam]])</f>
        <v>3</v>
      </c>
    </row>
    <row r="817" spans="1:28" x14ac:dyDescent="0.25">
      <c r="A817" s="39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3493</v>
      </c>
      <c r="Y817" t="s">
        <v>12</v>
      </c>
      <c r="Z817">
        <v>2200</v>
      </c>
      <c r="AA817" s="24" t="s">
        <v>3538</v>
      </c>
      <c r="AB817">
        <f ca="1">COUNTIF(B:B,bron[[#This Row],[volledige naam]])</f>
        <v>5</v>
      </c>
    </row>
    <row r="818" spans="1:28" x14ac:dyDescent="0.25">
      <c r="A818" s="39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3493</v>
      </c>
      <c r="Y818" t="s">
        <v>22</v>
      </c>
      <c r="Z818">
        <v>5053</v>
      </c>
      <c r="AA818" s="24" t="s">
        <v>3538</v>
      </c>
      <c r="AB818">
        <f ca="1">COUNTIF(B:B,bron[[#This Row],[volledige naam]])</f>
        <v>2</v>
      </c>
    </row>
    <row r="819" spans="1:28" x14ac:dyDescent="0.25">
      <c r="A819" s="3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3492</v>
      </c>
      <c r="Y819" t="s">
        <v>37</v>
      </c>
      <c r="Z819">
        <v>5923</v>
      </c>
      <c r="AA819" s="24" t="s">
        <v>3538</v>
      </c>
      <c r="AB819">
        <f ca="1">COUNTIF(B:B,bron[[#This Row],[volledige naam]])</f>
        <v>3</v>
      </c>
    </row>
    <row r="820" spans="1:28" x14ac:dyDescent="0.25">
      <c r="A820" s="39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3493</v>
      </c>
      <c r="Y820" t="s">
        <v>268</v>
      </c>
      <c r="Z820">
        <v>2194</v>
      </c>
      <c r="AA820" s="24" t="s">
        <v>3538</v>
      </c>
      <c r="AB820">
        <f ca="1">COUNTIF(B:B,bron[[#This Row],[volledige naam]])</f>
        <v>8</v>
      </c>
    </row>
    <row r="821" spans="1:28" x14ac:dyDescent="0.25">
      <c r="A821" s="39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3527</v>
      </c>
      <c r="Y821" t="s">
        <v>2</v>
      </c>
      <c r="Z821">
        <v>6321</v>
      </c>
      <c r="AA821" s="24" t="s">
        <v>3538</v>
      </c>
      <c r="AB821">
        <f ca="1">COUNTIF(B:B,bron[[#This Row],[volledige naam]])</f>
        <v>2</v>
      </c>
    </row>
    <row r="822" spans="1:28" x14ac:dyDescent="0.25">
      <c r="A822" s="39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3491</v>
      </c>
      <c r="Y822" t="s">
        <v>12</v>
      </c>
      <c r="Z822">
        <v>5266</v>
      </c>
      <c r="AA822" s="24" t="s">
        <v>3538</v>
      </c>
      <c r="AB822">
        <f ca="1">COUNTIF(B:B,bron[[#This Row],[volledige naam]])</f>
        <v>1</v>
      </c>
    </row>
    <row r="823" spans="1:28" x14ac:dyDescent="0.25">
      <c r="A823" s="39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3492</v>
      </c>
      <c r="Y823" t="s">
        <v>6</v>
      </c>
      <c r="Z823">
        <v>5927</v>
      </c>
      <c r="AA823" s="24" t="s">
        <v>3539</v>
      </c>
      <c r="AB823">
        <f ca="1">COUNTIF(B:B,bron[[#This Row],[volledige naam]])</f>
        <v>1</v>
      </c>
    </row>
    <row r="824" spans="1:28" x14ac:dyDescent="0.25">
      <c r="A824" s="39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3492</v>
      </c>
      <c r="Y824" t="s">
        <v>223</v>
      </c>
      <c r="Z824">
        <v>5912</v>
      </c>
      <c r="AA824" t="s">
        <v>3538</v>
      </c>
      <c r="AB824">
        <f ca="1">COUNTIF(B:B,bron[[#This Row],[volledige naam]])</f>
        <v>2</v>
      </c>
    </row>
    <row r="825" spans="1:28" x14ac:dyDescent="0.25">
      <c r="A825" s="39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3527</v>
      </c>
      <c r="Y825" t="s">
        <v>215</v>
      </c>
      <c r="Z825">
        <v>6315</v>
      </c>
      <c r="AA825" s="24" t="s">
        <v>3538</v>
      </c>
      <c r="AB825">
        <f ca="1">COUNTIF(B:B,bron[[#This Row],[volledige naam]])</f>
        <v>4</v>
      </c>
    </row>
    <row r="826" spans="1:28" x14ac:dyDescent="0.25">
      <c r="A826" s="39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3491</v>
      </c>
      <c r="Y826" t="s">
        <v>104</v>
      </c>
      <c r="Z826">
        <v>5233</v>
      </c>
      <c r="AA826" t="s">
        <v>3538</v>
      </c>
      <c r="AB826">
        <f ca="1">COUNTIF(B:B,bron[[#This Row],[volledige naam]])</f>
        <v>3</v>
      </c>
    </row>
    <row r="827" spans="1:28" x14ac:dyDescent="0.25">
      <c r="A827" s="39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3493</v>
      </c>
      <c r="Y827" t="s">
        <v>516</v>
      </c>
      <c r="Z827">
        <v>5239</v>
      </c>
      <c r="AA827" s="24" t="s">
        <v>3539</v>
      </c>
      <c r="AB827">
        <f ca="1">COUNTIF(B:B,bron[[#This Row],[volledige naam]])</f>
        <v>3</v>
      </c>
    </row>
    <row r="828" spans="1:28" x14ac:dyDescent="0.25">
      <c r="A828" s="39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3527</v>
      </c>
      <c r="Y828" t="s">
        <v>946</v>
      </c>
      <c r="Z828">
        <v>6307</v>
      </c>
      <c r="AA828" s="24" t="s">
        <v>3539</v>
      </c>
      <c r="AB828">
        <f ca="1">COUNTIF(B:B,bron[[#This Row],[volledige naam]])</f>
        <v>1</v>
      </c>
    </row>
    <row r="829" spans="1:28" x14ac:dyDescent="0.25">
      <c r="A829" s="3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3493</v>
      </c>
      <c r="Y829" t="s">
        <v>94</v>
      </c>
      <c r="Z829">
        <v>5052</v>
      </c>
      <c r="AA829" t="s">
        <v>3538</v>
      </c>
      <c r="AB829">
        <f ca="1">COUNTIF(B:B,bron[[#This Row],[volledige naam]])</f>
        <v>4</v>
      </c>
    </row>
    <row r="830" spans="1:28" x14ac:dyDescent="0.25">
      <c r="A830" s="39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3493</v>
      </c>
      <c r="Y830" t="s">
        <v>14</v>
      </c>
      <c r="Z830">
        <v>5238</v>
      </c>
      <c r="AA830" t="s">
        <v>3538</v>
      </c>
      <c r="AB830">
        <f ca="1">COUNTIF(B:B,bron[[#This Row],[volledige naam]])</f>
        <v>2</v>
      </c>
    </row>
    <row r="831" spans="1:28" x14ac:dyDescent="0.25">
      <c r="A831" s="39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3492</v>
      </c>
      <c r="Y831" t="s">
        <v>2</v>
      </c>
      <c r="Z831">
        <v>5765</v>
      </c>
      <c r="AA831" t="s">
        <v>3538</v>
      </c>
      <c r="AB831">
        <f ca="1">COUNTIF(B:B,bron[[#This Row],[volledige naam]])</f>
        <v>1</v>
      </c>
    </row>
    <row r="832" spans="1:28" x14ac:dyDescent="0.25">
      <c r="A832" s="39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3493</v>
      </c>
      <c r="Y832" t="s">
        <v>34</v>
      </c>
      <c r="Z832">
        <v>5048</v>
      </c>
      <c r="AA832" t="s">
        <v>3538</v>
      </c>
      <c r="AB832">
        <f ca="1">COUNTIF(B:B,bron[[#This Row],[volledige naam]])</f>
        <v>3</v>
      </c>
    </row>
    <row r="833" spans="1:28" x14ac:dyDescent="0.25">
      <c r="A833" s="39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3492</v>
      </c>
      <c r="Y833" t="s">
        <v>272</v>
      </c>
      <c r="Z833">
        <v>8137</v>
      </c>
      <c r="AA833" t="s">
        <v>3538</v>
      </c>
      <c r="AB833">
        <f ca="1">COUNTIF(B:B,bron[[#This Row],[volledige naam]])</f>
        <v>2</v>
      </c>
    </row>
    <row r="834" spans="1:28" x14ac:dyDescent="0.25">
      <c r="A834" s="39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3527</v>
      </c>
      <c r="Y834" t="s">
        <v>2</v>
      </c>
      <c r="Z834">
        <v>6308</v>
      </c>
      <c r="AA834" s="24" t="s">
        <v>3538</v>
      </c>
      <c r="AB834">
        <f ca="1">COUNTIF(B:B,bron[[#This Row],[volledige naam]])</f>
        <v>2</v>
      </c>
    </row>
    <row r="835" spans="1:28" x14ac:dyDescent="0.25">
      <c r="A835" s="39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3491</v>
      </c>
      <c r="Y835" t="s">
        <v>176</v>
      </c>
      <c r="Z835">
        <v>5046</v>
      </c>
      <c r="AA835" t="s">
        <v>3538</v>
      </c>
      <c r="AB835">
        <f ca="1">COUNTIF(B:B,bron[[#This Row],[volledige naam]])</f>
        <v>4</v>
      </c>
    </row>
    <row r="836" spans="1:28" x14ac:dyDescent="0.25">
      <c r="A836" s="39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3527</v>
      </c>
      <c r="Y836" t="s">
        <v>180</v>
      </c>
      <c r="Z836">
        <v>6332</v>
      </c>
      <c r="AA836" s="24" t="s">
        <v>3538</v>
      </c>
      <c r="AB836">
        <f ca="1">COUNTIF(B:B,bron[[#This Row],[volledige naam]])</f>
        <v>6</v>
      </c>
    </row>
    <row r="837" spans="1:28" x14ac:dyDescent="0.25">
      <c r="A837" s="39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3493</v>
      </c>
      <c r="Y837" t="s">
        <v>1267</v>
      </c>
      <c r="Z837">
        <v>5327</v>
      </c>
      <c r="AA837" t="s">
        <v>3538</v>
      </c>
      <c r="AB837">
        <f ca="1">COUNTIF(B:B,bron[[#This Row],[volledige naam]])</f>
        <v>2</v>
      </c>
    </row>
    <row r="838" spans="1:28" x14ac:dyDescent="0.25">
      <c r="A838" s="39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3491</v>
      </c>
      <c r="Y838" t="s">
        <v>2</v>
      </c>
      <c r="Z838">
        <v>2193</v>
      </c>
      <c r="AA838" t="s">
        <v>3538</v>
      </c>
      <c r="AB838">
        <f ca="1">COUNTIF(B:B,bron[[#This Row],[volledige naam]])</f>
        <v>5</v>
      </c>
    </row>
    <row r="839" spans="1:28" x14ac:dyDescent="0.25">
      <c r="A839" s="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3493</v>
      </c>
      <c r="Y839" t="s">
        <v>539</v>
      </c>
      <c r="Z839">
        <v>5044</v>
      </c>
      <c r="AA839" t="s">
        <v>3538</v>
      </c>
      <c r="AB839">
        <f ca="1">COUNTIF(B:B,bron[[#This Row],[volledige naam]])</f>
        <v>5</v>
      </c>
    </row>
    <row r="840" spans="1:28" x14ac:dyDescent="0.25">
      <c r="A840" s="39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3492</v>
      </c>
      <c r="Y840" t="s">
        <v>1319</v>
      </c>
      <c r="Z840" s="2">
        <v>5938</v>
      </c>
      <c r="AA840" s="31" t="s">
        <v>3538</v>
      </c>
      <c r="AB840">
        <f ca="1">COUNTIF(B:B,bron[[#This Row],[volledige naam]])</f>
        <v>3</v>
      </c>
    </row>
    <row r="841" spans="1:28" x14ac:dyDescent="0.25">
      <c r="A841" s="39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3479</v>
      </c>
      <c r="V841" s="26">
        <v>1</v>
      </c>
      <c r="W841" s="26"/>
      <c r="X841" t="s">
        <v>3493</v>
      </c>
      <c r="Y841" t="s">
        <v>81</v>
      </c>
      <c r="Z841" s="2">
        <v>5263</v>
      </c>
      <c r="AA841" s="31" t="s">
        <v>3538</v>
      </c>
      <c r="AB841">
        <f ca="1">COUNTIF(B:B,bron[[#This Row],[volledige naam]])</f>
        <v>3</v>
      </c>
    </row>
    <row r="842" spans="1:28" x14ac:dyDescent="0.25">
      <c r="A842" s="39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3479</v>
      </c>
      <c r="V842" s="26">
        <v>1</v>
      </c>
      <c r="W842" s="26"/>
      <c r="X842" t="s">
        <v>3493</v>
      </c>
      <c r="Y842" t="s">
        <v>81</v>
      </c>
      <c r="Z842" s="2">
        <v>5263</v>
      </c>
      <c r="AA842" s="32" t="s">
        <v>3539</v>
      </c>
      <c r="AB842">
        <f ca="1">COUNTIF(B:B,bron[[#This Row],[volledige naam]])</f>
        <v>4</v>
      </c>
    </row>
    <row r="843" spans="1:28" x14ac:dyDescent="0.25">
      <c r="A843" s="39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3493</v>
      </c>
      <c r="Y843" t="s">
        <v>378</v>
      </c>
      <c r="Z843" s="2">
        <v>5233</v>
      </c>
      <c r="AA843" s="31" t="s">
        <v>3538</v>
      </c>
      <c r="AB843">
        <f ca="1">COUNTIF(B:B,bron[[#This Row],[volledige naam]])</f>
        <v>4</v>
      </c>
    </row>
    <row r="844" spans="1:28" x14ac:dyDescent="0.25">
      <c r="A844" s="39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3483</v>
      </c>
      <c r="V844" s="26">
        <v>1</v>
      </c>
      <c r="W844" s="26"/>
      <c r="X844" t="s">
        <v>3492</v>
      </c>
      <c r="Y844" t="s">
        <v>3484</v>
      </c>
      <c r="Z844" s="2">
        <v>550311</v>
      </c>
      <c r="AA844" s="31" t="s">
        <v>3538</v>
      </c>
      <c r="AB844">
        <f ca="1">COUNTIF(B:B,bron[[#This Row],[volledige naam]])</f>
        <v>4</v>
      </c>
    </row>
    <row r="845" spans="1:28" x14ac:dyDescent="0.25">
      <c r="A845" s="39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3476</v>
      </c>
      <c r="V845" s="26">
        <v>1</v>
      </c>
      <c r="W845" s="26"/>
      <c r="X845" t="s">
        <v>3491</v>
      </c>
      <c r="Y845" t="s">
        <v>3477</v>
      </c>
      <c r="Z845" s="2">
        <v>5324</v>
      </c>
      <c r="AA845" s="31" t="s">
        <v>3538</v>
      </c>
      <c r="AB845">
        <f ca="1">COUNTIF(B:B,bron[[#This Row],[volledige naam]])</f>
        <v>1</v>
      </c>
    </row>
    <row r="846" spans="1:28" x14ac:dyDescent="0.25">
      <c r="A846" s="39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3489</v>
      </c>
      <c r="V846" s="26"/>
      <c r="W846" s="26">
        <v>1</v>
      </c>
      <c r="X846" t="s">
        <v>3527</v>
      </c>
      <c r="Y846" t="s">
        <v>3490</v>
      </c>
      <c r="Z846" s="2">
        <v>6319</v>
      </c>
      <c r="AA846" s="32" t="s">
        <v>3538</v>
      </c>
      <c r="AB846">
        <f ca="1">COUNTIF(B:B,bron[[#This Row],[volledige naam]])</f>
        <v>3</v>
      </c>
    </row>
    <row r="847" spans="1:28" x14ac:dyDescent="0.25">
      <c r="A847" s="39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3478</v>
      </c>
      <c r="V847" s="26"/>
      <c r="W847" s="26">
        <v>1</v>
      </c>
      <c r="X847" t="s">
        <v>3527</v>
      </c>
      <c r="Y847" t="s">
        <v>2</v>
      </c>
      <c r="Z847" s="2">
        <v>6316</v>
      </c>
      <c r="AA847" s="32" t="s">
        <v>3538</v>
      </c>
      <c r="AB847">
        <f ca="1">COUNTIF(B:B,bron[[#This Row],[volledige naam]])</f>
        <v>2</v>
      </c>
    </row>
    <row r="848" spans="1:28" x14ac:dyDescent="0.25">
      <c r="A848" s="39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3480</v>
      </c>
      <c r="V848" s="26">
        <v>1</v>
      </c>
      <c r="W848" s="26"/>
      <c r="X848" t="s">
        <v>3492</v>
      </c>
      <c r="Y848" t="s">
        <v>6</v>
      </c>
      <c r="Z848" s="2">
        <v>2548</v>
      </c>
      <c r="AA848" s="31" t="s">
        <v>3538</v>
      </c>
      <c r="AB848">
        <f ca="1">COUNTIF(B:B,bron[[#This Row],[volledige naam]])</f>
        <v>1</v>
      </c>
    </row>
    <row r="849" spans="1:28" x14ac:dyDescent="0.25">
      <c r="A849" s="3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3481</v>
      </c>
      <c r="V849" s="26">
        <v>1</v>
      </c>
      <c r="W849" s="26"/>
      <c r="X849" t="s">
        <v>3492</v>
      </c>
      <c r="Y849" t="s">
        <v>3482</v>
      </c>
      <c r="Z849" s="2">
        <v>5931</v>
      </c>
      <c r="AA849" s="31" t="s">
        <v>3538</v>
      </c>
      <c r="AB849">
        <f ca="1">COUNTIF(B:B,bron[[#This Row],[volledige naam]])</f>
        <v>2</v>
      </c>
    </row>
    <row r="850" spans="1:28" x14ac:dyDescent="0.25">
      <c r="A850" s="39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3526</v>
      </c>
      <c r="V850" s="26">
        <v>1</v>
      </c>
      <c r="W850" s="26"/>
      <c r="X850" t="s">
        <v>3493</v>
      </c>
      <c r="Y850" t="s">
        <v>8</v>
      </c>
      <c r="Z850" s="2">
        <v>5259</v>
      </c>
      <c r="AA850" s="31" t="s">
        <v>3538</v>
      </c>
      <c r="AB850">
        <f ca="1">COUNTIF(B:B,bron[[#This Row],[volledige naam]])</f>
        <v>2</v>
      </c>
    </row>
    <row r="851" spans="1:28" x14ac:dyDescent="0.25">
      <c r="A851" s="39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3485</v>
      </c>
      <c r="V851" s="26"/>
      <c r="W851" s="26">
        <v>1</v>
      </c>
      <c r="X851" t="s">
        <v>3527</v>
      </c>
      <c r="Y851" t="s">
        <v>58</v>
      </c>
      <c r="Z851" s="2">
        <v>6331</v>
      </c>
      <c r="AA851" s="32" t="s">
        <v>3538</v>
      </c>
      <c r="AB851">
        <f ca="1">COUNTIF(B:B,bron[[#This Row],[volledige naam]])</f>
        <v>6</v>
      </c>
    </row>
    <row r="852" spans="1:28" x14ac:dyDescent="0.25">
      <c r="A852" s="39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3486</v>
      </c>
      <c r="V852" s="26">
        <v>1</v>
      </c>
      <c r="W852" s="26"/>
      <c r="X852" t="s">
        <v>3491</v>
      </c>
      <c r="Y852" t="s">
        <v>100</v>
      </c>
      <c r="Z852" s="2">
        <v>5042</v>
      </c>
      <c r="AA852" s="31" t="s">
        <v>3538</v>
      </c>
      <c r="AB852">
        <f ca="1">COUNTIF(B:B,bron[[#This Row],[volledige naam]])</f>
        <v>2</v>
      </c>
    </row>
    <row r="853" spans="1:28" x14ac:dyDescent="0.25">
      <c r="A853" s="39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3536</v>
      </c>
      <c r="V853" s="26">
        <v>1</v>
      </c>
      <c r="W853" s="26"/>
      <c r="X853" t="s">
        <v>3492</v>
      </c>
      <c r="Y853" t="s">
        <v>3537</v>
      </c>
      <c r="Z853" s="2">
        <v>4678</v>
      </c>
      <c r="AA853" s="32" t="s">
        <v>3538</v>
      </c>
      <c r="AB853">
        <f ca="1">COUNTIF(B:B,bron[[#This Row],[volledige naam]])</f>
        <v>1</v>
      </c>
    </row>
    <row r="854" spans="1:28" x14ac:dyDescent="0.25">
      <c r="A854" s="39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3487</v>
      </c>
      <c r="V854" s="26"/>
      <c r="W854" s="26">
        <v>1</v>
      </c>
      <c r="X854" t="s">
        <v>3528</v>
      </c>
      <c r="Y854" t="s">
        <v>3488</v>
      </c>
      <c r="Z854" s="2">
        <v>6369</v>
      </c>
      <c r="AA854" s="32" t="s">
        <v>3538</v>
      </c>
      <c r="AB854">
        <f ca="1">COUNTIF(B:B,bron[[#This Row],[volledige naam]])</f>
        <v>6</v>
      </c>
    </row>
    <row r="855" spans="1:28" x14ac:dyDescent="0.25">
      <c r="A855" s="39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3626</v>
      </c>
      <c r="V855" s="26"/>
      <c r="W855" s="26"/>
      <c r="X855" t="s">
        <v>3527</v>
      </c>
      <c r="Y855" t="s">
        <v>604</v>
      </c>
      <c r="Z855" s="2">
        <v>6312</v>
      </c>
      <c r="AA855" s="32" t="s">
        <v>3538</v>
      </c>
      <c r="AB855">
        <f ca="1">COUNTIF(B:B,bron[[#This Row],[volledige naam]])</f>
        <v>1</v>
      </c>
    </row>
    <row r="856" spans="1:28" x14ac:dyDescent="0.25">
      <c r="A856" s="39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3541</v>
      </c>
      <c r="V856" s="26">
        <v>1</v>
      </c>
      <c r="W856" s="26"/>
      <c r="X856" t="s">
        <v>3493</v>
      </c>
      <c r="Y856" t="s">
        <v>32</v>
      </c>
      <c r="Z856" s="2">
        <v>5265</v>
      </c>
      <c r="AA856" s="32" t="s">
        <v>3538</v>
      </c>
      <c r="AB856">
        <f ca="1">COUNTIF(B:B,bron[[#This Row],[volledige naam]])</f>
        <v>1</v>
      </c>
    </row>
    <row r="857" spans="1:28" x14ac:dyDescent="0.25">
      <c r="A857" s="39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3546</v>
      </c>
      <c r="V857" s="26">
        <v>1</v>
      </c>
      <c r="W857" s="26"/>
      <c r="X857" t="s">
        <v>3493</v>
      </c>
      <c r="Y857" t="s">
        <v>81</v>
      </c>
      <c r="Z857" s="2">
        <v>2193</v>
      </c>
      <c r="AA857" s="32" t="s">
        <v>3538</v>
      </c>
      <c r="AB857">
        <f ca="1">COUNTIF(B:B,bron[[#This Row],[volledige naam]])</f>
        <v>1</v>
      </c>
    </row>
    <row r="858" spans="1:28" x14ac:dyDescent="0.25">
      <c r="A858" s="39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3529</v>
      </c>
      <c r="V858" s="26"/>
      <c r="W858" s="26">
        <v>1</v>
      </c>
      <c r="X858" t="s">
        <v>3528</v>
      </c>
      <c r="Y858" t="s">
        <v>3530</v>
      </c>
      <c r="Z858" s="2">
        <v>6374</v>
      </c>
      <c r="AA858" s="32" t="s">
        <v>3539</v>
      </c>
      <c r="AB858">
        <f ca="1">COUNTIF(B:B,bron[[#This Row],[volledige naam]])</f>
        <v>1</v>
      </c>
    </row>
    <row r="859" spans="1:28" x14ac:dyDescent="0.25">
      <c r="A859" s="3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3531</v>
      </c>
      <c r="V859" s="26">
        <v>1</v>
      </c>
      <c r="W859" s="26"/>
      <c r="X859" t="s">
        <v>3491</v>
      </c>
      <c r="Y859" t="s">
        <v>16</v>
      </c>
      <c r="Z859" s="2">
        <v>5237</v>
      </c>
      <c r="AA859" s="31" t="s">
        <v>3538</v>
      </c>
      <c r="AB859">
        <f ca="1">COUNTIF(B:B,bron[[#This Row],[volledige naam]])</f>
        <v>1</v>
      </c>
    </row>
    <row r="860" spans="1:28" x14ac:dyDescent="0.25">
      <c r="A860" s="39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3533</v>
      </c>
      <c r="V860" s="26">
        <v>1</v>
      </c>
      <c r="W860" s="26"/>
      <c r="X860" t="s">
        <v>3492</v>
      </c>
      <c r="Y860" t="s">
        <v>34</v>
      </c>
      <c r="Z860" s="2">
        <v>5763</v>
      </c>
      <c r="AA860" s="31" t="s">
        <v>3538</v>
      </c>
      <c r="AB860">
        <f ca="1">COUNTIF(B:B,bron[[#This Row],[volledige naam]])</f>
        <v>2</v>
      </c>
    </row>
    <row r="861" spans="1:28" x14ac:dyDescent="0.25">
      <c r="A861" s="39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3532</v>
      </c>
      <c r="V861" s="26">
        <v>1</v>
      </c>
      <c r="W861" s="26"/>
      <c r="X861" t="s">
        <v>3492</v>
      </c>
      <c r="Y861" t="s">
        <v>3530</v>
      </c>
      <c r="Z861" s="2">
        <v>5488</v>
      </c>
      <c r="AA861" s="31" t="s">
        <v>3538</v>
      </c>
      <c r="AB861">
        <f ca="1">COUNTIF(B:B,bron[[#This Row],[volledige naam]])</f>
        <v>3</v>
      </c>
    </row>
    <row r="862" spans="1:28" x14ac:dyDescent="0.25">
      <c r="A862" s="39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3535</v>
      </c>
      <c r="V862" s="26"/>
      <c r="W862" s="26">
        <v>1</v>
      </c>
      <c r="X862" t="s">
        <v>3527</v>
      </c>
      <c r="Y862" t="s">
        <v>1293</v>
      </c>
      <c r="Z862" s="2">
        <v>6334</v>
      </c>
      <c r="AA862" s="31" t="s">
        <v>3539</v>
      </c>
      <c r="AB862">
        <f ca="1">COUNTIF(B:B,bron[[#This Row],[volledige naam]])</f>
        <v>4</v>
      </c>
    </row>
    <row r="863" spans="1:28" x14ac:dyDescent="0.25">
      <c r="A863" s="39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3542</v>
      </c>
      <c r="V863" s="26"/>
      <c r="W863" s="26"/>
      <c r="X863" t="s">
        <v>3492</v>
      </c>
      <c r="Y863" t="s">
        <v>3543</v>
      </c>
      <c r="Z863" s="2">
        <v>5913</v>
      </c>
      <c r="AA863" s="32" t="s">
        <v>3538</v>
      </c>
      <c r="AB863">
        <f ca="1">COUNTIF(B:B,bron[[#This Row],[volledige naam]])</f>
        <v>1</v>
      </c>
    </row>
    <row r="864" spans="1:28" x14ac:dyDescent="0.25">
      <c r="A864" s="39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3604</v>
      </c>
      <c r="V864" s="26"/>
      <c r="W864" s="26"/>
      <c r="X864" t="s">
        <v>3492</v>
      </c>
      <c r="Y864" t="s">
        <v>18</v>
      </c>
      <c r="Z864" s="2">
        <v>5488</v>
      </c>
      <c r="AA864" s="32" t="s">
        <v>3538</v>
      </c>
      <c r="AB864">
        <f ca="1">COUNTIF(B:B,bron[[#This Row],[volledige naam]])</f>
        <v>1</v>
      </c>
    </row>
    <row r="865" spans="1:28" x14ac:dyDescent="0.25">
      <c r="A865" s="39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3603</v>
      </c>
      <c r="V865" s="26">
        <v>1</v>
      </c>
      <c r="W865" s="26"/>
      <c r="X865" t="s">
        <v>3492</v>
      </c>
      <c r="Y865" t="s">
        <v>514</v>
      </c>
      <c r="Z865" s="2">
        <v>5488</v>
      </c>
      <c r="AA865" s="32" t="s">
        <v>3539</v>
      </c>
      <c r="AB865">
        <f ca="1">COUNTIF(B:B,bron[[#This Row],[volledige naam]])</f>
        <v>2</v>
      </c>
    </row>
    <row r="866" spans="1:28" x14ac:dyDescent="0.25">
      <c r="A866" s="39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3608</v>
      </c>
      <c r="V866" s="26"/>
      <c r="W866" s="26"/>
      <c r="X866" t="s">
        <v>3492</v>
      </c>
      <c r="Y866" t="s">
        <v>67</v>
      </c>
      <c r="Z866" s="2">
        <v>5923</v>
      </c>
      <c r="AA866" s="32" t="s">
        <v>3538</v>
      </c>
      <c r="AB866">
        <f ca="1">COUNTIF(B:B,bron[[#This Row],[volledige naam]])</f>
        <v>5</v>
      </c>
    </row>
    <row r="867" spans="1:28" x14ac:dyDescent="0.25">
      <c r="A867" s="39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3605</v>
      </c>
      <c r="V867" s="26"/>
      <c r="W867" s="26"/>
      <c r="X867" t="s">
        <v>3492</v>
      </c>
      <c r="Y867" t="s">
        <v>3606</v>
      </c>
      <c r="Z867" s="2">
        <v>2047</v>
      </c>
      <c r="AA867" s="32" t="s">
        <v>3538</v>
      </c>
      <c r="AB867">
        <f ca="1">COUNTIF(B:B,bron[[#This Row],[volledige naam]])</f>
        <v>5</v>
      </c>
    </row>
    <row r="868" spans="1:28" x14ac:dyDescent="0.25">
      <c r="A868" s="39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3607</v>
      </c>
      <c r="V868" s="26"/>
      <c r="W868" s="26"/>
      <c r="X868" t="s">
        <v>3528</v>
      </c>
      <c r="Y868" t="s">
        <v>2</v>
      </c>
      <c r="Z868" s="2">
        <v>6375</v>
      </c>
      <c r="AA868" s="32" t="s">
        <v>3538</v>
      </c>
      <c r="AB868">
        <f ca="1">COUNTIF(B:B,bron[[#This Row],[volledige naam]])</f>
        <v>3</v>
      </c>
    </row>
    <row r="869" spans="1:28" x14ac:dyDescent="0.25">
      <c r="A869" s="3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3609</v>
      </c>
      <c r="V869" s="26"/>
      <c r="W869" s="26"/>
      <c r="X869" t="s">
        <v>3493</v>
      </c>
      <c r="Y869" t="s">
        <v>3610</v>
      </c>
      <c r="Z869" s="2">
        <v>5225</v>
      </c>
      <c r="AA869" s="32" t="s">
        <v>3611</v>
      </c>
      <c r="AB869">
        <f ca="1">COUNTIF(B:B,bron[[#This Row],[volledige naam]])</f>
        <v>2</v>
      </c>
    </row>
    <row r="870" spans="1:28" x14ac:dyDescent="0.25">
      <c r="A870" s="39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3612</v>
      </c>
      <c r="V870" s="26"/>
      <c r="W870" s="26"/>
      <c r="X870" t="s">
        <v>3492</v>
      </c>
      <c r="Y870" t="s">
        <v>26</v>
      </c>
      <c r="Z870" s="2">
        <v>2047</v>
      </c>
      <c r="AA870" s="32" t="s">
        <v>3538</v>
      </c>
      <c r="AB870">
        <f ca="1">COUNTIF(B:B,bron[[#This Row],[volledige naam]])</f>
        <v>5</v>
      </c>
    </row>
    <row r="871" spans="1:28" x14ac:dyDescent="0.25">
      <c r="A871" s="39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3614</v>
      </c>
      <c r="V871" s="26"/>
      <c r="W871" s="26"/>
      <c r="X871" t="s">
        <v>3527</v>
      </c>
      <c r="Y871" t="s">
        <v>58</v>
      </c>
      <c r="Z871" s="2">
        <v>6328</v>
      </c>
      <c r="AA871" s="32" t="s">
        <v>3539</v>
      </c>
      <c r="AB871">
        <f ca="1">COUNTIF(B:B,bron[[#This Row],[volledige naam]])</f>
        <v>6</v>
      </c>
    </row>
    <row r="872" spans="1:28" x14ac:dyDescent="0.25">
      <c r="A872" s="39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3613</v>
      </c>
      <c r="V872" s="26"/>
      <c r="W872" s="26"/>
      <c r="X872" t="s">
        <v>3492</v>
      </c>
      <c r="Y872" t="s">
        <v>3606</v>
      </c>
      <c r="Z872" s="2">
        <v>2085</v>
      </c>
      <c r="AA872" s="32" t="s">
        <v>3538</v>
      </c>
      <c r="AB872">
        <f ca="1">COUNTIF(B:B,bron[[#This Row],[volledige naam]])</f>
        <v>3</v>
      </c>
    </row>
    <row r="873" spans="1:28" x14ac:dyDescent="0.25">
      <c r="A873" s="39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3615</v>
      </c>
      <c r="V873" s="26"/>
      <c r="W873" s="26"/>
      <c r="X873" t="s">
        <v>3492</v>
      </c>
      <c r="Y873" t="s">
        <v>3616</v>
      </c>
      <c r="Z873" s="2">
        <v>5922</v>
      </c>
      <c r="AA873" s="32" t="s">
        <v>3539</v>
      </c>
      <c r="AB873">
        <f ca="1">COUNTIF(B:B,bron[[#This Row],[volledige naam]])</f>
        <v>1</v>
      </c>
    </row>
    <row r="874" spans="1:28" x14ac:dyDescent="0.25">
      <c r="A874" s="39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3619</v>
      </c>
      <c r="V874" s="26"/>
      <c r="W874" s="26"/>
      <c r="X874" t="s">
        <v>3493</v>
      </c>
      <c r="Y874" t="s">
        <v>94</v>
      </c>
      <c r="Z874" s="2">
        <v>2190</v>
      </c>
      <c r="AA874" s="32" t="s">
        <v>3538</v>
      </c>
      <c r="AB874">
        <f ca="1">COUNTIF(B:B,bron[[#This Row],[volledige naam]])</f>
        <v>10</v>
      </c>
    </row>
    <row r="875" spans="1:28" x14ac:dyDescent="0.25">
      <c r="A875" s="39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3622</v>
      </c>
      <c r="V875" s="26"/>
      <c r="W875" s="26"/>
      <c r="X875" t="s">
        <v>3492</v>
      </c>
      <c r="Y875" t="s">
        <v>589</v>
      </c>
      <c r="Z875" s="2">
        <v>5768</v>
      </c>
      <c r="AA875" s="32" t="s">
        <v>3538</v>
      </c>
      <c r="AB875">
        <f ca="1">COUNTIF(B:B,bron[[#This Row],[volledige naam]])</f>
        <v>2</v>
      </c>
    </row>
    <row r="876" spans="1:28" x14ac:dyDescent="0.25">
      <c r="A876" s="39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3617</v>
      </c>
      <c r="V876" s="26"/>
      <c r="W876" s="26"/>
      <c r="X876" t="s">
        <v>3492</v>
      </c>
      <c r="Y876" t="s">
        <v>1304</v>
      </c>
      <c r="Z876" s="2">
        <v>5938</v>
      </c>
      <c r="AA876" s="32" t="s">
        <v>3539</v>
      </c>
      <c r="AB876">
        <f ca="1">COUNTIF(B:B,bron[[#This Row],[volledige naam]])</f>
        <v>10</v>
      </c>
    </row>
    <row r="877" spans="1:28" x14ac:dyDescent="0.25">
      <c r="A877" s="39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3624</v>
      </c>
      <c r="V877" s="26"/>
      <c r="W877" s="26"/>
      <c r="X877" t="s">
        <v>3493</v>
      </c>
      <c r="Y877" t="s">
        <v>81</v>
      </c>
      <c r="Z877" s="2">
        <v>2201</v>
      </c>
      <c r="AA877" s="32" t="s">
        <v>3539</v>
      </c>
      <c r="AB877">
        <f ca="1">COUNTIF(B:B,bron[[#This Row],[volledige naam]])</f>
        <v>7</v>
      </c>
    </row>
    <row r="878" spans="1:28" x14ac:dyDescent="0.25">
      <c r="A878" s="39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3618</v>
      </c>
      <c r="V878" s="26"/>
      <c r="W878" s="26"/>
      <c r="X878" t="s">
        <v>3492</v>
      </c>
      <c r="Y878" t="s">
        <v>10</v>
      </c>
      <c r="Z878" s="2">
        <v>5773</v>
      </c>
      <c r="AA878" s="32" t="s">
        <v>3538</v>
      </c>
      <c r="AB878">
        <f ca="1">COUNTIF(B:B,bron[[#This Row],[volledige naam]])</f>
        <v>3</v>
      </c>
    </row>
    <row r="879" spans="1:28" x14ac:dyDescent="0.25">
      <c r="A879" s="3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3620</v>
      </c>
      <c r="V879" s="26"/>
      <c r="W879" s="26"/>
      <c r="X879" t="s">
        <v>3492</v>
      </c>
      <c r="Y879" t="s">
        <v>20</v>
      </c>
      <c r="Z879" s="2">
        <v>5910</v>
      </c>
      <c r="AA879" s="32" t="s">
        <v>3538</v>
      </c>
      <c r="AB879">
        <f ca="1">COUNTIF(B:B,bron[[#This Row],[volledige naam]])</f>
        <v>2</v>
      </c>
    </row>
    <row r="880" spans="1:28" x14ac:dyDescent="0.25">
      <c r="A880" s="39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3621</v>
      </c>
      <c r="V880" s="26"/>
      <c r="W880" s="26"/>
      <c r="X880" t="s">
        <v>3492</v>
      </c>
      <c r="Y880" t="s">
        <v>1270</v>
      </c>
      <c r="Z880" s="2">
        <v>5917</v>
      </c>
      <c r="AA880" s="32" t="s">
        <v>3538</v>
      </c>
      <c r="AB880">
        <f ca="1">COUNTIF(B:B,bron[[#This Row],[volledige naam]])</f>
        <v>3</v>
      </c>
    </row>
    <row r="881" spans="1:28" x14ac:dyDescent="0.25">
      <c r="A881" s="39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3623</v>
      </c>
      <c r="V881" s="26"/>
      <c r="W881" s="26"/>
      <c r="X881" t="s">
        <v>3492</v>
      </c>
      <c r="Y881" t="s">
        <v>3482</v>
      </c>
      <c r="Z881" s="2">
        <v>5913</v>
      </c>
      <c r="AA881" s="32" t="s">
        <v>3538</v>
      </c>
      <c r="AB881">
        <f ca="1">COUNTIF(B:B,bron[[#This Row],[volledige naam]])</f>
        <v>2</v>
      </c>
    </row>
    <row r="882" spans="1:28" x14ac:dyDescent="0.25">
      <c r="A882" s="39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3627</v>
      </c>
      <c r="V882" s="26"/>
      <c r="W882" s="26"/>
      <c r="X882" t="s">
        <v>3493</v>
      </c>
      <c r="Y882" t="s">
        <v>3628</v>
      </c>
      <c r="Z882" s="2">
        <v>2191</v>
      </c>
      <c r="AA882" s="32" t="s">
        <v>3538</v>
      </c>
      <c r="AB882">
        <f ca="1">COUNTIF(B:B,bron[[#This Row],[volledige naam]])</f>
        <v>3</v>
      </c>
    </row>
    <row r="883" spans="1:28" x14ac:dyDescent="0.25">
      <c r="A883" s="39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3625</v>
      </c>
      <c r="V883" s="26"/>
      <c r="W883" s="26"/>
      <c r="X883" t="s">
        <v>3492</v>
      </c>
      <c r="Y883" t="s">
        <v>223</v>
      </c>
      <c r="Z883" s="2">
        <v>550822</v>
      </c>
      <c r="AA883" s="32" t="s">
        <v>3538</v>
      </c>
      <c r="AB883">
        <f ca="1">COUNTIF(B:B,bron[[#This Row],[volledige naam]])</f>
        <v>3</v>
      </c>
    </row>
    <row r="884" spans="1:28" x14ac:dyDescent="0.25">
      <c r="A884" s="39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3629</v>
      </c>
      <c r="V884" s="26"/>
      <c r="W884" s="26"/>
      <c r="X884" t="s">
        <v>3492</v>
      </c>
      <c r="Y884" t="s">
        <v>30</v>
      </c>
      <c r="Z884" s="2">
        <v>5486</v>
      </c>
      <c r="AA884" s="32" t="s">
        <v>3538</v>
      </c>
      <c r="AB884">
        <f ca="1">COUNTIF(B:B,bron[[#This Row],[volledige naam]])</f>
        <v>3</v>
      </c>
    </row>
    <row r="885" spans="1:28" x14ac:dyDescent="0.25">
      <c r="A885" s="39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3632</v>
      </c>
      <c r="V885" s="26"/>
      <c r="W885" s="26"/>
      <c r="X885" t="s">
        <v>3493</v>
      </c>
      <c r="Y885" t="s">
        <v>34</v>
      </c>
      <c r="Z885" s="2">
        <v>5048</v>
      </c>
      <c r="AA885" s="32" t="s">
        <v>3538</v>
      </c>
      <c r="AB885">
        <f ca="1">COUNTIF(B:B,bron[[#This Row],[volledige naam]])</f>
        <v>2</v>
      </c>
    </row>
    <row r="886" spans="1:28" x14ac:dyDescent="0.25">
      <c r="A886" s="39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3633</v>
      </c>
      <c r="V886" s="26"/>
      <c r="W886" s="26"/>
      <c r="X886" t="s">
        <v>3527</v>
      </c>
      <c r="Y886" t="s">
        <v>3634</v>
      </c>
      <c r="Z886" s="2">
        <v>6325</v>
      </c>
      <c r="AA886" s="32" t="s">
        <v>3539</v>
      </c>
      <c r="AB886">
        <f ca="1">COUNTIF(B:B,bron[[#This Row],[volledige naam]])</f>
        <v>2</v>
      </c>
    </row>
    <row r="887" spans="1:28" x14ac:dyDescent="0.25">
      <c r="A887" s="39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3636</v>
      </c>
      <c r="V887" s="26"/>
      <c r="W887" s="26"/>
      <c r="X887" t="s">
        <v>3493</v>
      </c>
      <c r="Y887" t="s">
        <v>2</v>
      </c>
      <c r="Z887" s="2">
        <v>5273</v>
      </c>
      <c r="AA887" s="32" t="s">
        <v>3538</v>
      </c>
      <c r="AB887">
        <f ca="1">COUNTIF(B:B,bron[[#This Row],[volledige naam]])</f>
        <v>1</v>
      </c>
    </row>
    <row r="888" spans="1:28" x14ac:dyDescent="0.25">
      <c r="A888" s="39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3680</v>
      </c>
      <c r="V888" s="26"/>
      <c r="W888" s="26"/>
      <c r="X888" t="s">
        <v>3492</v>
      </c>
      <c r="Y888" t="s">
        <v>6</v>
      </c>
      <c r="Z888" s="2">
        <v>5765</v>
      </c>
      <c r="AA888" s="32" t="s">
        <v>3538</v>
      </c>
      <c r="AB888">
        <f ca="1">COUNTIF(B:B,bron[[#This Row],[volledige naam]])</f>
        <v>1</v>
      </c>
    </row>
    <row r="889" spans="1:28" x14ac:dyDescent="0.25">
      <c r="A889" s="3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3681</v>
      </c>
      <c r="V889" s="26"/>
      <c r="W889" s="26"/>
      <c r="X889" t="s">
        <v>3493</v>
      </c>
      <c r="Y889" t="s">
        <v>144</v>
      </c>
      <c r="Z889" s="2">
        <v>5265</v>
      </c>
      <c r="AA889" s="32" t="s">
        <v>3538</v>
      </c>
      <c r="AB889">
        <f ca="1">COUNTIF(B:B,bron[[#This Row],[volledige naam]])</f>
        <v>3</v>
      </c>
    </row>
    <row r="890" spans="1:28" x14ac:dyDescent="0.25">
      <c r="A890" s="39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3681</v>
      </c>
      <c r="V890" s="26"/>
      <c r="W890" s="26"/>
      <c r="X890" t="s">
        <v>3493</v>
      </c>
      <c r="Y890" t="s">
        <v>144</v>
      </c>
      <c r="Z890" s="2">
        <v>5263</v>
      </c>
      <c r="AA890" s="32" t="s">
        <v>3538</v>
      </c>
      <c r="AB890">
        <f ca="1">COUNTIF(B:B,bron[[#This Row],[volledige naam]])</f>
        <v>2</v>
      </c>
    </row>
    <row r="891" spans="1:28" x14ac:dyDescent="0.25">
      <c r="A891" s="39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3682</v>
      </c>
      <c r="V891" s="26"/>
      <c r="W891" s="26"/>
      <c r="X891" t="s">
        <v>3493</v>
      </c>
      <c r="Y891" t="s">
        <v>34</v>
      </c>
      <c r="Z891" s="2">
        <v>5042</v>
      </c>
      <c r="AA891" s="32" t="s">
        <v>3538</v>
      </c>
      <c r="AB891">
        <f ca="1">COUNTIF(B:B,bron[[#This Row],[volledige naam]])</f>
        <v>3</v>
      </c>
    </row>
    <row r="892" spans="1:28" x14ac:dyDescent="0.25">
      <c r="A892" s="39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3635</v>
      </c>
      <c r="V892" s="26"/>
      <c r="W892" s="26"/>
      <c r="X892" t="s">
        <v>3492</v>
      </c>
      <c r="Y892" t="s">
        <v>559</v>
      </c>
      <c r="Z892" s="2">
        <v>2548</v>
      </c>
      <c r="AA892" s="32" t="s">
        <v>3538</v>
      </c>
      <c r="AB892">
        <f ca="1">COUNTIF(B:B,bron[[#This Row],[volledige naam]])</f>
        <v>2</v>
      </c>
    </row>
    <row r="893" spans="1:28" x14ac:dyDescent="0.25">
      <c r="A893" s="39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3637</v>
      </c>
      <c r="V893" s="26"/>
      <c r="W893" s="26"/>
      <c r="X893" t="s">
        <v>3493</v>
      </c>
      <c r="Y893" t="s">
        <v>3638</v>
      </c>
      <c r="Z893" s="2">
        <v>5044</v>
      </c>
      <c r="AA893" s="32" t="s">
        <v>3538</v>
      </c>
      <c r="AB893">
        <f ca="1">COUNTIF(B:B,bron[[#This Row],[volledige naam]])</f>
        <v>1</v>
      </c>
    </row>
    <row r="894" spans="1:28" x14ac:dyDescent="0.25">
      <c r="A894" s="39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3685</v>
      </c>
      <c r="V894" s="26"/>
      <c r="W894" s="26"/>
      <c r="X894" t="s">
        <v>3527</v>
      </c>
      <c r="Y894" t="s">
        <v>150</v>
      </c>
      <c r="Z894" s="2">
        <v>6315</v>
      </c>
      <c r="AA894" s="32" t="s">
        <v>3538</v>
      </c>
      <c r="AB894">
        <f ca="1">COUNTIF(B:B,bron[[#This Row],[volledige naam]])</f>
        <v>2</v>
      </c>
    </row>
    <row r="895" spans="1:28" x14ac:dyDescent="0.25">
      <c r="A895" s="39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3688</v>
      </c>
      <c r="V895" s="26"/>
      <c r="W895" s="26"/>
      <c r="X895" t="s">
        <v>3493</v>
      </c>
      <c r="Y895" t="s">
        <v>26</v>
      </c>
      <c r="Z895" s="2">
        <v>2196</v>
      </c>
      <c r="AA895" s="32" t="s">
        <v>3538</v>
      </c>
      <c r="AB895">
        <f ca="1">COUNTIF(B:B,bron[[#This Row],[volledige naam]])</f>
        <v>3</v>
      </c>
    </row>
    <row r="896" spans="1:28" x14ac:dyDescent="0.25">
      <c r="A896" s="39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3690</v>
      </c>
      <c r="V896" s="26"/>
      <c r="W896" s="26"/>
      <c r="X896" t="s">
        <v>3493</v>
      </c>
      <c r="Y896" t="s">
        <v>16</v>
      </c>
      <c r="Z896" s="2">
        <v>5052</v>
      </c>
      <c r="AA896" s="32" t="s">
        <v>3538</v>
      </c>
      <c r="AB896">
        <f ca="1">COUNTIF(B:B,bron[[#This Row],[volledige naam]])</f>
        <v>2</v>
      </c>
    </row>
    <row r="897" spans="1:28" x14ac:dyDescent="0.25">
      <c r="A897" s="39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3692</v>
      </c>
      <c r="V897" s="26"/>
      <c r="W897" s="26"/>
      <c r="X897" t="s">
        <v>3492</v>
      </c>
      <c r="Y897" t="s">
        <v>30</v>
      </c>
      <c r="Z897" s="2">
        <v>5487</v>
      </c>
      <c r="AA897" s="32" t="s">
        <v>3538</v>
      </c>
      <c r="AB897">
        <f ca="1">COUNTIF(B:B,bron[[#This Row],[volledige naam]])</f>
        <v>2</v>
      </c>
    </row>
    <row r="898" spans="1:28" x14ac:dyDescent="0.25">
      <c r="A898" s="39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3684</v>
      </c>
      <c r="V898" s="26"/>
      <c r="W898" s="26"/>
      <c r="X898" t="s">
        <v>3492</v>
      </c>
      <c r="Y898" t="s">
        <v>37</v>
      </c>
      <c r="Z898" s="2">
        <v>5771</v>
      </c>
      <c r="AA898" s="32" t="s">
        <v>3538</v>
      </c>
      <c r="AB898">
        <f ca="1">COUNTIF(B:B,bron[[#This Row],[volledige naam]])</f>
        <v>1</v>
      </c>
    </row>
    <row r="899" spans="1:28" x14ac:dyDescent="0.25">
      <c r="A899" s="3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3686</v>
      </c>
      <c r="V899" s="26"/>
      <c r="W899" s="26"/>
      <c r="X899" t="s">
        <v>3493</v>
      </c>
      <c r="Y899" t="s">
        <v>3687</v>
      </c>
      <c r="Z899" s="2">
        <v>5328</v>
      </c>
      <c r="AA899" s="32" t="s">
        <v>3538</v>
      </c>
      <c r="AB899">
        <f ca="1">COUNTIF(B:B,bron[[#This Row],[volledige naam]])</f>
        <v>1</v>
      </c>
    </row>
    <row r="900" spans="1:28" x14ac:dyDescent="0.25">
      <c r="A900" s="39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3689</v>
      </c>
      <c r="V900" s="26"/>
      <c r="W900" s="26"/>
      <c r="X900" t="s">
        <v>3493</v>
      </c>
      <c r="Y900" t="s">
        <v>221</v>
      </c>
      <c r="Z900" s="2">
        <v>2189</v>
      </c>
      <c r="AA900" s="32" t="s">
        <v>3538</v>
      </c>
      <c r="AB900">
        <f ca="1">COUNTIF(B:B,bron[[#This Row],[volledige naam]])</f>
        <v>3</v>
      </c>
    </row>
    <row r="901" spans="1:28" x14ac:dyDescent="0.25">
      <c r="A901" s="39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3702</v>
      </c>
      <c r="V901" s="26"/>
      <c r="W901" s="26"/>
      <c r="X901" t="s">
        <v>3492</v>
      </c>
      <c r="Y901" t="s">
        <v>3703</v>
      </c>
      <c r="Z901" s="2">
        <v>5770</v>
      </c>
      <c r="AA901" s="32" t="s">
        <v>3538</v>
      </c>
      <c r="AB901">
        <f ca="1">COUNTIF(B:B,bron[[#This Row],[volledige naam]])</f>
        <v>2</v>
      </c>
    </row>
    <row r="902" spans="1:28" x14ac:dyDescent="0.25">
      <c r="A902" s="39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3696</v>
      </c>
      <c r="V902" s="26"/>
      <c r="W902" s="26"/>
      <c r="X902" t="s">
        <v>3493</v>
      </c>
      <c r="Y902" t="s">
        <v>217</v>
      </c>
      <c r="Z902" s="2">
        <v>5041</v>
      </c>
      <c r="AA902" s="32" t="s">
        <v>3539</v>
      </c>
      <c r="AB902">
        <f ca="1">COUNTIF(B:B,bron[[#This Row],[volledige naam]])</f>
        <v>10</v>
      </c>
    </row>
    <row r="903" spans="1:28" x14ac:dyDescent="0.25">
      <c r="A903" s="39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3693</v>
      </c>
      <c r="V903" s="26"/>
      <c r="W903" s="26"/>
      <c r="X903" t="s">
        <v>3493</v>
      </c>
      <c r="Y903" t="s">
        <v>12</v>
      </c>
      <c r="Z903" s="2">
        <v>2195</v>
      </c>
      <c r="AA903" s="32" t="s">
        <v>3539</v>
      </c>
      <c r="AB903">
        <f ca="1">COUNTIF(B:B,bron[[#This Row],[volledige naam]])</f>
        <v>9</v>
      </c>
    </row>
    <row r="904" spans="1:28" x14ac:dyDescent="0.25">
      <c r="A904" s="39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3699</v>
      </c>
      <c r="V904" s="26"/>
      <c r="W904" s="26"/>
      <c r="X904" t="s">
        <v>3493</v>
      </c>
      <c r="Y904" t="s">
        <v>16</v>
      </c>
      <c r="Z904" s="2">
        <v>5235</v>
      </c>
      <c r="AA904" s="32" t="s">
        <v>3538</v>
      </c>
      <c r="AB904">
        <f ca="1">COUNTIF(B:B,bron[[#This Row],[volledige naam]])</f>
        <v>1</v>
      </c>
    </row>
    <row r="905" spans="1:28" x14ac:dyDescent="0.25">
      <c r="A905" s="39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3691</v>
      </c>
      <c r="V905" s="26"/>
      <c r="W905" s="26"/>
      <c r="X905" t="s">
        <v>3493</v>
      </c>
      <c r="Y905" t="s">
        <v>3638</v>
      </c>
      <c r="Z905" s="2">
        <v>5237</v>
      </c>
      <c r="AA905" s="32" t="s">
        <v>3611</v>
      </c>
      <c r="AB905">
        <f ca="1">COUNTIF(B:B,bron[[#This Row],[volledige naam]])</f>
        <v>2</v>
      </c>
    </row>
    <row r="906" spans="1:28" x14ac:dyDescent="0.25">
      <c r="A906" s="39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3694</v>
      </c>
      <c r="V906" s="26"/>
      <c r="W906" s="26"/>
      <c r="X906" t="s">
        <v>3528</v>
      </c>
      <c r="Y906" t="s">
        <v>468</v>
      </c>
      <c r="Z906" s="2">
        <v>6362</v>
      </c>
      <c r="AA906" s="32" t="s">
        <v>3538</v>
      </c>
      <c r="AB906">
        <f ca="1">COUNTIF(B:B,bron[[#This Row],[volledige naam]])</f>
        <v>1</v>
      </c>
    </row>
    <row r="907" spans="1:28" x14ac:dyDescent="0.25">
      <c r="A907" s="39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3710</v>
      </c>
      <c r="V907" s="26"/>
      <c r="W907" s="26"/>
      <c r="X907" t="s">
        <v>3493</v>
      </c>
      <c r="Y907" t="s">
        <v>644</v>
      </c>
      <c r="Z907" s="2">
        <v>5047</v>
      </c>
      <c r="AA907" s="32" t="s">
        <v>3538</v>
      </c>
      <c r="AB907">
        <f ca="1">COUNTIF(B:B,bron[[#This Row],[volledige naam]])</f>
        <v>3</v>
      </c>
    </row>
    <row r="908" spans="1:28" x14ac:dyDescent="0.25">
      <c r="A908" s="39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3712</v>
      </c>
      <c r="V908" s="26"/>
      <c r="W908" s="26"/>
      <c r="X908" t="s">
        <v>3527</v>
      </c>
      <c r="Y908" t="s">
        <v>2</v>
      </c>
      <c r="Z908" s="2">
        <v>6329</v>
      </c>
      <c r="AA908" s="32" t="s">
        <v>3538</v>
      </c>
      <c r="AB908">
        <f ca="1">COUNTIF(B:B,bron[[#This Row],[volledige naam]])</f>
        <v>1</v>
      </c>
    </row>
    <row r="909" spans="1:28" x14ac:dyDescent="0.25">
      <c r="A909" s="39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3771</v>
      </c>
      <c r="V909" s="26"/>
      <c r="W909" s="26"/>
      <c r="X909" t="s">
        <v>3492</v>
      </c>
      <c r="Y909" t="s">
        <v>709</v>
      </c>
      <c r="Z909" s="2">
        <v>5772</v>
      </c>
      <c r="AA909" s="32" t="s">
        <v>3538</v>
      </c>
      <c r="AB909">
        <f ca="1">COUNTIF(B:B,bron[[#This Row],[volledige naam]])</f>
        <v>3</v>
      </c>
    </row>
    <row r="910" spans="1:28" x14ac:dyDescent="0.25">
      <c r="A910" s="39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3697</v>
      </c>
      <c r="V910" s="26"/>
      <c r="W910" s="26"/>
      <c r="X910" t="s">
        <v>3493</v>
      </c>
      <c r="Y910" t="s">
        <v>10</v>
      </c>
      <c r="Z910" s="2">
        <v>2196</v>
      </c>
      <c r="AA910" s="32" t="s">
        <v>3538</v>
      </c>
      <c r="AB910">
        <f ca="1">COUNTIF(B:B,bron[[#This Row],[volledige naam]])</f>
        <v>2</v>
      </c>
    </row>
    <row r="911" spans="1:28" x14ac:dyDescent="0.25">
      <c r="A911" s="39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3698</v>
      </c>
      <c r="V911" s="26"/>
      <c r="W911" s="26"/>
      <c r="X911" t="s">
        <v>3492</v>
      </c>
      <c r="Y911" t="s">
        <v>3543</v>
      </c>
      <c r="Z911" s="2">
        <v>5934</v>
      </c>
      <c r="AA911" s="32" t="s">
        <v>3538</v>
      </c>
      <c r="AB911">
        <f ca="1">COUNTIF(B:B,bron[[#This Row],[volledige naam]])</f>
        <v>1</v>
      </c>
    </row>
    <row r="912" spans="1:28" x14ac:dyDescent="0.25">
      <c r="A912" s="39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3695</v>
      </c>
      <c r="V912" s="26"/>
      <c r="W912" s="26"/>
      <c r="X912" t="s">
        <v>3492</v>
      </c>
      <c r="Y912" t="s">
        <v>589</v>
      </c>
      <c r="Z912" s="2">
        <v>5910</v>
      </c>
      <c r="AA912" s="32" t="s">
        <v>3539</v>
      </c>
      <c r="AB912">
        <f ca="1">COUNTIF(B:B,bron[[#This Row],[volledige naam]])</f>
        <v>5</v>
      </c>
    </row>
    <row r="913" spans="1:28" x14ac:dyDescent="0.25">
      <c r="A913" s="39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3705</v>
      </c>
      <c r="V913" s="26"/>
      <c r="W913" s="26"/>
      <c r="X913" t="s">
        <v>3492</v>
      </c>
      <c r="Y913" t="s">
        <v>188</v>
      </c>
      <c r="Z913" s="2">
        <v>5927</v>
      </c>
      <c r="AA913" s="32" t="s">
        <v>3538</v>
      </c>
      <c r="AB913">
        <f ca="1">COUNTIF(B:B,bron[[#This Row],[volledige naam]])</f>
        <v>5</v>
      </c>
    </row>
    <row r="914" spans="1:28" x14ac:dyDescent="0.25">
      <c r="A914" s="39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3725</v>
      </c>
      <c r="V914" s="26"/>
      <c r="W914" s="26"/>
      <c r="X914" t="s">
        <v>3527</v>
      </c>
      <c r="Y914" t="s">
        <v>180</v>
      </c>
      <c r="Z914" s="2">
        <v>6314</v>
      </c>
      <c r="AA914" s="32" t="s">
        <v>3538</v>
      </c>
      <c r="AB914">
        <f ca="1">COUNTIF(B:B,bron[[#This Row],[volledige naam]])</f>
        <v>1</v>
      </c>
    </row>
    <row r="915" spans="1:28" x14ac:dyDescent="0.25">
      <c r="A915" s="39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3704</v>
      </c>
      <c r="V915" s="26"/>
      <c r="W915" s="26"/>
      <c r="X915" t="s">
        <v>3492</v>
      </c>
      <c r="Y915" t="s">
        <v>67</v>
      </c>
      <c r="Z915" s="2">
        <v>550822</v>
      </c>
      <c r="AA915" s="32" t="s">
        <v>3539</v>
      </c>
      <c r="AB915">
        <f ca="1">COUNTIF(B:B,bron[[#This Row],[volledige naam]])</f>
        <v>1</v>
      </c>
    </row>
    <row r="916" spans="1:28" x14ac:dyDescent="0.25">
      <c r="A916" s="39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3700</v>
      </c>
      <c r="V916" s="26"/>
      <c r="W916" s="26"/>
      <c r="X916" t="s">
        <v>3528</v>
      </c>
      <c r="Y916" t="s">
        <v>3701</v>
      </c>
      <c r="Z916" s="2">
        <v>6366</v>
      </c>
      <c r="AA916" s="32" t="s">
        <v>3538</v>
      </c>
      <c r="AB916">
        <f ca="1">COUNTIF(B:B,bron[[#This Row],[volledige naam]])</f>
        <v>3</v>
      </c>
    </row>
    <row r="917" spans="1:28" x14ac:dyDescent="0.25">
      <c r="A917" s="39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3706</v>
      </c>
      <c r="V917" s="26"/>
      <c r="W917" s="26"/>
      <c r="X917" t="s">
        <v>3493</v>
      </c>
      <c r="Y917" t="s">
        <v>3707</v>
      </c>
      <c r="Z917" s="2">
        <v>5259</v>
      </c>
      <c r="AA917" s="32" t="s">
        <v>3539</v>
      </c>
      <c r="AB917">
        <f ca="1">COUNTIF(B:B,bron[[#This Row],[volledige naam]])</f>
        <v>4</v>
      </c>
    </row>
    <row r="918" spans="1:28" x14ac:dyDescent="0.25">
      <c r="A918" s="39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3711</v>
      </c>
      <c r="V918" s="26"/>
      <c r="W918" s="26"/>
      <c r="X918" t="s">
        <v>3492</v>
      </c>
      <c r="Y918" t="s">
        <v>32</v>
      </c>
      <c r="Z918" s="2">
        <v>5767</v>
      </c>
      <c r="AA918" s="32" t="s">
        <v>3538</v>
      </c>
      <c r="AB918">
        <f ca="1">COUNTIF(B:B,bron[[#This Row],[volledige naam]])</f>
        <v>2</v>
      </c>
    </row>
    <row r="919" spans="1:28" x14ac:dyDescent="0.25">
      <c r="A919" s="3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3708</v>
      </c>
      <c r="V919" s="26"/>
      <c r="W919" s="26"/>
      <c r="X919" t="s">
        <v>3493</v>
      </c>
      <c r="Y919" t="s">
        <v>3709</v>
      </c>
      <c r="Z919" s="2">
        <v>2195</v>
      </c>
      <c r="AA919" s="32" t="s">
        <v>3538</v>
      </c>
      <c r="AB919">
        <f ca="1">COUNTIF(B:B,bron[[#This Row],[volledige naam]])</f>
        <v>10</v>
      </c>
    </row>
    <row r="920" spans="1:28" x14ac:dyDescent="0.25">
      <c r="A920" s="39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3713</v>
      </c>
      <c r="V920" s="26"/>
      <c r="W920" s="26"/>
      <c r="X920" t="s">
        <v>3527</v>
      </c>
      <c r="Y920" t="s">
        <v>246</v>
      </c>
      <c r="Z920" s="2">
        <v>6337</v>
      </c>
      <c r="AA920" s="32" t="s">
        <v>3538</v>
      </c>
      <c r="AB920">
        <f ca="1">COUNTIF(B:B,bron[[#This Row],[volledige naam]])</f>
        <v>6</v>
      </c>
    </row>
    <row r="921" spans="1:28" x14ac:dyDescent="0.25">
      <c r="A921" s="39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3715</v>
      </c>
      <c r="V921" s="26"/>
      <c r="W921" s="26"/>
      <c r="X921" t="s">
        <v>3492</v>
      </c>
      <c r="Y921" t="s">
        <v>6</v>
      </c>
      <c r="Z921" s="2">
        <v>5764</v>
      </c>
      <c r="AA921" s="32" t="s">
        <v>3538</v>
      </c>
      <c r="AB921">
        <f ca="1">COUNTIF(B:B,bron[[#This Row],[volledige naam]])</f>
        <v>4</v>
      </c>
    </row>
    <row r="922" spans="1:28" x14ac:dyDescent="0.25">
      <c r="A922" s="39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3728</v>
      </c>
      <c r="V922" s="26"/>
      <c r="W922" s="26"/>
      <c r="X922" t="s">
        <v>3528</v>
      </c>
      <c r="Y922" t="s">
        <v>20</v>
      </c>
      <c r="Z922" s="2">
        <v>6368</v>
      </c>
      <c r="AA922" s="32" t="s">
        <v>3538</v>
      </c>
      <c r="AB922">
        <f ca="1">COUNTIF(B:B,bron[[#This Row],[volledige naam]])</f>
        <v>6</v>
      </c>
    </row>
    <row r="923" spans="1:28" x14ac:dyDescent="0.25">
      <c r="A923" s="39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3718</v>
      </c>
      <c r="V923" s="26"/>
      <c r="W923" s="26"/>
      <c r="X923" t="s">
        <v>3492</v>
      </c>
      <c r="Y923" t="s">
        <v>67</v>
      </c>
      <c r="Z923" s="2">
        <v>5767</v>
      </c>
      <c r="AA923" s="32" t="s">
        <v>3538</v>
      </c>
      <c r="AB923">
        <f ca="1">COUNTIF(B:B,bron[[#This Row],[volledige naam]])</f>
        <v>3</v>
      </c>
    </row>
    <row r="924" spans="1:28" x14ac:dyDescent="0.25">
      <c r="A924" s="39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3729</v>
      </c>
      <c r="V924" s="26"/>
      <c r="W924" s="26"/>
      <c r="X924" t="s">
        <v>3528</v>
      </c>
      <c r="Y924" t="s">
        <v>1293</v>
      </c>
      <c r="Z924" s="2">
        <v>6375</v>
      </c>
      <c r="AA924" s="32" t="s">
        <v>3538</v>
      </c>
      <c r="AB924">
        <f ca="1">COUNTIF(B:B,bron[[#This Row],[volledige naam]])</f>
        <v>1</v>
      </c>
    </row>
    <row r="925" spans="1:28" x14ac:dyDescent="0.25">
      <c r="A925" s="39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3714</v>
      </c>
      <c r="V925" s="26"/>
      <c r="W925" s="26"/>
      <c r="X925" t="s">
        <v>3527</v>
      </c>
      <c r="Y925" t="s">
        <v>3488</v>
      </c>
      <c r="Z925" s="2">
        <v>6321</v>
      </c>
      <c r="AA925" s="32" t="s">
        <v>3538</v>
      </c>
      <c r="AB925">
        <f ca="1">COUNTIF(B:B,bron[[#This Row],[volledige naam]])</f>
        <v>1</v>
      </c>
    </row>
    <row r="926" spans="1:28" x14ac:dyDescent="0.25">
      <c r="A926" s="39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3724</v>
      </c>
      <c r="V926" s="26"/>
      <c r="W926" s="26"/>
      <c r="X926" t="s">
        <v>3493</v>
      </c>
      <c r="Y926" t="s">
        <v>8</v>
      </c>
      <c r="Z926" s="2">
        <v>5232</v>
      </c>
      <c r="AA926" s="32" t="s">
        <v>3538</v>
      </c>
      <c r="AB926">
        <f ca="1">COUNTIF(B:B,bron[[#This Row],[volledige naam]])</f>
        <v>3</v>
      </c>
    </row>
    <row r="927" spans="1:28" x14ac:dyDescent="0.25">
      <c r="A927" s="39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3717</v>
      </c>
      <c r="V927" s="26"/>
      <c r="W927" s="26"/>
      <c r="X927" t="s">
        <v>3528</v>
      </c>
      <c r="Y927" t="s">
        <v>12</v>
      </c>
      <c r="Z927" s="2">
        <v>6374</v>
      </c>
      <c r="AA927" s="32" t="s">
        <v>3539</v>
      </c>
      <c r="AB927">
        <f ca="1">COUNTIF(B:B,bron[[#This Row],[volledige naam]])</f>
        <v>2</v>
      </c>
    </row>
    <row r="928" spans="1:28" x14ac:dyDescent="0.25">
      <c r="A928" s="39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3720</v>
      </c>
      <c r="V928" s="26"/>
      <c r="W928" s="26"/>
      <c r="X928" t="s">
        <v>3491</v>
      </c>
      <c r="Y928" t="s">
        <v>3721</v>
      </c>
      <c r="Z928" s="2">
        <v>5271</v>
      </c>
      <c r="AA928" s="32" t="s">
        <v>3538</v>
      </c>
      <c r="AB928">
        <f ca="1">COUNTIF(B:B,bron[[#This Row],[volledige naam]])</f>
        <v>4</v>
      </c>
    </row>
    <row r="929" spans="1:28" x14ac:dyDescent="0.25">
      <c r="A929" s="3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3719</v>
      </c>
      <c r="V929" s="26"/>
      <c r="W929" s="26"/>
      <c r="X929" t="s">
        <v>3527</v>
      </c>
      <c r="Y929" t="s">
        <v>231</v>
      </c>
      <c r="Z929" s="2">
        <v>6318</v>
      </c>
      <c r="AA929" s="32" t="s">
        <v>3538</v>
      </c>
      <c r="AB929">
        <f ca="1">COUNTIF(B:B,bron[[#This Row],[volledige naam]])</f>
        <v>3</v>
      </c>
    </row>
    <row r="930" spans="1:28" x14ac:dyDescent="0.25">
      <c r="A930" s="39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3740</v>
      </c>
      <c r="V930" s="26"/>
      <c r="W930" s="26"/>
      <c r="X930" t="s">
        <v>3527</v>
      </c>
      <c r="Y930" t="s">
        <v>2</v>
      </c>
      <c r="Z930" s="2">
        <v>6334</v>
      </c>
      <c r="AA930" s="32" t="s">
        <v>3538</v>
      </c>
      <c r="AB930">
        <f ca="1">COUNTIF(B:B,bron[[#This Row],[volledige naam]])</f>
        <v>4</v>
      </c>
    </row>
    <row r="931" spans="1:28" x14ac:dyDescent="0.25">
      <c r="A931" s="39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3716</v>
      </c>
      <c r="V931" s="26"/>
      <c r="W931" s="26"/>
      <c r="X931" t="s">
        <v>3492</v>
      </c>
      <c r="Y931" t="s">
        <v>8</v>
      </c>
      <c r="Z931" s="2">
        <v>13024</v>
      </c>
      <c r="AA931" s="32" t="s">
        <v>3538</v>
      </c>
      <c r="AB931">
        <f ca="1">COUNTIF(B:B,bron[[#This Row],[volledige naam]])</f>
        <v>4</v>
      </c>
    </row>
    <row r="932" spans="1:28" x14ac:dyDescent="0.25">
      <c r="A932" s="39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3723</v>
      </c>
      <c r="V932" s="26"/>
      <c r="W932" s="26"/>
      <c r="X932" t="s">
        <v>3492</v>
      </c>
      <c r="Y932" t="s">
        <v>20</v>
      </c>
      <c r="Z932" s="2">
        <v>5489</v>
      </c>
      <c r="AA932" s="32" t="s">
        <v>3538</v>
      </c>
      <c r="AB932">
        <f ca="1">COUNTIF(B:B,bron[[#This Row],[volledige naam]])</f>
        <v>2</v>
      </c>
    </row>
    <row r="933" spans="1:28" x14ac:dyDescent="0.25">
      <c r="A933" s="39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3726</v>
      </c>
      <c r="V933" s="26"/>
      <c r="W933" s="26"/>
      <c r="X933" t="s">
        <v>3493</v>
      </c>
      <c r="Y933" t="s">
        <v>3727</v>
      </c>
      <c r="Z933" s="2">
        <v>5052</v>
      </c>
      <c r="AA933" s="32" t="s">
        <v>3538</v>
      </c>
      <c r="AB933">
        <f ca="1">COUNTIF(B:B,bron[[#This Row],[volledige naam]])</f>
        <v>1</v>
      </c>
    </row>
    <row r="934" spans="1:28" x14ac:dyDescent="0.25">
      <c r="A934" s="39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3722</v>
      </c>
      <c r="V934" s="26"/>
      <c r="W934" s="26"/>
      <c r="X934" t="s">
        <v>3491</v>
      </c>
      <c r="Y934" t="s">
        <v>644</v>
      </c>
      <c r="Z934" s="2">
        <v>5229</v>
      </c>
      <c r="AA934" s="32" t="s">
        <v>3538</v>
      </c>
      <c r="AB934">
        <f ca="1">COUNTIF(B:B,bron[[#This Row],[volledige naam]])</f>
        <v>2</v>
      </c>
    </row>
    <row r="935" spans="1:28" x14ac:dyDescent="0.25">
      <c r="A935" s="39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3743</v>
      </c>
      <c r="V935" s="26"/>
      <c r="W935" s="26"/>
      <c r="X935" t="s">
        <v>3528</v>
      </c>
      <c r="Y935" t="s">
        <v>6</v>
      </c>
      <c r="Z935" s="2">
        <v>6363</v>
      </c>
      <c r="AA935" s="32" t="s">
        <v>3538</v>
      </c>
      <c r="AB935">
        <f ca="1">COUNTIF(B:B,bron[[#This Row],[volledige naam]])</f>
        <v>1</v>
      </c>
    </row>
    <row r="936" spans="1:28" x14ac:dyDescent="0.25">
      <c r="A936" s="39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3730</v>
      </c>
      <c r="V936" s="26"/>
      <c r="W936" s="26"/>
      <c r="X936" t="s">
        <v>3493</v>
      </c>
      <c r="Y936" t="s">
        <v>3731</v>
      </c>
      <c r="Z936" s="2">
        <v>5233</v>
      </c>
      <c r="AA936" s="32" t="s">
        <v>3539</v>
      </c>
      <c r="AB936">
        <f ca="1">COUNTIF(B:B,bron[[#This Row],[volledige naam]])</f>
        <v>6</v>
      </c>
    </row>
    <row r="937" spans="1:28" x14ac:dyDescent="0.25">
      <c r="A937" s="39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3736</v>
      </c>
      <c r="V937" s="26"/>
      <c r="W937" s="26"/>
      <c r="X937" t="s">
        <v>3492</v>
      </c>
      <c r="Y937" t="s">
        <v>3616</v>
      </c>
      <c r="Z937" s="2">
        <v>5916</v>
      </c>
      <c r="AA937" s="32" t="s">
        <v>3538</v>
      </c>
      <c r="AB937">
        <f ca="1">COUNTIF(B:B,bron[[#This Row],[volledige naam]])</f>
        <v>4</v>
      </c>
    </row>
    <row r="938" spans="1:28" x14ac:dyDescent="0.25">
      <c r="A938" s="39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3732</v>
      </c>
      <c r="V938" s="26"/>
      <c r="W938" s="26"/>
      <c r="X938" t="s">
        <v>3527</v>
      </c>
      <c r="Y938" t="s">
        <v>2</v>
      </c>
      <c r="Z938" s="2">
        <v>6312</v>
      </c>
      <c r="AA938" s="32" t="s">
        <v>3538</v>
      </c>
      <c r="AB938">
        <f ca="1">COUNTIF(B:B,bron[[#This Row],[volledige naam]])</f>
        <v>4</v>
      </c>
    </row>
    <row r="939" spans="1:28" x14ac:dyDescent="0.25">
      <c r="A939" s="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3737</v>
      </c>
      <c r="V939" s="26"/>
      <c r="W939" s="26"/>
      <c r="X939" t="s">
        <v>3492</v>
      </c>
      <c r="Y939" t="s">
        <v>3738</v>
      </c>
      <c r="Z939" s="2">
        <v>5938</v>
      </c>
      <c r="AA939" s="32" t="s">
        <v>3538</v>
      </c>
      <c r="AB939">
        <f ca="1">COUNTIF(B:B,bron[[#This Row],[volledige naam]])</f>
        <v>1</v>
      </c>
    </row>
    <row r="940" spans="1:28" x14ac:dyDescent="0.25">
      <c r="A940" s="39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3733</v>
      </c>
      <c r="V940" s="26"/>
      <c r="W940" s="26"/>
      <c r="X940" t="s">
        <v>3492</v>
      </c>
      <c r="Y940" t="s">
        <v>3734</v>
      </c>
      <c r="Z940" s="2">
        <v>5935</v>
      </c>
      <c r="AA940" s="32" t="s">
        <v>3538</v>
      </c>
      <c r="AB940">
        <f ca="1">COUNTIF(B:B,bron[[#This Row],[volledige naam]])</f>
        <v>3</v>
      </c>
    </row>
    <row r="941" spans="1:28" x14ac:dyDescent="0.25">
      <c r="A941" s="39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3735</v>
      </c>
      <c r="V941" s="26"/>
      <c r="W941" s="26"/>
      <c r="X941" t="s">
        <v>3492</v>
      </c>
      <c r="Y941" t="str">
        <f>Y940</f>
        <v>Port Arthurlaan</v>
      </c>
      <c r="Z941" s="2">
        <v>550821</v>
      </c>
      <c r="AA941" s="32" t="s">
        <v>3611</v>
      </c>
      <c r="AB941">
        <f ca="1">COUNTIF(B:B,bron[[#This Row],[volledige naam]])</f>
        <v>1</v>
      </c>
    </row>
    <row r="942" spans="1:28" x14ac:dyDescent="0.25">
      <c r="A942" s="39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3739</v>
      </c>
      <c r="V942" s="26"/>
      <c r="W942" s="26"/>
      <c r="X942" t="s">
        <v>3493</v>
      </c>
      <c r="Y942" t="s">
        <v>718</v>
      </c>
      <c r="Z942" s="2">
        <v>5263</v>
      </c>
      <c r="AA942" s="32" t="s">
        <v>3538</v>
      </c>
      <c r="AB942">
        <f ca="1">COUNTIF(B:B,bron[[#This Row],[volledige naam]])</f>
        <v>4</v>
      </c>
    </row>
    <row r="943" spans="1:28" x14ac:dyDescent="0.25">
      <c r="A943" s="39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3741</v>
      </c>
      <c r="V943" s="26"/>
      <c r="W943" s="26"/>
      <c r="X943" t="s">
        <v>3528</v>
      </c>
      <c r="Y943" t="s">
        <v>246</v>
      </c>
      <c r="Z943" s="2">
        <v>6364</v>
      </c>
      <c r="AA943" s="32" t="s">
        <v>3538</v>
      </c>
      <c r="AB943">
        <f ca="1">COUNTIF(B:B,bron[[#This Row],[volledige naam]])</f>
        <v>1</v>
      </c>
    </row>
    <row r="944" spans="1:28" x14ac:dyDescent="0.25">
      <c r="A944" s="39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3745</v>
      </c>
      <c r="V944" s="26"/>
      <c r="W944" s="26"/>
      <c r="X944" t="s">
        <v>3491</v>
      </c>
      <c r="Y944" t="s">
        <v>3744</v>
      </c>
      <c r="Z944" s="2">
        <v>5265</v>
      </c>
      <c r="AA944" s="32" t="s">
        <v>3538</v>
      </c>
      <c r="AB944">
        <f ca="1">COUNTIF(B:B,bron[[#This Row],[volledige naam]])</f>
        <v>7</v>
      </c>
    </row>
    <row r="945" spans="1:28" x14ac:dyDescent="0.25">
      <c r="A945" s="39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3747</v>
      </c>
      <c r="V945" s="26"/>
      <c r="W945" s="26"/>
      <c r="X945" t="s">
        <v>3492</v>
      </c>
      <c r="Y945" t="s">
        <v>3748</v>
      </c>
      <c r="Z945" s="2">
        <v>5933</v>
      </c>
      <c r="AA945" s="32" t="s">
        <v>3538</v>
      </c>
      <c r="AB945">
        <f ca="1">COUNTIF(B:B,bron[[#This Row],[volledige naam]])</f>
        <v>2</v>
      </c>
    </row>
    <row r="946" spans="1:28" x14ac:dyDescent="0.25">
      <c r="A946" s="39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3742</v>
      </c>
      <c r="V946" s="26"/>
      <c r="W946" s="26"/>
      <c r="X946" t="s">
        <v>3527</v>
      </c>
      <c r="Y946" t="s">
        <v>150</v>
      </c>
      <c r="Z946" s="2">
        <v>6318</v>
      </c>
      <c r="AA946" s="32" t="s">
        <v>3538</v>
      </c>
      <c r="AB946">
        <f ca="1">COUNTIF(B:B,bron[[#This Row],[volledige naam]])</f>
        <v>7</v>
      </c>
    </row>
    <row r="947" spans="1:28" x14ac:dyDescent="0.25">
      <c r="A947" s="39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3772</v>
      </c>
      <c r="V947" s="26"/>
      <c r="W947" s="26"/>
      <c r="X947" t="s">
        <v>3492</v>
      </c>
      <c r="Y947" t="s">
        <v>37</v>
      </c>
      <c r="Z947" s="2">
        <v>5924</v>
      </c>
      <c r="AA947" s="32" t="s">
        <v>3538</v>
      </c>
      <c r="AB947">
        <f ca="1">COUNTIF(B:B,bron[[#This Row],[volledige naam]])</f>
        <v>3</v>
      </c>
    </row>
    <row r="948" spans="1:28" x14ac:dyDescent="0.25">
      <c r="A948" s="39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3839</v>
      </c>
      <c r="V948" s="26"/>
      <c r="W948" s="26"/>
      <c r="X948" t="s">
        <v>3492</v>
      </c>
      <c r="Y948" t="s">
        <v>3840</v>
      </c>
      <c r="Z948" s="2">
        <v>5768</v>
      </c>
      <c r="AA948" s="32" t="s">
        <v>3538</v>
      </c>
      <c r="AB948">
        <f ca="1">COUNTIF(B:B,bron[[#This Row],[volledige naam]])</f>
        <v>3</v>
      </c>
    </row>
    <row r="949" spans="1:28" x14ac:dyDescent="0.25">
      <c r="A949" s="39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3746</v>
      </c>
      <c r="V949" s="26"/>
      <c r="W949" s="26"/>
      <c r="X949" t="s">
        <v>3492</v>
      </c>
      <c r="Y949" t="s">
        <v>6</v>
      </c>
      <c r="Z949" s="2">
        <v>5922</v>
      </c>
      <c r="AA949" s="32" t="s">
        <v>3538</v>
      </c>
      <c r="AB949">
        <f ca="1">COUNTIF(B:B,bron[[#This Row],[volledige naam]])</f>
        <v>3</v>
      </c>
    </row>
    <row r="950" spans="1:28" x14ac:dyDescent="0.25">
      <c r="A950" s="39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3776</v>
      </c>
      <c r="V950" s="26"/>
      <c r="W950" s="26"/>
      <c r="X950" t="s">
        <v>3492</v>
      </c>
      <c r="Y950" t="s">
        <v>2</v>
      </c>
      <c r="Z950" s="2">
        <v>5484</v>
      </c>
      <c r="AA950" s="32" t="s">
        <v>3538</v>
      </c>
      <c r="AB950">
        <f ca="1">COUNTIF(B:B,bron[[#This Row],[volledige naam]])</f>
        <v>1</v>
      </c>
    </row>
    <row r="951" spans="1:28" x14ac:dyDescent="0.25">
      <c r="A951" s="39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3794</v>
      </c>
      <c r="V951" s="26"/>
      <c r="W951" s="26"/>
      <c r="X951" t="s">
        <v>3493</v>
      </c>
      <c r="Y951" t="s">
        <v>644</v>
      </c>
      <c r="Z951" s="2">
        <v>5042</v>
      </c>
      <c r="AA951" s="32" t="s">
        <v>3538</v>
      </c>
      <c r="AB951">
        <f ca="1">COUNTIF(B:B,bron[[#This Row],[volledige naam]])</f>
        <v>2</v>
      </c>
    </row>
    <row r="952" spans="1:28" x14ac:dyDescent="0.25">
      <c r="A952" s="39">
        <v>29746</v>
      </c>
      <c r="B952" t="str">
        <f>_xlfn.CONCAT(bron[[#This Row],[personeelsnr]]," ",bron[[#This Row],[achternaam]]," ",bron[[#This Row],[voornaam]])</f>
        <v>29746 Huyse Annicke</v>
      </c>
      <c r="C952" t="str">
        <f>VLOOKUP(bron[[#This Row],[personeelsnr]],'data hastus'!$A:$C,2,0)</f>
        <v>Huyse</v>
      </c>
      <c r="D952" t="str">
        <f>VLOOKUP(bron[[#This Row],[personeelsnr]],'data hastus'!$A:$C,3,0)</f>
        <v>Annicke</v>
      </c>
      <c r="E952" s="2" t="str">
        <f>VLOOKUP(bron[[#This Row],[personeelsnr]],'data hastus'!A:K,11,FALSE)</f>
        <v>Bart Van Der Beken</v>
      </c>
      <c r="F952" s="10"/>
      <c r="G952" s="28"/>
      <c r="H952" s="28"/>
      <c r="I952" s="28"/>
      <c r="S952" s="25">
        <f>SUM(bron[[#This Row],[Januari]:[December]])</f>
        <v>0</v>
      </c>
      <c r="T952" s="30">
        <v>45971</v>
      </c>
      <c r="U952" s="5" t="s">
        <v>3774</v>
      </c>
      <c r="V952" s="26"/>
      <c r="W952" s="26"/>
      <c r="X952" t="s">
        <v>3528</v>
      </c>
      <c r="Y952" t="s">
        <v>26</v>
      </c>
      <c r="Z952" s="2">
        <v>6358</v>
      </c>
      <c r="AA952" s="32" t="s">
        <v>3539</v>
      </c>
      <c r="AB952">
        <f ca="1">COUNTIF(B:B,bron[[#This Row],[volledige naam]])</f>
        <v>3</v>
      </c>
    </row>
    <row r="953" spans="1:28" x14ac:dyDescent="0.25">
      <c r="A953" s="39">
        <v>40138</v>
      </c>
      <c r="B953" t="str">
        <f>_xlfn.CONCAT(bron[[#This Row],[personeelsnr]]," ",bron[[#This Row],[achternaam]]," ",bron[[#This Row],[voornaam]])</f>
        <v>40138 Moerman Tjimmy</v>
      </c>
      <c r="C953" t="str">
        <f>VLOOKUP(bron[[#This Row],[personeelsnr]],'data hastus'!$A:$C,2,0)</f>
        <v>Moerman</v>
      </c>
      <c r="D953" t="str">
        <f>VLOOKUP(bron[[#This Row],[personeelsnr]],'data hastus'!$A:$C,3,0)</f>
        <v>Tjimmy</v>
      </c>
      <c r="E953" s="2" t="str">
        <f>VLOOKUP(bron[[#This Row],[personeelsnr]],'data hastus'!A:K,11,FALSE)</f>
        <v>Christoff Rotty</v>
      </c>
      <c r="F953" s="10"/>
      <c r="G953" s="28"/>
      <c r="H953" s="28"/>
      <c r="I953" s="28"/>
      <c r="S953" s="25">
        <f>SUM(bron[[#This Row],[Januari]:[December]])</f>
        <v>0</v>
      </c>
      <c r="T953" s="30">
        <v>45972</v>
      </c>
      <c r="U953" s="5" t="s">
        <v>3773</v>
      </c>
      <c r="V953" s="26"/>
      <c r="W953" s="26"/>
      <c r="X953" t="s">
        <v>3493</v>
      </c>
      <c r="Y953" t="s">
        <v>98</v>
      </c>
      <c r="Z953" s="2">
        <v>5045</v>
      </c>
      <c r="AA953" s="32" t="s">
        <v>3538</v>
      </c>
      <c r="AB953">
        <f ca="1">COUNTIF(B:B,bron[[#This Row],[volledige naam]])</f>
        <v>10</v>
      </c>
    </row>
    <row r="954" spans="1:28" x14ac:dyDescent="0.25">
      <c r="A954" s="39">
        <v>32620</v>
      </c>
      <c r="B954" t="str">
        <f>_xlfn.CONCAT(bron[[#This Row],[personeelsnr]]," ",bron[[#This Row],[achternaam]]," ",bron[[#This Row],[voornaam]])</f>
        <v>32620 Saey Elias</v>
      </c>
      <c r="C954" t="str">
        <f>VLOOKUP(bron[[#This Row],[personeelsnr]],'data hastus'!$A:$C,2,0)</f>
        <v>Saey</v>
      </c>
      <c r="D954" t="str">
        <f>VLOOKUP(bron[[#This Row],[personeelsnr]],'data hastus'!$A:$C,3,0)</f>
        <v>Elias</v>
      </c>
      <c r="E954" s="2" t="str">
        <f>VLOOKUP(bron[[#This Row],[personeelsnr]],'data hastus'!A:K,11,FALSE)</f>
        <v>Els Vanhoe</v>
      </c>
      <c r="F954" s="10"/>
      <c r="G954" s="28"/>
      <c r="H954" s="28"/>
      <c r="I954" s="28"/>
      <c r="S954" s="25">
        <f>SUM(bron[[#This Row],[Januari]:[December]])</f>
        <v>0</v>
      </c>
      <c r="T954" s="30">
        <v>45973</v>
      </c>
      <c r="U954" s="5" t="s">
        <v>3749</v>
      </c>
      <c r="V954" s="26"/>
      <c r="W954" s="26"/>
      <c r="X954" t="s">
        <v>3493</v>
      </c>
      <c r="Y954" t="s">
        <v>3750</v>
      </c>
      <c r="Z954" s="2">
        <v>5047</v>
      </c>
      <c r="AA954" s="32" t="s">
        <v>3539</v>
      </c>
      <c r="AB954">
        <f ca="1">COUNTIF(B:B,bron[[#This Row],[volledige naam]])</f>
        <v>3</v>
      </c>
    </row>
    <row r="955" spans="1:28" x14ac:dyDescent="0.25">
      <c r="A955" s="39">
        <v>13089</v>
      </c>
      <c r="B955" t="str">
        <f>_xlfn.CONCAT(bron[[#This Row],[personeelsnr]]," ",bron[[#This Row],[achternaam]]," ",bron[[#This Row],[voornaam]])</f>
        <v>13089 Oosterlinck Jan</v>
      </c>
      <c r="C955" t="str">
        <f>VLOOKUP(bron[[#This Row],[personeelsnr]],'data hastus'!$A:$C,2,0)</f>
        <v>Oosterlinck</v>
      </c>
      <c r="D955" t="str">
        <f>VLOOKUP(bron[[#This Row],[personeelsnr]],'data hastus'!$A:$C,3,0)</f>
        <v>Jan</v>
      </c>
      <c r="E955" s="2" t="str">
        <f>VLOOKUP(bron[[#This Row],[personeelsnr]],'data hastus'!A:K,11,FALSE)</f>
        <v>Christoff Rotty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3780</v>
      </c>
      <c r="V955" s="26"/>
      <c r="W955" s="26"/>
      <c r="X955" t="s">
        <v>3492</v>
      </c>
      <c r="Y955" t="s">
        <v>32</v>
      </c>
      <c r="Z955" s="2">
        <v>5929</v>
      </c>
      <c r="AA955" s="32" t="s">
        <v>3539</v>
      </c>
      <c r="AB955">
        <f ca="1">COUNTIF(B:B,bron[[#This Row],[volledige naam]])</f>
        <v>1</v>
      </c>
    </row>
    <row r="956" spans="1:28" x14ac:dyDescent="0.25">
      <c r="A956" s="39">
        <v>40403</v>
      </c>
      <c r="B956" t="str">
        <f>_xlfn.CONCAT(bron[[#This Row],[personeelsnr]]," ",bron[[#This Row],[achternaam]]," ",bron[[#This Row],[voornaam]])</f>
        <v>40403 Prové Michaël</v>
      </c>
      <c r="C956" t="str">
        <f>VLOOKUP(bron[[#This Row],[personeelsnr]],'data hastus'!$A:$C,2,0)</f>
        <v>Prové</v>
      </c>
      <c r="D956" t="str">
        <f>VLOOKUP(bron[[#This Row],[personeelsnr]],'data hastus'!$A:$C,3,0)</f>
        <v>Michaël</v>
      </c>
      <c r="E956" s="2" t="str">
        <f>VLOOKUP(bron[[#This Row],[personeelsnr]],'data hastus'!A:K,11,FALSE)</f>
        <v>Dominique De Clercq</v>
      </c>
      <c r="F956" s="10"/>
      <c r="G956" s="28"/>
      <c r="H956" s="28"/>
      <c r="I956" s="28"/>
      <c r="S956" s="25">
        <f>SUM(bron[[#This Row],[Januari]:[December]])</f>
        <v>0</v>
      </c>
      <c r="T956" s="30">
        <v>45974</v>
      </c>
      <c r="U956" s="5" t="s">
        <v>3775</v>
      </c>
      <c r="V956" s="26"/>
      <c r="W956" s="26"/>
      <c r="X956" t="s">
        <v>3493</v>
      </c>
      <c r="Y956" t="s">
        <v>87</v>
      </c>
      <c r="Z956" s="2">
        <v>5233</v>
      </c>
      <c r="AA956" s="32" t="s">
        <v>3538</v>
      </c>
      <c r="AB956">
        <f ca="1">COUNTIF(B:B,bron[[#This Row],[volledige naam]])</f>
        <v>3</v>
      </c>
    </row>
    <row r="957" spans="1:28" x14ac:dyDescent="0.25">
      <c r="A957" s="39">
        <v>42249</v>
      </c>
      <c r="B957" t="str">
        <f>_xlfn.CONCAT(bron[[#This Row],[personeelsnr]]," ",bron[[#This Row],[achternaam]]," ",bron[[#This Row],[voornaam]])</f>
        <v>42249 Bontinck Stephan</v>
      </c>
      <c r="C957" t="str">
        <f>VLOOKUP(bron[[#This Row],[personeelsnr]],'data hastus'!$A:$C,2,0)</f>
        <v>Bontinck</v>
      </c>
      <c r="D957" t="str">
        <f>VLOOKUP(bron[[#This Row],[personeelsnr]],'data hastus'!$A:$C,3,0)</f>
        <v>Stephan</v>
      </c>
      <c r="E957" s="2" t="str">
        <f>VLOOKUP(bron[[#This Row],[personeelsnr]],'data hastus'!A:K,11,FALSE)</f>
        <v>Kenneth De Rick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3777</v>
      </c>
      <c r="V957" s="26"/>
      <c r="W957" s="26"/>
      <c r="X957" t="s">
        <v>3493</v>
      </c>
      <c r="Y957" t="s">
        <v>3778</v>
      </c>
      <c r="Z957" s="2" t="s">
        <v>3779</v>
      </c>
      <c r="AA957" s="32" t="s">
        <v>3611</v>
      </c>
      <c r="AB957">
        <f ca="1">COUNTIF(B:B,bron[[#This Row],[volledige naam]])</f>
        <v>1</v>
      </c>
    </row>
    <row r="958" spans="1:28" x14ac:dyDescent="0.25">
      <c r="A958" s="39">
        <v>36438</v>
      </c>
      <c r="B958" t="str">
        <f>_xlfn.CONCAT(bron[[#This Row],[personeelsnr]]," ",bron[[#This Row],[achternaam]]," ",bron[[#This Row],[voornaam]])</f>
        <v>36438 Agil Birol</v>
      </c>
      <c r="C958" t="str">
        <f>VLOOKUP(bron[[#This Row],[personeelsnr]],'data hastus'!$A:$C,2,0)</f>
        <v>Agil</v>
      </c>
      <c r="D958" t="str">
        <f>VLOOKUP(bron[[#This Row],[personeelsnr]],'data hastus'!$A:$C,3,0)</f>
        <v>Birol</v>
      </c>
      <c r="E958" s="2" t="str">
        <f>VLOOKUP(bron[[#This Row],[personeelsnr]],'data hastus'!A:K,11,FALSE)</f>
        <v>Bart Van Der Beken</v>
      </c>
      <c r="F958" s="10"/>
      <c r="G958" s="28"/>
      <c r="H958" s="28"/>
      <c r="I958" s="28"/>
      <c r="S958" s="25">
        <f>SUM(bron[[#This Row],[Januari]:[December]])</f>
        <v>0</v>
      </c>
      <c r="T958" s="30">
        <v>45975</v>
      </c>
      <c r="U958" s="5" t="s">
        <v>3781</v>
      </c>
      <c r="V958" s="26"/>
      <c r="W958" s="26"/>
      <c r="X958" t="s">
        <v>3492</v>
      </c>
      <c r="Y958" t="s">
        <v>71</v>
      </c>
      <c r="Z958" s="2">
        <v>5969</v>
      </c>
      <c r="AA958" s="32" t="s">
        <v>3538</v>
      </c>
      <c r="AB958">
        <f ca="1">COUNTIF(B:B,bron[[#This Row],[volledige naam]])</f>
        <v>3</v>
      </c>
    </row>
    <row r="959" spans="1:28" x14ac:dyDescent="0.25">
      <c r="A959" s="39">
        <v>42145</v>
      </c>
      <c r="B959" t="str">
        <f>_xlfn.CONCAT(bron[[#This Row],[personeelsnr]]," ",bron[[#This Row],[achternaam]]," ",bron[[#This Row],[voornaam]])</f>
        <v>42145 Gys Shayya</v>
      </c>
      <c r="C959" t="str">
        <f>VLOOKUP(bron[[#This Row],[personeelsnr]],'data hastus'!$A:$C,2,0)</f>
        <v>Gys</v>
      </c>
      <c r="D959" t="str">
        <f>VLOOKUP(bron[[#This Row],[personeelsnr]],'data hastus'!$A:$C,3,0)</f>
        <v>Shayya</v>
      </c>
      <c r="E959" s="2" t="str">
        <f>VLOOKUP(bron[[#This Row],[personeelsnr]],'data hastus'!A:K,11,FALSE)</f>
        <v>Steven Storm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3783</v>
      </c>
      <c r="V959" s="26"/>
      <c r="W959" s="26"/>
      <c r="X959" t="s">
        <v>3492</v>
      </c>
      <c r="Y959" t="s">
        <v>61</v>
      </c>
      <c r="Z959" s="2">
        <v>550310</v>
      </c>
      <c r="AA959" s="32" t="s">
        <v>3538</v>
      </c>
      <c r="AB959">
        <f ca="1">COUNTIF(B:B,bron[[#This Row],[volledige naam]])</f>
        <v>2</v>
      </c>
    </row>
    <row r="960" spans="1:28" x14ac:dyDescent="0.25">
      <c r="A960" s="39">
        <v>31118</v>
      </c>
      <c r="B960" t="str">
        <f>_xlfn.CONCAT(bron[[#This Row],[personeelsnr]]," ",bron[[#This Row],[achternaam]]," ",bron[[#This Row],[voornaam]])</f>
        <v>31118 De Sutter Michiel</v>
      </c>
      <c r="C960" t="str">
        <f>VLOOKUP(bron[[#This Row],[personeelsnr]],'data hastus'!$A:$C,2,0)</f>
        <v>De Sutter</v>
      </c>
      <c r="D960" t="str">
        <f>VLOOKUP(bron[[#This Row],[personeelsnr]],'data hastus'!$A:$C,3,0)</f>
        <v>Michiel</v>
      </c>
      <c r="E960" s="2" t="str">
        <f>VLOOKUP(bron[[#This Row],[personeelsnr]],'data hastus'!A:K,11,FALSE)</f>
        <v>Els Dewulf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3784</v>
      </c>
      <c r="V960" s="26"/>
      <c r="W960" s="26"/>
      <c r="X960" t="s">
        <v>3492</v>
      </c>
      <c r="Y960" t="s">
        <v>3785</v>
      </c>
      <c r="Z960" s="2">
        <v>5794</v>
      </c>
      <c r="AA960" s="32" t="s">
        <v>3538</v>
      </c>
      <c r="AB960">
        <f ca="1">COUNTIF(B:B,bron[[#This Row],[volledige naam]])</f>
        <v>2</v>
      </c>
    </row>
    <row r="961" spans="1:28" x14ac:dyDescent="0.25">
      <c r="A961" s="39">
        <v>41384</v>
      </c>
      <c r="B961" t="str">
        <f>_xlfn.CONCAT(bron[[#This Row],[personeelsnr]]," ",bron[[#This Row],[achternaam]]," ",bron[[#This Row],[voornaam]])</f>
        <v>41384 Hillaert Thimo</v>
      </c>
      <c r="C961" t="str">
        <f>VLOOKUP(bron[[#This Row],[personeelsnr]],'data hastus'!$A:$C,2,0)</f>
        <v>Hillaert</v>
      </c>
      <c r="D961" t="str">
        <f>VLOOKUP(bron[[#This Row],[personeelsnr]],'data hastus'!$A:$C,3,0)</f>
        <v>Thimo</v>
      </c>
      <c r="E961" s="2" t="str">
        <f>VLOOKUP(bron[[#This Row],[personeelsnr]],'data hastus'!A:K,11,FALSE)</f>
        <v>Christoff Rotty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3786</v>
      </c>
      <c r="V961" s="26"/>
      <c r="W961" s="26"/>
      <c r="X961" t="s">
        <v>3493</v>
      </c>
      <c r="Y961" t="s">
        <v>8</v>
      </c>
      <c r="Z961" s="2">
        <v>5254</v>
      </c>
      <c r="AA961" s="32" t="s">
        <v>3538</v>
      </c>
      <c r="AB961">
        <f ca="1">COUNTIF(B:B,bron[[#This Row],[volledige naam]])</f>
        <v>4</v>
      </c>
    </row>
    <row r="962" spans="1:28" x14ac:dyDescent="0.25">
      <c r="A962" s="39">
        <v>26524</v>
      </c>
      <c r="B962" t="str">
        <f>_xlfn.CONCAT(bron[[#This Row],[personeelsnr]]," ",bron[[#This Row],[achternaam]]," ",bron[[#This Row],[voornaam]])</f>
        <v>26524 Bolle Cynthia</v>
      </c>
      <c r="C962" t="str">
        <f>VLOOKUP(bron[[#This Row],[personeelsnr]],'data hastus'!$A:$C,2,0)</f>
        <v>Bolle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Els Vanhoe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3789</v>
      </c>
      <c r="V962" s="26"/>
      <c r="W962" s="26"/>
      <c r="X962" t="s">
        <v>3528</v>
      </c>
      <c r="Y962" t="s">
        <v>55</v>
      </c>
      <c r="Z962" s="2">
        <v>6362</v>
      </c>
      <c r="AA962" s="32" t="s">
        <v>3538</v>
      </c>
      <c r="AB962">
        <f ca="1">COUNTIF(B:B,bron[[#This Row],[volledige naam]])</f>
        <v>1</v>
      </c>
    </row>
    <row r="963" spans="1:28" x14ac:dyDescent="0.25">
      <c r="A963" s="39">
        <v>39901</v>
      </c>
      <c r="B963" t="str">
        <f>_xlfn.CONCAT(bron[[#This Row],[personeelsnr]]," ",bron[[#This Row],[achternaam]]," ",bron[[#This Row],[voornaam]])</f>
        <v>39901 Basha Izmir</v>
      </c>
      <c r="C963" t="str">
        <f>VLOOKUP(bron[[#This Row],[personeelsnr]],'data hastus'!$A:$C,2,0)</f>
        <v>Basha</v>
      </c>
      <c r="D963" t="str">
        <f>VLOOKUP(bron[[#This Row],[personeelsnr]],'data hastus'!$A:$C,3,0)</f>
        <v>Izmir</v>
      </c>
      <c r="E963" s="2" t="str">
        <f>VLOOKUP(bron[[#This Row],[personeelsnr]],'data hastus'!A:K,11,FALSE)</f>
        <v>Christoff Rotty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8" t="s">
        <v>3795</v>
      </c>
      <c r="V963" s="26"/>
      <c r="W963" s="26"/>
      <c r="X963" t="s">
        <v>3493</v>
      </c>
      <c r="Y963" t="s">
        <v>650</v>
      </c>
      <c r="Z963" s="2">
        <v>5043</v>
      </c>
      <c r="AA963" s="32" t="s">
        <v>3539</v>
      </c>
      <c r="AB963">
        <f ca="1">COUNTIF(B:B,bron[[#This Row],[volledige naam]])</f>
        <v>1</v>
      </c>
    </row>
    <row r="964" spans="1:28" x14ac:dyDescent="0.25">
      <c r="A964" s="39">
        <v>36505</v>
      </c>
      <c r="B964" t="str">
        <f>_xlfn.CONCAT(bron[[#This Row],[personeelsnr]]," ",bron[[#This Row],[achternaam]]," ",bron[[#This Row],[voornaam]])</f>
        <v>36505 De Lange Ruben</v>
      </c>
      <c r="C964" t="str">
        <f>VLOOKUP(bron[[#This Row],[personeelsnr]],'data hastus'!$A:$C,2,0)</f>
        <v>De Lange</v>
      </c>
      <c r="D964" t="str">
        <f>VLOOKUP(bron[[#This Row],[personeelsnr]],'data hastus'!$A:$C,3,0)</f>
        <v>Ruben</v>
      </c>
      <c r="E964" s="2" t="str">
        <f>VLOOKUP(bron[[#This Row],[personeelsnr]],'data hastus'!A:K,11,FALSE)</f>
        <v>Kenneth De Rick</v>
      </c>
      <c r="F964" s="10"/>
      <c r="G964" s="28"/>
      <c r="H964" s="28"/>
      <c r="I964" s="28"/>
      <c r="S964" s="25">
        <f>SUM(bron[[#This Row],[Januari]:[December]])</f>
        <v>0</v>
      </c>
      <c r="T964" s="30">
        <v>45976</v>
      </c>
      <c r="U964" s="5" t="s">
        <v>3782</v>
      </c>
      <c r="V964" s="26"/>
      <c r="W964" s="26"/>
      <c r="X964" t="s">
        <v>3528</v>
      </c>
      <c r="Y964" t="s">
        <v>647</v>
      </c>
      <c r="Z964" s="2">
        <v>6359</v>
      </c>
      <c r="AA964" s="32" t="s">
        <v>3538</v>
      </c>
      <c r="AB964">
        <f ca="1">COUNTIF(B:B,bron[[#This Row],[volledige naam]])</f>
        <v>1</v>
      </c>
    </row>
    <row r="965" spans="1:28" x14ac:dyDescent="0.25">
      <c r="A965" s="39">
        <v>38807</v>
      </c>
      <c r="B965" t="str">
        <f>_xlfn.CONCAT(bron[[#This Row],[personeelsnr]]," ",bron[[#This Row],[achternaam]]," ",bron[[#This Row],[voornaam]])</f>
        <v>38807 Dossche Caroline</v>
      </c>
      <c r="C965" t="str">
        <f>VLOOKUP(bron[[#This Row],[personeelsnr]],'data hastus'!$A:$C,2,0)</f>
        <v>Dossche</v>
      </c>
      <c r="D965" t="str">
        <f>VLOOKUP(bron[[#This Row],[personeelsnr]],'data hastus'!$A:$C,3,0)</f>
        <v>Caroline</v>
      </c>
      <c r="E965" s="2" t="str">
        <f>VLOOKUP(bron[[#This Row],[personeelsnr]],'data hastus'!A:K,11,FALSE)</f>
        <v>Christoff Rotty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3798</v>
      </c>
      <c r="V965" s="26"/>
      <c r="W965" s="26"/>
      <c r="X965" t="s">
        <v>3492</v>
      </c>
      <c r="Y965" t="s">
        <v>67</v>
      </c>
      <c r="Z965" s="2">
        <v>550822</v>
      </c>
      <c r="AA965" s="32" t="s">
        <v>3538</v>
      </c>
      <c r="AB965">
        <f ca="1">COUNTIF(B:B,bron[[#This Row],[volledige naam]])</f>
        <v>4</v>
      </c>
    </row>
    <row r="966" spans="1:28" x14ac:dyDescent="0.25">
      <c r="A966" s="39">
        <v>36426</v>
      </c>
      <c r="B966" t="str">
        <f>_xlfn.CONCAT(bron[[#This Row],[personeelsnr]]," ",bron[[#This Row],[achternaam]]," ",bron[[#This Row],[voornaam]])</f>
        <v>36426 Mohamed Yassin Abdulhamid</v>
      </c>
      <c r="C966" t="str">
        <f>VLOOKUP(bron[[#This Row],[personeelsnr]],'data hastus'!$A:$C,2,0)</f>
        <v>Mohamed Yassin</v>
      </c>
      <c r="D966" t="str">
        <f>VLOOKUP(bron[[#This Row],[personeelsnr]],'data hastus'!$A:$C,3,0)</f>
        <v>Abdulhamid</v>
      </c>
      <c r="E966" s="2" t="str">
        <f>VLOOKUP(bron[[#This Row],[personeelsnr]],'data hastus'!A:K,11,FALSE)</f>
        <v>Bart Van Der Beken</v>
      </c>
      <c r="F966" s="10"/>
      <c r="G966" s="28"/>
      <c r="H966" s="28"/>
      <c r="I966" s="28"/>
      <c r="S966" s="25">
        <f>SUM(bron[[#This Row],[Januari]:[December]])</f>
        <v>0</v>
      </c>
      <c r="T966" s="30">
        <v>45978</v>
      </c>
      <c r="U966" s="5" t="s">
        <v>3791</v>
      </c>
      <c r="V966" s="26"/>
      <c r="W966" s="26"/>
      <c r="X966" t="s">
        <v>3492</v>
      </c>
      <c r="Y966" t="s">
        <v>3792</v>
      </c>
      <c r="Z966" s="2">
        <v>5790</v>
      </c>
      <c r="AA966" s="32" t="s">
        <v>3538</v>
      </c>
      <c r="AB966">
        <f ca="1">COUNTIF(B:B,bron[[#This Row],[volledige naam]])</f>
        <v>3</v>
      </c>
    </row>
    <row r="967" spans="1:28" x14ac:dyDescent="0.25">
      <c r="A967" s="39">
        <v>38529</v>
      </c>
      <c r="B967" t="str">
        <f>_xlfn.CONCAT(bron[[#This Row],[personeelsnr]]," ",bron[[#This Row],[achternaam]]," ",bron[[#This Row],[voornaam]])</f>
        <v>38529 Huyghe Jan</v>
      </c>
      <c r="C967" t="str">
        <f>VLOOKUP(bron[[#This Row],[personeelsnr]],'data hastus'!$A:$C,2,0)</f>
        <v>Huyghe</v>
      </c>
      <c r="D967" t="str">
        <f>VLOOKUP(bron[[#This Row],[personeelsnr]],'data hastus'!$A:$C,3,0)</f>
        <v>Jan</v>
      </c>
      <c r="E967" s="2" t="str">
        <f>VLOOKUP(bron[[#This Row],[personeelsnr]],'data hastus'!A:K,11,FALSE)</f>
        <v>Els Dewulf</v>
      </c>
      <c r="F967" s="10"/>
      <c r="G967" s="28"/>
      <c r="H967" s="28"/>
      <c r="I967" s="28"/>
      <c r="S967" s="25">
        <f>SUM(bron[[#This Row],[Januari]:[December]])</f>
        <v>0</v>
      </c>
      <c r="T967" s="30">
        <v>45979</v>
      </c>
      <c r="U967" s="5" t="s">
        <v>3787</v>
      </c>
      <c r="V967" s="26"/>
      <c r="W967" s="26"/>
      <c r="X967" t="s">
        <v>3492</v>
      </c>
      <c r="Y967" t="s">
        <v>18</v>
      </c>
      <c r="Z967" s="2">
        <v>5932</v>
      </c>
      <c r="AA967" s="32" t="s">
        <v>3539</v>
      </c>
      <c r="AB967">
        <f ca="1">COUNTIF(B:B,bron[[#This Row],[volledige naam]])</f>
        <v>5</v>
      </c>
    </row>
    <row r="968" spans="1:28" x14ac:dyDescent="0.25">
      <c r="A968" s="39">
        <v>25733</v>
      </c>
      <c r="B968" t="str">
        <f>_xlfn.CONCAT(bron[[#This Row],[personeelsnr]]," ",bron[[#This Row],[achternaam]]," ",bron[[#This Row],[voornaam]])</f>
        <v>25733 Simsek Abdullah</v>
      </c>
      <c r="C968" t="str">
        <f>VLOOKUP(bron[[#This Row],[personeelsnr]],'data hastus'!$A:$C,2,0)</f>
        <v>Simsek</v>
      </c>
      <c r="D968" t="str">
        <f>VLOOKUP(bron[[#This Row],[personeelsnr]],'data hastus'!$A:$C,3,0)</f>
        <v>Abdullah</v>
      </c>
      <c r="E968" s="2" t="str">
        <f>VLOOKUP(bron[[#This Row],[personeelsnr]],'data hastus'!A:K,11,FALSE)</f>
        <v>Els Vanhoe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3790</v>
      </c>
      <c r="V968" s="26"/>
      <c r="W968" s="26"/>
      <c r="X968" t="s">
        <v>3528</v>
      </c>
      <c r="Y968" t="s">
        <v>589</v>
      </c>
      <c r="Z968" s="2">
        <v>6365</v>
      </c>
      <c r="AA968" s="32" t="s">
        <v>3538</v>
      </c>
      <c r="AB968">
        <f ca="1">COUNTIF(B:B,bron[[#This Row],[volledige naam]])</f>
        <v>2</v>
      </c>
    </row>
    <row r="969" spans="1:28" x14ac:dyDescent="0.25">
      <c r="A969" s="39">
        <v>42218</v>
      </c>
      <c r="B969" t="str">
        <f>_xlfn.CONCAT(bron[[#This Row],[personeelsnr]]," ",bron[[#This Row],[achternaam]]," ",bron[[#This Row],[voornaam]])</f>
        <v>42218 Özer Metehan</v>
      </c>
      <c r="C969" t="str">
        <f>VLOOKUP(bron[[#This Row],[personeelsnr]],'data hastus'!$A:$C,2,0)</f>
        <v>Özer</v>
      </c>
      <c r="D969" t="str">
        <f>VLOOKUP(bron[[#This Row],[personeelsnr]],'data hastus'!$A:$C,3,0)</f>
        <v>Metehan</v>
      </c>
      <c r="E969" s="2" t="str">
        <f>VLOOKUP(bron[[#This Row],[personeelsnr]],'data hastus'!A:K,11,FALSE)</f>
        <v>Els Dewulf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3796</v>
      </c>
      <c r="V969" s="26"/>
      <c r="W969" s="26"/>
      <c r="X969" t="s">
        <v>3492</v>
      </c>
      <c r="Y969" t="s">
        <v>199</v>
      </c>
      <c r="Z969" s="2">
        <v>5936</v>
      </c>
      <c r="AA969" s="32" t="s">
        <v>3538</v>
      </c>
      <c r="AB969">
        <f ca="1">COUNTIF(B:B,bron[[#This Row],[volledige naam]])</f>
        <v>1</v>
      </c>
    </row>
    <row r="970" spans="1:28" x14ac:dyDescent="0.25">
      <c r="A970" s="39">
        <v>8918</v>
      </c>
      <c r="B970" t="str">
        <f>_xlfn.CONCAT(bron[[#This Row],[personeelsnr]]," ",bron[[#This Row],[achternaam]]," ",bron[[#This Row],[voornaam]])</f>
        <v>8918 De Graeve Marc</v>
      </c>
      <c r="C970" t="str">
        <f>VLOOKUP(bron[[#This Row],[personeelsnr]],'data hastus'!$A:$C,2,0)</f>
        <v>De Graeve</v>
      </c>
      <c r="D970" t="str">
        <f>VLOOKUP(bron[[#This Row],[personeelsnr]],'data hastus'!$A:$C,3,0)</f>
        <v>Marc</v>
      </c>
      <c r="E970" s="2" t="str">
        <f>VLOOKUP(bron[[#This Row],[personeelsnr]],'data hastus'!A:K,11,FALSE)</f>
        <v>Kenneth De Rick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3800</v>
      </c>
      <c r="V970" s="26"/>
      <c r="W970" s="26"/>
      <c r="X970" t="s">
        <v>3493</v>
      </c>
      <c r="Y970" t="s">
        <v>3799</v>
      </c>
      <c r="Z970" s="2">
        <v>5273</v>
      </c>
      <c r="AA970" s="32" t="s">
        <v>3538</v>
      </c>
      <c r="AB970">
        <f ca="1">COUNTIF(B:B,bron[[#This Row],[volledige naam]])</f>
        <v>1</v>
      </c>
    </row>
    <row r="971" spans="1:28" x14ac:dyDescent="0.25">
      <c r="A971" s="39">
        <v>33400</v>
      </c>
      <c r="B971" t="str">
        <f>_xlfn.CONCAT(bron[[#This Row],[personeelsnr]]," ",bron[[#This Row],[achternaam]]," ",bron[[#This Row],[voornaam]])</f>
        <v>33400 Petit Cynthia</v>
      </c>
      <c r="C971" t="str">
        <f>VLOOKUP(bron[[#This Row],[personeelsnr]],'data hastus'!$A:$C,2,0)</f>
        <v>Petit</v>
      </c>
      <c r="D971" t="str">
        <f>VLOOKUP(bron[[#This Row],[personeelsnr]],'data hastus'!$A:$C,3,0)</f>
        <v>Cynthia</v>
      </c>
      <c r="E971" s="2" t="str">
        <f>VLOOKUP(bron[[#This Row],[personeelsnr]],'data hastus'!A:K,11,FALSE)</f>
        <v>Christoff Rotty</v>
      </c>
      <c r="F971" s="10"/>
      <c r="G971" s="28"/>
      <c r="H971" s="28"/>
      <c r="I971" s="28"/>
      <c r="S971" s="25">
        <f>SUM(bron[[#This Row],[Januari]:[December]])</f>
        <v>0</v>
      </c>
      <c r="T971" s="30">
        <v>45980</v>
      </c>
      <c r="U971" s="5" t="s">
        <v>3788</v>
      </c>
      <c r="V971" s="26"/>
      <c r="W971" s="26"/>
      <c r="X971" t="s">
        <v>3528</v>
      </c>
      <c r="Y971" t="s">
        <v>838</v>
      </c>
      <c r="Z971" s="2">
        <v>6368</v>
      </c>
      <c r="AA971" s="32" t="s">
        <v>3539</v>
      </c>
      <c r="AB971">
        <f ca="1">COUNTIF(B:B,bron[[#This Row],[volledige naam]])</f>
        <v>3</v>
      </c>
    </row>
    <row r="972" spans="1:28" x14ac:dyDescent="0.25">
      <c r="A972" s="39">
        <v>42336</v>
      </c>
      <c r="B972" t="str">
        <f>_xlfn.CONCAT(bron[[#This Row],[personeelsnr]]," ",bron[[#This Row],[achternaam]]," ",bron[[#This Row],[voornaam]])</f>
        <v>42336 Camgöz Furkan</v>
      </c>
      <c r="C972" t="str">
        <f>VLOOKUP(bron[[#This Row],[personeelsnr]],'data hastus'!$A:$C,2,0)</f>
        <v>Camgöz</v>
      </c>
      <c r="D972" t="str">
        <f>VLOOKUP(bron[[#This Row],[personeelsnr]],'data hastus'!$A:$C,3,0)</f>
        <v>Furkan</v>
      </c>
      <c r="E972" s="2">
        <f>VLOOKUP(bron[[#This Row],[personeelsnr]],'data hastus'!A:K,11,FALSE)</f>
        <v>0</v>
      </c>
      <c r="F972" s="10"/>
      <c r="G972" s="28"/>
      <c r="H972" s="28"/>
      <c r="I972" s="28"/>
      <c r="S972" s="25">
        <f>SUM(bron[[#This Row],[Januari]:[December]])</f>
        <v>0</v>
      </c>
      <c r="T972" s="30">
        <v>45981</v>
      </c>
      <c r="U972" s="5" t="s">
        <v>3793</v>
      </c>
      <c r="V972" s="26"/>
      <c r="W972" s="26"/>
      <c r="X972" t="s">
        <v>3492</v>
      </c>
      <c r="Y972" t="s">
        <v>223</v>
      </c>
      <c r="Z972" s="2">
        <v>5912</v>
      </c>
      <c r="AA972" s="32" t="s">
        <v>3538</v>
      </c>
      <c r="AB972">
        <f ca="1">COUNTIF(B:B,bron[[#This Row],[volledige naam]])</f>
        <v>1</v>
      </c>
    </row>
    <row r="973" spans="1:28" x14ac:dyDescent="0.25">
      <c r="A973" s="39">
        <v>39558</v>
      </c>
      <c r="B973" t="str">
        <f>_xlfn.CONCAT(bron[[#This Row],[personeelsnr]]," ",bron[[#This Row],[achternaam]]," ",bron[[#This Row],[voornaam]])</f>
        <v>39558 De Groote Cedric</v>
      </c>
      <c r="C973" t="str">
        <f>VLOOKUP(bron[[#This Row],[personeelsnr]],'data hastus'!$A:$C,2,0)</f>
        <v>De Groote</v>
      </c>
      <c r="D973" t="str">
        <f>VLOOKUP(bron[[#This Row],[personeelsnr]],'data hastus'!$A:$C,3,0)</f>
        <v>Cedric</v>
      </c>
      <c r="E973" s="2" t="str">
        <f>VLOOKUP(bron[[#This Row],[personeelsnr]],'data hastus'!A:K,11,FALSE)</f>
        <v>Steven Storm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3797</v>
      </c>
      <c r="V973" s="26"/>
      <c r="W973" s="26"/>
      <c r="X973" t="s">
        <v>3493</v>
      </c>
      <c r="Y973" t="s">
        <v>266</v>
      </c>
      <c r="Z973" s="2">
        <v>5047</v>
      </c>
      <c r="AA973" s="32" t="s">
        <v>3538</v>
      </c>
      <c r="AB973">
        <f ca="1">COUNTIF(B:B,bron[[#This Row],[volledige naam]])</f>
        <v>2</v>
      </c>
    </row>
    <row r="974" spans="1:28" x14ac:dyDescent="0.25">
      <c r="A974" s="39">
        <v>27865</v>
      </c>
      <c r="B974" t="str">
        <f>_xlfn.CONCAT(bron[[#This Row],[personeelsnr]]," ",bron[[#This Row],[achternaam]]," ",bron[[#This Row],[voornaam]])</f>
        <v>27865 Olenski Leonard</v>
      </c>
      <c r="C974" t="str">
        <f>VLOOKUP(bron[[#This Row],[personeelsnr]],'data hastus'!$A:$C,2,0)</f>
        <v>Olenski</v>
      </c>
      <c r="D974" t="str">
        <f>VLOOKUP(bron[[#This Row],[personeelsnr]],'data hastus'!$A:$C,3,0)</f>
        <v>Leonard</v>
      </c>
      <c r="E974" s="2" t="str">
        <f>VLOOKUP(bron[[#This Row],[personeelsnr]],'data hastus'!A:K,11,FALSE)</f>
        <v>Els Dewulf</v>
      </c>
      <c r="F974" s="10"/>
      <c r="G974" s="28"/>
      <c r="H974" s="28"/>
      <c r="I974" s="28"/>
      <c r="S974" s="25">
        <f>SUM(bron[[#This Row],[Januari]:[December]])</f>
        <v>0</v>
      </c>
      <c r="T974" s="30">
        <v>45982</v>
      </c>
      <c r="U974" s="5" t="s">
        <v>3801</v>
      </c>
      <c r="V974" s="26"/>
      <c r="W974" s="26"/>
      <c r="X974" t="s">
        <v>3528</v>
      </c>
      <c r="Y974" t="s">
        <v>6</v>
      </c>
      <c r="Z974" s="2">
        <v>6353</v>
      </c>
      <c r="AA974" s="32" t="s">
        <v>3538</v>
      </c>
      <c r="AB974">
        <f ca="1">COUNTIF(B:B,bron[[#This Row],[volledige naam]])</f>
        <v>1</v>
      </c>
    </row>
    <row r="975" spans="1:28" x14ac:dyDescent="0.25">
      <c r="A975" s="39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3803</v>
      </c>
      <c r="V975" s="26"/>
      <c r="W975" s="26"/>
      <c r="X975" t="s">
        <v>3492</v>
      </c>
      <c r="Y975" t="s">
        <v>3804</v>
      </c>
      <c r="Z975" s="2">
        <v>104023</v>
      </c>
      <c r="AA975" s="32" t="s">
        <v>3611</v>
      </c>
      <c r="AB975">
        <f ca="1">COUNTIF(B:B,bron[[#This Row],[volledige naam]])</f>
        <v>5</v>
      </c>
    </row>
    <row r="976" spans="1:28" x14ac:dyDescent="0.25">
      <c r="A976" s="39">
        <v>36627</v>
      </c>
      <c r="B976" t="str">
        <f>_xlfn.CONCAT(bron[[#This Row],[personeelsnr]]," ",bron[[#This Row],[achternaam]]," ",bron[[#This Row],[voornaam]])</f>
        <v>36627 Dobbelaere David</v>
      </c>
      <c r="C976" t="str">
        <f>VLOOKUP(bron[[#This Row],[personeelsnr]],'data hastus'!$A:$C,2,0)</f>
        <v>Dobbelaere</v>
      </c>
      <c r="D976" t="str">
        <f>VLOOKUP(bron[[#This Row],[personeelsnr]],'data hastus'!$A:$C,3,0)</f>
        <v>David</v>
      </c>
      <c r="E976" s="2" t="str">
        <f>VLOOKUP(bron[[#This Row],[personeelsnr]],'data hastus'!A:K,11,FALSE)</f>
        <v>Els Dewulf</v>
      </c>
      <c r="F976" s="10"/>
      <c r="G976" s="28"/>
      <c r="H976" s="28"/>
      <c r="I976" s="28"/>
      <c r="S976" s="25">
        <f>SUM(bron[[#This Row],[Januari]:[December]])</f>
        <v>0</v>
      </c>
      <c r="T976" s="30">
        <v>45984</v>
      </c>
      <c r="U976" s="5" t="s">
        <v>3841</v>
      </c>
      <c r="V976" s="26"/>
      <c r="W976" s="26"/>
      <c r="X976" t="s">
        <v>3493</v>
      </c>
      <c r="Y976" t="s">
        <v>3734</v>
      </c>
      <c r="Z976" s="2">
        <v>5260</v>
      </c>
      <c r="AA976" s="32" t="s">
        <v>3538</v>
      </c>
      <c r="AB976">
        <f ca="1">COUNTIF(B:B,bron[[#This Row],[volledige naam]])</f>
        <v>4</v>
      </c>
    </row>
    <row r="977" spans="1:28" x14ac:dyDescent="0.25">
      <c r="A977" s="39">
        <v>12124</v>
      </c>
      <c r="B977" t="str">
        <f>_xlfn.CONCAT(bron[[#This Row],[personeelsnr]]," ",bron[[#This Row],[achternaam]]," ",bron[[#This Row],[voornaam]])</f>
        <v>12124 Van Vliet Tom</v>
      </c>
      <c r="C977" t="str">
        <f>VLOOKUP(bron[[#This Row],[personeelsnr]],'data hastus'!$A:$C,2,0)</f>
        <v>Van Vliet</v>
      </c>
      <c r="D977" t="str">
        <f>VLOOKUP(bron[[#This Row],[personeelsnr]],'data hastus'!$A:$C,3,0)</f>
        <v>Tom</v>
      </c>
      <c r="E977" s="2" t="str">
        <f>VLOOKUP(bron[[#This Row],[personeelsnr]],'data hastus'!A:K,11,FALSE)</f>
        <v>Steven Storm</v>
      </c>
      <c r="F977" s="10"/>
      <c r="G977" s="28"/>
      <c r="H977" s="28"/>
      <c r="I977" s="28"/>
      <c r="S977" s="25">
        <f>SUM(bron[[#This Row],[Januari]:[December]])</f>
        <v>0</v>
      </c>
      <c r="T977" s="30">
        <v>45984</v>
      </c>
      <c r="U977" s="8" t="s">
        <v>3874</v>
      </c>
      <c r="V977" s="26"/>
      <c r="W977" s="26"/>
      <c r="X977" t="s">
        <v>3528</v>
      </c>
      <c r="Y977" t="s">
        <v>838</v>
      </c>
      <c r="Z977" s="2">
        <v>6366</v>
      </c>
      <c r="AA977" s="32" t="s">
        <v>3539</v>
      </c>
      <c r="AB977">
        <f ca="1">COUNTIF(B:B,bron[[#This Row],[volledige naam]])</f>
        <v>4</v>
      </c>
    </row>
    <row r="978" spans="1:28" x14ac:dyDescent="0.25">
      <c r="A978" s="39">
        <v>41482</v>
      </c>
      <c r="B978" t="str">
        <f>_xlfn.CONCAT(bron[[#This Row],[personeelsnr]]," ",bron[[#This Row],[achternaam]]," ",bron[[#This Row],[voornaam]])</f>
        <v>41482 Özdemir Osman</v>
      </c>
      <c r="C978" t="str">
        <f>VLOOKUP(bron[[#This Row],[personeelsnr]],'data hastus'!$A:$C,2,0)</f>
        <v>Özdemir</v>
      </c>
      <c r="D978" t="str">
        <f>VLOOKUP(bron[[#This Row],[personeelsnr]],'data hastus'!$A:$C,3,0)</f>
        <v>Osman</v>
      </c>
      <c r="E978" s="2" t="str">
        <f>VLOOKUP(bron[[#This Row],[personeelsnr]],'data hastus'!A:K,11,FALSE)</f>
        <v>Bart Van Der Beken</v>
      </c>
      <c r="F978" s="10"/>
      <c r="G978" s="28"/>
      <c r="H978" s="28"/>
      <c r="I978" s="28"/>
      <c r="S978" s="25">
        <f>SUM(bron[[#This Row],[Januari]:[December]])</f>
        <v>0</v>
      </c>
      <c r="T978" s="30">
        <v>45985</v>
      </c>
      <c r="U978" s="5" t="s">
        <v>3802</v>
      </c>
      <c r="V978" s="26"/>
      <c r="W978" s="26"/>
      <c r="X978" t="s">
        <v>3493</v>
      </c>
      <c r="Y978" t="s">
        <v>32</v>
      </c>
      <c r="Z978" s="2">
        <v>5054</v>
      </c>
      <c r="AA978" s="32" t="s">
        <v>3539</v>
      </c>
      <c r="AB978">
        <f ca="1">COUNTIF(B:B,bron[[#This Row],[volledige naam]])</f>
        <v>3</v>
      </c>
    </row>
    <row r="979" spans="1:28" x14ac:dyDescent="0.25">
      <c r="A979" s="39">
        <v>42307</v>
      </c>
      <c r="B979" t="str">
        <f>_xlfn.CONCAT(bron[[#This Row],[personeelsnr]]," ",bron[[#This Row],[achternaam]]," ",bron[[#This Row],[voornaam]])</f>
        <v>42307 Helleputte Jens</v>
      </c>
      <c r="C979" t="str">
        <f>VLOOKUP(bron[[#This Row],[personeelsnr]],'data hastus'!$A:$C,2,0)</f>
        <v>Helleputte</v>
      </c>
      <c r="D979" t="str">
        <f>VLOOKUP(bron[[#This Row],[personeelsnr]],'data hastus'!$A:$C,3,0)</f>
        <v>Jens</v>
      </c>
      <c r="E979" s="2" t="str">
        <f>VLOOKUP(bron[[#This Row],[personeelsnr]],'data hastus'!A:K,11,FALSE)</f>
        <v>Christoff Rotty</v>
      </c>
      <c r="F979" s="10"/>
      <c r="G979" s="28"/>
      <c r="H979" s="28"/>
      <c r="I979" s="28"/>
      <c r="S979" s="25">
        <f>SUM(bron[[#This Row],[Januari]:[December]])</f>
        <v>0</v>
      </c>
      <c r="T979" s="30">
        <v>45986</v>
      </c>
      <c r="U979" s="5" t="s">
        <v>3805</v>
      </c>
      <c r="V979" s="26"/>
      <c r="W979" s="26"/>
      <c r="X979" t="s">
        <v>3492</v>
      </c>
      <c r="Y979" t="s">
        <v>3806</v>
      </c>
      <c r="Z979" s="2">
        <v>5934</v>
      </c>
      <c r="AA979" s="32" t="s">
        <v>3538</v>
      </c>
      <c r="AB979">
        <f ca="1">COUNTIF(B:B,bron[[#This Row],[volledige naam]])</f>
        <v>3</v>
      </c>
    </row>
    <row r="980" spans="1:28" x14ac:dyDescent="0.25">
      <c r="A980" s="39">
        <v>25486</v>
      </c>
      <c r="B980" t="str">
        <f>_xlfn.CONCAT(bron[[#This Row],[personeelsnr]]," ",bron[[#This Row],[achternaam]]," ",bron[[#This Row],[voornaam]])</f>
        <v>25486 Goethals Bart</v>
      </c>
      <c r="C980" t="str">
        <f>VLOOKUP(bron[[#This Row],[personeelsnr]],'data hastus'!$A:$C,2,0)</f>
        <v>Goethals</v>
      </c>
      <c r="D980" t="str">
        <f>VLOOKUP(bron[[#This Row],[personeelsnr]],'data hastus'!$A:$C,3,0)</f>
        <v>Bart</v>
      </c>
      <c r="E980" s="2" t="str">
        <f>VLOOKUP(bron[[#This Row],[personeelsnr]],'data hastus'!A:K,11,FALSE)</f>
        <v>Christoff Rotty</v>
      </c>
      <c r="F980" s="10"/>
      <c r="G980" s="28"/>
      <c r="H980" s="28"/>
      <c r="I980" s="28"/>
      <c r="S980" s="25">
        <f>SUM(bron[[#This Row],[Januari]:[December]])</f>
        <v>0</v>
      </c>
      <c r="T980" s="30">
        <v>45988</v>
      </c>
      <c r="U980" s="22" t="s">
        <v>3844</v>
      </c>
      <c r="V980" s="26"/>
      <c r="W980" s="26"/>
      <c r="X980" t="s">
        <v>3492</v>
      </c>
      <c r="Y980" t="s">
        <v>787</v>
      </c>
      <c r="Z980" s="2">
        <v>5927</v>
      </c>
      <c r="AA980" s="32" t="s">
        <v>3538</v>
      </c>
      <c r="AB980">
        <f ca="1">COUNTIF(B:B,bron[[#This Row],[volledige naam]])</f>
        <v>1</v>
      </c>
    </row>
    <row r="981" spans="1:28" x14ac:dyDescent="0.25">
      <c r="A981" s="39">
        <v>29478</v>
      </c>
      <c r="B981" t="str">
        <f>_xlfn.CONCAT(bron[[#This Row],[personeelsnr]]," ",bron[[#This Row],[achternaam]]," ",bron[[#This Row],[voornaam]])</f>
        <v>29478 Priwall Heike</v>
      </c>
      <c r="C981" t="str">
        <f>VLOOKUP(bron[[#This Row],[personeelsnr]],'data hastus'!$A:$C,2,0)</f>
        <v>Priwall</v>
      </c>
      <c r="D981" t="str">
        <f>VLOOKUP(bron[[#This Row],[personeelsnr]],'data hastus'!$A:$C,3,0)</f>
        <v>Heike</v>
      </c>
      <c r="E981" s="2" t="str">
        <f>VLOOKUP(bron[[#This Row],[personeelsnr]],'data hastus'!A:K,11,FALSE)</f>
        <v>Els Dewulf</v>
      </c>
      <c r="F981" s="10"/>
      <c r="G981" s="28"/>
      <c r="H981" s="28"/>
      <c r="I981" s="28"/>
      <c r="S981" s="25">
        <f>SUM(bron[[#This Row],[Januari]:[December]])</f>
        <v>0</v>
      </c>
      <c r="T981" s="30">
        <v>45988</v>
      </c>
      <c r="U981" s="8" t="s">
        <v>3880</v>
      </c>
      <c r="V981" s="26"/>
      <c r="W981" s="26"/>
      <c r="X981" t="s">
        <v>3492</v>
      </c>
      <c r="Y981" t="s">
        <v>10</v>
      </c>
      <c r="Z981" s="2">
        <v>550310</v>
      </c>
      <c r="AA981" s="32" t="s">
        <v>3538</v>
      </c>
      <c r="AB981">
        <f ca="1">COUNTIF(B:B,bron[[#This Row],[volledige naam]])</f>
        <v>3</v>
      </c>
    </row>
    <row r="982" spans="1:28" x14ac:dyDescent="0.25">
      <c r="A982" s="39">
        <v>36635</v>
      </c>
      <c r="B982" t="str">
        <f ca="1">_xlfn.CONCAT(bron[[#This Row],[personeelsnr]]," ",bron[[#This Row],[achternaam]]," ",bron[[#This Row],[voornaam]])</f>
        <v>36635 Fadel Husam</v>
      </c>
      <c r="C982" t="str">
        <f ca="1">_xlfn.CONCAT(bron[[#This Row],[volledige naam]]," ",bron[[#This Row],[voornaam]]," ",bron[[#This Row],[teamcoach]])</f>
        <v>36635 Fadel Husam</v>
      </c>
      <c r="D982" t="str">
        <f ca="1">_xlfn.CONCAT(bron[[#This Row],[achternaam]]," ",bron[[#This Row],[teamcoach]]," ",bron[[#This Row],[Nt Meetelend 2025]])</f>
        <v>36635 Fadel Husam</v>
      </c>
      <c r="E982" t="str">
        <f ca="1">_xlfn.CONCAT(bron[[#This Row],[voornaam]]," ",bron[[#This Row],[Nt Meetelend 2025]]," ",bron[[#This Row],[Januari]])</f>
        <v>36635 Fadel Husam</v>
      </c>
      <c r="F982" s="10"/>
      <c r="G982" s="28"/>
      <c r="H982" s="28"/>
      <c r="I982" s="28"/>
      <c r="S982" s="25">
        <f>SUM(bron[[#This Row],[Januari]:[December]])</f>
        <v>0</v>
      </c>
      <c r="T982" s="30">
        <v>45988</v>
      </c>
      <c r="U982" s="5" t="s">
        <v>3875</v>
      </c>
      <c r="V982" s="26"/>
      <c r="W982" s="26"/>
      <c r="X982" t="s">
        <v>3492</v>
      </c>
      <c r="Y982" t="s">
        <v>94</v>
      </c>
      <c r="Z982" s="2">
        <v>5770</v>
      </c>
      <c r="AA982" s="32" t="s">
        <v>3538</v>
      </c>
      <c r="AB982">
        <f ca="1">COUNTIF(B:B,bron[[#This Row],[volledige naam]])</f>
        <v>4</v>
      </c>
    </row>
    <row r="983" spans="1:28" x14ac:dyDescent="0.25">
      <c r="A983" s="39">
        <v>36021</v>
      </c>
      <c r="F983" s="10"/>
      <c r="G983" s="28"/>
      <c r="H983" s="28"/>
      <c r="I983" s="28"/>
      <c r="S983" s="25">
        <f>SUM(bron[[#This Row],[Januari]:[December]])</f>
        <v>0</v>
      </c>
      <c r="V983" s="26"/>
      <c r="W983" s="26"/>
    </row>
    <row r="984" spans="1:28" x14ac:dyDescent="0.25">
      <c r="B984" t="e">
        <f>_xlfn.CONCAT(bron[[#This Row],[personeelsnr]]," ",bron[[#This Row],[achternaam]]," ",bron[[#This Row],[voornaam]])</f>
        <v>#N/A</v>
      </c>
      <c r="C984" t="e">
        <f>VLOOKUP(bron[[#This Row],[personeelsnr]],'data hastus'!$A:$C,2,0)</f>
        <v>#N/A</v>
      </c>
      <c r="D984" t="e">
        <f>VLOOKUP(bron[[#This Row],[personeelsnr]],'data hastus'!$A:$C,3,0)</f>
        <v>#N/A</v>
      </c>
      <c r="E984" s="2" t="e">
        <f>VLOOKUP(bron[[#This Row],[personeelsnr]],'data hastus'!A:K,11,FALSE)</f>
        <v>#N/A</v>
      </c>
      <c r="F984" s="10"/>
      <c r="G984" s="28"/>
      <c r="H984" s="28"/>
      <c r="I984" s="28"/>
      <c r="S984" s="25">
        <f>SUM(bron[[#This Row],[Januari]:[December]])</f>
        <v>0</v>
      </c>
      <c r="V984" s="26"/>
      <c r="W984" s="26"/>
      <c r="AB984">
        <f ca="1">COUNTIF(B:B,bron[[#This Row],[volledige naam]])</f>
        <v>19</v>
      </c>
    </row>
  </sheetData>
  <sheetProtection sort="0" autoFilter="0"/>
  <phoneticPr fontId="1" type="noConversion"/>
  <conditionalFormatting sqref="F2:F984">
    <cfRule type="cellIs" dxfId="24" priority="5" operator="equal">
      <formula>0</formula>
    </cfRule>
    <cfRule type="cellIs" dxfId="23" priority="7" operator="between">
      <formula>1</formula>
      <formula>4</formula>
    </cfRule>
    <cfRule type="cellIs" dxfId="22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  <hyperlink ref="U980" r:id="rId821" xr:uid="{36164D36-2CC1-4D35-98EA-C1FBAF0FF8EE}"/>
    <hyperlink ref="U977" r:id="rId822" display="../../../../../../:b:/r/teams/CTM-OTGentStad/Shared Documents/General/EAF/CSI(nieuwe sharepoint) 2025/11. November/EAF 6366 Gent 23112025.pdf?csf=1&amp;web=1&amp;e=cvlkvp" xr:uid="{0030A170-31C4-4842-A461-482572E7A865}"/>
  </hyperlinks>
  <pageMargins left="0.7" right="0.7" top="0.75" bottom="0.75" header="0.3" footer="0.3"/>
  <pageSetup paperSize="9" orientation="portrait" r:id="rId823"/>
  <drawing r:id="rId824"/>
  <tableParts count="1">
    <tablePart r:id="rId82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topLeftCell="A13" workbookViewId="0">
      <selection activeCell="L23" sqref="L23"/>
    </sheetView>
  </sheetViews>
  <sheetFormatPr defaultColWidth="9.140625" defaultRowHeight="15" x14ac:dyDescent="0.25"/>
  <cols>
    <col min="1" max="2" width="9.140625" style="33"/>
    <col min="3" max="3" width="41" style="33" bestFit="1" customWidth="1"/>
    <col min="4" max="4" width="21.42578125" style="33" bestFit="1" customWidth="1"/>
    <col min="5" max="5" width="10.140625" style="33" bestFit="1" customWidth="1"/>
    <col min="6" max="6" width="31.5703125" style="33" bestFit="1" customWidth="1"/>
    <col min="7" max="7" width="16.7109375" style="33" bestFit="1" customWidth="1"/>
    <col min="8" max="8" width="9.42578125" style="33" bestFit="1" customWidth="1"/>
    <col min="9" max="9" width="13.85546875" style="33" bestFit="1" customWidth="1"/>
    <col min="10" max="10" width="21" style="33" bestFit="1" customWidth="1"/>
    <col min="11" max="25" width="10.42578125" style="33" bestFit="1" customWidth="1"/>
    <col min="26" max="34" width="9.42578125" style="33" bestFit="1" customWidth="1"/>
    <col min="35" max="47" width="10.42578125" style="33" bestFit="1" customWidth="1"/>
    <col min="48" max="53" width="9.42578125" style="33" bestFit="1" customWidth="1"/>
    <col min="54" max="69" width="10.42578125" style="33" bestFit="1" customWidth="1"/>
    <col min="70" max="75" width="9.42578125" style="33" bestFit="1" customWidth="1"/>
    <col min="76" max="93" width="10.42578125" style="33" bestFit="1" customWidth="1"/>
    <col min="94" max="101" width="9.42578125" style="33" bestFit="1" customWidth="1"/>
    <col min="102" max="115" width="10.42578125" style="33" bestFit="1" customWidth="1"/>
    <col min="116" max="120" width="9.42578125" style="33" bestFit="1" customWidth="1"/>
    <col min="121" max="137" width="10.42578125" style="33" bestFit="1" customWidth="1"/>
    <col min="138" max="144" width="9.42578125" style="33" bestFit="1" customWidth="1"/>
    <col min="145" max="159" width="10.42578125" style="33" bestFit="1" customWidth="1"/>
    <col min="160" max="166" width="9.42578125" style="33" bestFit="1" customWidth="1"/>
    <col min="167" max="177" width="10.42578125" style="33" bestFit="1" customWidth="1"/>
    <col min="178" max="185" width="9.42578125" style="33" bestFit="1" customWidth="1"/>
    <col min="186" max="201" width="10.42578125" style="33" bestFit="1" customWidth="1"/>
    <col min="202" max="208" width="9.42578125" style="33" bestFit="1" customWidth="1"/>
    <col min="209" max="225" width="10.42578125" style="33" bestFit="1" customWidth="1"/>
    <col min="226" max="232" width="9.42578125" style="33" bestFit="1" customWidth="1"/>
    <col min="233" max="248" width="10.42578125" style="33" bestFit="1" customWidth="1"/>
    <col min="249" max="255" width="9.42578125" style="33" bestFit="1" customWidth="1"/>
    <col min="256" max="271" width="10.42578125" style="33" bestFit="1" customWidth="1"/>
    <col min="272" max="275" width="9.42578125" style="33" bestFit="1" customWidth="1"/>
    <col min="276" max="293" width="10.42578125" style="33" bestFit="1" customWidth="1"/>
    <col min="294" max="299" width="9.42578125" style="33" bestFit="1" customWidth="1"/>
    <col min="300" max="315" width="10.42578125" style="33" bestFit="1" customWidth="1"/>
    <col min="316" max="322" width="9.42578125" style="33" bestFit="1" customWidth="1"/>
    <col min="323" max="338" width="10.42578125" style="33" bestFit="1" customWidth="1"/>
    <col min="339" max="344" width="9.42578125" style="33" bestFit="1" customWidth="1"/>
    <col min="345" max="358" width="10.42578125" style="33" bestFit="1" customWidth="1"/>
    <col min="359" max="366" width="9.42578125" style="33" bestFit="1" customWidth="1"/>
    <col min="367" max="379" width="10.42578125" style="33" bestFit="1" customWidth="1"/>
    <col min="380" max="385" width="9.42578125" style="33" bestFit="1" customWidth="1"/>
    <col min="386" max="397" width="10.42578125" style="33" bestFit="1" customWidth="1"/>
    <col min="398" max="405" width="9.42578125" style="33" bestFit="1" customWidth="1"/>
    <col min="406" max="422" width="10.42578125" style="33" bestFit="1" customWidth="1"/>
    <col min="423" max="427" width="9.42578125" style="33" bestFit="1" customWidth="1"/>
    <col min="428" max="439" width="10.42578125" style="33" bestFit="1" customWidth="1"/>
    <col min="440" max="446" width="9.42578125" style="33" bestFit="1" customWidth="1"/>
    <col min="447" max="460" width="10.42578125" style="33" bestFit="1" customWidth="1"/>
    <col min="461" max="465" width="9.42578125" style="33" bestFit="1" customWidth="1"/>
    <col min="466" max="484" width="10.42578125" style="33" bestFit="1" customWidth="1"/>
    <col min="485" max="491" width="9.42578125" style="33" bestFit="1" customWidth="1"/>
    <col min="492" max="504" width="10.42578125" style="33" bestFit="1" customWidth="1"/>
    <col min="505" max="505" width="6.28515625" style="33" bestFit="1" customWidth="1"/>
    <col min="506" max="506" width="10.140625" style="33" bestFit="1" customWidth="1"/>
    <col min="507" max="16384" width="9.140625" style="33"/>
  </cols>
  <sheetData>
    <row r="10" spans="3:10" x14ac:dyDescent="0.25">
      <c r="C10" s="1" t="s">
        <v>3807</v>
      </c>
      <c r="D10" t="s">
        <v>3828</v>
      </c>
      <c r="F10" s="1" t="s">
        <v>3807</v>
      </c>
      <c r="G10" t="s">
        <v>0</v>
      </c>
      <c r="I10" s="1" t="s">
        <v>3807</v>
      </c>
      <c r="J10" t="s">
        <v>0</v>
      </c>
    </row>
    <row r="11" spans="3:10" x14ac:dyDescent="0.25">
      <c r="C11" s="2" t="s">
        <v>3827</v>
      </c>
      <c r="D11">
        <v>9</v>
      </c>
      <c r="F11" s="2" t="s">
        <v>3528</v>
      </c>
      <c r="G11">
        <v>44</v>
      </c>
      <c r="I11" s="2" t="s">
        <v>35</v>
      </c>
      <c r="J11">
        <v>75</v>
      </c>
    </row>
    <row r="12" spans="3:10" x14ac:dyDescent="0.25">
      <c r="C12" s="2" t="s">
        <v>1</v>
      </c>
      <c r="D12">
        <v>7</v>
      </c>
      <c r="F12" s="2" t="s">
        <v>3491</v>
      </c>
      <c r="G12">
        <v>179</v>
      </c>
      <c r="I12" s="2" t="s">
        <v>44</v>
      </c>
      <c r="J12">
        <v>73</v>
      </c>
    </row>
    <row r="13" spans="3:10" x14ac:dyDescent="0.25">
      <c r="C13" s="2" t="s">
        <v>5</v>
      </c>
      <c r="D13">
        <v>6</v>
      </c>
      <c r="F13" s="2" t="s">
        <v>3527</v>
      </c>
      <c r="G13">
        <v>73</v>
      </c>
      <c r="I13" s="2" t="s">
        <v>38</v>
      </c>
      <c r="J13">
        <v>70</v>
      </c>
    </row>
    <row r="14" spans="3:10" x14ac:dyDescent="0.25">
      <c r="C14" s="2" t="s">
        <v>7</v>
      </c>
      <c r="D14">
        <v>5</v>
      </c>
      <c r="F14" s="2" t="s">
        <v>3492</v>
      </c>
      <c r="G14">
        <v>168</v>
      </c>
      <c r="I14" s="2" t="s">
        <v>41</v>
      </c>
      <c r="J14">
        <v>56</v>
      </c>
    </row>
    <row r="15" spans="3:10" x14ac:dyDescent="0.25">
      <c r="C15" s="2" t="s">
        <v>13</v>
      </c>
      <c r="D15">
        <v>4</v>
      </c>
      <c r="F15" s="2" t="s">
        <v>65</v>
      </c>
      <c r="G15">
        <v>464</v>
      </c>
      <c r="I15" s="2" t="s">
        <v>47</v>
      </c>
      <c r="J15">
        <v>53</v>
      </c>
    </row>
    <row r="16" spans="3:10" x14ac:dyDescent="0.25">
      <c r="C16" s="2" t="s">
        <v>9</v>
      </c>
      <c r="D16">
        <v>4</v>
      </c>
      <c r="I16" s="2" t="s">
        <v>53</v>
      </c>
      <c r="J16">
        <v>44</v>
      </c>
    </row>
    <row r="17" spans="3:10" x14ac:dyDescent="0.25">
      <c r="C17" s="2" t="s">
        <v>11</v>
      </c>
      <c r="D17">
        <v>4</v>
      </c>
      <c r="I17" s="2" t="s">
        <v>50</v>
      </c>
      <c r="J17">
        <v>39</v>
      </c>
    </row>
    <row r="18" spans="3:10" x14ac:dyDescent="0.25">
      <c r="C18" s="2" t="s">
        <v>31</v>
      </c>
      <c r="D18">
        <v>3</v>
      </c>
      <c r="I18" s="2" t="s">
        <v>56</v>
      </c>
      <c r="J18">
        <v>39</v>
      </c>
    </row>
    <row r="19" spans="3:10" x14ac:dyDescent="0.25">
      <c r="C19" s="2" t="s">
        <v>29</v>
      </c>
      <c r="D19">
        <v>3</v>
      </c>
      <c r="I19" s="2" t="s">
        <v>59</v>
      </c>
      <c r="J19">
        <v>4</v>
      </c>
    </row>
    <row r="20" spans="3:10" x14ac:dyDescent="0.25">
      <c r="C20" s="2" t="s">
        <v>66</v>
      </c>
      <c r="D20">
        <v>3</v>
      </c>
      <c r="F20" s="1" t="s">
        <v>3807</v>
      </c>
      <c r="G20" t="s">
        <v>0</v>
      </c>
      <c r="I20" s="2" t="s">
        <v>65</v>
      </c>
      <c r="J20">
        <v>453</v>
      </c>
    </row>
    <row r="21" spans="3:10" x14ac:dyDescent="0.25">
      <c r="C21" s="2" t="s">
        <v>27</v>
      </c>
      <c r="D21">
        <v>3</v>
      </c>
      <c r="F21" s="2" t="s">
        <v>2</v>
      </c>
      <c r="G21">
        <v>26</v>
      </c>
    </row>
    <row r="22" spans="3:10" x14ac:dyDescent="0.25">
      <c r="C22" s="2" t="s">
        <v>17</v>
      </c>
      <c r="D22">
        <v>3</v>
      </c>
      <c r="F22" s="2" t="s">
        <v>6</v>
      </c>
      <c r="G22">
        <v>20</v>
      </c>
    </row>
    <row r="23" spans="3:10" x14ac:dyDescent="0.25">
      <c r="C23" s="2" t="s">
        <v>19</v>
      </c>
      <c r="D23">
        <v>3</v>
      </c>
      <c r="F23" s="2" t="s">
        <v>8</v>
      </c>
      <c r="G23">
        <v>13</v>
      </c>
      <c r="I23" s="1" t="s">
        <v>3877</v>
      </c>
      <c r="J23" t="s">
        <v>3879</v>
      </c>
    </row>
    <row r="24" spans="3:10" x14ac:dyDescent="0.25">
      <c r="C24" s="2" t="s">
        <v>23</v>
      </c>
      <c r="D24">
        <v>3</v>
      </c>
      <c r="F24" s="2" t="s">
        <v>10</v>
      </c>
      <c r="G24">
        <v>12</v>
      </c>
      <c r="I24" s="41">
        <v>0</v>
      </c>
      <c r="J24" s="36">
        <v>35</v>
      </c>
    </row>
    <row r="25" spans="3:10" x14ac:dyDescent="0.25">
      <c r="C25" s="2" t="s">
        <v>15</v>
      </c>
      <c r="D25">
        <v>3</v>
      </c>
      <c r="F25" s="2" t="s">
        <v>12</v>
      </c>
      <c r="G25">
        <v>12</v>
      </c>
      <c r="I25" s="41">
        <v>1</v>
      </c>
      <c r="J25" s="36">
        <v>61</v>
      </c>
    </row>
    <row r="26" spans="3:10" x14ac:dyDescent="0.25">
      <c r="C26" s="2" t="s">
        <v>25</v>
      </c>
      <c r="D26">
        <v>3</v>
      </c>
      <c r="F26" s="2" t="s">
        <v>16</v>
      </c>
      <c r="G26">
        <v>10</v>
      </c>
      <c r="I26" s="41">
        <v>2</v>
      </c>
      <c r="J26" s="36">
        <v>43</v>
      </c>
    </row>
    <row r="27" spans="3:10" x14ac:dyDescent="0.25">
      <c r="C27" s="2" t="s">
        <v>84</v>
      </c>
      <c r="D27">
        <v>3</v>
      </c>
      <c r="F27" s="2" t="s">
        <v>20</v>
      </c>
      <c r="G27">
        <v>10</v>
      </c>
      <c r="I27" s="41">
        <v>3</v>
      </c>
      <c r="J27" s="36">
        <v>30</v>
      </c>
    </row>
    <row r="28" spans="3:10" x14ac:dyDescent="0.25">
      <c r="C28" s="2" t="s">
        <v>99</v>
      </c>
      <c r="D28">
        <v>3</v>
      </c>
      <c r="F28" s="2" t="s">
        <v>32</v>
      </c>
      <c r="G28">
        <v>9</v>
      </c>
      <c r="I28" s="41">
        <v>4</v>
      </c>
      <c r="J28" s="36">
        <v>23</v>
      </c>
    </row>
    <row r="29" spans="3:10" x14ac:dyDescent="0.25">
      <c r="C29" s="2" t="s">
        <v>57</v>
      </c>
      <c r="D29">
        <v>3</v>
      </c>
      <c r="F29" s="2" t="s">
        <v>18</v>
      </c>
      <c r="G29">
        <v>8</v>
      </c>
      <c r="I29" s="41">
        <v>5</v>
      </c>
      <c r="J29" s="36">
        <v>24</v>
      </c>
    </row>
    <row r="30" spans="3:10" x14ac:dyDescent="0.25">
      <c r="C30" s="2" t="s">
        <v>76</v>
      </c>
      <c r="D30">
        <v>3</v>
      </c>
      <c r="F30" s="2" t="s">
        <v>26</v>
      </c>
      <c r="G30">
        <v>8</v>
      </c>
      <c r="I30" s="41">
        <v>6</v>
      </c>
      <c r="J30" s="36">
        <v>13</v>
      </c>
    </row>
    <row r="31" spans="3:10" x14ac:dyDescent="0.25">
      <c r="C31" s="2" t="s">
        <v>216</v>
      </c>
      <c r="D31">
        <v>2</v>
      </c>
      <c r="F31" s="2" t="s">
        <v>22</v>
      </c>
      <c r="G31">
        <v>8</v>
      </c>
      <c r="I31" s="41">
        <v>7</v>
      </c>
      <c r="J31" s="36">
        <v>8</v>
      </c>
    </row>
    <row r="32" spans="3:10" x14ac:dyDescent="0.25">
      <c r="C32" s="2" t="s">
        <v>51</v>
      </c>
      <c r="D32">
        <v>2</v>
      </c>
      <c r="F32" s="2" t="s">
        <v>24</v>
      </c>
      <c r="G32">
        <v>7</v>
      </c>
      <c r="I32" s="41">
        <v>8</v>
      </c>
      <c r="J32" s="36">
        <v>12</v>
      </c>
    </row>
    <row r="33" spans="3:10" x14ac:dyDescent="0.25">
      <c r="C33" s="2" t="s">
        <v>328</v>
      </c>
      <c r="D33">
        <v>2</v>
      </c>
      <c r="F33" s="2" t="s">
        <v>14</v>
      </c>
      <c r="G33">
        <v>7</v>
      </c>
      <c r="I33" s="41">
        <v>9</v>
      </c>
      <c r="J33" s="36">
        <v>9</v>
      </c>
    </row>
    <row r="34" spans="3:10" x14ac:dyDescent="0.25">
      <c r="C34" s="2" t="s">
        <v>86</v>
      </c>
      <c r="D34">
        <v>2</v>
      </c>
      <c r="F34" s="2" t="s">
        <v>34</v>
      </c>
      <c r="G34">
        <v>7</v>
      </c>
      <c r="I34" s="41">
        <v>10</v>
      </c>
      <c r="J34" s="36">
        <v>7</v>
      </c>
    </row>
    <row r="35" spans="3:10" x14ac:dyDescent="0.25">
      <c r="C35" s="2" t="s">
        <v>63</v>
      </c>
      <c r="D35">
        <v>2</v>
      </c>
      <c r="F35" s="2" t="s">
        <v>30</v>
      </c>
      <c r="G35">
        <v>7</v>
      </c>
      <c r="I35" s="41">
        <v>11</v>
      </c>
      <c r="J35" s="36">
        <v>9</v>
      </c>
    </row>
    <row r="36" spans="3:10" x14ac:dyDescent="0.25">
      <c r="C36" s="2" t="s">
        <v>233</v>
      </c>
      <c r="D36">
        <v>2</v>
      </c>
      <c r="F36" s="2" t="s">
        <v>67</v>
      </c>
      <c r="G36">
        <v>6</v>
      </c>
      <c r="I36" s="41">
        <v>12</v>
      </c>
      <c r="J36" s="36">
        <v>1</v>
      </c>
    </row>
    <row r="37" spans="3:10" x14ac:dyDescent="0.25">
      <c r="C37" s="2" t="s">
        <v>101</v>
      </c>
      <c r="D37">
        <v>2</v>
      </c>
      <c r="F37" s="2" t="s">
        <v>81</v>
      </c>
      <c r="G37">
        <v>6</v>
      </c>
      <c r="I37" s="41">
        <v>13</v>
      </c>
      <c r="J37" s="36">
        <v>6</v>
      </c>
    </row>
    <row r="38" spans="3:10" x14ac:dyDescent="0.25">
      <c r="C38" s="2" t="s">
        <v>295</v>
      </c>
      <c r="D38">
        <v>2</v>
      </c>
      <c r="F38" s="2" t="s">
        <v>55</v>
      </c>
      <c r="G38">
        <v>6</v>
      </c>
      <c r="I38" s="41">
        <v>14</v>
      </c>
      <c r="J38" s="36">
        <v>15</v>
      </c>
    </row>
    <row r="39" spans="3:10" x14ac:dyDescent="0.25">
      <c r="C39" s="2" t="s">
        <v>173</v>
      </c>
      <c r="D39">
        <v>2</v>
      </c>
      <c r="F39" s="2" t="s">
        <v>58</v>
      </c>
      <c r="G39">
        <v>5</v>
      </c>
      <c r="I39" s="41">
        <v>15</v>
      </c>
      <c r="J39" s="36">
        <v>5</v>
      </c>
    </row>
    <row r="40" spans="3:10" x14ac:dyDescent="0.25">
      <c r="C40" s="2" t="s">
        <v>91</v>
      </c>
      <c r="D40">
        <v>2</v>
      </c>
      <c r="F40" s="2" t="s">
        <v>37</v>
      </c>
      <c r="G40">
        <v>5</v>
      </c>
      <c r="I40" s="41">
        <v>16</v>
      </c>
      <c r="J40" s="36">
        <v>6</v>
      </c>
    </row>
    <row r="41" spans="3:10" x14ac:dyDescent="0.25">
      <c r="C41" s="2" t="s">
        <v>220</v>
      </c>
      <c r="D41">
        <v>2</v>
      </c>
      <c r="F41" s="2" t="s">
        <v>94</v>
      </c>
      <c r="G41">
        <v>5</v>
      </c>
      <c r="I41" s="41">
        <v>17</v>
      </c>
      <c r="J41" s="36">
        <v>11</v>
      </c>
    </row>
    <row r="42" spans="3:10" x14ac:dyDescent="0.25">
      <c r="C42" s="2" t="s">
        <v>95</v>
      </c>
      <c r="D42">
        <v>2</v>
      </c>
      <c r="F42" s="2" t="s">
        <v>28</v>
      </c>
      <c r="G42">
        <v>5</v>
      </c>
      <c r="I42" s="41">
        <v>18</v>
      </c>
      <c r="J42" s="36">
        <v>12</v>
      </c>
    </row>
    <row r="43" spans="3:10" x14ac:dyDescent="0.25">
      <c r="C43" s="2" t="s">
        <v>45</v>
      </c>
      <c r="D43">
        <v>2</v>
      </c>
      <c r="F43" s="2" t="s">
        <v>61</v>
      </c>
      <c r="G43">
        <v>4</v>
      </c>
      <c r="I43" s="41">
        <v>19</v>
      </c>
      <c r="J43" s="36">
        <v>8</v>
      </c>
    </row>
    <row r="44" spans="3:10" x14ac:dyDescent="0.25">
      <c r="C44" s="2" t="s">
        <v>42</v>
      </c>
      <c r="D44">
        <v>2</v>
      </c>
      <c r="F44" s="2" t="s">
        <v>100</v>
      </c>
      <c r="G44">
        <v>4</v>
      </c>
      <c r="I44" s="41">
        <v>20</v>
      </c>
      <c r="J44" s="36">
        <v>4</v>
      </c>
    </row>
    <row r="45" spans="3:10" x14ac:dyDescent="0.25">
      <c r="C45" s="2" t="s">
        <v>68</v>
      </c>
      <c r="D45">
        <v>2</v>
      </c>
      <c r="F45" s="2" t="s">
        <v>87</v>
      </c>
      <c r="G45">
        <v>4</v>
      </c>
      <c r="I45" s="41">
        <v>21</v>
      </c>
      <c r="J45" s="36">
        <v>6</v>
      </c>
    </row>
    <row r="46" spans="3:10" x14ac:dyDescent="0.25">
      <c r="C46" s="2" t="s">
        <v>48</v>
      </c>
      <c r="D46">
        <v>2</v>
      </c>
      <c r="F46" s="2" t="s">
        <v>64</v>
      </c>
      <c r="G46">
        <v>4</v>
      </c>
      <c r="I46" s="41">
        <v>22</v>
      </c>
      <c r="J46" s="36">
        <v>6</v>
      </c>
    </row>
    <row r="47" spans="3:10" x14ac:dyDescent="0.25">
      <c r="C47" s="2" t="s">
        <v>74</v>
      </c>
      <c r="D47">
        <v>2</v>
      </c>
      <c r="F47" s="2" t="s">
        <v>40</v>
      </c>
      <c r="G47">
        <v>3</v>
      </c>
      <c r="I47" s="41">
        <v>23</v>
      </c>
      <c r="J47" s="36">
        <v>8</v>
      </c>
    </row>
    <row r="48" spans="3:10" x14ac:dyDescent="0.25">
      <c r="C48" s="2" t="s">
        <v>119</v>
      </c>
      <c r="D48">
        <v>2</v>
      </c>
      <c r="F48" s="2" t="s">
        <v>246</v>
      </c>
      <c r="G48">
        <v>3</v>
      </c>
      <c r="I48" s="41">
        <v>24</v>
      </c>
      <c r="J48" s="36">
        <v>5</v>
      </c>
    </row>
    <row r="49" spans="3:10" x14ac:dyDescent="0.25">
      <c r="C49" s="2" t="s">
        <v>72</v>
      </c>
      <c r="D49">
        <v>2</v>
      </c>
      <c r="F49" s="2" t="s">
        <v>647</v>
      </c>
      <c r="G49">
        <v>3</v>
      </c>
      <c r="I49" s="41">
        <v>25</v>
      </c>
      <c r="J49" s="36">
        <v>7</v>
      </c>
    </row>
    <row r="50" spans="3:10" x14ac:dyDescent="0.25">
      <c r="C50" s="2" t="s">
        <v>297</v>
      </c>
      <c r="D50">
        <v>2</v>
      </c>
      <c r="F50" s="2" t="s">
        <v>644</v>
      </c>
      <c r="G50">
        <v>3</v>
      </c>
      <c r="I50" s="41">
        <v>26</v>
      </c>
      <c r="J50" s="36">
        <v>6</v>
      </c>
    </row>
    <row r="51" spans="3:10" x14ac:dyDescent="0.25">
      <c r="C51" s="2" t="s">
        <v>82</v>
      </c>
      <c r="D51">
        <v>2</v>
      </c>
      <c r="F51" s="2" t="s">
        <v>71</v>
      </c>
      <c r="G51">
        <v>3</v>
      </c>
      <c r="I51" s="41">
        <v>27</v>
      </c>
      <c r="J51" s="36">
        <v>3</v>
      </c>
    </row>
    <row r="52" spans="3:10" x14ac:dyDescent="0.25">
      <c r="C52" s="2" t="s">
        <v>54</v>
      </c>
      <c r="D52">
        <v>2</v>
      </c>
      <c r="F52" s="2" t="s">
        <v>112</v>
      </c>
      <c r="G52">
        <v>3</v>
      </c>
      <c r="I52" s="41">
        <v>28</v>
      </c>
      <c r="J52" s="36">
        <v>4</v>
      </c>
    </row>
    <row r="53" spans="3:10" x14ac:dyDescent="0.25">
      <c r="C53" s="2" t="s">
        <v>210</v>
      </c>
      <c r="D53">
        <v>2</v>
      </c>
      <c r="F53" s="2" t="s">
        <v>150</v>
      </c>
      <c r="G53">
        <v>3</v>
      </c>
      <c r="I53" s="41">
        <v>29</v>
      </c>
      <c r="J53" s="36">
        <v>5</v>
      </c>
    </row>
    <row r="54" spans="3:10" x14ac:dyDescent="0.25">
      <c r="C54" s="2" t="s">
        <v>103</v>
      </c>
      <c r="D54">
        <v>2</v>
      </c>
      <c r="F54" s="2" t="s">
        <v>729</v>
      </c>
      <c r="G54">
        <v>3</v>
      </c>
      <c r="I54" s="41">
        <v>30</v>
      </c>
      <c r="J54" s="36">
        <v>1</v>
      </c>
    </row>
    <row r="55" spans="3:10" x14ac:dyDescent="0.25">
      <c r="C55" s="2" t="s">
        <v>88</v>
      </c>
      <c r="D55">
        <v>2</v>
      </c>
      <c r="F55" s="2" t="s">
        <v>46</v>
      </c>
      <c r="G55">
        <v>3</v>
      </c>
      <c r="I55" s="41">
        <v>32</v>
      </c>
      <c r="J55" s="36">
        <v>1</v>
      </c>
    </row>
    <row r="56" spans="3:10" x14ac:dyDescent="0.25">
      <c r="C56" s="2" t="s">
        <v>107</v>
      </c>
      <c r="D56">
        <v>2</v>
      </c>
      <c r="F56" s="2" t="s">
        <v>49</v>
      </c>
      <c r="G56">
        <v>3</v>
      </c>
      <c r="I56" s="41">
        <v>33</v>
      </c>
      <c r="J56" s="36">
        <v>3</v>
      </c>
    </row>
    <row r="57" spans="3:10" x14ac:dyDescent="0.25">
      <c r="C57" s="2" t="s">
        <v>93</v>
      </c>
      <c r="D57">
        <v>2</v>
      </c>
      <c r="F57" s="2" t="s">
        <v>3734</v>
      </c>
      <c r="G57">
        <v>3</v>
      </c>
      <c r="I57" s="41">
        <v>34</v>
      </c>
      <c r="J57" s="36">
        <v>2</v>
      </c>
    </row>
    <row r="58" spans="3:10" x14ac:dyDescent="0.25">
      <c r="C58" s="2" t="s">
        <v>329</v>
      </c>
      <c r="D58">
        <v>2</v>
      </c>
      <c r="F58" s="2" t="s">
        <v>98</v>
      </c>
      <c r="G58">
        <v>3</v>
      </c>
      <c r="I58" s="41">
        <v>36</v>
      </c>
      <c r="J58" s="36">
        <v>2</v>
      </c>
    </row>
    <row r="59" spans="3:10" x14ac:dyDescent="0.25">
      <c r="C59" s="2" t="s">
        <v>97</v>
      </c>
      <c r="D59">
        <v>2</v>
      </c>
      <c r="F59" s="2" t="s">
        <v>89</v>
      </c>
      <c r="G59">
        <v>3</v>
      </c>
      <c r="I59" s="41">
        <v>37</v>
      </c>
      <c r="J59" s="36">
        <v>1</v>
      </c>
    </row>
    <row r="60" spans="3:10" x14ac:dyDescent="0.25">
      <c r="C60" s="2" t="s">
        <v>337</v>
      </c>
      <c r="D60">
        <v>2</v>
      </c>
      <c r="F60" s="2" t="s">
        <v>589</v>
      </c>
      <c r="G60">
        <v>3</v>
      </c>
      <c r="I60" s="37" t="s">
        <v>65</v>
      </c>
      <c r="J60" s="36">
        <v>402</v>
      </c>
    </row>
    <row r="61" spans="3:10" x14ac:dyDescent="0.25">
      <c r="C61" s="2" t="s">
        <v>292</v>
      </c>
      <c r="D61">
        <v>2</v>
      </c>
      <c r="F61" s="2" t="s">
        <v>43</v>
      </c>
      <c r="G61">
        <v>3</v>
      </c>
    </row>
    <row r="62" spans="3:10" x14ac:dyDescent="0.25">
      <c r="C62" s="2" t="s">
        <v>115</v>
      </c>
      <c r="D62">
        <v>2</v>
      </c>
      <c r="F62" s="2" t="s">
        <v>144</v>
      </c>
      <c r="G62">
        <v>3</v>
      </c>
    </row>
    <row r="63" spans="3:10" x14ac:dyDescent="0.25">
      <c r="C63" s="2" t="s">
        <v>70</v>
      </c>
      <c r="D63">
        <v>2</v>
      </c>
      <c r="F63" s="2" t="s">
        <v>52</v>
      </c>
      <c r="G63">
        <v>3</v>
      </c>
    </row>
    <row r="64" spans="3:10" x14ac:dyDescent="0.25">
      <c r="C64" s="2" t="s">
        <v>3639</v>
      </c>
      <c r="D64">
        <v>2</v>
      </c>
      <c r="F64" s="2" t="s">
        <v>114</v>
      </c>
      <c r="G64">
        <v>3</v>
      </c>
    </row>
    <row r="65" spans="3:7" x14ac:dyDescent="0.25">
      <c r="C65" s="2" t="s">
        <v>169</v>
      </c>
      <c r="D65">
        <v>2</v>
      </c>
      <c r="F65" s="2" t="s">
        <v>223</v>
      </c>
      <c r="G65">
        <v>3</v>
      </c>
    </row>
    <row r="66" spans="3:7" x14ac:dyDescent="0.25">
      <c r="C66" s="2" t="s">
        <v>117</v>
      </c>
      <c r="D66">
        <v>2</v>
      </c>
      <c r="F66" s="2" t="s">
        <v>199</v>
      </c>
      <c r="G66">
        <v>3</v>
      </c>
    </row>
    <row r="67" spans="3:7" x14ac:dyDescent="0.25">
      <c r="C67" s="2" t="s">
        <v>33</v>
      </c>
      <c r="D67">
        <v>2</v>
      </c>
      <c r="F67" s="2" t="s">
        <v>180</v>
      </c>
      <c r="G67">
        <v>2</v>
      </c>
    </row>
    <row r="68" spans="3:7" x14ac:dyDescent="0.25">
      <c r="C68" s="2" t="s">
        <v>39</v>
      </c>
      <c r="D68">
        <v>2</v>
      </c>
      <c r="F68" s="2" t="s">
        <v>3616</v>
      </c>
      <c r="G68">
        <v>2</v>
      </c>
    </row>
    <row r="69" spans="3:7" x14ac:dyDescent="0.25">
      <c r="C69" s="2" t="s">
        <v>105</v>
      </c>
      <c r="D69">
        <v>2</v>
      </c>
      <c r="F69" s="2" t="s">
        <v>85</v>
      </c>
      <c r="G69">
        <v>2</v>
      </c>
    </row>
    <row r="70" spans="3:7" x14ac:dyDescent="0.25">
      <c r="C70" s="2" t="s">
        <v>80</v>
      </c>
      <c r="D70">
        <v>2</v>
      </c>
      <c r="F70" s="2" t="s">
        <v>116</v>
      </c>
      <c r="G70">
        <v>2</v>
      </c>
    </row>
    <row r="71" spans="3:7" x14ac:dyDescent="0.25">
      <c r="C71" s="2" t="s">
        <v>151</v>
      </c>
      <c r="D71">
        <v>2</v>
      </c>
      <c r="F71" s="2" t="s">
        <v>221</v>
      </c>
      <c r="G71">
        <v>2</v>
      </c>
    </row>
    <row r="72" spans="3:7" x14ac:dyDescent="0.25">
      <c r="C72" s="2" t="s">
        <v>78</v>
      </c>
      <c r="D72">
        <v>2</v>
      </c>
      <c r="F72" s="2" t="s">
        <v>73</v>
      </c>
      <c r="G72">
        <v>2</v>
      </c>
    </row>
    <row r="73" spans="3:7" x14ac:dyDescent="0.25">
      <c r="C73" s="2" t="s">
        <v>109</v>
      </c>
      <c r="D73">
        <v>2</v>
      </c>
      <c r="F73" s="2" t="s">
        <v>217</v>
      </c>
      <c r="G73">
        <v>2</v>
      </c>
    </row>
    <row r="74" spans="3:7" x14ac:dyDescent="0.25">
      <c r="C74" s="2" t="s">
        <v>60</v>
      </c>
      <c r="D74">
        <v>2</v>
      </c>
      <c r="F74" s="2" t="s">
        <v>188</v>
      </c>
      <c r="G74">
        <v>2</v>
      </c>
    </row>
    <row r="75" spans="3:7" x14ac:dyDescent="0.25">
      <c r="C75" s="2" t="s">
        <v>318</v>
      </c>
      <c r="D75">
        <v>2</v>
      </c>
      <c r="F75" s="2" t="s">
        <v>946</v>
      </c>
      <c r="G75">
        <v>2</v>
      </c>
    </row>
    <row r="76" spans="3:7" x14ac:dyDescent="0.25">
      <c r="C76" s="2" t="s">
        <v>125</v>
      </c>
      <c r="D76">
        <v>2</v>
      </c>
      <c r="F76" s="2" t="s">
        <v>75</v>
      </c>
      <c r="G76">
        <v>2</v>
      </c>
    </row>
    <row r="77" spans="3:7" x14ac:dyDescent="0.25">
      <c r="C77" s="2" t="s">
        <v>113</v>
      </c>
      <c r="D77">
        <v>2</v>
      </c>
      <c r="F77" s="2" t="s">
        <v>468</v>
      </c>
      <c r="G77">
        <v>2</v>
      </c>
    </row>
    <row r="78" spans="3:7" x14ac:dyDescent="0.25">
      <c r="C78" s="2" t="s">
        <v>288</v>
      </c>
      <c r="D78">
        <v>2</v>
      </c>
      <c r="F78" s="2" t="s">
        <v>3606</v>
      </c>
      <c r="G78">
        <v>2</v>
      </c>
    </row>
    <row r="79" spans="3:7" x14ac:dyDescent="0.25">
      <c r="C79" s="2" t="s">
        <v>263</v>
      </c>
      <c r="D79">
        <v>2</v>
      </c>
      <c r="F79" s="2" t="s">
        <v>559</v>
      </c>
      <c r="G79">
        <v>2</v>
      </c>
    </row>
    <row r="80" spans="3:7" x14ac:dyDescent="0.25">
      <c r="C80" s="2" t="s">
        <v>111</v>
      </c>
      <c r="D80">
        <v>2</v>
      </c>
      <c r="F80" s="2" t="s">
        <v>108</v>
      </c>
      <c r="G80">
        <v>2</v>
      </c>
    </row>
    <row r="81" spans="3:7" x14ac:dyDescent="0.25">
      <c r="C81" s="2" t="s">
        <v>336</v>
      </c>
      <c r="D81">
        <v>2</v>
      </c>
      <c r="F81" s="2" t="s">
        <v>718</v>
      </c>
      <c r="G81">
        <v>2</v>
      </c>
    </row>
    <row r="82" spans="3:7" x14ac:dyDescent="0.25">
      <c r="C82" s="2" t="s">
        <v>129</v>
      </c>
      <c r="D82">
        <v>1</v>
      </c>
      <c r="F82" s="2" t="s">
        <v>1304</v>
      </c>
      <c r="G82">
        <v>2</v>
      </c>
    </row>
    <row r="83" spans="3:7" x14ac:dyDescent="0.25">
      <c r="C83" s="2" t="s">
        <v>286</v>
      </c>
      <c r="D83">
        <v>1</v>
      </c>
      <c r="F83" s="2" t="s">
        <v>3530</v>
      </c>
      <c r="G83">
        <v>2</v>
      </c>
    </row>
    <row r="84" spans="3:7" x14ac:dyDescent="0.25">
      <c r="C84" s="2" t="s">
        <v>3677</v>
      </c>
      <c r="D84">
        <v>1</v>
      </c>
      <c r="F84" s="2" t="s">
        <v>215</v>
      </c>
      <c r="G84">
        <v>2</v>
      </c>
    </row>
    <row r="85" spans="3:7" x14ac:dyDescent="0.25">
      <c r="C85" s="2" t="s">
        <v>143</v>
      </c>
      <c r="D85">
        <v>1</v>
      </c>
      <c r="F85" s="2" t="s">
        <v>92</v>
      </c>
      <c r="G85">
        <v>2</v>
      </c>
    </row>
    <row r="86" spans="3:7" x14ac:dyDescent="0.25">
      <c r="C86" s="2" t="s">
        <v>3668</v>
      </c>
      <c r="D86">
        <v>1</v>
      </c>
      <c r="F86" s="2" t="s">
        <v>838</v>
      </c>
      <c r="G86">
        <v>2</v>
      </c>
    </row>
    <row r="87" spans="3:7" x14ac:dyDescent="0.25">
      <c r="C87" s="2" t="s">
        <v>147</v>
      </c>
      <c r="D87">
        <v>1</v>
      </c>
      <c r="F87" s="2" t="s">
        <v>3543</v>
      </c>
      <c r="G87">
        <v>2</v>
      </c>
    </row>
    <row r="88" spans="3:7" x14ac:dyDescent="0.25">
      <c r="C88" s="2" t="s">
        <v>131</v>
      </c>
      <c r="D88">
        <v>1</v>
      </c>
      <c r="F88" s="2" t="s">
        <v>110</v>
      </c>
      <c r="G88">
        <v>2</v>
      </c>
    </row>
    <row r="89" spans="3:7" x14ac:dyDescent="0.25">
      <c r="C89" s="2" t="s">
        <v>265</v>
      </c>
      <c r="D89">
        <v>1</v>
      </c>
      <c r="F89" s="2" t="s">
        <v>83</v>
      </c>
      <c r="G89">
        <v>2</v>
      </c>
    </row>
    <row r="90" spans="3:7" x14ac:dyDescent="0.25">
      <c r="C90" s="2" t="s">
        <v>3642</v>
      </c>
      <c r="D90">
        <v>1</v>
      </c>
      <c r="F90" s="2" t="s">
        <v>69</v>
      </c>
      <c r="G90">
        <v>2</v>
      </c>
    </row>
    <row r="91" spans="3:7" x14ac:dyDescent="0.25">
      <c r="C91" s="2" t="s">
        <v>3678</v>
      </c>
      <c r="D91">
        <v>1</v>
      </c>
      <c r="F91" s="2" t="s">
        <v>207</v>
      </c>
      <c r="G91">
        <v>2</v>
      </c>
    </row>
    <row r="92" spans="3:7" x14ac:dyDescent="0.25">
      <c r="C92" s="2" t="s">
        <v>294</v>
      </c>
      <c r="D92">
        <v>1</v>
      </c>
      <c r="F92" s="2" t="s">
        <v>106</v>
      </c>
      <c r="G92">
        <v>2</v>
      </c>
    </row>
    <row r="93" spans="3:7" x14ac:dyDescent="0.25">
      <c r="C93" s="2" t="s">
        <v>155</v>
      </c>
      <c r="D93">
        <v>1</v>
      </c>
      <c r="F93" s="2" t="s">
        <v>96</v>
      </c>
      <c r="G93">
        <v>2</v>
      </c>
    </row>
    <row r="94" spans="3:7" x14ac:dyDescent="0.25">
      <c r="C94" s="2" t="s">
        <v>304</v>
      </c>
      <c r="D94">
        <v>1</v>
      </c>
      <c r="F94" s="2" t="s">
        <v>3488</v>
      </c>
      <c r="G94">
        <v>2</v>
      </c>
    </row>
    <row r="95" spans="3:7" x14ac:dyDescent="0.25">
      <c r="C95" s="2" t="s">
        <v>291</v>
      </c>
      <c r="D95">
        <v>1</v>
      </c>
      <c r="F95" s="2" t="s">
        <v>102</v>
      </c>
      <c r="G95">
        <v>2</v>
      </c>
    </row>
    <row r="96" spans="3:7" x14ac:dyDescent="0.25">
      <c r="C96" s="2" t="s">
        <v>127</v>
      </c>
      <c r="D96">
        <v>1</v>
      </c>
      <c r="F96" s="2" t="s">
        <v>104</v>
      </c>
      <c r="G96">
        <v>2</v>
      </c>
    </row>
    <row r="97" spans="3:7" x14ac:dyDescent="0.25">
      <c r="C97" s="2" t="s">
        <v>167</v>
      </c>
      <c r="D97">
        <v>1</v>
      </c>
      <c r="F97" s="2" t="s">
        <v>3482</v>
      </c>
      <c r="G97">
        <v>2</v>
      </c>
    </row>
    <row r="98" spans="3:7" x14ac:dyDescent="0.25">
      <c r="C98" s="2" t="s">
        <v>277</v>
      </c>
      <c r="D98">
        <v>1</v>
      </c>
      <c r="F98" s="2" t="s">
        <v>3638</v>
      </c>
      <c r="G98">
        <v>2</v>
      </c>
    </row>
    <row r="99" spans="3:7" x14ac:dyDescent="0.25">
      <c r="C99" s="2" t="s">
        <v>171</v>
      </c>
      <c r="D99">
        <v>1</v>
      </c>
      <c r="F99" s="2" t="s">
        <v>77</v>
      </c>
      <c r="G99">
        <v>2</v>
      </c>
    </row>
    <row r="100" spans="3:7" x14ac:dyDescent="0.25">
      <c r="C100" s="2" t="s">
        <v>3659</v>
      </c>
      <c r="D100">
        <v>1</v>
      </c>
      <c r="F100" s="2" t="s">
        <v>266</v>
      </c>
      <c r="G100">
        <v>2</v>
      </c>
    </row>
    <row r="101" spans="3:7" x14ac:dyDescent="0.25">
      <c r="C101" s="2" t="s">
        <v>175</v>
      </c>
      <c r="D101">
        <v>1</v>
      </c>
      <c r="F101" s="2" t="s">
        <v>231</v>
      </c>
      <c r="G101">
        <v>2</v>
      </c>
    </row>
    <row r="102" spans="3:7" x14ac:dyDescent="0.25">
      <c r="C102" s="2" t="s">
        <v>282</v>
      </c>
      <c r="D102">
        <v>1</v>
      </c>
      <c r="F102" s="2" t="s">
        <v>79</v>
      </c>
      <c r="G102">
        <v>2</v>
      </c>
    </row>
    <row r="103" spans="3:7" x14ac:dyDescent="0.25">
      <c r="C103" s="2" t="s">
        <v>179</v>
      </c>
      <c r="D103">
        <v>1</v>
      </c>
      <c r="F103" s="2" t="s">
        <v>158</v>
      </c>
      <c r="G103">
        <v>1</v>
      </c>
    </row>
    <row r="104" spans="3:7" x14ac:dyDescent="0.25">
      <c r="C104" s="2" t="s">
        <v>36</v>
      </c>
      <c r="D104">
        <v>1</v>
      </c>
      <c r="F104" s="2" t="s">
        <v>244</v>
      </c>
      <c r="G104">
        <v>1</v>
      </c>
    </row>
    <row r="105" spans="3:7" x14ac:dyDescent="0.25">
      <c r="C105" s="2" t="s">
        <v>183</v>
      </c>
      <c r="D105">
        <v>1</v>
      </c>
      <c r="F105" s="2" t="s">
        <v>260</v>
      </c>
      <c r="G105">
        <v>1</v>
      </c>
    </row>
    <row r="106" spans="3:7" x14ac:dyDescent="0.25">
      <c r="C106" s="2" t="s">
        <v>290</v>
      </c>
      <c r="D106">
        <v>1</v>
      </c>
      <c r="F106" s="2" t="s">
        <v>140</v>
      </c>
      <c r="G106">
        <v>1</v>
      </c>
    </row>
    <row r="107" spans="3:7" x14ac:dyDescent="0.25">
      <c r="C107" s="2" t="s">
        <v>187</v>
      </c>
      <c r="D107">
        <v>1</v>
      </c>
      <c r="F107" s="2" t="s">
        <v>132</v>
      </c>
      <c r="G107">
        <v>1</v>
      </c>
    </row>
    <row r="108" spans="3:7" x14ac:dyDescent="0.25">
      <c r="C108" s="2" t="s">
        <v>306</v>
      </c>
      <c r="D108">
        <v>1</v>
      </c>
      <c r="F108" s="2" t="s">
        <v>3490</v>
      </c>
      <c r="G108">
        <v>1</v>
      </c>
    </row>
    <row r="109" spans="3:7" x14ac:dyDescent="0.25">
      <c r="C109" s="2" t="s">
        <v>191</v>
      </c>
      <c r="D109">
        <v>1</v>
      </c>
      <c r="F109" s="2" t="s">
        <v>539</v>
      </c>
      <c r="G109">
        <v>1</v>
      </c>
    </row>
    <row r="110" spans="3:7" x14ac:dyDescent="0.25">
      <c r="C110" s="2" t="s">
        <v>314</v>
      </c>
      <c r="D110">
        <v>1</v>
      </c>
      <c r="F110" s="2" t="s">
        <v>1313</v>
      </c>
      <c r="G110">
        <v>1</v>
      </c>
    </row>
    <row r="111" spans="3:7" x14ac:dyDescent="0.25">
      <c r="C111" s="2" t="s">
        <v>194</v>
      </c>
      <c r="D111">
        <v>1</v>
      </c>
      <c r="F111" s="2" t="s">
        <v>174</v>
      </c>
      <c r="G111">
        <v>1</v>
      </c>
    </row>
    <row r="112" spans="3:7" x14ac:dyDescent="0.25">
      <c r="C112" s="2" t="s">
        <v>312</v>
      </c>
      <c r="D112">
        <v>1</v>
      </c>
      <c r="F112" s="2" t="s">
        <v>190</v>
      </c>
      <c r="G112">
        <v>1</v>
      </c>
    </row>
    <row r="113" spans="3:7" x14ac:dyDescent="0.25">
      <c r="C113" s="2" t="s">
        <v>198</v>
      </c>
      <c r="D113">
        <v>1</v>
      </c>
      <c r="F113" s="2" t="s">
        <v>130</v>
      </c>
      <c r="G113">
        <v>1</v>
      </c>
    </row>
    <row r="114" spans="3:7" x14ac:dyDescent="0.25">
      <c r="C114" s="2" t="s">
        <v>326</v>
      </c>
      <c r="D114">
        <v>1</v>
      </c>
      <c r="F114" s="2" t="s">
        <v>1299</v>
      </c>
      <c r="G114">
        <v>1</v>
      </c>
    </row>
    <row r="115" spans="3:7" x14ac:dyDescent="0.25">
      <c r="C115" s="2" t="s">
        <v>218</v>
      </c>
      <c r="D115">
        <v>1</v>
      </c>
      <c r="F115" s="2" t="s">
        <v>154</v>
      </c>
      <c r="G115">
        <v>1</v>
      </c>
    </row>
    <row r="116" spans="3:7" x14ac:dyDescent="0.25">
      <c r="C116" s="2" t="s">
        <v>3824</v>
      </c>
      <c r="D116">
        <v>1</v>
      </c>
      <c r="F116" s="2" t="s">
        <v>148</v>
      </c>
      <c r="G116">
        <v>1</v>
      </c>
    </row>
    <row r="117" spans="3:7" x14ac:dyDescent="0.25">
      <c r="C117" s="2" t="s">
        <v>206</v>
      </c>
      <c r="D117">
        <v>1</v>
      </c>
      <c r="F117" s="2" t="s">
        <v>184</v>
      </c>
      <c r="G117">
        <v>1</v>
      </c>
    </row>
    <row r="118" spans="3:7" x14ac:dyDescent="0.25">
      <c r="C118" s="2" t="s">
        <v>315</v>
      </c>
      <c r="D118">
        <v>1</v>
      </c>
      <c r="F118" s="2" t="s">
        <v>152</v>
      </c>
      <c r="G118">
        <v>1</v>
      </c>
    </row>
    <row r="119" spans="3:7" x14ac:dyDescent="0.25">
      <c r="C119" s="2" t="s">
        <v>3645</v>
      </c>
      <c r="D119">
        <v>1</v>
      </c>
      <c r="F119" s="2" t="s">
        <v>1270</v>
      </c>
      <c r="G119">
        <v>1</v>
      </c>
    </row>
    <row r="120" spans="3:7" x14ac:dyDescent="0.25">
      <c r="C120" s="2" t="s">
        <v>325</v>
      </c>
      <c r="D120">
        <v>1</v>
      </c>
      <c r="F120" s="2" t="s">
        <v>3785</v>
      </c>
      <c r="G120">
        <v>1</v>
      </c>
    </row>
    <row r="121" spans="3:7" x14ac:dyDescent="0.25">
      <c r="C121" s="2" t="s">
        <v>237</v>
      </c>
      <c r="D121">
        <v>1</v>
      </c>
      <c r="F121" s="2" t="s">
        <v>203</v>
      </c>
      <c r="G121">
        <v>1</v>
      </c>
    </row>
    <row r="122" spans="3:7" x14ac:dyDescent="0.25">
      <c r="C122" s="2" t="s">
        <v>133</v>
      </c>
      <c r="D122">
        <v>1</v>
      </c>
      <c r="F122" s="2" t="s">
        <v>156</v>
      </c>
      <c r="G122">
        <v>1</v>
      </c>
    </row>
    <row r="123" spans="3:7" x14ac:dyDescent="0.25">
      <c r="C123" s="2" t="s">
        <v>3647</v>
      </c>
      <c r="D123">
        <v>1</v>
      </c>
      <c r="F123" s="2" t="s">
        <v>240</v>
      </c>
      <c r="G123">
        <v>1</v>
      </c>
    </row>
    <row r="124" spans="3:7" x14ac:dyDescent="0.25">
      <c r="C124" s="2" t="s">
        <v>279</v>
      </c>
      <c r="D124">
        <v>1</v>
      </c>
      <c r="F124" s="2" t="s">
        <v>160</v>
      </c>
      <c r="G124">
        <v>1</v>
      </c>
    </row>
    <row r="125" spans="3:7" x14ac:dyDescent="0.25">
      <c r="C125" s="2" t="s">
        <v>3648</v>
      </c>
      <c r="D125">
        <v>1</v>
      </c>
      <c r="F125" s="2" t="s">
        <v>3709</v>
      </c>
      <c r="G125">
        <v>1</v>
      </c>
    </row>
    <row r="126" spans="3:7" x14ac:dyDescent="0.25">
      <c r="C126" s="2" t="s">
        <v>284</v>
      </c>
      <c r="D126">
        <v>1</v>
      </c>
      <c r="F126" s="2" t="s">
        <v>164</v>
      </c>
      <c r="G126">
        <v>1</v>
      </c>
    </row>
    <row r="127" spans="3:7" x14ac:dyDescent="0.25">
      <c r="C127" s="2" t="s">
        <v>214</v>
      </c>
      <c r="D127">
        <v>1</v>
      </c>
      <c r="F127" s="2" t="s">
        <v>3744</v>
      </c>
      <c r="G127">
        <v>1</v>
      </c>
    </row>
    <row r="128" spans="3:7" x14ac:dyDescent="0.25">
      <c r="C128" s="2" t="s">
        <v>259</v>
      </c>
      <c r="D128">
        <v>1</v>
      </c>
      <c r="F128" s="2" t="s">
        <v>709</v>
      </c>
      <c r="G128">
        <v>1</v>
      </c>
    </row>
    <row r="129" spans="3:7" x14ac:dyDescent="0.25">
      <c r="C129" s="2" t="s">
        <v>3644</v>
      </c>
      <c r="D129">
        <v>1</v>
      </c>
      <c r="F129" s="2" t="s">
        <v>3750</v>
      </c>
      <c r="G129">
        <v>1</v>
      </c>
    </row>
    <row r="130" spans="3:7" x14ac:dyDescent="0.25">
      <c r="C130" s="2" t="s">
        <v>267</v>
      </c>
      <c r="D130">
        <v>1</v>
      </c>
      <c r="F130" s="2" t="s">
        <v>1302</v>
      </c>
      <c r="G130">
        <v>1</v>
      </c>
    </row>
    <row r="131" spans="3:7" x14ac:dyDescent="0.25">
      <c r="C131" s="2" t="s">
        <v>3649</v>
      </c>
      <c r="D131">
        <v>1</v>
      </c>
      <c r="F131" s="2" t="s">
        <v>134</v>
      </c>
      <c r="G131">
        <v>1</v>
      </c>
    </row>
    <row r="132" spans="3:7" x14ac:dyDescent="0.25">
      <c r="C132" s="2" t="s">
        <v>212</v>
      </c>
      <c r="D132">
        <v>1</v>
      </c>
      <c r="F132" s="2" t="s">
        <v>3634</v>
      </c>
      <c r="G132">
        <v>1</v>
      </c>
    </row>
    <row r="133" spans="3:7" x14ac:dyDescent="0.25">
      <c r="C133" s="2" t="s">
        <v>222</v>
      </c>
      <c r="D133">
        <v>1</v>
      </c>
      <c r="F133" s="2" t="s">
        <v>3799</v>
      </c>
      <c r="G133">
        <v>1</v>
      </c>
    </row>
    <row r="134" spans="3:7" x14ac:dyDescent="0.25">
      <c r="C134" s="2" t="s">
        <v>208</v>
      </c>
      <c r="D134">
        <v>1</v>
      </c>
      <c r="F134" s="2" t="s">
        <v>3840</v>
      </c>
      <c r="G134">
        <v>1</v>
      </c>
    </row>
    <row r="135" spans="3:7" x14ac:dyDescent="0.25">
      <c r="C135" s="2" t="s">
        <v>226</v>
      </c>
      <c r="D135">
        <v>1</v>
      </c>
      <c r="F135" s="2" t="s">
        <v>3748</v>
      </c>
      <c r="G135">
        <v>1</v>
      </c>
    </row>
    <row r="136" spans="3:7" x14ac:dyDescent="0.25">
      <c r="C136" s="2" t="s">
        <v>123</v>
      </c>
      <c r="D136">
        <v>1</v>
      </c>
      <c r="F136" s="2" t="s">
        <v>1311</v>
      </c>
      <c r="G136">
        <v>1</v>
      </c>
    </row>
    <row r="137" spans="3:7" x14ac:dyDescent="0.25">
      <c r="C137" s="2" t="s">
        <v>230</v>
      </c>
      <c r="D137">
        <v>1</v>
      </c>
      <c r="F137" s="2" t="s">
        <v>236</v>
      </c>
      <c r="G137">
        <v>1</v>
      </c>
    </row>
    <row r="138" spans="3:7" x14ac:dyDescent="0.25">
      <c r="C138" s="2" t="s">
        <v>224</v>
      </c>
      <c r="D138">
        <v>1</v>
      </c>
      <c r="F138" s="2" t="s">
        <v>514</v>
      </c>
      <c r="G138">
        <v>1</v>
      </c>
    </row>
    <row r="139" spans="3:7" x14ac:dyDescent="0.25">
      <c r="C139" s="2" t="s">
        <v>3646</v>
      </c>
      <c r="D139">
        <v>1</v>
      </c>
      <c r="F139" s="2" t="s">
        <v>3738</v>
      </c>
      <c r="G139">
        <v>1</v>
      </c>
    </row>
    <row r="140" spans="3:7" x14ac:dyDescent="0.25">
      <c r="C140" s="2" t="s">
        <v>310</v>
      </c>
      <c r="D140">
        <v>1</v>
      </c>
      <c r="F140" s="2" t="s">
        <v>796</v>
      </c>
      <c r="G140">
        <v>1</v>
      </c>
    </row>
    <row r="141" spans="3:7" x14ac:dyDescent="0.25">
      <c r="C141" s="2" t="s">
        <v>253</v>
      </c>
      <c r="D141">
        <v>1</v>
      </c>
      <c r="F141" s="2" t="s">
        <v>225</v>
      </c>
      <c r="G141">
        <v>1</v>
      </c>
    </row>
    <row r="142" spans="3:7" x14ac:dyDescent="0.25">
      <c r="C142" s="2" t="s">
        <v>3670</v>
      </c>
      <c r="D142">
        <v>1</v>
      </c>
      <c r="F142" s="2" t="s">
        <v>3477</v>
      </c>
      <c r="G142">
        <v>1</v>
      </c>
    </row>
    <row r="143" spans="3:7" x14ac:dyDescent="0.25">
      <c r="C143" s="2" t="s">
        <v>241</v>
      </c>
      <c r="D143">
        <v>1</v>
      </c>
      <c r="F143" s="2" t="s">
        <v>142</v>
      </c>
      <c r="G143">
        <v>1</v>
      </c>
    </row>
    <row r="144" spans="3:7" x14ac:dyDescent="0.25">
      <c r="C144" s="2" t="s">
        <v>316</v>
      </c>
      <c r="D144">
        <v>1</v>
      </c>
      <c r="F144" s="2" t="s">
        <v>280</v>
      </c>
      <c r="G144">
        <v>1</v>
      </c>
    </row>
    <row r="145" spans="3:7" x14ac:dyDescent="0.25">
      <c r="C145" s="2" t="s">
        <v>301</v>
      </c>
      <c r="D145">
        <v>1</v>
      </c>
      <c r="F145" s="2" t="s">
        <v>1319</v>
      </c>
      <c r="G145">
        <v>1</v>
      </c>
    </row>
    <row r="146" spans="3:7" x14ac:dyDescent="0.25">
      <c r="C146" s="2" t="s">
        <v>247</v>
      </c>
      <c r="D146">
        <v>1</v>
      </c>
      <c r="F146" s="2" t="s">
        <v>186</v>
      </c>
      <c r="G146">
        <v>1</v>
      </c>
    </row>
    <row r="147" spans="3:7" x14ac:dyDescent="0.25">
      <c r="C147" s="2" t="s">
        <v>249</v>
      </c>
      <c r="D147">
        <v>1</v>
      </c>
      <c r="F147" s="2" t="s">
        <v>178</v>
      </c>
      <c r="G147">
        <v>1</v>
      </c>
    </row>
    <row r="148" spans="3:7" x14ac:dyDescent="0.25">
      <c r="C148" s="2" t="s">
        <v>324</v>
      </c>
      <c r="D148">
        <v>1</v>
      </c>
      <c r="F148" s="2" t="s">
        <v>219</v>
      </c>
      <c r="G148">
        <v>1</v>
      </c>
    </row>
    <row r="149" spans="3:7" x14ac:dyDescent="0.25">
      <c r="C149" s="2" t="s">
        <v>257</v>
      </c>
      <c r="D149">
        <v>1</v>
      </c>
      <c r="F149" s="2" t="s">
        <v>3707</v>
      </c>
      <c r="G149">
        <v>1</v>
      </c>
    </row>
    <row r="150" spans="3:7" x14ac:dyDescent="0.25">
      <c r="C150" s="2" t="s">
        <v>243</v>
      </c>
      <c r="D150">
        <v>1</v>
      </c>
      <c r="F150" s="2" t="s">
        <v>250</v>
      </c>
      <c r="G150">
        <v>1</v>
      </c>
    </row>
    <row r="151" spans="3:7" x14ac:dyDescent="0.25">
      <c r="C151" s="2" t="s">
        <v>261</v>
      </c>
      <c r="D151">
        <v>1</v>
      </c>
      <c r="F151" s="2" t="s">
        <v>182</v>
      </c>
      <c r="G151">
        <v>1</v>
      </c>
    </row>
    <row r="152" spans="3:7" x14ac:dyDescent="0.25">
      <c r="C152" s="2" t="s">
        <v>3820</v>
      </c>
      <c r="D152">
        <v>1</v>
      </c>
      <c r="F152" s="2" t="s">
        <v>195</v>
      </c>
      <c r="G152">
        <v>1</v>
      </c>
    </row>
    <row r="153" spans="3:7" x14ac:dyDescent="0.25">
      <c r="C153" s="2" t="s">
        <v>3653</v>
      </c>
      <c r="D153">
        <v>1</v>
      </c>
      <c r="F153" s="2" t="s">
        <v>498</v>
      </c>
      <c r="G153">
        <v>1</v>
      </c>
    </row>
    <row r="154" spans="3:7" x14ac:dyDescent="0.25">
      <c r="C154" s="2" t="s">
        <v>181</v>
      </c>
      <c r="D154">
        <v>1</v>
      </c>
      <c r="F154" s="2" t="s">
        <v>264</v>
      </c>
      <c r="G154">
        <v>1</v>
      </c>
    </row>
    <row r="155" spans="3:7" x14ac:dyDescent="0.25">
      <c r="C155" s="2" t="s">
        <v>269</v>
      </c>
      <c r="D155">
        <v>1</v>
      </c>
      <c r="F155" s="2" t="s">
        <v>3778</v>
      </c>
      <c r="G155">
        <v>1</v>
      </c>
    </row>
    <row r="156" spans="3:7" x14ac:dyDescent="0.25">
      <c r="C156" s="2" t="s">
        <v>139</v>
      </c>
      <c r="D156">
        <v>1</v>
      </c>
      <c r="F156" s="2" t="s">
        <v>3727</v>
      </c>
      <c r="G156">
        <v>1</v>
      </c>
    </row>
    <row r="157" spans="3:7" x14ac:dyDescent="0.25">
      <c r="C157" s="2" t="s">
        <v>273</v>
      </c>
      <c r="D157">
        <v>1</v>
      </c>
      <c r="F157" s="2" t="s">
        <v>3731</v>
      </c>
      <c r="G157">
        <v>1</v>
      </c>
    </row>
    <row r="158" spans="3:7" x14ac:dyDescent="0.25">
      <c r="C158" s="2" t="s">
        <v>3679</v>
      </c>
      <c r="D158">
        <v>1</v>
      </c>
      <c r="F158" s="2" t="s">
        <v>168</v>
      </c>
      <c r="G158">
        <v>1</v>
      </c>
    </row>
    <row r="159" spans="3:7" x14ac:dyDescent="0.25">
      <c r="C159" s="2" t="s">
        <v>3656</v>
      </c>
      <c r="D159">
        <v>1</v>
      </c>
      <c r="F159" s="2" t="s">
        <v>276</v>
      </c>
      <c r="G159">
        <v>1</v>
      </c>
    </row>
    <row r="160" spans="3:7" x14ac:dyDescent="0.25">
      <c r="C160" s="2" t="s">
        <v>153</v>
      </c>
      <c r="D160">
        <v>1</v>
      </c>
      <c r="F160" s="2" t="s">
        <v>162</v>
      </c>
      <c r="G160">
        <v>1</v>
      </c>
    </row>
    <row r="161" spans="3:7" x14ac:dyDescent="0.25">
      <c r="C161" s="2" t="s">
        <v>334</v>
      </c>
      <c r="D161">
        <v>1</v>
      </c>
      <c r="F161" s="2" t="s">
        <v>197</v>
      </c>
      <c r="G161">
        <v>1</v>
      </c>
    </row>
    <row r="162" spans="3:7" x14ac:dyDescent="0.25">
      <c r="C162" s="2" t="s">
        <v>331</v>
      </c>
      <c r="D162">
        <v>1</v>
      </c>
      <c r="F162" s="2" t="s">
        <v>211</v>
      </c>
      <c r="G162">
        <v>1</v>
      </c>
    </row>
    <row r="163" spans="3:7" x14ac:dyDescent="0.25">
      <c r="C163" s="2" t="s">
        <v>333</v>
      </c>
      <c r="D163">
        <v>1</v>
      </c>
      <c r="F163" s="2" t="s">
        <v>201</v>
      </c>
      <c r="G163">
        <v>1</v>
      </c>
    </row>
    <row r="164" spans="3:7" x14ac:dyDescent="0.25">
      <c r="C164" s="2" t="s">
        <v>271</v>
      </c>
      <c r="D164">
        <v>1</v>
      </c>
      <c r="F164" s="2" t="s">
        <v>193</v>
      </c>
      <c r="G164">
        <v>1</v>
      </c>
    </row>
    <row r="165" spans="3:7" x14ac:dyDescent="0.25">
      <c r="C165" s="2" t="s">
        <v>283</v>
      </c>
      <c r="D165">
        <v>1</v>
      </c>
      <c r="F165" s="2" t="s">
        <v>268</v>
      </c>
      <c r="G165">
        <v>1</v>
      </c>
    </row>
    <row r="166" spans="3:7" x14ac:dyDescent="0.25">
      <c r="C166" s="2" t="s">
        <v>275</v>
      </c>
      <c r="D166">
        <v>1</v>
      </c>
      <c r="F166" s="2" t="s">
        <v>238</v>
      </c>
      <c r="G166">
        <v>1</v>
      </c>
    </row>
    <row r="167" spans="3:7" x14ac:dyDescent="0.25">
      <c r="C167" s="2" t="s">
        <v>298</v>
      </c>
      <c r="D167">
        <v>1</v>
      </c>
      <c r="F167" s="2" t="s">
        <v>205</v>
      </c>
      <c r="G167">
        <v>1</v>
      </c>
    </row>
    <row r="168" spans="3:7" x14ac:dyDescent="0.25">
      <c r="C168" s="2" t="s">
        <v>196</v>
      </c>
      <c r="D168">
        <v>1</v>
      </c>
      <c r="F168" s="2" t="s">
        <v>234</v>
      </c>
      <c r="G168">
        <v>1</v>
      </c>
    </row>
    <row r="169" spans="3:7" x14ac:dyDescent="0.25">
      <c r="C169" s="2" t="s">
        <v>3658</v>
      </c>
      <c r="D169">
        <v>1</v>
      </c>
      <c r="F169" s="2" t="s">
        <v>3610</v>
      </c>
      <c r="G169">
        <v>1</v>
      </c>
    </row>
    <row r="170" spans="3:7" x14ac:dyDescent="0.25">
      <c r="C170" s="2" t="s">
        <v>157</v>
      </c>
      <c r="D170">
        <v>1</v>
      </c>
      <c r="F170" s="2" t="s">
        <v>650</v>
      </c>
      <c r="G170">
        <v>1</v>
      </c>
    </row>
    <row r="171" spans="3:7" x14ac:dyDescent="0.25">
      <c r="C171" s="2" t="s">
        <v>342</v>
      </c>
      <c r="D171">
        <v>1</v>
      </c>
      <c r="F171" s="2" t="s">
        <v>229</v>
      </c>
      <c r="G171">
        <v>1</v>
      </c>
    </row>
    <row r="172" spans="3:7" x14ac:dyDescent="0.25">
      <c r="C172" s="2" t="s">
        <v>200</v>
      </c>
      <c r="D172">
        <v>1</v>
      </c>
      <c r="F172" s="2" t="s">
        <v>1272</v>
      </c>
      <c r="G172">
        <v>1</v>
      </c>
    </row>
    <row r="173" spans="3:7" x14ac:dyDescent="0.25">
      <c r="C173" s="2" t="s">
        <v>3662</v>
      </c>
      <c r="D173">
        <v>1</v>
      </c>
      <c r="F173" s="2" t="s">
        <v>3804</v>
      </c>
      <c r="G173">
        <v>1</v>
      </c>
    </row>
    <row r="174" spans="3:7" x14ac:dyDescent="0.25">
      <c r="C174" s="2" t="s">
        <v>137</v>
      </c>
      <c r="D174">
        <v>1</v>
      </c>
      <c r="F174" s="2" t="s">
        <v>227</v>
      </c>
      <c r="G174">
        <v>1</v>
      </c>
    </row>
    <row r="175" spans="3:7" x14ac:dyDescent="0.25">
      <c r="C175" s="2" t="s">
        <v>343</v>
      </c>
      <c r="D175">
        <v>1</v>
      </c>
      <c r="F175" s="2" t="s">
        <v>146</v>
      </c>
      <c r="G175">
        <v>1</v>
      </c>
    </row>
    <row r="176" spans="3:7" x14ac:dyDescent="0.25">
      <c r="C176" s="2" t="s">
        <v>204</v>
      </c>
      <c r="D176">
        <v>1</v>
      </c>
      <c r="F176" s="2" t="s">
        <v>274</v>
      </c>
      <c r="G176">
        <v>1</v>
      </c>
    </row>
    <row r="177" spans="3:7" x14ac:dyDescent="0.25">
      <c r="C177" s="2" t="s">
        <v>293</v>
      </c>
      <c r="D177">
        <v>1</v>
      </c>
      <c r="F177" s="2" t="s">
        <v>176</v>
      </c>
      <c r="G177">
        <v>1</v>
      </c>
    </row>
    <row r="178" spans="3:7" x14ac:dyDescent="0.25">
      <c r="C178" s="2" t="s">
        <v>189</v>
      </c>
      <c r="D178">
        <v>1</v>
      </c>
      <c r="F178" s="2" t="s">
        <v>1286</v>
      </c>
      <c r="G178">
        <v>1</v>
      </c>
    </row>
    <row r="179" spans="3:7" x14ac:dyDescent="0.25">
      <c r="C179" s="2" t="s">
        <v>320</v>
      </c>
      <c r="D179">
        <v>1</v>
      </c>
      <c r="F179" s="2" t="s">
        <v>3537</v>
      </c>
      <c r="G179">
        <v>1</v>
      </c>
    </row>
    <row r="180" spans="3:7" x14ac:dyDescent="0.25">
      <c r="C180" s="2" t="s">
        <v>3641</v>
      </c>
      <c r="D180">
        <v>1</v>
      </c>
      <c r="F180" s="2" t="s">
        <v>3792</v>
      </c>
      <c r="G180">
        <v>1</v>
      </c>
    </row>
    <row r="181" spans="3:7" x14ac:dyDescent="0.25">
      <c r="C181" s="2" t="s">
        <v>3663</v>
      </c>
      <c r="D181">
        <v>1</v>
      </c>
      <c r="F181" s="2" t="s">
        <v>126</v>
      </c>
      <c r="G181">
        <v>1</v>
      </c>
    </row>
    <row r="182" spans="3:7" x14ac:dyDescent="0.25">
      <c r="C182" s="2" t="s">
        <v>300</v>
      </c>
      <c r="D182">
        <v>1</v>
      </c>
      <c r="F182" s="2" t="s">
        <v>378</v>
      </c>
      <c r="G182">
        <v>1</v>
      </c>
    </row>
    <row r="183" spans="3:7" x14ac:dyDescent="0.25">
      <c r="C183" s="2" t="s">
        <v>299</v>
      </c>
      <c r="D183">
        <v>1</v>
      </c>
      <c r="F183" s="2" t="s">
        <v>170</v>
      </c>
      <c r="G183">
        <v>1</v>
      </c>
    </row>
    <row r="184" spans="3:7" x14ac:dyDescent="0.25">
      <c r="C184" s="2" t="s">
        <v>3652</v>
      </c>
      <c r="D184">
        <v>1</v>
      </c>
      <c r="F184" s="2" t="s">
        <v>242</v>
      </c>
      <c r="G184">
        <v>1</v>
      </c>
    </row>
    <row r="185" spans="3:7" x14ac:dyDescent="0.25">
      <c r="C185" s="2" t="s">
        <v>3667</v>
      </c>
      <c r="D185">
        <v>1</v>
      </c>
      <c r="F185" s="2" t="s">
        <v>166</v>
      </c>
      <c r="G185">
        <v>1</v>
      </c>
    </row>
    <row r="186" spans="3:7" x14ac:dyDescent="0.25">
      <c r="C186" s="2" t="s">
        <v>296</v>
      </c>
      <c r="D186">
        <v>1</v>
      </c>
      <c r="F186" s="2" t="s">
        <v>406</v>
      </c>
      <c r="G186">
        <v>1</v>
      </c>
    </row>
    <row r="187" spans="3:7" x14ac:dyDescent="0.25">
      <c r="C187" s="2" t="s">
        <v>159</v>
      </c>
      <c r="D187">
        <v>1</v>
      </c>
      <c r="F187" s="2" t="s">
        <v>232</v>
      </c>
      <c r="G187">
        <v>1</v>
      </c>
    </row>
    <row r="188" spans="3:7" x14ac:dyDescent="0.25">
      <c r="C188" s="2" t="s">
        <v>3650</v>
      </c>
      <c r="D188">
        <v>1</v>
      </c>
      <c r="F188" s="2" t="s">
        <v>120</v>
      </c>
      <c r="G188">
        <v>1</v>
      </c>
    </row>
    <row r="189" spans="3:7" x14ac:dyDescent="0.25">
      <c r="C189" s="2" t="s">
        <v>303</v>
      </c>
      <c r="D189">
        <v>1</v>
      </c>
      <c r="F189" s="2" t="s">
        <v>272</v>
      </c>
      <c r="G189">
        <v>1</v>
      </c>
    </row>
    <row r="190" spans="3:7" x14ac:dyDescent="0.25">
      <c r="C190" s="2" t="s">
        <v>3665</v>
      </c>
      <c r="D190">
        <v>1</v>
      </c>
      <c r="F190" s="2" t="s">
        <v>209</v>
      </c>
      <c r="G190">
        <v>1</v>
      </c>
    </row>
    <row r="191" spans="3:7" x14ac:dyDescent="0.25">
      <c r="C191" s="2" t="s">
        <v>305</v>
      </c>
      <c r="D191">
        <v>1</v>
      </c>
      <c r="F191" s="2" t="s">
        <v>118</v>
      </c>
      <c r="G191">
        <v>1</v>
      </c>
    </row>
    <row r="192" spans="3:7" x14ac:dyDescent="0.25">
      <c r="C192" s="2" t="s">
        <v>302</v>
      </c>
      <c r="D192">
        <v>1</v>
      </c>
      <c r="F192" s="2" t="s">
        <v>3687</v>
      </c>
      <c r="G192">
        <v>1</v>
      </c>
    </row>
    <row r="193" spans="3:7" x14ac:dyDescent="0.25">
      <c r="C193" s="2" t="s">
        <v>307</v>
      </c>
      <c r="D193">
        <v>1</v>
      </c>
      <c r="F193" s="2" t="s">
        <v>3484</v>
      </c>
      <c r="G193">
        <v>1</v>
      </c>
    </row>
    <row r="194" spans="3:7" x14ac:dyDescent="0.25">
      <c r="C194" s="2" t="s">
        <v>165</v>
      </c>
      <c r="D194">
        <v>1</v>
      </c>
      <c r="F194" s="2" t="s">
        <v>3806</v>
      </c>
      <c r="G194">
        <v>1</v>
      </c>
    </row>
    <row r="195" spans="3:7" x14ac:dyDescent="0.25">
      <c r="C195" s="2" t="s">
        <v>309</v>
      </c>
      <c r="D195">
        <v>1</v>
      </c>
      <c r="F195" s="2" t="s">
        <v>941</v>
      </c>
      <c r="G195">
        <v>1</v>
      </c>
    </row>
    <row r="196" spans="3:7" x14ac:dyDescent="0.25">
      <c r="C196" s="2" t="s">
        <v>141</v>
      </c>
      <c r="D196">
        <v>1</v>
      </c>
      <c r="F196" s="2" t="s">
        <v>122</v>
      </c>
      <c r="G196">
        <v>1</v>
      </c>
    </row>
    <row r="197" spans="3:7" x14ac:dyDescent="0.25">
      <c r="C197" s="2" t="s">
        <v>311</v>
      </c>
      <c r="D197">
        <v>1</v>
      </c>
      <c r="F197" s="2" t="s">
        <v>192</v>
      </c>
      <c r="G197">
        <v>1</v>
      </c>
    </row>
    <row r="198" spans="3:7" x14ac:dyDescent="0.25">
      <c r="C198" s="2" t="s">
        <v>285</v>
      </c>
      <c r="D198">
        <v>1</v>
      </c>
      <c r="F198" s="2" t="s">
        <v>254</v>
      </c>
      <c r="G198">
        <v>1</v>
      </c>
    </row>
    <row r="199" spans="3:7" x14ac:dyDescent="0.25">
      <c r="C199" s="2" t="s">
        <v>313</v>
      </c>
      <c r="D199">
        <v>1</v>
      </c>
      <c r="F199" s="2" t="s">
        <v>248</v>
      </c>
      <c r="G199">
        <v>1</v>
      </c>
    </row>
    <row r="200" spans="3:7" x14ac:dyDescent="0.25">
      <c r="C200" s="2" t="s">
        <v>308</v>
      </c>
      <c r="D200">
        <v>1</v>
      </c>
      <c r="F200" s="2" t="s">
        <v>1267</v>
      </c>
      <c r="G200">
        <v>1</v>
      </c>
    </row>
    <row r="201" spans="3:7" x14ac:dyDescent="0.25">
      <c r="C201" s="2" t="s">
        <v>202</v>
      </c>
      <c r="D201">
        <v>1</v>
      </c>
      <c r="F201" s="2" t="s">
        <v>3721</v>
      </c>
      <c r="G201">
        <v>1</v>
      </c>
    </row>
    <row r="202" spans="3:7" x14ac:dyDescent="0.25">
      <c r="C202" s="2" t="s">
        <v>228</v>
      </c>
      <c r="D202">
        <v>1</v>
      </c>
      <c r="F202" s="2" t="s">
        <v>258</v>
      </c>
      <c r="G202">
        <v>1</v>
      </c>
    </row>
    <row r="203" spans="3:7" x14ac:dyDescent="0.25">
      <c r="C203" s="2" t="s">
        <v>317</v>
      </c>
      <c r="D203">
        <v>1</v>
      </c>
      <c r="F203" s="2" t="s">
        <v>252</v>
      </c>
      <c r="G203">
        <v>1</v>
      </c>
    </row>
    <row r="204" spans="3:7" x14ac:dyDescent="0.25">
      <c r="C204" s="2" t="s">
        <v>287</v>
      </c>
      <c r="D204">
        <v>1</v>
      </c>
      <c r="F204" s="2" t="s">
        <v>262</v>
      </c>
      <c r="G204">
        <v>1</v>
      </c>
    </row>
    <row r="205" spans="3:7" x14ac:dyDescent="0.25">
      <c r="C205" s="2" t="s">
        <v>319</v>
      </c>
      <c r="D205">
        <v>1</v>
      </c>
      <c r="F205" s="2" t="s">
        <v>256</v>
      </c>
      <c r="G205">
        <v>1</v>
      </c>
    </row>
    <row r="206" spans="3:7" x14ac:dyDescent="0.25">
      <c r="C206" s="2" t="s">
        <v>289</v>
      </c>
      <c r="D206">
        <v>1</v>
      </c>
      <c r="F206" s="2" t="s">
        <v>3628</v>
      </c>
      <c r="G206">
        <v>1</v>
      </c>
    </row>
    <row r="207" spans="3:7" x14ac:dyDescent="0.25">
      <c r="C207" s="2" t="s">
        <v>321</v>
      </c>
      <c r="D207">
        <v>1</v>
      </c>
      <c r="F207" s="2" t="s">
        <v>3703</v>
      </c>
      <c r="G207">
        <v>1</v>
      </c>
    </row>
    <row r="208" spans="3:7" x14ac:dyDescent="0.25">
      <c r="C208" s="2" t="s">
        <v>322</v>
      </c>
      <c r="D208">
        <v>1</v>
      </c>
      <c r="F208" s="2" t="s">
        <v>213</v>
      </c>
      <c r="G208">
        <v>1</v>
      </c>
    </row>
    <row r="209" spans="3:7" x14ac:dyDescent="0.25">
      <c r="C209" s="2" t="s">
        <v>323</v>
      </c>
      <c r="D209">
        <v>1</v>
      </c>
      <c r="F209" s="2" t="s">
        <v>124</v>
      </c>
      <c r="G209">
        <v>1</v>
      </c>
    </row>
    <row r="210" spans="3:7" x14ac:dyDescent="0.25">
      <c r="C210" s="2" t="s">
        <v>145</v>
      </c>
      <c r="D210">
        <v>1</v>
      </c>
      <c r="F210" s="2" t="s">
        <v>270</v>
      </c>
      <c r="G210">
        <v>1</v>
      </c>
    </row>
    <row r="211" spans="3:7" x14ac:dyDescent="0.25">
      <c r="C211" s="2" t="s">
        <v>3669</v>
      </c>
      <c r="D211">
        <v>1</v>
      </c>
      <c r="F211" s="2" t="s">
        <v>128</v>
      </c>
      <c r="G211">
        <v>1</v>
      </c>
    </row>
    <row r="212" spans="3:7" x14ac:dyDescent="0.25">
      <c r="C212" s="2" t="s">
        <v>235</v>
      </c>
      <c r="D212">
        <v>1</v>
      </c>
      <c r="F212" s="2" t="s">
        <v>138</v>
      </c>
      <c r="G212">
        <v>1</v>
      </c>
    </row>
    <row r="213" spans="3:7" x14ac:dyDescent="0.25">
      <c r="C213" s="2" t="s">
        <v>327</v>
      </c>
      <c r="D213">
        <v>1</v>
      </c>
      <c r="F213" s="2" t="s">
        <v>136</v>
      </c>
      <c r="G213">
        <v>1</v>
      </c>
    </row>
    <row r="214" spans="3:7" x14ac:dyDescent="0.25">
      <c r="C214" s="2" t="s">
        <v>177</v>
      </c>
      <c r="D214">
        <v>1</v>
      </c>
      <c r="F214" s="2" t="s">
        <v>604</v>
      </c>
      <c r="G214">
        <v>1</v>
      </c>
    </row>
    <row r="215" spans="3:7" x14ac:dyDescent="0.25">
      <c r="C215" s="2" t="s">
        <v>3651</v>
      </c>
      <c r="D215">
        <v>1</v>
      </c>
      <c r="F215" s="2" t="s">
        <v>278</v>
      </c>
      <c r="G215">
        <v>1</v>
      </c>
    </row>
    <row r="216" spans="3:7" x14ac:dyDescent="0.25">
      <c r="C216" s="2" t="s">
        <v>239</v>
      </c>
      <c r="D216">
        <v>1</v>
      </c>
      <c r="F216" s="2" t="s">
        <v>172</v>
      </c>
      <c r="G216">
        <v>1</v>
      </c>
    </row>
    <row r="217" spans="3:7" x14ac:dyDescent="0.25">
      <c r="C217" s="2" t="s">
        <v>245</v>
      </c>
      <c r="D217">
        <v>1</v>
      </c>
      <c r="F217" s="2" t="s">
        <v>65</v>
      </c>
      <c r="G217">
        <v>464</v>
      </c>
    </row>
    <row r="218" spans="3:7" x14ac:dyDescent="0.25">
      <c r="C218" s="2" t="s">
        <v>121</v>
      </c>
      <c r="D218">
        <v>1</v>
      </c>
    </row>
    <row r="219" spans="3:7" x14ac:dyDescent="0.25">
      <c r="C219" s="2" t="s">
        <v>332</v>
      </c>
      <c r="D219">
        <v>1</v>
      </c>
    </row>
    <row r="220" spans="3:7" x14ac:dyDescent="0.25">
      <c r="C220" s="2" t="s">
        <v>3813</v>
      </c>
      <c r="D220">
        <v>1</v>
      </c>
    </row>
    <row r="221" spans="3:7" x14ac:dyDescent="0.25">
      <c r="C221" s="2" t="s">
        <v>149</v>
      </c>
      <c r="D221">
        <v>1</v>
      </c>
    </row>
    <row r="222" spans="3:7" x14ac:dyDescent="0.25">
      <c r="C222" s="2" t="s">
        <v>339</v>
      </c>
      <c r="D222">
        <v>1</v>
      </c>
    </row>
    <row r="223" spans="3:7" x14ac:dyDescent="0.25">
      <c r="C223" s="2" t="s">
        <v>251</v>
      </c>
      <c r="D223">
        <v>1</v>
      </c>
    </row>
    <row r="224" spans="3:7" x14ac:dyDescent="0.25">
      <c r="C224" s="2" t="s">
        <v>3640</v>
      </c>
      <c r="D224">
        <v>1</v>
      </c>
    </row>
    <row r="225" spans="3:4" x14ac:dyDescent="0.25">
      <c r="C225" s="2" t="s">
        <v>185</v>
      </c>
      <c r="D225">
        <v>1</v>
      </c>
    </row>
    <row r="226" spans="3:4" x14ac:dyDescent="0.25">
      <c r="C226" s="2" t="s">
        <v>341</v>
      </c>
      <c r="D226">
        <v>1</v>
      </c>
    </row>
    <row r="227" spans="3:4" x14ac:dyDescent="0.25">
      <c r="C227" s="2" t="s">
        <v>255</v>
      </c>
      <c r="D227">
        <v>1</v>
      </c>
    </row>
    <row r="228" spans="3:4" x14ac:dyDescent="0.25">
      <c r="C228" s="2" t="s">
        <v>135</v>
      </c>
      <c r="D228">
        <v>1</v>
      </c>
    </row>
    <row r="229" spans="3:4" x14ac:dyDescent="0.25">
      <c r="C229" s="2" t="s">
        <v>3674</v>
      </c>
      <c r="D229">
        <v>1</v>
      </c>
    </row>
    <row r="230" spans="3:4" x14ac:dyDescent="0.25">
      <c r="C230" s="2" t="s">
        <v>330</v>
      </c>
      <c r="D230">
        <v>1</v>
      </c>
    </row>
    <row r="231" spans="3:4" x14ac:dyDescent="0.25">
      <c r="C231" s="2" t="s">
        <v>3676</v>
      </c>
      <c r="D231">
        <v>1</v>
      </c>
    </row>
    <row r="232" spans="3:4" x14ac:dyDescent="0.25">
      <c r="C232" s="2" t="s">
        <v>281</v>
      </c>
      <c r="D232">
        <v>1</v>
      </c>
    </row>
    <row r="233" spans="3:4" x14ac:dyDescent="0.25">
      <c r="C233" s="2" t="s">
        <v>3673</v>
      </c>
      <c r="D233">
        <v>1</v>
      </c>
    </row>
    <row r="234" spans="3:4" x14ac:dyDescent="0.25">
      <c r="C234" s="2" t="s">
        <v>161</v>
      </c>
      <c r="D234">
        <v>1</v>
      </c>
    </row>
    <row r="235" spans="3:4" x14ac:dyDescent="0.25">
      <c r="C235" s="2" t="s">
        <v>335</v>
      </c>
      <c r="D235">
        <v>1</v>
      </c>
    </row>
    <row r="236" spans="3:4" x14ac:dyDescent="0.25">
      <c r="C236" s="2" t="s">
        <v>338</v>
      </c>
      <c r="D236">
        <v>1</v>
      </c>
    </row>
    <row r="237" spans="3:4" x14ac:dyDescent="0.25">
      <c r="C237" s="2" t="s">
        <v>340</v>
      </c>
      <c r="D237">
        <v>1</v>
      </c>
    </row>
    <row r="238" spans="3:4" x14ac:dyDescent="0.25">
      <c r="C238" s="2" t="s">
        <v>3661</v>
      </c>
      <c r="D238">
        <v>1</v>
      </c>
    </row>
    <row r="239" spans="3:4" x14ac:dyDescent="0.25">
      <c r="C239" s="2" t="s">
        <v>3770</v>
      </c>
      <c r="D239">
        <v>0</v>
      </c>
    </row>
    <row r="240" spans="3:4" x14ac:dyDescent="0.25">
      <c r="C240" s="2" t="s">
        <v>3767</v>
      </c>
      <c r="D240">
        <v>0</v>
      </c>
    </row>
    <row r="241" spans="3:4" x14ac:dyDescent="0.25">
      <c r="C241" s="2" t="s">
        <v>3810</v>
      </c>
      <c r="D241">
        <v>0</v>
      </c>
    </row>
    <row r="242" spans="3:4" x14ac:dyDescent="0.25">
      <c r="C242" s="2" t="s">
        <v>3830</v>
      </c>
      <c r="D242">
        <v>0</v>
      </c>
    </row>
    <row r="243" spans="3:4" x14ac:dyDescent="0.25">
      <c r="C243" s="2" t="s">
        <v>3836</v>
      </c>
      <c r="D243">
        <v>0</v>
      </c>
    </row>
    <row r="244" spans="3:4" x14ac:dyDescent="0.25">
      <c r="C244" s="2" t="s">
        <v>3753</v>
      </c>
      <c r="D244">
        <v>0</v>
      </c>
    </row>
    <row r="245" spans="3:4" x14ac:dyDescent="0.25">
      <c r="C245" s="2" t="s">
        <v>3821</v>
      </c>
      <c r="D245">
        <v>0</v>
      </c>
    </row>
    <row r="246" spans="3:4" x14ac:dyDescent="0.25">
      <c r="C246" s="2" t="s">
        <v>3829</v>
      </c>
      <c r="D246">
        <v>0</v>
      </c>
    </row>
    <row r="247" spans="3:4" x14ac:dyDescent="0.25">
      <c r="C247" s="2" t="s">
        <v>3834</v>
      </c>
      <c r="D247">
        <v>0</v>
      </c>
    </row>
    <row r="248" spans="3:4" x14ac:dyDescent="0.25">
      <c r="C248" s="2" t="s">
        <v>3809</v>
      </c>
      <c r="D248">
        <v>0</v>
      </c>
    </row>
    <row r="249" spans="3:4" x14ac:dyDescent="0.25">
      <c r="C249" s="2" t="s">
        <v>3759</v>
      </c>
      <c r="D249">
        <v>0</v>
      </c>
    </row>
    <row r="250" spans="3:4" x14ac:dyDescent="0.25">
      <c r="C250" s="2" t="s">
        <v>3812</v>
      </c>
      <c r="D250">
        <v>0</v>
      </c>
    </row>
    <row r="251" spans="3:4" x14ac:dyDescent="0.25">
      <c r="C251" s="2" t="s">
        <v>3816</v>
      </c>
      <c r="D251">
        <v>0</v>
      </c>
    </row>
    <row r="252" spans="3:4" x14ac:dyDescent="0.25">
      <c r="C252" s="2" t="s">
        <v>3761</v>
      </c>
      <c r="D252">
        <v>0</v>
      </c>
    </row>
    <row r="253" spans="3:4" x14ac:dyDescent="0.25">
      <c r="C253" s="2" t="s">
        <v>3819</v>
      </c>
      <c r="D253">
        <v>0</v>
      </c>
    </row>
    <row r="254" spans="3:4" x14ac:dyDescent="0.25">
      <c r="C254" s="2" t="s">
        <v>3831</v>
      </c>
      <c r="D254">
        <v>0</v>
      </c>
    </row>
    <row r="255" spans="3:4" x14ac:dyDescent="0.25">
      <c r="C255" s="2" t="s">
        <v>3823</v>
      </c>
      <c r="D255">
        <v>0</v>
      </c>
    </row>
    <row r="256" spans="3:4" x14ac:dyDescent="0.25">
      <c r="C256" s="2" t="s">
        <v>3671</v>
      </c>
      <c r="D256">
        <v>0</v>
      </c>
    </row>
    <row r="257" spans="3:4" x14ac:dyDescent="0.25">
      <c r="C257" s="2" t="s">
        <v>3826</v>
      </c>
      <c r="D257">
        <v>0</v>
      </c>
    </row>
    <row r="258" spans="3:4" x14ac:dyDescent="0.25">
      <c r="C258" s="2" t="s">
        <v>3811</v>
      </c>
      <c r="D258">
        <v>0</v>
      </c>
    </row>
    <row r="259" spans="3:4" x14ac:dyDescent="0.25">
      <c r="C259" s="2" t="s">
        <v>3757</v>
      </c>
      <c r="D259">
        <v>0</v>
      </c>
    </row>
    <row r="260" spans="3:4" x14ac:dyDescent="0.25">
      <c r="C260" s="2" t="s">
        <v>3752</v>
      </c>
      <c r="D260">
        <v>0</v>
      </c>
    </row>
    <row r="261" spans="3:4" x14ac:dyDescent="0.25">
      <c r="C261" s="2" t="s">
        <v>3833</v>
      </c>
      <c r="D261">
        <v>0</v>
      </c>
    </row>
    <row r="262" spans="3:4" x14ac:dyDescent="0.25">
      <c r="C262" s="2" t="s">
        <v>3751</v>
      </c>
      <c r="D262">
        <v>0</v>
      </c>
    </row>
    <row r="263" spans="3:4" x14ac:dyDescent="0.25">
      <c r="C263" s="2" t="s">
        <v>3660</v>
      </c>
      <c r="D263">
        <v>0</v>
      </c>
    </row>
    <row r="264" spans="3:4" x14ac:dyDescent="0.25">
      <c r="C264" s="2" t="s">
        <v>3657</v>
      </c>
      <c r="D264">
        <v>0</v>
      </c>
    </row>
    <row r="265" spans="3:4" x14ac:dyDescent="0.25">
      <c r="C265" s="2" t="s">
        <v>3838</v>
      </c>
      <c r="D265">
        <v>0</v>
      </c>
    </row>
    <row r="266" spans="3:4" x14ac:dyDescent="0.25">
      <c r="C266" s="2" t="s">
        <v>3654</v>
      </c>
      <c r="D266">
        <v>0</v>
      </c>
    </row>
    <row r="267" spans="3:4" x14ac:dyDescent="0.25">
      <c r="C267" s="2" t="s">
        <v>3817</v>
      </c>
      <c r="D267">
        <v>0</v>
      </c>
    </row>
    <row r="268" spans="3:4" x14ac:dyDescent="0.25">
      <c r="C268" s="2" t="s">
        <v>3643</v>
      </c>
      <c r="D268">
        <v>0</v>
      </c>
    </row>
    <row r="269" spans="3:4" x14ac:dyDescent="0.25">
      <c r="C269" s="2" t="s">
        <v>3818</v>
      </c>
      <c r="D269">
        <v>0</v>
      </c>
    </row>
    <row r="270" spans="3:4" x14ac:dyDescent="0.25">
      <c r="C270" s="2" t="s">
        <v>3843</v>
      </c>
      <c r="D270">
        <v>0</v>
      </c>
    </row>
    <row r="271" spans="3:4" x14ac:dyDescent="0.25">
      <c r="C271" s="2" t="s">
        <v>3760</v>
      </c>
      <c r="D271">
        <v>0</v>
      </c>
    </row>
    <row r="272" spans="3:4" x14ac:dyDescent="0.25">
      <c r="C272" s="2" t="s">
        <v>3664</v>
      </c>
      <c r="D272">
        <v>0</v>
      </c>
    </row>
    <row r="273" spans="3:4" x14ac:dyDescent="0.25">
      <c r="C273" s="2" t="s">
        <v>3822</v>
      </c>
      <c r="D273">
        <v>0</v>
      </c>
    </row>
    <row r="274" spans="3:4" x14ac:dyDescent="0.25">
      <c r="C274" s="2" t="s">
        <v>3763</v>
      </c>
      <c r="D274">
        <v>0</v>
      </c>
    </row>
    <row r="275" spans="3:4" x14ac:dyDescent="0.25">
      <c r="C275" s="2" t="s">
        <v>3762</v>
      </c>
      <c r="D275">
        <v>0</v>
      </c>
    </row>
    <row r="276" spans="3:4" x14ac:dyDescent="0.25">
      <c r="C276" s="2" t="s">
        <v>3655</v>
      </c>
      <c r="D276">
        <v>0</v>
      </c>
    </row>
    <row r="277" spans="3:4" x14ac:dyDescent="0.25">
      <c r="C277" s="2" t="s">
        <v>3825</v>
      </c>
      <c r="D277">
        <v>0</v>
      </c>
    </row>
    <row r="278" spans="3:4" x14ac:dyDescent="0.25">
      <c r="C278" s="2" t="s">
        <v>3832</v>
      </c>
      <c r="D278">
        <v>0</v>
      </c>
    </row>
    <row r="279" spans="3:4" x14ac:dyDescent="0.25">
      <c r="C279" s="2" t="s">
        <v>3672</v>
      </c>
      <c r="D279">
        <v>0</v>
      </c>
    </row>
    <row r="280" spans="3:4" x14ac:dyDescent="0.25">
      <c r="C280" s="2" t="s">
        <v>3764</v>
      </c>
      <c r="D280">
        <v>0</v>
      </c>
    </row>
    <row r="281" spans="3:4" x14ac:dyDescent="0.25">
      <c r="C281" s="2" t="s">
        <v>3755</v>
      </c>
      <c r="D281">
        <v>0</v>
      </c>
    </row>
    <row r="282" spans="3:4" x14ac:dyDescent="0.25">
      <c r="C282" s="2" t="s">
        <v>3754</v>
      </c>
      <c r="D282">
        <v>0</v>
      </c>
    </row>
    <row r="283" spans="3:4" x14ac:dyDescent="0.25">
      <c r="C283" s="2" t="s">
        <v>3808</v>
      </c>
      <c r="D283">
        <v>0</v>
      </c>
    </row>
    <row r="284" spans="3:4" x14ac:dyDescent="0.25">
      <c r="C284" s="2" t="s">
        <v>3756</v>
      </c>
      <c r="D284">
        <v>0</v>
      </c>
    </row>
    <row r="285" spans="3:4" x14ac:dyDescent="0.25">
      <c r="C285" s="2" t="s">
        <v>3765</v>
      </c>
      <c r="D285">
        <v>0</v>
      </c>
    </row>
    <row r="286" spans="3:4" x14ac:dyDescent="0.25">
      <c r="C286" s="2" t="s">
        <v>3666</v>
      </c>
      <c r="D286">
        <v>0</v>
      </c>
    </row>
    <row r="287" spans="3:4" x14ac:dyDescent="0.25">
      <c r="C287" s="2" t="s">
        <v>3675</v>
      </c>
      <c r="D287">
        <v>0</v>
      </c>
    </row>
    <row r="288" spans="3:4" x14ac:dyDescent="0.25">
      <c r="C288" s="2" t="s">
        <v>3758</v>
      </c>
      <c r="D288">
        <v>0</v>
      </c>
    </row>
    <row r="289" spans="3:4" x14ac:dyDescent="0.25">
      <c r="C289" s="2" t="s">
        <v>163</v>
      </c>
      <c r="D289">
        <v>0</v>
      </c>
    </row>
    <row r="290" spans="3:4" x14ac:dyDescent="0.25">
      <c r="C290" s="2" t="s">
        <v>3814</v>
      </c>
      <c r="D290">
        <v>0</v>
      </c>
    </row>
    <row r="291" spans="3:4" x14ac:dyDescent="0.25">
      <c r="C291" s="2" t="s">
        <v>3835</v>
      </c>
      <c r="D291">
        <v>0</v>
      </c>
    </row>
    <row r="292" spans="3:4" x14ac:dyDescent="0.25">
      <c r="C292" s="2" t="s">
        <v>3768</v>
      </c>
      <c r="D292">
        <v>0</v>
      </c>
    </row>
    <row r="293" spans="3:4" x14ac:dyDescent="0.25">
      <c r="C293" s="2" t="s">
        <v>3837</v>
      </c>
      <c r="D293">
        <v>0</v>
      </c>
    </row>
    <row r="294" spans="3:4" x14ac:dyDescent="0.25">
      <c r="C294" s="2" t="s">
        <v>3769</v>
      </c>
      <c r="D294">
        <v>0</v>
      </c>
    </row>
    <row r="295" spans="3:4" x14ac:dyDescent="0.25">
      <c r="C295" s="2" t="s">
        <v>3766</v>
      </c>
      <c r="D295">
        <v>0</v>
      </c>
    </row>
    <row r="296" spans="3:4" x14ac:dyDescent="0.25">
      <c r="C296" s="2" t="s">
        <v>3815</v>
      </c>
      <c r="D296">
        <v>0</v>
      </c>
    </row>
    <row r="297" spans="3:4" x14ac:dyDescent="0.25">
      <c r="C297" s="2" t="s">
        <v>65</v>
      </c>
      <c r="D297">
        <v>337</v>
      </c>
    </row>
    <row r="1020" spans="3:3" x14ac:dyDescent="0.25">
      <c r="C1020" s="33" t="s">
        <v>3842</v>
      </c>
    </row>
  </sheetData>
  <pageMargins left="0.7" right="0.7" top="0.75" bottom="0.75" header="0.3" footer="0.3"/>
  <drawing r:id="rId6"/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1321</v>
      </c>
      <c r="B1" t="s">
        <v>1322</v>
      </c>
      <c r="C1" t="s">
        <v>1323</v>
      </c>
    </row>
    <row r="2" spans="1:3" x14ac:dyDescent="0.25">
      <c r="A2">
        <v>29076</v>
      </c>
      <c r="B2" t="s">
        <v>1324</v>
      </c>
      <c r="C2" s="8" t="s">
        <v>1325</v>
      </c>
    </row>
    <row r="3" spans="1:3" x14ac:dyDescent="0.25">
      <c r="A3">
        <v>35348</v>
      </c>
      <c r="B3" t="s">
        <v>1326</v>
      </c>
      <c r="C3" s="8" t="s">
        <v>1327</v>
      </c>
    </row>
    <row r="4" spans="1:3" x14ac:dyDescent="0.25">
      <c r="A4">
        <v>10170</v>
      </c>
      <c r="B4" t="s">
        <v>1328</v>
      </c>
      <c r="C4" s="8" t="s">
        <v>1329</v>
      </c>
    </row>
    <row r="5" spans="1:3" x14ac:dyDescent="0.25">
      <c r="A5">
        <v>5579</v>
      </c>
      <c r="B5" t="s">
        <v>1330</v>
      </c>
      <c r="C5" s="8" t="s">
        <v>1331</v>
      </c>
    </row>
    <row r="6" spans="1:3" x14ac:dyDescent="0.25">
      <c r="A6">
        <v>4597</v>
      </c>
      <c r="B6" t="s">
        <v>1332</v>
      </c>
      <c r="C6" s="8" t="s">
        <v>1333</v>
      </c>
    </row>
    <row r="7" spans="1:3" x14ac:dyDescent="0.25">
      <c r="A7">
        <v>26268</v>
      </c>
      <c r="B7" t="s">
        <v>1334</v>
      </c>
      <c r="C7" s="8" t="s">
        <v>1335</v>
      </c>
    </row>
    <row r="8" spans="1:3" x14ac:dyDescent="0.25">
      <c r="A8">
        <v>23897</v>
      </c>
      <c r="B8" t="s">
        <v>1336</v>
      </c>
      <c r="C8" s="8" t="s">
        <v>1337</v>
      </c>
    </row>
    <row r="9" spans="1:3" x14ac:dyDescent="0.25">
      <c r="A9">
        <v>30456</v>
      </c>
      <c r="B9" t="s">
        <v>1338</v>
      </c>
      <c r="C9" s="8" t="s">
        <v>1339</v>
      </c>
    </row>
    <row r="10" spans="1:3" x14ac:dyDescent="0.25">
      <c r="A10">
        <v>7839</v>
      </c>
      <c r="B10" t="s">
        <v>1330</v>
      </c>
      <c r="C10" s="8" t="s">
        <v>1340</v>
      </c>
    </row>
    <row r="11" spans="1:3" x14ac:dyDescent="0.25">
      <c r="A11">
        <v>28740</v>
      </c>
      <c r="B11" t="s">
        <v>1341</v>
      </c>
      <c r="C11" s="8" t="s">
        <v>1342</v>
      </c>
    </row>
    <row r="12" spans="1:3" x14ac:dyDescent="0.25">
      <c r="A12">
        <v>32219</v>
      </c>
      <c r="B12" t="s">
        <v>1343</v>
      </c>
      <c r="C12" s="8" t="s">
        <v>1344</v>
      </c>
    </row>
    <row r="13" spans="1:3" x14ac:dyDescent="0.25">
      <c r="A13">
        <v>33531</v>
      </c>
      <c r="B13" t="s">
        <v>1345</v>
      </c>
      <c r="C13" s="8" t="s">
        <v>1346</v>
      </c>
    </row>
    <row r="14" spans="1:3" x14ac:dyDescent="0.25">
      <c r="A14">
        <v>10072</v>
      </c>
      <c r="B14" t="s">
        <v>1347</v>
      </c>
      <c r="C14" s="8" t="s">
        <v>1348</v>
      </c>
    </row>
    <row r="15" spans="1:3" x14ac:dyDescent="0.25">
      <c r="A15">
        <v>33429</v>
      </c>
      <c r="B15" t="s">
        <v>1349</v>
      </c>
      <c r="C15" s="8" t="s">
        <v>1350</v>
      </c>
    </row>
    <row r="16" spans="1:3" x14ac:dyDescent="0.25">
      <c r="A16">
        <v>15673</v>
      </c>
      <c r="B16" t="s">
        <v>1351</v>
      </c>
      <c r="C16" s="8" t="s">
        <v>1352</v>
      </c>
    </row>
    <row r="17" spans="1:3" x14ac:dyDescent="0.25">
      <c r="A17">
        <v>6046</v>
      </c>
      <c r="B17" t="s">
        <v>3494</v>
      </c>
      <c r="C17" s="8" t="s">
        <v>3495</v>
      </c>
    </row>
    <row r="18" spans="1:3" x14ac:dyDescent="0.25">
      <c r="A18">
        <v>4691</v>
      </c>
      <c r="B18" t="s">
        <v>1452</v>
      </c>
      <c r="C18" s="8" t="s">
        <v>3496</v>
      </c>
    </row>
    <row r="19" spans="1:3" x14ac:dyDescent="0.25">
      <c r="A19">
        <v>22812</v>
      </c>
      <c r="B19" t="s">
        <v>1550</v>
      </c>
      <c r="C19" s="8" t="s">
        <v>3497</v>
      </c>
    </row>
    <row r="20" spans="1:3" x14ac:dyDescent="0.25">
      <c r="A20">
        <v>25875</v>
      </c>
      <c r="B20" t="s">
        <v>3498</v>
      </c>
      <c r="C20" s="8" t="s">
        <v>3499</v>
      </c>
    </row>
    <row r="21" spans="1:3" x14ac:dyDescent="0.25">
      <c r="A21">
        <v>10905</v>
      </c>
      <c r="B21" t="s">
        <v>3500</v>
      </c>
      <c r="C21" s="8" t="s">
        <v>3501</v>
      </c>
    </row>
    <row r="22" spans="1:3" x14ac:dyDescent="0.25">
      <c r="A22">
        <v>17552</v>
      </c>
      <c r="B22" t="s">
        <v>3502</v>
      </c>
      <c r="C22" s="8" t="s">
        <v>3503</v>
      </c>
    </row>
    <row r="23" spans="1:3" x14ac:dyDescent="0.25">
      <c r="A23">
        <v>29544</v>
      </c>
      <c r="B23" t="s">
        <v>3504</v>
      </c>
      <c r="C23" s="8" t="s">
        <v>3505</v>
      </c>
    </row>
    <row r="24" spans="1:3" x14ac:dyDescent="0.25">
      <c r="A24">
        <v>14537</v>
      </c>
      <c r="B24" t="s">
        <v>3347</v>
      </c>
      <c r="C24" s="8" t="s">
        <v>3506</v>
      </c>
    </row>
    <row r="25" spans="1:3" x14ac:dyDescent="0.25">
      <c r="A25">
        <v>16707</v>
      </c>
      <c r="B25" t="s">
        <v>1452</v>
      </c>
      <c r="C25" s="8" t="s">
        <v>3507</v>
      </c>
    </row>
    <row r="26" spans="1:3" x14ac:dyDescent="0.25">
      <c r="A26">
        <v>7848</v>
      </c>
      <c r="B26" t="s">
        <v>2502</v>
      </c>
      <c r="C26" s="8" t="s">
        <v>3508</v>
      </c>
    </row>
    <row r="27" spans="1:3" x14ac:dyDescent="0.25">
      <c r="A27">
        <v>32710</v>
      </c>
      <c r="B27" t="s">
        <v>3015</v>
      </c>
      <c r="C27" s="8" t="s">
        <v>3509</v>
      </c>
    </row>
    <row r="28" spans="1:3" x14ac:dyDescent="0.25">
      <c r="A28">
        <v>20541</v>
      </c>
      <c r="B28" t="s">
        <v>1812</v>
      </c>
      <c r="C28" s="8" t="s">
        <v>3510</v>
      </c>
    </row>
    <row r="29" spans="1:3" x14ac:dyDescent="0.25">
      <c r="A29">
        <v>26202</v>
      </c>
      <c r="B29" t="s">
        <v>3511</v>
      </c>
      <c r="C29" s="8" t="s">
        <v>3512</v>
      </c>
    </row>
    <row r="30" spans="1:3" x14ac:dyDescent="0.25">
      <c r="A30">
        <v>27081</v>
      </c>
      <c r="B30" t="s">
        <v>3513</v>
      </c>
      <c r="C30" s="8" t="s">
        <v>3514</v>
      </c>
    </row>
    <row r="31" spans="1:3" x14ac:dyDescent="0.25">
      <c r="A31">
        <v>24577</v>
      </c>
      <c r="B31" t="s">
        <v>3515</v>
      </c>
      <c r="C31" s="8" t="s">
        <v>3516</v>
      </c>
    </row>
    <row r="32" spans="1:3" x14ac:dyDescent="0.25">
      <c r="A32">
        <v>29909</v>
      </c>
      <c r="B32" t="s">
        <v>3517</v>
      </c>
      <c r="C32" s="8" t="s">
        <v>3518</v>
      </c>
    </row>
    <row r="33" spans="1:3" x14ac:dyDescent="0.25">
      <c r="A33">
        <v>31154</v>
      </c>
      <c r="B33" t="s">
        <v>3519</v>
      </c>
      <c r="C33" s="8" t="s">
        <v>3520</v>
      </c>
    </row>
    <row r="34" spans="1:3" x14ac:dyDescent="0.25">
      <c r="A34">
        <v>4707</v>
      </c>
      <c r="B34" t="s">
        <v>1929</v>
      </c>
      <c r="C34" s="8" t="s">
        <v>3521</v>
      </c>
    </row>
    <row r="35" spans="1:3" x14ac:dyDescent="0.25">
      <c r="A35">
        <v>8538</v>
      </c>
      <c r="B35" t="s">
        <v>1911</v>
      </c>
      <c r="C35" s="8" t="s">
        <v>3522</v>
      </c>
    </row>
    <row r="36" spans="1:3" x14ac:dyDescent="0.25">
      <c r="A36">
        <v>27105</v>
      </c>
      <c r="B36" t="s">
        <v>3523</v>
      </c>
      <c r="C36" s="8" t="s">
        <v>3524</v>
      </c>
    </row>
    <row r="37" spans="1:3" x14ac:dyDescent="0.25">
      <c r="A37">
        <v>4692</v>
      </c>
      <c r="B37" t="s">
        <v>3015</v>
      </c>
      <c r="C37" s="8" t="s">
        <v>3525</v>
      </c>
    </row>
    <row r="38" spans="1:3" x14ac:dyDescent="0.25">
      <c r="A38">
        <v>90649</v>
      </c>
      <c r="B38" t="s">
        <v>2581</v>
      </c>
      <c r="C38" s="8" t="s">
        <v>3544</v>
      </c>
    </row>
    <row r="39" spans="1:3" x14ac:dyDescent="0.25">
      <c r="A39">
        <v>23079</v>
      </c>
      <c r="B39" t="s">
        <v>3523</v>
      </c>
      <c r="C39" s="8" t="s">
        <v>3545</v>
      </c>
    </row>
    <row r="40" spans="1:3" x14ac:dyDescent="0.25">
      <c r="A40">
        <v>40152</v>
      </c>
      <c r="B40" t="s">
        <v>3601</v>
      </c>
      <c r="C40" s="8" t="s">
        <v>3602</v>
      </c>
    </row>
    <row r="41" spans="1:3" x14ac:dyDescent="0.25">
      <c r="A41">
        <v>10865</v>
      </c>
      <c r="B41" t="s">
        <v>3630</v>
      </c>
      <c r="C41" s="8" t="s">
        <v>3631</v>
      </c>
    </row>
    <row r="42" spans="1:3" x14ac:dyDescent="0.25">
      <c r="A42">
        <v>35714</v>
      </c>
      <c r="B42" t="s">
        <v>2627</v>
      </c>
      <c r="C42" s="8" t="s">
        <v>3683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1" priority="1" operator="equal">
      <formula>0</formula>
    </cfRule>
    <cfRule type="cellIs" dxfId="20" priority="2" operator="between">
      <formula>1</formula>
      <formula>4</formula>
    </cfRule>
    <cfRule type="cellIs" dxfId="19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A2" sqref="A2"/>
    </sheetView>
  </sheetViews>
  <sheetFormatPr defaultRowHeight="15" x14ac:dyDescent="0.25"/>
  <sheetData>
    <row r="1" spans="1:20" x14ac:dyDescent="0.25">
      <c r="A1" t="s">
        <v>3846</v>
      </c>
      <c r="B1" t="s">
        <v>1357</v>
      </c>
      <c r="C1" t="s">
        <v>1358</v>
      </c>
      <c r="D1" t="s">
        <v>1359</v>
      </c>
      <c r="E1" t="s">
        <v>1360</v>
      </c>
      <c r="F1" t="s">
        <v>1361</v>
      </c>
      <c r="G1" t="s">
        <v>1362</v>
      </c>
      <c r="H1" t="s">
        <v>1363</v>
      </c>
      <c r="I1" t="s">
        <v>1364</v>
      </c>
      <c r="J1" t="s">
        <v>1365</v>
      </c>
      <c r="K1" t="s">
        <v>1366</v>
      </c>
      <c r="L1" t="s">
        <v>1367</v>
      </c>
      <c r="M1" t="s">
        <v>1368</v>
      </c>
      <c r="N1" t="s">
        <v>1369</v>
      </c>
      <c r="O1" t="s">
        <v>1370</v>
      </c>
      <c r="P1" t="s">
        <v>1371</v>
      </c>
      <c r="Q1" t="s">
        <v>1372</v>
      </c>
      <c r="R1" t="s">
        <v>1373</v>
      </c>
      <c r="S1" t="s">
        <v>1374</v>
      </c>
      <c r="T1" t="s">
        <v>1375</v>
      </c>
    </row>
    <row r="2" spans="1:20" x14ac:dyDescent="0.25">
      <c r="A2">
        <v>9979</v>
      </c>
      <c r="B2" t="s">
        <v>1456</v>
      </c>
      <c r="C2" t="s">
        <v>1452</v>
      </c>
      <c r="D2" s="3">
        <v>28053</v>
      </c>
      <c r="E2" t="s">
        <v>1378</v>
      </c>
      <c r="F2">
        <v>222</v>
      </c>
      <c r="G2" s="3">
        <v>35796</v>
      </c>
      <c r="H2" t="s">
        <v>1457</v>
      </c>
      <c r="J2" t="s">
        <v>1458</v>
      </c>
      <c r="K2" t="s">
        <v>38</v>
      </c>
      <c r="L2" s="3">
        <v>72686</v>
      </c>
      <c r="M2" s="3">
        <v>46434</v>
      </c>
      <c r="N2" t="s">
        <v>1459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2397</v>
      </c>
      <c r="C3" t="s">
        <v>2931</v>
      </c>
      <c r="D3" s="3">
        <v>23784</v>
      </c>
      <c r="E3" t="s">
        <v>1378</v>
      </c>
      <c r="F3">
        <v>192</v>
      </c>
      <c r="G3" s="3">
        <v>35723</v>
      </c>
      <c r="H3" t="s">
        <v>2932</v>
      </c>
      <c r="J3" t="s">
        <v>1484</v>
      </c>
      <c r="K3" t="s">
        <v>50</v>
      </c>
      <c r="L3" s="3">
        <v>72686</v>
      </c>
      <c r="M3" s="3">
        <v>46236</v>
      </c>
      <c r="N3" t="s">
        <v>2933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3001</v>
      </c>
      <c r="C4" t="s">
        <v>3002</v>
      </c>
      <c r="D4" s="3">
        <v>26311</v>
      </c>
      <c r="E4" t="s">
        <v>1378</v>
      </c>
      <c r="F4">
        <v>608</v>
      </c>
      <c r="G4" s="3">
        <v>35667</v>
      </c>
      <c r="H4" t="s">
        <v>3003</v>
      </c>
      <c r="J4" t="s">
        <v>1679</v>
      </c>
      <c r="K4" t="s">
        <v>47</v>
      </c>
      <c r="L4" s="3">
        <v>47558</v>
      </c>
      <c r="M4" s="3">
        <v>46369</v>
      </c>
      <c r="N4" t="s">
        <v>3004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979</v>
      </c>
      <c r="C5" t="s">
        <v>1824</v>
      </c>
      <c r="D5" s="3">
        <v>26119</v>
      </c>
      <c r="E5" t="s">
        <v>1378</v>
      </c>
      <c r="F5">
        <v>180</v>
      </c>
      <c r="G5" s="3">
        <v>35513</v>
      </c>
      <c r="I5">
        <v>93572444</v>
      </c>
      <c r="J5" t="s">
        <v>1484</v>
      </c>
      <c r="K5" t="s">
        <v>50</v>
      </c>
      <c r="L5" s="3">
        <v>72686</v>
      </c>
      <c r="M5" s="3">
        <v>46834</v>
      </c>
      <c r="N5" t="s">
        <v>1825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3091</v>
      </c>
      <c r="C6" t="s">
        <v>3092</v>
      </c>
      <c r="D6" s="3">
        <v>24694</v>
      </c>
      <c r="E6" t="s">
        <v>1378</v>
      </c>
      <c r="F6">
        <v>398</v>
      </c>
      <c r="G6" s="3">
        <v>35478</v>
      </c>
      <c r="H6" t="s">
        <v>3093</v>
      </c>
      <c r="J6" t="s">
        <v>1679</v>
      </c>
      <c r="K6" t="s">
        <v>41</v>
      </c>
      <c r="L6" s="3">
        <v>72686</v>
      </c>
      <c r="M6" s="3">
        <v>46194</v>
      </c>
      <c r="N6" t="s">
        <v>3094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3054</v>
      </c>
      <c r="C7" t="s">
        <v>3055</v>
      </c>
      <c r="D7" s="3">
        <v>26633</v>
      </c>
      <c r="E7" t="s">
        <v>1378</v>
      </c>
      <c r="F7">
        <v>382</v>
      </c>
      <c r="G7" s="3">
        <v>35478</v>
      </c>
      <c r="H7" t="s">
        <v>3056</v>
      </c>
      <c r="J7" t="s">
        <v>1552</v>
      </c>
      <c r="K7" t="s">
        <v>47</v>
      </c>
      <c r="L7" s="3">
        <v>45955</v>
      </c>
      <c r="M7" s="3">
        <v>46273</v>
      </c>
      <c r="N7" t="s">
        <v>3057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2295</v>
      </c>
      <c r="C8" t="s">
        <v>2296</v>
      </c>
      <c r="D8" s="3">
        <v>23172</v>
      </c>
      <c r="E8" t="s">
        <v>1378</v>
      </c>
      <c r="F8">
        <v>429</v>
      </c>
      <c r="G8" s="3">
        <v>35394</v>
      </c>
      <c r="H8" t="s">
        <v>2297</v>
      </c>
      <c r="J8" t="s">
        <v>1699</v>
      </c>
      <c r="K8" t="s">
        <v>47</v>
      </c>
      <c r="L8" s="3">
        <v>46000</v>
      </c>
      <c r="M8" s="3">
        <v>46019</v>
      </c>
      <c r="N8" t="s">
        <v>2298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3087</v>
      </c>
      <c r="C9" t="s">
        <v>3088</v>
      </c>
      <c r="D9" s="3">
        <v>27910</v>
      </c>
      <c r="E9" t="s">
        <v>1378</v>
      </c>
      <c r="F9">
        <v>466</v>
      </c>
      <c r="G9" s="3">
        <v>35338</v>
      </c>
      <c r="H9" t="s">
        <v>3089</v>
      </c>
      <c r="I9">
        <v>93244163</v>
      </c>
      <c r="J9" t="s">
        <v>1484</v>
      </c>
      <c r="K9" t="s">
        <v>38</v>
      </c>
      <c r="L9" s="3">
        <v>47614</v>
      </c>
      <c r="M9" s="3">
        <v>46820</v>
      </c>
      <c r="N9" t="s">
        <v>3090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3346</v>
      </c>
      <c r="C10" t="s">
        <v>3347</v>
      </c>
      <c r="D10" s="3">
        <v>27571</v>
      </c>
      <c r="E10" t="s">
        <v>1378</v>
      </c>
      <c r="F10">
        <v>2</v>
      </c>
      <c r="G10" s="3">
        <v>35303</v>
      </c>
      <c r="I10">
        <v>93568611</v>
      </c>
      <c r="J10" t="s">
        <v>1506</v>
      </c>
      <c r="K10" t="s">
        <v>56</v>
      </c>
      <c r="L10" s="3">
        <v>47576</v>
      </c>
      <c r="M10" s="3">
        <v>47573</v>
      </c>
      <c r="N10" t="s">
        <v>3348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3328</v>
      </c>
      <c r="C11" t="s">
        <v>3329</v>
      </c>
      <c r="D11" s="3">
        <v>26996</v>
      </c>
      <c r="E11" t="s">
        <v>1378</v>
      </c>
      <c r="F11">
        <v>71</v>
      </c>
      <c r="G11" s="3">
        <v>35219</v>
      </c>
      <c r="H11" t="s">
        <v>3330</v>
      </c>
      <c r="J11" t="s">
        <v>1506</v>
      </c>
      <c r="K11" t="s">
        <v>56</v>
      </c>
      <c r="L11" s="3">
        <v>45880</v>
      </c>
      <c r="M11" s="3">
        <v>46014</v>
      </c>
      <c r="N11" t="s">
        <v>3331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1732</v>
      </c>
      <c r="C12" t="s">
        <v>1733</v>
      </c>
      <c r="D12" s="3">
        <v>26380</v>
      </c>
      <c r="E12" t="s">
        <v>1378</v>
      </c>
      <c r="F12">
        <v>272</v>
      </c>
      <c r="G12" s="3">
        <v>35219</v>
      </c>
      <c r="J12" t="s">
        <v>1484</v>
      </c>
      <c r="K12" t="s">
        <v>50</v>
      </c>
      <c r="L12" s="3">
        <v>73050</v>
      </c>
      <c r="M12" s="3">
        <v>45909</v>
      </c>
      <c r="N12" t="s">
        <v>1734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2578</v>
      </c>
      <c r="C13" t="s">
        <v>2579</v>
      </c>
      <c r="D13" s="3">
        <v>25627</v>
      </c>
      <c r="E13" t="s">
        <v>1378</v>
      </c>
      <c r="F13">
        <v>508</v>
      </c>
      <c r="G13" s="3">
        <v>35219</v>
      </c>
      <c r="I13">
        <v>474276343</v>
      </c>
      <c r="J13" t="s">
        <v>1501</v>
      </c>
      <c r="K13" t="s">
        <v>41</v>
      </c>
      <c r="L13" s="3">
        <v>47566</v>
      </c>
      <c r="M13" s="3">
        <v>47561</v>
      </c>
      <c r="N13" t="s">
        <v>2580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1460</v>
      </c>
      <c r="C14" t="s">
        <v>1452</v>
      </c>
      <c r="D14" s="3">
        <v>25922</v>
      </c>
      <c r="E14" t="s">
        <v>1378</v>
      </c>
      <c r="F14">
        <v>473</v>
      </c>
      <c r="G14" s="3">
        <v>35177</v>
      </c>
      <c r="H14" t="s">
        <v>1461</v>
      </c>
      <c r="J14" t="s">
        <v>1462</v>
      </c>
      <c r="K14" t="s">
        <v>44</v>
      </c>
      <c r="L14" s="3">
        <v>47607</v>
      </c>
      <c r="M14" s="3">
        <v>47573</v>
      </c>
      <c r="N14" t="s">
        <v>1463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1841</v>
      </c>
      <c r="C15" t="s">
        <v>1842</v>
      </c>
      <c r="D15" s="3">
        <v>24555</v>
      </c>
      <c r="E15" t="s">
        <v>1633</v>
      </c>
      <c r="F15">
        <v>100</v>
      </c>
      <c r="G15" s="3">
        <v>35065</v>
      </c>
      <c r="H15" t="s">
        <v>1843</v>
      </c>
      <c r="J15" t="s">
        <v>1679</v>
      </c>
      <c r="K15" t="s">
        <v>35</v>
      </c>
      <c r="L15" s="3">
        <v>72686</v>
      </c>
      <c r="M15" s="3">
        <v>46146</v>
      </c>
      <c r="N15" t="s">
        <v>1844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1658</v>
      </c>
      <c r="C16" t="s">
        <v>1659</v>
      </c>
      <c r="D16" s="3">
        <v>25262</v>
      </c>
      <c r="E16" t="s">
        <v>1378</v>
      </c>
      <c r="F16">
        <v>164</v>
      </c>
      <c r="G16" s="3">
        <v>34932</v>
      </c>
      <c r="I16">
        <v>32496401543</v>
      </c>
      <c r="J16" t="s">
        <v>1432</v>
      </c>
      <c r="K16" t="s">
        <v>56</v>
      </c>
      <c r="L16" s="3">
        <v>73050</v>
      </c>
      <c r="M16" s="3">
        <v>47170</v>
      </c>
      <c r="N16" t="s">
        <v>1660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2350</v>
      </c>
      <c r="C17" t="s">
        <v>3045</v>
      </c>
      <c r="D17" s="3">
        <v>23497</v>
      </c>
      <c r="E17" t="s">
        <v>1378</v>
      </c>
      <c r="F17">
        <v>356</v>
      </c>
      <c r="G17" s="3">
        <v>34932</v>
      </c>
      <c r="I17">
        <v>93293469</v>
      </c>
      <c r="J17" t="s">
        <v>1497</v>
      </c>
      <c r="K17" t="s">
        <v>44</v>
      </c>
      <c r="L17" s="3">
        <v>47671</v>
      </c>
      <c r="M17" s="3">
        <v>47369</v>
      </c>
      <c r="N17" t="s">
        <v>3046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2815</v>
      </c>
      <c r="C18" t="s">
        <v>1326</v>
      </c>
      <c r="D18" s="3">
        <v>26956</v>
      </c>
      <c r="E18" t="s">
        <v>1378</v>
      </c>
      <c r="F18">
        <v>557</v>
      </c>
      <c r="G18" s="3">
        <v>34834</v>
      </c>
      <c r="H18" t="s">
        <v>2990</v>
      </c>
      <c r="J18" t="s">
        <v>1501</v>
      </c>
      <c r="K18" t="s">
        <v>38</v>
      </c>
      <c r="L18" s="3">
        <v>47702</v>
      </c>
      <c r="M18" s="3">
        <v>45993</v>
      </c>
      <c r="N18" t="s">
        <v>2991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1928</v>
      </c>
      <c r="C19" t="s">
        <v>1929</v>
      </c>
      <c r="D19" s="3">
        <v>23504</v>
      </c>
      <c r="E19" t="s">
        <v>1378</v>
      </c>
      <c r="F19">
        <v>289</v>
      </c>
      <c r="G19" s="3">
        <v>34078</v>
      </c>
      <c r="J19" t="s">
        <v>1552</v>
      </c>
      <c r="K19" t="s">
        <v>53</v>
      </c>
      <c r="L19" s="3">
        <v>72686</v>
      </c>
      <c r="M19" s="3">
        <v>46140</v>
      </c>
      <c r="N19" t="s">
        <v>1930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3014</v>
      </c>
      <c r="C20" t="s">
        <v>3015</v>
      </c>
      <c r="D20" s="3">
        <v>26147</v>
      </c>
      <c r="E20" t="s">
        <v>1378</v>
      </c>
      <c r="F20">
        <v>413</v>
      </c>
      <c r="G20" s="3">
        <v>34078</v>
      </c>
      <c r="H20" t="s">
        <v>3016</v>
      </c>
      <c r="J20" t="s">
        <v>1547</v>
      </c>
      <c r="K20" t="s">
        <v>47</v>
      </c>
      <c r="L20" s="3">
        <v>47594</v>
      </c>
      <c r="M20" s="3">
        <v>46497</v>
      </c>
      <c r="N20" t="s">
        <v>3017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1255</v>
      </c>
      <c r="C21" t="s">
        <v>3329</v>
      </c>
      <c r="D21" s="3">
        <v>20773</v>
      </c>
      <c r="E21" t="s">
        <v>1378</v>
      </c>
      <c r="F21">
        <v>628</v>
      </c>
      <c r="G21" s="3">
        <v>34008</v>
      </c>
      <c r="H21" t="s">
        <v>3332</v>
      </c>
      <c r="J21" t="s">
        <v>1515</v>
      </c>
      <c r="K21" t="s">
        <v>41</v>
      </c>
      <c r="L21" s="3">
        <v>47481</v>
      </c>
      <c r="M21" s="3">
        <v>47456</v>
      </c>
      <c r="N21" t="s">
        <v>3333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1994</v>
      </c>
      <c r="C22" t="s">
        <v>1991</v>
      </c>
      <c r="D22" s="3">
        <v>23986</v>
      </c>
      <c r="E22" t="s">
        <v>1378</v>
      </c>
      <c r="F22">
        <v>216</v>
      </c>
      <c r="G22" s="3">
        <v>33868</v>
      </c>
      <c r="H22" t="s">
        <v>1995</v>
      </c>
      <c r="I22">
        <v>93285775</v>
      </c>
      <c r="J22" t="s">
        <v>1552</v>
      </c>
      <c r="K22" t="s">
        <v>50</v>
      </c>
      <c r="L22" s="3">
        <v>72686</v>
      </c>
      <c r="M22" s="3">
        <v>72686</v>
      </c>
      <c r="N22" t="s">
        <v>1996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2904</v>
      </c>
      <c r="C23" t="s">
        <v>2905</v>
      </c>
      <c r="D23" s="3">
        <v>25610</v>
      </c>
      <c r="E23" t="s">
        <v>1378</v>
      </c>
      <c r="F23">
        <v>467</v>
      </c>
      <c r="G23" s="3">
        <v>33848</v>
      </c>
      <c r="H23" t="s">
        <v>2906</v>
      </c>
      <c r="J23" t="s">
        <v>1506</v>
      </c>
      <c r="K23" t="s">
        <v>56</v>
      </c>
      <c r="L23" s="3">
        <v>47698</v>
      </c>
      <c r="M23" s="3">
        <v>46152</v>
      </c>
      <c r="N23" t="s">
        <v>2907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3403</v>
      </c>
      <c r="C24" t="s">
        <v>3404</v>
      </c>
      <c r="D24" s="3">
        <v>23942</v>
      </c>
      <c r="E24" t="s">
        <v>1378</v>
      </c>
      <c r="F24">
        <v>193</v>
      </c>
      <c r="G24" s="3">
        <v>33819</v>
      </c>
      <c r="H24" t="s">
        <v>3405</v>
      </c>
      <c r="J24" t="s">
        <v>1506</v>
      </c>
      <c r="K24" t="s">
        <v>56</v>
      </c>
      <c r="L24" s="3">
        <v>47636</v>
      </c>
      <c r="M24" s="3">
        <v>46364</v>
      </c>
      <c r="N24" t="s">
        <v>3406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1781</v>
      </c>
      <c r="C25" t="s">
        <v>1782</v>
      </c>
      <c r="D25" s="3">
        <v>24961</v>
      </c>
      <c r="E25" t="s">
        <v>1378</v>
      </c>
      <c r="F25">
        <v>19</v>
      </c>
      <c r="G25" s="3">
        <v>33742</v>
      </c>
      <c r="H25" t="s">
        <v>1783</v>
      </c>
      <c r="J25" t="s">
        <v>1679</v>
      </c>
      <c r="K25" t="s">
        <v>56</v>
      </c>
      <c r="L25" s="3">
        <v>72686</v>
      </c>
      <c r="M25" s="3">
        <v>46308</v>
      </c>
      <c r="N25" t="s">
        <v>1784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2674</v>
      </c>
      <c r="C26" t="s">
        <v>2675</v>
      </c>
      <c r="D26" s="3">
        <v>25098</v>
      </c>
      <c r="E26" t="s">
        <v>1378</v>
      </c>
      <c r="F26">
        <v>189</v>
      </c>
      <c r="G26" s="3">
        <v>33707</v>
      </c>
      <c r="H26" t="s">
        <v>2676</v>
      </c>
      <c r="I26">
        <v>93848830</v>
      </c>
      <c r="J26" t="s">
        <v>1699</v>
      </c>
      <c r="K26" t="s">
        <v>47</v>
      </c>
      <c r="L26" s="3">
        <v>47705</v>
      </c>
      <c r="M26" s="3">
        <v>46318</v>
      </c>
      <c r="N26" t="s">
        <v>2677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1910</v>
      </c>
      <c r="C27" t="s">
        <v>1911</v>
      </c>
      <c r="D27" s="3">
        <v>24551</v>
      </c>
      <c r="E27" t="s">
        <v>1378</v>
      </c>
      <c r="F27">
        <v>386</v>
      </c>
      <c r="G27" s="3">
        <v>33609</v>
      </c>
      <c r="H27" t="s">
        <v>1912</v>
      </c>
      <c r="I27">
        <v>93572595</v>
      </c>
      <c r="J27" t="s">
        <v>1484</v>
      </c>
      <c r="K27" t="s">
        <v>50</v>
      </c>
      <c r="L27" s="3">
        <v>73050</v>
      </c>
      <c r="M27" s="3">
        <v>46853</v>
      </c>
      <c r="N27" t="s">
        <v>1913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1560</v>
      </c>
      <c r="C28" t="s">
        <v>1605</v>
      </c>
      <c r="D28" s="3">
        <v>24869</v>
      </c>
      <c r="E28" t="s">
        <v>1378</v>
      </c>
      <c r="F28">
        <v>331</v>
      </c>
      <c r="G28" s="3">
        <v>33546</v>
      </c>
      <c r="H28" t="s">
        <v>1606</v>
      </c>
      <c r="J28" t="s">
        <v>1484</v>
      </c>
      <c r="K28" t="s">
        <v>50</v>
      </c>
      <c r="L28" s="3">
        <v>72686</v>
      </c>
      <c r="M28" s="3">
        <v>46985</v>
      </c>
      <c r="N28" t="s">
        <v>1607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1959</v>
      </c>
      <c r="C29" t="s">
        <v>2509</v>
      </c>
      <c r="D29" s="3">
        <v>24420</v>
      </c>
      <c r="E29" t="s">
        <v>1378</v>
      </c>
      <c r="F29">
        <v>313</v>
      </c>
      <c r="G29" s="3">
        <v>33308</v>
      </c>
      <c r="H29" t="s">
        <v>2510</v>
      </c>
      <c r="I29">
        <v>92370122</v>
      </c>
      <c r="J29" t="s">
        <v>1497</v>
      </c>
      <c r="K29" t="s">
        <v>41</v>
      </c>
      <c r="L29" s="3">
        <v>47635</v>
      </c>
      <c r="M29" s="3">
        <v>46882</v>
      </c>
      <c r="N29" t="s">
        <v>2511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3240</v>
      </c>
      <c r="C30" t="s">
        <v>3241</v>
      </c>
      <c r="D30" s="3">
        <v>23694</v>
      </c>
      <c r="E30" t="s">
        <v>1378</v>
      </c>
      <c r="F30">
        <v>630</v>
      </c>
      <c r="G30" s="3">
        <v>33308</v>
      </c>
      <c r="H30" t="s">
        <v>3242</v>
      </c>
      <c r="I30">
        <v>92277204</v>
      </c>
      <c r="J30" t="s">
        <v>1501</v>
      </c>
      <c r="K30" t="s">
        <v>38</v>
      </c>
      <c r="L30" s="3">
        <v>47653</v>
      </c>
      <c r="M30" s="3">
        <v>46834</v>
      </c>
      <c r="N30" t="s">
        <v>3243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3276</v>
      </c>
      <c r="C31" t="s">
        <v>1351</v>
      </c>
      <c r="D31" s="3">
        <v>25160</v>
      </c>
      <c r="E31" t="s">
        <v>1378</v>
      </c>
      <c r="F31">
        <v>232</v>
      </c>
      <c r="G31" s="3">
        <v>33287</v>
      </c>
      <c r="H31" t="s">
        <v>3277</v>
      </c>
      <c r="J31" t="s">
        <v>1679</v>
      </c>
      <c r="K31" t="s">
        <v>56</v>
      </c>
      <c r="L31" s="3">
        <v>45952</v>
      </c>
      <c r="M31" s="3">
        <v>46665</v>
      </c>
      <c r="N31" t="s">
        <v>3278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1495</v>
      </c>
      <c r="C32" t="s">
        <v>1929</v>
      </c>
      <c r="D32" s="3">
        <v>24557</v>
      </c>
      <c r="E32" t="s">
        <v>1378</v>
      </c>
      <c r="F32">
        <v>649</v>
      </c>
      <c r="G32" s="3">
        <v>33287</v>
      </c>
      <c r="I32">
        <v>93300995</v>
      </c>
      <c r="J32" t="s">
        <v>1493</v>
      </c>
      <c r="K32" t="s">
        <v>47</v>
      </c>
      <c r="L32" s="3">
        <v>47672</v>
      </c>
      <c r="M32" s="3">
        <v>46665</v>
      </c>
      <c r="N32" t="s">
        <v>1931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2784</v>
      </c>
      <c r="C33" t="s">
        <v>2785</v>
      </c>
      <c r="D33" s="3">
        <v>22990</v>
      </c>
      <c r="E33" t="s">
        <v>1378</v>
      </c>
      <c r="F33">
        <v>368</v>
      </c>
      <c r="G33" s="3">
        <v>33098</v>
      </c>
      <c r="H33" t="s">
        <v>2786</v>
      </c>
      <c r="I33">
        <v>93290244</v>
      </c>
      <c r="J33" t="s">
        <v>1552</v>
      </c>
      <c r="K33" t="s">
        <v>53</v>
      </c>
      <c r="L33" s="3">
        <v>72686</v>
      </c>
      <c r="M33" s="3">
        <v>47046</v>
      </c>
      <c r="N33" t="s">
        <v>2787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1735</v>
      </c>
      <c r="C34" t="s">
        <v>1733</v>
      </c>
      <c r="D34" s="3">
        <v>25160</v>
      </c>
      <c r="E34" t="s">
        <v>1378</v>
      </c>
      <c r="F34">
        <v>210</v>
      </c>
      <c r="G34" s="3">
        <v>32951</v>
      </c>
      <c r="H34" t="s">
        <v>1736</v>
      </c>
      <c r="J34" t="s">
        <v>1699</v>
      </c>
      <c r="K34" t="s">
        <v>56</v>
      </c>
      <c r="L34" s="3">
        <v>47588</v>
      </c>
      <c r="M34" s="3">
        <v>46453</v>
      </c>
      <c r="N34" t="s">
        <v>1737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2924</v>
      </c>
      <c r="C35" t="s">
        <v>2925</v>
      </c>
      <c r="D35" s="3">
        <v>24539</v>
      </c>
      <c r="E35" t="s">
        <v>1378</v>
      </c>
      <c r="F35">
        <v>539</v>
      </c>
      <c r="G35" s="3">
        <v>32924</v>
      </c>
      <c r="H35" t="s">
        <v>2926</v>
      </c>
      <c r="J35" t="s">
        <v>1501</v>
      </c>
      <c r="K35" t="s">
        <v>38</v>
      </c>
      <c r="L35" s="3">
        <v>45943</v>
      </c>
      <c r="M35" s="3">
        <v>46637</v>
      </c>
      <c r="N35" t="s">
        <v>2927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1950</v>
      </c>
      <c r="C36" t="s">
        <v>2581</v>
      </c>
      <c r="D36" s="3">
        <v>24146</v>
      </c>
      <c r="E36" t="s">
        <v>1378</v>
      </c>
      <c r="F36">
        <v>509</v>
      </c>
      <c r="G36" s="3">
        <v>32797</v>
      </c>
      <c r="J36" t="s">
        <v>1501</v>
      </c>
      <c r="K36" t="s">
        <v>41</v>
      </c>
      <c r="L36" s="3">
        <v>47602</v>
      </c>
      <c r="M36" s="3">
        <v>46399</v>
      </c>
      <c r="N36" t="s">
        <v>2582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2561</v>
      </c>
      <c r="C37" t="s">
        <v>2562</v>
      </c>
      <c r="D37" s="3">
        <v>23029</v>
      </c>
      <c r="E37" t="s">
        <v>1378</v>
      </c>
      <c r="F37">
        <v>410</v>
      </c>
      <c r="G37" s="3">
        <v>32644</v>
      </c>
      <c r="H37" t="s">
        <v>2563</v>
      </c>
      <c r="J37" t="s">
        <v>1506</v>
      </c>
      <c r="K37" t="s">
        <v>56</v>
      </c>
      <c r="L37" s="3">
        <v>47573</v>
      </c>
      <c r="M37" s="3">
        <v>46306</v>
      </c>
      <c r="N37" t="s">
        <v>2564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2819</v>
      </c>
      <c r="C38" t="s">
        <v>2820</v>
      </c>
      <c r="D38" s="3">
        <v>24001</v>
      </c>
      <c r="E38" t="s">
        <v>1378</v>
      </c>
      <c r="F38">
        <v>16</v>
      </c>
      <c r="G38" s="3">
        <v>32489</v>
      </c>
      <c r="H38" t="s">
        <v>2821</v>
      </c>
      <c r="J38" t="s">
        <v>1699</v>
      </c>
      <c r="K38" t="s">
        <v>47</v>
      </c>
      <c r="L38" s="3">
        <v>47590</v>
      </c>
      <c r="M38" s="3">
        <v>46960</v>
      </c>
      <c r="N38" t="s">
        <v>2822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2967</v>
      </c>
      <c r="C39" t="s">
        <v>2968</v>
      </c>
      <c r="D39" s="3">
        <v>23958</v>
      </c>
      <c r="E39" t="s">
        <v>1378</v>
      </c>
      <c r="F39">
        <v>446</v>
      </c>
      <c r="G39" s="3">
        <v>32223</v>
      </c>
      <c r="H39" t="s">
        <v>2969</v>
      </c>
      <c r="I39">
        <v>93365628</v>
      </c>
      <c r="J39" t="s">
        <v>1506</v>
      </c>
      <c r="K39" t="s">
        <v>56</v>
      </c>
      <c r="L39" s="3">
        <v>46863</v>
      </c>
      <c r="M39" s="3">
        <v>46838</v>
      </c>
      <c r="N39" t="s">
        <v>2970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3547</v>
      </c>
      <c r="C40" t="s">
        <v>3548</v>
      </c>
      <c r="D40" s="3">
        <v>38253</v>
      </c>
      <c r="E40" t="s">
        <v>1378</v>
      </c>
      <c r="G40" s="3">
        <v>45918</v>
      </c>
      <c r="H40" t="s">
        <v>3549</v>
      </c>
      <c r="J40" t="s">
        <v>1835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1477</v>
      </c>
      <c r="C41" t="s">
        <v>2604</v>
      </c>
      <c r="D41" s="3">
        <v>36846</v>
      </c>
      <c r="E41" t="s">
        <v>1378</v>
      </c>
      <c r="G41" s="3">
        <v>45903</v>
      </c>
      <c r="H41" t="s">
        <v>3550</v>
      </c>
      <c r="J41" t="s">
        <v>1835</v>
      </c>
      <c r="K41" t="s">
        <v>44</v>
      </c>
      <c r="L41" s="3">
        <v>1</v>
      </c>
      <c r="M41" s="3">
        <v>1</v>
      </c>
      <c r="N41" t="s">
        <v>3551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3552</v>
      </c>
      <c r="C42" t="s">
        <v>3553</v>
      </c>
      <c r="D42" s="3">
        <v>30518</v>
      </c>
      <c r="E42" t="s">
        <v>1378</v>
      </c>
      <c r="G42" s="3">
        <v>45918</v>
      </c>
      <c r="H42" t="s">
        <v>3554</v>
      </c>
      <c r="J42" t="s">
        <v>1835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3423</v>
      </c>
      <c r="C43" t="s">
        <v>3555</v>
      </c>
      <c r="D43" s="3">
        <v>36642</v>
      </c>
      <c r="E43" t="s">
        <v>1378</v>
      </c>
      <c r="G43" s="3">
        <v>45903</v>
      </c>
      <c r="H43" t="s">
        <v>3556</v>
      </c>
      <c r="J43" t="s">
        <v>1835</v>
      </c>
      <c r="K43" t="s">
        <v>44</v>
      </c>
      <c r="L43" s="3">
        <v>1</v>
      </c>
      <c r="M43" s="3">
        <v>1</v>
      </c>
      <c r="N43" t="s">
        <v>3557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3558</v>
      </c>
      <c r="C44" t="s">
        <v>3438</v>
      </c>
      <c r="D44" s="3">
        <v>37782</v>
      </c>
      <c r="E44" t="s">
        <v>1378</v>
      </c>
      <c r="G44" s="3">
        <v>45903</v>
      </c>
      <c r="H44" t="s">
        <v>3559</v>
      </c>
      <c r="J44" t="s">
        <v>1835</v>
      </c>
      <c r="K44" t="s">
        <v>44</v>
      </c>
      <c r="L44" s="3">
        <v>1</v>
      </c>
      <c r="M44" s="3">
        <v>1</v>
      </c>
      <c r="N44" t="s">
        <v>3560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3561</v>
      </c>
      <c r="C45" t="s">
        <v>1662</v>
      </c>
      <c r="D45" s="3">
        <v>24857</v>
      </c>
      <c r="E45" t="s">
        <v>1378</v>
      </c>
      <c r="G45" s="3">
        <v>45903</v>
      </c>
      <c r="H45" t="s">
        <v>3562</v>
      </c>
      <c r="J45" t="s">
        <v>1835</v>
      </c>
      <c r="K45" t="s">
        <v>47</v>
      </c>
      <c r="L45" s="3">
        <v>1</v>
      </c>
      <c r="M45" s="3">
        <v>1</v>
      </c>
      <c r="N45" t="s">
        <v>3563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2006</v>
      </c>
      <c r="C46" t="s">
        <v>3564</v>
      </c>
      <c r="D46" s="3">
        <v>37215</v>
      </c>
      <c r="E46" t="s">
        <v>1378</v>
      </c>
      <c r="G46" s="3">
        <v>45903</v>
      </c>
      <c r="H46" t="s">
        <v>3565</v>
      </c>
      <c r="J46" t="s">
        <v>1835</v>
      </c>
      <c r="K46" t="s">
        <v>53</v>
      </c>
      <c r="L46" s="3">
        <v>1</v>
      </c>
      <c r="M46" s="3">
        <v>1</v>
      </c>
      <c r="N46" t="s">
        <v>3566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3567</v>
      </c>
      <c r="C47" t="s">
        <v>3568</v>
      </c>
      <c r="D47" s="3">
        <v>36604</v>
      </c>
      <c r="E47" t="s">
        <v>1378</v>
      </c>
      <c r="G47" s="3">
        <v>45889</v>
      </c>
      <c r="H47" t="s">
        <v>3569</v>
      </c>
      <c r="J47" t="s">
        <v>1835</v>
      </c>
      <c r="K47" t="s">
        <v>47</v>
      </c>
      <c r="L47" s="3">
        <v>1</v>
      </c>
      <c r="M47" s="3">
        <v>1</v>
      </c>
      <c r="N47" t="s">
        <v>3570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3571</v>
      </c>
      <c r="C48" t="s">
        <v>3572</v>
      </c>
      <c r="D48" s="3">
        <v>37251</v>
      </c>
      <c r="E48" t="s">
        <v>1378</v>
      </c>
      <c r="G48" s="3">
        <v>45903</v>
      </c>
      <c r="H48" t="s">
        <v>3573</v>
      </c>
      <c r="J48" t="s">
        <v>1386</v>
      </c>
      <c r="K48" t="s">
        <v>38</v>
      </c>
      <c r="L48" s="3">
        <v>1</v>
      </c>
      <c r="M48" s="3">
        <v>1</v>
      </c>
      <c r="N48" t="s">
        <v>3574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3575</v>
      </c>
      <c r="C49" t="s">
        <v>3576</v>
      </c>
      <c r="D49" s="3">
        <v>33465</v>
      </c>
      <c r="E49" t="s">
        <v>1378</v>
      </c>
      <c r="G49" s="3">
        <v>45889</v>
      </c>
      <c r="H49" t="s">
        <v>3577</v>
      </c>
      <c r="J49" t="s">
        <v>1386</v>
      </c>
      <c r="K49" t="s">
        <v>53</v>
      </c>
      <c r="L49" s="3">
        <v>1</v>
      </c>
      <c r="M49" s="3">
        <v>1</v>
      </c>
      <c r="N49" t="s">
        <v>3578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1832</v>
      </c>
      <c r="C50" t="s">
        <v>1833</v>
      </c>
      <c r="D50" s="3">
        <v>30767</v>
      </c>
      <c r="E50" t="s">
        <v>1378</v>
      </c>
      <c r="G50" s="3">
        <v>45870</v>
      </c>
      <c r="H50" t="s">
        <v>1834</v>
      </c>
      <c r="I50" t="s">
        <v>3579</v>
      </c>
      <c r="J50" t="s">
        <v>1835</v>
      </c>
      <c r="K50" t="s">
        <v>35</v>
      </c>
      <c r="L50" s="3">
        <v>46301</v>
      </c>
      <c r="M50" s="3">
        <v>47644</v>
      </c>
      <c r="N50" t="s">
        <v>1836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2519</v>
      </c>
      <c r="C51" t="s">
        <v>2520</v>
      </c>
      <c r="D51" s="3">
        <v>34251</v>
      </c>
      <c r="E51" t="s">
        <v>1378</v>
      </c>
      <c r="G51" s="3">
        <v>45874</v>
      </c>
      <c r="H51" t="s">
        <v>2521</v>
      </c>
      <c r="J51" t="s">
        <v>1391</v>
      </c>
      <c r="K51" t="s">
        <v>50</v>
      </c>
      <c r="L51" s="3">
        <v>47722</v>
      </c>
      <c r="M51" s="3">
        <v>47664</v>
      </c>
      <c r="N51" t="s">
        <v>2522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1681</v>
      </c>
      <c r="C52" t="s">
        <v>1682</v>
      </c>
      <c r="D52" s="3">
        <v>36894</v>
      </c>
      <c r="E52" t="s">
        <v>1378</v>
      </c>
      <c r="G52" s="3">
        <v>45874</v>
      </c>
      <c r="H52" t="s">
        <v>1683</v>
      </c>
      <c r="J52" t="s">
        <v>1391</v>
      </c>
      <c r="K52" t="s">
        <v>50</v>
      </c>
      <c r="L52" s="3">
        <v>47720</v>
      </c>
      <c r="M52" s="3">
        <v>47664</v>
      </c>
      <c r="N52" t="s">
        <v>1684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3580</v>
      </c>
      <c r="C53" t="s">
        <v>3581</v>
      </c>
      <c r="D53" s="3">
        <v>35367</v>
      </c>
      <c r="E53" t="s">
        <v>1378</v>
      </c>
      <c r="G53" s="3">
        <v>45889</v>
      </c>
      <c r="H53" t="s">
        <v>3582</v>
      </c>
      <c r="J53" t="s">
        <v>1386</v>
      </c>
      <c r="K53" t="s">
        <v>41</v>
      </c>
      <c r="L53" s="3">
        <v>1</v>
      </c>
      <c r="M53" s="3">
        <v>1</v>
      </c>
      <c r="N53" t="s">
        <v>3583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3584</v>
      </c>
      <c r="C54" t="s">
        <v>3585</v>
      </c>
      <c r="D54" s="3">
        <v>32154</v>
      </c>
      <c r="E54" t="s">
        <v>1378</v>
      </c>
      <c r="G54" s="3">
        <v>45889</v>
      </c>
      <c r="H54" t="s">
        <v>3586</v>
      </c>
      <c r="J54" t="s">
        <v>1386</v>
      </c>
      <c r="K54" t="s">
        <v>38</v>
      </c>
      <c r="L54" s="3">
        <v>1</v>
      </c>
      <c r="M54" s="3">
        <v>1</v>
      </c>
      <c r="N54" t="s">
        <v>3587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2173</v>
      </c>
      <c r="C55" t="s">
        <v>2174</v>
      </c>
      <c r="D55" s="3">
        <v>34485</v>
      </c>
      <c r="E55" t="s">
        <v>1378</v>
      </c>
      <c r="G55" s="3">
        <v>45868</v>
      </c>
      <c r="H55" t="s">
        <v>2175</v>
      </c>
      <c r="J55" t="s">
        <v>1386</v>
      </c>
      <c r="K55" t="s">
        <v>44</v>
      </c>
      <c r="L55" s="3">
        <v>47428</v>
      </c>
      <c r="M55" s="3">
        <v>47243</v>
      </c>
      <c r="N55" t="s">
        <v>2176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2971</v>
      </c>
      <c r="C56" t="s">
        <v>2972</v>
      </c>
      <c r="D56" s="3">
        <v>38832</v>
      </c>
      <c r="E56" t="s">
        <v>1378</v>
      </c>
      <c r="G56" s="3">
        <v>45860</v>
      </c>
      <c r="H56" t="s">
        <v>2973</v>
      </c>
      <c r="J56" t="s">
        <v>1386</v>
      </c>
      <c r="K56" t="s">
        <v>47</v>
      </c>
      <c r="L56" s="3">
        <v>47702</v>
      </c>
      <c r="M56" s="3">
        <v>47678</v>
      </c>
      <c r="N56" t="s">
        <v>2974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2626</v>
      </c>
      <c r="C57" t="s">
        <v>2627</v>
      </c>
      <c r="D57" s="3">
        <v>37799</v>
      </c>
      <c r="E57" t="s">
        <v>1378</v>
      </c>
      <c r="G57" s="3">
        <v>45860</v>
      </c>
      <c r="H57" t="s">
        <v>2628</v>
      </c>
      <c r="J57" t="s">
        <v>1386</v>
      </c>
      <c r="K57" t="s">
        <v>53</v>
      </c>
      <c r="L57" s="3">
        <v>47705</v>
      </c>
      <c r="M57" s="3">
        <v>47664</v>
      </c>
      <c r="N57" t="s">
        <v>2629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2014</v>
      </c>
      <c r="C58" t="s">
        <v>2015</v>
      </c>
      <c r="D58" s="3">
        <v>37796</v>
      </c>
      <c r="E58" t="s">
        <v>1378</v>
      </c>
      <c r="G58" s="3">
        <v>45853</v>
      </c>
      <c r="H58" t="s">
        <v>2016</v>
      </c>
      <c r="J58" t="s">
        <v>1386</v>
      </c>
      <c r="K58" t="s">
        <v>35</v>
      </c>
      <c r="L58" s="3">
        <v>1</v>
      </c>
      <c r="M58" s="3">
        <v>1</v>
      </c>
      <c r="N58" t="s">
        <v>2017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2512</v>
      </c>
      <c r="C59" t="s">
        <v>2513</v>
      </c>
      <c r="D59" s="3">
        <v>33500</v>
      </c>
      <c r="E59" t="s">
        <v>1378</v>
      </c>
      <c r="G59" s="3">
        <v>45854</v>
      </c>
      <c r="H59" t="s">
        <v>2514</v>
      </c>
      <c r="J59" t="s">
        <v>1386</v>
      </c>
      <c r="K59" t="s">
        <v>35</v>
      </c>
      <c r="L59" s="3">
        <v>46678</v>
      </c>
      <c r="M59" s="3">
        <v>46606</v>
      </c>
      <c r="N59" t="s">
        <v>2515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3365</v>
      </c>
      <c r="C60" t="s">
        <v>3366</v>
      </c>
      <c r="D60" s="3">
        <v>36225</v>
      </c>
      <c r="E60" t="s">
        <v>1378</v>
      </c>
      <c r="G60" s="3">
        <v>45840</v>
      </c>
      <c r="H60" t="s">
        <v>3367</v>
      </c>
      <c r="J60" t="s">
        <v>1386</v>
      </c>
      <c r="K60" t="s">
        <v>41</v>
      </c>
      <c r="L60" s="3">
        <v>47538</v>
      </c>
      <c r="M60" s="3">
        <v>47243</v>
      </c>
      <c r="N60" t="s">
        <v>3368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3387</v>
      </c>
      <c r="C61" t="s">
        <v>3388</v>
      </c>
      <c r="D61" s="3">
        <v>31325</v>
      </c>
      <c r="E61" t="s">
        <v>1378</v>
      </c>
      <c r="G61" s="3">
        <v>45831</v>
      </c>
      <c r="H61" t="s">
        <v>3389</v>
      </c>
      <c r="J61" t="s">
        <v>1386</v>
      </c>
      <c r="K61" t="s">
        <v>41</v>
      </c>
      <c r="L61" s="3">
        <v>47679</v>
      </c>
      <c r="M61" s="3">
        <v>47636</v>
      </c>
      <c r="N61" t="s">
        <v>3390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2452</v>
      </c>
      <c r="C62" t="s">
        <v>2453</v>
      </c>
      <c r="D62" s="3">
        <v>37670</v>
      </c>
      <c r="E62" t="s">
        <v>1378</v>
      </c>
      <c r="G62" s="3">
        <v>45814</v>
      </c>
      <c r="H62" t="s">
        <v>2454</v>
      </c>
      <c r="J62" t="s">
        <v>1386</v>
      </c>
      <c r="K62" t="s">
        <v>41</v>
      </c>
      <c r="L62" s="3">
        <v>47660</v>
      </c>
      <c r="M62" s="3">
        <v>47622</v>
      </c>
      <c r="N62" t="s">
        <v>2455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2177</v>
      </c>
      <c r="C63" t="s">
        <v>2174</v>
      </c>
      <c r="D63" s="3">
        <v>32049</v>
      </c>
      <c r="E63" t="s">
        <v>1378</v>
      </c>
      <c r="G63" s="3">
        <v>45845</v>
      </c>
      <c r="H63" t="s">
        <v>2178</v>
      </c>
      <c r="J63" t="s">
        <v>1386</v>
      </c>
      <c r="K63" t="s">
        <v>44</v>
      </c>
      <c r="L63" s="3">
        <v>47688</v>
      </c>
      <c r="M63" s="3">
        <v>47616</v>
      </c>
      <c r="N63" t="s">
        <v>2179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1464</v>
      </c>
      <c r="C64" t="s">
        <v>1452</v>
      </c>
      <c r="D64" s="3">
        <v>24230</v>
      </c>
      <c r="E64" t="s">
        <v>1378</v>
      </c>
      <c r="G64" s="3">
        <v>45831</v>
      </c>
      <c r="H64" t="s">
        <v>1465</v>
      </c>
      <c r="J64" t="s">
        <v>1386</v>
      </c>
      <c r="K64" t="s">
        <v>53</v>
      </c>
      <c r="L64" s="3">
        <v>47677</v>
      </c>
      <c r="M64" s="3">
        <v>47610</v>
      </c>
      <c r="N64" t="s">
        <v>1466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2757</v>
      </c>
      <c r="C65" t="s">
        <v>2758</v>
      </c>
      <c r="D65" s="3">
        <v>36537</v>
      </c>
      <c r="E65" t="s">
        <v>1378</v>
      </c>
      <c r="G65" s="3">
        <v>45798</v>
      </c>
      <c r="H65" t="s">
        <v>2759</v>
      </c>
      <c r="J65" t="s">
        <v>1386</v>
      </c>
      <c r="K65" t="s">
        <v>35</v>
      </c>
      <c r="L65" s="3">
        <v>47645</v>
      </c>
      <c r="M65" s="3">
        <v>47615</v>
      </c>
      <c r="N65" t="s">
        <v>2760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1792</v>
      </c>
      <c r="C66" t="s">
        <v>1793</v>
      </c>
      <c r="D66" s="3">
        <v>30683</v>
      </c>
      <c r="E66" t="s">
        <v>1378</v>
      </c>
      <c r="G66" s="3">
        <v>45831</v>
      </c>
      <c r="H66" t="s">
        <v>1794</v>
      </c>
      <c r="J66" t="s">
        <v>1386</v>
      </c>
      <c r="K66" t="s">
        <v>44</v>
      </c>
      <c r="L66" s="3">
        <v>47673</v>
      </c>
      <c r="M66" s="3">
        <v>47608</v>
      </c>
      <c r="N66" t="s">
        <v>1795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3206</v>
      </c>
      <c r="C67" t="s">
        <v>1334</v>
      </c>
      <c r="D67" s="3">
        <v>28560</v>
      </c>
      <c r="E67" t="s">
        <v>1378</v>
      </c>
      <c r="G67" s="3">
        <v>45831</v>
      </c>
      <c r="H67" t="s">
        <v>3207</v>
      </c>
      <c r="J67" t="s">
        <v>1386</v>
      </c>
      <c r="K67" t="s">
        <v>47</v>
      </c>
      <c r="L67" s="3">
        <v>47678</v>
      </c>
      <c r="M67" s="3">
        <v>47594</v>
      </c>
      <c r="N67" t="s">
        <v>3208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3258</v>
      </c>
      <c r="C68" t="s">
        <v>3259</v>
      </c>
      <c r="D68" s="3">
        <v>32479</v>
      </c>
      <c r="E68" t="s">
        <v>1378</v>
      </c>
      <c r="G68" s="3">
        <v>45831</v>
      </c>
      <c r="H68" t="s">
        <v>3260</v>
      </c>
      <c r="J68" t="s">
        <v>1386</v>
      </c>
      <c r="K68" t="s">
        <v>41</v>
      </c>
      <c r="L68" s="3">
        <v>47673</v>
      </c>
      <c r="M68" s="3">
        <v>47568</v>
      </c>
      <c r="N68" t="s">
        <v>3261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3180</v>
      </c>
      <c r="C69" t="s">
        <v>3181</v>
      </c>
      <c r="D69" s="3">
        <v>26143</v>
      </c>
      <c r="E69" t="s">
        <v>1378</v>
      </c>
      <c r="G69" s="3">
        <v>45814</v>
      </c>
      <c r="H69" t="s">
        <v>3182</v>
      </c>
      <c r="J69" t="s">
        <v>1386</v>
      </c>
      <c r="K69" t="s">
        <v>35</v>
      </c>
      <c r="L69" s="3">
        <v>47659</v>
      </c>
      <c r="M69" s="3">
        <v>47596</v>
      </c>
      <c r="N69" t="s">
        <v>3183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2690</v>
      </c>
      <c r="C70" t="s">
        <v>2691</v>
      </c>
      <c r="D70" s="3">
        <v>36357</v>
      </c>
      <c r="E70" t="s">
        <v>1378</v>
      </c>
      <c r="G70" s="3">
        <v>45798</v>
      </c>
      <c r="H70" t="s">
        <v>2692</v>
      </c>
      <c r="J70" t="s">
        <v>1386</v>
      </c>
      <c r="K70" t="s">
        <v>35</v>
      </c>
      <c r="L70" s="3">
        <v>47645</v>
      </c>
      <c r="M70" s="3">
        <v>47538</v>
      </c>
      <c r="N70" t="s">
        <v>2693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1439</v>
      </c>
      <c r="C71" t="s">
        <v>1440</v>
      </c>
      <c r="D71" s="3">
        <v>36390</v>
      </c>
      <c r="E71" t="s">
        <v>1378</v>
      </c>
      <c r="G71" s="3">
        <v>45798</v>
      </c>
      <c r="H71" t="s">
        <v>1441</v>
      </c>
      <c r="J71" t="s">
        <v>1386</v>
      </c>
      <c r="K71" t="s">
        <v>50</v>
      </c>
      <c r="L71" s="3">
        <v>47645</v>
      </c>
      <c r="M71" s="3">
        <v>46831</v>
      </c>
      <c r="N71" t="s">
        <v>1442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2166</v>
      </c>
      <c r="C72" t="s">
        <v>2167</v>
      </c>
      <c r="D72" s="3">
        <v>37565</v>
      </c>
      <c r="E72" t="s">
        <v>1378</v>
      </c>
      <c r="G72" s="3">
        <v>45783</v>
      </c>
      <c r="H72" t="s">
        <v>2168</v>
      </c>
      <c r="J72" t="s">
        <v>1386</v>
      </c>
      <c r="K72" t="s">
        <v>50</v>
      </c>
      <c r="L72" s="3">
        <v>47629</v>
      </c>
      <c r="M72" s="3">
        <v>47596</v>
      </c>
      <c r="N72" t="s">
        <v>2169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3456</v>
      </c>
      <c r="C73" t="s">
        <v>3457</v>
      </c>
      <c r="D73" s="3">
        <v>37792</v>
      </c>
      <c r="E73" t="s">
        <v>1378</v>
      </c>
      <c r="G73" s="3">
        <v>45783</v>
      </c>
      <c r="H73" t="s">
        <v>3458</v>
      </c>
      <c r="J73" t="s">
        <v>1386</v>
      </c>
      <c r="K73" t="s">
        <v>44</v>
      </c>
      <c r="L73" s="3">
        <v>47629</v>
      </c>
      <c r="M73" s="3">
        <v>47538</v>
      </c>
      <c r="N73" t="s">
        <v>3459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3588</v>
      </c>
      <c r="C74" t="s">
        <v>2074</v>
      </c>
      <c r="D74" s="3">
        <v>34724</v>
      </c>
      <c r="E74" t="s">
        <v>1378</v>
      </c>
      <c r="G74" s="3">
        <v>45763</v>
      </c>
      <c r="H74" t="s">
        <v>2075</v>
      </c>
      <c r="J74" t="s">
        <v>1386</v>
      </c>
      <c r="K74" t="s">
        <v>44</v>
      </c>
      <c r="L74" s="3">
        <v>47611</v>
      </c>
      <c r="M74" s="3">
        <v>47561</v>
      </c>
      <c r="N74" t="s">
        <v>2076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1914</v>
      </c>
      <c r="C75" t="s">
        <v>1911</v>
      </c>
      <c r="D75" s="3">
        <v>26073</v>
      </c>
      <c r="E75" t="s">
        <v>1378</v>
      </c>
      <c r="G75" s="3">
        <v>45749</v>
      </c>
      <c r="H75" t="s">
        <v>1915</v>
      </c>
      <c r="J75" t="s">
        <v>1386</v>
      </c>
      <c r="K75" t="s">
        <v>47</v>
      </c>
      <c r="L75" s="3">
        <v>47594</v>
      </c>
      <c r="M75" s="3">
        <v>47503</v>
      </c>
      <c r="N75" t="s">
        <v>1916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2140</v>
      </c>
      <c r="C76" t="s">
        <v>2887</v>
      </c>
      <c r="D76" s="3">
        <v>25405</v>
      </c>
      <c r="E76" t="s">
        <v>1378</v>
      </c>
      <c r="G76" s="3">
        <v>45735</v>
      </c>
      <c r="H76" t="s">
        <v>2888</v>
      </c>
      <c r="J76" t="s">
        <v>1386</v>
      </c>
      <c r="K76" t="s">
        <v>41</v>
      </c>
      <c r="L76" s="3">
        <v>47581</v>
      </c>
      <c r="M76" s="3">
        <v>46817</v>
      </c>
      <c r="N76" t="s">
        <v>2889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2482</v>
      </c>
      <c r="C77" t="s">
        <v>2483</v>
      </c>
      <c r="D77" s="3">
        <v>31471</v>
      </c>
      <c r="E77" t="s">
        <v>1378</v>
      </c>
      <c r="G77" s="3">
        <v>45783</v>
      </c>
      <c r="H77" t="s">
        <v>2484</v>
      </c>
      <c r="J77" t="s">
        <v>1386</v>
      </c>
      <c r="K77" t="s">
        <v>53</v>
      </c>
      <c r="L77" s="3">
        <v>47628</v>
      </c>
      <c r="M77" s="3">
        <v>47524</v>
      </c>
      <c r="N77" t="s">
        <v>2485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2694</v>
      </c>
      <c r="C78" t="s">
        <v>2695</v>
      </c>
      <c r="D78" s="3">
        <v>37767</v>
      </c>
      <c r="E78" t="s">
        <v>1378</v>
      </c>
      <c r="G78" s="3">
        <v>45735</v>
      </c>
      <c r="H78" t="s">
        <v>2696</v>
      </c>
      <c r="J78" t="s">
        <v>1386</v>
      </c>
      <c r="K78" t="s">
        <v>47</v>
      </c>
      <c r="L78" s="3">
        <v>47582</v>
      </c>
      <c r="M78" s="3">
        <v>47538</v>
      </c>
      <c r="N78" t="s">
        <v>2697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1769</v>
      </c>
      <c r="C79" t="s">
        <v>1770</v>
      </c>
      <c r="D79" s="3">
        <v>32357</v>
      </c>
      <c r="E79" t="s">
        <v>1378</v>
      </c>
      <c r="G79" s="3">
        <v>45783</v>
      </c>
      <c r="H79" t="s">
        <v>1771</v>
      </c>
      <c r="J79" t="s">
        <v>1386</v>
      </c>
      <c r="K79" t="s">
        <v>38</v>
      </c>
      <c r="L79" s="3">
        <v>47628</v>
      </c>
      <c r="M79" s="3">
        <v>47518</v>
      </c>
      <c r="N79" t="s">
        <v>1772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1807</v>
      </c>
      <c r="C80" t="s">
        <v>1808</v>
      </c>
      <c r="D80" s="3">
        <v>24767</v>
      </c>
      <c r="E80" t="s">
        <v>1378</v>
      </c>
      <c r="G80" s="3">
        <v>45720</v>
      </c>
      <c r="H80" t="s">
        <v>1809</v>
      </c>
      <c r="J80" t="s">
        <v>1386</v>
      </c>
      <c r="K80" t="s">
        <v>38</v>
      </c>
      <c r="L80" s="3">
        <v>47562</v>
      </c>
      <c r="M80" s="3">
        <v>47533</v>
      </c>
      <c r="N80" t="s">
        <v>1810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2010</v>
      </c>
      <c r="C81" t="s">
        <v>2011</v>
      </c>
      <c r="D81" s="3">
        <v>33204</v>
      </c>
      <c r="E81" t="s">
        <v>1378</v>
      </c>
      <c r="G81" s="3">
        <v>45770</v>
      </c>
      <c r="H81" t="s">
        <v>2012</v>
      </c>
      <c r="J81" t="s">
        <v>1386</v>
      </c>
      <c r="K81" t="s">
        <v>38</v>
      </c>
      <c r="L81" s="3">
        <v>47050</v>
      </c>
      <c r="M81" s="3">
        <v>47044</v>
      </c>
      <c r="N81" t="s">
        <v>2013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1398</v>
      </c>
      <c r="C82" t="s">
        <v>1399</v>
      </c>
      <c r="D82" s="3">
        <v>24023</v>
      </c>
      <c r="E82" t="s">
        <v>1378</v>
      </c>
      <c r="G82" s="3">
        <v>45749</v>
      </c>
      <c r="H82" t="s">
        <v>1400</v>
      </c>
      <c r="J82" t="s">
        <v>1386</v>
      </c>
      <c r="K82" t="s">
        <v>47</v>
      </c>
      <c r="L82" s="3">
        <v>47596</v>
      </c>
      <c r="M82" s="3">
        <v>47504</v>
      </c>
      <c r="N82" t="s">
        <v>1401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3209</v>
      </c>
      <c r="C83" t="s">
        <v>1334</v>
      </c>
      <c r="D83" s="3">
        <v>31677</v>
      </c>
      <c r="E83" t="s">
        <v>1378</v>
      </c>
      <c r="G83" s="3">
        <v>45735</v>
      </c>
      <c r="H83" t="s">
        <v>3210</v>
      </c>
      <c r="J83" t="s">
        <v>1920</v>
      </c>
      <c r="K83" t="s">
        <v>44</v>
      </c>
      <c r="L83" s="3">
        <v>47115</v>
      </c>
      <c r="M83" s="3">
        <v>47015</v>
      </c>
      <c r="N83" t="s">
        <v>3211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3264</v>
      </c>
      <c r="C84" t="s">
        <v>3265</v>
      </c>
      <c r="D84" s="3">
        <v>31115</v>
      </c>
      <c r="E84" t="s">
        <v>1378</v>
      </c>
      <c r="G84" s="3">
        <v>45720</v>
      </c>
      <c r="H84" t="s">
        <v>3266</v>
      </c>
      <c r="J84" t="s">
        <v>1386</v>
      </c>
      <c r="K84" t="s">
        <v>47</v>
      </c>
      <c r="L84" s="3">
        <v>1</v>
      </c>
      <c r="M84" s="3">
        <v>1</v>
      </c>
      <c r="N84" t="s">
        <v>3267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3305</v>
      </c>
      <c r="C85" t="s">
        <v>3306</v>
      </c>
      <c r="D85" s="3">
        <v>35076</v>
      </c>
      <c r="E85" t="s">
        <v>1378</v>
      </c>
      <c r="G85" s="3">
        <v>45720</v>
      </c>
      <c r="H85" t="s">
        <v>3307</v>
      </c>
      <c r="J85" t="s">
        <v>1386</v>
      </c>
      <c r="K85" t="s">
        <v>44</v>
      </c>
      <c r="L85" s="3">
        <v>47562</v>
      </c>
      <c r="M85" s="3">
        <v>47456</v>
      </c>
      <c r="N85" t="s">
        <v>3308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2022</v>
      </c>
      <c r="C86" t="s">
        <v>2023</v>
      </c>
      <c r="D86" s="3">
        <v>28837</v>
      </c>
      <c r="E86" t="s">
        <v>1378</v>
      </c>
      <c r="G86" s="3">
        <v>45735</v>
      </c>
      <c r="H86" t="s">
        <v>2024</v>
      </c>
      <c r="J86" t="s">
        <v>1386</v>
      </c>
      <c r="K86" t="s">
        <v>38</v>
      </c>
      <c r="L86" s="3">
        <v>47579</v>
      </c>
      <c r="M86" s="3">
        <v>47460</v>
      </c>
      <c r="N86" t="s">
        <v>2025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1589</v>
      </c>
      <c r="C87" t="s">
        <v>1590</v>
      </c>
      <c r="D87" s="3">
        <v>37981</v>
      </c>
      <c r="E87" t="s">
        <v>1378</v>
      </c>
      <c r="G87" s="3">
        <v>45677</v>
      </c>
      <c r="H87" t="s">
        <v>1591</v>
      </c>
      <c r="J87" t="s">
        <v>1386</v>
      </c>
      <c r="K87" t="s">
        <v>44</v>
      </c>
      <c r="L87" s="3">
        <v>47520</v>
      </c>
      <c r="M87" s="3">
        <v>47449</v>
      </c>
      <c r="N87" t="s">
        <v>1592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1539</v>
      </c>
      <c r="C88" t="s">
        <v>1536</v>
      </c>
      <c r="D88" s="3">
        <v>25272</v>
      </c>
      <c r="E88" t="s">
        <v>1378</v>
      </c>
      <c r="G88" s="3">
        <v>45663</v>
      </c>
      <c r="H88" t="s">
        <v>1540</v>
      </c>
      <c r="J88" t="s">
        <v>1386</v>
      </c>
      <c r="K88" t="s">
        <v>41</v>
      </c>
      <c r="L88" s="3">
        <v>47506</v>
      </c>
      <c r="M88" s="3">
        <v>47449</v>
      </c>
      <c r="N88" t="s">
        <v>1541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1887</v>
      </c>
      <c r="C89" t="s">
        <v>1210</v>
      </c>
      <c r="D89" s="3">
        <v>35947</v>
      </c>
      <c r="E89" t="s">
        <v>1378</v>
      </c>
      <c r="G89" s="3">
        <v>45692</v>
      </c>
      <c r="H89" t="s">
        <v>1888</v>
      </c>
      <c r="J89" t="s">
        <v>1386</v>
      </c>
      <c r="K89" t="s">
        <v>38</v>
      </c>
      <c r="L89" s="3">
        <v>47538</v>
      </c>
      <c r="M89" s="3">
        <v>47407</v>
      </c>
      <c r="N89" t="s">
        <v>1889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1582</v>
      </c>
      <c r="C90" t="s">
        <v>1583</v>
      </c>
      <c r="D90" s="3">
        <v>35443</v>
      </c>
      <c r="E90" t="s">
        <v>1378</v>
      </c>
      <c r="G90" s="3">
        <v>45673</v>
      </c>
      <c r="H90" t="s">
        <v>3589</v>
      </c>
      <c r="J90" t="s">
        <v>1386</v>
      </c>
      <c r="K90" t="s">
        <v>44</v>
      </c>
      <c r="L90" s="3">
        <v>47050</v>
      </c>
      <c r="M90" s="3">
        <v>46973</v>
      </c>
      <c r="N90" t="s">
        <v>1584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2549</v>
      </c>
      <c r="C91" t="s">
        <v>2550</v>
      </c>
      <c r="D91" s="3">
        <v>34983</v>
      </c>
      <c r="E91" t="s">
        <v>1378</v>
      </c>
      <c r="G91" s="3">
        <v>45663</v>
      </c>
      <c r="H91" t="s">
        <v>2551</v>
      </c>
      <c r="J91" t="s">
        <v>1386</v>
      </c>
      <c r="K91" t="s">
        <v>41</v>
      </c>
      <c r="L91" s="3">
        <v>46391</v>
      </c>
      <c r="M91" s="3">
        <v>46389</v>
      </c>
      <c r="N91" t="s">
        <v>2552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2052</v>
      </c>
      <c r="C92" t="s">
        <v>2053</v>
      </c>
      <c r="D92" s="3">
        <v>36719</v>
      </c>
      <c r="E92" t="s">
        <v>1378</v>
      </c>
      <c r="G92" s="3">
        <v>45618</v>
      </c>
      <c r="H92" t="s">
        <v>2054</v>
      </c>
      <c r="J92" t="s">
        <v>1386</v>
      </c>
      <c r="K92" t="s">
        <v>44</v>
      </c>
      <c r="L92" s="3">
        <v>47462</v>
      </c>
      <c r="M92" s="3">
        <v>47433</v>
      </c>
      <c r="N92" t="s">
        <v>2055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1443</v>
      </c>
      <c r="C93" t="s">
        <v>1444</v>
      </c>
      <c r="D93" s="3">
        <v>36623</v>
      </c>
      <c r="E93" t="s">
        <v>1378</v>
      </c>
      <c r="G93" s="3">
        <v>45663</v>
      </c>
      <c r="H93" t="s">
        <v>1445</v>
      </c>
      <c r="J93" t="s">
        <v>1386</v>
      </c>
      <c r="K93" t="s">
        <v>35</v>
      </c>
      <c r="L93" s="3">
        <v>47506</v>
      </c>
      <c r="M93" s="3">
        <v>47407</v>
      </c>
      <c r="N93" t="s">
        <v>1446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3279</v>
      </c>
      <c r="C94" t="s">
        <v>1351</v>
      </c>
      <c r="D94" s="3">
        <v>27424</v>
      </c>
      <c r="E94" t="s">
        <v>1378</v>
      </c>
      <c r="G94" s="3">
        <v>45603</v>
      </c>
      <c r="H94" t="s">
        <v>3280</v>
      </c>
      <c r="J94" t="s">
        <v>1386</v>
      </c>
      <c r="K94" t="s">
        <v>35</v>
      </c>
      <c r="L94" s="3">
        <v>47448</v>
      </c>
      <c r="M94" s="3">
        <v>47407</v>
      </c>
      <c r="N94" t="s">
        <v>3281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2595</v>
      </c>
      <c r="C95" t="s">
        <v>2596</v>
      </c>
      <c r="D95" s="3">
        <v>28323</v>
      </c>
      <c r="E95" t="s">
        <v>1378</v>
      </c>
      <c r="G95" s="3">
        <v>45603</v>
      </c>
      <c r="H95" t="s">
        <v>2597</v>
      </c>
      <c r="J95" t="s">
        <v>1386</v>
      </c>
      <c r="K95" t="s">
        <v>35</v>
      </c>
      <c r="L95" s="3">
        <v>47448</v>
      </c>
      <c r="M95" s="3">
        <v>47407</v>
      </c>
      <c r="N95" t="s">
        <v>2598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3018</v>
      </c>
      <c r="C96" t="s">
        <v>3015</v>
      </c>
      <c r="D96" s="3">
        <v>25087</v>
      </c>
      <c r="E96" t="s">
        <v>1378</v>
      </c>
      <c r="G96" s="3">
        <v>45616</v>
      </c>
      <c r="H96" t="s">
        <v>3019</v>
      </c>
      <c r="J96" t="s">
        <v>1386</v>
      </c>
      <c r="K96" t="s">
        <v>35</v>
      </c>
      <c r="L96" s="3">
        <v>46896</v>
      </c>
      <c r="M96" s="3">
        <v>46165</v>
      </c>
      <c r="N96" t="s">
        <v>3020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1709</v>
      </c>
      <c r="C97" t="s">
        <v>1710</v>
      </c>
      <c r="D97" s="3">
        <v>35419</v>
      </c>
      <c r="E97" t="s">
        <v>1378</v>
      </c>
      <c r="G97" s="3">
        <v>45618</v>
      </c>
      <c r="H97" t="s">
        <v>1711</v>
      </c>
      <c r="J97" t="s">
        <v>1386</v>
      </c>
      <c r="K97" t="s">
        <v>35</v>
      </c>
      <c r="L97" s="3">
        <v>47463</v>
      </c>
      <c r="M97" s="3">
        <v>47364</v>
      </c>
      <c r="N97" t="s">
        <v>1712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2986</v>
      </c>
      <c r="C98" t="s">
        <v>2987</v>
      </c>
      <c r="D98" s="3">
        <v>29089</v>
      </c>
      <c r="E98" t="s">
        <v>1378</v>
      </c>
      <c r="G98" s="3">
        <v>45574</v>
      </c>
      <c r="H98" t="s">
        <v>2988</v>
      </c>
      <c r="J98" t="s">
        <v>1386</v>
      </c>
      <c r="K98" t="s">
        <v>35</v>
      </c>
      <c r="L98" s="3">
        <v>47418</v>
      </c>
      <c r="M98" s="3">
        <v>47379</v>
      </c>
      <c r="N98" t="s">
        <v>2989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1611</v>
      </c>
      <c r="C99" t="s">
        <v>1612</v>
      </c>
      <c r="D99" s="3">
        <v>32903</v>
      </c>
      <c r="E99" t="s">
        <v>1378</v>
      </c>
      <c r="G99" s="3">
        <v>45603</v>
      </c>
      <c r="H99" t="s">
        <v>1613</v>
      </c>
      <c r="J99" t="s">
        <v>1386</v>
      </c>
      <c r="K99" t="s">
        <v>35</v>
      </c>
      <c r="L99" s="3">
        <v>47450</v>
      </c>
      <c r="M99" s="3">
        <v>47386</v>
      </c>
      <c r="N99" t="s">
        <v>1614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3313</v>
      </c>
      <c r="C100" t="s">
        <v>3314</v>
      </c>
      <c r="D100" s="3">
        <v>37647</v>
      </c>
      <c r="E100" t="s">
        <v>1378</v>
      </c>
      <c r="G100" s="3">
        <v>45588</v>
      </c>
      <c r="H100" t="s">
        <v>3315</v>
      </c>
      <c r="J100" t="s">
        <v>1386</v>
      </c>
      <c r="K100" t="s">
        <v>35</v>
      </c>
      <c r="L100" s="3">
        <v>47435</v>
      </c>
      <c r="M100" s="3">
        <v>47379</v>
      </c>
      <c r="N100" t="s">
        <v>3316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2342</v>
      </c>
      <c r="C101" t="s">
        <v>2343</v>
      </c>
      <c r="D101" s="3">
        <v>36725</v>
      </c>
      <c r="E101" t="s">
        <v>1378</v>
      </c>
      <c r="G101" s="3">
        <v>45559</v>
      </c>
      <c r="H101" t="s">
        <v>2344</v>
      </c>
      <c r="J101" t="s">
        <v>1386</v>
      </c>
      <c r="K101" t="s">
        <v>41</v>
      </c>
      <c r="L101" s="3">
        <v>47404</v>
      </c>
      <c r="M101" s="3">
        <v>47371</v>
      </c>
      <c r="N101" t="s">
        <v>2345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1412</v>
      </c>
      <c r="C102" t="s">
        <v>1413</v>
      </c>
      <c r="D102" s="3">
        <v>27187</v>
      </c>
      <c r="E102" t="s">
        <v>1378</v>
      </c>
      <c r="G102" s="3">
        <v>45574</v>
      </c>
      <c r="H102" t="s">
        <v>1414</v>
      </c>
      <c r="J102" t="s">
        <v>1386</v>
      </c>
      <c r="K102" t="s">
        <v>41</v>
      </c>
      <c r="L102" s="3">
        <v>47418</v>
      </c>
      <c r="M102" s="3">
        <v>47371</v>
      </c>
      <c r="N102" t="s">
        <v>1415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1856</v>
      </c>
      <c r="C103" t="s">
        <v>2216</v>
      </c>
      <c r="D103" s="3">
        <v>37138</v>
      </c>
      <c r="E103" t="s">
        <v>1378</v>
      </c>
      <c r="G103" s="3">
        <v>45544</v>
      </c>
      <c r="H103" t="s">
        <v>2217</v>
      </c>
      <c r="J103" t="s">
        <v>1386</v>
      </c>
      <c r="K103" t="s">
        <v>50</v>
      </c>
      <c r="L103" s="3">
        <v>47390</v>
      </c>
      <c r="M103" s="3">
        <v>47357</v>
      </c>
      <c r="N103" t="s">
        <v>2218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1721</v>
      </c>
      <c r="C104" t="s">
        <v>1722</v>
      </c>
      <c r="D104" s="3">
        <v>37866</v>
      </c>
      <c r="E104" t="s">
        <v>1378</v>
      </c>
      <c r="G104" s="3">
        <v>45530</v>
      </c>
      <c r="H104" t="s">
        <v>1723</v>
      </c>
      <c r="J104" t="s">
        <v>1386</v>
      </c>
      <c r="K104" t="s">
        <v>47</v>
      </c>
      <c r="L104" s="3">
        <v>47373</v>
      </c>
      <c r="M104" s="3">
        <v>47348</v>
      </c>
      <c r="N104" t="s">
        <v>1724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2080</v>
      </c>
      <c r="C105" t="s">
        <v>2081</v>
      </c>
      <c r="D105" s="3">
        <v>31961</v>
      </c>
      <c r="E105" t="s">
        <v>1378</v>
      </c>
      <c r="G105" s="3">
        <v>45530</v>
      </c>
      <c r="H105" t="s">
        <v>2082</v>
      </c>
      <c r="J105" t="s">
        <v>1386</v>
      </c>
      <c r="K105" t="s">
        <v>35</v>
      </c>
      <c r="L105" s="3">
        <v>47463</v>
      </c>
      <c r="M105" s="3">
        <v>46678</v>
      </c>
      <c r="N105" t="s">
        <v>2083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3247</v>
      </c>
      <c r="C106" t="s">
        <v>3248</v>
      </c>
      <c r="D106" s="3">
        <v>37705</v>
      </c>
      <c r="E106" t="s">
        <v>1378</v>
      </c>
      <c r="G106" s="3">
        <v>45530</v>
      </c>
      <c r="H106" t="s">
        <v>3249</v>
      </c>
      <c r="I106">
        <v>497579525</v>
      </c>
      <c r="J106" t="s">
        <v>1386</v>
      </c>
      <c r="K106" t="s">
        <v>35</v>
      </c>
      <c r="L106" s="3">
        <v>47372</v>
      </c>
      <c r="M106" s="3">
        <v>47303</v>
      </c>
      <c r="N106" t="s">
        <v>3250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3468</v>
      </c>
      <c r="C107" t="s">
        <v>3469</v>
      </c>
      <c r="D107" s="3">
        <v>29961</v>
      </c>
      <c r="E107" t="s">
        <v>1378</v>
      </c>
      <c r="G107" s="3">
        <v>45544</v>
      </c>
      <c r="H107" t="s">
        <v>3470</v>
      </c>
      <c r="J107" t="s">
        <v>1386</v>
      </c>
      <c r="K107" t="s">
        <v>41</v>
      </c>
      <c r="L107" s="3">
        <v>47391</v>
      </c>
      <c r="M107" s="3">
        <v>47294</v>
      </c>
      <c r="N107" t="s">
        <v>3471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1777</v>
      </c>
      <c r="C108" t="s">
        <v>1778</v>
      </c>
      <c r="D108" s="3">
        <v>31148</v>
      </c>
      <c r="E108" t="s">
        <v>1378</v>
      </c>
      <c r="G108" s="3">
        <v>45538</v>
      </c>
      <c r="H108" t="s">
        <v>1779</v>
      </c>
      <c r="J108" t="s">
        <v>1386</v>
      </c>
      <c r="K108" t="s">
        <v>47</v>
      </c>
      <c r="L108" s="3">
        <v>46847</v>
      </c>
      <c r="M108" s="3">
        <v>46684</v>
      </c>
      <c r="N108" t="s">
        <v>1780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1467</v>
      </c>
      <c r="C109" t="s">
        <v>1452</v>
      </c>
      <c r="D109" s="3">
        <v>27082</v>
      </c>
      <c r="E109" t="s">
        <v>1378</v>
      </c>
      <c r="G109" s="3">
        <v>45498</v>
      </c>
      <c r="H109" t="s">
        <v>1468</v>
      </c>
      <c r="J109" t="s">
        <v>1386</v>
      </c>
      <c r="K109" t="s">
        <v>47</v>
      </c>
      <c r="L109" s="3">
        <v>47342</v>
      </c>
      <c r="M109" s="3">
        <v>47303</v>
      </c>
      <c r="N109" t="s">
        <v>1469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2656</v>
      </c>
      <c r="C110" t="s">
        <v>2657</v>
      </c>
      <c r="D110" s="3">
        <v>33523</v>
      </c>
      <c r="E110" t="s">
        <v>1378</v>
      </c>
      <c r="G110" s="3">
        <v>45498</v>
      </c>
      <c r="H110" t="s">
        <v>3590</v>
      </c>
      <c r="J110" t="s">
        <v>1386</v>
      </c>
      <c r="K110" t="s">
        <v>38</v>
      </c>
      <c r="L110" s="3">
        <v>47342</v>
      </c>
      <c r="M110" s="3">
        <v>47594</v>
      </c>
      <c r="N110" t="s">
        <v>2658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1531</v>
      </c>
      <c r="C111" t="s">
        <v>1532</v>
      </c>
      <c r="D111" s="3">
        <v>34859</v>
      </c>
      <c r="E111" t="s">
        <v>1378</v>
      </c>
      <c r="G111" s="3">
        <v>45484</v>
      </c>
      <c r="H111" t="s">
        <v>1533</v>
      </c>
      <c r="J111" t="s">
        <v>1386</v>
      </c>
      <c r="K111" t="s">
        <v>38</v>
      </c>
      <c r="L111" s="3">
        <v>47329</v>
      </c>
      <c r="M111" s="3">
        <v>47300</v>
      </c>
      <c r="N111" t="s">
        <v>1534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1959</v>
      </c>
      <c r="C112" t="s">
        <v>2800</v>
      </c>
      <c r="D112" s="3">
        <v>36483</v>
      </c>
      <c r="E112" t="s">
        <v>1378</v>
      </c>
      <c r="G112" s="3">
        <v>45470</v>
      </c>
      <c r="H112" t="s">
        <v>2801</v>
      </c>
      <c r="J112" t="s">
        <v>1386</v>
      </c>
      <c r="K112" t="s">
        <v>41</v>
      </c>
      <c r="L112" s="3">
        <v>47314</v>
      </c>
      <c r="M112" s="3">
        <v>47314</v>
      </c>
      <c r="N112" t="s">
        <v>2802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2622</v>
      </c>
      <c r="C113" t="s">
        <v>2623</v>
      </c>
      <c r="D113" s="3">
        <v>34393</v>
      </c>
      <c r="E113" t="s">
        <v>1378</v>
      </c>
      <c r="G113" s="3">
        <v>45544</v>
      </c>
      <c r="H113" t="s">
        <v>2624</v>
      </c>
      <c r="J113" t="s">
        <v>1386</v>
      </c>
      <c r="K113" t="s">
        <v>53</v>
      </c>
      <c r="L113" s="3">
        <v>47390</v>
      </c>
      <c r="M113" s="3">
        <v>47267</v>
      </c>
      <c r="N113" t="s">
        <v>2625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3005</v>
      </c>
      <c r="C114" t="s">
        <v>3006</v>
      </c>
      <c r="D114" s="3">
        <v>34274</v>
      </c>
      <c r="E114" t="s">
        <v>1378</v>
      </c>
      <c r="G114" s="3">
        <v>45456</v>
      </c>
      <c r="H114" t="s">
        <v>3007</v>
      </c>
      <c r="J114" t="s">
        <v>1386</v>
      </c>
      <c r="K114" t="s">
        <v>56</v>
      </c>
      <c r="L114" s="3">
        <v>47300</v>
      </c>
      <c r="M114" s="3">
        <v>47272</v>
      </c>
      <c r="N114" t="s">
        <v>3008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2310</v>
      </c>
      <c r="C115" t="s">
        <v>2311</v>
      </c>
      <c r="D115" s="3">
        <v>27167</v>
      </c>
      <c r="E115" t="s">
        <v>1378</v>
      </c>
      <c r="G115" s="3">
        <v>45450</v>
      </c>
      <c r="H115" t="s">
        <v>2312</v>
      </c>
      <c r="J115" t="s">
        <v>1386</v>
      </c>
      <c r="K115" t="s">
        <v>35</v>
      </c>
      <c r="L115" s="3">
        <v>47286</v>
      </c>
      <c r="M115" s="3">
        <v>47267</v>
      </c>
      <c r="N115" t="s">
        <v>2313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2361</v>
      </c>
      <c r="C116" t="s">
        <v>2362</v>
      </c>
      <c r="D116" s="3">
        <v>31306</v>
      </c>
      <c r="E116" t="s">
        <v>1378</v>
      </c>
      <c r="G116" s="3">
        <v>45464</v>
      </c>
      <c r="H116" t="s">
        <v>2363</v>
      </c>
      <c r="J116" t="s">
        <v>1386</v>
      </c>
      <c r="K116" t="s">
        <v>38</v>
      </c>
      <c r="L116" s="3">
        <v>47300</v>
      </c>
      <c r="M116" s="3">
        <v>47243</v>
      </c>
      <c r="N116" t="s">
        <v>2364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3377</v>
      </c>
      <c r="C117" t="s">
        <v>3378</v>
      </c>
      <c r="D117" s="3">
        <v>31462</v>
      </c>
      <c r="E117" t="s">
        <v>1378</v>
      </c>
      <c r="G117" s="3">
        <v>45419</v>
      </c>
      <c r="H117" t="s">
        <v>3379</v>
      </c>
      <c r="J117" t="s">
        <v>1386</v>
      </c>
      <c r="K117" t="s">
        <v>56</v>
      </c>
      <c r="L117" s="3">
        <v>46281</v>
      </c>
      <c r="M117" s="3">
        <v>46244</v>
      </c>
      <c r="N117" t="s">
        <v>3380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2291</v>
      </c>
      <c r="C118" t="s">
        <v>2292</v>
      </c>
      <c r="D118" s="3">
        <v>36922</v>
      </c>
      <c r="E118" t="s">
        <v>1378</v>
      </c>
      <c r="G118" s="3">
        <v>45427</v>
      </c>
      <c r="H118" t="s">
        <v>2293</v>
      </c>
      <c r="J118" t="s">
        <v>1386</v>
      </c>
      <c r="K118" t="s">
        <v>44</v>
      </c>
      <c r="L118" s="3">
        <v>47273</v>
      </c>
      <c r="M118" s="3">
        <v>47230</v>
      </c>
      <c r="N118" t="s">
        <v>2294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3373</v>
      </c>
      <c r="C119" t="s">
        <v>3374</v>
      </c>
      <c r="D119" s="3">
        <v>36547</v>
      </c>
      <c r="E119" t="s">
        <v>1378</v>
      </c>
      <c r="G119" s="3">
        <v>45442</v>
      </c>
      <c r="H119" t="s">
        <v>3375</v>
      </c>
      <c r="J119" t="s">
        <v>1386</v>
      </c>
      <c r="K119" t="s">
        <v>38</v>
      </c>
      <c r="L119" s="3">
        <v>47286</v>
      </c>
      <c r="M119" s="3">
        <v>47222</v>
      </c>
      <c r="N119" t="s">
        <v>3376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2728</v>
      </c>
      <c r="C120" t="s">
        <v>2729</v>
      </c>
      <c r="D120" s="3">
        <v>29573</v>
      </c>
      <c r="E120" t="s">
        <v>1378</v>
      </c>
      <c r="G120" s="3">
        <v>45408</v>
      </c>
      <c r="H120" t="s">
        <v>2730</v>
      </c>
      <c r="J120" t="s">
        <v>1386</v>
      </c>
      <c r="K120" t="s">
        <v>53</v>
      </c>
      <c r="L120" s="3">
        <v>47258</v>
      </c>
      <c r="M120" s="3">
        <v>47225</v>
      </c>
      <c r="N120" t="s">
        <v>2731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1959</v>
      </c>
      <c r="C121" t="s">
        <v>2792</v>
      </c>
      <c r="D121" s="3">
        <v>34034</v>
      </c>
      <c r="E121" t="s">
        <v>1378</v>
      </c>
      <c r="G121" s="3">
        <v>45408</v>
      </c>
      <c r="H121" t="s">
        <v>2793</v>
      </c>
      <c r="J121" t="s">
        <v>1386</v>
      </c>
      <c r="K121" t="s">
        <v>53</v>
      </c>
      <c r="L121" s="3">
        <v>47253</v>
      </c>
      <c r="M121" s="3">
        <v>47225</v>
      </c>
      <c r="N121" t="s">
        <v>2794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2314</v>
      </c>
      <c r="C122" t="s">
        <v>2311</v>
      </c>
      <c r="D122" s="3">
        <v>37624</v>
      </c>
      <c r="E122" t="s">
        <v>1378</v>
      </c>
      <c r="G122" s="3">
        <v>45408</v>
      </c>
      <c r="H122" t="s">
        <v>2315</v>
      </c>
      <c r="J122" t="s">
        <v>1386</v>
      </c>
      <c r="K122" t="s">
        <v>38</v>
      </c>
      <c r="L122" s="3">
        <v>47245</v>
      </c>
      <c r="M122" s="3">
        <v>47225</v>
      </c>
      <c r="N122" t="s">
        <v>2316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1950</v>
      </c>
      <c r="C123" t="s">
        <v>1951</v>
      </c>
      <c r="D123" s="3">
        <v>20716</v>
      </c>
      <c r="E123" t="s">
        <v>1378</v>
      </c>
      <c r="G123" s="3">
        <v>45407</v>
      </c>
      <c r="H123" t="s">
        <v>1952</v>
      </c>
      <c r="J123" t="s">
        <v>1953</v>
      </c>
      <c r="K123" t="s">
        <v>56</v>
      </c>
      <c r="L123" s="3">
        <v>1</v>
      </c>
      <c r="M123" s="3">
        <v>1</v>
      </c>
      <c r="N123" t="s">
        <v>1954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2934</v>
      </c>
      <c r="C124" t="s">
        <v>2931</v>
      </c>
      <c r="D124" s="3">
        <v>20536</v>
      </c>
      <c r="E124" t="s">
        <v>1378</v>
      </c>
      <c r="G124" s="3">
        <v>45407</v>
      </c>
      <c r="J124" t="s">
        <v>1953</v>
      </c>
      <c r="K124" t="s">
        <v>56</v>
      </c>
      <c r="L124" s="3">
        <v>1</v>
      </c>
      <c r="M124" s="3">
        <v>1</v>
      </c>
      <c r="N124" t="s">
        <v>2935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2440</v>
      </c>
      <c r="C125" t="s">
        <v>2441</v>
      </c>
      <c r="D125" s="3">
        <v>37300</v>
      </c>
      <c r="E125" t="s">
        <v>1378</v>
      </c>
      <c r="G125" s="3">
        <v>45408</v>
      </c>
      <c r="H125" t="s">
        <v>2442</v>
      </c>
      <c r="J125" t="s">
        <v>1386</v>
      </c>
      <c r="K125" t="s">
        <v>50</v>
      </c>
      <c r="L125" s="3">
        <v>47259</v>
      </c>
      <c r="M125" s="3">
        <v>47216</v>
      </c>
      <c r="N125" t="s">
        <v>2443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2198</v>
      </c>
      <c r="C126" t="s">
        <v>2199</v>
      </c>
      <c r="D126" s="3">
        <v>28898</v>
      </c>
      <c r="E126" t="s">
        <v>1378</v>
      </c>
      <c r="G126" s="3">
        <v>45481</v>
      </c>
      <c r="H126" t="s">
        <v>2200</v>
      </c>
      <c r="J126" t="s">
        <v>1386</v>
      </c>
      <c r="K126" t="s">
        <v>35</v>
      </c>
      <c r="L126" s="3">
        <v>45959</v>
      </c>
      <c r="M126" s="3">
        <v>45923</v>
      </c>
      <c r="N126" t="s">
        <v>2201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2832</v>
      </c>
      <c r="C127" t="s">
        <v>2833</v>
      </c>
      <c r="D127" s="3">
        <v>25646</v>
      </c>
      <c r="E127" t="s">
        <v>1378</v>
      </c>
      <c r="G127" s="3">
        <v>45478</v>
      </c>
      <c r="H127" t="s">
        <v>2834</v>
      </c>
      <c r="J127" t="s">
        <v>1386</v>
      </c>
      <c r="K127" t="s">
        <v>35</v>
      </c>
      <c r="L127" s="3">
        <v>46733</v>
      </c>
      <c r="M127" s="3">
        <v>46040</v>
      </c>
      <c r="N127" t="s">
        <v>2835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2912</v>
      </c>
      <c r="C128" t="s">
        <v>2913</v>
      </c>
      <c r="D128" s="3">
        <v>35772</v>
      </c>
      <c r="E128" t="s">
        <v>1378</v>
      </c>
      <c r="G128" s="3">
        <v>45408</v>
      </c>
      <c r="H128" t="s">
        <v>2914</v>
      </c>
      <c r="J128" t="s">
        <v>1386</v>
      </c>
      <c r="K128" t="s">
        <v>35</v>
      </c>
      <c r="L128" s="3">
        <v>47258</v>
      </c>
      <c r="M128" s="3">
        <v>47204</v>
      </c>
      <c r="N128" t="s">
        <v>2915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3163</v>
      </c>
      <c r="C129" t="s">
        <v>1701</v>
      </c>
      <c r="D129" s="3">
        <v>28613</v>
      </c>
      <c r="E129" t="s">
        <v>1378</v>
      </c>
      <c r="G129" s="3">
        <v>45394</v>
      </c>
      <c r="H129" t="s">
        <v>3164</v>
      </c>
      <c r="J129" t="s">
        <v>1920</v>
      </c>
      <c r="K129" t="s">
        <v>47</v>
      </c>
      <c r="L129" s="3">
        <v>47239</v>
      </c>
      <c r="M129" s="3">
        <v>47201</v>
      </c>
      <c r="N129" t="s">
        <v>3165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3324</v>
      </c>
      <c r="C130" t="s">
        <v>3325</v>
      </c>
      <c r="D130" s="3">
        <v>33604</v>
      </c>
      <c r="E130" t="s">
        <v>1378</v>
      </c>
      <c r="G130" s="3">
        <v>45404</v>
      </c>
      <c r="H130" t="s">
        <v>3326</v>
      </c>
      <c r="J130" t="s">
        <v>1386</v>
      </c>
      <c r="K130" t="s">
        <v>44</v>
      </c>
      <c r="L130" s="3">
        <v>47504</v>
      </c>
      <c r="M130" s="3">
        <v>47498</v>
      </c>
      <c r="N130" t="s">
        <v>3327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2875</v>
      </c>
      <c r="C131" t="s">
        <v>2876</v>
      </c>
      <c r="D131" s="3">
        <v>30353</v>
      </c>
      <c r="E131" t="s">
        <v>1378</v>
      </c>
      <c r="G131" s="3">
        <v>45378</v>
      </c>
      <c r="H131" t="s">
        <v>2877</v>
      </c>
      <c r="J131" t="s">
        <v>1386</v>
      </c>
      <c r="K131" t="s">
        <v>44</v>
      </c>
      <c r="L131" s="3">
        <v>47229</v>
      </c>
      <c r="M131" s="3">
        <v>47167</v>
      </c>
      <c r="N131" t="s">
        <v>2878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1421</v>
      </c>
      <c r="C132" t="s">
        <v>1422</v>
      </c>
      <c r="D132" s="3">
        <v>35989</v>
      </c>
      <c r="E132" t="s">
        <v>1378</v>
      </c>
      <c r="G132" s="3">
        <v>45394</v>
      </c>
      <c r="H132" t="s">
        <v>1423</v>
      </c>
      <c r="J132" t="s">
        <v>1424</v>
      </c>
      <c r="K132" t="s">
        <v>44</v>
      </c>
      <c r="L132" s="3">
        <v>47239</v>
      </c>
      <c r="M132" s="3">
        <v>47143</v>
      </c>
      <c r="N132" t="s">
        <v>1425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2541</v>
      </c>
      <c r="C133" t="s">
        <v>2542</v>
      </c>
      <c r="D133" s="3">
        <v>32793</v>
      </c>
      <c r="E133" t="s">
        <v>1378</v>
      </c>
      <c r="G133" s="3">
        <v>45364</v>
      </c>
      <c r="H133" t="s">
        <v>2543</v>
      </c>
      <c r="J133" t="s">
        <v>1386</v>
      </c>
      <c r="K133" t="s">
        <v>44</v>
      </c>
      <c r="L133" s="3">
        <v>47224</v>
      </c>
      <c r="M133" s="3">
        <v>47167</v>
      </c>
      <c r="N133" t="s">
        <v>2544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3223</v>
      </c>
      <c r="C134" t="s">
        <v>3224</v>
      </c>
      <c r="D134" s="3">
        <v>35832</v>
      </c>
      <c r="E134" t="s">
        <v>1378</v>
      </c>
      <c r="G134" s="3">
        <v>45349</v>
      </c>
      <c r="H134" t="s">
        <v>3225</v>
      </c>
      <c r="J134" t="s">
        <v>1386</v>
      </c>
      <c r="K134" t="s">
        <v>35</v>
      </c>
      <c r="L134" s="3">
        <v>47194</v>
      </c>
      <c r="M134" s="3">
        <v>47168</v>
      </c>
      <c r="N134" t="s">
        <v>3226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1685</v>
      </c>
      <c r="C135" t="s">
        <v>1686</v>
      </c>
      <c r="D135" s="3">
        <v>35955</v>
      </c>
      <c r="E135" t="s">
        <v>1378</v>
      </c>
      <c r="G135" s="3">
        <v>45349</v>
      </c>
      <c r="H135" t="s">
        <v>1687</v>
      </c>
      <c r="J135" t="s">
        <v>1386</v>
      </c>
      <c r="K135" t="s">
        <v>35</v>
      </c>
      <c r="L135" s="3">
        <v>47194</v>
      </c>
      <c r="M135" s="3">
        <v>47161</v>
      </c>
      <c r="N135" t="s">
        <v>1688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3087</v>
      </c>
      <c r="C136" t="s">
        <v>3321</v>
      </c>
      <c r="D136" s="3">
        <v>37879</v>
      </c>
      <c r="E136" t="s">
        <v>1378</v>
      </c>
      <c r="G136" s="3">
        <v>45378</v>
      </c>
      <c r="H136" t="s">
        <v>3322</v>
      </c>
      <c r="J136" t="s">
        <v>1386</v>
      </c>
      <c r="K136" t="s">
        <v>35</v>
      </c>
      <c r="L136" s="3">
        <v>47224</v>
      </c>
      <c r="M136" s="3">
        <v>47150</v>
      </c>
      <c r="N136" t="s">
        <v>3323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2444</v>
      </c>
      <c r="C137" t="s">
        <v>2445</v>
      </c>
      <c r="D137" s="3">
        <v>33970</v>
      </c>
      <c r="E137" t="s">
        <v>1378</v>
      </c>
      <c r="G137" s="3">
        <v>45345</v>
      </c>
      <c r="H137" t="s">
        <v>2446</v>
      </c>
      <c r="J137" t="s">
        <v>1386</v>
      </c>
      <c r="K137" t="s">
        <v>35</v>
      </c>
      <c r="L137" s="3">
        <v>46719</v>
      </c>
      <c r="M137" s="3">
        <v>46616</v>
      </c>
      <c r="N137" t="s">
        <v>2447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2202</v>
      </c>
      <c r="C138" t="s">
        <v>2203</v>
      </c>
      <c r="D138" s="3">
        <v>33333</v>
      </c>
      <c r="E138" t="s">
        <v>1378</v>
      </c>
      <c r="G138" s="3">
        <v>45335</v>
      </c>
      <c r="H138" t="s">
        <v>2204</v>
      </c>
      <c r="J138" t="s">
        <v>1386</v>
      </c>
      <c r="K138" t="s">
        <v>44</v>
      </c>
      <c r="L138" s="3">
        <v>47181</v>
      </c>
      <c r="M138" s="3">
        <v>47143</v>
      </c>
      <c r="N138" t="s">
        <v>2205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1578</v>
      </c>
      <c r="C139" t="s">
        <v>1579</v>
      </c>
      <c r="D139" s="3">
        <v>37726</v>
      </c>
      <c r="E139" t="s">
        <v>1378</v>
      </c>
      <c r="G139" s="3">
        <v>45335</v>
      </c>
      <c r="H139" t="s">
        <v>1580</v>
      </c>
      <c r="J139" t="s">
        <v>1386</v>
      </c>
      <c r="K139" t="s">
        <v>44</v>
      </c>
      <c r="L139" s="3">
        <v>47181</v>
      </c>
      <c r="M139" s="3">
        <v>47139</v>
      </c>
      <c r="N139" t="s">
        <v>1581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1689</v>
      </c>
      <c r="C140" t="s">
        <v>1686</v>
      </c>
      <c r="D140" s="3">
        <v>34917</v>
      </c>
      <c r="E140" t="s">
        <v>1378</v>
      </c>
      <c r="G140" s="3">
        <v>45364</v>
      </c>
      <c r="H140" t="s">
        <v>1690</v>
      </c>
      <c r="J140" t="s">
        <v>1386</v>
      </c>
      <c r="K140" t="s">
        <v>35</v>
      </c>
      <c r="L140" s="3">
        <v>47210</v>
      </c>
      <c r="M140" s="3">
        <v>47141</v>
      </c>
      <c r="N140" t="s">
        <v>1691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1738</v>
      </c>
      <c r="C141" t="s">
        <v>1733</v>
      </c>
      <c r="D141" s="3">
        <v>26869</v>
      </c>
      <c r="E141" t="s">
        <v>1378</v>
      </c>
      <c r="G141" s="3">
        <v>45335</v>
      </c>
      <c r="H141" t="s">
        <v>1739</v>
      </c>
      <c r="I141">
        <v>93577730</v>
      </c>
      <c r="J141" t="s">
        <v>1386</v>
      </c>
      <c r="K141" t="s">
        <v>44</v>
      </c>
      <c r="L141" s="3">
        <v>47180</v>
      </c>
      <c r="M141" s="3">
        <v>47141</v>
      </c>
      <c r="N141" t="s">
        <v>1740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3176</v>
      </c>
      <c r="C142" t="s">
        <v>3177</v>
      </c>
      <c r="D142" s="3">
        <v>37636</v>
      </c>
      <c r="E142" t="s">
        <v>1378</v>
      </c>
      <c r="G142" s="3">
        <v>45321</v>
      </c>
      <c r="H142" t="s">
        <v>3178</v>
      </c>
      <c r="J142" t="s">
        <v>1386</v>
      </c>
      <c r="K142" t="s">
        <v>44</v>
      </c>
      <c r="L142" s="3">
        <v>47164</v>
      </c>
      <c r="M142" s="3">
        <v>47134</v>
      </c>
      <c r="N142" t="s">
        <v>3179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3369</v>
      </c>
      <c r="C143" t="s">
        <v>3370</v>
      </c>
      <c r="D143" s="3">
        <v>34746</v>
      </c>
      <c r="E143" t="s">
        <v>1378</v>
      </c>
      <c r="G143" s="3">
        <v>45321</v>
      </c>
      <c r="H143" t="s">
        <v>3371</v>
      </c>
      <c r="J143" t="s">
        <v>1386</v>
      </c>
      <c r="K143" t="s">
        <v>41</v>
      </c>
      <c r="L143" s="3">
        <v>47168</v>
      </c>
      <c r="M143" s="3">
        <v>47129</v>
      </c>
      <c r="N143" t="s">
        <v>3372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2048</v>
      </c>
      <c r="C144" t="s">
        <v>2049</v>
      </c>
      <c r="D144" s="3">
        <v>28723</v>
      </c>
      <c r="E144" t="s">
        <v>1378</v>
      </c>
      <c r="G144" s="3">
        <v>45364</v>
      </c>
      <c r="H144" t="s">
        <v>2050</v>
      </c>
      <c r="J144" t="s">
        <v>1386</v>
      </c>
      <c r="K144" t="s">
        <v>35</v>
      </c>
      <c r="L144" s="3">
        <v>47210</v>
      </c>
      <c r="M144" s="3">
        <v>47092</v>
      </c>
      <c r="N144" t="s">
        <v>2051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3101</v>
      </c>
      <c r="C145" t="s">
        <v>3251</v>
      </c>
      <c r="D145" s="3">
        <v>38314</v>
      </c>
      <c r="E145" t="s">
        <v>1378</v>
      </c>
      <c r="G145" s="3">
        <v>45307</v>
      </c>
      <c r="H145" t="s">
        <v>3252</v>
      </c>
      <c r="J145" t="s">
        <v>1386</v>
      </c>
      <c r="K145" t="s">
        <v>44</v>
      </c>
      <c r="L145" s="3">
        <v>47154</v>
      </c>
      <c r="M145" s="3">
        <v>47126</v>
      </c>
      <c r="N145" t="s">
        <v>3253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1917</v>
      </c>
      <c r="C146" t="s">
        <v>1918</v>
      </c>
      <c r="D146" s="3">
        <v>33365</v>
      </c>
      <c r="E146" t="s">
        <v>1378</v>
      </c>
      <c r="G146" s="3">
        <v>45307</v>
      </c>
      <c r="H146" t="s">
        <v>1919</v>
      </c>
      <c r="J146" t="s">
        <v>1386</v>
      </c>
      <c r="K146" t="s">
        <v>44</v>
      </c>
      <c r="L146" s="3">
        <v>47154</v>
      </c>
      <c r="M146" s="3">
        <v>47126</v>
      </c>
      <c r="N146" t="s">
        <v>1921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2317</v>
      </c>
      <c r="C147" t="s">
        <v>2311</v>
      </c>
      <c r="D147" s="3">
        <v>30468</v>
      </c>
      <c r="E147" t="s">
        <v>1378</v>
      </c>
      <c r="G147" s="3">
        <v>45321</v>
      </c>
      <c r="H147" t="s">
        <v>2318</v>
      </c>
      <c r="J147" t="s">
        <v>1386</v>
      </c>
      <c r="K147" t="s">
        <v>44</v>
      </c>
      <c r="L147" s="3">
        <v>47164</v>
      </c>
      <c r="M147" s="3">
        <v>47092</v>
      </c>
      <c r="N147" t="s">
        <v>2319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2330</v>
      </c>
      <c r="C148" t="s">
        <v>2331</v>
      </c>
      <c r="D148" s="3">
        <v>35670</v>
      </c>
      <c r="E148" t="s">
        <v>1378</v>
      </c>
      <c r="G148" s="3">
        <v>45321</v>
      </c>
      <c r="H148" t="s">
        <v>2332</v>
      </c>
      <c r="J148" t="s">
        <v>1386</v>
      </c>
      <c r="K148" t="s">
        <v>44</v>
      </c>
      <c r="L148" s="3">
        <v>47165</v>
      </c>
      <c r="M148" s="3">
        <v>47105</v>
      </c>
      <c r="N148" t="s">
        <v>2333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1894</v>
      </c>
      <c r="C149" t="s">
        <v>1895</v>
      </c>
      <c r="D149" s="3">
        <v>33604</v>
      </c>
      <c r="E149" t="s">
        <v>1378</v>
      </c>
      <c r="G149" s="3">
        <v>45307</v>
      </c>
      <c r="H149" t="s">
        <v>1896</v>
      </c>
      <c r="J149" t="s">
        <v>1386</v>
      </c>
      <c r="K149" t="s">
        <v>44</v>
      </c>
      <c r="L149" s="3">
        <v>47154</v>
      </c>
      <c r="M149" s="3">
        <v>47100</v>
      </c>
      <c r="N149" t="s">
        <v>1897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2268</v>
      </c>
      <c r="C150" t="s">
        <v>2269</v>
      </c>
      <c r="D150" s="3">
        <v>30553</v>
      </c>
      <c r="E150" t="s">
        <v>1378</v>
      </c>
      <c r="G150" s="3">
        <v>45299</v>
      </c>
      <c r="H150" t="s">
        <v>2270</v>
      </c>
      <c r="J150" t="s">
        <v>1386</v>
      </c>
      <c r="K150" t="s">
        <v>44</v>
      </c>
      <c r="L150" s="3">
        <v>46530</v>
      </c>
      <c r="M150" s="3">
        <v>45999</v>
      </c>
      <c r="N150" t="s">
        <v>2271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3591</v>
      </c>
      <c r="C151" t="s">
        <v>3438</v>
      </c>
      <c r="D151" s="3">
        <v>35796</v>
      </c>
      <c r="E151" t="s">
        <v>1378</v>
      </c>
      <c r="G151" s="3">
        <v>45293</v>
      </c>
      <c r="H151" t="s">
        <v>3592</v>
      </c>
      <c r="J151" t="s">
        <v>1835</v>
      </c>
      <c r="K151" t="s">
        <v>38</v>
      </c>
      <c r="L151" s="3">
        <v>47302</v>
      </c>
      <c r="M151" s="3">
        <v>47100</v>
      </c>
      <c r="N151" t="s">
        <v>3593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2545</v>
      </c>
      <c r="C152" t="s">
        <v>2546</v>
      </c>
      <c r="D152" s="3">
        <v>34161</v>
      </c>
      <c r="E152" t="s">
        <v>1378</v>
      </c>
      <c r="G152" s="3">
        <v>45307</v>
      </c>
      <c r="H152" t="s">
        <v>2547</v>
      </c>
      <c r="J152" t="s">
        <v>1386</v>
      </c>
      <c r="K152" t="s">
        <v>44</v>
      </c>
      <c r="L152" s="3">
        <v>47150</v>
      </c>
      <c r="M152" s="3">
        <v>47092</v>
      </c>
      <c r="N152" t="s">
        <v>2548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3215</v>
      </c>
      <c r="C153" t="s">
        <v>3216</v>
      </c>
      <c r="D153" s="3">
        <v>29982</v>
      </c>
      <c r="E153" t="s">
        <v>1378</v>
      </c>
      <c r="G153" s="3">
        <v>45299</v>
      </c>
      <c r="H153" t="s">
        <v>3217</v>
      </c>
      <c r="J153" t="s">
        <v>1386</v>
      </c>
      <c r="K153" t="s">
        <v>47</v>
      </c>
      <c r="L153" s="3">
        <v>47169</v>
      </c>
      <c r="M153" s="3">
        <v>47077</v>
      </c>
      <c r="N153" t="s">
        <v>3218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2645</v>
      </c>
      <c r="C154" t="s">
        <v>2646</v>
      </c>
      <c r="D154" s="3">
        <v>34727</v>
      </c>
      <c r="E154" t="s">
        <v>1378</v>
      </c>
      <c r="G154" s="3">
        <v>45307</v>
      </c>
      <c r="H154" t="s">
        <v>2647</v>
      </c>
      <c r="J154" t="s">
        <v>1386</v>
      </c>
      <c r="K154" t="s">
        <v>44</v>
      </c>
      <c r="L154" s="3">
        <v>46999</v>
      </c>
      <c r="M154" s="3">
        <v>46999</v>
      </c>
      <c r="N154" t="s">
        <v>2648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3264</v>
      </c>
      <c r="C155" t="s">
        <v>3453</v>
      </c>
      <c r="D155" s="3">
        <v>22796</v>
      </c>
      <c r="E155" t="s">
        <v>1378</v>
      </c>
      <c r="G155" s="3">
        <v>45315</v>
      </c>
      <c r="H155" t="s">
        <v>3454</v>
      </c>
      <c r="J155" t="s">
        <v>1386</v>
      </c>
      <c r="K155" t="s">
        <v>44</v>
      </c>
      <c r="L155" s="3">
        <v>46497</v>
      </c>
      <c r="M155" s="3">
        <v>46431</v>
      </c>
      <c r="N155" t="s">
        <v>3455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1852</v>
      </c>
      <c r="C156" t="s">
        <v>1853</v>
      </c>
      <c r="D156" s="3">
        <v>28307</v>
      </c>
      <c r="E156" t="s">
        <v>1378</v>
      </c>
      <c r="G156" s="3">
        <v>45293</v>
      </c>
      <c r="H156" t="s">
        <v>1854</v>
      </c>
      <c r="J156" t="s">
        <v>1386</v>
      </c>
      <c r="K156" t="s">
        <v>50</v>
      </c>
      <c r="L156" s="3">
        <v>47140</v>
      </c>
      <c r="M156" s="3">
        <v>47090</v>
      </c>
      <c r="N156" t="s">
        <v>1855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2486</v>
      </c>
      <c r="C157" t="s">
        <v>2483</v>
      </c>
      <c r="D157" s="3">
        <v>29906</v>
      </c>
      <c r="E157" t="s">
        <v>1378</v>
      </c>
      <c r="G157" s="3">
        <v>45264</v>
      </c>
      <c r="H157" t="s">
        <v>2487</v>
      </c>
      <c r="J157" t="s">
        <v>1386</v>
      </c>
      <c r="K157" t="s">
        <v>38</v>
      </c>
      <c r="L157" s="3">
        <v>47106</v>
      </c>
      <c r="M157" s="3">
        <v>47083</v>
      </c>
      <c r="N157" t="s">
        <v>2488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2952</v>
      </c>
      <c r="C158" t="s">
        <v>2953</v>
      </c>
      <c r="D158" s="3">
        <v>36686</v>
      </c>
      <c r="E158" t="s">
        <v>1378</v>
      </c>
      <c r="G158" s="3">
        <v>45264</v>
      </c>
      <c r="H158" t="s">
        <v>2954</v>
      </c>
      <c r="J158" t="s">
        <v>1386</v>
      </c>
      <c r="K158" t="s">
        <v>53</v>
      </c>
      <c r="L158" s="3">
        <v>47107</v>
      </c>
      <c r="M158" s="3">
        <v>47072</v>
      </c>
      <c r="N158" t="s">
        <v>2955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3268</v>
      </c>
      <c r="C159" t="s">
        <v>3269</v>
      </c>
      <c r="D159" s="3">
        <v>33698</v>
      </c>
      <c r="E159" t="s">
        <v>1378</v>
      </c>
      <c r="G159" s="3">
        <v>45264</v>
      </c>
      <c r="H159" t="s">
        <v>3270</v>
      </c>
      <c r="J159" t="s">
        <v>1386</v>
      </c>
      <c r="K159" t="s">
        <v>47</v>
      </c>
      <c r="L159" s="3">
        <v>47108</v>
      </c>
      <c r="M159" s="3">
        <v>47072</v>
      </c>
      <c r="N159" t="s">
        <v>3271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1477</v>
      </c>
      <c r="C160" t="s">
        <v>1478</v>
      </c>
      <c r="D160" s="3">
        <v>26488</v>
      </c>
      <c r="E160" t="s">
        <v>1378</v>
      </c>
      <c r="G160" s="3">
        <v>45264</v>
      </c>
      <c r="H160" t="s">
        <v>1479</v>
      </c>
      <c r="J160" t="s">
        <v>1386</v>
      </c>
      <c r="K160" t="s">
        <v>35</v>
      </c>
      <c r="L160" s="3">
        <v>47106</v>
      </c>
      <c r="M160" s="3">
        <v>47077</v>
      </c>
      <c r="N160" t="s">
        <v>1480</v>
      </c>
      <c r="O160" s="4">
        <v>1</v>
      </c>
      <c r="P160">
        <v>0</v>
      </c>
      <c r="Q160">
        <v>0</v>
      </c>
      <c r="R160" t="s">
        <v>1481</v>
      </c>
    </row>
    <row r="161" spans="1:17" x14ac:dyDescent="0.25">
      <c r="A161">
        <v>39831</v>
      </c>
      <c r="B161" t="s">
        <v>2120</v>
      </c>
      <c r="C161" t="s">
        <v>2121</v>
      </c>
      <c r="D161" s="3">
        <v>35158</v>
      </c>
      <c r="E161" t="s">
        <v>1378</v>
      </c>
      <c r="G161" s="3">
        <v>45264</v>
      </c>
      <c r="H161" t="s">
        <v>2122</v>
      </c>
      <c r="J161" t="s">
        <v>1386</v>
      </c>
      <c r="K161" t="s">
        <v>53</v>
      </c>
      <c r="L161" s="3">
        <v>47106</v>
      </c>
      <c r="M161" s="3">
        <v>47072</v>
      </c>
      <c r="N161" t="s">
        <v>2123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1692</v>
      </c>
      <c r="C162" t="s">
        <v>1693</v>
      </c>
      <c r="D162" s="3">
        <v>32321</v>
      </c>
      <c r="E162" t="s">
        <v>1378</v>
      </c>
      <c r="G162" s="3">
        <v>45264</v>
      </c>
      <c r="H162" t="s">
        <v>1694</v>
      </c>
      <c r="J162" t="s">
        <v>1386</v>
      </c>
      <c r="K162" t="s">
        <v>56</v>
      </c>
      <c r="L162" s="3">
        <v>47107</v>
      </c>
      <c r="M162" s="3">
        <v>47072</v>
      </c>
      <c r="N162" t="s">
        <v>1695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2132</v>
      </c>
      <c r="C163" t="s">
        <v>2133</v>
      </c>
      <c r="D163" s="3">
        <v>33855</v>
      </c>
      <c r="E163" t="s">
        <v>1378</v>
      </c>
      <c r="G163" s="3">
        <v>45250</v>
      </c>
      <c r="H163" t="s">
        <v>2134</v>
      </c>
      <c r="J163" t="s">
        <v>1386</v>
      </c>
      <c r="K163" t="s">
        <v>38</v>
      </c>
      <c r="L163" s="3">
        <v>47093</v>
      </c>
      <c r="M163" s="3">
        <v>47051</v>
      </c>
      <c r="N163" t="s">
        <v>2135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3294</v>
      </c>
      <c r="C164" t="s">
        <v>3295</v>
      </c>
      <c r="D164" s="3">
        <v>36347</v>
      </c>
      <c r="E164" t="s">
        <v>1378</v>
      </c>
      <c r="G164" s="3">
        <v>45250</v>
      </c>
      <c r="H164" t="s">
        <v>3296</v>
      </c>
      <c r="J164" t="s">
        <v>1386</v>
      </c>
      <c r="K164" t="s">
        <v>56</v>
      </c>
      <c r="L164" s="3">
        <v>47092</v>
      </c>
      <c r="M164" s="3">
        <v>47027</v>
      </c>
      <c r="N164" t="s">
        <v>3297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2641</v>
      </c>
      <c r="C165" t="s">
        <v>2642</v>
      </c>
      <c r="D165" s="3">
        <v>29587</v>
      </c>
      <c r="E165" t="s">
        <v>1378</v>
      </c>
      <c r="G165" s="3">
        <v>45313</v>
      </c>
      <c r="H165" t="s">
        <v>2643</v>
      </c>
      <c r="J165" t="s">
        <v>1386</v>
      </c>
      <c r="K165" t="s">
        <v>47</v>
      </c>
      <c r="L165" s="3">
        <v>47608</v>
      </c>
      <c r="M165" s="3">
        <v>47594</v>
      </c>
      <c r="N165" t="s">
        <v>2644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1048</v>
      </c>
      <c r="C166" t="s">
        <v>1210</v>
      </c>
      <c r="D166" s="3">
        <v>35461</v>
      </c>
      <c r="E166" t="s">
        <v>1378</v>
      </c>
      <c r="G166" s="3">
        <v>45236</v>
      </c>
      <c r="H166" t="s">
        <v>1890</v>
      </c>
      <c r="J166" t="s">
        <v>1386</v>
      </c>
      <c r="K166" t="s">
        <v>38</v>
      </c>
      <c r="L166" s="3">
        <v>47077</v>
      </c>
      <c r="M166" s="3">
        <v>47034</v>
      </c>
      <c r="N166" t="s">
        <v>1891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2574</v>
      </c>
      <c r="C167" t="s">
        <v>2575</v>
      </c>
      <c r="D167" s="3">
        <v>36222</v>
      </c>
      <c r="E167" t="s">
        <v>1378</v>
      </c>
      <c r="G167" s="3">
        <v>45222</v>
      </c>
      <c r="H167" t="s">
        <v>2576</v>
      </c>
      <c r="J167" t="s">
        <v>1386</v>
      </c>
      <c r="K167" t="s">
        <v>47</v>
      </c>
      <c r="L167" s="3">
        <v>47064</v>
      </c>
      <c r="M167" s="3">
        <v>47030</v>
      </c>
      <c r="N167" t="s">
        <v>2577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2732</v>
      </c>
      <c r="C168" t="s">
        <v>2733</v>
      </c>
      <c r="D168" s="3">
        <v>25391</v>
      </c>
      <c r="E168" t="s">
        <v>1378</v>
      </c>
      <c r="G168" s="3">
        <v>45236</v>
      </c>
      <c r="H168" t="s">
        <v>2734</v>
      </c>
      <c r="J168" t="s">
        <v>1386</v>
      </c>
      <c r="K168" t="s">
        <v>41</v>
      </c>
      <c r="L168" s="3">
        <v>47110</v>
      </c>
      <c r="M168" s="3">
        <v>47030</v>
      </c>
      <c r="N168" t="s">
        <v>2735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2795</v>
      </c>
      <c r="C169" t="s">
        <v>2792</v>
      </c>
      <c r="D169" s="3">
        <v>32368</v>
      </c>
      <c r="E169" t="s">
        <v>1378</v>
      </c>
      <c r="G169" s="3">
        <v>45222</v>
      </c>
      <c r="H169" t="s">
        <v>2796</v>
      </c>
      <c r="J169" t="s">
        <v>1386</v>
      </c>
      <c r="K169" t="s">
        <v>38</v>
      </c>
      <c r="L169" s="3">
        <v>47064</v>
      </c>
      <c r="M169" s="3">
        <v>47027</v>
      </c>
      <c r="N169" t="s">
        <v>2797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2365</v>
      </c>
      <c r="C170" t="s">
        <v>2366</v>
      </c>
      <c r="D170" s="3">
        <v>35555</v>
      </c>
      <c r="E170" t="s">
        <v>1378</v>
      </c>
      <c r="G170" s="3">
        <v>45222</v>
      </c>
      <c r="H170" t="s">
        <v>2367</v>
      </c>
      <c r="J170" t="s">
        <v>1386</v>
      </c>
      <c r="K170" t="s">
        <v>47</v>
      </c>
      <c r="L170" s="3">
        <v>47065</v>
      </c>
      <c r="M170" s="3">
        <v>47016</v>
      </c>
      <c r="N170" t="s">
        <v>2368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1621</v>
      </c>
      <c r="C171" t="s">
        <v>1622</v>
      </c>
      <c r="D171" s="3">
        <v>32321</v>
      </c>
      <c r="E171" t="s">
        <v>1378</v>
      </c>
      <c r="G171" s="3">
        <v>45208</v>
      </c>
      <c r="H171" t="s">
        <v>1623</v>
      </c>
      <c r="J171" t="s">
        <v>1386</v>
      </c>
      <c r="K171" t="s">
        <v>47</v>
      </c>
      <c r="L171" s="3">
        <v>47051</v>
      </c>
      <c r="M171" s="3">
        <v>47027</v>
      </c>
      <c r="N171" t="s">
        <v>1624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2436</v>
      </c>
      <c r="C172" t="s">
        <v>2437</v>
      </c>
      <c r="D172" s="3">
        <v>36852</v>
      </c>
      <c r="E172" t="s">
        <v>1378</v>
      </c>
      <c r="G172" s="3">
        <v>45236</v>
      </c>
      <c r="H172" t="s">
        <v>2438</v>
      </c>
      <c r="J172" t="s">
        <v>1386</v>
      </c>
      <c r="K172" t="s">
        <v>56</v>
      </c>
      <c r="L172" s="3">
        <v>47077</v>
      </c>
      <c r="M172" s="3">
        <v>47016</v>
      </c>
      <c r="N172" t="s">
        <v>2439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3272</v>
      </c>
      <c r="C173" t="s">
        <v>3273</v>
      </c>
      <c r="D173" s="3">
        <v>35615</v>
      </c>
      <c r="E173" t="s">
        <v>1378</v>
      </c>
      <c r="G173" s="3">
        <v>45208</v>
      </c>
      <c r="H173" t="s">
        <v>3274</v>
      </c>
      <c r="J173" t="s">
        <v>1386</v>
      </c>
      <c r="K173" t="s">
        <v>38</v>
      </c>
      <c r="L173" s="3">
        <v>47049</v>
      </c>
      <c r="M173" s="3">
        <v>47009</v>
      </c>
      <c r="N173" t="s">
        <v>3275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2369</v>
      </c>
      <c r="C174" t="s">
        <v>2370</v>
      </c>
      <c r="D174" s="3">
        <v>36481</v>
      </c>
      <c r="E174" t="s">
        <v>1378</v>
      </c>
      <c r="G174" s="3">
        <v>45194</v>
      </c>
      <c r="H174" t="s">
        <v>2371</v>
      </c>
      <c r="J174" t="s">
        <v>1424</v>
      </c>
      <c r="K174" t="s">
        <v>53</v>
      </c>
      <c r="L174" s="3">
        <v>47036</v>
      </c>
      <c r="M174" s="3">
        <v>47009</v>
      </c>
      <c r="N174" t="s">
        <v>2372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2652</v>
      </c>
      <c r="C175" t="s">
        <v>2653</v>
      </c>
      <c r="D175" s="3">
        <v>35965</v>
      </c>
      <c r="E175" t="s">
        <v>1378</v>
      </c>
      <c r="G175" s="3">
        <v>45222</v>
      </c>
      <c r="H175" t="s">
        <v>2654</v>
      </c>
      <c r="J175" t="s">
        <v>1386</v>
      </c>
      <c r="K175" t="s">
        <v>53</v>
      </c>
      <c r="L175" s="3">
        <v>47064</v>
      </c>
      <c r="M175" s="3">
        <v>47009</v>
      </c>
      <c r="N175" t="s">
        <v>2655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2975</v>
      </c>
      <c r="C176" t="s">
        <v>3169</v>
      </c>
      <c r="D176" s="3">
        <v>31519</v>
      </c>
      <c r="E176" t="s">
        <v>1378</v>
      </c>
      <c r="G176" s="3">
        <v>45208</v>
      </c>
      <c r="H176" t="s">
        <v>3170</v>
      </c>
      <c r="J176" t="s">
        <v>1386</v>
      </c>
      <c r="K176" t="s">
        <v>50</v>
      </c>
      <c r="L176" s="3">
        <v>47052</v>
      </c>
      <c r="M176" s="3">
        <v>46974</v>
      </c>
      <c r="N176" t="s">
        <v>3171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2029</v>
      </c>
      <c r="C177" t="s">
        <v>2030</v>
      </c>
      <c r="D177" s="3">
        <v>36632</v>
      </c>
      <c r="E177" t="s">
        <v>1378</v>
      </c>
      <c r="F177">
        <v>87</v>
      </c>
      <c r="G177" s="3">
        <v>45208</v>
      </c>
      <c r="H177" t="s">
        <v>2031</v>
      </c>
      <c r="J177" t="s">
        <v>1386</v>
      </c>
      <c r="K177" t="s">
        <v>44</v>
      </c>
      <c r="L177" s="3">
        <v>47049</v>
      </c>
      <c r="M177" s="3">
        <v>46981</v>
      </c>
      <c r="N177" t="s">
        <v>2032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1982</v>
      </c>
      <c r="C178" t="s">
        <v>1983</v>
      </c>
      <c r="D178" s="3">
        <v>23786</v>
      </c>
      <c r="E178" t="s">
        <v>1378</v>
      </c>
      <c r="G178" s="3">
        <v>45286</v>
      </c>
      <c r="H178" t="s">
        <v>1984</v>
      </c>
      <c r="J178" t="s">
        <v>1587</v>
      </c>
      <c r="K178" t="s">
        <v>44</v>
      </c>
      <c r="L178" s="3">
        <v>45934</v>
      </c>
      <c r="M178" s="3">
        <v>47621</v>
      </c>
      <c r="N178" t="s">
        <v>1985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1902</v>
      </c>
      <c r="C179" t="s">
        <v>1903</v>
      </c>
      <c r="D179" s="3">
        <v>32358</v>
      </c>
      <c r="E179" t="s">
        <v>1378</v>
      </c>
      <c r="G179" s="3">
        <v>45236</v>
      </c>
      <c r="H179" t="s">
        <v>1904</v>
      </c>
      <c r="J179" t="s">
        <v>1386</v>
      </c>
      <c r="K179" t="s">
        <v>44</v>
      </c>
      <c r="L179" s="3">
        <v>47077</v>
      </c>
      <c r="M179" s="3">
        <v>46981</v>
      </c>
      <c r="N179" t="s">
        <v>1905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2150</v>
      </c>
      <c r="C180" t="s">
        <v>2151</v>
      </c>
      <c r="D180" s="3">
        <v>31775</v>
      </c>
      <c r="E180" t="s">
        <v>1378</v>
      </c>
      <c r="F180">
        <v>28</v>
      </c>
      <c r="G180" s="3">
        <v>45194</v>
      </c>
      <c r="H180" t="s">
        <v>2152</v>
      </c>
      <c r="J180" t="s">
        <v>1386</v>
      </c>
      <c r="K180" t="s">
        <v>44</v>
      </c>
      <c r="L180" s="3">
        <v>47036</v>
      </c>
      <c r="M180" s="3">
        <v>46946</v>
      </c>
      <c r="N180" t="s">
        <v>2153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2583</v>
      </c>
      <c r="C181" t="s">
        <v>2584</v>
      </c>
      <c r="D181" s="3">
        <v>29195</v>
      </c>
      <c r="E181" t="s">
        <v>1378</v>
      </c>
      <c r="G181" s="3">
        <v>45124</v>
      </c>
      <c r="H181" t="s">
        <v>2585</v>
      </c>
      <c r="J181" t="s">
        <v>1386</v>
      </c>
      <c r="K181" t="s">
        <v>44</v>
      </c>
      <c r="L181" s="3">
        <v>47526</v>
      </c>
      <c r="M181" s="3">
        <v>47460</v>
      </c>
      <c r="N181" t="s">
        <v>2586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1443</v>
      </c>
      <c r="C182" t="s">
        <v>2604</v>
      </c>
      <c r="D182" s="3">
        <v>36104</v>
      </c>
      <c r="E182" t="s">
        <v>1378</v>
      </c>
      <c r="G182" s="3">
        <v>45173</v>
      </c>
      <c r="H182" t="s">
        <v>2605</v>
      </c>
      <c r="J182" t="s">
        <v>1386</v>
      </c>
      <c r="K182" t="s">
        <v>44</v>
      </c>
      <c r="L182" s="3">
        <v>47014</v>
      </c>
      <c r="M182" s="3">
        <v>46903</v>
      </c>
      <c r="N182" t="s">
        <v>2606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1495</v>
      </c>
      <c r="C183" t="s">
        <v>2296</v>
      </c>
      <c r="D183" s="3">
        <v>21648</v>
      </c>
      <c r="E183" t="s">
        <v>1378</v>
      </c>
      <c r="F183">
        <v>306</v>
      </c>
      <c r="G183" s="3">
        <v>29885</v>
      </c>
      <c r="H183" t="s">
        <v>2299</v>
      </c>
      <c r="I183">
        <v>93240876</v>
      </c>
      <c r="J183" t="s">
        <v>1515</v>
      </c>
      <c r="K183" t="s">
        <v>38</v>
      </c>
      <c r="L183" s="3">
        <v>72686</v>
      </c>
      <c r="M183" s="3">
        <v>46827</v>
      </c>
      <c r="N183" t="s">
        <v>2300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3381</v>
      </c>
      <c r="C184" t="s">
        <v>3378</v>
      </c>
      <c r="D184" s="3">
        <v>36822</v>
      </c>
      <c r="E184" t="s">
        <v>1378</v>
      </c>
      <c r="G184" s="3">
        <v>45103</v>
      </c>
      <c r="H184" t="s">
        <v>3382</v>
      </c>
      <c r="J184" t="s">
        <v>1386</v>
      </c>
      <c r="K184" t="s">
        <v>53</v>
      </c>
      <c r="L184" s="3">
        <v>46945</v>
      </c>
      <c r="M184" s="3">
        <v>46925</v>
      </c>
      <c r="N184" t="s">
        <v>3383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1426</v>
      </c>
      <c r="C185" t="s">
        <v>1427</v>
      </c>
      <c r="D185" s="3">
        <v>33938</v>
      </c>
      <c r="E185" t="s">
        <v>1378</v>
      </c>
      <c r="G185" s="3">
        <v>45097</v>
      </c>
      <c r="H185" t="s">
        <v>1428</v>
      </c>
      <c r="J185" t="s">
        <v>1386</v>
      </c>
      <c r="K185" t="s">
        <v>44</v>
      </c>
      <c r="L185" s="3">
        <v>46945</v>
      </c>
      <c r="M185" s="3">
        <v>46897</v>
      </c>
      <c r="N185" t="s">
        <v>1429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3361</v>
      </c>
      <c r="C186" t="s">
        <v>3362</v>
      </c>
      <c r="D186" s="3">
        <v>32148</v>
      </c>
      <c r="E186" t="s">
        <v>1378</v>
      </c>
      <c r="G186" s="3">
        <v>45103</v>
      </c>
      <c r="H186" t="s">
        <v>3363</v>
      </c>
      <c r="J186" t="s">
        <v>1386</v>
      </c>
      <c r="K186" t="s">
        <v>44</v>
      </c>
      <c r="L186" s="3">
        <v>46946</v>
      </c>
      <c r="M186" s="3">
        <v>46887</v>
      </c>
      <c r="N186" t="s">
        <v>3364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3394</v>
      </c>
      <c r="C187" t="s">
        <v>3395</v>
      </c>
      <c r="D187" s="3">
        <v>28674</v>
      </c>
      <c r="E187" t="s">
        <v>1378</v>
      </c>
      <c r="G187" s="3">
        <v>45090</v>
      </c>
      <c r="H187" t="s">
        <v>3396</v>
      </c>
      <c r="J187" t="s">
        <v>1386</v>
      </c>
      <c r="K187" t="s">
        <v>53</v>
      </c>
      <c r="L187" s="3">
        <v>46933</v>
      </c>
      <c r="M187" s="3">
        <v>46883</v>
      </c>
      <c r="N187" t="s">
        <v>3397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1788</v>
      </c>
      <c r="C188" t="s">
        <v>1789</v>
      </c>
      <c r="D188" s="3">
        <v>27446</v>
      </c>
      <c r="E188" t="s">
        <v>1378</v>
      </c>
      <c r="G188" s="3">
        <v>45166</v>
      </c>
      <c r="H188" t="s">
        <v>1790</v>
      </c>
      <c r="J188" t="s">
        <v>1386</v>
      </c>
      <c r="K188" t="s">
        <v>44</v>
      </c>
      <c r="L188" s="3">
        <v>47371</v>
      </c>
      <c r="M188" s="3">
        <v>47351</v>
      </c>
      <c r="N188" t="s">
        <v>1791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3422</v>
      </c>
      <c r="C189" t="s">
        <v>3423</v>
      </c>
      <c r="D189" s="3">
        <v>36995</v>
      </c>
      <c r="E189" t="s">
        <v>1378</v>
      </c>
      <c r="G189" s="3">
        <v>45076</v>
      </c>
      <c r="H189" t="s">
        <v>3594</v>
      </c>
      <c r="J189" t="s">
        <v>1386</v>
      </c>
      <c r="K189" t="s">
        <v>38</v>
      </c>
      <c r="L189" s="3">
        <v>46919</v>
      </c>
      <c r="M189" s="3">
        <v>46880</v>
      </c>
      <c r="N189" t="s">
        <v>3424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2092</v>
      </c>
      <c r="C190" t="s">
        <v>2093</v>
      </c>
      <c r="D190" s="3">
        <v>29763</v>
      </c>
      <c r="E190" t="s">
        <v>1378</v>
      </c>
      <c r="G190" s="3">
        <v>45076</v>
      </c>
      <c r="H190" t="s">
        <v>2094</v>
      </c>
      <c r="J190" t="s">
        <v>1386</v>
      </c>
      <c r="K190" t="s">
        <v>44</v>
      </c>
      <c r="L190" s="3">
        <v>47048</v>
      </c>
      <c r="M190" s="3">
        <v>46959</v>
      </c>
      <c r="N190" t="s">
        <v>2095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2489</v>
      </c>
      <c r="C191" t="s">
        <v>2483</v>
      </c>
      <c r="D191" s="3">
        <v>30913</v>
      </c>
      <c r="E191" t="s">
        <v>1378</v>
      </c>
      <c r="G191" s="3">
        <v>45061</v>
      </c>
      <c r="H191" t="s">
        <v>2490</v>
      </c>
      <c r="J191" t="s">
        <v>1497</v>
      </c>
      <c r="K191" t="s">
        <v>56</v>
      </c>
      <c r="L191" s="3">
        <v>46904</v>
      </c>
      <c r="M191" s="3">
        <v>46862</v>
      </c>
      <c r="N191" t="s">
        <v>2491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2389</v>
      </c>
      <c r="C192" t="s">
        <v>2390</v>
      </c>
      <c r="D192" s="3">
        <v>36757</v>
      </c>
      <c r="E192" t="s">
        <v>1378</v>
      </c>
      <c r="G192" s="3">
        <v>45076</v>
      </c>
      <c r="H192" t="s">
        <v>2391</v>
      </c>
      <c r="J192" t="s">
        <v>1424</v>
      </c>
      <c r="K192" t="s">
        <v>38</v>
      </c>
      <c r="L192" s="3">
        <v>46923</v>
      </c>
      <c r="M192" s="3">
        <v>46860</v>
      </c>
      <c r="N192" t="s">
        <v>2392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2769</v>
      </c>
      <c r="C193" t="s">
        <v>2770</v>
      </c>
      <c r="D193" s="3">
        <v>27937</v>
      </c>
      <c r="E193" t="s">
        <v>1378</v>
      </c>
      <c r="G193" s="3">
        <v>45076</v>
      </c>
      <c r="H193" t="s">
        <v>2771</v>
      </c>
      <c r="J193" t="s">
        <v>1386</v>
      </c>
      <c r="K193" t="s">
        <v>53</v>
      </c>
      <c r="L193" s="3">
        <v>46923</v>
      </c>
      <c r="M193" s="3">
        <v>46827</v>
      </c>
      <c r="N193" t="s">
        <v>2772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2761</v>
      </c>
      <c r="C194" t="s">
        <v>2762</v>
      </c>
      <c r="D194" s="3">
        <v>33351</v>
      </c>
      <c r="E194" t="s">
        <v>1378</v>
      </c>
      <c r="G194" s="3">
        <v>45061</v>
      </c>
      <c r="H194" t="s">
        <v>2763</v>
      </c>
      <c r="J194" t="s">
        <v>1386</v>
      </c>
      <c r="K194" t="s">
        <v>56</v>
      </c>
      <c r="L194" s="3">
        <v>46904</v>
      </c>
      <c r="M194" s="3">
        <v>46838</v>
      </c>
      <c r="N194" t="s">
        <v>2764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2908</v>
      </c>
      <c r="C195" t="s">
        <v>2909</v>
      </c>
      <c r="D195" s="3">
        <v>36438</v>
      </c>
      <c r="E195" t="s">
        <v>1378</v>
      </c>
      <c r="G195" s="3">
        <v>45040</v>
      </c>
      <c r="H195" t="s">
        <v>2910</v>
      </c>
      <c r="J195" t="s">
        <v>1386</v>
      </c>
      <c r="K195" t="s">
        <v>38</v>
      </c>
      <c r="L195" s="3">
        <v>46882</v>
      </c>
      <c r="M195" s="3">
        <v>46842</v>
      </c>
      <c r="N195" t="s">
        <v>2911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2607</v>
      </c>
      <c r="C196" t="s">
        <v>2604</v>
      </c>
      <c r="D196" s="3">
        <v>30718</v>
      </c>
      <c r="E196" t="s">
        <v>1378</v>
      </c>
      <c r="G196" s="3">
        <v>45090</v>
      </c>
      <c r="H196" t="s">
        <v>2608</v>
      </c>
      <c r="J196" t="s">
        <v>1396</v>
      </c>
      <c r="K196" t="s">
        <v>53</v>
      </c>
      <c r="L196" s="3">
        <v>46933</v>
      </c>
      <c r="M196" s="3">
        <v>46810</v>
      </c>
      <c r="N196" t="s">
        <v>2609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3172</v>
      </c>
      <c r="C197" t="s">
        <v>3173</v>
      </c>
      <c r="D197" s="3">
        <v>24130</v>
      </c>
      <c r="E197" t="s">
        <v>1378</v>
      </c>
      <c r="G197" s="3">
        <v>45027</v>
      </c>
      <c r="H197" t="s">
        <v>3174</v>
      </c>
      <c r="J197" t="s">
        <v>1386</v>
      </c>
      <c r="K197" t="s">
        <v>44</v>
      </c>
      <c r="L197" s="3">
        <v>46874</v>
      </c>
      <c r="M197" s="3">
        <v>46810</v>
      </c>
      <c r="N197" t="s">
        <v>3175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3334</v>
      </c>
      <c r="C198" t="s">
        <v>3335</v>
      </c>
      <c r="D198" s="3">
        <v>33360</v>
      </c>
      <c r="E198" t="s">
        <v>1378</v>
      </c>
      <c r="G198" s="3">
        <v>45027</v>
      </c>
      <c r="H198" t="s">
        <v>3336</v>
      </c>
      <c r="J198" t="s">
        <v>1386</v>
      </c>
      <c r="K198" t="s">
        <v>44</v>
      </c>
      <c r="L198" s="3">
        <v>46869</v>
      </c>
      <c r="M198" s="3">
        <v>46791</v>
      </c>
      <c r="N198" t="s">
        <v>3337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1755</v>
      </c>
      <c r="C199" t="s">
        <v>1756</v>
      </c>
      <c r="D199" s="3">
        <v>23866</v>
      </c>
      <c r="E199" t="s">
        <v>1378</v>
      </c>
      <c r="G199" s="3">
        <v>45062</v>
      </c>
      <c r="H199" t="s">
        <v>1757</v>
      </c>
      <c r="J199" t="s">
        <v>1386</v>
      </c>
      <c r="K199" t="s">
        <v>44</v>
      </c>
      <c r="L199" s="3">
        <v>46895</v>
      </c>
      <c r="M199" s="3">
        <v>47594</v>
      </c>
      <c r="N199" t="s">
        <v>1758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3472</v>
      </c>
      <c r="C200" t="s">
        <v>3473</v>
      </c>
      <c r="D200" s="3">
        <v>37281</v>
      </c>
      <c r="E200" t="s">
        <v>1378</v>
      </c>
      <c r="G200" s="3">
        <v>45012</v>
      </c>
      <c r="H200" t="s">
        <v>3474</v>
      </c>
      <c r="J200" t="s">
        <v>1386</v>
      </c>
      <c r="K200" t="s">
        <v>53</v>
      </c>
      <c r="L200" s="3">
        <v>46855</v>
      </c>
      <c r="M200" s="3">
        <v>46763</v>
      </c>
      <c r="N200" t="s">
        <v>3475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1705</v>
      </c>
      <c r="C201" t="s">
        <v>1706</v>
      </c>
      <c r="D201" s="3">
        <v>34749</v>
      </c>
      <c r="E201" t="s">
        <v>1378</v>
      </c>
      <c r="G201" s="3">
        <v>45027</v>
      </c>
      <c r="H201" t="s">
        <v>1707</v>
      </c>
      <c r="J201" t="s">
        <v>1437</v>
      </c>
      <c r="K201" t="s">
        <v>53</v>
      </c>
      <c r="L201" s="3">
        <v>46869</v>
      </c>
      <c r="M201" s="3">
        <v>46776</v>
      </c>
      <c r="N201" t="s">
        <v>1708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2128</v>
      </c>
      <c r="C202" t="s">
        <v>2129</v>
      </c>
      <c r="D202" s="3">
        <v>34795</v>
      </c>
      <c r="E202" t="s">
        <v>1378</v>
      </c>
      <c r="G202" s="3">
        <v>45027</v>
      </c>
      <c r="H202" t="s">
        <v>2130</v>
      </c>
      <c r="J202" t="s">
        <v>1386</v>
      </c>
      <c r="K202" t="s">
        <v>56</v>
      </c>
      <c r="L202" s="3">
        <v>46874</v>
      </c>
      <c r="M202" s="3">
        <v>46774</v>
      </c>
      <c r="N202" t="s">
        <v>2131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1383</v>
      </c>
      <c r="C203" t="s">
        <v>1384</v>
      </c>
      <c r="D203" s="3">
        <v>28536</v>
      </c>
      <c r="E203" t="s">
        <v>1378</v>
      </c>
      <c r="G203" s="3">
        <v>45012</v>
      </c>
      <c r="H203" t="s">
        <v>1385</v>
      </c>
      <c r="J203" t="s">
        <v>1386</v>
      </c>
      <c r="K203" t="s">
        <v>38</v>
      </c>
      <c r="L203" s="3">
        <v>46869</v>
      </c>
      <c r="M203" s="3">
        <v>46763</v>
      </c>
      <c r="N203" t="s">
        <v>1387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2244</v>
      </c>
      <c r="C204" t="s">
        <v>2245</v>
      </c>
      <c r="D204" s="3">
        <v>32105</v>
      </c>
      <c r="E204" t="s">
        <v>1378</v>
      </c>
      <c r="G204" s="3">
        <v>44970</v>
      </c>
      <c r="H204" t="s">
        <v>2246</v>
      </c>
      <c r="J204" t="s">
        <v>1386</v>
      </c>
      <c r="K204" t="s">
        <v>53</v>
      </c>
      <c r="L204" s="3">
        <v>46810</v>
      </c>
      <c r="M204" s="3">
        <v>46770</v>
      </c>
      <c r="N204" t="s">
        <v>2247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1762</v>
      </c>
      <c r="C205" t="s">
        <v>1763</v>
      </c>
      <c r="D205" s="3">
        <v>36424</v>
      </c>
      <c r="E205" t="s">
        <v>1378</v>
      </c>
      <c r="G205" s="3">
        <v>44998</v>
      </c>
      <c r="H205" t="s">
        <v>1764</v>
      </c>
      <c r="J205" t="s">
        <v>1386</v>
      </c>
      <c r="K205" t="s">
        <v>53</v>
      </c>
      <c r="L205" s="3">
        <v>46840</v>
      </c>
      <c r="M205" s="3">
        <v>46760</v>
      </c>
      <c r="N205" t="s">
        <v>1765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1615</v>
      </c>
      <c r="C206" t="s">
        <v>1616</v>
      </c>
      <c r="D206" s="3">
        <v>25028</v>
      </c>
      <c r="E206" t="s">
        <v>1378</v>
      </c>
      <c r="G206" s="3">
        <v>45035</v>
      </c>
      <c r="H206" t="s">
        <v>1617</v>
      </c>
      <c r="J206" t="s">
        <v>1386</v>
      </c>
      <c r="K206" t="s">
        <v>53</v>
      </c>
      <c r="L206" s="3">
        <v>47664</v>
      </c>
      <c r="M206" s="3">
        <v>46447</v>
      </c>
      <c r="N206" t="s">
        <v>1618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2306</v>
      </c>
      <c r="C207" t="s">
        <v>2307</v>
      </c>
      <c r="D207" s="3">
        <v>31437</v>
      </c>
      <c r="E207" t="s">
        <v>1378</v>
      </c>
      <c r="G207" s="3">
        <v>44984</v>
      </c>
      <c r="H207" t="s">
        <v>2308</v>
      </c>
      <c r="J207" t="s">
        <v>1391</v>
      </c>
      <c r="K207" t="s">
        <v>41</v>
      </c>
      <c r="L207" s="3">
        <v>46825</v>
      </c>
      <c r="M207" s="3">
        <v>46735</v>
      </c>
      <c r="N207" t="s">
        <v>2309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3431</v>
      </c>
      <c r="C208" t="s">
        <v>2014</v>
      </c>
      <c r="D208" s="3">
        <v>29593</v>
      </c>
      <c r="E208" t="s">
        <v>1378</v>
      </c>
      <c r="G208" s="3">
        <v>44970</v>
      </c>
      <c r="H208" t="s">
        <v>3432</v>
      </c>
      <c r="J208" t="s">
        <v>1391</v>
      </c>
      <c r="K208" t="s">
        <v>38</v>
      </c>
      <c r="L208" s="3">
        <v>46817</v>
      </c>
      <c r="M208" s="3">
        <v>46735</v>
      </c>
      <c r="N208" t="s">
        <v>3433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1615</v>
      </c>
      <c r="C209" t="s">
        <v>1725</v>
      </c>
      <c r="D209" s="3">
        <v>29647</v>
      </c>
      <c r="E209" t="s">
        <v>1378</v>
      </c>
      <c r="G209" s="3">
        <v>44984</v>
      </c>
      <c r="H209" t="s">
        <v>1726</v>
      </c>
      <c r="J209" t="s">
        <v>1493</v>
      </c>
      <c r="K209" t="s">
        <v>44</v>
      </c>
      <c r="L209" s="3">
        <v>46826</v>
      </c>
      <c r="M209" s="3">
        <v>46735</v>
      </c>
      <c r="N209" t="s">
        <v>1727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2630</v>
      </c>
      <c r="C210" t="s">
        <v>2631</v>
      </c>
      <c r="D210" s="3">
        <v>30245</v>
      </c>
      <c r="E210" t="s">
        <v>1378</v>
      </c>
      <c r="G210" s="3">
        <v>44956</v>
      </c>
      <c r="H210" t="s">
        <v>2632</v>
      </c>
      <c r="J210" t="s">
        <v>1386</v>
      </c>
      <c r="K210" t="s">
        <v>53</v>
      </c>
      <c r="L210" s="3">
        <v>46796</v>
      </c>
      <c r="M210" s="3">
        <v>46644</v>
      </c>
      <c r="N210" t="s">
        <v>2633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2765</v>
      </c>
      <c r="C211" t="s">
        <v>3047</v>
      </c>
      <c r="D211" s="3">
        <v>36732</v>
      </c>
      <c r="E211" t="s">
        <v>1378</v>
      </c>
      <c r="G211" s="3">
        <v>44970</v>
      </c>
      <c r="H211" t="s">
        <v>3048</v>
      </c>
      <c r="J211" t="s">
        <v>1386</v>
      </c>
      <c r="K211" t="s">
        <v>47</v>
      </c>
      <c r="L211" s="3">
        <v>46810</v>
      </c>
      <c r="M211" s="3">
        <v>46707</v>
      </c>
      <c r="N211" t="s">
        <v>3049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1964</v>
      </c>
      <c r="C212" t="s">
        <v>2495</v>
      </c>
      <c r="D212" s="3">
        <v>27197</v>
      </c>
      <c r="E212" t="s">
        <v>1378</v>
      </c>
      <c r="G212" s="3">
        <v>44942</v>
      </c>
      <c r="H212" t="s">
        <v>2496</v>
      </c>
      <c r="J212" t="s">
        <v>1424</v>
      </c>
      <c r="K212" t="s">
        <v>53</v>
      </c>
      <c r="L212" s="3">
        <v>46782</v>
      </c>
      <c r="M212" s="3">
        <v>46665</v>
      </c>
      <c r="N212" t="s">
        <v>2497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1593</v>
      </c>
      <c r="C213" t="s">
        <v>1594</v>
      </c>
      <c r="D213" s="3">
        <v>36662</v>
      </c>
      <c r="E213" t="s">
        <v>1378</v>
      </c>
      <c r="G213" s="3">
        <v>44886</v>
      </c>
      <c r="H213" t="s">
        <v>1595</v>
      </c>
      <c r="J213" t="s">
        <v>1424</v>
      </c>
      <c r="K213" t="s">
        <v>41</v>
      </c>
      <c r="L213" s="3">
        <v>46726</v>
      </c>
      <c r="M213" s="3">
        <v>46658</v>
      </c>
      <c r="N213" t="s">
        <v>1596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2720</v>
      </c>
      <c r="C214" t="s">
        <v>2721</v>
      </c>
      <c r="D214" s="3">
        <v>26731</v>
      </c>
      <c r="E214" t="s">
        <v>1378</v>
      </c>
      <c r="G214" s="3">
        <v>44893</v>
      </c>
      <c r="H214" t="s">
        <v>2722</v>
      </c>
      <c r="I214">
        <v>93280697</v>
      </c>
      <c r="J214" t="s">
        <v>1437</v>
      </c>
      <c r="K214" t="s">
        <v>47</v>
      </c>
      <c r="L214" s="3">
        <v>46734</v>
      </c>
      <c r="M214" s="3">
        <v>46616</v>
      </c>
      <c r="N214" t="s">
        <v>2723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2252</v>
      </c>
      <c r="C215" t="s">
        <v>2253</v>
      </c>
      <c r="D215" s="3">
        <v>27600</v>
      </c>
      <c r="E215" t="s">
        <v>1378</v>
      </c>
      <c r="G215" s="3">
        <v>44867</v>
      </c>
      <c r="H215" t="s">
        <v>2254</v>
      </c>
      <c r="J215" t="s">
        <v>1386</v>
      </c>
      <c r="K215" t="s">
        <v>44</v>
      </c>
      <c r="L215" s="3">
        <v>46831</v>
      </c>
      <c r="M215" s="3">
        <v>46084</v>
      </c>
      <c r="N215" t="s">
        <v>2255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2666</v>
      </c>
      <c r="C216" t="s">
        <v>2667</v>
      </c>
      <c r="D216" s="3">
        <v>36352</v>
      </c>
      <c r="E216" t="s">
        <v>1378</v>
      </c>
      <c r="G216" s="3">
        <v>44837</v>
      </c>
      <c r="H216" t="s">
        <v>2668</v>
      </c>
      <c r="J216" t="s">
        <v>1386</v>
      </c>
      <c r="K216" t="s">
        <v>38</v>
      </c>
      <c r="L216" s="3">
        <v>46678</v>
      </c>
      <c r="M216" s="3">
        <v>46552</v>
      </c>
      <c r="N216" t="s">
        <v>2669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3411</v>
      </c>
      <c r="C217" t="s">
        <v>1860</v>
      </c>
      <c r="D217" s="3">
        <v>32771</v>
      </c>
      <c r="E217" t="s">
        <v>1378</v>
      </c>
      <c r="G217" s="3">
        <v>44837</v>
      </c>
      <c r="H217" t="s">
        <v>3412</v>
      </c>
      <c r="J217" t="s">
        <v>1381</v>
      </c>
      <c r="K217" t="s">
        <v>56</v>
      </c>
      <c r="L217" s="3">
        <v>46683</v>
      </c>
      <c r="M217" s="3">
        <v>46565</v>
      </c>
      <c r="N217" t="s">
        <v>3413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3160</v>
      </c>
      <c r="C218" t="s">
        <v>3161</v>
      </c>
      <c r="D218" s="3">
        <v>22487</v>
      </c>
      <c r="E218" t="s">
        <v>1378</v>
      </c>
      <c r="G218" s="3">
        <v>44805</v>
      </c>
      <c r="J218" t="s">
        <v>1953</v>
      </c>
      <c r="K218" t="s">
        <v>50</v>
      </c>
      <c r="L218" s="3">
        <v>1</v>
      </c>
      <c r="M218" s="3">
        <v>45949</v>
      </c>
      <c r="N218" t="s">
        <v>3162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3131</v>
      </c>
      <c r="C219" t="s">
        <v>3132</v>
      </c>
      <c r="D219" s="3">
        <v>27961</v>
      </c>
      <c r="E219" t="s">
        <v>1378</v>
      </c>
      <c r="G219" s="3">
        <v>44837</v>
      </c>
      <c r="H219" t="s">
        <v>3133</v>
      </c>
      <c r="J219" t="s">
        <v>1462</v>
      </c>
      <c r="K219" t="s">
        <v>56</v>
      </c>
      <c r="L219" s="3">
        <v>46678</v>
      </c>
      <c r="M219" s="3">
        <v>46593</v>
      </c>
      <c r="N219" t="s">
        <v>3134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3184</v>
      </c>
      <c r="C220" t="s">
        <v>3181</v>
      </c>
      <c r="D220" s="3">
        <v>26858</v>
      </c>
      <c r="E220" t="s">
        <v>1378</v>
      </c>
      <c r="G220" s="3">
        <v>44809</v>
      </c>
      <c r="H220" t="s">
        <v>3185</v>
      </c>
      <c r="J220" t="s">
        <v>1920</v>
      </c>
      <c r="K220" t="s">
        <v>35</v>
      </c>
      <c r="L220" s="3">
        <v>46651</v>
      </c>
      <c r="M220" s="3">
        <v>46565</v>
      </c>
      <c r="N220" t="s">
        <v>3186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3391</v>
      </c>
      <c r="C221" t="s">
        <v>3388</v>
      </c>
      <c r="D221" s="3">
        <v>34889</v>
      </c>
      <c r="E221" t="s">
        <v>1378</v>
      </c>
      <c r="G221" s="3">
        <v>44837</v>
      </c>
      <c r="H221" t="s">
        <v>3392</v>
      </c>
      <c r="J221" t="s">
        <v>1437</v>
      </c>
      <c r="K221" t="s">
        <v>50</v>
      </c>
      <c r="L221" s="3">
        <v>46553</v>
      </c>
      <c r="M221" s="3">
        <v>46680</v>
      </c>
      <c r="N221" t="s">
        <v>3393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2206</v>
      </c>
      <c r="C222" t="s">
        <v>2203</v>
      </c>
      <c r="D222" s="3">
        <v>33185</v>
      </c>
      <c r="E222" t="s">
        <v>1378</v>
      </c>
      <c r="G222" s="3">
        <v>44823</v>
      </c>
      <c r="H222" t="s">
        <v>2207</v>
      </c>
      <c r="J222" t="s">
        <v>1437</v>
      </c>
      <c r="K222" t="s">
        <v>50</v>
      </c>
      <c r="L222" s="3">
        <v>46664</v>
      </c>
      <c r="M222" s="3">
        <v>46518</v>
      </c>
      <c r="N222" t="s">
        <v>2208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3399</v>
      </c>
      <c r="C223" t="s">
        <v>3400</v>
      </c>
      <c r="D223" s="3">
        <v>36493</v>
      </c>
      <c r="E223" t="s">
        <v>1378</v>
      </c>
      <c r="G223" s="3">
        <v>44809</v>
      </c>
      <c r="H223" t="s">
        <v>3401</v>
      </c>
      <c r="J223" t="s">
        <v>1386</v>
      </c>
      <c r="K223" t="s">
        <v>35</v>
      </c>
      <c r="L223" s="3">
        <v>46652</v>
      </c>
      <c r="M223" s="3">
        <v>46574</v>
      </c>
      <c r="N223" t="s">
        <v>3402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1557</v>
      </c>
      <c r="C224" t="s">
        <v>2462</v>
      </c>
      <c r="D224" s="3">
        <v>30433</v>
      </c>
      <c r="E224" t="s">
        <v>1378</v>
      </c>
      <c r="G224" s="3">
        <v>44809</v>
      </c>
      <c r="H224" t="s">
        <v>2463</v>
      </c>
      <c r="J224" t="s">
        <v>1386</v>
      </c>
      <c r="K224" t="s">
        <v>50</v>
      </c>
      <c r="L224" s="3">
        <v>46650</v>
      </c>
      <c r="M224" s="3">
        <v>46504</v>
      </c>
      <c r="N224" t="s">
        <v>2464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2096</v>
      </c>
      <c r="C225" t="s">
        <v>2093</v>
      </c>
      <c r="D225" s="3">
        <v>29946</v>
      </c>
      <c r="E225" t="s">
        <v>1378</v>
      </c>
      <c r="G225" s="3">
        <v>44795</v>
      </c>
      <c r="H225" t="s">
        <v>2097</v>
      </c>
      <c r="J225" t="s">
        <v>1381</v>
      </c>
      <c r="K225" t="s">
        <v>41</v>
      </c>
      <c r="L225" s="3">
        <v>46637</v>
      </c>
      <c r="M225" s="3">
        <v>46504</v>
      </c>
      <c r="N225" t="s">
        <v>2098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1692</v>
      </c>
      <c r="C226" t="s">
        <v>2492</v>
      </c>
      <c r="D226" s="3">
        <v>33202</v>
      </c>
      <c r="E226" t="s">
        <v>1378</v>
      </c>
      <c r="G226" s="3">
        <v>44790</v>
      </c>
      <c r="H226" t="s">
        <v>2493</v>
      </c>
      <c r="J226" t="s">
        <v>1386</v>
      </c>
      <c r="K226" t="s">
        <v>50</v>
      </c>
      <c r="L226" s="3">
        <v>46421</v>
      </c>
      <c r="M226" s="3">
        <v>46120</v>
      </c>
      <c r="N226" t="s">
        <v>2494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1811</v>
      </c>
      <c r="C227" t="s">
        <v>2866</v>
      </c>
      <c r="D227" s="3">
        <v>24576</v>
      </c>
      <c r="E227" t="s">
        <v>1378</v>
      </c>
      <c r="G227" s="3">
        <v>44753</v>
      </c>
      <c r="H227" t="s">
        <v>2867</v>
      </c>
      <c r="J227" t="s">
        <v>1381</v>
      </c>
      <c r="K227" t="s">
        <v>35</v>
      </c>
      <c r="L227" s="3">
        <v>46595</v>
      </c>
      <c r="M227" s="3">
        <v>46530</v>
      </c>
      <c r="N227" t="s">
        <v>2868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2327</v>
      </c>
      <c r="C228" t="s">
        <v>3157</v>
      </c>
      <c r="D228" s="3">
        <v>35863</v>
      </c>
      <c r="E228" t="s">
        <v>1378</v>
      </c>
      <c r="G228" s="3">
        <v>44739</v>
      </c>
      <c r="H228" t="s">
        <v>3158</v>
      </c>
      <c r="J228" t="s">
        <v>1386</v>
      </c>
      <c r="K228" t="s">
        <v>50</v>
      </c>
      <c r="L228" s="3">
        <v>46610</v>
      </c>
      <c r="M228" s="3">
        <v>46511</v>
      </c>
      <c r="N228" t="s">
        <v>3159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1629</v>
      </c>
      <c r="C229" t="s">
        <v>1328</v>
      </c>
      <c r="D229" s="3">
        <v>31215</v>
      </c>
      <c r="E229" t="s">
        <v>1378</v>
      </c>
      <c r="G229" s="3">
        <v>44719</v>
      </c>
      <c r="H229" t="s">
        <v>1630</v>
      </c>
      <c r="J229" t="s">
        <v>1437</v>
      </c>
      <c r="K229" t="s">
        <v>38</v>
      </c>
      <c r="L229" s="3">
        <v>46560</v>
      </c>
      <c r="M229" s="3">
        <v>46518</v>
      </c>
      <c r="N229" t="s">
        <v>1631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2975</v>
      </c>
      <c r="C230" t="s">
        <v>2972</v>
      </c>
      <c r="D230" s="3">
        <v>34406</v>
      </c>
      <c r="E230" t="s">
        <v>1378</v>
      </c>
      <c r="G230" s="3">
        <v>44704</v>
      </c>
      <c r="H230" t="s">
        <v>2976</v>
      </c>
      <c r="J230" t="s">
        <v>1386</v>
      </c>
      <c r="K230" t="s">
        <v>47</v>
      </c>
      <c r="L230" s="3">
        <v>46547</v>
      </c>
      <c r="M230" s="3">
        <v>46497</v>
      </c>
      <c r="N230" t="s">
        <v>2977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2068</v>
      </c>
      <c r="C231" t="s">
        <v>2065</v>
      </c>
      <c r="D231" s="3">
        <v>29705</v>
      </c>
      <c r="E231" t="s">
        <v>1378</v>
      </c>
      <c r="G231" s="3">
        <v>44704</v>
      </c>
      <c r="H231" t="s">
        <v>2069</v>
      </c>
      <c r="J231" t="s">
        <v>1437</v>
      </c>
      <c r="K231" t="s">
        <v>56</v>
      </c>
      <c r="L231" s="3">
        <v>46546</v>
      </c>
      <c r="M231" s="3">
        <v>46497</v>
      </c>
      <c r="N231" t="s">
        <v>2070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2084</v>
      </c>
      <c r="C232" t="s">
        <v>2085</v>
      </c>
      <c r="D232" s="3">
        <v>37200</v>
      </c>
      <c r="E232" t="s">
        <v>1378</v>
      </c>
      <c r="G232" s="3">
        <v>44683</v>
      </c>
      <c r="H232" t="s">
        <v>2086</v>
      </c>
      <c r="J232" t="s">
        <v>1386</v>
      </c>
      <c r="K232" t="s">
        <v>41</v>
      </c>
      <c r="L232" s="3">
        <v>46524</v>
      </c>
      <c r="M232" s="3">
        <v>46476</v>
      </c>
      <c r="N232" t="s">
        <v>2087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3227</v>
      </c>
      <c r="C233" t="s">
        <v>3228</v>
      </c>
      <c r="D233" s="3">
        <v>25212</v>
      </c>
      <c r="E233" t="s">
        <v>1378</v>
      </c>
      <c r="G233" s="3">
        <v>44683</v>
      </c>
      <c r="H233" t="s">
        <v>3229</v>
      </c>
      <c r="J233" t="s">
        <v>1386</v>
      </c>
      <c r="K233" t="s">
        <v>47</v>
      </c>
      <c r="L233" s="3">
        <v>46529</v>
      </c>
      <c r="M233" s="3">
        <v>46470</v>
      </c>
      <c r="N233" t="s">
        <v>3230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2753</v>
      </c>
      <c r="C234" t="s">
        <v>2754</v>
      </c>
      <c r="D234" s="3">
        <v>25000</v>
      </c>
      <c r="E234" t="s">
        <v>1378</v>
      </c>
      <c r="G234" s="3">
        <v>44683</v>
      </c>
      <c r="H234" t="s">
        <v>2755</v>
      </c>
      <c r="J234" t="s">
        <v>1386</v>
      </c>
      <c r="K234" t="s">
        <v>38</v>
      </c>
      <c r="L234" s="3">
        <v>46524</v>
      </c>
      <c r="M234" s="3">
        <v>46470</v>
      </c>
      <c r="N234" t="s">
        <v>2756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1796</v>
      </c>
      <c r="C235" t="s">
        <v>1797</v>
      </c>
      <c r="D235" s="3">
        <v>32284</v>
      </c>
      <c r="E235" t="s">
        <v>1378</v>
      </c>
      <c r="G235" s="3">
        <v>44670</v>
      </c>
      <c r="H235" t="s">
        <v>1798</v>
      </c>
      <c r="J235" t="s">
        <v>1419</v>
      </c>
      <c r="K235" t="s">
        <v>38</v>
      </c>
      <c r="L235" s="3">
        <v>46515</v>
      </c>
      <c r="M235" s="3">
        <v>46470</v>
      </c>
      <c r="N235" t="s">
        <v>1799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1473</v>
      </c>
      <c r="C236" t="s">
        <v>1474</v>
      </c>
      <c r="D236" s="3">
        <v>24877</v>
      </c>
      <c r="E236" t="s">
        <v>1378</v>
      </c>
      <c r="G236" s="3">
        <v>44700</v>
      </c>
      <c r="H236" t="s">
        <v>1475</v>
      </c>
      <c r="J236" t="s">
        <v>1381</v>
      </c>
      <c r="K236" t="s">
        <v>35</v>
      </c>
      <c r="L236" s="3">
        <v>46117</v>
      </c>
      <c r="M236" s="3">
        <v>46104</v>
      </c>
      <c r="N236" t="s">
        <v>1476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2099</v>
      </c>
      <c r="C237" t="s">
        <v>2093</v>
      </c>
      <c r="D237" s="3">
        <v>35810</v>
      </c>
      <c r="E237" t="s">
        <v>1378</v>
      </c>
      <c r="G237" s="3">
        <v>44655</v>
      </c>
      <c r="H237" t="s">
        <v>2100</v>
      </c>
      <c r="J237" t="s">
        <v>1386</v>
      </c>
      <c r="K237" t="s">
        <v>47</v>
      </c>
      <c r="L237" s="3">
        <v>46497</v>
      </c>
      <c r="M237" s="3">
        <v>46445</v>
      </c>
      <c r="N237" t="s">
        <v>2101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1868</v>
      </c>
      <c r="C238" t="s">
        <v>1869</v>
      </c>
      <c r="D238" s="3">
        <v>35891</v>
      </c>
      <c r="E238" t="s">
        <v>1378</v>
      </c>
      <c r="G238" s="3">
        <v>44655</v>
      </c>
      <c r="H238" t="s">
        <v>1870</v>
      </c>
      <c r="J238" t="s">
        <v>1386</v>
      </c>
      <c r="K238" t="s">
        <v>56</v>
      </c>
      <c r="L238" s="3">
        <v>46502</v>
      </c>
      <c r="M238" s="3">
        <v>46400</v>
      </c>
      <c r="N238" t="s">
        <v>1871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2227</v>
      </c>
      <c r="C239" t="s">
        <v>2228</v>
      </c>
      <c r="D239" s="3">
        <v>27618</v>
      </c>
      <c r="E239" t="s">
        <v>1378</v>
      </c>
      <c r="G239" s="3">
        <v>44704</v>
      </c>
      <c r="H239" t="s">
        <v>2229</v>
      </c>
      <c r="J239" t="s">
        <v>1391</v>
      </c>
      <c r="K239" t="s">
        <v>38</v>
      </c>
      <c r="L239" s="3">
        <v>46546</v>
      </c>
      <c r="M239" s="3">
        <v>46431</v>
      </c>
      <c r="N239" t="s">
        <v>2230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1416</v>
      </c>
      <c r="C240" t="s">
        <v>1417</v>
      </c>
      <c r="D240" s="3">
        <v>35872</v>
      </c>
      <c r="E240" t="s">
        <v>1378</v>
      </c>
      <c r="G240" s="3">
        <v>44599</v>
      </c>
      <c r="H240" t="s">
        <v>1418</v>
      </c>
      <c r="J240" t="s">
        <v>1419</v>
      </c>
      <c r="K240" t="s">
        <v>35</v>
      </c>
      <c r="L240" s="3">
        <v>46439</v>
      </c>
      <c r="M240" s="3">
        <v>46404</v>
      </c>
      <c r="N240" t="s">
        <v>1420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2357</v>
      </c>
      <c r="C241" t="s">
        <v>2358</v>
      </c>
      <c r="D241" s="3">
        <v>30517</v>
      </c>
      <c r="E241" t="s">
        <v>1378</v>
      </c>
      <c r="G241" s="3">
        <v>44599</v>
      </c>
      <c r="H241" t="s">
        <v>2359</v>
      </c>
      <c r="J241" t="s">
        <v>1386</v>
      </c>
      <c r="K241" t="s">
        <v>41</v>
      </c>
      <c r="L241" s="3">
        <v>46440</v>
      </c>
      <c r="M241" s="3">
        <v>46340</v>
      </c>
      <c r="N241" t="s">
        <v>2360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1876</v>
      </c>
      <c r="C242" t="s">
        <v>1877</v>
      </c>
      <c r="D242" s="3">
        <v>36729</v>
      </c>
      <c r="E242" t="s">
        <v>1378</v>
      </c>
      <c r="G242" s="3">
        <v>44585</v>
      </c>
      <c r="H242" t="s">
        <v>1878</v>
      </c>
      <c r="J242" t="s">
        <v>1396</v>
      </c>
      <c r="K242" t="s">
        <v>47</v>
      </c>
      <c r="L242" s="3">
        <v>46425</v>
      </c>
      <c r="M242" s="3">
        <v>46033</v>
      </c>
      <c r="N242" t="s">
        <v>1879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3212</v>
      </c>
      <c r="C243" t="s">
        <v>1334</v>
      </c>
      <c r="D243" s="3">
        <v>33397</v>
      </c>
      <c r="E243" t="s">
        <v>1378</v>
      </c>
      <c r="G243" s="3">
        <v>44613</v>
      </c>
      <c r="H243" t="s">
        <v>3213</v>
      </c>
      <c r="J243" t="s">
        <v>1419</v>
      </c>
      <c r="K243" t="s">
        <v>53</v>
      </c>
      <c r="L243" s="3">
        <v>46453</v>
      </c>
      <c r="M243" s="3">
        <v>46273</v>
      </c>
      <c r="N243" t="s">
        <v>3214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2992</v>
      </c>
      <c r="C244" t="s">
        <v>1326</v>
      </c>
      <c r="D244" s="3">
        <v>32283</v>
      </c>
      <c r="E244" t="s">
        <v>1378</v>
      </c>
      <c r="G244" s="3">
        <v>44599</v>
      </c>
      <c r="H244" t="s">
        <v>2993</v>
      </c>
      <c r="J244" t="s">
        <v>1386</v>
      </c>
      <c r="K244" t="s">
        <v>56</v>
      </c>
      <c r="L244" s="3">
        <v>46439</v>
      </c>
      <c r="M244" s="3">
        <v>46236</v>
      </c>
      <c r="N244" t="s">
        <v>2994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1661</v>
      </c>
      <c r="C245" t="s">
        <v>1662</v>
      </c>
      <c r="D245" s="3">
        <v>26618</v>
      </c>
      <c r="E245" t="s">
        <v>1378</v>
      </c>
      <c r="G245" s="3">
        <v>44664</v>
      </c>
      <c r="H245" t="s">
        <v>1663</v>
      </c>
      <c r="I245">
        <v>32477920791</v>
      </c>
      <c r="J245" t="s">
        <v>1386</v>
      </c>
      <c r="K245" t="s">
        <v>47</v>
      </c>
      <c r="L245" s="3">
        <v>47237</v>
      </c>
      <c r="M245" s="3">
        <v>47230</v>
      </c>
      <c r="N245" t="s">
        <v>1664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2788</v>
      </c>
      <c r="C246" t="s">
        <v>2789</v>
      </c>
      <c r="D246" s="3">
        <v>33504</v>
      </c>
      <c r="E246" t="s">
        <v>1378</v>
      </c>
      <c r="G246" s="3">
        <v>44641</v>
      </c>
      <c r="H246" t="s">
        <v>2790</v>
      </c>
      <c r="J246" t="s">
        <v>1391</v>
      </c>
      <c r="K246" t="s">
        <v>47</v>
      </c>
      <c r="L246" s="3">
        <v>46482</v>
      </c>
      <c r="M246" s="3">
        <v>46364</v>
      </c>
      <c r="N246" t="s">
        <v>2791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2136</v>
      </c>
      <c r="C247" t="s">
        <v>2137</v>
      </c>
      <c r="D247" s="3">
        <v>35029</v>
      </c>
      <c r="E247" t="s">
        <v>1378</v>
      </c>
      <c r="G247" s="3">
        <v>44571</v>
      </c>
      <c r="H247" t="s">
        <v>2138</v>
      </c>
      <c r="J247" t="s">
        <v>1462</v>
      </c>
      <c r="K247" t="s">
        <v>38</v>
      </c>
      <c r="L247" s="3">
        <v>46411</v>
      </c>
      <c r="M247" s="3">
        <v>46340</v>
      </c>
      <c r="N247" t="s">
        <v>2139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2916</v>
      </c>
      <c r="C248" t="s">
        <v>2917</v>
      </c>
      <c r="D248" s="3">
        <v>34746</v>
      </c>
      <c r="E248" t="s">
        <v>1378</v>
      </c>
      <c r="G248" s="3">
        <v>44599</v>
      </c>
      <c r="H248" t="s">
        <v>2918</v>
      </c>
      <c r="J248" t="s">
        <v>1386</v>
      </c>
      <c r="K248" t="s">
        <v>35</v>
      </c>
      <c r="L248" s="3">
        <v>46439</v>
      </c>
      <c r="M248" s="3">
        <v>46320</v>
      </c>
      <c r="N248" t="s">
        <v>2919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2223</v>
      </c>
      <c r="C249" t="s">
        <v>2224</v>
      </c>
      <c r="D249" s="3">
        <v>29117</v>
      </c>
      <c r="E249" t="s">
        <v>1378</v>
      </c>
      <c r="G249" s="3">
        <v>44585</v>
      </c>
      <c r="H249" t="s">
        <v>2225</v>
      </c>
      <c r="J249" t="s">
        <v>1391</v>
      </c>
      <c r="K249" t="s">
        <v>47</v>
      </c>
      <c r="L249" s="3">
        <v>46431</v>
      </c>
      <c r="M249" s="3">
        <v>46210</v>
      </c>
      <c r="N249" t="s">
        <v>2226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2301</v>
      </c>
      <c r="C250" t="s">
        <v>2296</v>
      </c>
      <c r="D250" s="3">
        <v>21595</v>
      </c>
      <c r="E250" t="s">
        <v>1378</v>
      </c>
      <c r="G250" s="3">
        <v>44440</v>
      </c>
      <c r="J250" t="s">
        <v>1953</v>
      </c>
      <c r="K250" t="s">
        <v>56</v>
      </c>
      <c r="L250" s="3">
        <v>45948</v>
      </c>
      <c r="M250" s="3">
        <v>45930</v>
      </c>
      <c r="N250" t="s">
        <v>2302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2170</v>
      </c>
      <c r="C251" t="s">
        <v>2167</v>
      </c>
      <c r="D251" s="3">
        <v>36488</v>
      </c>
      <c r="E251" t="s">
        <v>1378</v>
      </c>
      <c r="G251" s="3">
        <v>44480</v>
      </c>
      <c r="H251" t="s">
        <v>2171</v>
      </c>
      <c r="J251" t="s">
        <v>1424</v>
      </c>
      <c r="K251" t="s">
        <v>35</v>
      </c>
      <c r="L251" s="3">
        <v>47338</v>
      </c>
      <c r="M251" s="3">
        <v>47350</v>
      </c>
      <c r="N251" t="s">
        <v>2172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1922</v>
      </c>
      <c r="C252" t="s">
        <v>1918</v>
      </c>
      <c r="D252" s="3">
        <v>22295</v>
      </c>
      <c r="E252" t="s">
        <v>1378</v>
      </c>
      <c r="G252" s="3">
        <v>44473</v>
      </c>
      <c r="H252" t="s">
        <v>1923</v>
      </c>
      <c r="I252">
        <v>93720791</v>
      </c>
      <c r="J252" t="s">
        <v>1386</v>
      </c>
      <c r="K252" t="s">
        <v>50</v>
      </c>
      <c r="L252" s="3">
        <v>46300</v>
      </c>
      <c r="M252" s="3">
        <v>46236</v>
      </c>
      <c r="N252" t="s">
        <v>1924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3434</v>
      </c>
      <c r="C253" t="s">
        <v>3435</v>
      </c>
      <c r="D253" s="3">
        <v>36031</v>
      </c>
      <c r="E253" t="s">
        <v>1378</v>
      </c>
      <c r="G253" s="3">
        <v>44431</v>
      </c>
      <c r="H253" t="s">
        <v>3436</v>
      </c>
      <c r="J253" t="s">
        <v>1381</v>
      </c>
      <c r="K253" t="s">
        <v>35</v>
      </c>
      <c r="L253" s="3">
        <v>46277</v>
      </c>
      <c r="M253" s="3">
        <v>46175</v>
      </c>
      <c r="N253" t="s">
        <v>3437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2701</v>
      </c>
      <c r="C254" t="s">
        <v>2702</v>
      </c>
      <c r="D254" s="3">
        <v>34087</v>
      </c>
      <c r="E254" t="s">
        <v>1378</v>
      </c>
      <c r="G254" s="3">
        <v>44417</v>
      </c>
      <c r="H254" t="s">
        <v>2703</v>
      </c>
      <c r="J254" t="s">
        <v>1386</v>
      </c>
      <c r="K254" t="s">
        <v>47</v>
      </c>
      <c r="L254" s="3">
        <v>46257</v>
      </c>
      <c r="M254" s="3">
        <v>46147</v>
      </c>
      <c r="N254" t="s">
        <v>2704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3070</v>
      </c>
      <c r="C255" t="s">
        <v>2405</v>
      </c>
      <c r="D255" s="3">
        <v>28213</v>
      </c>
      <c r="E255" t="s">
        <v>1378</v>
      </c>
      <c r="G255" s="3">
        <v>44384</v>
      </c>
      <c r="H255" t="s">
        <v>3071</v>
      </c>
      <c r="J255" t="s">
        <v>1396</v>
      </c>
      <c r="K255" t="s">
        <v>53</v>
      </c>
      <c r="L255" s="3">
        <v>46162</v>
      </c>
      <c r="M255" s="3">
        <v>46162</v>
      </c>
      <c r="N255" t="s">
        <v>3072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2523</v>
      </c>
      <c r="C256" t="s">
        <v>2524</v>
      </c>
      <c r="D256" s="3">
        <v>35465</v>
      </c>
      <c r="E256" t="s">
        <v>1378</v>
      </c>
      <c r="G256" s="3">
        <v>44389</v>
      </c>
      <c r="H256" t="s">
        <v>2525</v>
      </c>
      <c r="J256" t="s">
        <v>1424</v>
      </c>
      <c r="K256" t="s">
        <v>53</v>
      </c>
      <c r="L256" s="3">
        <v>46230</v>
      </c>
      <c r="M256" s="3">
        <v>46126</v>
      </c>
      <c r="N256" t="s">
        <v>2526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1848</v>
      </c>
      <c r="C257" t="s">
        <v>1849</v>
      </c>
      <c r="D257" s="3">
        <v>30329</v>
      </c>
      <c r="E257" t="s">
        <v>1378</v>
      </c>
      <c r="G257" s="3">
        <v>44389</v>
      </c>
      <c r="H257" t="s">
        <v>1850</v>
      </c>
      <c r="J257" t="s">
        <v>1424</v>
      </c>
      <c r="K257" t="s">
        <v>47</v>
      </c>
      <c r="L257" s="3">
        <v>46293</v>
      </c>
      <c r="M257" s="3">
        <v>46260</v>
      </c>
      <c r="N257" t="s">
        <v>1851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2397</v>
      </c>
      <c r="C258" t="s">
        <v>2394</v>
      </c>
      <c r="D258" s="3">
        <v>24255</v>
      </c>
      <c r="E258" t="s">
        <v>1378</v>
      </c>
      <c r="G258" s="3">
        <v>44375</v>
      </c>
      <c r="H258" t="s">
        <v>2398</v>
      </c>
      <c r="I258">
        <v>3254255856</v>
      </c>
      <c r="J258" t="s">
        <v>1437</v>
      </c>
      <c r="K258" t="s">
        <v>35</v>
      </c>
      <c r="L258" s="3">
        <v>46208</v>
      </c>
      <c r="M258" s="3">
        <v>46138</v>
      </c>
      <c r="N258" t="s">
        <v>2399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2256</v>
      </c>
      <c r="C259" t="s">
        <v>2257</v>
      </c>
      <c r="D259" s="3">
        <v>27133</v>
      </c>
      <c r="E259" t="s">
        <v>1378</v>
      </c>
      <c r="G259" s="3">
        <v>44389</v>
      </c>
      <c r="H259" t="s">
        <v>2258</v>
      </c>
      <c r="I259" t="s">
        <v>2259</v>
      </c>
      <c r="J259" t="s">
        <v>1419</v>
      </c>
      <c r="K259" t="s">
        <v>53</v>
      </c>
      <c r="L259" s="3">
        <v>46231</v>
      </c>
      <c r="M259" s="3">
        <v>46140</v>
      </c>
      <c r="N259" t="s">
        <v>2260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1741</v>
      </c>
      <c r="C260" t="s">
        <v>1733</v>
      </c>
      <c r="D260" s="3">
        <v>27176</v>
      </c>
      <c r="E260" t="s">
        <v>1378</v>
      </c>
      <c r="G260" s="3">
        <v>44347</v>
      </c>
      <c r="H260" t="s">
        <v>1742</v>
      </c>
      <c r="J260" t="s">
        <v>1587</v>
      </c>
      <c r="K260" t="s">
        <v>47</v>
      </c>
      <c r="L260" s="3">
        <v>46188</v>
      </c>
      <c r="M260" s="3">
        <v>46145</v>
      </c>
      <c r="N260" t="s">
        <v>1743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1751</v>
      </c>
      <c r="C261" t="s">
        <v>1752</v>
      </c>
      <c r="D261" s="3">
        <v>35351</v>
      </c>
      <c r="E261" t="s">
        <v>1378</v>
      </c>
      <c r="G261" s="3">
        <v>44347</v>
      </c>
      <c r="H261" t="s">
        <v>1753</v>
      </c>
      <c r="J261" t="s">
        <v>1386</v>
      </c>
      <c r="K261" t="s">
        <v>56</v>
      </c>
      <c r="L261" s="3">
        <v>46189</v>
      </c>
      <c r="M261" s="3">
        <v>46133</v>
      </c>
      <c r="N261" t="s">
        <v>1754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1240</v>
      </c>
      <c r="C262" t="s">
        <v>1880</v>
      </c>
      <c r="D262" s="3">
        <v>35422</v>
      </c>
      <c r="E262" t="s">
        <v>1378</v>
      </c>
      <c r="G262" s="3">
        <v>44333</v>
      </c>
      <c r="H262" t="s">
        <v>1881</v>
      </c>
      <c r="J262" t="s">
        <v>1437</v>
      </c>
      <c r="K262" t="s">
        <v>47</v>
      </c>
      <c r="L262" s="3">
        <v>46174</v>
      </c>
      <c r="M262" s="3">
        <v>46124</v>
      </c>
      <c r="N262" t="s">
        <v>1882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3194</v>
      </c>
      <c r="C263" t="s">
        <v>3195</v>
      </c>
      <c r="D263" s="3">
        <v>36403</v>
      </c>
      <c r="E263" t="s">
        <v>1378</v>
      </c>
      <c r="G263" s="3">
        <v>44333</v>
      </c>
      <c r="H263" t="s">
        <v>3196</v>
      </c>
      <c r="J263" t="s">
        <v>1493</v>
      </c>
      <c r="K263" t="s">
        <v>50</v>
      </c>
      <c r="L263" s="3">
        <v>46174</v>
      </c>
      <c r="M263" s="3">
        <v>46124</v>
      </c>
      <c r="N263" t="s">
        <v>3197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1946</v>
      </c>
      <c r="C264" t="s">
        <v>1947</v>
      </c>
      <c r="D264" s="3">
        <v>25171</v>
      </c>
      <c r="E264" t="s">
        <v>1378</v>
      </c>
      <c r="G264" s="3">
        <v>44347</v>
      </c>
      <c r="H264" t="s">
        <v>1948</v>
      </c>
      <c r="J264" t="s">
        <v>1396</v>
      </c>
      <c r="K264" t="s">
        <v>50</v>
      </c>
      <c r="L264" s="3">
        <v>46190</v>
      </c>
      <c r="M264" s="3">
        <v>46119</v>
      </c>
      <c r="N264" t="s">
        <v>1949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1811</v>
      </c>
      <c r="C265" t="s">
        <v>1812</v>
      </c>
      <c r="D265" s="3">
        <v>35806</v>
      </c>
      <c r="E265" t="s">
        <v>1378</v>
      </c>
      <c r="G265" s="3">
        <v>44333</v>
      </c>
      <c r="H265" t="s">
        <v>1813</v>
      </c>
      <c r="I265" t="s">
        <v>1814</v>
      </c>
      <c r="J265" t="s">
        <v>1386</v>
      </c>
      <c r="K265" t="s">
        <v>47</v>
      </c>
      <c r="L265" s="3">
        <v>46174</v>
      </c>
      <c r="M265" s="3">
        <v>46097</v>
      </c>
      <c r="N265" t="s">
        <v>1815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3033</v>
      </c>
      <c r="C266" t="s">
        <v>3034</v>
      </c>
      <c r="D266" s="3">
        <v>30035</v>
      </c>
      <c r="E266" t="s">
        <v>1378</v>
      </c>
      <c r="G266" s="3">
        <v>44333</v>
      </c>
      <c r="H266" t="s">
        <v>3035</v>
      </c>
      <c r="J266" t="s">
        <v>1386</v>
      </c>
      <c r="K266" t="s">
        <v>44</v>
      </c>
      <c r="L266" s="3">
        <v>46174</v>
      </c>
      <c r="M266" s="3">
        <v>46004</v>
      </c>
      <c r="N266" t="s">
        <v>3036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3219</v>
      </c>
      <c r="C267" t="s">
        <v>3220</v>
      </c>
      <c r="D267" s="3">
        <v>26348</v>
      </c>
      <c r="E267" t="s">
        <v>1378</v>
      </c>
      <c r="G267" s="3">
        <v>44298</v>
      </c>
      <c r="H267" t="s">
        <v>3221</v>
      </c>
      <c r="J267" t="s">
        <v>1381</v>
      </c>
      <c r="K267" t="s">
        <v>38</v>
      </c>
      <c r="L267" s="3">
        <v>46138</v>
      </c>
      <c r="M267" s="3">
        <v>46097</v>
      </c>
      <c r="N267" t="s">
        <v>3222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2448</v>
      </c>
      <c r="C268" t="s">
        <v>2449</v>
      </c>
      <c r="D268" s="3">
        <v>31748</v>
      </c>
      <c r="E268" t="s">
        <v>1378</v>
      </c>
      <c r="G268" s="3">
        <v>44312</v>
      </c>
      <c r="H268" t="s">
        <v>2450</v>
      </c>
      <c r="J268" t="s">
        <v>1381</v>
      </c>
      <c r="K268" t="s">
        <v>47</v>
      </c>
      <c r="L268" s="3">
        <v>46152</v>
      </c>
      <c r="M268" s="3">
        <v>46897</v>
      </c>
      <c r="N268" t="s">
        <v>2451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1883</v>
      </c>
      <c r="C269" t="s">
        <v>1884</v>
      </c>
      <c r="D269" s="3">
        <v>33510</v>
      </c>
      <c r="E269" t="s">
        <v>1378</v>
      </c>
      <c r="G269" s="3">
        <v>44312</v>
      </c>
      <c r="H269" t="s">
        <v>1885</v>
      </c>
      <c r="J269" t="s">
        <v>1419</v>
      </c>
      <c r="K269" t="s">
        <v>56</v>
      </c>
      <c r="L269" s="3">
        <v>46152</v>
      </c>
      <c r="M269" s="3">
        <v>46084</v>
      </c>
      <c r="N269" t="s">
        <v>1886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3595</v>
      </c>
      <c r="C270" t="s">
        <v>3596</v>
      </c>
      <c r="D270" s="3">
        <v>36246</v>
      </c>
      <c r="E270" t="s">
        <v>1378</v>
      </c>
      <c r="G270" s="3">
        <v>44312</v>
      </c>
      <c r="H270" t="s">
        <v>3597</v>
      </c>
      <c r="J270" t="s">
        <v>1386</v>
      </c>
      <c r="K270" t="s">
        <v>41</v>
      </c>
      <c r="L270" s="3">
        <v>46152</v>
      </c>
      <c r="M270" s="3">
        <v>46090</v>
      </c>
      <c r="N270" t="s">
        <v>3598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3445</v>
      </c>
      <c r="C271" t="s">
        <v>3446</v>
      </c>
      <c r="D271" s="3">
        <v>32703</v>
      </c>
      <c r="E271" t="s">
        <v>1378</v>
      </c>
      <c r="G271" s="3">
        <v>44305</v>
      </c>
      <c r="H271" t="s">
        <v>3447</v>
      </c>
      <c r="J271" t="s">
        <v>1381</v>
      </c>
      <c r="K271" t="s">
        <v>38</v>
      </c>
      <c r="L271" s="3">
        <v>46138</v>
      </c>
      <c r="M271" s="3">
        <v>46090</v>
      </c>
      <c r="N271" t="s">
        <v>3448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2071</v>
      </c>
      <c r="C272" t="s">
        <v>2065</v>
      </c>
      <c r="D272" s="3">
        <v>27833</v>
      </c>
      <c r="E272" t="s">
        <v>1378</v>
      </c>
      <c r="G272" s="3">
        <v>44333</v>
      </c>
      <c r="H272" t="s">
        <v>2072</v>
      </c>
      <c r="J272" t="s">
        <v>1396</v>
      </c>
      <c r="K272" t="s">
        <v>41</v>
      </c>
      <c r="L272" s="3">
        <v>46175</v>
      </c>
      <c r="M272" s="3">
        <v>45936</v>
      </c>
      <c r="N272" t="s">
        <v>2073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2807</v>
      </c>
      <c r="C273" t="s">
        <v>2808</v>
      </c>
      <c r="D273" s="3">
        <v>22566</v>
      </c>
      <c r="E273" t="s">
        <v>1378</v>
      </c>
      <c r="G273" s="3">
        <v>44336</v>
      </c>
      <c r="H273" t="s">
        <v>2809</v>
      </c>
      <c r="J273" t="s">
        <v>1391</v>
      </c>
      <c r="K273" t="s">
        <v>56</v>
      </c>
      <c r="L273" s="3">
        <v>47576</v>
      </c>
      <c r="M273" s="3">
        <v>47547</v>
      </c>
      <c r="N273" t="s">
        <v>2810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2956</v>
      </c>
      <c r="C274" t="s">
        <v>2957</v>
      </c>
      <c r="D274" s="3">
        <v>36236</v>
      </c>
      <c r="E274" t="s">
        <v>1378</v>
      </c>
      <c r="G274" s="3">
        <v>44270</v>
      </c>
      <c r="H274" t="s">
        <v>2958</v>
      </c>
      <c r="J274" t="s">
        <v>1386</v>
      </c>
      <c r="K274" t="s">
        <v>53</v>
      </c>
      <c r="L274" s="3">
        <v>46112</v>
      </c>
      <c r="M274" s="3">
        <v>46064</v>
      </c>
      <c r="N274" t="s">
        <v>2959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2712</v>
      </c>
      <c r="C275" t="s">
        <v>2713</v>
      </c>
      <c r="D275" s="3">
        <v>35740</v>
      </c>
      <c r="E275" t="s">
        <v>1378</v>
      </c>
      <c r="G275" s="3">
        <v>44298</v>
      </c>
      <c r="H275" t="s">
        <v>2714</v>
      </c>
      <c r="I275">
        <v>471573703</v>
      </c>
      <c r="J275" t="s">
        <v>1386</v>
      </c>
      <c r="K275" t="s">
        <v>41</v>
      </c>
      <c r="L275" s="3">
        <v>46138</v>
      </c>
      <c r="M275" s="3">
        <v>45923</v>
      </c>
      <c r="N275" t="s">
        <v>2715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3104</v>
      </c>
      <c r="C276" t="s">
        <v>3105</v>
      </c>
      <c r="D276" s="3">
        <v>24304</v>
      </c>
      <c r="E276" t="s">
        <v>1378</v>
      </c>
      <c r="G276" s="3">
        <v>44284</v>
      </c>
      <c r="H276" t="s">
        <v>3106</v>
      </c>
      <c r="J276" t="s">
        <v>1587</v>
      </c>
      <c r="K276" t="s">
        <v>47</v>
      </c>
      <c r="L276" s="3">
        <v>46125</v>
      </c>
      <c r="M276" s="3">
        <v>45951</v>
      </c>
      <c r="N276" t="s">
        <v>3107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1932</v>
      </c>
      <c r="C277" t="s">
        <v>1929</v>
      </c>
      <c r="D277" s="3">
        <v>29706</v>
      </c>
      <c r="E277" t="s">
        <v>1378</v>
      </c>
      <c r="G277" s="3">
        <v>44284</v>
      </c>
      <c r="H277" t="s">
        <v>1933</v>
      </c>
      <c r="J277" t="s">
        <v>1493</v>
      </c>
      <c r="K277" t="s">
        <v>56</v>
      </c>
      <c r="L277" s="3">
        <v>46125</v>
      </c>
      <c r="M277" s="3">
        <v>45985</v>
      </c>
      <c r="N277" t="s">
        <v>1934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1646</v>
      </c>
      <c r="C278" t="s">
        <v>1647</v>
      </c>
      <c r="D278" s="3">
        <v>28212</v>
      </c>
      <c r="E278" t="s">
        <v>1378</v>
      </c>
      <c r="G278" s="3">
        <v>44284</v>
      </c>
      <c r="H278" t="s">
        <v>1648</v>
      </c>
      <c r="J278" t="s">
        <v>1419</v>
      </c>
      <c r="K278" t="s">
        <v>41</v>
      </c>
      <c r="L278" s="3">
        <v>46127</v>
      </c>
      <c r="M278" s="3">
        <v>45930</v>
      </c>
      <c r="N278" t="s">
        <v>1649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3254</v>
      </c>
      <c r="C279" t="s">
        <v>3255</v>
      </c>
      <c r="D279" s="3">
        <v>27839</v>
      </c>
      <c r="E279" t="s">
        <v>1633</v>
      </c>
      <c r="G279" s="3">
        <v>44270</v>
      </c>
      <c r="H279" t="s">
        <v>3256</v>
      </c>
      <c r="J279" t="s">
        <v>1493</v>
      </c>
      <c r="K279" t="s">
        <v>35</v>
      </c>
      <c r="L279" s="3">
        <v>46368</v>
      </c>
      <c r="M279" s="3">
        <v>46120</v>
      </c>
      <c r="N279" t="s">
        <v>3257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3317</v>
      </c>
      <c r="C280" t="s">
        <v>3318</v>
      </c>
      <c r="D280" s="3">
        <v>36109</v>
      </c>
      <c r="E280" t="s">
        <v>1378</v>
      </c>
      <c r="G280" s="3">
        <v>44256</v>
      </c>
      <c r="H280" t="s">
        <v>3319</v>
      </c>
      <c r="J280" t="s">
        <v>1386</v>
      </c>
      <c r="K280" t="s">
        <v>41</v>
      </c>
      <c r="L280" s="3">
        <v>46096</v>
      </c>
      <c r="M280" s="3">
        <v>45903</v>
      </c>
      <c r="N280" t="s">
        <v>3320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1495</v>
      </c>
      <c r="C281" t="s">
        <v>1616</v>
      </c>
      <c r="D281" s="3">
        <v>35578</v>
      </c>
      <c r="E281" t="s">
        <v>1378</v>
      </c>
      <c r="G281" s="3">
        <v>44214</v>
      </c>
      <c r="H281" t="s">
        <v>1619</v>
      </c>
      <c r="J281" t="s">
        <v>1587</v>
      </c>
      <c r="K281" t="s">
        <v>56</v>
      </c>
      <c r="L281" s="3">
        <v>46055</v>
      </c>
      <c r="M281" s="3">
        <v>45930</v>
      </c>
      <c r="N281" t="s">
        <v>1620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2840</v>
      </c>
      <c r="C282" t="s">
        <v>2841</v>
      </c>
      <c r="D282" s="3">
        <v>33168</v>
      </c>
      <c r="E282" t="s">
        <v>1378</v>
      </c>
      <c r="F282">
        <v>308</v>
      </c>
      <c r="G282" s="3">
        <v>44151</v>
      </c>
      <c r="H282" t="s">
        <v>2842</v>
      </c>
      <c r="J282" t="s">
        <v>1410</v>
      </c>
      <c r="K282" t="s">
        <v>56</v>
      </c>
      <c r="L282" s="3">
        <v>45992</v>
      </c>
      <c r="M282" s="3">
        <v>45915</v>
      </c>
      <c r="N282" t="s">
        <v>2843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1959</v>
      </c>
      <c r="C283" t="s">
        <v>1960</v>
      </c>
      <c r="D283" s="3">
        <v>23710</v>
      </c>
      <c r="E283" t="s">
        <v>1378</v>
      </c>
      <c r="F283">
        <v>224</v>
      </c>
      <c r="G283" s="3">
        <v>44123</v>
      </c>
      <c r="H283" t="s">
        <v>1961</v>
      </c>
      <c r="I283" t="s">
        <v>1962</v>
      </c>
      <c r="J283" t="s">
        <v>1391</v>
      </c>
      <c r="K283" t="s">
        <v>53</v>
      </c>
      <c r="L283" s="3">
        <v>47573</v>
      </c>
      <c r="M283" s="3">
        <v>47533</v>
      </c>
      <c r="N283" t="s">
        <v>1963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2666</v>
      </c>
      <c r="C284" t="s">
        <v>2698</v>
      </c>
      <c r="D284" s="3">
        <v>33856</v>
      </c>
      <c r="E284" t="s">
        <v>1378</v>
      </c>
      <c r="F284">
        <v>324</v>
      </c>
      <c r="G284" s="3">
        <v>44067</v>
      </c>
      <c r="H284" t="s">
        <v>2699</v>
      </c>
      <c r="J284" t="s">
        <v>1386</v>
      </c>
      <c r="K284" t="s">
        <v>53</v>
      </c>
      <c r="L284" s="3">
        <v>47699</v>
      </c>
      <c r="M284" s="3">
        <v>47594</v>
      </c>
      <c r="N284" t="s">
        <v>2700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1759</v>
      </c>
      <c r="C285" t="s">
        <v>1760</v>
      </c>
      <c r="D285" s="3">
        <v>24400</v>
      </c>
      <c r="E285" t="s">
        <v>1378</v>
      </c>
      <c r="F285">
        <v>393</v>
      </c>
      <c r="G285" s="3">
        <v>44075</v>
      </c>
      <c r="I285">
        <v>492421081</v>
      </c>
      <c r="J285" t="s">
        <v>1437</v>
      </c>
      <c r="K285" t="s">
        <v>41</v>
      </c>
      <c r="L285" s="3">
        <v>46905</v>
      </c>
      <c r="M285" s="3">
        <v>46853</v>
      </c>
      <c r="N285" t="s">
        <v>1761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1434</v>
      </c>
      <c r="C286" t="s">
        <v>1435</v>
      </c>
      <c r="D286" s="3">
        <v>31611</v>
      </c>
      <c r="E286" t="s">
        <v>1378</v>
      </c>
      <c r="F286">
        <v>355</v>
      </c>
      <c r="G286" s="3">
        <v>44070</v>
      </c>
      <c r="H286" t="s">
        <v>1436</v>
      </c>
      <c r="J286" t="s">
        <v>1437</v>
      </c>
      <c r="K286" t="s">
        <v>50</v>
      </c>
      <c r="L286" s="3">
        <v>46876</v>
      </c>
      <c r="M286" s="3">
        <v>46862</v>
      </c>
      <c r="N286" t="s">
        <v>1438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3135</v>
      </c>
      <c r="C287" t="s">
        <v>3136</v>
      </c>
      <c r="D287" s="3">
        <v>29006</v>
      </c>
      <c r="E287" t="s">
        <v>1378</v>
      </c>
      <c r="F287">
        <v>278</v>
      </c>
      <c r="G287" s="3">
        <v>44081</v>
      </c>
      <c r="H287" t="s">
        <v>3137</v>
      </c>
      <c r="J287" t="s">
        <v>1437</v>
      </c>
      <c r="K287" t="s">
        <v>38</v>
      </c>
      <c r="L287" s="3">
        <v>45922</v>
      </c>
      <c r="M287" s="3">
        <v>47407</v>
      </c>
      <c r="N287" t="s">
        <v>3138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1388</v>
      </c>
      <c r="C288" t="s">
        <v>1389</v>
      </c>
      <c r="D288" s="3">
        <v>27907</v>
      </c>
      <c r="E288" t="s">
        <v>1378</v>
      </c>
      <c r="F288">
        <v>414</v>
      </c>
      <c r="G288" s="3">
        <v>44067</v>
      </c>
      <c r="H288" t="s">
        <v>1390</v>
      </c>
      <c r="J288" t="s">
        <v>1391</v>
      </c>
      <c r="K288" t="s">
        <v>50</v>
      </c>
      <c r="L288" s="3">
        <v>47602</v>
      </c>
      <c r="M288" s="3">
        <v>47594</v>
      </c>
      <c r="N288" t="s">
        <v>1392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1447</v>
      </c>
      <c r="C289" t="s">
        <v>1448</v>
      </c>
      <c r="D289" s="3">
        <v>24328</v>
      </c>
      <c r="E289" t="s">
        <v>1378</v>
      </c>
      <c r="F289">
        <v>434</v>
      </c>
      <c r="G289" s="3">
        <v>44039</v>
      </c>
      <c r="H289" t="s">
        <v>1449</v>
      </c>
      <c r="J289" t="s">
        <v>1419</v>
      </c>
      <c r="K289" t="s">
        <v>35</v>
      </c>
      <c r="L289" s="3">
        <v>47533</v>
      </c>
      <c r="M289" s="3">
        <v>47517</v>
      </c>
      <c r="N289" t="s">
        <v>1450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2068</v>
      </c>
      <c r="C290" t="s">
        <v>2792</v>
      </c>
      <c r="D290" s="3">
        <v>33879</v>
      </c>
      <c r="E290" t="s">
        <v>1378</v>
      </c>
      <c r="F290">
        <v>435</v>
      </c>
      <c r="G290" s="3">
        <v>44039</v>
      </c>
      <c r="H290" t="s">
        <v>2798</v>
      </c>
      <c r="J290" t="s">
        <v>1391</v>
      </c>
      <c r="K290" t="s">
        <v>56</v>
      </c>
      <c r="L290" s="3">
        <v>47635</v>
      </c>
      <c r="M290" s="3">
        <v>47547</v>
      </c>
      <c r="N290" t="s">
        <v>2799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2320</v>
      </c>
      <c r="C291" t="s">
        <v>2311</v>
      </c>
      <c r="D291" s="3">
        <v>34121</v>
      </c>
      <c r="E291" t="s">
        <v>1378</v>
      </c>
      <c r="F291">
        <v>22</v>
      </c>
      <c r="G291" s="3">
        <v>44025</v>
      </c>
      <c r="H291" t="s">
        <v>2321</v>
      </c>
      <c r="J291" t="s">
        <v>1391</v>
      </c>
      <c r="K291" t="s">
        <v>47</v>
      </c>
      <c r="L291" s="3">
        <v>47554</v>
      </c>
      <c r="M291" s="3">
        <v>47547</v>
      </c>
      <c r="N291" t="s">
        <v>2322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2323</v>
      </c>
      <c r="C292" t="s">
        <v>2324</v>
      </c>
      <c r="D292" s="3">
        <v>29509</v>
      </c>
      <c r="E292" t="s">
        <v>1378</v>
      </c>
      <c r="F292">
        <v>260</v>
      </c>
      <c r="G292" s="3">
        <v>44039</v>
      </c>
      <c r="H292" t="s">
        <v>2325</v>
      </c>
      <c r="J292" t="s">
        <v>1437</v>
      </c>
      <c r="K292" t="s">
        <v>41</v>
      </c>
      <c r="L292" s="3">
        <v>47617</v>
      </c>
      <c r="M292" s="3">
        <v>47579</v>
      </c>
      <c r="N292" t="s">
        <v>2326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2287</v>
      </c>
      <c r="C293" t="s">
        <v>2288</v>
      </c>
      <c r="D293" s="3">
        <v>28007</v>
      </c>
      <c r="E293" t="s">
        <v>1378</v>
      </c>
      <c r="F293">
        <v>282</v>
      </c>
      <c r="G293" s="3">
        <v>44039</v>
      </c>
      <c r="H293" t="s">
        <v>2289</v>
      </c>
      <c r="J293" t="s">
        <v>1391</v>
      </c>
      <c r="K293" t="s">
        <v>56</v>
      </c>
      <c r="L293" s="3">
        <v>47568</v>
      </c>
      <c r="M293" s="3">
        <v>47561</v>
      </c>
      <c r="N293" t="s">
        <v>2290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1393</v>
      </c>
      <c r="C294" t="s">
        <v>1394</v>
      </c>
      <c r="D294" s="3">
        <v>35525</v>
      </c>
      <c r="E294" t="s">
        <v>1378</v>
      </c>
      <c r="F294">
        <v>452</v>
      </c>
      <c r="G294" s="3">
        <v>44025</v>
      </c>
      <c r="H294" t="s">
        <v>1395</v>
      </c>
      <c r="I294">
        <v>487773919</v>
      </c>
      <c r="J294" t="s">
        <v>1396</v>
      </c>
      <c r="K294" t="s">
        <v>41</v>
      </c>
      <c r="L294" s="3">
        <v>47610</v>
      </c>
      <c r="M294" s="3">
        <v>47609</v>
      </c>
      <c r="N294" t="s">
        <v>1397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3190</v>
      </c>
      <c r="C295" t="s">
        <v>3191</v>
      </c>
      <c r="D295" s="3">
        <v>35139</v>
      </c>
      <c r="E295" t="s">
        <v>1378</v>
      </c>
      <c r="F295">
        <v>10</v>
      </c>
      <c r="G295" s="3">
        <v>44025</v>
      </c>
      <c r="H295" t="s">
        <v>3192</v>
      </c>
      <c r="J295" t="s">
        <v>1391</v>
      </c>
      <c r="K295" t="s">
        <v>50</v>
      </c>
      <c r="L295" s="3">
        <v>47526</v>
      </c>
      <c r="M295" s="3">
        <v>47524</v>
      </c>
      <c r="N295" t="s">
        <v>3193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1744</v>
      </c>
      <c r="C296" t="s">
        <v>2850</v>
      </c>
      <c r="D296" s="3">
        <v>18345</v>
      </c>
      <c r="E296" t="s">
        <v>1378</v>
      </c>
      <c r="G296" s="3">
        <v>43993</v>
      </c>
      <c r="J296" t="s">
        <v>1953</v>
      </c>
      <c r="K296" t="s">
        <v>56</v>
      </c>
      <c r="L296" s="3">
        <v>47664</v>
      </c>
      <c r="M296" s="3">
        <v>46186</v>
      </c>
      <c r="N296" t="s">
        <v>2853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1554</v>
      </c>
      <c r="C297" t="s">
        <v>1550</v>
      </c>
      <c r="D297" s="3">
        <v>31006</v>
      </c>
      <c r="E297" t="s">
        <v>1378</v>
      </c>
      <c r="F297">
        <v>38</v>
      </c>
      <c r="G297" s="3">
        <v>44025</v>
      </c>
      <c r="H297" t="s">
        <v>1555</v>
      </c>
      <c r="J297" t="s">
        <v>1419</v>
      </c>
      <c r="K297" t="s">
        <v>35</v>
      </c>
      <c r="L297" s="3">
        <v>47610</v>
      </c>
      <c r="M297" s="3">
        <v>47547</v>
      </c>
      <c r="N297" t="s">
        <v>1556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2705</v>
      </c>
      <c r="C298" t="s">
        <v>2706</v>
      </c>
      <c r="D298" s="3">
        <v>30458</v>
      </c>
      <c r="E298" t="s">
        <v>1378</v>
      </c>
      <c r="F298">
        <v>400</v>
      </c>
      <c r="G298" s="3">
        <v>43997</v>
      </c>
      <c r="H298" t="s">
        <v>2707</v>
      </c>
      <c r="J298" t="s">
        <v>1424</v>
      </c>
      <c r="K298" t="s">
        <v>53</v>
      </c>
      <c r="L298" s="3">
        <v>47581</v>
      </c>
      <c r="M298" s="3">
        <v>47533</v>
      </c>
      <c r="N298" t="s">
        <v>2708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3298</v>
      </c>
      <c r="C299" t="s">
        <v>3299</v>
      </c>
      <c r="D299" s="3">
        <v>29155</v>
      </c>
      <c r="E299" t="s">
        <v>1378</v>
      </c>
      <c r="F299">
        <v>426</v>
      </c>
      <c r="G299" s="3">
        <v>44081</v>
      </c>
      <c r="H299" t="s">
        <v>3300</v>
      </c>
      <c r="J299" t="s">
        <v>1419</v>
      </c>
      <c r="K299" t="s">
        <v>35</v>
      </c>
      <c r="L299" s="3">
        <v>47435</v>
      </c>
      <c r="M299" s="3">
        <v>46646</v>
      </c>
      <c r="N299" t="s">
        <v>3301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3021</v>
      </c>
      <c r="C300" t="s">
        <v>3015</v>
      </c>
      <c r="D300" s="3">
        <v>22829</v>
      </c>
      <c r="E300" t="s">
        <v>1378</v>
      </c>
      <c r="F300">
        <v>28</v>
      </c>
      <c r="G300" s="3">
        <v>44011</v>
      </c>
      <c r="H300" t="s">
        <v>3022</v>
      </c>
      <c r="J300" t="s">
        <v>1391</v>
      </c>
      <c r="K300" t="s">
        <v>41</v>
      </c>
      <c r="L300" s="3">
        <v>47587</v>
      </c>
      <c r="M300" s="3">
        <v>47568</v>
      </c>
      <c r="N300" t="s">
        <v>3023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3058</v>
      </c>
      <c r="C301" t="s">
        <v>3055</v>
      </c>
      <c r="D301" s="3">
        <v>28965</v>
      </c>
      <c r="E301" t="s">
        <v>1378</v>
      </c>
      <c r="F301">
        <v>95</v>
      </c>
      <c r="G301" s="3">
        <v>44011</v>
      </c>
      <c r="H301" t="s">
        <v>3059</v>
      </c>
      <c r="I301">
        <v>0</v>
      </c>
      <c r="J301" t="s">
        <v>1410</v>
      </c>
      <c r="K301" t="s">
        <v>56</v>
      </c>
      <c r="L301" s="3">
        <v>47498</v>
      </c>
      <c r="M301" s="3">
        <v>47126</v>
      </c>
      <c r="N301" t="s">
        <v>3060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3198</v>
      </c>
      <c r="C302" t="s">
        <v>3199</v>
      </c>
      <c r="D302" s="3">
        <v>31067</v>
      </c>
      <c r="E302" t="s">
        <v>1378</v>
      </c>
      <c r="F302">
        <v>324</v>
      </c>
      <c r="G302" s="3">
        <v>44039</v>
      </c>
      <c r="H302" t="s">
        <v>3200</v>
      </c>
      <c r="J302" t="s">
        <v>1386</v>
      </c>
      <c r="K302" t="s">
        <v>50</v>
      </c>
      <c r="L302" s="3">
        <v>47393</v>
      </c>
      <c r="M302" s="3">
        <v>47351</v>
      </c>
      <c r="N302" t="s">
        <v>3201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3407</v>
      </c>
      <c r="C303" t="s">
        <v>3408</v>
      </c>
      <c r="D303" s="3">
        <v>30513</v>
      </c>
      <c r="E303" t="s">
        <v>1378</v>
      </c>
      <c r="F303">
        <v>387</v>
      </c>
      <c r="G303" s="3">
        <v>43984</v>
      </c>
      <c r="H303" t="s">
        <v>3409</v>
      </c>
      <c r="I303">
        <v>92567935</v>
      </c>
      <c r="J303" t="s">
        <v>1419</v>
      </c>
      <c r="K303" t="s">
        <v>56</v>
      </c>
      <c r="L303" s="3">
        <v>47450</v>
      </c>
      <c r="M303" s="3">
        <v>47441</v>
      </c>
      <c r="N303" t="s">
        <v>3410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2744</v>
      </c>
      <c r="C304" t="s">
        <v>2745</v>
      </c>
      <c r="D304" s="3">
        <v>28038</v>
      </c>
      <c r="E304" t="s">
        <v>1378</v>
      </c>
      <c r="F304">
        <v>335</v>
      </c>
      <c r="G304" s="3">
        <v>43980</v>
      </c>
      <c r="H304" t="s">
        <v>2746</v>
      </c>
      <c r="J304" t="s">
        <v>1587</v>
      </c>
      <c r="K304" t="s">
        <v>50</v>
      </c>
      <c r="L304" s="3">
        <v>73050</v>
      </c>
      <c r="M304" s="3">
        <v>47460</v>
      </c>
      <c r="N304" t="s">
        <v>2747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1490</v>
      </c>
      <c r="C305" t="s">
        <v>1766</v>
      </c>
      <c r="D305" s="3">
        <v>27962</v>
      </c>
      <c r="E305" t="s">
        <v>1378</v>
      </c>
      <c r="F305">
        <v>350</v>
      </c>
      <c r="G305" s="3">
        <v>43969</v>
      </c>
      <c r="H305" t="s">
        <v>1767</v>
      </c>
      <c r="J305" t="s">
        <v>1424</v>
      </c>
      <c r="K305" t="s">
        <v>41</v>
      </c>
      <c r="L305" s="3">
        <v>47485</v>
      </c>
      <c r="M305" s="3">
        <v>47441</v>
      </c>
      <c r="N305" t="s">
        <v>1768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2236</v>
      </c>
      <c r="C306" t="s">
        <v>2237</v>
      </c>
      <c r="D306" s="3">
        <v>33578</v>
      </c>
      <c r="E306" t="s">
        <v>1378</v>
      </c>
      <c r="F306">
        <v>114</v>
      </c>
      <c r="G306" s="3">
        <v>43944</v>
      </c>
      <c r="H306" t="s">
        <v>2238</v>
      </c>
      <c r="I306">
        <v>92788949</v>
      </c>
      <c r="J306" t="s">
        <v>1437</v>
      </c>
      <c r="K306" t="s">
        <v>41</v>
      </c>
      <c r="L306" s="3">
        <v>46384</v>
      </c>
      <c r="M306" s="3">
        <v>46378</v>
      </c>
      <c r="N306" t="s">
        <v>2239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1255</v>
      </c>
      <c r="C307" t="s">
        <v>2516</v>
      </c>
      <c r="D307" s="3">
        <v>25938</v>
      </c>
      <c r="E307" t="s">
        <v>1378</v>
      </c>
      <c r="F307">
        <v>160</v>
      </c>
      <c r="G307" s="3">
        <v>43906</v>
      </c>
      <c r="H307" t="s">
        <v>2517</v>
      </c>
      <c r="J307" t="s">
        <v>1437</v>
      </c>
      <c r="K307" t="s">
        <v>41</v>
      </c>
      <c r="L307" s="3">
        <v>47517</v>
      </c>
      <c r="M307" s="3">
        <v>47441</v>
      </c>
      <c r="N307" t="s">
        <v>2518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3417</v>
      </c>
      <c r="C308" t="s">
        <v>3418</v>
      </c>
      <c r="D308" s="3">
        <v>32543</v>
      </c>
      <c r="E308" t="s">
        <v>1378</v>
      </c>
      <c r="G308" s="3">
        <v>43906</v>
      </c>
      <c r="H308" t="s">
        <v>3419</v>
      </c>
      <c r="I308" t="s">
        <v>3420</v>
      </c>
      <c r="J308" t="s">
        <v>1391</v>
      </c>
      <c r="K308" t="s">
        <v>56</v>
      </c>
      <c r="L308" s="3">
        <v>47504</v>
      </c>
      <c r="M308" s="3">
        <v>47460</v>
      </c>
      <c r="N308" t="s">
        <v>3421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2219</v>
      </c>
      <c r="C309" t="s">
        <v>2220</v>
      </c>
      <c r="D309" s="3">
        <v>36459</v>
      </c>
      <c r="E309" t="s">
        <v>1378</v>
      </c>
      <c r="F309">
        <v>421</v>
      </c>
      <c r="G309" s="3">
        <v>43892</v>
      </c>
      <c r="H309" t="s">
        <v>2221</v>
      </c>
      <c r="J309" t="s">
        <v>1419</v>
      </c>
      <c r="K309" t="s">
        <v>56</v>
      </c>
      <c r="L309" s="3">
        <v>47611</v>
      </c>
      <c r="M309" s="3">
        <v>47441</v>
      </c>
      <c r="N309" t="s">
        <v>2222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2936</v>
      </c>
      <c r="C310" t="s">
        <v>2931</v>
      </c>
      <c r="D310" s="3">
        <v>19500</v>
      </c>
      <c r="E310" t="s">
        <v>1378</v>
      </c>
      <c r="G310" s="3">
        <v>43891</v>
      </c>
      <c r="H310" t="s">
        <v>2937</v>
      </c>
      <c r="J310" t="s">
        <v>1953</v>
      </c>
      <c r="K310" t="s">
        <v>56</v>
      </c>
      <c r="L310" s="3">
        <v>1</v>
      </c>
      <c r="M310" s="3">
        <v>1</v>
      </c>
      <c r="N310" t="s">
        <v>2938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3108</v>
      </c>
      <c r="C311" t="s">
        <v>3105</v>
      </c>
      <c r="D311" s="3">
        <v>32582</v>
      </c>
      <c r="E311" t="s">
        <v>1378</v>
      </c>
      <c r="F311">
        <v>480</v>
      </c>
      <c r="G311" s="3">
        <v>43878</v>
      </c>
      <c r="H311" t="s">
        <v>3109</v>
      </c>
      <c r="I311">
        <v>494132438</v>
      </c>
      <c r="J311" t="s">
        <v>1437</v>
      </c>
      <c r="K311" t="s">
        <v>53</v>
      </c>
      <c r="L311" s="3">
        <v>47461</v>
      </c>
      <c r="M311" s="3">
        <v>47460</v>
      </c>
      <c r="N311" t="s">
        <v>3110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2995</v>
      </c>
      <c r="C312" t="s">
        <v>1326</v>
      </c>
      <c r="D312" s="3">
        <v>26227</v>
      </c>
      <c r="E312" t="s">
        <v>1378</v>
      </c>
      <c r="F312">
        <v>311</v>
      </c>
      <c r="G312" s="3">
        <v>43864</v>
      </c>
      <c r="H312" t="s">
        <v>2996</v>
      </c>
      <c r="J312" t="s">
        <v>1391</v>
      </c>
      <c r="K312" t="s">
        <v>38</v>
      </c>
      <c r="L312" s="3">
        <v>47485</v>
      </c>
      <c r="M312" s="3">
        <v>47441</v>
      </c>
      <c r="N312" t="s">
        <v>2997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3441</v>
      </c>
      <c r="C313" t="s">
        <v>3442</v>
      </c>
      <c r="D313" s="3">
        <v>36273</v>
      </c>
      <c r="E313" t="s">
        <v>1378</v>
      </c>
      <c r="F313">
        <v>405</v>
      </c>
      <c r="G313" s="3">
        <v>43864</v>
      </c>
      <c r="H313" t="s">
        <v>3443</v>
      </c>
      <c r="J313" t="s">
        <v>1391</v>
      </c>
      <c r="K313" t="s">
        <v>41</v>
      </c>
      <c r="L313" s="3">
        <v>47470</v>
      </c>
      <c r="M313" s="3">
        <v>47460</v>
      </c>
      <c r="N313" t="s">
        <v>3444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1470</v>
      </c>
      <c r="C314" t="s">
        <v>1452</v>
      </c>
      <c r="D314" s="3">
        <v>25785</v>
      </c>
      <c r="E314" t="s">
        <v>1378</v>
      </c>
      <c r="F314">
        <v>465</v>
      </c>
      <c r="G314" s="3">
        <v>43892</v>
      </c>
      <c r="H314" t="s">
        <v>1471</v>
      </c>
      <c r="J314" t="s">
        <v>1386</v>
      </c>
      <c r="K314" t="s">
        <v>56</v>
      </c>
      <c r="L314" s="3">
        <v>47411</v>
      </c>
      <c r="M314" s="3">
        <v>47342</v>
      </c>
      <c r="N314" t="s">
        <v>1472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1820</v>
      </c>
      <c r="C315" t="s">
        <v>1821</v>
      </c>
      <c r="D315" s="3">
        <v>32327</v>
      </c>
      <c r="E315" t="s">
        <v>1378</v>
      </c>
      <c r="F315">
        <v>399</v>
      </c>
      <c r="G315" s="3">
        <v>43850</v>
      </c>
      <c r="H315" t="s">
        <v>1822</v>
      </c>
      <c r="J315" t="s">
        <v>1437</v>
      </c>
      <c r="K315" t="s">
        <v>50</v>
      </c>
      <c r="L315" s="3">
        <v>47434</v>
      </c>
      <c r="M315" s="3">
        <v>47377</v>
      </c>
      <c r="N315" t="s">
        <v>1823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1406</v>
      </c>
      <c r="C316" t="s">
        <v>1407</v>
      </c>
      <c r="D316" s="3">
        <v>30614</v>
      </c>
      <c r="E316" t="s">
        <v>1378</v>
      </c>
      <c r="F316">
        <v>469</v>
      </c>
      <c r="G316" s="3">
        <v>43906</v>
      </c>
      <c r="H316" t="s">
        <v>1408</v>
      </c>
      <c r="I316" t="s">
        <v>1409</v>
      </c>
      <c r="J316" t="s">
        <v>1410</v>
      </c>
      <c r="K316" t="s">
        <v>47</v>
      </c>
      <c r="L316" s="3">
        <v>47380</v>
      </c>
      <c r="M316" s="3">
        <v>47351</v>
      </c>
      <c r="N316" t="s">
        <v>1411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2102</v>
      </c>
      <c r="C317" t="s">
        <v>2093</v>
      </c>
      <c r="D317" s="3">
        <v>31020</v>
      </c>
      <c r="E317" t="s">
        <v>1378</v>
      </c>
      <c r="F317">
        <v>450</v>
      </c>
      <c r="G317" s="3">
        <v>43850</v>
      </c>
      <c r="H317" t="s">
        <v>2103</v>
      </c>
      <c r="J317" t="s">
        <v>1437</v>
      </c>
      <c r="K317" t="s">
        <v>38</v>
      </c>
      <c r="L317" s="3">
        <v>47239</v>
      </c>
      <c r="M317" s="3">
        <v>47237</v>
      </c>
      <c r="N317" t="s">
        <v>2104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1557</v>
      </c>
      <c r="C318" t="s">
        <v>1550</v>
      </c>
      <c r="D318" s="3">
        <v>31820</v>
      </c>
      <c r="E318" t="s">
        <v>1378</v>
      </c>
      <c r="F318">
        <v>365</v>
      </c>
      <c r="G318" s="3">
        <v>43808</v>
      </c>
      <c r="H318" t="s">
        <v>1558</v>
      </c>
      <c r="I318">
        <v>487367392</v>
      </c>
      <c r="K318" t="s">
        <v>38</v>
      </c>
      <c r="L318" s="3">
        <v>46251</v>
      </c>
      <c r="M318" s="3">
        <v>47413</v>
      </c>
      <c r="N318" t="s">
        <v>1559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2465</v>
      </c>
      <c r="C319" t="s">
        <v>2462</v>
      </c>
      <c r="D319" s="3">
        <v>34283</v>
      </c>
      <c r="E319" t="s">
        <v>1378</v>
      </c>
      <c r="F319">
        <v>158</v>
      </c>
      <c r="G319" s="3">
        <v>43781</v>
      </c>
      <c r="H319" t="s">
        <v>2466</v>
      </c>
      <c r="J319" t="s">
        <v>1419</v>
      </c>
      <c r="K319" t="s">
        <v>50</v>
      </c>
      <c r="L319" s="3">
        <v>47357</v>
      </c>
      <c r="M319" s="3">
        <v>47357</v>
      </c>
      <c r="N319" t="s">
        <v>2467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2682</v>
      </c>
      <c r="C320" t="s">
        <v>2683</v>
      </c>
      <c r="D320" s="3">
        <v>34663</v>
      </c>
      <c r="E320" t="s">
        <v>1378</v>
      </c>
      <c r="F320">
        <v>132</v>
      </c>
      <c r="G320" s="3">
        <v>43752</v>
      </c>
      <c r="H320" t="s">
        <v>2684</v>
      </c>
      <c r="I320">
        <v>498707898</v>
      </c>
      <c r="J320" t="s">
        <v>1587</v>
      </c>
      <c r="K320" t="s">
        <v>35</v>
      </c>
      <c r="L320" s="3">
        <v>47274</v>
      </c>
      <c r="M320" s="3">
        <v>47237</v>
      </c>
      <c r="N320" t="s">
        <v>2685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3037</v>
      </c>
      <c r="C321" t="s">
        <v>3038</v>
      </c>
      <c r="D321" s="3">
        <v>30411</v>
      </c>
      <c r="E321" t="s">
        <v>1378</v>
      </c>
      <c r="F321">
        <v>11</v>
      </c>
      <c r="G321" s="3">
        <v>43710</v>
      </c>
      <c r="H321" t="s">
        <v>3039</v>
      </c>
      <c r="I321">
        <v>468493588</v>
      </c>
      <c r="J321" t="s">
        <v>1396</v>
      </c>
      <c r="K321" t="s">
        <v>41</v>
      </c>
      <c r="L321" s="3">
        <v>47337</v>
      </c>
      <c r="M321" s="3">
        <v>47316</v>
      </c>
      <c r="N321" t="s">
        <v>3040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2530</v>
      </c>
      <c r="C322" t="s">
        <v>2531</v>
      </c>
      <c r="D322" s="3">
        <v>27707</v>
      </c>
      <c r="E322" t="s">
        <v>1378</v>
      </c>
      <c r="F322">
        <v>445</v>
      </c>
      <c r="G322" s="3">
        <v>43710</v>
      </c>
      <c r="H322" t="s">
        <v>2532</v>
      </c>
      <c r="I322">
        <v>32496141860</v>
      </c>
      <c r="J322" t="s">
        <v>1458</v>
      </c>
      <c r="K322" t="s">
        <v>47</v>
      </c>
      <c r="L322" s="3">
        <v>48784</v>
      </c>
      <c r="M322" s="3">
        <v>46892</v>
      </c>
      <c r="N322" t="s">
        <v>2533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2248</v>
      </c>
      <c r="C323" t="s">
        <v>2249</v>
      </c>
      <c r="D323" s="3">
        <v>30816</v>
      </c>
      <c r="E323" t="s">
        <v>1378</v>
      </c>
      <c r="G323" s="3">
        <v>43710</v>
      </c>
      <c r="H323" t="s">
        <v>2250</v>
      </c>
      <c r="J323" t="s">
        <v>1391</v>
      </c>
      <c r="K323" t="s">
        <v>50</v>
      </c>
      <c r="L323" s="3">
        <v>47267</v>
      </c>
      <c r="M323" s="3">
        <v>47216</v>
      </c>
      <c r="N323" t="s">
        <v>2251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2765</v>
      </c>
      <c r="C324" t="s">
        <v>2766</v>
      </c>
      <c r="D324" s="3">
        <v>34089</v>
      </c>
      <c r="E324" t="s">
        <v>1378</v>
      </c>
      <c r="F324">
        <v>351</v>
      </c>
      <c r="G324" s="3">
        <v>43710</v>
      </c>
      <c r="H324" t="s">
        <v>2767</v>
      </c>
      <c r="I324">
        <v>488372246</v>
      </c>
      <c r="J324" t="s">
        <v>1419</v>
      </c>
      <c r="K324" t="s">
        <v>50</v>
      </c>
      <c r="L324" s="3">
        <v>47281</v>
      </c>
      <c r="M324" s="3">
        <v>47267</v>
      </c>
      <c r="N324" t="s">
        <v>2768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2140</v>
      </c>
      <c r="C325" t="s">
        <v>2141</v>
      </c>
      <c r="D325" s="3">
        <v>31192</v>
      </c>
      <c r="E325" t="s">
        <v>1378</v>
      </c>
      <c r="F325">
        <v>385</v>
      </c>
      <c r="G325" s="3">
        <v>43724</v>
      </c>
      <c r="H325" t="s">
        <v>2142</v>
      </c>
      <c r="I325">
        <v>485827666</v>
      </c>
      <c r="J325" t="s">
        <v>1419</v>
      </c>
      <c r="K325" t="s">
        <v>50</v>
      </c>
      <c r="L325" s="3">
        <v>47280</v>
      </c>
      <c r="M325" s="3">
        <v>47216</v>
      </c>
      <c r="N325" t="s">
        <v>2143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1574</v>
      </c>
      <c r="C326" t="s">
        <v>1575</v>
      </c>
      <c r="D326" s="3">
        <v>34236</v>
      </c>
      <c r="E326" t="s">
        <v>1378</v>
      </c>
      <c r="F326">
        <v>103</v>
      </c>
      <c r="G326" s="3">
        <v>43669</v>
      </c>
      <c r="H326" t="s">
        <v>1576</v>
      </c>
      <c r="I326">
        <v>32478510138</v>
      </c>
      <c r="J326" t="s">
        <v>1391</v>
      </c>
      <c r="K326" t="s">
        <v>41</v>
      </c>
      <c r="L326" s="3">
        <v>47267</v>
      </c>
      <c r="M326" s="3">
        <v>47170</v>
      </c>
      <c r="N326" t="s">
        <v>1577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2456</v>
      </c>
      <c r="C327" t="s">
        <v>2453</v>
      </c>
      <c r="D327" s="3">
        <v>34969</v>
      </c>
      <c r="E327" t="s">
        <v>1378</v>
      </c>
      <c r="F327">
        <v>300</v>
      </c>
      <c r="G327" s="3">
        <v>43640</v>
      </c>
      <c r="H327" t="s">
        <v>2457</v>
      </c>
      <c r="I327">
        <v>494587601</v>
      </c>
      <c r="J327" t="s">
        <v>1462</v>
      </c>
      <c r="K327" t="s">
        <v>44</v>
      </c>
      <c r="L327" s="3">
        <v>47215</v>
      </c>
      <c r="M327" s="3">
        <v>47170</v>
      </c>
      <c r="N327" t="s">
        <v>2458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1560</v>
      </c>
      <c r="C328" t="s">
        <v>1550</v>
      </c>
      <c r="D328" s="3">
        <v>31359</v>
      </c>
      <c r="E328" t="s">
        <v>1378</v>
      </c>
      <c r="F328">
        <v>329</v>
      </c>
      <c r="G328" s="3">
        <v>43627</v>
      </c>
      <c r="H328" t="s">
        <v>1561</v>
      </c>
      <c r="I328">
        <v>495418640</v>
      </c>
      <c r="J328" t="s">
        <v>1462</v>
      </c>
      <c r="K328" t="s">
        <v>44</v>
      </c>
      <c r="L328" s="3">
        <v>47051</v>
      </c>
      <c r="M328" s="3">
        <v>47044</v>
      </c>
      <c r="N328" t="s">
        <v>1562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2124</v>
      </c>
      <c r="C329" t="s">
        <v>2125</v>
      </c>
      <c r="D329" s="3">
        <v>31149</v>
      </c>
      <c r="E329" t="s">
        <v>1378</v>
      </c>
      <c r="F329">
        <v>163</v>
      </c>
      <c r="G329" s="3">
        <v>43605</v>
      </c>
      <c r="H329" t="s">
        <v>2126</v>
      </c>
      <c r="J329" t="s">
        <v>1410</v>
      </c>
      <c r="K329" t="s">
        <v>47</v>
      </c>
      <c r="L329" s="3">
        <v>47162</v>
      </c>
      <c r="M329" s="3">
        <v>47126</v>
      </c>
      <c r="N329" t="s">
        <v>2127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1585</v>
      </c>
      <c r="C330" t="s">
        <v>1349</v>
      </c>
      <c r="D330" s="3">
        <v>30017</v>
      </c>
      <c r="E330" t="s">
        <v>1378</v>
      </c>
      <c r="F330">
        <v>215</v>
      </c>
      <c r="G330" s="3">
        <v>43605</v>
      </c>
      <c r="H330" t="s">
        <v>1586</v>
      </c>
      <c r="J330" t="s">
        <v>1587</v>
      </c>
      <c r="K330" t="s">
        <v>53</v>
      </c>
      <c r="L330" s="3">
        <v>47229</v>
      </c>
      <c r="M330" s="3">
        <v>47170</v>
      </c>
      <c r="N330" t="s">
        <v>1588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2803</v>
      </c>
      <c r="C331" t="s">
        <v>2804</v>
      </c>
      <c r="D331" s="3">
        <v>34310</v>
      </c>
      <c r="E331" t="s">
        <v>1378</v>
      </c>
      <c r="G331" s="3">
        <v>43605</v>
      </c>
      <c r="H331" t="s">
        <v>2805</v>
      </c>
      <c r="I331">
        <v>471897684</v>
      </c>
      <c r="J331" t="s">
        <v>1437</v>
      </c>
      <c r="K331" t="s">
        <v>47</v>
      </c>
      <c r="L331" s="3">
        <v>47202</v>
      </c>
      <c r="M331" s="3">
        <v>47170</v>
      </c>
      <c r="N331" t="s">
        <v>2806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2709</v>
      </c>
      <c r="C332" t="s">
        <v>2706</v>
      </c>
      <c r="D332" s="3">
        <v>24507</v>
      </c>
      <c r="E332" t="s">
        <v>1378</v>
      </c>
      <c r="F332">
        <v>220</v>
      </c>
      <c r="G332" s="3">
        <v>43556</v>
      </c>
      <c r="H332" t="s">
        <v>2710</v>
      </c>
      <c r="I332">
        <v>499245846</v>
      </c>
      <c r="J332" t="s">
        <v>1437</v>
      </c>
      <c r="K332" t="s">
        <v>50</v>
      </c>
      <c r="L332" s="3">
        <v>47222</v>
      </c>
      <c r="M332" s="3">
        <v>46404</v>
      </c>
      <c r="N332" t="s">
        <v>2711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3095</v>
      </c>
      <c r="C333" t="s">
        <v>3092</v>
      </c>
      <c r="D333" s="3">
        <v>30937</v>
      </c>
      <c r="E333" t="s">
        <v>1378</v>
      </c>
      <c r="F333">
        <v>270</v>
      </c>
      <c r="G333" s="3">
        <v>43542</v>
      </c>
      <c r="H333" t="s">
        <v>3096</v>
      </c>
      <c r="J333" t="s">
        <v>1419</v>
      </c>
      <c r="K333" t="s">
        <v>50</v>
      </c>
      <c r="L333" s="3">
        <v>47154</v>
      </c>
      <c r="M333" s="3">
        <v>47100</v>
      </c>
      <c r="N333" t="s">
        <v>3097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1964</v>
      </c>
      <c r="C334" t="s">
        <v>1960</v>
      </c>
      <c r="D334" s="3">
        <v>25094</v>
      </c>
      <c r="E334" t="s">
        <v>1378</v>
      </c>
      <c r="F334">
        <v>167</v>
      </c>
      <c r="G334" s="3">
        <v>43528</v>
      </c>
      <c r="H334" t="s">
        <v>1965</v>
      </c>
      <c r="I334">
        <v>486762575</v>
      </c>
      <c r="J334" t="s">
        <v>1424</v>
      </c>
      <c r="K334" t="s">
        <v>50</v>
      </c>
      <c r="L334" s="3">
        <v>47141</v>
      </c>
      <c r="M334" s="3">
        <v>47141</v>
      </c>
      <c r="N334" t="s">
        <v>1966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1527</v>
      </c>
      <c r="C335" t="s">
        <v>1528</v>
      </c>
      <c r="D335" s="3">
        <v>23813</v>
      </c>
      <c r="E335" t="s">
        <v>1378</v>
      </c>
      <c r="F335">
        <v>104</v>
      </c>
      <c r="G335" s="3">
        <v>43528</v>
      </c>
      <c r="H335" t="s">
        <v>1529</v>
      </c>
      <c r="J335" t="s">
        <v>1410</v>
      </c>
      <c r="K335" t="s">
        <v>56</v>
      </c>
      <c r="L335" s="3">
        <v>47085</v>
      </c>
      <c r="M335" s="3">
        <v>47051</v>
      </c>
      <c r="N335" t="s">
        <v>1530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2240</v>
      </c>
      <c r="C336" t="s">
        <v>2241</v>
      </c>
      <c r="D336" s="3">
        <v>30867</v>
      </c>
      <c r="E336" t="s">
        <v>1378</v>
      </c>
      <c r="F336">
        <v>268</v>
      </c>
      <c r="G336" s="3">
        <v>43514</v>
      </c>
      <c r="H336" t="s">
        <v>2242</v>
      </c>
      <c r="J336" t="s">
        <v>1437</v>
      </c>
      <c r="K336" t="s">
        <v>47</v>
      </c>
      <c r="L336" s="3">
        <v>47135</v>
      </c>
      <c r="M336" s="3">
        <v>47072</v>
      </c>
      <c r="N336" t="s">
        <v>2243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3349</v>
      </c>
      <c r="C337" t="s">
        <v>3347</v>
      </c>
      <c r="D337" s="3">
        <v>31396</v>
      </c>
      <c r="E337" t="s">
        <v>1378</v>
      </c>
      <c r="G337" s="3">
        <v>43500</v>
      </c>
      <c r="H337" t="s">
        <v>3350</v>
      </c>
      <c r="I337" t="s">
        <v>3350</v>
      </c>
      <c r="J337" t="s">
        <v>1386</v>
      </c>
      <c r="K337" t="s">
        <v>41</v>
      </c>
      <c r="L337" s="3">
        <v>47161</v>
      </c>
      <c r="M337" s="3">
        <v>47136</v>
      </c>
      <c r="N337" t="s">
        <v>3351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1955</v>
      </c>
      <c r="C338" t="s">
        <v>1956</v>
      </c>
      <c r="D338" s="3">
        <v>34182</v>
      </c>
      <c r="E338" t="s">
        <v>1378</v>
      </c>
      <c r="F338">
        <v>430</v>
      </c>
      <c r="G338" s="3">
        <v>43486</v>
      </c>
      <c r="H338" t="s">
        <v>1957</v>
      </c>
      <c r="J338" t="s">
        <v>1396</v>
      </c>
      <c r="K338" t="s">
        <v>41</v>
      </c>
      <c r="L338" s="3">
        <v>47139</v>
      </c>
      <c r="M338" s="3">
        <v>46897</v>
      </c>
      <c r="N338" t="s">
        <v>1958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3150</v>
      </c>
      <c r="C339" t="s">
        <v>3151</v>
      </c>
      <c r="D339" s="3">
        <v>26216</v>
      </c>
      <c r="E339" t="s">
        <v>1378</v>
      </c>
      <c r="F339">
        <v>197</v>
      </c>
      <c r="G339" s="3">
        <v>43472</v>
      </c>
      <c r="H339" t="s">
        <v>3152</v>
      </c>
      <c r="J339" t="s">
        <v>1386</v>
      </c>
      <c r="K339" t="s">
        <v>47</v>
      </c>
      <c r="L339" s="3">
        <v>47011</v>
      </c>
      <c r="M339" s="3">
        <v>47009</v>
      </c>
      <c r="N339" t="s">
        <v>3153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3115</v>
      </c>
      <c r="C340" t="s">
        <v>3116</v>
      </c>
      <c r="D340" s="3">
        <v>34591</v>
      </c>
      <c r="E340" t="s">
        <v>1378</v>
      </c>
      <c r="F340">
        <v>85</v>
      </c>
      <c r="G340" s="3">
        <v>43444</v>
      </c>
      <c r="H340" t="s">
        <v>3117</v>
      </c>
      <c r="I340">
        <v>476620718</v>
      </c>
      <c r="J340" t="s">
        <v>1587</v>
      </c>
      <c r="K340" t="s">
        <v>44</v>
      </c>
      <c r="L340" s="3">
        <v>47085</v>
      </c>
      <c r="M340" s="3">
        <v>46946</v>
      </c>
      <c r="N340" t="s">
        <v>3118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1406</v>
      </c>
      <c r="C341" t="s">
        <v>2649</v>
      </c>
      <c r="D341" s="3">
        <v>33077</v>
      </c>
      <c r="E341" t="s">
        <v>1378</v>
      </c>
      <c r="G341" s="3">
        <v>43325</v>
      </c>
      <c r="H341" t="s">
        <v>2650</v>
      </c>
      <c r="J341" t="s">
        <v>1386</v>
      </c>
      <c r="K341" t="s">
        <v>47</v>
      </c>
      <c r="L341" s="3">
        <v>47294</v>
      </c>
      <c r="M341" s="3">
        <v>47233</v>
      </c>
      <c r="N341" t="s">
        <v>2651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3024</v>
      </c>
      <c r="C342" t="s">
        <v>3015</v>
      </c>
      <c r="D342" s="3">
        <v>24920</v>
      </c>
      <c r="E342" t="s">
        <v>1378</v>
      </c>
      <c r="F342">
        <v>205</v>
      </c>
      <c r="G342" s="3">
        <v>43318</v>
      </c>
      <c r="H342" t="s">
        <v>3025</v>
      </c>
      <c r="J342" t="s">
        <v>1587</v>
      </c>
      <c r="K342" t="s">
        <v>47</v>
      </c>
      <c r="L342" s="3">
        <v>46915</v>
      </c>
      <c r="M342" s="3">
        <v>46166</v>
      </c>
      <c r="N342" t="s">
        <v>3026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1673</v>
      </c>
      <c r="C343" t="s">
        <v>1674</v>
      </c>
      <c r="D343" s="3">
        <v>26191</v>
      </c>
      <c r="E343" t="s">
        <v>1378</v>
      </c>
      <c r="F343">
        <v>20</v>
      </c>
      <c r="G343" s="3">
        <v>43304</v>
      </c>
      <c r="H343" t="s">
        <v>1675</v>
      </c>
      <c r="J343" t="s">
        <v>1396</v>
      </c>
      <c r="K343" t="s">
        <v>56</v>
      </c>
      <c r="L343" s="3">
        <v>46828</v>
      </c>
      <c r="M343" s="3">
        <v>46810</v>
      </c>
      <c r="N343" t="s">
        <v>1676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2963</v>
      </c>
      <c r="C344" t="s">
        <v>2964</v>
      </c>
      <c r="D344" s="3">
        <v>35347</v>
      </c>
      <c r="E344" t="s">
        <v>1378</v>
      </c>
      <c r="F344">
        <v>296</v>
      </c>
      <c r="G344" s="3">
        <v>43193</v>
      </c>
      <c r="H344" t="s">
        <v>2965</v>
      </c>
      <c r="J344" t="s">
        <v>1458</v>
      </c>
      <c r="K344" t="s">
        <v>41</v>
      </c>
      <c r="L344" s="3">
        <v>46856</v>
      </c>
      <c r="M344" s="3">
        <v>45944</v>
      </c>
      <c r="N344" t="s">
        <v>2966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2006</v>
      </c>
      <c r="C345" t="s">
        <v>2007</v>
      </c>
      <c r="D345" s="3">
        <v>30873</v>
      </c>
      <c r="E345" t="s">
        <v>1378</v>
      </c>
      <c r="F345">
        <v>292</v>
      </c>
      <c r="G345" s="3">
        <v>43178</v>
      </c>
      <c r="H345" t="s">
        <v>2008</v>
      </c>
      <c r="J345" t="s">
        <v>1565</v>
      </c>
      <c r="K345" t="s">
        <v>47</v>
      </c>
      <c r="L345" s="3">
        <v>46685</v>
      </c>
      <c r="M345" s="3">
        <v>46672</v>
      </c>
      <c r="N345" t="s">
        <v>2009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2468</v>
      </c>
      <c r="C346" t="s">
        <v>2462</v>
      </c>
      <c r="D346" s="3">
        <v>31239</v>
      </c>
      <c r="E346" t="s">
        <v>1378</v>
      </c>
      <c r="F346">
        <v>239</v>
      </c>
      <c r="G346" s="3">
        <v>43150</v>
      </c>
      <c r="H346" t="s">
        <v>2469</v>
      </c>
      <c r="I346" t="s">
        <v>2470</v>
      </c>
      <c r="J346" t="s">
        <v>1432</v>
      </c>
      <c r="K346" t="s">
        <v>35</v>
      </c>
      <c r="L346" s="3">
        <v>46673</v>
      </c>
      <c r="M346" s="3">
        <v>46665</v>
      </c>
      <c r="N346" t="s">
        <v>2471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3464</v>
      </c>
      <c r="C347" t="s">
        <v>3465</v>
      </c>
      <c r="D347" s="3">
        <v>30914</v>
      </c>
      <c r="E347" t="s">
        <v>1378</v>
      </c>
      <c r="F347">
        <v>115</v>
      </c>
      <c r="G347" s="3">
        <v>43164</v>
      </c>
      <c r="H347" t="s">
        <v>3466</v>
      </c>
      <c r="J347" t="s">
        <v>1437</v>
      </c>
      <c r="K347" t="s">
        <v>50</v>
      </c>
      <c r="L347" s="3">
        <v>46624</v>
      </c>
      <c r="M347" s="3">
        <v>46621</v>
      </c>
      <c r="N347" t="s">
        <v>3467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1713</v>
      </c>
      <c r="C348" t="s">
        <v>1714</v>
      </c>
      <c r="D348" s="3">
        <v>24440</v>
      </c>
      <c r="E348" t="s">
        <v>1378</v>
      </c>
      <c r="F348">
        <v>168</v>
      </c>
      <c r="G348" s="3">
        <v>43150</v>
      </c>
      <c r="H348" t="s">
        <v>1715</v>
      </c>
      <c r="I348">
        <v>489745145</v>
      </c>
      <c r="J348" t="s">
        <v>1391</v>
      </c>
      <c r="K348" t="s">
        <v>53</v>
      </c>
      <c r="L348" s="3">
        <v>46595</v>
      </c>
      <c r="M348" s="3">
        <v>47594</v>
      </c>
      <c r="N348" t="s">
        <v>1716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2724</v>
      </c>
      <c r="C349" t="s">
        <v>2725</v>
      </c>
      <c r="D349" s="3">
        <v>23792</v>
      </c>
      <c r="E349" t="s">
        <v>1378</v>
      </c>
      <c r="F349">
        <v>217</v>
      </c>
      <c r="G349" s="3">
        <v>43108</v>
      </c>
      <c r="H349" t="s">
        <v>2726</v>
      </c>
      <c r="J349" t="s">
        <v>1396</v>
      </c>
      <c r="K349" t="s">
        <v>50</v>
      </c>
      <c r="L349" s="3">
        <v>46620</v>
      </c>
      <c r="M349" s="3">
        <v>46616</v>
      </c>
      <c r="N349" t="s">
        <v>2727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1967</v>
      </c>
      <c r="C350" t="s">
        <v>1960</v>
      </c>
      <c r="D350" s="3">
        <v>25527</v>
      </c>
      <c r="E350" t="s">
        <v>1378</v>
      </c>
      <c r="F350">
        <v>60</v>
      </c>
      <c r="G350" s="3">
        <v>43108</v>
      </c>
      <c r="H350" t="s">
        <v>1968</v>
      </c>
      <c r="I350" t="s">
        <v>1969</v>
      </c>
      <c r="J350" t="s">
        <v>1437</v>
      </c>
      <c r="K350" t="s">
        <v>41</v>
      </c>
      <c r="L350" s="3">
        <v>46593</v>
      </c>
      <c r="M350" s="3">
        <v>46546</v>
      </c>
      <c r="N350" t="s">
        <v>1970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3235</v>
      </c>
      <c r="C351" t="s">
        <v>3236</v>
      </c>
      <c r="D351" s="3">
        <v>28206</v>
      </c>
      <c r="E351" t="s">
        <v>1378</v>
      </c>
      <c r="F351">
        <v>240</v>
      </c>
      <c r="G351" s="3">
        <v>43073</v>
      </c>
      <c r="H351" t="s">
        <v>3237</v>
      </c>
      <c r="I351" t="s">
        <v>3238</v>
      </c>
      <c r="J351" t="s">
        <v>1920</v>
      </c>
      <c r="K351" t="s">
        <v>41</v>
      </c>
      <c r="L351" s="3">
        <v>46676</v>
      </c>
      <c r="M351" s="3">
        <v>46616</v>
      </c>
      <c r="N351" t="s">
        <v>3239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1898</v>
      </c>
      <c r="C352" t="s">
        <v>1899</v>
      </c>
      <c r="D352" s="3">
        <v>25554</v>
      </c>
      <c r="E352" t="s">
        <v>1378</v>
      </c>
      <c r="F352">
        <v>46</v>
      </c>
      <c r="G352" s="3">
        <v>43031</v>
      </c>
      <c r="H352" t="s">
        <v>1900</v>
      </c>
      <c r="J352" t="s">
        <v>1396</v>
      </c>
      <c r="K352" t="s">
        <v>50</v>
      </c>
      <c r="L352" s="3">
        <v>46637</v>
      </c>
      <c r="M352" s="3">
        <v>46637</v>
      </c>
      <c r="N352" t="s">
        <v>1901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1376</v>
      </c>
      <c r="C353" t="s">
        <v>1377</v>
      </c>
      <c r="D353" s="3">
        <v>28348</v>
      </c>
      <c r="E353" t="s">
        <v>1378</v>
      </c>
      <c r="F353">
        <v>304</v>
      </c>
      <c r="G353" s="3">
        <v>43045</v>
      </c>
      <c r="H353" t="s">
        <v>1379</v>
      </c>
      <c r="I353" t="s">
        <v>1380</v>
      </c>
      <c r="J353" t="s">
        <v>1381</v>
      </c>
      <c r="K353" t="s">
        <v>47</v>
      </c>
      <c r="L353" s="3">
        <v>46517</v>
      </c>
      <c r="M353" s="3">
        <v>46511</v>
      </c>
      <c r="N353" t="s">
        <v>1382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1570</v>
      </c>
      <c r="C354" t="s">
        <v>1571</v>
      </c>
      <c r="D354" s="3">
        <v>35325</v>
      </c>
      <c r="E354" t="s">
        <v>1378</v>
      </c>
      <c r="F354">
        <v>78</v>
      </c>
      <c r="G354" s="3">
        <v>43003</v>
      </c>
      <c r="H354" t="s">
        <v>1572</v>
      </c>
      <c r="J354" t="s">
        <v>1396</v>
      </c>
      <c r="K354" t="s">
        <v>38</v>
      </c>
      <c r="L354" s="3">
        <v>46622</v>
      </c>
      <c r="M354" s="3">
        <v>46621</v>
      </c>
      <c r="N354" t="s">
        <v>1573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2939</v>
      </c>
      <c r="C355" t="s">
        <v>2940</v>
      </c>
      <c r="D355" s="3">
        <v>29257</v>
      </c>
      <c r="E355" t="s">
        <v>1378</v>
      </c>
      <c r="F355">
        <v>69</v>
      </c>
      <c r="G355" s="3">
        <v>43003</v>
      </c>
      <c r="H355" t="s">
        <v>2941</v>
      </c>
      <c r="I355">
        <v>474517590</v>
      </c>
      <c r="J355" t="s">
        <v>1419</v>
      </c>
      <c r="K355" t="s">
        <v>47</v>
      </c>
      <c r="L355" s="3">
        <v>46610</v>
      </c>
      <c r="M355" s="3">
        <v>46565</v>
      </c>
      <c r="N355" t="s">
        <v>2942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2736</v>
      </c>
      <c r="C356" t="s">
        <v>2737</v>
      </c>
      <c r="D356" s="3">
        <v>26130</v>
      </c>
      <c r="E356" t="s">
        <v>1378</v>
      </c>
      <c r="F356">
        <v>204</v>
      </c>
      <c r="G356" s="3">
        <v>42989</v>
      </c>
      <c r="H356" t="s">
        <v>2738</v>
      </c>
      <c r="J356" t="s">
        <v>1458</v>
      </c>
      <c r="K356" t="s">
        <v>50</v>
      </c>
      <c r="L356" s="3">
        <v>46518</v>
      </c>
      <c r="M356" s="3">
        <v>46511</v>
      </c>
      <c r="N356" t="s">
        <v>2739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2545</v>
      </c>
      <c r="C357" t="s">
        <v>3030</v>
      </c>
      <c r="D357" s="3">
        <v>26685</v>
      </c>
      <c r="E357" t="s">
        <v>1378</v>
      </c>
      <c r="G357" s="3">
        <v>42975</v>
      </c>
      <c r="H357" t="s">
        <v>3031</v>
      </c>
      <c r="J357" t="s">
        <v>1835</v>
      </c>
      <c r="K357" t="s">
        <v>38</v>
      </c>
      <c r="L357" s="3">
        <v>46565</v>
      </c>
      <c r="M357" s="3">
        <v>46494</v>
      </c>
      <c r="N357" t="s">
        <v>3032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1650</v>
      </c>
      <c r="C358" t="s">
        <v>1647</v>
      </c>
      <c r="D358" s="3">
        <v>30376</v>
      </c>
      <c r="E358" t="s">
        <v>1378</v>
      </c>
      <c r="F358">
        <v>294</v>
      </c>
      <c r="G358" s="3">
        <v>42933</v>
      </c>
      <c r="H358" t="s">
        <v>1651</v>
      </c>
      <c r="J358" t="s">
        <v>1396</v>
      </c>
      <c r="K358" t="s">
        <v>35</v>
      </c>
      <c r="L358" s="3">
        <v>46515</v>
      </c>
      <c r="M358" s="3">
        <v>46477</v>
      </c>
      <c r="N358" t="s">
        <v>1652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2412</v>
      </c>
      <c r="C359" t="s">
        <v>1347</v>
      </c>
      <c r="D359" s="3">
        <v>30582</v>
      </c>
      <c r="E359" t="s">
        <v>1633</v>
      </c>
      <c r="F359">
        <v>231</v>
      </c>
      <c r="G359" s="3">
        <v>42919</v>
      </c>
      <c r="H359" t="s">
        <v>2413</v>
      </c>
      <c r="I359">
        <v>477594505</v>
      </c>
      <c r="J359" t="s">
        <v>1493</v>
      </c>
      <c r="K359" t="s">
        <v>35</v>
      </c>
      <c r="L359" s="3">
        <v>46537</v>
      </c>
      <c r="M359" s="3">
        <v>46497</v>
      </c>
      <c r="N359" t="s">
        <v>2414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2283</v>
      </c>
      <c r="C360" t="s">
        <v>2284</v>
      </c>
      <c r="D360" s="3">
        <v>28290</v>
      </c>
      <c r="E360" t="s">
        <v>1378</v>
      </c>
      <c r="F360">
        <v>202</v>
      </c>
      <c r="G360" s="3">
        <v>42919</v>
      </c>
      <c r="H360" t="s">
        <v>2285</v>
      </c>
      <c r="J360" t="s">
        <v>1920</v>
      </c>
      <c r="K360" t="s">
        <v>41</v>
      </c>
      <c r="L360" s="3">
        <v>46466</v>
      </c>
      <c r="M360" s="3">
        <v>46460</v>
      </c>
      <c r="N360" t="s">
        <v>2286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2614</v>
      </c>
      <c r="C361" t="s">
        <v>2615</v>
      </c>
      <c r="D361" s="3">
        <v>33354</v>
      </c>
      <c r="E361" t="s">
        <v>1378</v>
      </c>
      <c r="F361">
        <v>223</v>
      </c>
      <c r="G361" s="3">
        <v>42892</v>
      </c>
      <c r="H361" t="s">
        <v>2616</v>
      </c>
      <c r="J361" t="s">
        <v>1565</v>
      </c>
      <c r="K361" t="s">
        <v>50</v>
      </c>
      <c r="L361" s="3">
        <v>46531</v>
      </c>
      <c r="M361" s="3">
        <v>46504</v>
      </c>
      <c r="N361" t="s">
        <v>2617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2231</v>
      </c>
      <c r="C362" t="s">
        <v>2232</v>
      </c>
      <c r="D362" s="3">
        <v>25181</v>
      </c>
      <c r="E362" t="s">
        <v>1378</v>
      </c>
      <c r="F362">
        <v>269</v>
      </c>
      <c r="G362" s="3">
        <v>42877</v>
      </c>
      <c r="H362" t="s">
        <v>2233</v>
      </c>
      <c r="I362" t="s">
        <v>2234</v>
      </c>
      <c r="J362" t="s">
        <v>1396</v>
      </c>
      <c r="K362" t="s">
        <v>35</v>
      </c>
      <c r="L362" s="3">
        <v>46454</v>
      </c>
      <c r="M362" s="3">
        <v>47470</v>
      </c>
      <c r="N362" t="s">
        <v>2235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2472</v>
      </c>
      <c r="C363" t="s">
        <v>1341</v>
      </c>
      <c r="D363" s="3">
        <v>32677</v>
      </c>
      <c r="E363" t="s">
        <v>1378</v>
      </c>
      <c r="F363">
        <v>44</v>
      </c>
      <c r="G363" s="3">
        <v>42877</v>
      </c>
      <c r="H363" t="s">
        <v>2473</v>
      </c>
      <c r="J363" t="s">
        <v>1587</v>
      </c>
      <c r="K363" t="s">
        <v>38</v>
      </c>
      <c r="L363" s="3">
        <v>46461</v>
      </c>
      <c r="M363" s="3">
        <v>46460</v>
      </c>
      <c r="N363" t="s">
        <v>2474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2187</v>
      </c>
      <c r="C364" t="s">
        <v>2188</v>
      </c>
      <c r="D364" s="3">
        <v>34219</v>
      </c>
      <c r="E364" t="s">
        <v>1378</v>
      </c>
      <c r="F364">
        <v>238</v>
      </c>
      <c r="G364" s="3">
        <v>42863</v>
      </c>
      <c r="H364" t="s">
        <v>2189</v>
      </c>
      <c r="J364" t="s">
        <v>1424</v>
      </c>
      <c r="K364" t="s">
        <v>41</v>
      </c>
      <c r="L364" s="3">
        <v>46377</v>
      </c>
      <c r="M364" s="3">
        <v>46369</v>
      </c>
      <c r="N364" t="s">
        <v>2190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2033</v>
      </c>
      <c r="C365" t="s">
        <v>2034</v>
      </c>
      <c r="D365" s="3">
        <v>34483</v>
      </c>
      <c r="E365" t="s">
        <v>1378</v>
      </c>
      <c r="F365">
        <v>111</v>
      </c>
      <c r="G365" s="3">
        <v>42863</v>
      </c>
      <c r="H365" t="s">
        <v>2035</v>
      </c>
      <c r="J365" t="s">
        <v>1603</v>
      </c>
      <c r="K365" t="s">
        <v>41</v>
      </c>
      <c r="L365" s="3">
        <v>46488</v>
      </c>
      <c r="M365" s="3">
        <v>46469</v>
      </c>
      <c r="N365" t="s">
        <v>2036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1860</v>
      </c>
      <c r="C366" t="s">
        <v>1861</v>
      </c>
      <c r="D366" s="3">
        <v>32979</v>
      </c>
      <c r="E366" t="s">
        <v>1378</v>
      </c>
      <c r="F366">
        <v>225</v>
      </c>
      <c r="G366" s="3">
        <v>42843</v>
      </c>
      <c r="H366" t="s">
        <v>1862</v>
      </c>
      <c r="J366" t="s">
        <v>1458</v>
      </c>
      <c r="K366" t="s">
        <v>35</v>
      </c>
      <c r="L366" s="3">
        <v>46434</v>
      </c>
      <c r="M366" s="3">
        <v>46418</v>
      </c>
      <c r="N366" t="s">
        <v>1863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1563</v>
      </c>
      <c r="C367" t="s">
        <v>1550</v>
      </c>
      <c r="D367" s="3">
        <v>32464</v>
      </c>
      <c r="E367" t="s">
        <v>1378</v>
      </c>
      <c r="F367">
        <v>6</v>
      </c>
      <c r="G367" s="3">
        <v>42843</v>
      </c>
      <c r="H367" t="s">
        <v>1564</v>
      </c>
      <c r="J367" t="s">
        <v>1565</v>
      </c>
      <c r="K367" t="s">
        <v>53</v>
      </c>
      <c r="L367" s="3">
        <v>46419</v>
      </c>
      <c r="M367" s="3">
        <v>46418</v>
      </c>
      <c r="N367" t="s">
        <v>1566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1701</v>
      </c>
      <c r="C368" t="s">
        <v>1702</v>
      </c>
      <c r="D368" s="3">
        <v>34332</v>
      </c>
      <c r="E368" t="s">
        <v>1378</v>
      </c>
      <c r="F368">
        <v>248</v>
      </c>
      <c r="G368" s="3">
        <v>42828</v>
      </c>
      <c r="H368" t="s">
        <v>1703</v>
      </c>
      <c r="J368" t="s">
        <v>1565</v>
      </c>
      <c r="K368" t="s">
        <v>35</v>
      </c>
      <c r="L368" s="3">
        <v>46455</v>
      </c>
      <c r="M368" s="3">
        <v>46453</v>
      </c>
      <c r="N368" t="s">
        <v>1704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2077</v>
      </c>
      <c r="C369" t="s">
        <v>2074</v>
      </c>
      <c r="D369" s="3">
        <v>28234</v>
      </c>
      <c r="E369" t="s">
        <v>1633</v>
      </c>
      <c r="F369">
        <v>62</v>
      </c>
      <c r="G369" s="3">
        <v>42758</v>
      </c>
      <c r="H369" t="s">
        <v>2078</v>
      </c>
      <c r="J369" t="s">
        <v>1565</v>
      </c>
      <c r="K369" t="s">
        <v>35</v>
      </c>
      <c r="L369" s="3">
        <v>46330</v>
      </c>
      <c r="M369" s="3">
        <v>46320</v>
      </c>
      <c r="N369" t="s">
        <v>2079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1997</v>
      </c>
      <c r="C370" t="s">
        <v>1991</v>
      </c>
      <c r="D370" s="3">
        <v>28695</v>
      </c>
      <c r="E370" t="s">
        <v>1378</v>
      </c>
      <c r="F370">
        <v>228</v>
      </c>
      <c r="G370" s="3">
        <v>42751</v>
      </c>
      <c r="H370" t="s">
        <v>1998</v>
      </c>
      <c r="J370" t="s">
        <v>1396</v>
      </c>
      <c r="K370" t="s">
        <v>41</v>
      </c>
      <c r="L370" s="3">
        <v>46754</v>
      </c>
      <c r="M370" s="3">
        <v>46960</v>
      </c>
      <c r="N370" t="s">
        <v>1999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2666</v>
      </c>
      <c r="C371" t="s">
        <v>2890</v>
      </c>
      <c r="D371" s="3">
        <v>34227</v>
      </c>
      <c r="E371" t="s">
        <v>1378</v>
      </c>
      <c r="F371">
        <v>229</v>
      </c>
      <c r="G371" s="3">
        <v>42744</v>
      </c>
      <c r="H371" t="s">
        <v>2891</v>
      </c>
      <c r="J371" t="s">
        <v>1565</v>
      </c>
      <c r="K371" t="s">
        <v>35</v>
      </c>
      <c r="L371" s="3">
        <v>46279</v>
      </c>
      <c r="M371" s="3">
        <v>46201</v>
      </c>
      <c r="N371" t="s">
        <v>2892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2978</v>
      </c>
      <c r="C372" t="s">
        <v>2972</v>
      </c>
      <c r="D372" s="3">
        <v>34747</v>
      </c>
      <c r="E372" t="s">
        <v>1378</v>
      </c>
      <c r="F372">
        <v>89</v>
      </c>
      <c r="G372" s="3">
        <v>42674</v>
      </c>
      <c r="H372" t="s">
        <v>2979</v>
      </c>
      <c r="J372" t="s">
        <v>1386</v>
      </c>
      <c r="K372" t="s">
        <v>41</v>
      </c>
      <c r="L372" s="3">
        <v>46263</v>
      </c>
      <c r="M372" s="3">
        <v>46210</v>
      </c>
      <c r="N372" t="s">
        <v>2980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1728</v>
      </c>
      <c r="C373" t="s">
        <v>1729</v>
      </c>
      <c r="D373" s="3">
        <v>27145</v>
      </c>
      <c r="E373" t="s">
        <v>1378</v>
      </c>
      <c r="F373">
        <v>50</v>
      </c>
      <c r="G373" s="3">
        <v>42646</v>
      </c>
      <c r="H373" t="s">
        <v>1730</v>
      </c>
      <c r="J373" t="s">
        <v>1410</v>
      </c>
      <c r="K373" t="s">
        <v>56</v>
      </c>
      <c r="L373" s="3">
        <v>46238</v>
      </c>
      <c r="M373" s="3">
        <v>46210</v>
      </c>
      <c r="N373" t="s">
        <v>1731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2154</v>
      </c>
      <c r="C374" t="s">
        <v>2155</v>
      </c>
      <c r="D374" s="3">
        <v>28226</v>
      </c>
      <c r="E374" t="s">
        <v>1378</v>
      </c>
      <c r="F374">
        <v>33</v>
      </c>
      <c r="G374" s="3">
        <v>42643</v>
      </c>
      <c r="H374" t="s">
        <v>2156</v>
      </c>
      <c r="I374">
        <v>94306073</v>
      </c>
      <c r="J374" t="s">
        <v>1603</v>
      </c>
      <c r="K374" t="s">
        <v>47</v>
      </c>
      <c r="L374" s="3">
        <v>46286</v>
      </c>
      <c r="M374" s="3">
        <v>46187</v>
      </c>
      <c r="N374" t="s">
        <v>2157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2191</v>
      </c>
      <c r="C375" t="s">
        <v>1343</v>
      </c>
      <c r="D375" s="3">
        <v>30190</v>
      </c>
      <c r="E375" t="s">
        <v>1378</v>
      </c>
      <c r="F375">
        <v>13</v>
      </c>
      <c r="G375" s="3">
        <v>42618</v>
      </c>
      <c r="H375" t="s">
        <v>2192</v>
      </c>
      <c r="J375" t="s">
        <v>1410</v>
      </c>
      <c r="K375" t="s">
        <v>53</v>
      </c>
      <c r="L375" s="3">
        <v>46218</v>
      </c>
      <c r="M375" s="3">
        <v>46182</v>
      </c>
      <c r="N375" t="s">
        <v>2193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2056</v>
      </c>
      <c r="C376" t="s">
        <v>2057</v>
      </c>
      <c r="D376" s="3">
        <v>28962</v>
      </c>
      <c r="E376" t="s">
        <v>1378</v>
      </c>
      <c r="F376">
        <v>419</v>
      </c>
      <c r="G376" s="3">
        <v>42604</v>
      </c>
      <c r="H376" t="s">
        <v>2058</v>
      </c>
      <c r="I376">
        <v>486365426</v>
      </c>
      <c r="J376" t="s">
        <v>1410</v>
      </c>
      <c r="K376" t="s">
        <v>41</v>
      </c>
      <c r="L376" s="3">
        <v>46316</v>
      </c>
      <c r="M376" s="3">
        <v>46181</v>
      </c>
      <c r="N376" t="s">
        <v>2059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2459</v>
      </c>
      <c r="C377" t="s">
        <v>2453</v>
      </c>
      <c r="D377" s="3">
        <v>34149</v>
      </c>
      <c r="E377" t="s">
        <v>1378</v>
      </c>
      <c r="F377">
        <v>389</v>
      </c>
      <c r="G377" s="3">
        <v>42604</v>
      </c>
      <c r="H377" t="s">
        <v>2460</v>
      </c>
      <c r="J377" t="s">
        <v>1396</v>
      </c>
      <c r="K377" t="s">
        <v>56</v>
      </c>
      <c r="L377" s="3">
        <v>46081</v>
      </c>
      <c r="M377" s="3">
        <v>46056</v>
      </c>
      <c r="N377" t="s">
        <v>2461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2618</v>
      </c>
      <c r="C378" t="s">
        <v>2619</v>
      </c>
      <c r="D378" s="3">
        <v>32844</v>
      </c>
      <c r="E378" t="s">
        <v>1378</v>
      </c>
      <c r="G378" s="3">
        <v>42562</v>
      </c>
      <c r="H378" t="s">
        <v>2620</v>
      </c>
      <c r="J378" t="s">
        <v>1396</v>
      </c>
      <c r="K378" t="s">
        <v>41</v>
      </c>
      <c r="L378" s="3">
        <v>46159</v>
      </c>
      <c r="M378" s="3">
        <v>46147</v>
      </c>
      <c r="N378" t="s">
        <v>2621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2893</v>
      </c>
      <c r="C379" t="s">
        <v>2890</v>
      </c>
      <c r="D379" s="3">
        <v>29408</v>
      </c>
      <c r="E379" t="s">
        <v>1378</v>
      </c>
      <c r="F379">
        <v>128</v>
      </c>
      <c r="G379" s="3">
        <v>42548</v>
      </c>
      <c r="H379" t="s">
        <v>2894</v>
      </c>
      <c r="J379" t="s">
        <v>1635</v>
      </c>
      <c r="K379" t="s">
        <v>35</v>
      </c>
      <c r="L379" s="3">
        <v>46207</v>
      </c>
      <c r="M379" s="3">
        <v>45935</v>
      </c>
      <c r="N379" t="s">
        <v>2895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2565</v>
      </c>
      <c r="C380" t="s">
        <v>2562</v>
      </c>
      <c r="D380" s="3">
        <v>25679</v>
      </c>
      <c r="E380" t="s">
        <v>1378</v>
      </c>
      <c r="F380">
        <v>187</v>
      </c>
      <c r="G380" s="3">
        <v>42534</v>
      </c>
      <c r="H380" t="s">
        <v>2566</v>
      </c>
      <c r="J380" t="s">
        <v>1493</v>
      </c>
      <c r="K380" t="s">
        <v>53</v>
      </c>
      <c r="L380" s="3">
        <v>46134</v>
      </c>
      <c r="M380" s="3">
        <v>46097</v>
      </c>
      <c r="N380" t="s">
        <v>2567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2018</v>
      </c>
      <c r="C381" t="s">
        <v>2093</v>
      </c>
      <c r="D381" s="3">
        <v>25613</v>
      </c>
      <c r="E381" t="s">
        <v>1378</v>
      </c>
      <c r="F381">
        <v>51</v>
      </c>
      <c r="G381" s="3">
        <v>42429</v>
      </c>
      <c r="H381" t="s">
        <v>2105</v>
      </c>
      <c r="J381" t="s">
        <v>1565</v>
      </c>
      <c r="K381" t="s">
        <v>47</v>
      </c>
      <c r="L381" s="3">
        <v>45966</v>
      </c>
      <c r="M381" s="3">
        <v>45958</v>
      </c>
      <c r="N381" t="s">
        <v>2106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3050</v>
      </c>
      <c r="C382" t="s">
        <v>3051</v>
      </c>
      <c r="D382" s="3">
        <v>27976</v>
      </c>
      <c r="E382" t="s">
        <v>1378</v>
      </c>
      <c r="F382">
        <v>474</v>
      </c>
      <c r="G382" s="3">
        <v>42296</v>
      </c>
      <c r="H382" t="s">
        <v>3052</v>
      </c>
      <c r="I382">
        <v>93845873</v>
      </c>
      <c r="J382" t="s">
        <v>1396</v>
      </c>
      <c r="K382" t="s">
        <v>38</v>
      </c>
      <c r="L382" s="3">
        <v>47602</v>
      </c>
      <c r="M382" s="3">
        <v>47594</v>
      </c>
      <c r="N382" t="s">
        <v>3053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2662</v>
      </c>
      <c r="C383" t="s">
        <v>2663</v>
      </c>
      <c r="D383" s="3">
        <v>34204</v>
      </c>
      <c r="E383" t="s">
        <v>1378</v>
      </c>
      <c r="G383" s="3">
        <v>42296</v>
      </c>
      <c r="H383" t="s">
        <v>2664</v>
      </c>
      <c r="I383">
        <v>0</v>
      </c>
      <c r="J383" t="s">
        <v>1419</v>
      </c>
      <c r="K383" t="s">
        <v>47</v>
      </c>
      <c r="L383" s="3">
        <v>46181</v>
      </c>
      <c r="M383" s="3">
        <v>46105</v>
      </c>
      <c r="N383" t="s">
        <v>2665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1717</v>
      </c>
      <c r="C384" t="s">
        <v>1718</v>
      </c>
      <c r="D384" s="3">
        <v>31065</v>
      </c>
      <c r="E384" t="s">
        <v>1378</v>
      </c>
      <c r="F384">
        <v>369</v>
      </c>
      <c r="G384" s="3">
        <v>42282</v>
      </c>
      <c r="H384" t="s">
        <v>1719</v>
      </c>
      <c r="J384" t="s">
        <v>1458</v>
      </c>
      <c r="K384" t="s">
        <v>35</v>
      </c>
      <c r="L384" s="3">
        <v>73050</v>
      </c>
      <c r="M384" s="3">
        <v>73050</v>
      </c>
      <c r="N384" t="s">
        <v>1720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1940</v>
      </c>
      <c r="C385" t="s">
        <v>2596</v>
      </c>
      <c r="D385" s="3">
        <v>31836</v>
      </c>
      <c r="E385" t="s">
        <v>1378</v>
      </c>
      <c r="F385">
        <v>266</v>
      </c>
      <c r="G385" s="3">
        <v>42268</v>
      </c>
      <c r="H385" t="s">
        <v>2599</v>
      </c>
      <c r="J385" t="s">
        <v>1506</v>
      </c>
      <c r="K385" t="s">
        <v>53</v>
      </c>
      <c r="L385" s="3">
        <v>47576</v>
      </c>
      <c r="M385" s="3">
        <v>47524</v>
      </c>
      <c r="N385" t="s">
        <v>2600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3357</v>
      </c>
      <c r="C386" t="s">
        <v>3358</v>
      </c>
      <c r="D386" s="3">
        <v>22410</v>
      </c>
      <c r="E386" t="s">
        <v>1378</v>
      </c>
      <c r="F386">
        <v>134</v>
      </c>
      <c r="G386" s="3">
        <v>42198</v>
      </c>
      <c r="H386" t="s">
        <v>3359</v>
      </c>
      <c r="I386">
        <v>92280648</v>
      </c>
      <c r="J386" t="s">
        <v>1396</v>
      </c>
      <c r="K386" t="s">
        <v>44</v>
      </c>
      <c r="L386" s="3">
        <v>47533</v>
      </c>
      <c r="M386" s="3">
        <v>47524</v>
      </c>
      <c r="N386" t="s">
        <v>3360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1567</v>
      </c>
      <c r="C387" t="s">
        <v>1550</v>
      </c>
      <c r="D387" s="3">
        <v>24008</v>
      </c>
      <c r="E387" t="s">
        <v>1378</v>
      </c>
      <c r="F387">
        <v>143</v>
      </c>
      <c r="G387" s="3">
        <v>42198</v>
      </c>
      <c r="H387" t="s">
        <v>1568</v>
      </c>
      <c r="J387" t="s">
        <v>1458</v>
      </c>
      <c r="K387" t="s">
        <v>35</v>
      </c>
      <c r="L387" s="3">
        <v>47569</v>
      </c>
      <c r="M387" s="3">
        <v>47517</v>
      </c>
      <c r="N387" t="s">
        <v>1569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2900</v>
      </c>
      <c r="C388" t="s">
        <v>2901</v>
      </c>
      <c r="D388" s="3">
        <v>24617</v>
      </c>
      <c r="E388" t="s">
        <v>1378</v>
      </c>
      <c r="F388">
        <v>346</v>
      </c>
      <c r="G388" s="3">
        <v>42121</v>
      </c>
      <c r="H388" t="s">
        <v>2902</v>
      </c>
      <c r="I388">
        <v>0</v>
      </c>
      <c r="J388" t="s">
        <v>1432</v>
      </c>
      <c r="K388" t="s">
        <v>35</v>
      </c>
      <c r="L388" s="3">
        <v>47614</v>
      </c>
      <c r="M388" s="3">
        <v>47195</v>
      </c>
      <c r="N388" t="s">
        <v>2903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3342</v>
      </c>
      <c r="C389" t="s">
        <v>3343</v>
      </c>
      <c r="D389" s="3">
        <v>32133</v>
      </c>
      <c r="E389" t="s">
        <v>1633</v>
      </c>
      <c r="F389">
        <v>401</v>
      </c>
      <c r="G389" s="3">
        <v>42121</v>
      </c>
      <c r="H389" t="s">
        <v>3344</v>
      </c>
      <c r="J389" t="s">
        <v>1699</v>
      </c>
      <c r="K389" t="s">
        <v>35</v>
      </c>
      <c r="L389" s="3">
        <v>47485</v>
      </c>
      <c r="M389" s="3">
        <v>47470</v>
      </c>
      <c r="N389" t="s">
        <v>3345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2501</v>
      </c>
      <c r="C390" t="s">
        <v>2502</v>
      </c>
      <c r="D390" s="3">
        <v>24404</v>
      </c>
      <c r="E390" t="s">
        <v>1378</v>
      </c>
      <c r="F390">
        <v>173</v>
      </c>
      <c r="G390" s="3">
        <v>42107</v>
      </c>
      <c r="H390" t="s">
        <v>2503</v>
      </c>
      <c r="I390">
        <v>56371827</v>
      </c>
      <c r="J390" t="s">
        <v>1497</v>
      </c>
      <c r="K390" t="s">
        <v>47</v>
      </c>
      <c r="L390" s="3">
        <v>47322</v>
      </c>
      <c r="M390" s="3">
        <v>47306</v>
      </c>
      <c r="N390" t="s">
        <v>2504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3338</v>
      </c>
      <c r="C391" t="s">
        <v>3339</v>
      </c>
      <c r="D391" s="3">
        <v>28476</v>
      </c>
      <c r="E391" t="s">
        <v>1378</v>
      </c>
      <c r="F391">
        <v>70</v>
      </c>
      <c r="G391" s="3">
        <v>42093</v>
      </c>
      <c r="H391" t="s">
        <v>3340</v>
      </c>
      <c r="J391" t="s">
        <v>1396</v>
      </c>
      <c r="K391" t="s">
        <v>38</v>
      </c>
      <c r="L391" s="3">
        <v>47454</v>
      </c>
      <c r="M391" s="3">
        <v>47449</v>
      </c>
      <c r="N391" t="s">
        <v>3341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2815</v>
      </c>
      <c r="C392" t="s">
        <v>2816</v>
      </c>
      <c r="D392" s="3">
        <v>33868</v>
      </c>
      <c r="E392" t="s">
        <v>1378</v>
      </c>
      <c r="G392" s="3">
        <v>42065</v>
      </c>
      <c r="H392" t="s">
        <v>2817</v>
      </c>
      <c r="J392" t="s">
        <v>1386</v>
      </c>
      <c r="K392" t="s">
        <v>35</v>
      </c>
      <c r="L392" s="3">
        <v>47499</v>
      </c>
      <c r="M392" s="3">
        <v>47441</v>
      </c>
      <c r="N392" t="s">
        <v>2818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2006</v>
      </c>
      <c r="C393" t="s">
        <v>2213</v>
      </c>
      <c r="D393" s="3">
        <v>30289</v>
      </c>
      <c r="E393" t="s">
        <v>1378</v>
      </c>
      <c r="F393">
        <v>455</v>
      </c>
      <c r="G393" s="3">
        <v>42051</v>
      </c>
      <c r="H393" t="s">
        <v>2214</v>
      </c>
      <c r="J393" t="s">
        <v>1462</v>
      </c>
      <c r="K393" t="s">
        <v>35</v>
      </c>
      <c r="L393" s="3">
        <v>47471</v>
      </c>
      <c r="M393" s="3">
        <v>47462</v>
      </c>
      <c r="N393" t="s">
        <v>2215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2110</v>
      </c>
      <c r="C394" t="s">
        <v>2111</v>
      </c>
      <c r="D394" s="3">
        <v>33643</v>
      </c>
      <c r="E394" t="s">
        <v>1378</v>
      </c>
      <c r="F394">
        <v>388</v>
      </c>
      <c r="G394" s="3">
        <v>42023</v>
      </c>
      <c r="H394" t="s">
        <v>2112</v>
      </c>
      <c r="J394" t="s">
        <v>1381</v>
      </c>
      <c r="K394" t="s">
        <v>44</v>
      </c>
      <c r="L394" s="3">
        <v>47399</v>
      </c>
      <c r="M394" s="3">
        <v>47369</v>
      </c>
      <c r="N394" t="s">
        <v>2113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2634</v>
      </c>
      <c r="C395" t="s">
        <v>2631</v>
      </c>
      <c r="D395" s="3">
        <v>28532</v>
      </c>
      <c r="E395" t="s">
        <v>1378</v>
      </c>
      <c r="F395">
        <v>330</v>
      </c>
      <c r="G395" s="3">
        <v>41981</v>
      </c>
      <c r="H395" t="s">
        <v>2635</v>
      </c>
      <c r="J395" t="s">
        <v>1493</v>
      </c>
      <c r="K395" t="s">
        <v>56</v>
      </c>
      <c r="L395" s="3">
        <v>47335</v>
      </c>
      <c r="M395" s="3">
        <v>47293</v>
      </c>
      <c r="N395" t="s">
        <v>2636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1632</v>
      </c>
      <c r="C396" t="s">
        <v>1328</v>
      </c>
      <c r="D396" s="3">
        <v>32280</v>
      </c>
      <c r="E396" t="s">
        <v>1633</v>
      </c>
      <c r="F396">
        <v>366</v>
      </c>
      <c r="G396" s="3">
        <v>41981</v>
      </c>
      <c r="H396" t="s">
        <v>1634</v>
      </c>
      <c r="J396" t="s">
        <v>1635</v>
      </c>
      <c r="K396" t="s">
        <v>35</v>
      </c>
      <c r="L396" s="3">
        <v>47341</v>
      </c>
      <c r="M396" s="3">
        <v>47449</v>
      </c>
      <c r="N396" t="s">
        <v>1636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2740</v>
      </c>
      <c r="C397" t="s">
        <v>2741</v>
      </c>
      <c r="D397" s="3">
        <v>21893</v>
      </c>
      <c r="E397" t="s">
        <v>1378</v>
      </c>
      <c r="F397">
        <v>437</v>
      </c>
      <c r="G397" s="3">
        <v>41946</v>
      </c>
      <c r="H397" t="s">
        <v>2742</v>
      </c>
      <c r="J397" t="s">
        <v>1515</v>
      </c>
      <c r="K397" t="s">
        <v>53</v>
      </c>
      <c r="L397" s="3">
        <v>47509</v>
      </c>
      <c r="M397" s="3">
        <v>47460</v>
      </c>
      <c r="N397" t="s">
        <v>2743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3202</v>
      </c>
      <c r="C398" t="s">
        <v>3203</v>
      </c>
      <c r="D398" s="3">
        <v>30968</v>
      </c>
      <c r="E398" t="s">
        <v>1378</v>
      </c>
      <c r="F398">
        <v>436</v>
      </c>
      <c r="G398" s="3">
        <v>41946</v>
      </c>
      <c r="H398" t="s">
        <v>3204</v>
      </c>
      <c r="J398" t="s">
        <v>1635</v>
      </c>
      <c r="K398" t="s">
        <v>56</v>
      </c>
      <c r="L398" s="3">
        <v>47279</v>
      </c>
      <c r="M398" s="3">
        <v>47267</v>
      </c>
      <c r="N398" t="s">
        <v>3205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1747</v>
      </c>
      <c r="C399" t="s">
        <v>1748</v>
      </c>
      <c r="D399" s="3">
        <v>29675</v>
      </c>
      <c r="E399" t="s">
        <v>1378</v>
      </c>
      <c r="F399">
        <v>375</v>
      </c>
      <c r="G399" s="3">
        <v>41904</v>
      </c>
      <c r="H399" t="s">
        <v>1749</v>
      </c>
      <c r="J399" t="s">
        <v>1437</v>
      </c>
      <c r="K399" t="s">
        <v>38</v>
      </c>
      <c r="L399" s="3">
        <v>47427</v>
      </c>
      <c r="M399" s="3">
        <v>47338</v>
      </c>
      <c r="N399" t="s">
        <v>1750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1542</v>
      </c>
      <c r="C400" t="s">
        <v>2879</v>
      </c>
      <c r="D400" s="3">
        <v>29005</v>
      </c>
      <c r="E400" t="s">
        <v>1378</v>
      </c>
      <c r="F400">
        <v>298</v>
      </c>
      <c r="G400" s="3">
        <v>41855</v>
      </c>
      <c r="H400" t="s">
        <v>2880</v>
      </c>
      <c r="J400" t="s">
        <v>1603</v>
      </c>
      <c r="K400" t="s">
        <v>53</v>
      </c>
      <c r="L400" s="3">
        <v>47205</v>
      </c>
      <c r="M400" s="3">
        <v>47195</v>
      </c>
      <c r="N400" t="s">
        <v>2881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2856</v>
      </c>
      <c r="C401" t="s">
        <v>2857</v>
      </c>
      <c r="D401" s="3">
        <v>25391</v>
      </c>
      <c r="E401" t="s">
        <v>1378</v>
      </c>
      <c r="F401">
        <v>339</v>
      </c>
      <c r="G401" s="3">
        <v>41827</v>
      </c>
      <c r="H401" t="s">
        <v>2858</v>
      </c>
      <c r="J401" t="s">
        <v>1396</v>
      </c>
      <c r="K401" t="s">
        <v>38</v>
      </c>
      <c r="L401" s="3">
        <v>47243</v>
      </c>
      <c r="M401" s="3">
        <v>47196</v>
      </c>
      <c r="N401" t="s">
        <v>2859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2981</v>
      </c>
      <c r="C402" t="s">
        <v>2982</v>
      </c>
      <c r="D402" s="3">
        <v>32059</v>
      </c>
      <c r="E402" t="s">
        <v>1378</v>
      </c>
      <c r="F402">
        <v>276</v>
      </c>
      <c r="G402" s="3">
        <v>41827</v>
      </c>
      <c r="H402" t="s">
        <v>2983</v>
      </c>
      <c r="I402" t="s">
        <v>2984</v>
      </c>
      <c r="J402" t="s">
        <v>1565</v>
      </c>
      <c r="K402" t="s">
        <v>53</v>
      </c>
      <c r="L402" s="3">
        <v>47278</v>
      </c>
      <c r="M402" s="3">
        <v>46042</v>
      </c>
      <c r="N402" t="s">
        <v>2985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2377</v>
      </c>
      <c r="C403" t="s">
        <v>2378</v>
      </c>
      <c r="D403" s="3">
        <v>22706</v>
      </c>
      <c r="E403" t="s">
        <v>1378</v>
      </c>
      <c r="F403">
        <v>55</v>
      </c>
      <c r="G403" s="3">
        <v>41771</v>
      </c>
      <c r="H403" t="s">
        <v>2379</v>
      </c>
      <c r="J403" t="s">
        <v>1396</v>
      </c>
      <c r="K403" t="s">
        <v>44</v>
      </c>
      <c r="L403" s="3">
        <v>45543</v>
      </c>
      <c r="M403" s="3">
        <v>45306</v>
      </c>
      <c r="N403" t="s">
        <v>2380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2018</v>
      </c>
      <c r="C404" t="s">
        <v>2019</v>
      </c>
      <c r="D404" s="3">
        <v>30034</v>
      </c>
      <c r="E404" t="s">
        <v>1378</v>
      </c>
      <c r="F404">
        <v>144</v>
      </c>
      <c r="G404" s="3">
        <v>41743</v>
      </c>
      <c r="H404" t="s">
        <v>2020</v>
      </c>
      <c r="J404" t="s">
        <v>1635</v>
      </c>
      <c r="K404" t="s">
        <v>38</v>
      </c>
      <c r="L404" s="3">
        <v>47216</v>
      </c>
      <c r="M404" s="3">
        <v>47195</v>
      </c>
      <c r="N404" t="s">
        <v>2021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3231</v>
      </c>
      <c r="C405" t="s">
        <v>3232</v>
      </c>
      <c r="D405" s="3">
        <v>33067</v>
      </c>
      <c r="E405" t="s">
        <v>1378</v>
      </c>
      <c r="F405">
        <v>241</v>
      </c>
      <c r="G405" s="3">
        <v>41722</v>
      </c>
      <c r="H405" t="s">
        <v>3233</v>
      </c>
      <c r="J405" t="s">
        <v>1497</v>
      </c>
      <c r="K405" t="s">
        <v>44</v>
      </c>
      <c r="L405" s="3">
        <v>47135</v>
      </c>
      <c r="M405" s="3">
        <v>47051</v>
      </c>
      <c r="N405" t="s">
        <v>3234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2044</v>
      </c>
      <c r="C406" t="s">
        <v>2045</v>
      </c>
      <c r="D406" s="3">
        <v>29494</v>
      </c>
      <c r="E406" t="s">
        <v>1378</v>
      </c>
      <c r="F406">
        <v>619</v>
      </c>
      <c r="G406" s="3">
        <v>41722</v>
      </c>
      <c r="H406" t="s">
        <v>2046</v>
      </c>
      <c r="J406" t="s">
        <v>1493</v>
      </c>
      <c r="K406" t="s">
        <v>44</v>
      </c>
      <c r="L406" s="3">
        <v>47108</v>
      </c>
      <c r="M406" s="3">
        <v>47034</v>
      </c>
      <c r="N406" t="s">
        <v>2047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2949</v>
      </c>
      <c r="C407" t="s">
        <v>1330</v>
      </c>
      <c r="D407" s="3">
        <v>27974</v>
      </c>
      <c r="E407" t="s">
        <v>1378</v>
      </c>
      <c r="F407">
        <v>652</v>
      </c>
      <c r="G407" s="3">
        <v>41708</v>
      </c>
      <c r="H407" t="s">
        <v>2950</v>
      </c>
      <c r="J407" t="s">
        <v>1603</v>
      </c>
      <c r="K407" t="s">
        <v>38</v>
      </c>
      <c r="L407" s="3">
        <v>47643</v>
      </c>
      <c r="M407" s="3">
        <v>46974</v>
      </c>
      <c r="N407" t="s">
        <v>2951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2060</v>
      </c>
      <c r="C408" t="s">
        <v>2061</v>
      </c>
      <c r="D408" s="3">
        <v>31809</v>
      </c>
      <c r="E408" t="s">
        <v>1378</v>
      </c>
      <c r="F408">
        <v>41</v>
      </c>
      <c r="G408" s="3">
        <v>41701</v>
      </c>
      <c r="H408" t="s">
        <v>2062</v>
      </c>
      <c r="J408" t="s">
        <v>1565</v>
      </c>
      <c r="K408" t="s">
        <v>56</v>
      </c>
      <c r="L408" s="3">
        <v>47128</v>
      </c>
      <c r="M408" s="3">
        <v>47077</v>
      </c>
      <c r="N408" t="s">
        <v>2063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2158</v>
      </c>
      <c r="C409" t="s">
        <v>2159</v>
      </c>
      <c r="D409" s="3">
        <v>27642</v>
      </c>
      <c r="E409" t="s">
        <v>1378</v>
      </c>
      <c r="F409">
        <v>17</v>
      </c>
      <c r="G409" s="3">
        <v>41680</v>
      </c>
      <c r="H409" t="s">
        <v>2160</v>
      </c>
      <c r="J409" t="s">
        <v>1565</v>
      </c>
      <c r="K409" t="s">
        <v>56</v>
      </c>
      <c r="L409" s="3">
        <v>47174</v>
      </c>
      <c r="M409" s="3">
        <v>47615</v>
      </c>
      <c r="N409" t="s">
        <v>2161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2674</v>
      </c>
      <c r="C410" t="s">
        <v>1330</v>
      </c>
      <c r="D410" s="3">
        <v>27229</v>
      </c>
      <c r="E410" t="s">
        <v>1378</v>
      </c>
      <c r="F410">
        <v>25</v>
      </c>
      <c r="G410" s="3">
        <v>41659</v>
      </c>
      <c r="H410" t="s">
        <v>2947</v>
      </c>
      <c r="J410" t="s">
        <v>1410</v>
      </c>
      <c r="K410" t="s">
        <v>56</v>
      </c>
      <c r="L410" s="3">
        <v>46859</v>
      </c>
      <c r="M410" s="3">
        <v>46853</v>
      </c>
      <c r="N410" t="s">
        <v>2948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1864</v>
      </c>
      <c r="C411" t="s">
        <v>1865</v>
      </c>
      <c r="D411" s="3">
        <v>28385</v>
      </c>
      <c r="E411" t="s">
        <v>1378</v>
      </c>
      <c r="F411">
        <v>184</v>
      </c>
      <c r="G411" s="3">
        <v>41617</v>
      </c>
      <c r="H411" t="s">
        <v>1866</v>
      </c>
      <c r="I411">
        <v>92315307</v>
      </c>
      <c r="J411" t="s">
        <v>1603</v>
      </c>
      <c r="K411" t="s">
        <v>41</v>
      </c>
      <c r="L411" s="3">
        <v>47034</v>
      </c>
      <c r="M411" s="3">
        <v>46925</v>
      </c>
      <c r="N411" t="s">
        <v>1867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1539</v>
      </c>
      <c r="C412" t="s">
        <v>2394</v>
      </c>
      <c r="D412" s="3">
        <v>25640</v>
      </c>
      <c r="E412" t="s">
        <v>1378</v>
      </c>
      <c r="F412">
        <v>3</v>
      </c>
      <c r="G412" s="3">
        <v>41421</v>
      </c>
      <c r="H412" t="s">
        <v>2400</v>
      </c>
      <c r="I412">
        <v>55427502</v>
      </c>
      <c r="J412" t="s">
        <v>1699</v>
      </c>
      <c r="K412" t="s">
        <v>53</v>
      </c>
      <c r="L412" s="3">
        <v>46777</v>
      </c>
      <c r="M412" s="3">
        <v>46763</v>
      </c>
      <c r="N412" t="s">
        <v>2401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2385</v>
      </c>
      <c r="C413" t="s">
        <v>2386</v>
      </c>
      <c r="D413" s="3">
        <v>25585</v>
      </c>
      <c r="E413" t="s">
        <v>1378</v>
      </c>
      <c r="F413">
        <v>179</v>
      </c>
      <c r="G413" s="3">
        <v>41372</v>
      </c>
      <c r="H413" t="s">
        <v>2387</v>
      </c>
      <c r="J413" t="s">
        <v>1497</v>
      </c>
      <c r="K413" t="s">
        <v>56</v>
      </c>
      <c r="L413" s="3">
        <v>46877</v>
      </c>
      <c r="M413" s="3">
        <v>47083</v>
      </c>
      <c r="N413" t="s">
        <v>2388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1773</v>
      </c>
      <c r="C414" t="s">
        <v>1774</v>
      </c>
      <c r="D414" s="3">
        <v>30399</v>
      </c>
      <c r="E414" t="s">
        <v>1378</v>
      </c>
      <c r="F414">
        <v>602</v>
      </c>
      <c r="G414" s="3">
        <v>41372</v>
      </c>
      <c r="H414" t="s">
        <v>1775</v>
      </c>
      <c r="J414" t="s">
        <v>1635</v>
      </c>
      <c r="K414" t="s">
        <v>53</v>
      </c>
      <c r="L414" s="3">
        <v>46817</v>
      </c>
      <c r="M414" s="3">
        <v>46735</v>
      </c>
      <c r="N414" t="s">
        <v>1776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2381</v>
      </c>
      <c r="C415" t="s">
        <v>2382</v>
      </c>
      <c r="D415" s="3">
        <v>25648</v>
      </c>
      <c r="E415" t="s">
        <v>1378</v>
      </c>
      <c r="F415">
        <v>221</v>
      </c>
      <c r="G415" s="3">
        <v>41313</v>
      </c>
      <c r="H415" t="s">
        <v>2383</v>
      </c>
      <c r="J415" t="s">
        <v>1458</v>
      </c>
      <c r="K415" t="s">
        <v>53</v>
      </c>
      <c r="L415" s="3">
        <v>46166</v>
      </c>
      <c r="M415" s="3">
        <v>47135</v>
      </c>
      <c r="N415" t="s">
        <v>2384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2194</v>
      </c>
      <c r="C416" t="s">
        <v>2195</v>
      </c>
      <c r="D416" s="3">
        <v>24757</v>
      </c>
      <c r="E416" t="s">
        <v>1378</v>
      </c>
      <c r="F416">
        <v>96</v>
      </c>
      <c r="G416" s="3">
        <v>41253</v>
      </c>
      <c r="H416" t="s">
        <v>2196</v>
      </c>
      <c r="J416" t="s">
        <v>1458</v>
      </c>
      <c r="K416" t="s">
        <v>53</v>
      </c>
      <c r="L416" s="3">
        <v>46735</v>
      </c>
      <c r="M416" s="3">
        <v>46254</v>
      </c>
      <c r="N416" t="s">
        <v>2197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3282</v>
      </c>
      <c r="C417" t="s">
        <v>1351</v>
      </c>
      <c r="D417" s="3">
        <v>25474</v>
      </c>
      <c r="E417" t="s">
        <v>1378</v>
      </c>
      <c r="F417">
        <v>77</v>
      </c>
      <c r="G417" s="3">
        <v>41218</v>
      </c>
      <c r="H417" t="s">
        <v>3283</v>
      </c>
      <c r="J417" t="s">
        <v>1458</v>
      </c>
      <c r="K417" t="s">
        <v>53</v>
      </c>
      <c r="L417" s="3">
        <v>46601</v>
      </c>
      <c r="M417" s="3">
        <v>46593</v>
      </c>
      <c r="N417" t="s">
        <v>3284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3073</v>
      </c>
      <c r="C418" t="s">
        <v>2405</v>
      </c>
      <c r="D418" s="3">
        <v>27392</v>
      </c>
      <c r="E418" t="s">
        <v>1378</v>
      </c>
      <c r="F418">
        <v>379</v>
      </c>
      <c r="G418" s="3">
        <v>41218</v>
      </c>
      <c r="H418" t="s">
        <v>3074</v>
      </c>
      <c r="I418">
        <v>93286345</v>
      </c>
      <c r="J418" t="s">
        <v>1432</v>
      </c>
      <c r="K418" t="s">
        <v>44</v>
      </c>
      <c r="L418" s="3">
        <v>46475</v>
      </c>
      <c r="M418" s="3">
        <v>46427</v>
      </c>
      <c r="N418" t="s">
        <v>3075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2426</v>
      </c>
      <c r="C419" t="s">
        <v>2427</v>
      </c>
      <c r="D419" s="3">
        <v>27365</v>
      </c>
      <c r="E419" t="s">
        <v>1378</v>
      </c>
      <c r="F419">
        <v>315</v>
      </c>
      <c r="G419" s="3">
        <v>41204</v>
      </c>
      <c r="H419" t="s">
        <v>2428</v>
      </c>
      <c r="J419" t="s">
        <v>1458</v>
      </c>
      <c r="K419" t="s">
        <v>44</v>
      </c>
      <c r="L419" s="3">
        <v>46505</v>
      </c>
      <c r="M419" s="3">
        <v>46497</v>
      </c>
      <c r="N419" t="s">
        <v>2429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1512</v>
      </c>
      <c r="C420" t="s">
        <v>1513</v>
      </c>
      <c r="D420" s="3">
        <v>31877</v>
      </c>
      <c r="E420" t="s">
        <v>1378</v>
      </c>
      <c r="F420">
        <v>199</v>
      </c>
      <c r="G420" s="3">
        <v>41204</v>
      </c>
      <c r="H420" t="s">
        <v>1514</v>
      </c>
      <c r="J420" t="s">
        <v>1515</v>
      </c>
      <c r="K420" t="s">
        <v>50</v>
      </c>
      <c r="L420" s="3">
        <v>72686</v>
      </c>
      <c r="M420" s="3">
        <v>46476</v>
      </c>
      <c r="N420" t="s">
        <v>1516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3111</v>
      </c>
      <c r="C421" t="s">
        <v>3112</v>
      </c>
      <c r="D421" s="3">
        <v>31904</v>
      </c>
      <c r="E421" t="s">
        <v>1378</v>
      </c>
      <c r="F421">
        <v>363</v>
      </c>
      <c r="G421" s="3">
        <v>41176</v>
      </c>
      <c r="H421" t="s">
        <v>3113</v>
      </c>
      <c r="J421" t="s">
        <v>1386</v>
      </c>
      <c r="K421" t="s">
        <v>47</v>
      </c>
      <c r="L421" s="3">
        <v>46523</v>
      </c>
      <c r="M421" s="3">
        <v>46466</v>
      </c>
      <c r="N421" t="s">
        <v>3114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2836</v>
      </c>
      <c r="C422" t="s">
        <v>2837</v>
      </c>
      <c r="D422" s="3">
        <v>29887</v>
      </c>
      <c r="E422" t="s">
        <v>1378</v>
      </c>
      <c r="F422">
        <v>277</v>
      </c>
      <c r="G422" s="3">
        <v>41141</v>
      </c>
      <c r="H422" t="s">
        <v>2838</v>
      </c>
      <c r="J422" t="s">
        <v>1458</v>
      </c>
      <c r="K422" t="s">
        <v>47</v>
      </c>
      <c r="L422" s="3">
        <v>72686</v>
      </c>
      <c r="M422" s="3">
        <v>46621</v>
      </c>
      <c r="N422" t="s">
        <v>2839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2568</v>
      </c>
      <c r="C423" t="s">
        <v>2562</v>
      </c>
      <c r="D423" s="3">
        <v>25646</v>
      </c>
      <c r="E423" t="s">
        <v>1378</v>
      </c>
      <c r="F423">
        <v>72</v>
      </c>
      <c r="G423" s="3">
        <v>41113</v>
      </c>
      <c r="H423" t="s">
        <v>2569</v>
      </c>
      <c r="J423" t="s">
        <v>1458</v>
      </c>
      <c r="K423" t="s">
        <v>44</v>
      </c>
      <c r="L423" s="3">
        <v>1</v>
      </c>
      <c r="M423" s="3">
        <v>46427</v>
      </c>
      <c r="N423" t="s">
        <v>2570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1637</v>
      </c>
      <c r="C424" t="s">
        <v>1328</v>
      </c>
      <c r="D424" s="3">
        <v>23065</v>
      </c>
      <c r="E424" t="s">
        <v>1378</v>
      </c>
      <c r="F424">
        <v>175</v>
      </c>
      <c r="G424" s="3">
        <v>40973</v>
      </c>
      <c r="H424" t="s">
        <v>1638</v>
      </c>
      <c r="J424" t="s">
        <v>1396</v>
      </c>
      <c r="K424" t="s">
        <v>53</v>
      </c>
      <c r="L424" s="3">
        <v>46960</v>
      </c>
      <c r="M424" s="3">
        <v>46210</v>
      </c>
      <c r="N424" t="s">
        <v>1639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2896</v>
      </c>
      <c r="C425" t="s">
        <v>2897</v>
      </c>
      <c r="D425" s="3">
        <v>27314</v>
      </c>
      <c r="E425" t="s">
        <v>1378</v>
      </c>
      <c r="G425" s="3">
        <v>40959</v>
      </c>
      <c r="H425" t="s">
        <v>2898</v>
      </c>
      <c r="J425" t="s">
        <v>1386</v>
      </c>
      <c r="K425" t="s">
        <v>44</v>
      </c>
      <c r="L425" s="3">
        <v>46272</v>
      </c>
      <c r="M425" s="3">
        <v>46266</v>
      </c>
      <c r="N425" t="s">
        <v>2899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1600</v>
      </c>
      <c r="C426" t="s">
        <v>1601</v>
      </c>
      <c r="D426" s="3">
        <v>32853</v>
      </c>
      <c r="E426" t="s">
        <v>1378</v>
      </c>
      <c r="F426">
        <v>648</v>
      </c>
      <c r="G426" s="3">
        <v>40952</v>
      </c>
      <c r="H426" t="s">
        <v>1602</v>
      </c>
      <c r="J426" t="s">
        <v>1603</v>
      </c>
      <c r="K426" t="s">
        <v>44</v>
      </c>
      <c r="L426" s="3">
        <v>46330</v>
      </c>
      <c r="M426" s="3">
        <v>46316</v>
      </c>
      <c r="N426" t="s">
        <v>1604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1393</v>
      </c>
      <c r="C427" t="s">
        <v>2148</v>
      </c>
      <c r="D427" s="3">
        <v>32970</v>
      </c>
      <c r="E427" t="s">
        <v>1378</v>
      </c>
      <c r="F427">
        <v>411</v>
      </c>
      <c r="G427" s="3">
        <v>40861</v>
      </c>
      <c r="I427">
        <v>485002480</v>
      </c>
      <c r="J427" t="s">
        <v>1635</v>
      </c>
      <c r="K427" t="s">
        <v>41</v>
      </c>
      <c r="L427" s="3">
        <v>45952</v>
      </c>
      <c r="M427" s="3">
        <v>45944</v>
      </c>
      <c r="N427" t="s">
        <v>2149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2041</v>
      </c>
      <c r="C428" t="s">
        <v>2038</v>
      </c>
      <c r="D428" s="3">
        <v>25346</v>
      </c>
      <c r="E428" t="s">
        <v>1378</v>
      </c>
      <c r="F428">
        <v>39</v>
      </c>
      <c r="G428" s="3">
        <v>40861</v>
      </c>
      <c r="H428" t="s">
        <v>2042</v>
      </c>
      <c r="J428" t="s">
        <v>1699</v>
      </c>
      <c r="K428" t="s">
        <v>35</v>
      </c>
      <c r="L428" s="3">
        <v>46259</v>
      </c>
      <c r="M428" s="3">
        <v>46210</v>
      </c>
      <c r="N428" t="s">
        <v>2043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2568</v>
      </c>
      <c r="C429" t="s">
        <v>2405</v>
      </c>
      <c r="D429" s="3">
        <v>25315</v>
      </c>
      <c r="E429" t="s">
        <v>1378</v>
      </c>
      <c r="F429">
        <v>245</v>
      </c>
      <c r="G429" s="3">
        <v>40826</v>
      </c>
      <c r="H429" t="s">
        <v>3076</v>
      </c>
      <c r="J429" t="s">
        <v>1458</v>
      </c>
      <c r="K429" t="s">
        <v>38</v>
      </c>
      <c r="L429" s="3">
        <v>72686</v>
      </c>
      <c r="M429" s="3">
        <v>46266</v>
      </c>
      <c r="N429" t="s">
        <v>3077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2811</v>
      </c>
      <c r="C430" t="s">
        <v>2812</v>
      </c>
      <c r="D430" s="3">
        <v>24034</v>
      </c>
      <c r="E430" t="s">
        <v>1378</v>
      </c>
      <c r="F430">
        <v>203</v>
      </c>
      <c r="G430" s="3">
        <v>40812</v>
      </c>
      <c r="H430" t="s">
        <v>2813</v>
      </c>
      <c r="I430">
        <v>93348063</v>
      </c>
      <c r="J430" t="s">
        <v>1635</v>
      </c>
      <c r="K430" t="s">
        <v>56</v>
      </c>
      <c r="L430" s="3">
        <v>46870</v>
      </c>
      <c r="M430" s="3">
        <v>46862</v>
      </c>
      <c r="N430" t="s">
        <v>2814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2183</v>
      </c>
      <c r="C431" t="s">
        <v>2184</v>
      </c>
      <c r="D431" s="3">
        <v>31035</v>
      </c>
      <c r="E431" t="s">
        <v>1378</v>
      </c>
      <c r="F431">
        <v>119</v>
      </c>
      <c r="G431" s="3">
        <v>40771</v>
      </c>
      <c r="H431" t="s">
        <v>2185</v>
      </c>
      <c r="J431" t="s">
        <v>1497</v>
      </c>
      <c r="K431" t="s">
        <v>44</v>
      </c>
      <c r="L431" s="3">
        <v>46085</v>
      </c>
      <c r="M431" s="3">
        <v>46028</v>
      </c>
      <c r="N431" t="s">
        <v>2186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1490</v>
      </c>
      <c r="C432" t="s">
        <v>1491</v>
      </c>
      <c r="D432" s="3">
        <v>26831</v>
      </c>
      <c r="E432" t="s">
        <v>1378</v>
      </c>
      <c r="F432">
        <v>644</v>
      </c>
      <c r="G432" s="3">
        <v>40749</v>
      </c>
      <c r="H432" t="s">
        <v>1492</v>
      </c>
      <c r="J432" t="s">
        <v>1493</v>
      </c>
      <c r="K432" t="s">
        <v>47</v>
      </c>
      <c r="L432" s="3">
        <v>46802</v>
      </c>
      <c r="M432" s="3">
        <v>46763</v>
      </c>
      <c r="N432" t="s">
        <v>1494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2823</v>
      </c>
      <c r="C433" t="s">
        <v>2820</v>
      </c>
      <c r="D433" s="3">
        <v>27001</v>
      </c>
      <c r="E433" t="s">
        <v>1378</v>
      </c>
      <c r="F433">
        <v>211</v>
      </c>
      <c r="G433" s="3">
        <v>40749</v>
      </c>
      <c r="H433" t="s">
        <v>2824</v>
      </c>
      <c r="J433" t="s">
        <v>1547</v>
      </c>
      <c r="K433" t="s">
        <v>35</v>
      </c>
      <c r="L433" s="3">
        <v>46175</v>
      </c>
      <c r="M433" s="3">
        <v>45996</v>
      </c>
      <c r="N433" t="s">
        <v>2825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1990</v>
      </c>
      <c r="C434" t="s">
        <v>3116</v>
      </c>
      <c r="D434" s="3">
        <v>32548</v>
      </c>
      <c r="E434" t="s">
        <v>1378</v>
      </c>
      <c r="F434">
        <v>322</v>
      </c>
      <c r="G434" s="3">
        <v>40728</v>
      </c>
      <c r="H434" t="s">
        <v>3119</v>
      </c>
      <c r="J434" t="s">
        <v>1515</v>
      </c>
      <c r="K434" t="s">
        <v>41</v>
      </c>
      <c r="L434" s="3">
        <v>72686</v>
      </c>
      <c r="M434" s="3">
        <v>46201</v>
      </c>
      <c r="N434" t="s">
        <v>3120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2162</v>
      </c>
      <c r="C435" t="s">
        <v>2163</v>
      </c>
      <c r="D435" s="3">
        <v>32073</v>
      </c>
      <c r="E435" t="s">
        <v>1378</v>
      </c>
      <c r="F435">
        <v>307</v>
      </c>
      <c r="G435" s="3">
        <v>40728</v>
      </c>
      <c r="H435" t="s">
        <v>2164</v>
      </c>
      <c r="J435" t="s">
        <v>1458</v>
      </c>
      <c r="K435" t="s">
        <v>41</v>
      </c>
      <c r="L435" s="3">
        <v>72686</v>
      </c>
      <c r="M435" s="3">
        <v>47135</v>
      </c>
      <c r="N435" t="s">
        <v>2165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1640</v>
      </c>
      <c r="C436" t="s">
        <v>1328</v>
      </c>
      <c r="D436" s="3">
        <v>28045</v>
      </c>
      <c r="E436" t="s">
        <v>1378</v>
      </c>
      <c r="F436">
        <v>54</v>
      </c>
      <c r="G436" s="3">
        <v>40700</v>
      </c>
      <c r="H436" t="s">
        <v>1641</v>
      </c>
      <c r="J436" t="s">
        <v>1501</v>
      </c>
      <c r="K436" t="s">
        <v>53</v>
      </c>
      <c r="L436" s="3">
        <v>46230</v>
      </c>
      <c r="M436" s="3">
        <v>46097</v>
      </c>
      <c r="N436" t="s">
        <v>1642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2350</v>
      </c>
      <c r="C437" t="s">
        <v>2351</v>
      </c>
      <c r="D437" s="3">
        <v>23313</v>
      </c>
      <c r="E437" t="s">
        <v>1378</v>
      </c>
      <c r="F437">
        <v>257</v>
      </c>
      <c r="G437" s="3">
        <v>40679</v>
      </c>
      <c r="H437" t="s">
        <v>2352</v>
      </c>
      <c r="J437" t="s">
        <v>1515</v>
      </c>
      <c r="K437" t="s">
        <v>41</v>
      </c>
      <c r="L437" s="3">
        <v>72686</v>
      </c>
      <c r="M437" s="3">
        <v>46140</v>
      </c>
      <c r="N437" t="s">
        <v>2353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2000</v>
      </c>
      <c r="C438" t="s">
        <v>1991</v>
      </c>
      <c r="D438" s="3">
        <v>23837</v>
      </c>
      <c r="E438" t="s">
        <v>1378</v>
      </c>
      <c r="F438">
        <v>511</v>
      </c>
      <c r="G438" s="3">
        <v>40679</v>
      </c>
      <c r="H438" t="s">
        <v>2001</v>
      </c>
      <c r="J438" t="s">
        <v>1603</v>
      </c>
      <c r="K438" t="s">
        <v>38</v>
      </c>
      <c r="L438" s="3">
        <v>46162</v>
      </c>
      <c r="M438" s="3">
        <v>47337</v>
      </c>
      <c r="N438" t="s">
        <v>2002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2096</v>
      </c>
      <c r="C439" t="s">
        <v>2114</v>
      </c>
      <c r="D439" s="3">
        <v>31706</v>
      </c>
      <c r="E439" t="s">
        <v>1378</v>
      </c>
      <c r="F439">
        <v>36</v>
      </c>
      <c r="G439" s="3">
        <v>40658</v>
      </c>
      <c r="H439" t="s">
        <v>2115</v>
      </c>
      <c r="J439" t="s">
        <v>1454</v>
      </c>
      <c r="K439" t="s">
        <v>41</v>
      </c>
      <c r="L439" s="3">
        <v>72686</v>
      </c>
      <c r="M439" s="3">
        <v>46838</v>
      </c>
      <c r="N439" t="s">
        <v>2116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3098</v>
      </c>
      <c r="C440" t="s">
        <v>3092</v>
      </c>
      <c r="D440" s="3">
        <v>24341</v>
      </c>
      <c r="E440" t="s">
        <v>1378</v>
      </c>
      <c r="F440">
        <v>27</v>
      </c>
      <c r="G440" s="3">
        <v>40658</v>
      </c>
      <c r="H440" t="s">
        <v>3099</v>
      </c>
      <c r="J440" t="s">
        <v>1404</v>
      </c>
      <c r="K440" t="s">
        <v>44</v>
      </c>
      <c r="L440" s="3">
        <v>47575</v>
      </c>
      <c r="M440" s="3">
        <v>47197</v>
      </c>
      <c r="N440" t="s">
        <v>3100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2860</v>
      </c>
      <c r="C441" t="s">
        <v>2857</v>
      </c>
      <c r="D441" s="3">
        <v>23749</v>
      </c>
      <c r="E441" t="s">
        <v>1378</v>
      </c>
      <c r="F441">
        <v>109</v>
      </c>
      <c r="G441" s="3">
        <v>40637</v>
      </c>
      <c r="H441" t="s">
        <v>2861</v>
      </c>
      <c r="I441">
        <v>92257858</v>
      </c>
      <c r="J441" t="s">
        <v>1404</v>
      </c>
      <c r="K441" t="s">
        <v>41</v>
      </c>
      <c r="L441" s="3">
        <v>72686</v>
      </c>
      <c r="M441" s="3">
        <v>46210</v>
      </c>
      <c r="N441" t="s">
        <v>2862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1643</v>
      </c>
      <c r="C442" t="s">
        <v>1328</v>
      </c>
      <c r="D442" s="3">
        <v>28199</v>
      </c>
      <c r="E442" t="s">
        <v>1378</v>
      </c>
      <c r="F442">
        <v>615</v>
      </c>
      <c r="G442" s="3">
        <v>40637</v>
      </c>
      <c r="H442" t="s">
        <v>1644</v>
      </c>
      <c r="J442" t="s">
        <v>1410</v>
      </c>
      <c r="K442" t="s">
        <v>47</v>
      </c>
      <c r="L442" s="3">
        <v>45993</v>
      </c>
      <c r="M442" s="3">
        <v>47408</v>
      </c>
      <c r="N442" t="s">
        <v>1645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1986</v>
      </c>
      <c r="C443" t="s">
        <v>1987</v>
      </c>
      <c r="D443" s="3">
        <v>25815</v>
      </c>
      <c r="E443" t="s">
        <v>1378</v>
      </c>
      <c r="F443">
        <v>8</v>
      </c>
      <c r="G443" s="3">
        <v>40637</v>
      </c>
      <c r="H443" t="s">
        <v>1988</v>
      </c>
      <c r="J443" t="s">
        <v>1454</v>
      </c>
      <c r="K443" t="s">
        <v>44</v>
      </c>
      <c r="L443" s="3">
        <v>46043</v>
      </c>
      <c r="M443" s="3">
        <v>46014</v>
      </c>
      <c r="N443" t="s">
        <v>1989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1845</v>
      </c>
      <c r="C444" t="s">
        <v>1842</v>
      </c>
      <c r="D444" s="3">
        <v>22939</v>
      </c>
      <c r="E444" t="s">
        <v>1378</v>
      </c>
      <c r="F444">
        <v>61</v>
      </c>
      <c r="G444" s="3">
        <v>40623</v>
      </c>
      <c r="H444" t="s">
        <v>1846</v>
      </c>
      <c r="J444" t="s">
        <v>1458</v>
      </c>
      <c r="K444" t="s">
        <v>50</v>
      </c>
      <c r="L444" s="3">
        <v>45948</v>
      </c>
      <c r="M444" s="3">
        <v>46046</v>
      </c>
      <c r="N444" t="s">
        <v>1847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2591</v>
      </c>
      <c r="C445" t="s">
        <v>2592</v>
      </c>
      <c r="D445" s="3">
        <v>31566</v>
      </c>
      <c r="E445" t="s">
        <v>1378</v>
      </c>
      <c r="F445">
        <v>207</v>
      </c>
      <c r="G445" s="3">
        <v>40602</v>
      </c>
      <c r="H445" t="s">
        <v>2593</v>
      </c>
      <c r="J445" t="s">
        <v>1410</v>
      </c>
      <c r="K445" t="s">
        <v>53</v>
      </c>
      <c r="L445" s="3">
        <v>47548</v>
      </c>
      <c r="M445" s="3">
        <v>47533</v>
      </c>
      <c r="N445" t="s">
        <v>2594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2276</v>
      </c>
      <c r="C446" t="s">
        <v>2277</v>
      </c>
      <c r="D446" s="3">
        <v>27418</v>
      </c>
      <c r="E446" t="s">
        <v>1378</v>
      </c>
      <c r="F446">
        <v>138</v>
      </c>
      <c r="G446" s="3">
        <v>40567</v>
      </c>
      <c r="H446" t="s">
        <v>2278</v>
      </c>
      <c r="J446" t="s">
        <v>1419</v>
      </c>
      <c r="K446" t="s">
        <v>53</v>
      </c>
      <c r="L446" s="3">
        <v>46063</v>
      </c>
      <c r="M446" s="3">
        <v>46497</v>
      </c>
      <c r="N446" t="s">
        <v>2279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3187</v>
      </c>
      <c r="C447" t="s">
        <v>3181</v>
      </c>
      <c r="D447" s="3">
        <v>27364</v>
      </c>
      <c r="E447" t="s">
        <v>1378</v>
      </c>
      <c r="F447">
        <v>137</v>
      </c>
      <c r="G447" s="3">
        <v>40567</v>
      </c>
      <c r="H447" t="s">
        <v>3188</v>
      </c>
      <c r="J447" t="s">
        <v>1419</v>
      </c>
      <c r="K447" t="s">
        <v>44</v>
      </c>
      <c r="L447" s="3">
        <v>47712</v>
      </c>
      <c r="M447" s="3">
        <v>47700</v>
      </c>
      <c r="N447" t="s">
        <v>3189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2026</v>
      </c>
      <c r="C448" t="s">
        <v>2023</v>
      </c>
      <c r="D448" s="3">
        <v>29202</v>
      </c>
      <c r="E448" t="s">
        <v>1378</v>
      </c>
      <c r="F448">
        <v>105</v>
      </c>
      <c r="G448" s="3">
        <v>40525</v>
      </c>
      <c r="H448" t="s">
        <v>2027</v>
      </c>
      <c r="J448" t="s">
        <v>1635</v>
      </c>
      <c r="K448" t="s">
        <v>41</v>
      </c>
      <c r="L448" s="3">
        <v>45922</v>
      </c>
      <c r="M448" s="3">
        <v>45916</v>
      </c>
      <c r="N448" t="s">
        <v>2028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2846</v>
      </c>
      <c r="C449" t="s">
        <v>2847</v>
      </c>
      <c r="D449" s="3">
        <v>29751</v>
      </c>
      <c r="E449" t="s">
        <v>1378</v>
      </c>
      <c r="F449">
        <v>617</v>
      </c>
      <c r="G449" s="3">
        <v>40525</v>
      </c>
      <c r="H449" t="s">
        <v>2848</v>
      </c>
      <c r="J449" t="s">
        <v>1501</v>
      </c>
      <c r="K449" t="s">
        <v>47</v>
      </c>
      <c r="L449" s="3">
        <v>47657</v>
      </c>
      <c r="M449" s="3">
        <v>47611</v>
      </c>
      <c r="N449" t="s">
        <v>2849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3414</v>
      </c>
      <c r="C450" t="s">
        <v>1860</v>
      </c>
      <c r="D450" s="3">
        <v>28120</v>
      </c>
      <c r="E450" t="s">
        <v>1378</v>
      </c>
      <c r="F450">
        <v>74</v>
      </c>
      <c r="G450" s="3">
        <v>40497</v>
      </c>
      <c r="H450" t="s">
        <v>3415</v>
      </c>
      <c r="J450" t="s">
        <v>1515</v>
      </c>
      <c r="K450" t="s">
        <v>50</v>
      </c>
      <c r="L450" s="3">
        <v>72686</v>
      </c>
      <c r="M450" s="3">
        <v>72686</v>
      </c>
      <c r="N450" t="s">
        <v>3416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2666</v>
      </c>
      <c r="C451" t="s">
        <v>3438</v>
      </c>
      <c r="D451" s="3">
        <v>30480</v>
      </c>
      <c r="E451" t="s">
        <v>1378</v>
      </c>
      <c r="F451">
        <v>24</v>
      </c>
      <c r="G451" s="3">
        <v>40469</v>
      </c>
      <c r="H451" t="s">
        <v>3439</v>
      </c>
      <c r="J451" t="s">
        <v>1454</v>
      </c>
      <c r="K451" t="s">
        <v>41</v>
      </c>
      <c r="L451" s="3">
        <v>73050</v>
      </c>
      <c r="M451" s="3">
        <v>47551</v>
      </c>
      <c r="N451" t="s">
        <v>3440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1508</v>
      </c>
      <c r="C452" t="s">
        <v>1509</v>
      </c>
      <c r="D452" s="3">
        <v>29775</v>
      </c>
      <c r="E452" t="s">
        <v>1378</v>
      </c>
      <c r="F452">
        <v>606</v>
      </c>
      <c r="G452" s="3">
        <v>40455</v>
      </c>
      <c r="H452" t="s">
        <v>1510</v>
      </c>
      <c r="J452" t="s">
        <v>1458</v>
      </c>
      <c r="K452" t="s">
        <v>47</v>
      </c>
      <c r="L452" s="3">
        <v>73050</v>
      </c>
      <c r="M452" s="3">
        <v>73050</v>
      </c>
      <c r="N452" t="s">
        <v>1511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1696</v>
      </c>
      <c r="C453" t="s">
        <v>1697</v>
      </c>
      <c r="D453" s="3">
        <v>24380</v>
      </c>
      <c r="E453" t="s">
        <v>1378</v>
      </c>
      <c r="F453">
        <v>42</v>
      </c>
      <c r="G453" s="3">
        <v>40455</v>
      </c>
      <c r="H453" t="s">
        <v>1698</v>
      </c>
      <c r="I453">
        <v>92203627</v>
      </c>
      <c r="J453" t="s">
        <v>1699</v>
      </c>
      <c r="K453" t="s">
        <v>44</v>
      </c>
      <c r="L453" s="3">
        <v>46167</v>
      </c>
      <c r="M453" s="3">
        <v>46609</v>
      </c>
      <c r="N453" t="s">
        <v>1700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1665</v>
      </c>
      <c r="C454" t="s">
        <v>1666</v>
      </c>
      <c r="D454" s="3">
        <v>24366</v>
      </c>
      <c r="E454" t="s">
        <v>1378</v>
      </c>
      <c r="F454">
        <v>479</v>
      </c>
      <c r="G454" s="3">
        <v>40385</v>
      </c>
      <c r="H454" t="s">
        <v>1667</v>
      </c>
      <c r="J454" t="s">
        <v>1454</v>
      </c>
      <c r="K454" t="s">
        <v>50</v>
      </c>
      <c r="L454" s="3">
        <v>73050</v>
      </c>
      <c r="M454" s="3">
        <v>73050</v>
      </c>
      <c r="N454" t="s">
        <v>1668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2610</v>
      </c>
      <c r="C455" t="s">
        <v>1351</v>
      </c>
      <c r="D455" s="3">
        <v>25942</v>
      </c>
      <c r="E455" t="s">
        <v>1378</v>
      </c>
      <c r="F455">
        <v>471</v>
      </c>
      <c r="G455" s="3">
        <v>40385</v>
      </c>
      <c r="H455" t="s">
        <v>3285</v>
      </c>
      <c r="J455" t="s">
        <v>1462</v>
      </c>
      <c r="K455" t="s">
        <v>44</v>
      </c>
      <c r="L455" s="3">
        <v>47467</v>
      </c>
      <c r="M455" s="3">
        <v>46718</v>
      </c>
      <c r="N455" t="s">
        <v>3286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2826</v>
      </c>
      <c r="C456" t="s">
        <v>2820</v>
      </c>
      <c r="D456" s="3">
        <v>23931</v>
      </c>
      <c r="E456" t="s">
        <v>1378</v>
      </c>
      <c r="F456">
        <v>613</v>
      </c>
      <c r="G456" s="3">
        <v>40350</v>
      </c>
      <c r="H456" t="s">
        <v>2827</v>
      </c>
      <c r="I456">
        <v>53622213</v>
      </c>
      <c r="J456" t="s">
        <v>1458</v>
      </c>
      <c r="K456" t="s">
        <v>47</v>
      </c>
      <c r="L456" s="3">
        <v>72686</v>
      </c>
      <c r="M456" s="3">
        <v>47189</v>
      </c>
      <c r="N456" t="s">
        <v>2828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2096</v>
      </c>
      <c r="C457" t="s">
        <v>3064</v>
      </c>
      <c r="D457" s="3">
        <v>30762</v>
      </c>
      <c r="E457" t="s">
        <v>1633</v>
      </c>
      <c r="F457">
        <v>614</v>
      </c>
      <c r="G457" s="3">
        <v>40049</v>
      </c>
      <c r="H457" t="s">
        <v>3065</v>
      </c>
      <c r="J457" t="s">
        <v>1547</v>
      </c>
      <c r="K457" t="s">
        <v>35</v>
      </c>
      <c r="L457" s="3">
        <v>47139</v>
      </c>
      <c r="M457" s="3">
        <v>47105</v>
      </c>
      <c r="N457" t="s">
        <v>3066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3384</v>
      </c>
      <c r="C458" t="s">
        <v>3378</v>
      </c>
      <c r="D458" s="3">
        <v>26948</v>
      </c>
      <c r="E458" t="s">
        <v>1378</v>
      </c>
      <c r="F458">
        <v>605</v>
      </c>
      <c r="G458" s="3">
        <v>40035</v>
      </c>
      <c r="H458" t="s">
        <v>3385</v>
      </c>
      <c r="J458" t="s">
        <v>1454</v>
      </c>
      <c r="K458" t="s">
        <v>38</v>
      </c>
      <c r="L458" s="3">
        <v>47150</v>
      </c>
      <c r="M458" s="3">
        <v>47141</v>
      </c>
      <c r="N458" t="s">
        <v>3386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3298</v>
      </c>
      <c r="C459" t="s">
        <v>3302</v>
      </c>
      <c r="D459" s="3">
        <v>32241</v>
      </c>
      <c r="E459" t="s">
        <v>1378</v>
      </c>
      <c r="F459">
        <v>432</v>
      </c>
      <c r="G459" s="3">
        <v>40000</v>
      </c>
      <c r="H459" t="s">
        <v>3303</v>
      </c>
      <c r="J459" t="s">
        <v>1419</v>
      </c>
      <c r="K459" t="s">
        <v>44</v>
      </c>
      <c r="L459" s="3">
        <v>47129</v>
      </c>
      <c r="M459" s="3">
        <v>47105</v>
      </c>
      <c r="N459" t="s">
        <v>3304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2430</v>
      </c>
      <c r="C460" t="s">
        <v>2427</v>
      </c>
      <c r="D460" s="3">
        <v>26728</v>
      </c>
      <c r="E460" t="s">
        <v>1378</v>
      </c>
      <c r="F460">
        <v>507</v>
      </c>
      <c r="G460" s="3">
        <v>40000</v>
      </c>
      <c r="H460" t="s">
        <v>2431</v>
      </c>
      <c r="J460" t="s">
        <v>1458</v>
      </c>
      <c r="K460" t="s">
        <v>41</v>
      </c>
      <c r="L460" s="3">
        <v>73050</v>
      </c>
      <c r="M460" s="3">
        <v>46279</v>
      </c>
      <c r="N460" t="s">
        <v>2432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2537</v>
      </c>
      <c r="C461" t="s">
        <v>2538</v>
      </c>
      <c r="D461" s="3">
        <v>26572</v>
      </c>
      <c r="E461" t="s">
        <v>1378</v>
      </c>
      <c r="F461">
        <v>75</v>
      </c>
      <c r="G461" s="3">
        <v>39979</v>
      </c>
      <c r="H461" t="s">
        <v>2539</v>
      </c>
      <c r="J461" t="s">
        <v>1404</v>
      </c>
      <c r="K461" t="s">
        <v>44</v>
      </c>
      <c r="L461" s="3">
        <v>47362</v>
      </c>
      <c r="M461" s="3">
        <v>46399</v>
      </c>
      <c r="N461" t="s">
        <v>2540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3244</v>
      </c>
      <c r="C462" t="s">
        <v>3241</v>
      </c>
      <c r="D462" s="3">
        <v>26005</v>
      </c>
      <c r="E462" t="s">
        <v>1378</v>
      </c>
      <c r="F462">
        <v>376</v>
      </c>
      <c r="G462" s="3">
        <v>39972</v>
      </c>
      <c r="H462" t="s">
        <v>3245</v>
      </c>
      <c r="J462" t="s">
        <v>1497</v>
      </c>
      <c r="K462" t="s">
        <v>41</v>
      </c>
      <c r="L462" s="3">
        <v>47143</v>
      </c>
      <c r="M462" s="3">
        <v>46005</v>
      </c>
      <c r="N462" t="s">
        <v>3246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1402</v>
      </c>
      <c r="C463" t="s">
        <v>1399</v>
      </c>
      <c r="D463" s="3">
        <v>26173</v>
      </c>
      <c r="E463" t="s">
        <v>1378</v>
      </c>
      <c r="F463">
        <v>35</v>
      </c>
      <c r="G463" s="3">
        <v>39937</v>
      </c>
      <c r="H463" t="s">
        <v>1403</v>
      </c>
      <c r="J463" t="s">
        <v>1404</v>
      </c>
      <c r="K463" t="s">
        <v>35</v>
      </c>
      <c r="L463" s="3">
        <v>47078</v>
      </c>
      <c r="M463" s="3">
        <v>47072</v>
      </c>
      <c r="N463" t="s">
        <v>1405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3142</v>
      </c>
      <c r="C464" t="s">
        <v>3143</v>
      </c>
      <c r="D464" s="3">
        <v>24373</v>
      </c>
      <c r="E464" t="s">
        <v>1378</v>
      </c>
      <c r="F464">
        <v>371</v>
      </c>
      <c r="G464" s="3">
        <v>39923</v>
      </c>
      <c r="H464" t="s">
        <v>3144</v>
      </c>
      <c r="J464" t="s">
        <v>1404</v>
      </c>
      <c r="K464" t="s">
        <v>35</v>
      </c>
      <c r="L464" s="3">
        <v>73050</v>
      </c>
      <c r="M464" s="3">
        <v>47369</v>
      </c>
      <c r="N464" t="s">
        <v>3145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3309</v>
      </c>
      <c r="C465" t="s">
        <v>3310</v>
      </c>
      <c r="D465" s="3">
        <v>26528</v>
      </c>
      <c r="E465" t="s">
        <v>1378</v>
      </c>
      <c r="F465">
        <v>318</v>
      </c>
      <c r="G465" s="3">
        <v>39923</v>
      </c>
      <c r="H465" t="s">
        <v>3311</v>
      </c>
      <c r="J465" t="s">
        <v>1699</v>
      </c>
      <c r="K465" t="s">
        <v>35</v>
      </c>
      <c r="L465" s="3">
        <v>47154</v>
      </c>
      <c r="M465" s="3">
        <v>46981</v>
      </c>
      <c r="N465" t="s">
        <v>3312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3139</v>
      </c>
      <c r="C466" t="s">
        <v>3136</v>
      </c>
      <c r="D466" s="3">
        <v>28357</v>
      </c>
      <c r="E466" t="s">
        <v>1378</v>
      </c>
      <c r="G466" s="3">
        <v>39909</v>
      </c>
      <c r="H466" t="s">
        <v>3140</v>
      </c>
      <c r="I466">
        <v>93285649</v>
      </c>
      <c r="J466" t="s">
        <v>1424</v>
      </c>
      <c r="K466" t="s">
        <v>35</v>
      </c>
      <c r="L466" s="3">
        <v>47363</v>
      </c>
      <c r="M466" s="3">
        <v>46005</v>
      </c>
      <c r="N466" t="s">
        <v>3141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1542</v>
      </c>
      <c r="C467" t="s">
        <v>1536</v>
      </c>
      <c r="D467" s="3">
        <v>24859</v>
      </c>
      <c r="E467" t="s">
        <v>1378</v>
      </c>
      <c r="F467">
        <v>151</v>
      </c>
      <c r="G467" s="3">
        <v>39895</v>
      </c>
      <c r="H467" t="s">
        <v>1543</v>
      </c>
      <c r="J467" t="s">
        <v>1506</v>
      </c>
      <c r="K467" t="s">
        <v>56</v>
      </c>
      <c r="L467" s="3">
        <v>47043</v>
      </c>
      <c r="M467" s="3">
        <v>47034</v>
      </c>
      <c r="N467" t="s">
        <v>1544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2107</v>
      </c>
      <c r="C468" t="s">
        <v>2093</v>
      </c>
      <c r="D468" s="3">
        <v>30706</v>
      </c>
      <c r="E468" t="s">
        <v>1378</v>
      </c>
      <c r="F468">
        <v>427</v>
      </c>
      <c r="G468" s="3">
        <v>39895</v>
      </c>
      <c r="H468" t="s">
        <v>2108</v>
      </c>
      <c r="J468" t="s">
        <v>1547</v>
      </c>
      <c r="K468" t="s">
        <v>44</v>
      </c>
      <c r="L468" s="3">
        <v>46985</v>
      </c>
      <c r="M468" s="3">
        <v>46981</v>
      </c>
      <c r="N468" t="s">
        <v>2109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1856</v>
      </c>
      <c r="C469" t="s">
        <v>1857</v>
      </c>
      <c r="D469" s="3">
        <v>29923</v>
      </c>
      <c r="E469" t="s">
        <v>1378</v>
      </c>
      <c r="F469">
        <v>533</v>
      </c>
      <c r="G469" s="3">
        <v>39881</v>
      </c>
      <c r="H469" t="s">
        <v>1858</v>
      </c>
      <c r="J469" t="s">
        <v>1501</v>
      </c>
      <c r="K469" t="s">
        <v>38</v>
      </c>
      <c r="L469" s="3">
        <v>46987</v>
      </c>
      <c r="M469" s="3">
        <v>46916</v>
      </c>
      <c r="N469" t="s">
        <v>1859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3460</v>
      </c>
      <c r="C470" t="s">
        <v>3461</v>
      </c>
      <c r="D470" s="3">
        <v>28126</v>
      </c>
      <c r="E470" t="s">
        <v>1378</v>
      </c>
      <c r="F470">
        <v>327</v>
      </c>
      <c r="G470" s="3">
        <v>39839</v>
      </c>
      <c r="H470" t="s">
        <v>3462</v>
      </c>
      <c r="J470" t="s">
        <v>1404</v>
      </c>
      <c r="K470" t="s">
        <v>35</v>
      </c>
      <c r="L470" s="3">
        <v>73050</v>
      </c>
      <c r="M470" s="3">
        <v>45891</v>
      </c>
      <c r="N470" t="s">
        <v>3463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1439</v>
      </c>
      <c r="C471" t="s">
        <v>2773</v>
      </c>
      <c r="D471" s="3">
        <v>25777</v>
      </c>
      <c r="E471" t="s">
        <v>1378</v>
      </c>
      <c r="F471">
        <v>393</v>
      </c>
      <c r="G471" s="3">
        <v>39706</v>
      </c>
      <c r="H471" t="s">
        <v>2774</v>
      </c>
      <c r="J471" t="s">
        <v>1603</v>
      </c>
      <c r="K471" t="s">
        <v>53</v>
      </c>
      <c r="L471" s="3">
        <v>47665</v>
      </c>
      <c r="M471" s="3">
        <v>46791</v>
      </c>
      <c r="N471" t="s">
        <v>2775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2571</v>
      </c>
      <c r="C472" t="s">
        <v>2562</v>
      </c>
      <c r="D472" s="3">
        <v>30532</v>
      </c>
      <c r="E472" t="s">
        <v>1378</v>
      </c>
      <c r="F472">
        <v>80</v>
      </c>
      <c r="G472" s="3">
        <v>39664</v>
      </c>
      <c r="H472" t="s">
        <v>2572</v>
      </c>
      <c r="J472" t="s">
        <v>1454</v>
      </c>
      <c r="K472" t="s">
        <v>35</v>
      </c>
      <c r="L472" s="3">
        <v>72686</v>
      </c>
      <c r="M472" s="3">
        <v>46679</v>
      </c>
      <c r="N472" t="s">
        <v>2573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1906</v>
      </c>
      <c r="C473" t="s">
        <v>1907</v>
      </c>
      <c r="D473" s="3">
        <v>28070</v>
      </c>
      <c r="E473" t="s">
        <v>1378</v>
      </c>
      <c r="F473">
        <v>537</v>
      </c>
      <c r="G473" s="3">
        <v>39643</v>
      </c>
      <c r="H473" t="s">
        <v>1908</v>
      </c>
      <c r="J473" t="s">
        <v>1603</v>
      </c>
      <c r="K473" t="s">
        <v>38</v>
      </c>
      <c r="L473" s="3">
        <v>47610</v>
      </c>
      <c r="M473" s="3">
        <v>46637</v>
      </c>
      <c r="N473" t="s">
        <v>1909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3449</v>
      </c>
      <c r="C474" t="s">
        <v>3450</v>
      </c>
      <c r="D474" s="3">
        <v>31696</v>
      </c>
      <c r="E474" t="s">
        <v>1378</v>
      </c>
      <c r="F474">
        <v>342</v>
      </c>
      <c r="G474" s="3">
        <v>39615</v>
      </c>
      <c r="H474" t="s">
        <v>3451</v>
      </c>
      <c r="J474" t="s">
        <v>1454</v>
      </c>
      <c r="K474" t="s">
        <v>44</v>
      </c>
      <c r="L474" s="3">
        <v>72686</v>
      </c>
      <c r="M474" s="3">
        <v>46672</v>
      </c>
      <c r="N474" t="s">
        <v>3452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3010</v>
      </c>
      <c r="C475" t="s">
        <v>3011</v>
      </c>
      <c r="D475" s="3">
        <v>29517</v>
      </c>
      <c r="E475" t="s">
        <v>1378</v>
      </c>
      <c r="F475">
        <v>457</v>
      </c>
      <c r="G475" s="3">
        <v>39601</v>
      </c>
      <c r="H475" t="s">
        <v>3012</v>
      </c>
      <c r="J475" t="s">
        <v>1404</v>
      </c>
      <c r="K475" t="s">
        <v>53</v>
      </c>
      <c r="L475" s="3">
        <v>72686</v>
      </c>
      <c r="M475" s="3">
        <v>47615</v>
      </c>
      <c r="N475" t="s">
        <v>3013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1625</v>
      </c>
      <c r="C476" t="s">
        <v>1626</v>
      </c>
      <c r="D476" s="3">
        <v>27824</v>
      </c>
      <c r="E476" t="s">
        <v>1378</v>
      </c>
      <c r="F476">
        <v>449</v>
      </c>
      <c r="G476" s="3">
        <v>39587</v>
      </c>
      <c r="H476" t="s">
        <v>1627</v>
      </c>
      <c r="J476" t="s">
        <v>1497</v>
      </c>
      <c r="K476" t="s">
        <v>44</v>
      </c>
      <c r="L476" s="3">
        <v>46032</v>
      </c>
      <c r="M476" s="3">
        <v>46742</v>
      </c>
      <c r="N476" t="s">
        <v>1628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2505</v>
      </c>
      <c r="C477" t="s">
        <v>2506</v>
      </c>
      <c r="D477" s="3">
        <v>26235</v>
      </c>
      <c r="E477" t="s">
        <v>1378</v>
      </c>
      <c r="F477">
        <v>422</v>
      </c>
      <c r="G477" s="3">
        <v>39587</v>
      </c>
      <c r="H477" t="s">
        <v>2507</v>
      </c>
      <c r="J477" t="s">
        <v>1404</v>
      </c>
      <c r="K477" t="s">
        <v>53</v>
      </c>
      <c r="L477" s="3">
        <v>72686</v>
      </c>
      <c r="M477" s="3">
        <v>46897</v>
      </c>
      <c r="N477" t="s">
        <v>2508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2003</v>
      </c>
      <c r="C478" t="s">
        <v>1991</v>
      </c>
      <c r="D478" s="3">
        <v>28068</v>
      </c>
      <c r="E478" t="s">
        <v>1378</v>
      </c>
      <c r="F478">
        <v>302</v>
      </c>
      <c r="G478" s="3">
        <v>39573</v>
      </c>
      <c r="H478" t="s">
        <v>2004</v>
      </c>
      <c r="J478" t="s">
        <v>1547</v>
      </c>
      <c r="K478" t="s">
        <v>50</v>
      </c>
      <c r="L478" s="3">
        <v>47688</v>
      </c>
      <c r="M478" s="3">
        <v>46797</v>
      </c>
      <c r="N478" t="s">
        <v>2005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2327</v>
      </c>
      <c r="C479" t="s">
        <v>2324</v>
      </c>
      <c r="D479" s="3">
        <v>29586</v>
      </c>
      <c r="E479" t="s">
        <v>1378</v>
      </c>
      <c r="F479">
        <v>514</v>
      </c>
      <c r="G479" s="3">
        <v>39552</v>
      </c>
      <c r="H479" t="s">
        <v>2328</v>
      </c>
      <c r="I479">
        <v>32479391613</v>
      </c>
      <c r="J479" t="s">
        <v>1501</v>
      </c>
      <c r="K479" t="s">
        <v>41</v>
      </c>
      <c r="L479" s="3">
        <v>47665</v>
      </c>
      <c r="M479" s="3">
        <v>46665</v>
      </c>
      <c r="N479" t="s">
        <v>2329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1637</v>
      </c>
      <c r="C480" t="s">
        <v>1929</v>
      </c>
      <c r="D480" s="3">
        <v>23387</v>
      </c>
      <c r="E480" t="s">
        <v>1378</v>
      </c>
      <c r="F480">
        <v>131</v>
      </c>
      <c r="G480" s="3">
        <v>39538</v>
      </c>
      <c r="H480" t="s">
        <v>1935</v>
      </c>
      <c r="I480">
        <v>93306518</v>
      </c>
      <c r="J480" t="s">
        <v>1501</v>
      </c>
      <c r="K480" t="s">
        <v>53</v>
      </c>
      <c r="L480" s="3">
        <v>47616</v>
      </c>
      <c r="M480" s="3">
        <v>47568</v>
      </c>
      <c r="N480" t="s">
        <v>1936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3287</v>
      </c>
      <c r="C481" t="s">
        <v>1351</v>
      </c>
      <c r="D481" s="3">
        <v>31562</v>
      </c>
      <c r="E481" t="s">
        <v>1378</v>
      </c>
      <c r="F481">
        <v>286</v>
      </c>
      <c r="G481" s="3">
        <v>39538</v>
      </c>
      <c r="H481" t="s">
        <v>3288</v>
      </c>
      <c r="J481" t="s">
        <v>1565</v>
      </c>
      <c r="K481" t="s">
        <v>50</v>
      </c>
      <c r="L481" s="3">
        <v>47672</v>
      </c>
      <c r="M481" s="3">
        <v>46686</v>
      </c>
      <c r="N481" t="s">
        <v>3289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1653</v>
      </c>
      <c r="C482" t="s">
        <v>1647</v>
      </c>
      <c r="D482" s="3">
        <v>29470</v>
      </c>
      <c r="E482" t="s">
        <v>1378</v>
      </c>
      <c r="F482">
        <v>81</v>
      </c>
      <c r="G482" s="3">
        <v>39524</v>
      </c>
      <c r="H482" t="s">
        <v>1654</v>
      </c>
      <c r="J482" t="s">
        <v>1404</v>
      </c>
      <c r="K482" t="s">
        <v>50</v>
      </c>
      <c r="L482" s="3">
        <v>72686</v>
      </c>
      <c r="M482" s="3">
        <v>46925</v>
      </c>
      <c r="N482" t="s">
        <v>1655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2553</v>
      </c>
      <c r="C483" t="s">
        <v>3084</v>
      </c>
      <c r="D483" s="3">
        <v>28968</v>
      </c>
      <c r="E483" t="s">
        <v>1378</v>
      </c>
      <c r="F483">
        <v>443</v>
      </c>
      <c r="G483" s="3">
        <v>39510</v>
      </c>
      <c r="H483" t="s">
        <v>3085</v>
      </c>
      <c r="J483" t="s">
        <v>1458</v>
      </c>
      <c r="K483" t="s">
        <v>50</v>
      </c>
      <c r="L483" s="3">
        <v>72686</v>
      </c>
      <c r="M483" s="3">
        <v>46776</v>
      </c>
      <c r="N483" t="s">
        <v>3086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2144</v>
      </c>
      <c r="C484" t="s">
        <v>2145</v>
      </c>
      <c r="D484" s="3">
        <v>29324</v>
      </c>
      <c r="E484" t="s">
        <v>1378</v>
      </c>
      <c r="F484">
        <v>441</v>
      </c>
      <c r="G484" s="3">
        <v>39496</v>
      </c>
      <c r="H484" t="s">
        <v>2146</v>
      </c>
      <c r="J484" t="s">
        <v>1454</v>
      </c>
      <c r="K484" t="s">
        <v>35</v>
      </c>
      <c r="L484" s="3">
        <v>72686</v>
      </c>
      <c r="M484" s="3">
        <v>46672</v>
      </c>
      <c r="N484" t="s">
        <v>2147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2498</v>
      </c>
      <c r="C485" t="s">
        <v>2960</v>
      </c>
      <c r="D485" s="3">
        <v>29830</v>
      </c>
      <c r="E485" t="s">
        <v>1378</v>
      </c>
      <c r="F485">
        <v>438</v>
      </c>
      <c r="G485" s="3">
        <v>39496</v>
      </c>
      <c r="H485" t="s">
        <v>2961</v>
      </c>
      <c r="J485" t="s">
        <v>1432</v>
      </c>
      <c r="K485" t="s">
        <v>53</v>
      </c>
      <c r="L485" s="3">
        <v>47454</v>
      </c>
      <c r="M485" s="3">
        <v>47272</v>
      </c>
      <c r="N485" t="s">
        <v>2962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2637</v>
      </c>
      <c r="C486" t="s">
        <v>2631</v>
      </c>
      <c r="D486" s="3">
        <v>30888</v>
      </c>
      <c r="E486" t="s">
        <v>1378</v>
      </c>
      <c r="F486">
        <v>431</v>
      </c>
      <c r="G486" s="3">
        <v>39468</v>
      </c>
      <c r="H486" t="s">
        <v>2638</v>
      </c>
      <c r="J486" t="s">
        <v>1410</v>
      </c>
      <c r="K486" t="s">
        <v>53</v>
      </c>
      <c r="L486" s="3">
        <v>47064</v>
      </c>
      <c r="M486" s="3">
        <v>47044</v>
      </c>
      <c r="N486" t="s">
        <v>2639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1486</v>
      </c>
      <c r="C487" t="s">
        <v>1487</v>
      </c>
      <c r="D487" s="3">
        <v>22761</v>
      </c>
      <c r="E487" t="s">
        <v>1378</v>
      </c>
      <c r="F487">
        <v>428</v>
      </c>
      <c r="G487" s="3">
        <v>39454</v>
      </c>
      <c r="H487" t="s">
        <v>1488</v>
      </c>
      <c r="I487">
        <v>93294697</v>
      </c>
      <c r="J487" t="s">
        <v>1404</v>
      </c>
      <c r="K487" t="s">
        <v>53</v>
      </c>
      <c r="L487" s="3">
        <v>72686</v>
      </c>
      <c r="M487" s="3">
        <v>72686</v>
      </c>
      <c r="N487" t="s">
        <v>1489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2863</v>
      </c>
      <c r="C488" t="s">
        <v>2857</v>
      </c>
      <c r="D488" s="3">
        <v>26100</v>
      </c>
      <c r="E488" t="s">
        <v>1378</v>
      </c>
      <c r="F488">
        <v>148</v>
      </c>
      <c r="G488" s="3">
        <v>39433</v>
      </c>
      <c r="H488" t="s">
        <v>2864</v>
      </c>
      <c r="J488" t="s">
        <v>1506</v>
      </c>
      <c r="K488" t="s">
        <v>56</v>
      </c>
      <c r="L488" s="3">
        <v>47602</v>
      </c>
      <c r="M488" s="3">
        <v>46511</v>
      </c>
      <c r="N488" t="s">
        <v>2865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2419</v>
      </c>
      <c r="C489" t="s">
        <v>2420</v>
      </c>
      <c r="D489" s="3">
        <v>30190</v>
      </c>
      <c r="E489" t="s">
        <v>1378</v>
      </c>
      <c r="F489">
        <v>274</v>
      </c>
      <c r="G489" s="3">
        <v>39405</v>
      </c>
      <c r="H489" t="s">
        <v>2421</v>
      </c>
      <c r="J489" t="s">
        <v>1454</v>
      </c>
      <c r="K489" t="s">
        <v>35</v>
      </c>
      <c r="L489" s="3">
        <v>72686</v>
      </c>
      <c r="M489" s="3">
        <v>46201</v>
      </c>
      <c r="N489" t="s">
        <v>2422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2393</v>
      </c>
      <c r="C490" t="s">
        <v>1351</v>
      </c>
      <c r="D490" s="3">
        <v>29938</v>
      </c>
      <c r="E490" t="s">
        <v>1378</v>
      </c>
      <c r="F490">
        <v>284</v>
      </c>
      <c r="G490" s="3">
        <v>39405</v>
      </c>
      <c r="H490" t="s">
        <v>3290</v>
      </c>
      <c r="J490" t="s">
        <v>1699</v>
      </c>
      <c r="K490" t="s">
        <v>47</v>
      </c>
      <c r="L490" s="3">
        <v>46662</v>
      </c>
      <c r="M490" s="3">
        <v>46658</v>
      </c>
      <c r="N490" t="s">
        <v>3291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1971</v>
      </c>
      <c r="C491" t="s">
        <v>1960</v>
      </c>
      <c r="D491" s="3">
        <v>22969</v>
      </c>
      <c r="E491" t="s">
        <v>1378</v>
      </c>
      <c r="F491">
        <v>166</v>
      </c>
      <c r="G491" s="3">
        <v>39405</v>
      </c>
      <c r="H491" t="s">
        <v>1972</v>
      </c>
      <c r="J491" t="s">
        <v>1404</v>
      </c>
      <c r="K491" t="s">
        <v>50</v>
      </c>
      <c r="L491" s="3">
        <v>47602</v>
      </c>
      <c r="M491" s="3">
        <v>46476</v>
      </c>
      <c r="N491" t="s">
        <v>1973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2064</v>
      </c>
      <c r="C492" t="s">
        <v>3395</v>
      </c>
      <c r="D492" s="3">
        <v>25358</v>
      </c>
      <c r="E492" t="s">
        <v>1378</v>
      </c>
      <c r="F492">
        <v>395</v>
      </c>
      <c r="G492" s="3">
        <v>39391</v>
      </c>
      <c r="I492">
        <v>32479662027</v>
      </c>
      <c r="J492" t="s">
        <v>1506</v>
      </c>
      <c r="K492" t="s">
        <v>56</v>
      </c>
      <c r="L492" s="3">
        <v>47664</v>
      </c>
      <c r="M492" s="3">
        <v>46369</v>
      </c>
      <c r="N492" t="s">
        <v>3398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1430</v>
      </c>
      <c r="C493" t="s">
        <v>1427</v>
      </c>
      <c r="D493" s="3">
        <v>31632</v>
      </c>
      <c r="E493" t="s">
        <v>1378</v>
      </c>
      <c r="F493">
        <v>141</v>
      </c>
      <c r="G493" s="3">
        <v>39370</v>
      </c>
      <c r="H493" t="s">
        <v>1431</v>
      </c>
      <c r="J493" t="s">
        <v>1432</v>
      </c>
      <c r="K493" t="s">
        <v>50</v>
      </c>
      <c r="L493" s="3">
        <v>72686</v>
      </c>
      <c r="M493" s="3">
        <v>46827</v>
      </c>
      <c r="N493" t="s">
        <v>1433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1520</v>
      </c>
      <c r="C494" t="s">
        <v>1521</v>
      </c>
      <c r="D494" s="3">
        <v>25671</v>
      </c>
      <c r="E494" t="s">
        <v>1378</v>
      </c>
      <c r="F494">
        <v>328</v>
      </c>
      <c r="G494" s="3">
        <v>39370</v>
      </c>
      <c r="H494" t="s">
        <v>1522</v>
      </c>
      <c r="J494" t="s">
        <v>1462</v>
      </c>
      <c r="K494" t="s">
        <v>41</v>
      </c>
      <c r="L494" s="3">
        <v>46806</v>
      </c>
      <c r="M494" s="3">
        <v>46798</v>
      </c>
      <c r="N494" t="s">
        <v>1523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2587</v>
      </c>
      <c r="C495" t="s">
        <v>2588</v>
      </c>
      <c r="D495" s="3">
        <v>27407</v>
      </c>
      <c r="E495" t="s">
        <v>1378</v>
      </c>
      <c r="F495">
        <v>118</v>
      </c>
      <c r="G495" s="3">
        <v>39370</v>
      </c>
      <c r="H495" t="s">
        <v>2589</v>
      </c>
      <c r="J495" t="s">
        <v>1547</v>
      </c>
      <c r="K495" t="s">
        <v>53</v>
      </c>
      <c r="L495" s="3">
        <v>47094</v>
      </c>
      <c r="M495" s="3">
        <v>47083</v>
      </c>
      <c r="N495" t="s">
        <v>2590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1826</v>
      </c>
      <c r="C496" t="s">
        <v>1824</v>
      </c>
      <c r="D496" s="3">
        <v>26590</v>
      </c>
      <c r="E496" t="s">
        <v>1378</v>
      </c>
      <c r="F496">
        <v>291</v>
      </c>
      <c r="G496" s="3">
        <v>39356</v>
      </c>
      <c r="H496" t="s">
        <v>1827</v>
      </c>
      <c r="I496">
        <v>92303180</v>
      </c>
      <c r="J496" t="s">
        <v>1454</v>
      </c>
      <c r="K496" t="s">
        <v>47</v>
      </c>
      <c r="L496" s="3">
        <v>72686</v>
      </c>
      <c r="M496" s="3">
        <v>47533</v>
      </c>
      <c r="N496" t="s">
        <v>1828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2303</v>
      </c>
      <c r="C497" t="s">
        <v>2296</v>
      </c>
      <c r="D497" s="3">
        <v>27768</v>
      </c>
      <c r="E497" t="s">
        <v>1378</v>
      </c>
      <c r="F497">
        <v>281</v>
      </c>
      <c r="G497" s="3">
        <v>39356</v>
      </c>
      <c r="H497" t="s">
        <v>2304</v>
      </c>
      <c r="J497" t="s">
        <v>1404</v>
      </c>
      <c r="K497" t="s">
        <v>53</v>
      </c>
      <c r="L497" s="3">
        <v>72686</v>
      </c>
      <c r="M497" s="3">
        <v>46838</v>
      </c>
      <c r="N497" t="s">
        <v>2305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2765</v>
      </c>
      <c r="C498" t="s">
        <v>3166</v>
      </c>
      <c r="D498" s="3">
        <v>30655</v>
      </c>
      <c r="E498" t="s">
        <v>1378</v>
      </c>
      <c r="F498">
        <v>139</v>
      </c>
      <c r="G498" s="3">
        <v>39314</v>
      </c>
      <c r="H498" t="s">
        <v>3167</v>
      </c>
      <c r="I498">
        <v>92255582</v>
      </c>
      <c r="J498" t="s">
        <v>1419</v>
      </c>
      <c r="K498" t="s">
        <v>44</v>
      </c>
      <c r="L498" s="3">
        <v>46447</v>
      </c>
      <c r="M498" s="3">
        <v>46418</v>
      </c>
      <c r="N498" t="s">
        <v>3168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2209</v>
      </c>
      <c r="C499" t="s">
        <v>2210</v>
      </c>
      <c r="D499" s="3">
        <v>24630</v>
      </c>
      <c r="E499" t="s">
        <v>1378</v>
      </c>
      <c r="F499">
        <v>403</v>
      </c>
      <c r="G499" s="3">
        <v>39300</v>
      </c>
      <c r="H499" t="s">
        <v>2211</v>
      </c>
      <c r="I499">
        <v>93285584</v>
      </c>
      <c r="J499" t="s">
        <v>1404</v>
      </c>
      <c r="K499" t="s">
        <v>50</v>
      </c>
      <c r="L499" s="3">
        <v>72686</v>
      </c>
      <c r="M499" s="3">
        <v>46476</v>
      </c>
      <c r="N499" t="s">
        <v>2212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3101</v>
      </c>
      <c r="C500" t="s">
        <v>3092</v>
      </c>
      <c r="D500" s="3">
        <v>28233</v>
      </c>
      <c r="E500" t="s">
        <v>1378</v>
      </c>
      <c r="F500">
        <v>360</v>
      </c>
      <c r="G500" s="3">
        <v>39286</v>
      </c>
      <c r="H500" t="s">
        <v>3102</v>
      </c>
      <c r="J500" t="s">
        <v>1419</v>
      </c>
      <c r="K500" t="s">
        <v>44</v>
      </c>
      <c r="L500" s="3">
        <v>46039</v>
      </c>
      <c r="M500" s="3">
        <v>46985</v>
      </c>
      <c r="N500" t="s">
        <v>3103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2180</v>
      </c>
      <c r="C501" t="s">
        <v>2174</v>
      </c>
      <c r="D501" s="3">
        <v>30571</v>
      </c>
      <c r="E501" t="s">
        <v>1378</v>
      </c>
      <c r="F501">
        <v>309</v>
      </c>
      <c r="G501" s="3">
        <v>39286</v>
      </c>
      <c r="H501" t="s">
        <v>2181</v>
      </c>
      <c r="J501" t="s">
        <v>1404</v>
      </c>
      <c r="K501" t="s">
        <v>47</v>
      </c>
      <c r="L501" s="3">
        <v>72686</v>
      </c>
      <c r="M501" s="3">
        <v>46504</v>
      </c>
      <c r="N501" t="s">
        <v>2182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2117</v>
      </c>
      <c r="C502" t="s">
        <v>2114</v>
      </c>
      <c r="D502" s="3">
        <v>28705</v>
      </c>
      <c r="E502" t="s">
        <v>1378</v>
      </c>
      <c r="F502">
        <v>244</v>
      </c>
      <c r="G502" s="3">
        <v>39272</v>
      </c>
      <c r="H502" t="s">
        <v>2118</v>
      </c>
      <c r="J502" t="s">
        <v>1404</v>
      </c>
      <c r="K502" t="s">
        <v>53</v>
      </c>
      <c r="L502" s="3">
        <v>46680</v>
      </c>
      <c r="M502" s="3">
        <v>46679</v>
      </c>
      <c r="N502" t="s">
        <v>2119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3041</v>
      </c>
      <c r="C503" t="s">
        <v>3042</v>
      </c>
      <c r="D503" s="3">
        <v>31394</v>
      </c>
      <c r="E503" t="s">
        <v>1378</v>
      </c>
      <c r="F503">
        <v>319</v>
      </c>
      <c r="G503" s="3">
        <v>39223</v>
      </c>
      <c r="H503" t="s">
        <v>3043</v>
      </c>
      <c r="J503" t="s">
        <v>1547</v>
      </c>
      <c r="K503" t="s">
        <v>41</v>
      </c>
      <c r="L503" s="3">
        <v>47672</v>
      </c>
      <c r="M503" s="3">
        <v>46236</v>
      </c>
      <c r="N503" t="s">
        <v>3044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1744</v>
      </c>
      <c r="C504" t="s">
        <v>1351</v>
      </c>
      <c r="D504" s="3">
        <v>25256</v>
      </c>
      <c r="E504" t="s">
        <v>1378</v>
      </c>
      <c r="F504">
        <v>502</v>
      </c>
      <c r="G504" s="3">
        <v>39204</v>
      </c>
      <c r="H504" t="s">
        <v>3292</v>
      </c>
      <c r="I504">
        <v>3254244570</v>
      </c>
      <c r="J504" t="s">
        <v>1547</v>
      </c>
      <c r="K504" t="s">
        <v>41</v>
      </c>
      <c r="L504" s="3">
        <v>47611</v>
      </c>
      <c r="M504" s="3">
        <v>46776</v>
      </c>
      <c r="N504" t="s">
        <v>3293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3352</v>
      </c>
      <c r="C505" t="s">
        <v>3347</v>
      </c>
      <c r="D505" s="3">
        <v>30082</v>
      </c>
      <c r="E505" t="s">
        <v>1378</v>
      </c>
      <c r="F505">
        <v>344</v>
      </c>
      <c r="G505" s="3">
        <v>39204</v>
      </c>
      <c r="H505" t="s">
        <v>3353</v>
      </c>
      <c r="J505" t="s">
        <v>1484</v>
      </c>
      <c r="K505" t="s">
        <v>53</v>
      </c>
      <c r="L505" s="3">
        <v>73050</v>
      </c>
      <c r="M505" s="3">
        <v>47201</v>
      </c>
      <c r="N505" t="s">
        <v>3354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2272</v>
      </c>
      <c r="C506" t="s">
        <v>2273</v>
      </c>
      <c r="D506" s="3">
        <v>29923</v>
      </c>
      <c r="E506" t="s">
        <v>1378</v>
      </c>
      <c r="F506">
        <v>341</v>
      </c>
      <c r="G506" s="3">
        <v>39204</v>
      </c>
      <c r="H506" t="s">
        <v>2274</v>
      </c>
      <c r="J506" t="s">
        <v>1404</v>
      </c>
      <c r="K506" t="s">
        <v>38</v>
      </c>
      <c r="L506" s="3">
        <v>72686</v>
      </c>
      <c r="M506" s="3">
        <v>46191</v>
      </c>
      <c r="N506" t="s">
        <v>2275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1744</v>
      </c>
      <c r="C507" t="s">
        <v>1733</v>
      </c>
      <c r="D507" s="3">
        <v>26097</v>
      </c>
      <c r="E507" t="s">
        <v>1378</v>
      </c>
      <c r="F507">
        <v>334</v>
      </c>
      <c r="G507" s="3">
        <v>39188</v>
      </c>
      <c r="H507" t="s">
        <v>1745</v>
      </c>
      <c r="J507" t="s">
        <v>1404</v>
      </c>
      <c r="K507" t="s">
        <v>50</v>
      </c>
      <c r="L507" s="3">
        <v>46042</v>
      </c>
      <c r="M507" s="3">
        <v>46418</v>
      </c>
      <c r="N507" t="s">
        <v>1746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2844</v>
      </c>
      <c r="C508" t="s">
        <v>2841</v>
      </c>
      <c r="D508" s="3">
        <v>27176</v>
      </c>
      <c r="E508" t="s">
        <v>1378</v>
      </c>
      <c r="F508">
        <v>279</v>
      </c>
      <c r="G508" s="3">
        <v>39188</v>
      </c>
      <c r="J508" t="s">
        <v>1458</v>
      </c>
      <c r="K508" t="s">
        <v>50</v>
      </c>
      <c r="L508" s="3">
        <v>72686</v>
      </c>
      <c r="M508" s="3">
        <v>46182</v>
      </c>
      <c r="N508" t="s">
        <v>2845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2686</v>
      </c>
      <c r="C509" t="s">
        <v>2687</v>
      </c>
      <c r="D509" s="3">
        <v>24788</v>
      </c>
      <c r="E509" t="s">
        <v>1378</v>
      </c>
      <c r="F509">
        <v>290</v>
      </c>
      <c r="G509" s="3">
        <v>39174</v>
      </c>
      <c r="H509" t="s">
        <v>2688</v>
      </c>
      <c r="J509" t="s">
        <v>1404</v>
      </c>
      <c r="K509" t="s">
        <v>47</v>
      </c>
      <c r="L509" s="3">
        <v>72686</v>
      </c>
      <c r="M509" s="3">
        <v>72686</v>
      </c>
      <c r="N509" t="s">
        <v>2689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2943</v>
      </c>
      <c r="C510" t="s">
        <v>2944</v>
      </c>
      <c r="D510" s="3">
        <v>31215</v>
      </c>
      <c r="E510" t="s">
        <v>1378</v>
      </c>
      <c r="F510">
        <v>267</v>
      </c>
      <c r="G510" s="3">
        <v>39174</v>
      </c>
      <c r="H510" t="s">
        <v>2945</v>
      </c>
      <c r="J510" t="s">
        <v>1381</v>
      </c>
      <c r="K510" t="s">
        <v>53</v>
      </c>
      <c r="L510" s="3">
        <v>46187</v>
      </c>
      <c r="M510" s="3">
        <v>46274</v>
      </c>
      <c r="N510" t="s">
        <v>2946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2928</v>
      </c>
      <c r="C511" t="s">
        <v>2925</v>
      </c>
      <c r="D511" s="3">
        <v>30153</v>
      </c>
      <c r="E511" t="s">
        <v>1633</v>
      </c>
      <c r="F511">
        <v>83</v>
      </c>
      <c r="G511" s="3">
        <v>39160</v>
      </c>
      <c r="H511" t="s">
        <v>2929</v>
      </c>
      <c r="J511" t="s">
        <v>1484</v>
      </c>
      <c r="K511" t="s">
        <v>35</v>
      </c>
      <c r="L511" s="3">
        <v>72686</v>
      </c>
      <c r="M511" s="3">
        <v>46838</v>
      </c>
      <c r="N511" t="s">
        <v>2930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1376</v>
      </c>
      <c r="C512" t="s">
        <v>1341</v>
      </c>
      <c r="D512" s="3">
        <v>26247</v>
      </c>
      <c r="E512" t="s">
        <v>1378</v>
      </c>
      <c r="F512">
        <v>218</v>
      </c>
      <c r="G512" s="3">
        <v>39146</v>
      </c>
      <c r="H512" t="s">
        <v>2478</v>
      </c>
      <c r="J512" t="s">
        <v>1462</v>
      </c>
      <c r="K512" t="s">
        <v>44</v>
      </c>
      <c r="L512" s="3">
        <v>45956</v>
      </c>
      <c r="M512" s="3">
        <v>46306</v>
      </c>
      <c r="N512" t="s">
        <v>2479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2402</v>
      </c>
      <c r="C513" t="s">
        <v>2394</v>
      </c>
      <c r="D513" s="3">
        <v>23889</v>
      </c>
      <c r="E513" t="s">
        <v>1378</v>
      </c>
      <c r="F513">
        <v>172</v>
      </c>
      <c r="G513" s="3">
        <v>39146</v>
      </c>
      <c r="H513" t="s">
        <v>2403</v>
      </c>
      <c r="I513">
        <v>55424915</v>
      </c>
      <c r="J513" t="s">
        <v>1501</v>
      </c>
      <c r="K513" t="s">
        <v>53</v>
      </c>
      <c r="L513" s="3">
        <v>47629</v>
      </c>
      <c r="M513" s="3">
        <v>46378</v>
      </c>
      <c r="N513" t="s">
        <v>2404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2475</v>
      </c>
      <c r="C514" t="s">
        <v>1341</v>
      </c>
      <c r="D514" s="3">
        <v>23779</v>
      </c>
      <c r="E514" t="s">
        <v>1378</v>
      </c>
      <c r="F514">
        <v>157</v>
      </c>
      <c r="G514" s="3">
        <v>39146</v>
      </c>
      <c r="H514" t="s">
        <v>2476</v>
      </c>
      <c r="J514" t="s">
        <v>1515</v>
      </c>
      <c r="K514" t="s">
        <v>35</v>
      </c>
      <c r="L514" s="3">
        <v>72686</v>
      </c>
      <c r="M514" s="3">
        <v>46343</v>
      </c>
      <c r="N514" t="s">
        <v>2477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2280</v>
      </c>
      <c r="C515" t="s">
        <v>2277</v>
      </c>
      <c r="D515" s="3">
        <v>26892</v>
      </c>
      <c r="E515" t="s">
        <v>1378</v>
      </c>
      <c r="F515">
        <v>155</v>
      </c>
      <c r="G515" s="3">
        <v>39132</v>
      </c>
      <c r="H515" t="s">
        <v>2281</v>
      </c>
      <c r="J515" t="s">
        <v>1484</v>
      </c>
      <c r="K515" t="s">
        <v>50</v>
      </c>
      <c r="L515" s="3">
        <v>45951</v>
      </c>
      <c r="M515" s="3">
        <v>46364</v>
      </c>
      <c r="N515" t="s">
        <v>2282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2373</v>
      </c>
      <c r="C516" t="s">
        <v>2374</v>
      </c>
      <c r="D516" s="3">
        <v>27391</v>
      </c>
      <c r="E516" t="s">
        <v>1633</v>
      </c>
      <c r="F516">
        <v>402</v>
      </c>
      <c r="G516" s="3">
        <v>39132</v>
      </c>
      <c r="H516" t="s">
        <v>2375</v>
      </c>
      <c r="J516" t="s">
        <v>1484</v>
      </c>
      <c r="K516" t="s">
        <v>35</v>
      </c>
      <c r="L516" s="3">
        <v>72686</v>
      </c>
      <c r="M516" s="3">
        <v>46427</v>
      </c>
      <c r="N516" t="s">
        <v>2376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2869</v>
      </c>
      <c r="C517" t="s">
        <v>2866</v>
      </c>
      <c r="D517" s="3">
        <v>24135</v>
      </c>
      <c r="E517" t="s">
        <v>1378</v>
      </c>
      <c r="F517">
        <v>532</v>
      </c>
      <c r="G517" s="3">
        <v>39006</v>
      </c>
      <c r="H517" t="s">
        <v>2870</v>
      </c>
      <c r="J517" t="s">
        <v>1603</v>
      </c>
      <c r="K517" t="s">
        <v>38</v>
      </c>
      <c r="L517" s="3">
        <v>47467</v>
      </c>
      <c r="M517" s="3">
        <v>46729</v>
      </c>
      <c r="N517" t="s">
        <v>2871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1974</v>
      </c>
      <c r="C518" t="s">
        <v>1960</v>
      </c>
      <c r="D518" s="3">
        <v>22573</v>
      </c>
      <c r="E518" t="s">
        <v>1378</v>
      </c>
      <c r="F518">
        <v>353</v>
      </c>
      <c r="G518" s="3">
        <v>38992</v>
      </c>
      <c r="I518">
        <v>92313309</v>
      </c>
      <c r="J518" t="s">
        <v>1458</v>
      </c>
      <c r="K518" t="s">
        <v>50</v>
      </c>
      <c r="L518" s="3">
        <v>72686</v>
      </c>
      <c r="M518" s="3">
        <v>47034</v>
      </c>
      <c r="N518" t="s">
        <v>1975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2415</v>
      </c>
      <c r="C519" t="s">
        <v>2416</v>
      </c>
      <c r="D519" s="3">
        <v>26051</v>
      </c>
      <c r="E519" t="s">
        <v>1378</v>
      </c>
      <c r="F519">
        <v>161</v>
      </c>
      <c r="G519" s="3">
        <v>38971</v>
      </c>
      <c r="H519" t="s">
        <v>2417</v>
      </c>
      <c r="J519" t="s">
        <v>1679</v>
      </c>
      <c r="K519" t="s">
        <v>35</v>
      </c>
      <c r="L519" s="3">
        <v>72686</v>
      </c>
      <c r="M519" s="3">
        <v>46820</v>
      </c>
      <c r="N519" t="s">
        <v>2418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2557</v>
      </c>
      <c r="C520" t="s">
        <v>2558</v>
      </c>
      <c r="D520" s="3">
        <v>22649</v>
      </c>
      <c r="E520" t="s">
        <v>1378</v>
      </c>
      <c r="G520" s="3">
        <v>38957</v>
      </c>
      <c r="H520" t="s">
        <v>2559</v>
      </c>
      <c r="J520" t="s">
        <v>1381</v>
      </c>
      <c r="K520" t="s">
        <v>38</v>
      </c>
      <c r="L520" s="3">
        <v>47497</v>
      </c>
      <c r="M520" s="3">
        <v>47470</v>
      </c>
      <c r="N520" t="s">
        <v>2560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3425</v>
      </c>
      <c r="C521" t="s">
        <v>3423</v>
      </c>
      <c r="D521" s="3">
        <v>23974</v>
      </c>
      <c r="E521" t="s">
        <v>1378</v>
      </c>
      <c r="F521">
        <v>506</v>
      </c>
      <c r="G521" s="3">
        <v>38936</v>
      </c>
      <c r="H521" t="s">
        <v>3426</v>
      </c>
      <c r="J521" t="s">
        <v>1501</v>
      </c>
      <c r="K521" t="s">
        <v>41</v>
      </c>
      <c r="L521" s="3">
        <v>47714</v>
      </c>
      <c r="M521" s="3">
        <v>46056</v>
      </c>
      <c r="N521" t="s">
        <v>3427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2659</v>
      </c>
      <c r="C522" t="s">
        <v>2657</v>
      </c>
      <c r="D522" s="3">
        <v>30660</v>
      </c>
      <c r="E522" t="s">
        <v>1378</v>
      </c>
      <c r="F522">
        <v>347</v>
      </c>
      <c r="G522" s="3">
        <v>38929</v>
      </c>
      <c r="H522" t="s">
        <v>2660</v>
      </c>
      <c r="J522" t="s">
        <v>1458</v>
      </c>
      <c r="K522" t="s">
        <v>50</v>
      </c>
      <c r="L522" s="3">
        <v>72686</v>
      </c>
      <c r="M522" s="3">
        <v>46042</v>
      </c>
      <c r="N522" t="s">
        <v>2661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1669</v>
      </c>
      <c r="C523" t="s">
        <v>1670</v>
      </c>
      <c r="D523" s="3">
        <v>25000</v>
      </c>
      <c r="E523" t="s">
        <v>1378</v>
      </c>
      <c r="F523">
        <v>345</v>
      </c>
      <c r="G523" s="3">
        <v>38929</v>
      </c>
      <c r="H523" t="s">
        <v>1671</v>
      </c>
      <c r="J523" t="s">
        <v>1484</v>
      </c>
      <c r="K523" t="s">
        <v>47</v>
      </c>
      <c r="L523" s="3">
        <v>72686</v>
      </c>
      <c r="M523" s="3">
        <v>46181</v>
      </c>
      <c r="N523" t="s">
        <v>1672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2423</v>
      </c>
      <c r="C524" t="s">
        <v>2420</v>
      </c>
      <c r="D524" s="3">
        <v>29721</v>
      </c>
      <c r="E524" t="s">
        <v>1378</v>
      </c>
      <c r="F524">
        <v>52</v>
      </c>
      <c r="G524" s="3">
        <v>38908</v>
      </c>
      <c r="H524" t="s">
        <v>2424</v>
      </c>
      <c r="I524">
        <v>55613250</v>
      </c>
      <c r="J524" t="s">
        <v>1396</v>
      </c>
      <c r="K524" t="s">
        <v>53</v>
      </c>
      <c r="L524" s="3">
        <v>45923</v>
      </c>
      <c r="M524" s="3">
        <v>46005</v>
      </c>
      <c r="N524" t="s">
        <v>2425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2553</v>
      </c>
      <c r="C525" t="s">
        <v>2554</v>
      </c>
      <c r="D525" s="3">
        <v>24261</v>
      </c>
      <c r="E525" t="s">
        <v>1378</v>
      </c>
      <c r="G525" s="3">
        <v>38852</v>
      </c>
      <c r="H525" t="s">
        <v>2555</v>
      </c>
      <c r="J525" t="s">
        <v>1437</v>
      </c>
      <c r="K525" t="s">
        <v>35</v>
      </c>
      <c r="L525" s="3">
        <v>47637</v>
      </c>
      <c r="M525" s="3">
        <v>47628</v>
      </c>
      <c r="N525" t="s">
        <v>2556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2527</v>
      </c>
      <c r="C526" t="s">
        <v>2524</v>
      </c>
      <c r="D526" s="3">
        <v>30809</v>
      </c>
      <c r="E526" t="s">
        <v>1378</v>
      </c>
      <c r="F526">
        <v>297</v>
      </c>
      <c r="G526" s="3">
        <v>38852</v>
      </c>
      <c r="H526" t="s">
        <v>2528</v>
      </c>
      <c r="J526" t="s">
        <v>1547</v>
      </c>
      <c r="K526" t="s">
        <v>56</v>
      </c>
      <c r="L526" s="3">
        <v>47623</v>
      </c>
      <c r="M526" s="3">
        <v>46000</v>
      </c>
      <c r="N526" t="s">
        <v>2529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2829</v>
      </c>
      <c r="C527" t="s">
        <v>2820</v>
      </c>
      <c r="D527" s="3">
        <v>23793</v>
      </c>
      <c r="E527" t="s">
        <v>1378</v>
      </c>
      <c r="F527">
        <v>461</v>
      </c>
      <c r="G527" s="3">
        <v>38831</v>
      </c>
      <c r="H527" t="s">
        <v>2830</v>
      </c>
      <c r="J527" t="s">
        <v>1506</v>
      </c>
      <c r="K527" t="s">
        <v>56</v>
      </c>
      <c r="L527" s="3">
        <v>47588</v>
      </c>
      <c r="M527" s="3">
        <v>47573</v>
      </c>
      <c r="N527" t="s">
        <v>2831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1495</v>
      </c>
      <c r="C528" t="s">
        <v>1491</v>
      </c>
      <c r="D528" s="3">
        <v>26900</v>
      </c>
      <c r="E528" t="s">
        <v>1378</v>
      </c>
      <c r="F528">
        <v>476</v>
      </c>
      <c r="G528" s="3">
        <v>38810</v>
      </c>
      <c r="H528" t="s">
        <v>1496</v>
      </c>
      <c r="J528" t="s">
        <v>1497</v>
      </c>
      <c r="K528" t="s">
        <v>44</v>
      </c>
      <c r="L528" s="3">
        <v>47652</v>
      </c>
      <c r="M528" s="3">
        <v>47644</v>
      </c>
      <c r="N528" t="s">
        <v>1498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3078</v>
      </c>
      <c r="C529" t="s">
        <v>2405</v>
      </c>
      <c r="D529" s="3">
        <v>27422</v>
      </c>
      <c r="E529" t="s">
        <v>1378</v>
      </c>
      <c r="F529">
        <v>275</v>
      </c>
      <c r="G529" s="3">
        <v>38789</v>
      </c>
      <c r="H529" t="s">
        <v>3079</v>
      </c>
      <c r="J529" t="s">
        <v>1501</v>
      </c>
      <c r="K529" t="s">
        <v>47</v>
      </c>
      <c r="L529" s="3">
        <v>47651</v>
      </c>
      <c r="M529" s="3">
        <v>47615</v>
      </c>
      <c r="N529" t="s">
        <v>3080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1937</v>
      </c>
      <c r="C530" t="s">
        <v>1929</v>
      </c>
      <c r="D530" s="3">
        <v>29547</v>
      </c>
      <c r="E530" t="s">
        <v>1378</v>
      </c>
      <c r="F530">
        <v>562</v>
      </c>
      <c r="G530" s="3">
        <v>38789</v>
      </c>
      <c r="H530" t="s">
        <v>1938</v>
      </c>
      <c r="J530" t="s">
        <v>1635</v>
      </c>
      <c r="K530" t="s">
        <v>41</v>
      </c>
      <c r="L530" s="3">
        <v>47635</v>
      </c>
      <c r="M530" s="3">
        <v>47608</v>
      </c>
      <c r="N530" t="s">
        <v>1939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2465</v>
      </c>
      <c r="C531" t="s">
        <v>3259</v>
      </c>
      <c r="D531" s="3">
        <v>29513</v>
      </c>
      <c r="E531" t="s">
        <v>1378</v>
      </c>
      <c r="F531">
        <v>264</v>
      </c>
      <c r="G531" s="3">
        <v>38789</v>
      </c>
      <c r="H531" t="s">
        <v>3262</v>
      </c>
      <c r="J531" t="s">
        <v>1458</v>
      </c>
      <c r="K531" t="s">
        <v>50</v>
      </c>
      <c r="L531" s="3">
        <v>72686</v>
      </c>
      <c r="M531" s="3">
        <v>46932</v>
      </c>
      <c r="N531" t="s">
        <v>3263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1517</v>
      </c>
      <c r="C532" t="s">
        <v>1513</v>
      </c>
      <c r="D532" s="3">
        <v>25538</v>
      </c>
      <c r="E532" t="s">
        <v>1378</v>
      </c>
      <c r="F532">
        <v>97</v>
      </c>
      <c r="G532" s="3">
        <v>38775</v>
      </c>
      <c r="H532" t="s">
        <v>1518</v>
      </c>
      <c r="I532">
        <v>92322233</v>
      </c>
      <c r="J532" t="s">
        <v>1484</v>
      </c>
      <c r="K532" t="s">
        <v>41</v>
      </c>
      <c r="L532" s="3">
        <v>46063</v>
      </c>
      <c r="M532" s="3">
        <v>46014</v>
      </c>
      <c r="N532" t="s">
        <v>1519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2334</v>
      </c>
      <c r="C533" t="s">
        <v>2335</v>
      </c>
      <c r="D533" s="3">
        <v>22884</v>
      </c>
      <c r="E533" t="s">
        <v>1378</v>
      </c>
      <c r="F533">
        <v>634</v>
      </c>
      <c r="G533" s="3">
        <v>38593</v>
      </c>
      <c r="H533" t="s">
        <v>2336</v>
      </c>
      <c r="I533" t="s">
        <v>2337</v>
      </c>
      <c r="J533" t="s">
        <v>1501</v>
      </c>
      <c r="K533" t="s">
        <v>38</v>
      </c>
      <c r="L533" s="3">
        <v>46007</v>
      </c>
      <c r="M533" s="3">
        <v>46065</v>
      </c>
      <c r="N533" t="s">
        <v>3599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2776</v>
      </c>
      <c r="C534" t="s">
        <v>2777</v>
      </c>
      <c r="D534" s="3">
        <v>29127</v>
      </c>
      <c r="E534" t="s">
        <v>1378</v>
      </c>
      <c r="F534">
        <v>580</v>
      </c>
      <c r="G534" s="3">
        <v>38481</v>
      </c>
      <c r="H534" t="s">
        <v>2778</v>
      </c>
      <c r="J534" t="s">
        <v>1493</v>
      </c>
      <c r="K534" t="s">
        <v>47</v>
      </c>
      <c r="L534" s="3">
        <v>47434</v>
      </c>
      <c r="M534" s="3">
        <v>47408</v>
      </c>
      <c r="N534" t="s">
        <v>2779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2338</v>
      </c>
      <c r="C535" t="s">
        <v>2339</v>
      </c>
      <c r="D535" s="3">
        <v>24596</v>
      </c>
      <c r="E535" t="s">
        <v>1378</v>
      </c>
      <c r="F535">
        <v>68</v>
      </c>
      <c r="G535" s="3">
        <v>38460</v>
      </c>
      <c r="H535" t="s">
        <v>2340</v>
      </c>
      <c r="J535" t="s">
        <v>1462</v>
      </c>
      <c r="K535" t="s">
        <v>44</v>
      </c>
      <c r="L535" s="3">
        <v>47527</v>
      </c>
      <c r="M535" s="3">
        <v>47524</v>
      </c>
      <c r="N535" t="s">
        <v>2341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2405</v>
      </c>
      <c r="C536" t="s">
        <v>2394</v>
      </c>
      <c r="D536" s="3">
        <v>24575</v>
      </c>
      <c r="E536" t="s">
        <v>1378</v>
      </c>
      <c r="F536">
        <v>348</v>
      </c>
      <c r="G536" s="3">
        <v>38460</v>
      </c>
      <c r="H536" t="s">
        <v>2406</v>
      </c>
      <c r="J536" t="s">
        <v>1484</v>
      </c>
      <c r="K536" t="s">
        <v>38</v>
      </c>
      <c r="L536" s="3">
        <v>72686</v>
      </c>
      <c r="M536" s="3">
        <v>46467</v>
      </c>
      <c r="N536" t="s">
        <v>2407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2882</v>
      </c>
      <c r="C537" t="s">
        <v>2879</v>
      </c>
      <c r="D537" s="3">
        <v>24058</v>
      </c>
      <c r="E537" t="s">
        <v>1378</v>
      </c>
      <c r="F537">
        <v>76</v>
      </c>
      <c r="G537" s="3">
        <v>38446</v>
      </c>
      <c r="H537" t="s">
        <v>2883</v>
      </c>
      <c r="I537">
        <v>92783143</v>
      </c>
      <c r="J537" t="s">
        <v>1699</v>
      </c>
      <c r="K537" t="s">
        <v>44</v>
      </c>
      <c r="L537" s="3">
        <v>45983</v>
      </c>
      <c r="M537" s="3">
        <v>45936</v>
      </c>
      <c r="N537" t="s">
        <v>2884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1738</v>
      </c>
      <c r="C538" t="s">
        <v>1804</v>
      </c>
      <c r="D538" s="3">
        <v>24694</v>
      </c>
      <c r="E538" t="s">
        <v>1378</v>
      </c>
      <c r="F538">
        <v>171</v>
      </c>
      <c r="G538" s="3">
        <v>38404</v>
      </c>
      <c r="H538" t="s">
        <v>1805</v>
      </c>
      <c r="I538">
        <v>92306884</v>
      </c>
      <c r="J538" t="s">
        <v>1547</v>
      </c>
      <c r="K538" t="s">
        <v>56</v>
      </c>
      <c r="L538" s="3">
        <v>47316</v>
      </c>
      <c r="M538" s="3">
        <v>47306</v>
      </c>
      <c r="N538" t="s">
        <v>1806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3127</v>
      </c>
      <c r="C539" t="s">
        <v>3128</v>
      </c>
      <c r="D539" s="3">
        <v>22267</v>
      </c>
      <c r="E539" t="s">
        <v>1378</v>
      </c>
      <c r="F539">
        <v>227</v>
      </c>
      <c r="G539" s="3">
        <v>38404</v>
      </c>
      <c r="H539" t="s">
        <v>3129</v>
      </c>
      <c r="J539" t="s">
        <v>1515</v>
      </c>
      <c r="K539" t="s">
        <v>38</v>
      </c>
      <c r="L539" s="3">
        <v>72686</v>
      </c>
      <c r="M539" s="3">
        <v>72686</v>
      </c>
      <c r="N539" t="s">
        <v>3130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2748</v>
      </c>
      <c r="C540" t="s">
        <v>2749</v>
      </c>
      <c r="D540" s="3">
        <v>25055</v>
      </c>
      <c r="E540" t="s">
        <v>1378</v>
      </c>
      <c r="F540">
        <v>53</v>
      </c>
      <c r="G540" s="3">
        <v>38390</v>
      </c>
      <c r="H540" t="s">
        <v>2750</v>
      </c>
      <c r="I540" t="s">
        <v>2751</v>
      </c>
      <c r="J540" t="s">
        <v>1404</v>
      </c>
      <c r="K540" t="s">
        <v>53</v>
      </c>
      <c r="L540" s="3">
        <v>72686</v>
      </c>
      <c r="M540" s="3">
        <v>47323</v>
      </c>
      <c r="N540" t="s">
        <v>2752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1872</v>
      </c>
      <c r="C541" t="s">
        <v>1873</v>
      </c>
      <c r="D541" s="3">
        <v>22889</v>
      </c>
      <c r="E541" t="s">
        <v>1378</v>
      </c>
      <c r="F541">
        <v>312</v>
      </c>
      <c r="G541" s="3">
        <v>38222</v>
      </c>
      <c r="H541" t="s">
        <v>1874</v>
      </c>
      <c r="J541" t="s">
        <v>1484</v>
      </c>
      <c r="K541" t="s">
        <v>38</v>
      </c>
      <c r="L541" s="3">
        <v>72686</v>
      </c>
      <c r="M541" s="3">
        <v>47163</v>
      </c>
      <c r="N541" t="s">
        <v>1875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1499</v>
      </c>
      <c r="C542" t="s">
        <v>1491</v>
      </c>
      <c r="D542" s="3">
        <v>29308</v>
      </c>
      <c r="E542" t="s">
        <v>1378</v>
      </c>
      <c r="F542">
        <v>611</v>
      </c>
      <c r="G542" s="3">
        <v>38222</v>
      </c>
      <c r="H542" t="s">
        <v>1500</v>
      </c>
      <c r="J542" t="s">
        <v>1501</v>
      </c>
      <c r="K542" t="s">
        <v>38</v>
      </c>
      <c r="L542" s="3">
        <v>47614</v>
      </c>
      <c r="M542" s="3">
        <v>47021</v>
      </c>
      <c r="N542" t="s">
        <v>1502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2534</v>
      </c>
      <c r="C543" t="s">
        <v>2531</v>
      </c>
      <c r="D543" s="3">
        <v>26011</v>
      </c>
      <c r="E543" t="s">
        <v>1378</v>
      </c>
      <c r="F543">
        <v>384</v>
      </c>
      <c r="G543" s="3">
        <v>38124</v>
      </c>
      <c r="H543" t="s">
        <v>2535</v>
      </c>
      <c r="J543" t="s">
        <v>1552</v>
      </c>
      <c r="K543" t="s">
        <v>38</v>
      </c>
      <c r="L543" s="3">
        <v>72686</v>
      </c>
      <c r="M543" s="3">
        <v>47231</v>
      </c>
      <c r="N543" t="s">
        <v>2536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3061</v>
      </c>
      <c r="C544" t="s">
        <v>3055</v>
      </c>
      <c r="D544" s="3">
        <v>29646</v>
      </c>
      <c r="E544" t="s">
        <v>1378</v>
      </c>
      <c r="F544">
        <v>358</v>
      </c>
      <c r="G544" s="3">
        <v>38124</v>
      </c>
      <c r="H544" t="s">
        <v>3062</v>
      </c>
      <c r="J544" t="s">
        <v>1454</v>
      </c>
      <c r="K544" t="s">
        <v>38</v>
      </c>
      <c r="L544" s="3">
        <v>72686</v>
      </c>
      <c r="M544" s="3">
        <v>47316</v>
      </c>
      <c r="N544" t="s">
        <v>3063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2354</v>
      </c>
      <c r="C545" t="s">
        <v>2351</v>
      </c>
      <c r="D545" s="3">
        <v>23057</v>
      </c>
      <c r="E545" t="s">
        <v>1378</v>
      </c>
      <c r="F545">
        <v>423</v>
      </c>
      <c r="G545" s="3">
        <v>38103</v>
      </c>
      <c r="H545" t="s">
        <v>2355</v>
      </c>
      <c r="J545" t="s">
        <v>1404</v>
      </c>
      <c r="K545" t="s">
        <v>50</v>
      </c>
      <c r="L545" s="3">
        <v>72686</v>
      </c>
      <c r="M545" s="3">
        <v>47201</v>
      </c>
      <c r="N545" t="s">
        <v>2356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3087</v>
      </c>
      <c r="C546" t="s">
        <v>3347</v>
      </c>
      <c r="D546" s="3">
        <v>30395</v>
      </c>
      <c r="E546" t="s">
        <v>1378</v>
      </c>
      <c r="F546">
        <v>416</v>
      </c>
      <c r="G546" s="3">
        <v>38103</v>
      </c>
      <c r="H546" t="s">
        <v>3355</v>
      </c>
      <c r="J546" t="s">
        <v>1484</v>
      </c>
      <c r="K546" t="s">
        <v>50</v>
      </c>
      <c r="L546" s="3">
        <v>72686</v>
      </c>
      <c r="M546" s="3">
        <v>47323</v>
      </c>
      <c r="N546" t="s">
        <v>3356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2854</v>
      </c>
      <c r="C547" t="s">
        <v>2850</v>
      </c>
      <c r="D547" s="3">
        <v>24194</v>
      </c>
      <c r="E547" t="s">
        <v>1378</v>
      </c>
      <c r="F547">
        <v>213</v>
      </c>
      <c r="G547" s="3">
        <v>38103</v>
      </c>
      <c r="I547">
        <v>93572904</v>
      </c>
      <c r="J547" t="s">
        <v>1404</v>
      </c>
      <c r="K547" t="s">
        <v>38</v>
      </c>
      <c r="L547" s="3">
        <v>72686</v>
      </c>
      <c r="M547" s="3">
        <v>72686</v>
      </c>
      <c r="N547" t="s">
        <v>2855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2088</v>
      </c>
      <c r="C548" t="s">
        <v>2089</v>
      </c>
      <c r="D548" s="3">
        <v>25363</v>
      </c>
      <c r="E548" t="s">
        <v>1378</v>
      </c>
      <c r="F548">
        <v>560</v>
      </c>
      <c r="G548" s="3">
        <v>38019</v>
      </c>
      <c r="H548" t="s">
        <v>2090</v>
      </c>
      <c r="J548" t="s">
        <v>1501</v>
      </c>
      <c r="K548" t="s">
        <v>41</v>
      </c>
      <c r="L548" s="3">
        <v>47700</v>
      </c>
      <c r="M548" s="3">
        <v>46827</v>
      </c>
      <c r="N548" t="s">
        <v>2091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1816</v>
      </c>
      <c r="C549" t="s">
        <v>1817</v>
      </c>
      <c r="D549" s="3">
        <v>24253</v>
      </c>
      <c r="E549" t="s">
        <v>1378</v>
      </c>
      <c r="F549">
        <v>380</v>
      </c>
      <c r="G549" s="3">
        <v>37991</v>
      </c>
      <c r="H549" t="s">
        <v>1818</v>
      </c>
      <c r="J549" t="s">
        <v>1462</v>
      </c>
      <c r="K549" t="s">
        <v>44</v>
      </c>
      <c r="L549" s="3">
        <v>47671</v>
      </c>
      <c r="M549" s="3">
        <v>46726</v>
      </c>
      <c r="N549" t="s">
        <v>1819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2920</v>
      </c>
      <c r="C550" t="s">
        <v>2921</v>
      </c>
      <c r="D550" s="3">
        <v>24848</v>
      </c>
      <c r="E550" t="s">
        <v>1378</v>
      </c>
      <c r="F550">
        <v>535</v>
      </c>
      <c r="G550" s="3">
        <v>37991</v>
      </c>
      <c r="H550" t="s">
        <v>2922</v>
      </c>
      <c r="I550">
        <v>93557570</v>
      </c>
      <c r="J550" t="s">
        <v>1501</v>
      </c>
      <c r="K550" t="s">
        <v>38</v>
      </c>
      <c r="L550" s="3">
        <v>46889</v>
      </c>
      <c r="M550" s="3">
        <v>46882</v>
      </c>
      <c r="N550" t="s">
        <v>2923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1800</v>
      </c>
      <c r="C551" t="s">
        <v>1801</v>
      </c>
      <c r="D551" s="3">
        <v>26137</v>
      </c>
      <c r="E551" t="s">
        <v>1378</v>
      </c>
      <c r="F551">
        <v>273</v>
      </c>
      <c r="G551" s="3">
        <v>37886</v>
      </c>
      <c r="H551" t="s">
        <v>1802</v>
      </c>
      <c r="J551" t="s">
        <v>1484</v>
      </c>
      <c r="K551" t="s">
        <v>47</v>
      </c>
      <c r="L551" s="3">
        <v>72686</v>
      </c>
      <c r="M551" s="3">
        <v>47498</v>
      </c>
      <c r="N551" t="s">
        <v>1803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2670</v>
      </c>
      <c r="C552" t="s">
        <v>2671</v>
      </c>
      <c r="D552" s="3">
        <v>27842</v>
      </c>
      <c r="E552" t="s">
        <v>1378</v>
      </c>
      <c r="F552">
        <v>293</v>
      </c>
      <c r="G552" s="3">
        <v>37886</v>
      </c>
      <c r="H552" t="s">
        <v>2672</v>
      </c>
      <c r="J552" t="s">
        <v>1432</v>
      </c>
      <c r="K552" t="s">
        <v>56</v>
      </c>
      <c r="L552" s="3">
        <v>47275</v>
      </c>
      <c r="M552" s="3">
        <v>47237</v>
      </c>
      <c r="N552" t="s">
        <v>2673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3121</v>
      </c>
      <c r="C553" t="s">
        <v>3116</v>
      </c>
      <c r="D553" s="3">
        <v>28331</v>
      </c>
      <c r="E553" t="s">
        <v>1378</v>
      </c>
      <c r="F553">
        <v>4</v>
      </c>
      <c r="G553" s="3">
        <v>37886</v>
      </c>
      <c r="H553" t="s">
        <v>3122</v>
      </c>
      <c r="I553">
        <v>92728505</v>
      </c>
      <c r="J553" t="s">
        <v>1679</v>
      </c>
      <c r="K553" t="s">
        <v>35</v>
      </c>
      <c r="L553" s="3">
        <v>72686</v>
      </c>
      <c r="M553" s="3">
        <v>46469</v>
      </c>
      <c r="N553" t="s">
        <v>3123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1976</v>
      </c>
      <c r="C554" t="s">
        <v>1960</v>
      </c>
      <c r="D554" s="3">
        <v>25880</v>
      </c>
      <c r="E554" t="s">
        <v>1378</v>
      </c>
      <c r="F554">
        <v>420</v>
      </c>
      <c r="G554" s="3">
        <v>37886</v>
      </c>
      <c r="H554" t="s">
        <v>1977</v>
      </c>
      <c r="J554" t="s">
        <v>1484</v>
      </c>
      <c r="K554" t="s">
        <v>53</v>
      </c>
      <c r="L554" s="3">
        <v>72686</v>
      </c>
      <c r="M554" s="3">
        <v>46820</v>
      </c>
      <c r="N554" t="s">
        <v>1978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1608</v>
      </c>
      <c r="C555" t="s">
        <v>1605</v>
      </c>
      <c r="D555" s="3">
        <v>22597</v>
      </c>
      <c r="E555" t="s">
        <v>1378</v>
      </c>
      <c r="F555">
        <v>439</v>
      </c>
      <c r="G555" s="3">
        <v>37830</v>
      </c>
      <c r="H555" t="s">
        <v>1609</v>
      </c>
      <c r="J555" t="s">
        <v>1462</v>
      </c>
      <c r="K555" t="s">
        <v>44</v>
      </c>
      <c r="L555" s="3">
        <v>45880</v>
      </c>
      <c r="M555" s="3">
        <v>46665</v>
      </c>
      <c r="N555" t="s">
        <v>1610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2601</v>
      </c>
      <c r="C556" t="s">
        <v>2596</v>
      </c>
      <c r="D556" s="3">
        <v>27290</v>
      </c>
      <c r="E556" t="s">
        <v>1378</v>
      </c>
      <c r="F556">
        <v>198</v>
      </c>
      <c r="G556" s="3">
        <v>37830</v>
      </c>
      <c r="H556" t="s">
        <v>2602</v>
      </c>
      <c r="J556" t="s">
        <v>1699</v>
      </c>
      <c r="K556" t="s">
        <v>47</v>
      </c>
      <c r="L556" s="3">
        <v>47611</v>
      </c>
      <c r="M556" s="3">
        <v>46518</v>
      </c>
      <c r="N556" t="s">
        <v>2603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1940</v>
      </c>
      <c r="C557" t="s">
        <v>1929</v>
      </c>
      <c r="D557" s="3">
        <v>24895</v>
      </c>
      <c r="E557" t="s">
        <v>1378</v>
      </c>
      <c r="F557">
        <v>579</v>
      </c>
      <c r="G557" s="3">
        <v>37830</v>
      </c>
      <c r="H557" t="s">
        <v>1941</v>
      </c>
      <c r="J557" t="s">
        <v>1501</v>
      </c>
      <c r="K557" t="s">
        <v>47</v>
      </c>
      <c r="L557" s="3">
        <v>47678</v>
      </c>
      <c r="M557" s="3">
        <v>46686</v>
      </c>
      <c r="N557" t="s">
        <v>1942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1524</v>
      </c>
      <c r="C558" t="s">
        <v>1521</v>
      </c>
      <c r="D558" s="3">
        <v>29948</v>
      </c>
      <c r="E558" t="s">
        <v>1378</v>
      </c>
      <c r="F558">
        <v>251</v>
      </c>
      <c r="G558" s="3">
        <v>37788</v>
      </c>
      <c r="H558" t="s">
        <v>1525</v>
      </c>
      <c r="J558" t="s">
        <v>1484</v>
      </c>
      <c r="K558" t="s">
        <v>47</v>
      </c>
      <c r="L558" s="3">
        <v>47721</v>
      </c>
      <c r="M558" s="3">
        <v>46776</v>
      </c>
      <c r="N558" t="s">
        <v>1526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1979</v>
      </c>
      <c r="C559" t="s">
        <v>1960</v>
      </c>
      <c r="D559" s="3">
        <v>29405</v>
      </c>
      <c r="E559" t="s">
        <v>1378</v>
      </c>
      <c r="F559">
        <v>501</v>
      </c>
      <c r="G559" s="3">
        <v>37767</v>
      </c>
      <c r="H559" t="s">
        <v>1980</v>
      </c>
      <c r="J559" t="s">
        <v>1603</v>
      </c>
      <c r="K559" t="s">
        <v>38</v>
      </c>
      <c r="L559" s="3">
        <v>45969</v>
      </c>
      <c r="M559" s="3">
        <v>46686</v>
      </c>
      <c r="N559" t="s">
        <v>1981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1545</v>
      </c>
      <c r="C560" t="s">
        <v>1536</v>
      </c>
      <c r="D560" s="3">
        <v>28338</v>
      </c>
      <c r="E560" t="s">
        <v>1378</v>
      </c>
      <c r="F560">
        <v>186</v>
      </c>
      <c r="G560" s="3">
        <v>37739</v>
      </c>
      <c r="H560" t="s">
        <v>1546</v>
      </c>
      <c r="J560" t="s">
        <v>1547</v>
      </c>
      <c r="K560" t="s">
        <v>56</v>
      </c>
      <c r="L560" s="3">
        <v>47645</v>
      </c>
      <c r="M560" s="3">
        <v>46434</v>
      </c>
      <c r="N560" t="s">
        <v>1548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2998</v>
      </c>
      <c r="C561" t="s">
        <v>1326</v>
      </c>
      <c r="D561" s="3">
        <v>26166</v>
      </c>
      <c r="E561" t="s">
        <v>1378</v>
      </c>
      <c r="G561" s="3">
        <v>37718</v>
      </c>
      <c r="H561" t="s">
        <v>2999</v>
      </c>
      <c r="J561" t="s">
        <v>1565</v>
      </c>
      <c r="K561" t="s">
        <v>47</v>
      </c>
      <c r="L561" s="3">
        <v>46168</v>
      </c>
      <c r="M561" s="3">
        <v>46056</v>
      </c>
      <c r="N561" t="s">
        <v>3000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1837</v>
      </c>
      <c r="C562" t="s">
        <v>1838</v>
      </c>
      <c r="D562" s="3">
        <v>29917</v>
      </c>
      <c r="E562" t="s">
        <v>1378</v>
      </c>
      <c r="F562">
        <v>556</v>
      </c>
      <c r="G562" s="3">
        <v>37718</v>
      </c>
      <c r="H562" t="s">
        <v>1839</v>
      </c>
      <c r="J562" t="s">
        <v>1501</v>
      </c>
      <c r="K562" t="s">
        <v>38</v>
      </c>
      <c r="L562" s="3">
        <v>47650</v>
      </c>
      <c r="M562" s="3">
        <v>46466</v>
      </c>
      <c r="N562" t="s">
        <v>1840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2872</v>
      </c>
      <c r="C563" t="s">
        <v>2866</v>
      </c>
      <c r="D563" s="3">
        <v>24476</v>
      </c>
      <c r="E563" t="s">
        <v>1378</v>
      </c>
      <c r="F563">
        <v>503</v>
      </c>
      <c r="G563" s="3">
        <v>37634</v>
      </c>
      <c r="H563" t="s">
        <v>2873</v>
      </c>
      <c r="J563" t="s">
        <v>1501</v>
      </c>
      <c r="K563" t="s">
        <v>38</v>
      </c>
      <c r="L563" s="3">
        <v>47541</v>
      </c>
      <c r="M563" s="3">
        <v>46772</v>
      </c>
      <c r="N563" t="s">
        <v>2874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2206</v>
      </c>
      <c r="C564" t="s">
        <v>2879</v>
      </c>
      <c r="D564" s="3">
        <v>28129</v>
      </c>
      <c r="E564" t="s">
        <v>1378</v>
      </c>
      <c r="F564">
        <v>561</v>
      </c>
      <c r="G564" s="3">
        <v>37585</v>
      </c>
      <c r="H564" t="s">
        <v>2885</v>
      </c>
      <c r="J564" t="s">
        <v>1635</v>
      </c>
      <c r="K564" t="s">
        <v>41</v>
      </c>
      <c r="L564" s="3">
        <v>47679</v>
      </c>
      <c r="M564" s="3">
        <v>46511</v>
      </c>
      <c r="N564" t="s">
        <v>2886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2408</v>
      </c>
      <c r="C565" t="s">
        <v>2409</v>
      </c>
      <c r="D565" s="3">
        <v>26952</v>
      </c>
      <c r="E565" t="s">
        <v>1378</v>
      </c>
      <c r="F565">
        <v>373</v>
      </c>
      <c r="G565" s="3">
        <v>37564</v>
      </c>
      <c r="H565" t="s">
        <v>2410</v>
      </c>
      <c r="J565" t="s">
        <v>1699</v>
      </c>
      <c r="K565" t="s">
        <v>47</v>
      </c>
      <c r="L565" s="3">
        <v>47639</v>
      </c>
      <c r="M565" s="3">
        <v>46201</v>
      </c>
      <c r="N565" t="s">
        <v>2411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2498</v>
      </c>
      <c r="C566" t="s">
        <v>2495</v>
      </c>
      <c r="D566" s="3">
        <v>26171</v>
      </c>
      <c r="E566" t="s">
        <v>1378</v>
      </c>
      <c r="F566">
        <v>383</v>
      </c>
      <c r="G566" s="3">
        <v>37543</v>
      </c>
      <c r="H566" t="s">
        <v>2499</v>
      </c>
      <c r="J566" t="s">
        <v>1552</v>
      </c>
      <c r="K566" t="s">
        <v>35</v>
      </c>
      <c r="L566" s="3">
        <v>72686</v>
      </c>
      <c r="M566" s="3">
        <v>72686</v>
      </c>
      <c r="N566" t="s">
        <v>2500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1943</v>
      </c>
      <c r="C567" t="s">
        <v>1929</v>
      </c>
      <c r="D567" s="3">
        <v>29607</v>
      </c>
      <c r="E567" t="s">
        <v>1378</v>
      </c>
      <c r="F567">
        <v>314</v>
      </c>
      <c r="G567" s="3">
        <v>37543</v>
      </c>
      <c r="H567" t="s">
        <v>1944</v>
      </c>
      <c r="J567" t="s">
        <v>1484</v>
      </c>
      <c r="K567" t="s">
        <v>38</v>
      </c>
      <c r="L567" s="3">
        <v>72686</v>
      </c>
      <c r="M567" s="3">
        <v>46693</v>
      </c>
      <c r="N567" t="s">
        <v>1945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3146</v>
      </c>
      <c r="C568" t="s">
        <v>3147</v>
      </c>
      <c r="D568" s="3">
        <v>25192</v>
      </c>
      <c r="E568" t="s">
        <v>1378</v>
      </c>
      <c r="F568">
        <v>563</v>
      </c>
      <c r="G568" s="3">
        <v>37543</v>
      </c>
      <c r="H568" t="s">
        <v>3148</v>
      </c>
      <c r="J568" t="s">
        <v>1635</v>
      </c>
      <c r="K568" t="s">
        <v>41</v>
      </c>
      <c r="L568" s="3">
        <v>47636</v>
      </c>
      <c r="M568" s="3">
        <v>46294</v>
      </c>
      <c r="N568" t="s">
        <v>3149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3027</v>
      </c>
      <c r="C569" t="s">
        <v>3015</v>
      </c>
      <c r="D569" s="3">
        <v>24300</v>
      </c>
      <c r="E569" t="s">
        <v>1378</v>
      </c>
      <c r="F569">
        <v>505</v>
      </c>
      <c r="G569" s="3">
        <v>37501</v>
      </c>
      <c r="H569" t="s">
        <v>3028</v>
      </c>
      <c r="I569">
        <v>92365262</v>
      </c>
      <c r="J569" t="s">
        <v>1501</v>
      </c>
      <c r="K569" t="s">
        <v>41</v>
      </c>
      <c r="L569" s="3">
        <v>47652</v>
      </c>
      <c r="M569" s="3">
        <v>46279</v>
      </c>
      <c r="N569" t="s">
        <v>3029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2716</v>
      </c>
      <c r="C570" t="s">
        <v>2717</v>
      </c>
      <c r="D570" s="3">
        <v>26648</v>
      </c>
      <c r="E570" t="s">
        <v>1378</v>
      </c>
      <c r="F570">
        <v>190</v>
      </c>
      <c r="G570" s="3">
        <v>37424</v>
      </c>
      <c r="H570" t="s">
        <v>2718</v>
      </c>
      <c r="J570" t="s">
        <v>1679</v>
      </c>
      <c r="K570" t="s">
        <v>53</v>
      </c>
      <c r="L570" s="3">
        <v>72686</v>
      </c>
      <c r="M570" s="3">
        <v>46369</v>
      </c>
      <c r="N570" t="s">
        <v>2719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1925</v>
      </c>
      <c r="C571" t="s">
        <v>1918</v>
      </c>
      <c r="D571" s="3">
        <v>29490</v>
      </c>
      <c r="E571" t="s">
        <v>1378</v>
      </c>
      <c r="F571">
        <v>558</v>
      </c>
      <c r="G571" s="3">
        <v>37424</v>
      </c>
      <c r="H571" t="s">
        <v>1926</v>
      </c>
      <c r="J571" t="s">
        <v>1501</v>
      </c>
      <c r="K571" t="s">
        <v>38</v>
      </c>
      <c r="L571" s="3">
        <v>45915</v>
      </c>
      <c r="M571" s="3">
        <v>46273</v>
      </c>
      <c r="N571" t="s">
        <v>1927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1503</v>
      </c>
      <c r="C572" t="s">
        <v>1504</v>
      </c>
      <c r="D572" s="3">
        <v>23621</v>
      </c>
      <c r="E572" t="s">
        <v>1378</v>
      </c>
      <c r="F572">
        <v>7</v>
      </c>
      <c r="G572" s="3">
        <v>37397</v>
      </c>
      <c r="H572" t="s">
        <v>1505</v>
      </c>
      <c r="J572" t="s">
        <v>1506</v>
      </c>
      <c r="K572" t="s">
        <v>56</v>
      </c>
      <c r="L572" s="3">
        <v>47705</v>
      </c>
      <c r="M572" s="3">
        <v>46369</v>
      </c>
      <c r="N572" t="s">
        <v>1507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1554</v>
      </c>
      <c r="C573" t="s">
        <v>1597</v>
      </c>
      <c r="D573" s="3">
        <v>27851</v>
      </c>
      <c r="E573" t="s">
        <v>1378</v>
      </c>
      <c r="F573">
        <v>142</v>
      </c>
      <c r="G573" s="3">
        <v>37333</v>
      </c>
      <c r="H573" t="s">
        <v>1598</v>
      </c>
      <c r="J573" t="s">
        <v>1432</v>
      </c>
      <c r="K573" t="s">
        <v>38</v>
      </c>
      <c r="L573" s="3">
        <v>72686</v>
      </c>
      <c r="M573" s="3">
        <v>46798</v>
      </c>
      <c r="N573" t="s">
        <v>1599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1554</v>
      </c>
      <c r="C574" t="s">
        <v>1677</v>
      </c>
      <c r="D574" s="3">
        <v>26466</v>
      </c>
      <c r="E574" t="s">
        <v>1378</v>
      </c>
      <c r="F574">
        <v>424</v>
      </c>
      <c r="G574" s="3">
        <v>37284</v>
      </c>
      <c r="H574" t="s">
        <v>1678</v>
      </c>
      <c r="J574" t="s">
        <v>1679</v>
      </c>
      <c r="K574" t="s">
        <v>41</v>
      </c>
      <c r="L574" s="3">
        <v>45923</v>
      </c>
      <c r="M574" s="3">
        <v>46064</v>
      </c>
      <c r="N574" t="s">
        <v>1680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2433</v>
      </c>
      <c r="C575" t="s">
        <v>2427</v>
      </c>
      <c r="D575" s="3">
        <v>28506</v>
      </c>
      <c r="E575" t="s">
        <v>1378</v>
      </c>
      <c r="F575">
        <v>249</v>
      </c>
      <c r="G575" s="3">
        <v>37214</v>
      </c>
      <c r="H575" t="s">
        <v>2434</v>
      </c>
      <c r="J575" t="s">
        <v>1484</v>
      </c>
      <c r="K575" t="s">
        <v>56</v>
      </c>
      <c r="L575" s="3">
        <v>47705</v>
      </c>
      <c r="M575" s="3">
        <v>46152</v>
      </c>
      <c r="N575" t="s">
        <v>2435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1785</v>
      </c>
      <c r="C576" t="s">
        <v>1782</v>
      </c>
      <c r="D576" s="3">
        <v>26839</v>
      </c>
      <c r="E576" t="s">
        <v>1378</v>
      </c>
      <c r="F576">
        <v>208</v>
      </c>
      <c r="G576" s="3">
        <v>37214</v>
      </c>
      <c r="H576" t="s">
        <v>1786</v>
      </c>
      <c r="J576" t="s">
        <v>1679</v>
      </c>
      <c r="K576" t="s">
        <v>53</v>
      </c>
      <c r="L576" s="3">
        <v>72686</v>
      </c>
      <c r="M576" s="3">
        <v>46887</v>
      </c>
      <c r="N576" t="s">
        <v>1787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3154</v>
      </c>
      <c r="C577" t="s">
        <v>3151</v>
      </c>
      <c r="D577" s="3">
        <v>29626</v>
      </c>
      <c r="E577" t="s">
        <v>1378</v>
      </c>
      <c r="F577">
        <v>37</v>
      </c>
      <c r="G577" s="3">
        <v>37193</v>
      </c>
      <c r="H577" t="s">
        <v>3155</v>
      </c>
      <c r="J577" t="s">
        <v>1404</v>
      </c>
      <c r="K577" t="s">
        <v>50</v>
      </c>
      <c r="L577" s="3">
        <v>72686</v>
      </c>
      <c r="M577" s="3">
        <v>46742</v>
      </c>
      <c r="N577" t="s">
        <v>3156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1625</v>
      </c>
      <c r="C578" t="s">
        <v>1210</v>
      </c>
      <c r="D578" s="3">
        <v>28371</v>
      </c>
      <c r="E578" t="s">
        <v>1378</v>
      </c>
      <c r="F578">
        <v>340</v>
      </c>
      <c r="G578" s="3">
        <v>37047</v>
      </c>
      <c r="H578" t="s">
        <v>1892</v>
      </c>
      <c r="J578" t="s">
        <v>1552</v>
      </c>
      <c r="K578" t="s">
        <v>35</v>
      </c>
      <c r="L578" s="3">
        <v>47726</v>
      </c>
      <c r="M578" s="3">
        <v>46028</v>
      </c>
      <c r="N578" t="s">
        <v>1893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1829</v>
      </c>
      <c r="C579" t="s">
        <v>1824</v>
      </c>
      <c r="D579" s="3">
        <v>25829</v>
      </c>
      <c r="E579" t="s">
        <v>1378</v>
      </c>
      <c r="F579">
        <v>578</v>
      </c>
      <c r="G579" s="3">
        <v>37018</v>
      </c>
      <c r="H579" t="s">
        <v>1830</v>
      </c>
      <c r="J579" t="s">
        <v>1493</v>
      </c>
      <c r="K579" t="s">
        <v>47</v>
      </c>
      <c r="L579" s="3">
        <v>47607</v>
      </c>
      <c r="M579" s="3">
        <v>46005</v>
      </c>
      <c r="N579" t="s">
        <v>1831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1656</v>
      </c>
      <c r="C580" t="s">
        <v>1647</v>
      </c>
      <c r="D580" s="3">
        <v>26636</v>
      </c>
      <c r="E580" t="s">
        <v>1378</v>
      </c>
      <c r="F580">
        <v>237</v>
      </c>
      <c r="G580" s="3">
        <v>36998</v>
      </c>
      <c r="I580">
        <v>92300557</v>
      </c>
      <c r="J580" t="s">
        <v>1484</v>
      </c>
      <c r="K580" t="s">
        <v>47</v>
      </c>
      <c r="L580" s="3">
        <v>72686</v>
      </c>
      <c r="M580" s="3">
        <v>46182</v>
      </c>
      <c r="N580" t="s">
        <v>1657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1473</v>
      </c>
      <c r="C581" t="s">
        <v>2631</v>
      </c>
      <c r="D581" s="3">
        <v>29008</v>
      </c>
      <c r="E581" t="s">
        <v>1378</v>
      </c>
      <c r="F581">
        <v>140</v>
      </c>
      <c r="G581" s="3">
        <v>36948</v>
      </c>
      <c r="I581">
        <v>477886484</v>
      </c>
      <c r="J581" t="s">
        <v>1419</v>
      </c>
      <c r="K581" t="s">
        <v>44</v>
      </c>
      <c r="L581" s="3">
        <v>47635</v>
      </c>
      <c r="M581" s="3">
        <v>47615</v>
      </c>
      <c r="N581" t="s">
        <v>2640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3009</v>
      </c>
      <c r="C582" t="s">
        <v>3124</v>
      </c>
      <c r="D582" s="3">
        <v>25548</v>
      </c>
      <c r="E582" t="s">
        <v>1378</v>
      </c>
      <c r="F582">
        <v>56</v>
      </c>
      <c r="G582" s="3">
        <v>36948</v>
      </c>
      <c r="H582" t="s">
        <v>3125</v>
      </c>
      <c r="J582" t="s">
        <v>1552</v>
      </c>
      <c r="K582" t="s">
        <v>35</v>
      </c>
      <c r="L582" s="3">
        <v>47622</v>
      </c>
      <c r="M582" s="3">
        <v>47615</v>
      </c>
      <c r="N582" t="s">
        <v>3126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3428</v>
      </c>
      <c r="C583" t="s">
        <v>3423</v>
      </c>
      <c r="D583" s="3">
        <v>22182</v>
      </c>
      <c r="E583" t="s">
        <v>1378</v>
      </c>
      <c r="F583">
        <v>236</v>
      </c>
      <c r="G583" s="3">
        <v>36923</v>
      </c>
      <c r="H583" t="s">
        <v>3429</v>
      </c>
      <c r="I583">
        <v>92262940</v>
      </c>
      <c r="J583" t="s">
        <v>1552</v>
      </c>
      <c r="K583" t="s">
        <v>56</v>
      </c>
      <c r="L583" s="3">
        <v>72686</v>
      </c>
      <c r="M583" s="3">
        <v>72686</v>
      </c>
      <c r="N583" t="s">
        <v>3430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1482</v>
      </c>
      <c r="C584" t="s">
        <v>549</v>
      </c>
      <c r="D584" s="3">
        <v>28294</v>
      </c>
      <c r="E584" t="s">
        <v>1378</v>
      </c>
      <c r="F584">
        <v>188</v>
      </c>
      <c r="G584" s="3">
        <v>36923</v>
      </c>
      <c r="H584" t="s">
        <v>1483</v>
      </c>
      <c r="J584" t="s">
        <v>1484</v>
      </c>
      <c r="K584" t="s">
        <v>47</v>
      </c>
      <c r="L584" s="3">
        <v>73050</v>
      </c>
      <c r="M584" s="3">
        <v>46866</v>
      </c>
      <c r="N584" t="s">
        <v>1485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3081</v>
      </c>
      <c r="C585" t="s">
        <v>2405</v>
      </c>
      <c r="D585" s="3">
        <v>27540</v>
      </c>
      <c r="E585" t="s">
        <v>1378</v>
      </c>
      <c r="F585">
        <v>536</v>
      </c>
      <c r="G585" s="3">
        <v>36853</v>
      </c>
      <c r="H585" t="s">
        <v>3082</v>
      </c>
      <c r="J585" t="s">
        <v>1547</v>
      </c>
      <c r="K585" t="s">
        <v>38</v>
      </c>
      <c r="L585" s="3">
        <v>47583</v>
      </c>
      <c r="M585" s="3">
        <v>47568</v>
      </c>
      <c r="N585" t="s">
        <v>3083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2261</v>
      </c>
      <c r="C586" t="s">
        <v>2257</v>
      </c>
      <c r="D586" s="3">
        <v>23480</v>
      </c>
      <c r="E586" t="s">
        <v>1378</v>
      </c>
      <c r="F586">
        <v>633</v>
      </c>
      <c r="G586" s="3">
        <v>36815</v>
      </c>
      <c r="H586" t="s">
        <v>2262</v>
      </c>
      <c r="J586" t="s">
        <v>1501</v>
      </c>
      <c r="K586" t="s">
        <v>41</v>
      </c>
      <c r="L586" s="3">
        <v>47698</v>
      </c>
      <c r="M586" s="3">
        <v>47678</v>
      </c>
      <c r="N586" t="s">
        <v>2263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2256</v>
      </c>
      <c r="C587" t="s">
        <v>1341</v>
      </c>
      <c r="D587" s="3">
        <v>28745</v>
      </c>
      <c r="E587" t="s">
        <v>1378</v>
      </c>
      <c r="F587">
        <v>417</v>
      </c>
      <c r="G587" s="3">
        <v>36759</v>
      </c>
      <c r="H587" t="s">
        <v>2480</v>
      </c>
      <c r="J587" t="s">
        <v>1432</v>
      </c>
      <c r="K587" t="s">
        <v>56</v>
      </c>
      <c r="L587" s="3">
        <v>47356</v>
      </c>
      <c r="M587" s="3">
        <v>47351</v>
      </c>
      <c r="N587" t="s">
        <v>2481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3067</v>
      </c>
      <c r="C588" t="s">
        <v>2405</v>
      </c>
      <c r="D588" s="3">
        <v>25839</v>
      </c>
      <c r="E588" t="s">
        <v>1378</v>
      </c>
      <c r="F588">
        <v>176</v>
      </c>
      <c r="G588" s="3">
        <v>36690</v>
      </c>
      <c r="H588" t="s">
        <v>3068</v>
      </c>
      <c r="J588" t="s">
        <v>1497</v>
      </c>
      <c r="K588" t="s">
        <v>41</v>
      </c>
      <c r="L588" s="3">
        <v>47337</v>
      </c>
      <c r="M588" s="3">
        <v>47328</v>
      </c>
      <c r="N588" t="s">
        <v>3069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1549</v>
      </c>
      <c r="C589" t="s">
        <v>1550</v>
      </c>
      <c r="D589" s="3">
        <v>28780</v>
      </c>
      <c r="E589" t="s">
        <v>1378</v>
      </c>
      <c r="F589">
        <v>397</v>
      </c>
      <c r="G589" s="3">
        <v>36654</v>
      </c>
      <c r="H589" t="s">
        <v>1551</v>
      </c>
      <c r="J589" t="s">
        <v>1552</v>
      </c>
      <c r="K589" t="s">
        <v>50</v>
      </c>
      <c r="L589" s="3">
        <v>73050</v>
      </c>
      <c r="M589" s="3">
        <v>47460</v>
      </c>
      <c r="N589" t="s">
        <v>1553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2393</v>
      </c>
      <c r="C590" t="s">
        <v>2394</v>
      </c>
      <c r="D590" s="3">
        <v>23853</v>
      </c>
      <c r="E590" t="s">
        <v>1378</v>
      </c>
      <c r="F590">
        <v>214</v>
      </c>
      <c r="G590" s="3">
        <v>36612</v>
      </c>
      <c r="H590" t="s">
        <v>2395</v>
      </c>
      <c r="I590">
        <v>92312370</v>
      </c>
      <c r="J590" t="s">
        <v>1635</v>
      </c>
      <c r="K590" t="s">
        <v>56</v>
      </c>
      <c r="L590" s="3">
        <v>47400</v>
      </c>
      <c r="M590" s="3">
        <v>47399</v>
      </c>
      <c r="N590" t="s">
        <v>2396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1990</v>
      </c>
      <c r="C591" t="s">
        <v>1991</v>
      </c>
      <c r="D591" s="3">
        <v>25467</v>
      </c>
      <c r="E591" t="s">
        <v>1378</v>
      </c>
      <c r="F591">
        <v>165</v>
      </c>
      <c r="G591" s="3">
        <v>36542</v>
      </c>
      <c r="H591" t="s">
        <v>1992</v>
      </c>
      <c r="J591" t="s">
        <v>1552</v>
      </c>
      <c r="K591" t="s">
        <v>56</v>
      </c>
      <c r="L591" s="3">
        <v>47338</v>
      </c>
      <c r="M591" s="3">
        <v>47251</v>
      </c>
      <c r="N591" t="s">
        <v>1993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2064</v>
      </c>
      <c r="C592" t="s">
        <v>2065</v>
      </c>
      <c r="D592" s="3">
        <v>27991</v>
      </c>
      <c r="E592" t="s">
        <v>1378</v>
      </c>
      <c r="F592">
        <v>333</v>
      </c>
      <c r="G592" s="3">
        <v>36388</v>
      </c>
      <c r="H592" t="s">
        <v>2066</v>
      </c>
      <c r="I592">
        <v>92324068</v>
      </c>
      <c r="J592" t="s">
        <v>1497</v>
      </c>
      <c r="K592" t="s">
        <v>56</v>
      </c>
      <c r="L592" s="3">
        <v>47639</v>
      </c>
      <c r="M592" s="3">
        <v>46974</v>
      </c>
      <c r="N592" t="s">
        <v>2067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1816</v>
      </c>
      <c r="C593" t="s">
        <v>2850</v>
      </c>
      <c r="D593" s="3">
        <v>23283</v>
      </c>
      <c r="E593" t="s">
        <v>1378</v>
      </c>
      <c r="F593">
        <v>632</v>
      </c>
      <c r="G593" s="3">
        <v>36332</v>
      </c>
      <c r="H593" t="s">
        <v>2851</v>
      </c>
      <c r="J593" t="s">
        <v>1501</v>
      </c>
      <c r="K593" t="s">
        <v>38</v>
      </c>
      <c r="L593" s="3">
        <v>47659</v>
      </c>
      <c r="M593" s="3">
        <v>46974</v>
      </c>
      <c r="N593" t="s">
        <v>2852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2780</v>
      </c>
      <c r="C594" t="s">
        <v>2781</v>
      </c>
      <c r="D594" s="3">
        <v>27019</v>
      </c>
      <c r="E594" t="s">
        <v>1378</v>
      </c>
      <c r="F594">
        <v>246</v>
      </c>
      <c r="G594" s="3">
        <v>36311</v>
      </c>
      <c r="H594" t="s">
        <v>2782</v>
      </c>
      <c r="J594" t="s">
        <v>1679</v>
      </c>
      <c r="K594" t="s">
        <v>38</v>
      </c>
      <c r="L594" s="3">
        <v>72686</v>
      </c>
      <c r="M594" s="3">
        <v>47189</v>
      </c>
      <c r="N594" t="s">
        <v>2783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2346</v>
      </c>
      <c r="C595" t="s">
        <v>2347</v>
      </c>
      <c r="D595" s="3">
        <v>24187</v>
      </c>
      <c r="E595" t="s">
        <v>1378</v>
      </c>
      <c r="F595">
        <v>325</v>
      </c>
      <c r="G595" s="3">
        <v>36262</v>
      </c>
      <c r="H595" t="s">
        <v>2348</v>
      </c>
      <c r="J595" t="s">
        <v>1679</v>
      </c>
      <c r="K595" t="s">
        <v>56</v>
      </c>
      <c r="L595" s="3">
        <v>45938</v>
      </c>
      <c r="M595" s="3">
        <v>46938</v>
      </c>
      <c r="N595" t="s">
        <v>2349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2610</v>
      </c>
      <c r="C596" t="s">
        <v>2611</v>
      </c>
      <c r="D596" s="3">
        <v>27316</v>
      </c>
      <c r="E596" t="s">
        <v>1378</v>
      </c>
      <c r="F596">
        <v>9</v>
      </c>
      <c r="G596" s="3">
        <v>36227</v>
      </c>
      <c r="H596" t="s">
        <v>2612</v>
      </c>
      <c r="J596" t="s">
        <v>1552</v>
      </c>
      <c r="K596" t="s">
        <v>41</v>
      </c>
      <c r="L596" s="3">
        <v>46880</v>
      </c>
      <c r="M596" s="3">
        <v>46853</v>
      </c>
      <c r="N596" t="s">
        <v>2613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2264</v>
      </c>
      <c r="C597" t="s">
        <v>2265</v>
      </c>
      <c r="D597" s="3">
        <v>23986</v>
      </c>
      <c r="E597" t="s">
        <v>1378</v>
      </c>
      <c r="F597">
        <v>181</v>
      </c>
      <c r="G597" s="3">
        <v>36227</v>
      </c>
      <c r="H597" t="s">
        <v>2266</v>
      </c>
      <c r="I597">
        <v>93622072</v>
      </c>
      <c r="J597" t="s">
        <v>1484</v>
      </c>
      <c r="K597" t="s">
        <v>50</v>
      </c>
      <c r="L597" s="3">
        <v>73050</v>
      </c>
      <c r="M597" s="3">
        <v>45902</v>
      </c>
      <c r="N597" t="s">
        <v>2267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2678</v>
      </c>
      <c r="C598" t="s">
        <v>2679</v>
      </c>
      <c r="D598" s="3">
        <v>27384</v>
      </c>
      <c r="E598" t="s">
        <v>1378</v>
      </c>
      <c r="F598">
        <v>48</v>
      </c>
      <c r="G598" s="3">
        <v>36080</v>
      </c>
      <c r="H598" t="s">
        <v>2680</v>
      </c>
      <c r="J598" t="s">
        <v>1432</v>
      </c>
      <c r="K598" t="s">
        <v>47</v>
      </c>
      <c r="L598" s="3">
        <v>47614</v>
      </c>
      <c r="M598" s="3">
        <v>46704</v>
      </c>
      <c r="N598" t="s">
        <v>2681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2037</v>
      </c>
      <c r="C599" t="s">
        <v>2038</v>
      </c>
      <c r="D599" s="3">
        <v>28038</v>
      </c>
      <c r="E599" t="s">
        <v>1378</v>
      </c>
      <c r="F599">
        <v>534</v>
      </c>
      <c r="G599" s="3">
        <v>35948</v>
      </c>
      <c r="H599" t="s">
        <v>2039</v>
      </c>
      <c r="J599" t="s">
        <v>1603</v>
      </c>
      <c r="K599" t="s">
        <v>38</v>
      </c>
      <c r="L599" s="3">
        <v>45928</v>
      </c>
      <c r="M599" s="3">
        <v>46623</v>
      </c>
      <c r="N599" t="s">
        <v>2040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1451</v>
      </c>
      <c r="C600" t="s">
        <v>1452</v>
      </c>
      <c r="D600" s="3">
        <v>25268</v>
      </c>
      <c r="E600" t="s">
        <v>1378</v>
      </c>
      <c r="F600">
        <v>332</v>
      </c>
      <c r="G600" s="3">
        <v>35948</v>
      </c>
      <c r="H600" t="s">
        <v>1453</v>
      </c>
      <c r="J600" t="s">
        <v>1454</v>
      </c>
      <c r="K600" t="s">
        <v>38</v>
      </c>
      <c r="L600" s="3">
        <v>73050</v>
      </c>
      <c r="M600" s="3">
        <v>46887</v>
      </c>
      <c r="N600" t="s">
        <v>1455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1535</v>
      </c>
      <c r="C601" t="s">
        <v>1536</v>
      </c>
      <c r="D601" s="3">
        <v>24256</v>
      </c>
      <c r="E601" t="s">
        <v>1378</v>
      </c>
      <c r="F601">
        <v>107</v>
      </c>
      <c r="G601" s="3">
        <v>35891</v>
      </c>
      <c r="H601" t="s">
        <v>1537</v>
      </c>
      <c r="J601" t="s">
        <v>1484</v>
      </c>
      <c r="K601" t="s">
        <v>50</v>
      </c>
      <c r="L601" s="3">
        <v>73050</v>
      </c>
      <c r="M601" s="3">
        <v>46791</v>
      </c>
      <c r="N601" t="s">
        <v>1538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6DAE-EAEF-4EB3-B442-3CABADDC7E58}">
  <dimension ref="A1:N403"/>
  <sheetViews>
    <sheetView zoomScale="90" zoomScaleNormal="90" workbookViewId="0">
      <selection activeCell="W18" sqref="W18"/>
    </sheetView>
  </sheetViews>
  <sheetFormatPr defaultRowHeight="15" x14ac:dyDescent="0.25"/>
  <cols>
    <col min="1" max="2" width="14" style="34" customWidth="1"/>
    <col min="3" max="3" width="28" style="36" customWidth="1"/>
    <col min="4" max="5" width="28" style="34" customWidth="1"/>
    <col min="6" max="6" width="28" style="3" customWidth="1"/>
    <col min="7" max="7" width="10.28515625" style="35" bestFit="1" customWidth="1"/>
    <col min="8" max="8" width="15.7109375" bestFit="1" customWidth="1"/>
    <col min="10" max="10" width="11.140625" style="39" bestFit="1" customWidth="1"/>
    <col min="11" max="11" width="24.28515625" style="38" bestFit="1" customWidth="1"/>
    <col min="12" max="20" width="4.5703125" bestFit="1" customWidth="1"/>
    <col min="21" max="48" width="5.5703125" bestFit="1" customWidth="1"/>
    <col min="49" max="49" width="9.5703125" bestFit="1" customWidth="1"/>
  </cols>
  <sheetData>
    <row r="1" spans="1:14" x14ac:dyDescent="0.25">
      <c r="A1" t="s">
        <v>3847</v>
      </c>
      <c r="B1" t="s">
        <v>3848</v>
      </c>
      <c r="C1" s="36" t="s">
        <v>3849</v>
      </c>
      <c r="D1" t="s">
        <v>3850</v>
      </c>
      <c r="E1" t="s">
        <v>3851</v>
      </c>
      <c r="F1" t="s">
        <v>3852</v>
      </c>
      <c r="G1" s="35" t="s">
        <v>3872</v>
      </c>
      <c r="H1" s="3" t="s">
        <v>3873</v>
      </c>
    </row>
    <row r="2" spans="1:14" x14ac:dyDescent="0.25">
      <c r="A2" s="34" t="s">
        <v>1579</v>
      </c>
      <c r="B2" s="34" t="s">
        <v>1578</v>
      </c>
      <c r="C2" s="36">
        <v>40138</v>
      </c>
      <c r="D2" s="34" t="s">
        <v>3858</v>
      </c>
      <c r="E2" s="34" t="s">
        <v>3859</v>
      </c>
      <c r="F2" s="3">
        <v>45335.041666666701</v>
      </c>
      <c r="G2" s="35">
        <f ca="1">YEAR(TODAY()) - YEAR(F2) - (IF(DATE(YEAR(TODAY()), MONTH(F2), DAY(F2)) &gt; TODAY(), 1, 0))</f>
        <v>1</v>
      </c>
      <c r="H2" s="43" cm="1">
        <f t="array" aca="1" ref="H2" ca="1">SUMPRODUCT((BRON!$A$2:$A$1197=Table1[[#This Row],[Personeelsnummer]])*(BRON!$T$2:$T$1197&gt;=DATE(YEAR(TODAY())-1,MONTH(TODAY()),DAY(TODAY())))*(BRON!$T$2:$T$1197&lt;=TODAY()))</f>
        <v>9</v>
      </c>
      <c r="J2" s="40" t="s">
        <v>3807</v>
      </c>
      <c r="K2" s="38" t="s">
        <v>3876</v>
      </c>
      <c r="N2" t="s">
        <v>3878</v>
      </c>
    </row>
    <row r="3" spans="1:14" x14ac:dyDescent="0.25">
      <c r="A3" s="34" t="s">
        <v>2987</v>
      </c>
      <c r="B3" s="34" t="s">
        <v>2986</v>
      </c>
      <c r="C3" s="36">
        <v>41092</v>
      </c>
      <c r="D3" s="34" t="s">
        <v>3858</v>
      </c>
      <c r="E3" s="34" t="s">
        <v>3866</v>
      </c>
      <c r="F3" s="3">
        <v>45574.083333333299</v>
      </c>
      <c r="G3" s="35">
        <f ca="1">YEAR(TODAY()) - YEAR(F3) - (IF(DATE(YEAR(TODAY()), MONTH(F3), DAY(F3)) &gt; TODAY(), 1, 0))</f>
        <v>1</v>
      </c>
      <c r="H3" s="43" cm="1">
        <f t="array" aca="1" ref="H3" ca="1">SUMPRODUCT((BRON!$A$2:$A$1197=Table1[[#This Row],[Personeelsnummer]])*(BRON!$T$2:$T$1197&gt;=DATE(YEAR(TODAY())-1,MONTH(TODAY()),DAY(TODAY())))*(BRON!$T$2:$T$1197&lt;=TODAY()))</f>
        <v>7</v>
      </c>
      <c r="J3" s="41">
        <v>37</v>
      </c>
      <c r="K3" s="38">
        <v>1</v>
      </c>
    </row>
    <row r="4" spans="1:14" x14ac:dyDescent="0.25">
      <c r="A4" s="34" t="s">
        <v>3438</v>
      </c>
      <c r="B4" s="34" t="s">
        <v>3558</v>
      </c>
      <c r="C4" s="36">
        <v>42252</v>
      </c>
      <c r="D4" s="34" t="s">
        <v>3858</v>
      </c>
      <c r="E4" s="34" t="s">
        <v>3859</v>
      </c>
      <c r="F4" s="3">
        <v>45903.083333333299</v>
      </c>
      <c r="G4" s="35">
        <f ca="1">YEAR(TODAY()) - YEAR(F4) - (IF(DATE(YEAR(TODAY()), MONTH(F4), DAY(F4)) &gt; TODAY(), 1, 0))</f>
        <v>0</v>
      </c>
      <c r="H4" s="43" cm="1">
        <f t="array" aca="1" ref="H4" ca="1">SUMPRODUCT((BRON!$A$2:$A$1197=Table1[[#This Row],[Personeelsnummer]])*(BRON!$T$2:$T$1197&gt;=DATE(YEAR(TODAY())-1,MONTH(TODAY()),DAY(TODAY())))*(BRON!$T$2:$T$1197&lt;=TODAY()))</f>
        <v>5</v>
      </c>
      <c r="J4" s="41">
        <v>36</v>
      </c>
      <c r="K4" s="38">
        <v>2</v>
      </c>
    </row>
    <row r="5" spans="1:14" x14ac:dyDescent="0.25">
      <c r="A5" s="34" t="s">
        <v>1778</v>
      </c>
      <c r="B5" s="34" t="s">
        <v>1777</v>
      </c>
      <c r="C5" s="36">
        <v>40856</v>
      </c>
      <c r="D5" s="34" t="s">
        <v>3858</v>
      </c>
      <c r="E5" s="34" t="s">
        <v>3854</v>
      </c>
      <c r="F5" s="3">
        <v>45538.083333333299</v>
      </c>
      <c r="G5" s="35">
        <f ca="1">YEAR(TODAY()) - YEAR(F5) - (IF(DATE(YEAR(TODAY()), MONTH(F5), DAY(F5)) &gt; TODAY(), 1, 0))</f>
        <v>1</v>
      </c>
      <c r="H5" s="43" cm="1">
        <f t="array" aca="1" ref="H5" ca="1">SUMPRODUCT((BRON!$A$2:$A$1197=Table1[[#This Row],[Personeelsnummer]])*(BRON!$T$2:$T$1197&gt;=DATE(YEAR(TODAY())-1,MONTH(TODAY()),DAY(TODAY())))*(BRON!$T$2:$T$1197&lt;=TODAY()))</f>
        <v>5</v>
      </c>
      <c r="J5" s="41">
        <v>34</v>
      </c>
      <c r="K5" s="38">
        <v>2</v>
      </c>
    </row>
    <row r="6" spans="1:14" x14ac:dyDescent="0.25">
      <c r="A6" s="34" t="s">
        <v>2596</v>
      </c>
      <c r="B6" s="34" t="s">
        <v>2595</v>
      </c>
      <c r="C6" s="36">
        <v>41162</v>
      </c>
      <c r="D6" s="34" t="s">
        <v>3858</v>
      </c>
      <c r="E6" s="34" t="s">
        <v>3866</v>
      </c>
      <c r="F6" s="3">
        <v>45603.041666666701</v>
      </c>
      <c r="G6" s="35">
        <f ca="1">YEAR(TODAY()) - YEAR(F6) - (IF(DATE(YEAR(TODAY()), MONTH(F6), DAY(F6)) &gt; TODAY(), 1, 0))</f>
        <v>1</v>
      </c>
      <c r="H6" s="43" cm="1">
        <f t="array" aca="1" ref="H6" ca="1">SUMPRODUCT((BRON!$A$2:$A$1197=Table1[[#This Row],[Personeelsnummer]])*(BRON!$T$2:$T$1197&gt;=DATE(YEAR(TODAY())-1,MONTH(TODAY()),DAY(TODAY())))*(BRON!$T$2:$T$1197&lt;=TODAY()))</f>
        <v>5</v>
      </c>
      <c r="J6" s="41">
        <v>33</v>
      </c>
      <c r="K6" s="38">
        <v>3</v>
      </c>
    </row>
    <row r="7" spans="1:14" x14ac:dyDescent="0.25">
      <c r="A7" s="34" t="s">
        <v>2866</v>
      </c>
      <c r="B7" s="34" t="s">
        <v>2869</v>
      </c>
      <c r="C7" s="36">
        <v>19917</v>
      </c>
      <c r="D7" s="34" t="s">
        <v>3858</v>
      </c>
      <c r="E7" s="34" t="s">
        <v>3860</v>
      </c>
      <c r="F7" s="3">
        <v>39006.083333333299</v>
      </c>
      <c r="G7" s="35">
        <f ca="1">YEAR(TODAY()) - YEAR(F7) - (IF(DATE(YEAR(TODAY()), MONTH(F7), DAY(F7)) &gt; TODAY(), 1, 0))</f>
        <v>19</v>
      </c>
      <c r="H7" s="43" cm="1">
        <f t="array" aca="1" ref="H7" ca="1">SUMPRODUCT((BRON!$A$2:$A$1197=Table1[[#This Row],[Personeelsnummer]])*(BRON!$T$2:$T$1197&gt;=DATE(YEAR(TODAY())-1,MONTH(TODAY()),DAY(TODAY())))*(BRON!$T$2:$T$1197&lt;=TODAY()))</f>
        <v>6</v>
      </c>
      <c r="J7" s="41">
        <v>32</v>
      </c>
      <c r="K7" s="38">
        <v>1</v>
      </c>
    </row>
    <row r="8" spans="1:14" x14ac:dyDescent="0.25">
      <c r="A8" s="34" t="s">
        <v>2850</v>
      </c>
      <c r="B8" s="34" t="s">
        <v>2854</v>
      </c>
      <c r="C8" s="36">
        <v>16895</v>
      </c>
      <c r="D8" s="34" t="s">
        <v>3857</v>
      </c>
      <c r="E8" s="34" t="s">
        <v>3860</v>
      </c>
      <c r="F8" s="3">
        <v>38103.083333333299</v>
      </c>
      <c r="G8" s="35">
        <f ca="1">YEAR(TODAY()) - YEAR(F8) - (IF(DATE(YEAR(TODAY()), MONTH(F8), DAY(F8)) &gt; TODAY(), 1, 0))</f>
        <v>21</v>
      </c>
      <c r="H8" s="43" cm="1">
        <f t="array" aca="1" ref="H8" ca="1">SUMPRODUCT((BRON!$A$2:$A$1197=Table1[[#This Row],[Personeelsnummer]])*(BRON!$T$2:$T$1197&gt;=DATE(YEAR(TODAY())-1,MONTH(TODAY()),DAY(TODAY())))*(BRON!$T$2:$T$1197&lt;=TODAY()))</f>
        <v>5</v>
      </c>
      <c r="J8" s="41">
        <v>30</v>
      </c>
      <c r="K8" s="38">
        <v>1</v>
      </c>
    </row>
    <row r="9" spans="1:14" x14ac:dyDescent="0.25">
      <c r="A9" s="34" t="s">
        <v>1590</v>
      </c>
      <c r="B9" s="34" t="s">
        <v>1589</v>
      </c>
      <c r="C9" s="36">
        <v>41384</v>
      </c>
      <c r="D9" s="34" t="s">
        <v>3858</v>
      </c>
      <c r="E9" s="34" t="s">
        <v>3859</v>
      </c>
      <c r="F9" s="3">
        <v>45677.041666666701</v>
      </c>
      <c r="G9" s="35">
        <f ca="1">YEAR(TODAY()) - YEAR(F9) - (IF(DATE(YEAR(TODAY()), MONTH(F9), DAY(F9)) &gt; TODAY(), 1, 0))</f>
        <v>0</v>
      </c>
      <c r="H9" s="43" cm="1">
        <f t="array" aca="1" ref="H9" ca="1">SUMPRODUCT((BRON!$A$2:$A$1197=Table1[[#This Row],[Personeelsnummer]])*(BRON!$T$2:$T$1197&gt;=DATE(YEAR(TODAY())-1,MONTH(TODAY()),DAY(TODAY())))*(BRON!$T$2:$T$1197&lt;=TODAY()))</f>
        <v>4</v>
      </c>
      <c r="J9" s="41">
        <v>29</v>
      </c>
      <c r="K9" s="38">
        <v>5</v>
      </c>
    </row>
    <row r="10" spans="1:14" x14ac:dyDescent="0.25">
      <c r="A10" s="34" t="s">
        <v>2081</v>
      </c>
      <c r="B10" s="34" t="s">
        <v>2080</v>
      </c>
      <c r="C10" s="36">
        <v>40938</v>
      </c>
      <c r="D10" s="34" t="s">
        <v>3853</v>
      </c>
      <c r="E10" s="34" t="s">
        <v>3866</v>
      </c>
      <c r="F10" s="3">
        <v>45530.083333333299</v>
      </c>
      <c r="G10" s="35">
        <f ca="1">YEAR(TODAY()) - YEAR(F10) - (IF(DATE(YEAR(TODAY()), MONTH(F10), DAY(F10)) &gt; TODAY(), 1, 0))</f>
        <v>1</v>
      </c>
      <c r="H10" s="43" cm="1">
        <f t="array" aca="1" ref="H10" ca="1">SUMPRODUCT((BRON!$A$2:$A$1197=Table1[[#This Row],[Personeelsnummer]])*(BRON!$T$2:$T$1197&gt;=DATE(YEAR(TODAY())-1,MONTH(TODAY()),DAY(TODAY())))*(BRON!$T$2:$T$1197&lt;=TODAY()))</f>
        <v>4</v>
      </c>
      <c r="J10" s="41">
        <v>28</v>
      </c>
      <c r="K10" s="38">
        <v>4</v>
      </c>
    </row>
    <row r="11" spans="1:14" x14ac:dyDescent="0.25">
      <c r="A11" s="34" t="s">
        <v>2343</v>
      </c>
      <c r="B11" s="34" t="s">
        <v>2342</v>
      </c>
      <c r="C11" s="36">
        <v>41032</v>
      </c>
      <c r="D11" s="34" t="s">
        <v>3858</v>
      </c>
      <c r="E11" s="34" t="s">
        <v>3863</v>
      </c>
      <c r="F11" s="3">
        <v>45559.083333333299</v>
      </c>
      <c r="G11" s="35">
        <f ca="1">YEAR(TODAY()) - YEAR(F11) - (IF(DATE(YEAR(TODAY()), MONTH(F11), DAY(F11)) &gt; TODAY(), 1, 0))</f>
        <v>1</v>
      </c>
      <c r="H11" s="43" cm="1">
        <f t="array" aca="1" ref="H11" ca="1">SUMPRODUCT((BRON!$A$2:$A$1197=Table1[[#This Row],[Personeelsnummer]])*(BRON!$T$2:$T$1197&gt;=DATE(YEAR(TODAY())-1,MONTH(TODAY()),DAY(TODAY())))*(BRON!$T$2:$T$1197&lt;=TODAY()))</f>
        <v>4</v>
      </c>
      <c r="J11" s="41">
        <v>27</v>
      </c>
      <c r="K11" s="38">
        <v>3</v>
      </c>
    </row>
    <row r="12" spans="1:14" x14ac:dyDescent="0.25">
      <c r="A12" s="34" t="s">
        <v>2800</v>
      </c>
      <c r="B12" s="34" t="s">
        <v>1959</v>
      </c>
      <c r="C12" s="36">
        <v>40652</v>
      </c>
      <c r="D12" s="34" t="s">
        <v>3858</v>
      </c>
      <c r="E12" s="34" t="s">
        <v>3863</v>
      </c>
      <c r="F12" s="3">
        <v>45470.083333333299</v>
      </c>
      <c r="G12" s="35">
        <f ca="1">YEAR(TODAY()) - YEAR(F12) - (IF(DATE(YEAR(TODAY()), MONTH(F12), DAY(F12)) &gt; TODAY(), 1, 0))</f>
        <v>1</v>
      </c>
      <c r="H12" s="43" cm="1">
        <f t="array" aca="1" ref="H12" ca="1">SUMPRODUCT((BRON!$A$2:$A$1197=Table1[[#This Row],[Personeelsnummer]])*(BRON!$T$2:$T$1197&gt;=DATE(YEAR(TODAY())-1,MONTH(TODAY()),DAY(TODAY())))*(BRON!$T$2:$T$1197&lt;=TODAY()))</f>
        <v>6</v>
      </c>
      <c r="J12" s="41">
        <v>26</v>
      </c>
      <c r="K12" s="38">
        <v>6</v>
      </c>
    </row>
    <row r="13" spans="1:14" x14ac:dyDescent="0.25">
      <c r="A13" s="34" t="s">
        <v>2604</v>
      </c>
      <c r="B13" s="34" t="s">
        <v>1477</v>
      </c>
      <c r="C13" s="36">
        <v>42307</v>
      </c>
      <c r="D13" s="34" t="s">
        <v>3858</v>
      </c>
      <c r="E13" s="34" t="s">
        <v>3859</v>
      </c>
      <c r="F13" s="3">
        <v>45903.083333333299</v>
      </c>
      <c r="G13" s="35">
        <f ca="1">YEAR(TODAY()) - YEAR(F13) - (IF(DATE(YEAR(TODAY()), MONTH(F13), DAY(F13)) &gt; TODAY(), 1, 0))</f>
        <v>0</v>
      </c>
      <c r="H13" s="43" cm="1">
        <f t="array" aca="1" ref="H13" ca="1">SUMPRODUCT((BRON!$A$2:$A$1197=Table1[[#This Row],[Personeelsnummer]])*(BRON!$T$2:$T$1197&gt;=DATE(YEAR(TODAY())-1,MONTH(TODAY()),DAY(TODAY())))*(BRON!$T$2:$T$1197&lt;=TODAY()))</f>
        <v>3</v>
      </c>
      <c r="J13" s="41">
        <v>25</v>
      </c>
      <c r="K13" s="38">
        <v>7</v>
      </c>
    </row>
    <row r="14" spans="1:14" x14ac:dyDescent="0.25">
      <c r="A14" s="34" t="s">
        <v>1444</v>
      </c>
      <c r="B14" s="34" t="s">
        <v>1443</v>
      </c>
      <c r="C14" s="36">
        <v>41246</v>
      </c>
      <c r="D14" s="34" t="s">
        <v>3858</v>
      </c>
      <c r="E14" s="34" t="s">
        <v>3866</v>
      </c>
      <c r="F14" s="3">
        <v>45663.041666666701</v>
      </c>
      <c r="G14" s="35">
        <f ca="1">YEAR(TODAY()) - YEAR(F14) - (IF(DATE(YEAR(TODAY()), MONTH(F14), DAY(F14)) &gt; TODAY(), 1, 0))</f>
        <v>0</v>
      </c>
      <c r="H14" s="43" cm="1">
        <f t="array" aca="1" ref="H14" ca="1">SUMPRODUCT((BRON!$A$2:$A$1197=Table1[[#This Row],[Personeelsnummer]])*(BRON!$T$2:$T$1197&gt;=DATE(YEAR(TODAY())-1,MONTH(TODAY()),DAY(TODAY())))*(BRON!$T$2:$T$1197&lt;=TODAY()))</f>
        <v>3</v>
      </c>
      <c r="J14" s="41">
        <v>24</v>
      </c>
      <c r="K14" s="38">
        <v>5</v>
      </c>
    </row>
    <row r="15" spans="1:14" x14ac:dyDescent="0.25">
      <c r="A15" s="34" t="s">
        <v>2023</v>
      </c>
      <c r="B15" s="34" t="s">
        <v>2022</v>
      </c>
      <c r="C15" s="36">
        <v>41482</v>
      </c>
      <c r="D15" s="34" t="s">
        <v>3858</v>
      </c>
      <c r="E15" s="34" t="s">
        <v>3860</v>
      </c>
      <c r="F15" s="3">
        <v>45735.041666666701</v>
      </c>
      <c r="G15" s="35">
        <f ca="1">YEAR(TODAY()) - YEAR(F15) - (IF(DATE(YEAR(TODAY()), MONTH(F15), DAY(F15)) &gt; TODAY(), 1, 0))</f>
        <v>0</v>
      </c>
      <c r="H15" s="43" cm="1">
        <f t="array" aca="1" ref="H15" ca="1">SUMPRODUCT((BRON!$A$2:$A$1197=Table1[[#This Row],[Personeelsnummer]])*(BRON!$T$2:$T$1197&gt;=DATE(YEAR(TODAY())-1,MONTH(TODAY()),DAY(TODAY())))*(BRON!$T$2:$T$1197&lt;=TODAY()))</f>
        <v>3</v>
      </c>
      <c r="J15" s="41">
        <v>23</v>
      </c>
      <c r="K15" s="38">
        <v>8</v>
      </c>
    </row>
    <row r="16" spans="1:14" x14ac:dyDescent="0.25">
      <c r="A16" s="34" t="s">
        <v>3306</v>
      </c>
      <c r="B16" s="34" t="s">
        <v>3305</v>
      </c>
      <c r="C16" s="36">
        <v>41520</v>
      </c>
      <c r="D16" s="34" t="s">
        <v>3858</v>
      </c>
      <c r="E16" s="34" t="s">
        <v>3859</v>
      </c>
      <c r="F16" s="3">
        <v>45720.041666666701</v>
      </c>
      <c r="G16" s="35">
        <f ca="1">YEAR(TODAY()) - YEAR(F16) - (IF(DATE(YEAR(TODAY()), MONTH(F16), DAY(F16)) &gt; TODAY(), 1, 0))</f>
        <v>0</v>
      </c>
      <c r="H16" s="43" cm="1">
        <f t="array" aca="1" ref="H16" ca="1">SUMPRODUCT((BRON!$A$2:$A$1197=Table1[[#This Row],[Personeelsnummer]])*(BRON!$T$2:$T$1197&gt;=DATE(YEAR(TODAY())-1,MONTH(TODAY()),DAY(TODAY())))*(BRON!$T$2:$T$1197&lt;=TODAY()))</f>
        <v>3</v>
      </c>
      <c r="J16" s="41">
        <v>22</v>
      </c>
      <c r="K16" s="38">
        <v>6</v>
      </c>
    </row>
    <row r="17" spans="1:11" x14ac:dyDescent="0.25">
      <c r="A17" s="34" t="s">
        <v>2011</v>
      </c>
      <c r="B17" s="34" t="s">
        <v>2010</v>
      </c>
      <c r="C17" s="36">
        <v>41619</v>
      </c>
      <c r="D17" s="34" t="s">
        <v>3858</v>
      </c>
      <c r="E17" s="34" t="s">
        <v>3860</v>
      </c>
      <c r="F17" s="3">
        <v>45770.083333333299</v>
      </c>
      <c r="G17" s="35">
        <f ca="1">YEAR(TODAY()) - YEAR(F17) - (IF(DATE(YEAR(TODAY()), MONTH(F17), DAY(F17)) &gt; TODAY(), 1, 0))</f>
        <v>0</v>
      </c>
      <c r="H17" s="43" cm="1">
        <f t="array" aca="1" ref="H17" ca="1">SUMPRODUCT((BRON!$A$2:$A$1197=Table1[[#This Row],[Personeelsnummer]])*(BRON!$T$2:$T$1197&gt;=DATE(YEAR(TODAY())-1,MONTH(TODAY()),DAY(TODAY())))*(BRON!$T$2:$T$1197&lt;=TODAY()))</f>
        <v>3</v>
      </c>
      <c r="J17" s="41">
        <v>21</v>
      </c>
      <c r="K17" s="38">
        <v>6</v>
      </c>
    </row>
    <row r="18" spans="1:11" x14ac:dyDescent="0.25">
      <c r="A18" s="34" t="s">
        <v>3181</v>
      </c>
      <c r="B18" s="34" t="s">
        <v>3180</v>
      </c>
      <c r="C18" s="36">
        <v>41874</v>
      </c>
      <c r="D18" s="34" t="s">
        <v>3858</v>
      </c>
      <c r="E18" s="34" t="s">
        <v>3866</v>
      </c>
      <c r="F18" s="3">
        <v>45814.083333333299</v>
      </c>
      <c r="G18" s="35">
        <f ca="1">YEAR(TODAY()) - YEAR(F18) - (IF(DATE(YEAR(TODAY()), MONTH(F18), DAY(F18)) &gt; TODAY(), 1, 0))</f>
        <v>0</v>
      </c>
      <c r="H18" s="43" cm="1">
        <f t="array" aca="1" ref="H18" ca="1">SUMPRODUCT((BRON!$A$2:$A$1197=Table1[[#This Row],[Personeelsnummer]])*(BRON!$T$2:$T$1197&gt;=DATE(YEAR(TODAY())-1,MONTH(TODAY()),DAY(TODAY())))*(BRON!$T$2:$T$1197&lt;=TODAY()))</f>
        <v>3</v>
      </c>
      <c r="J18" s="41">
        <v>20</v>
      </c>
      <c r="K18" s="38">
        <v>4</v>
      </c>
    </row>
    <row r="19" spans="1:11" x14ac:dyDescent="0.25">
      <c r="A19" s="34" t="s">
        <v>2520</v>
      </c>
      <c r="B19" s="34" t="s">
        <v>2519</v>
      </c>
      <c r="C19" s="36">
        <v>42146</v>
      </c>
      <c r="D19" s="34" t="s">
        <v>3858</v>
      </c>
      <c r="E19" s="34" t="s">
        <v>3865</v>
      </c>
      <c r="F19" s="3">
        <v>45874.083333333299</v>
      </c>
      <c r="G19" s="35">
        <f ca="1">YEAR(TODAY()) - YEAR(F19) - (IF(DATE(YEAR(TODAY()), MONTH(F19), DAY(F19)) &gt; TODAY(), 1, 0))</f>
        <v>0</v>
      </c>
      <c r="H19" s="43" cm="1">
        <f t="array" aca="1" ref="H19" ca="1">SUMPRODUCT((BRON!$A$2:$A$1197=Table1[[#This Row],[Personeelsnummer]])*(BRON!$T$2:$T$1197&gt;=DATE(YEAR(TODAY())-1,MONTH(TODAY()),DAY(TODAY())))*(BRON!$T$2:$T$1197&lt;=TODAY()))</f>
        <v>3</v>
      </c>
      <c r="J19" s="41">
        <v>19</v>
      </c>
      <c r="K19" s="38">
        <v>8</v>
      </c>
    </row>
    <row r="20" spans="1:11" x14ac:dyDescent="0.25">
      <c r="A20" s="34" t="s">
        <v>1701</v>
      </c>
      <c r="B20" s="34" t="s">
        <v>3163</v>
      </c>
      <c r="C20" s="36">
        <v>40362</v>
      </c>
      <c r="D20" s="34" t="s">
        <v>3858</v>
      </c>
      <c r="E20" s="34" t="s">
        <v>3854</v>
      </c>
      <c r="F20" s="3">
        <v>45394.083333333299</v>
      </c>
      <c r="G20" s="35">
        <f ca="1">YEAR(TODAY()) - YEAR(F20) - (IF(DATE(YEAR(TODAY()), MONTH(F20), DAY(F20)) &gt; TODAY(), 1, 0))</f>
        <v>1</v>
      </c>
      <c r="H20" s="43" cm="1">
        <f t="array" aca="1" ref="H20" ca="1">SUMPRODUCT((BRON!$A$2:$A$1197=Table1[[#This Row],[Personeelsnummer]])*(BRON!$T$2:$T$1197&gt;=DATE(YEAR(TODAY())-1,MONTH(TODAY()),DAY(TODAY())))*(BRON!$T$2:$T$1197&lt;=TODAY()))</f>
        <v>3</v>
      </c>
      <c r="J20" s="41">
        <v>18</v>
      </c>
      <c r="K20" s="38">
        <v>12</v>
      </c>
    </row>
    <row r="21" spans="1:11" x14ac:dyDescent="0.25">
      <c r="A21" s="34" t="s">
        <v>1722</v>
      </c>
      <c r="B21" s="34" t="s">
        <v>1721</v>
      </c>
      <c r="C21" s="36">
        <v>40939</v>
      </c>
      <c r="D21" s="34" t="s">
        <v>3858</v>
      </c>
      <c r="E21" s="34" t="s">
        <v>3854</v>
      </c>
      <c r="F21" s="3">
        <v>45530.083333333299</v>
      </c>
      <c r="G21" s="35">
        <f ca="1">YEAR(TODAY()) - YEAR(F21) - (IF(DATE(YEAR(TODAY()), MONTH(F21), DAY(F21)) &gt; TODAY(), 1, 0))</f>
        <v>1</v>
      </c>
      <c r="H21" s="43" cm="1">
        <f t="array" aca="1" ref="H21" ca="1">SUMPRODUCT((BRON!$A$2:$A$1197=Table1[[#This Row],[Personeelsnummer]])*(BRON!$T$2:$T$1197&gt;=DATE(YEAR(TODAY())-1,MONTH(TODAY()),DAY(TODAY())))*(BRON!$T$2:$T$1197&lt;=TODAY()))</f>
        <v>3</v>
      </c>
      <c r="J21" s="41">
        <v>17</v>
      </c>
      <c r="K21" s="38">
        <v>11</v>
      </c>
    </row>
    <row r="22" spans="1:11" x14ac:dyDescent="0.25">
      <c r="A22" s="34" t="s">
        <v>2876</v>
      </c>
      <c r="B22" s="34" t="s">
        <v>2875</v>
      </c>
      <c r="C22" s="36">
        <v>40278</v>
      </c>
      <c r="D22" s="34" t="s">
        <v>3858</v>
      </c>
      <c r="E22" s="34" t="s">
        <v>3859</v>
      </c>
      <c r="F22" s="3">
        <v>45378.041666666701</v>
      </c>
      <c r="G22" s="35">
        <f ca="1">YEAR(TODAY()) - YEAR(F22) - (IF(DATE(YEAR(TODAY()), MONTH(F22), DAY(F22)) &gt; TODAY(), 1, 0))</f>
        <v>1</v>
      </c>
      <c r="H22" s="43" cm="1">
        <f t="array" aca="1" ref="H22" ca="1">SUMPRODUCT((BRON!$A$2:$A$1197=Table1[[#This Row],[Personeelsnummer]])*(BRON!$T$2:$T$1197&gt;=DATE(YEAR(TODAY())-1,MONTH(TODAY()),DAY(TODAY())))*(BRON!$T$2:$T$1197&lt;=TODAY()))</f>
        <v>3</v>
      </c>
      <c r="J22" s="41">
        <v>16</v>
      </c>
      <c r="K22" s="38">
        <v>6</v>
      </c>
    </row>
    <row r="23" spans="1:11" x14ac:dyDescent="0.25">
      <c r="A23" s="34" t="s">
        <v>1733</v>
      </c>
      <c r="B23" s="34" t="s">
        <v>1738</v>
      </c>
      <c r="C23" s="36">
        <v>40110</v>
      </c>
      <c r="D23" s="34" t="s">
        <v>3858</v>
      </c>
      <c r="E23" s="34" t="s">
        <v>3859</v>
      </c>
      <c r="F23" s="3">
        <v>45335.041666666701</v>
      </c>
      <c r="G23" s="35">
        <f ca="1">YEAR(TODAY()) - YEAR(F23) - (IF(DATE(YEAR(TODAY()), MONTH(F23), DAY(F23)) &gt; TODAY(), 1, 0))</f>
        <v>1</v>
      </c>
      <c r="H23" s="43" cm="1">
        <f t="array" aca="1" ref="H23" ca="1">SUMPRODUCT((BRON!$A$2:$A$1197=Table1[[#This Row],[Personeelsnummer]])*(BRON!$T$2:$T$1197&gt;=DATE(YEAR(TODAY())-1,MONTH(TODAY()),DAY(TODAY())))*(BRON!$T$2:$T$1197&lt;=TODAY()))</f>
        <v>3</v>
      </c>
      <c r="J23" s="41">
        <v>15</v>
      </c>
      <c r="K23" s="38">
        <v>5</v>
      </c>
    </row>
    <row r="24" spans="1:11" x14ac:dyDescent="0.25">
      <c r="A24" s="34" t="s">
        <v>3173</v>
      </c>
      <c r="B24" s="34" t="s">
        <v>3172</v>
      </c>
      <c r="C24" s="36">
        <v>38807</v>
      </c>
      <c r="D24" s="34" t="s">
        <v>3858</v>
      </c>
      <c r="E24" s="34" t="s">
        <v>3859</v>
      </c>
      <c r="F24" s="3">
        <v>45027.083333333299</v>
      </c>
      <c r="G24" s="35">
        <f ca="1">YEAR(TODAY()) - YEAR(F24) - (IF(DATE(YEAR(TODAY()), MONTH(F24), DAY(F24)) &gt; TODAY(), 1, 0))</f>
        <v>2</v>
      </c>
      <c r="H24" s="43" cm="1">
        <f t="array" aca="1" ref="H24" ca="1">SUMPRODUCT((BRON!$A$2:$A$1197=Table1[[#This Row],[Personeelsnummer]])*(BRON!$T$2:$T$1197&gt;=DATE(YEAR(TODAY())-1,MONTH(TODAY()),DAY(TODAY())))*(BRON!$T$2:$T$1197&lt;=TODAY()))</f>
        <v>3</v>
      </c>
      <c r="J24" s="41">
        <v>14</v>
      </c>
      <c r="K24" s="38">
        <v>15</v>
      </c>
    </row>
    <row r="25" spans="1:11" x14ac:dyDescent="0.25">
      <c r="A25" s="34" t="s">
        <v>1622</v>
      </c>
      <c r="B25" s="34" t="s">
        <v>1621</v>
      </c>
      <c r="C25" s="36">
        <v>39651</v>
      </c>
      <c r="D25" s="34" t="s">
        <v>3858</v>
      </c>
      <c r="E25" s="34" t="s">
        <v>3854</v>
      </c>
      <c r="F25" s="3">
        <v>45208.083333333299</v>
      </c>
      <c r="G25" s="35">
        <f ca="1">YEAR(TODAY()) - YEAR(F25) - (IF(DATE(YEAR(TODAY()), MONTH(F25), DAY(F25)) &gt; TODAY(), 1, 0))</f>
        <v>2</v>
      </c>
      <c r="H25" s="43" cm="1">
        <f t="array" aca="1" ref="H25" ca="1">SUMPRODUCT((BRON!$A$2:$A$1197=Table1[[#This Row],[Personeelsnummer]])*(BRON!$T$2:$T$1197&gt;=DATE(YEAR(TODAY())-1,MONTH(TODAY()),DAY(TODAY())))*(BRON!$T$2:$T$1197&lt;=TODAY()))</f>
        <v>3</v>
      </c>
      <c r="J25" s="41">
        <v>13</v>
      </c>
      <c r="K25" s="38">
        <v>6</v>
      </c>
    </row>
    <row r="26" spans="1:11" x14ac:dyDescent="0.25">
      <c r="A26" s="34" t="s">
        <v>2733</v>
      </c>
      <c r="B26" s="34" t="s">
        <v>2732</v>
      </c>
      <c r="C26" s="36">
        <v>39673</v>
      </c>
      <c r="D26" s="34" t="s">
        <v>3858</v>
      </c>
      <c r="E26" s="34" t="s">
        <v>3863</v>
      </c>
      <c r="F26" s="3">
        <v>45236.041666666701</v>
      </c>
      <c r="G26" s="35">
        <f ca="1">YEAR(TODAY()) - YEAR(F26) - (IF(DATE(YEAR(TODAY()), MONTH(F26), DAY(F26)) &gt; TODAY(), 1, 0))</f>
        <v>2</v>
      </c>
      <c r="H26" s="43" cm="1">
        <f t="array" aca="1" ref="H26" ca="1">SUMPRODUCT((BRON!$A$2:$A$1197=Table1[[#This Row],[Personeelsnummer]])*(BRON!$T$2:$T$1197&gt;=DATE(YEAR(TODAY())-1,MONTH(TODAY()),DAY(TODAY())))*(BRON!$T$2:$T$1197&lt;=TODAY()))</f>
        <v>3</v>
      </c>
      <c r="J26" s="41">
        <v>12</v>
      </c>
      <c r="K26" s="38">
        <v>1</v>
      </c>
    </row>
    <row r="27" spans="1:11" x14ac:dyDescent="0.25">
      <c r="A27" s="34" t="s">
        <v>2792</v>
      </c>
      <c r="B27" s="34" t="s">
        <v>2795</v>
      </c>
      <c r="C27" s="36">
        <v>39660</v>
      </c>
      <c r="D27" s="34" t="s">
        <v>3858</v>
      </c>
      <c r="E27" s="34" t="s">
        <v>3860</v>
      </c>
      <c r="F27" s="3">
        <v>45222.083333333299</v>
      </c>
      <c r="G27" s="35">
        <f ca="1">YEAR(TODAY()) - YEAR(F27) - (IF(DATE(YEAR(TODAY()), MONTH(F27), DAY(F27)) &gt; TODAY(), 1, 0))</f>
        <v>2</v>
      </c>
      <c r="H27" s="43" cm="1">
        <f t="array" aca="1" ref="H27" ca="1">SUMPRODUCT((BRON!$A$2:$A$1197=Table1[[#This Row],[Personeelsnummer]])*(BRON!$T$2:$T$1197&gt;=DATE(YEAR(TODAY())-1,MONTH(TODAY()),DAY(TODAY())))*(BRON!$T$2:$T$1197&lt;=TODAY()))</f>
        <v>3</v>
      </c>
      <c r="J27" s="41">
        <v>11</v>
      </c>
      <c r="K27" s="38">
        <v>9</v>
      </c>
    </row>
    <row r="28" spans="1:11" x14ac:dyDescent="0.25">
      <c r="A28" s="34" t="s">
        <v>1328</v>
      </c>
      <c r="B28" s="34" t="s">
        <v>1629</v>
      </c>
      <c r="C28" s="36">
        <v>37662</v>
      </c>
      <c r="D28" s="34" t="s">
        <v>3858</v>
      </c>
      <c r="E28" s="34" t="s">
        <v>3860</v>
      </c>
      <c r="F28" s="3">
        <v>44719.083333333299</v>
      </c>
      <c r="G28" s="35">
        <f ca="1">YEAR(TODAY()) - YEAR(F28) - (IF(DATE(YEAR(TODAY()), MONTH(F28), DAY(F28)) &gt; TODAY(), 1, 0))</f>
        <v>3</v>
      </c>
      <c r="H28" s="43" cm="1">
        <f t="array" aca="1" ref="H28" ca="1">SUMPRODUCT((BRON!$A$2:$A$1197=Table1[[#This Row],[Personeelsnummer]])*(BRON!$T$2:$T$1197&gt;=DATE(YEAR(TODAY())-1,MONTH(TODAY()),DAY(TODAY())))*(BRON!$T$2:$T$1197&lt;=TODAY()))</f>
        <v>4</v>
      </c>
      <c r="J28" s="41">
        <v>10</v>
      </c>
      <c r="K28" s="38">
        <v>7</v>
      </c>
    </row>
    <row r="29" spans="1:11" x14ac:dyDescent="0.25">
      <c r="A29" s="34" t="s">
        <v>3446</v>
      </c>
      <c r="B29" s="34" t="s">
        <v>3445</v>
      </c>
      <c r="C29" s="36">
        <v>36426</v>
      </c>
      <c r="D29" s="34" t="s">
        <v>3853</v>
      </c>
      <c r="E29" s="34" t="s">
        <v>3860</v>
      </c>
      <c r="F29" s="3">
        <v>44305.083333333299</v>
      </c>
      <c r="G29" s="35">
        <f ca="1">YEAR(TODAY()) - YEAR(F29) - (IF(DATE(YEAR(TODAY()), MONTH(F29), DAY(F29)) &gt; TODAY(), 1, 0))</f>
        <v>4</v>
      </c>
      <c r="H29" s="43" cm="1">
        <f t="array" aca="1" ref="H29" ca="1">SUMPRODUCT((BRON!$A$2:$A$1197=Table1[[#This Row],[Personeelsnummer]])*(BRON!$T$2:$T$1197&gt;=DATE(YEAR(TODAY())-1,MONTH(TODAY()),DAY(TODAY())))*(BRON!$T$2:$T$1197&lt;=TODAY()))</f>
        <v>3</v>
      </c>
      <c r="J29" s="41">
        <v>9</v>
      </c>
      <c r="K29" s="38">
        <v>9</v>
      </c>
    </row>
    <row r="30" spans="1:11" x14ac:dyDescent="0.25">
      <c r="A30" s="34" t="s">
        <v>3435</v>
      </c>
      <c r="B30" s="34" t="s">
        <v>3434</v>
      </c>
      <c r="C30" s="36">
        <v>36663</v>
      </c>
      <c r="D30" s="34" t="s">
        <v>3853</v>
      </c>
      <c r="E30" s="34" t="s">
        <v>3866</v>
      </c>
      <c r="F30" s="3">
        <v>44431.083333333299</v>
      </c>
      <c r="G30" s="35">
        <f ca="1">YEAR(TODAY()) - YEAR(F30) - (IF(DATE(YEAR(TODAY()), MONTH(F30), DAY(F30)) &gt; TODAY(), 1, 0))</f>
        <v>4</v>
      </c>
      <c r="H30" s="43" cm="1">
        <f t="array" aca="1" ref="H30" ca="1">SUMPRODUCT((BRON!$A$2:$A$1197=Table1[[#This Row],[Personeelsnummer]])*(BRON!$T$2:$T$1197&gt;=DATE(YEAR(TODAY())-1,MONTH(TODAY()),DAY(TODAY())))*(BRON!$T$2:$T$1197&lt;=TODAY()))</f>
        <v>3</v>
      </c>
      <c r="J30" s="41">
        <v>8</v>
      </c>
      <c r="K30" s="38">
        <v>12</v>
      </c>
    </row>
    <row r="31" spans="1:11" x14ac:dyDescent="0.25">
      <c r="A31" s="34" t="s">
        <v>1884</v>
      </c>
      <c r="B31" s="34" t="s">
        <v>1883</v>
      </c>
      <c r="C31" s="36">
        <v>36428</v>
      </c>
      <c r="D31" s="34" t="s">
        <v>3853</v>
      </c>
      <c r="E31" s="34" t="s">
        <v>3861</v>
      </c>
      <c r="F31" s="3">
        <v>44312.083333333299</v>
      </c>
      <c r="G31" s="35">
        <f ca="1">YEAR(TODAY()) - YEAR(F31) - (IF(DATE(YEAR(TODAY()), MONTH(F31), DAY(F31)) &gt; TODAY(), 1, 0))</f>
        <v>4</v>
      </c>
      <c r="H31" s="43" cm="1">
        <f t="array" aca="1" ref="H31" ca="1">SUMPRODUCT((BRON!$A$2:$A$1197=Table1[[#This Row],[Personeelsnummer]])*(BRON!$T$2:$T$1197&gt;=DATE(YEAR(TODAY())-1,MONTH(TODAY()),DAY(TODAY())))*(BRON!$T$2:$T$1197&lt;=TODAY()))</f>
        <v>3</v>
      </c>
      <c r="J31" s="41">
        <v>7</v>
      </c>
      <c r="K31" s="38">
        <v>8</v>
      </c>
    </row>
    <row r="32" spans="1:11" x14ac:dyDescent="0.25">
      <c r="A32" s="34" t="s">
        <v>3601</v>
      </c>
      <c r="B32" s="34" t="s">
        <v>3871</v>
      </c>
      <c r="C32" s="36">
        <v>36569</v>
      </c>
      <c r="D32" s="34" t="s">
        <v>3853</v>
      </c>
      <c r="E32" s="34" t="s">
        <v>3863</v>
      </c>
      <c r="F32" s="3">
        <v>44347.083333333299</v>
      </c>
      <c r="G32" s="35">
        <f ca="1">YEAR(TODAY()) - YEAR(F32) - (IF(DATE(YEAR(TODAY()), MONTH(F32), DAY(F32)) &gt; TODAY(), 1, 0))</f>
        <v>4</v>
      </c>
      <c r="H32" s="43" cm="1">
        <f t="array" aca="1" ref="H32" ca="1">SUMPRODUCT((BRON!$A$2:$A$1197=Table1[[#This Row],[Personeelsnummer]])*(BRON!$T$2:$T$1197&gt;=DATE(YEAR(TODAY())-1,MONTH(TODAY()),DAY(TODAY())))*(BRON!$T$2:$T$1197&lt;=TODAY()))</f>
        <v>3</v>
      </c>
      <c r="J32" s="41">
        <v>6</v>
      </c>
      <c r="K32" s="38">
        <v>13</v>
      </c>
    </row>
    <row r="33" spans="1:11" x14ac:dyDescent="0.25">
      <c r="A33" s="34" t="s">
        <v>1435</v>
      </c>
      <c r="B33" s="34" t="s">
        <v>1434</v>
      </c>
      <c r="C33" s="36">
        <v>35645</v>
      </c>
      <c r="D33" s="34" t="s">
        <v>3858</v>
      </c>
      <c r="E33" s="34" t="s">
        <v>3865</v>
      </c>
      <c r="F33" s="3">
        <v>44070.083333333299</v>
      </c>
      <c r="G33" s="35">
        <f ca="1">YEAR(TODAY()) - YEAR(F33) - (IF(DATE(YEAR(TODAY()), MONTH(F33), DAY(F33)) &gt; TODAY(), 1, 0))</f>
        <v>5</v>
      </c>
      <c r="H33" s="43" cm="1">
        <f t="array" aca="1" ref="H33" ca="1">SUMPRODUCT((BRON!$A$2:$A$1197=Table1[[#This Row],[Personeelsnummer]])*(BRON!$T$2:$T$1197&gt;=DATE(YEAR(TODAY())-1,MONTH(TODAY()),DAY(TODAY())))*(BRON!$T$2:$T$1197&lt;=TODAY()))</f>
        <v>3</v>
      </c>
      <c r="J33" s="41">
        <v>5</v>
      </c>
      <c r="K33" s="38">
        <v>24</v>
      </c>
    </row>
    <row r="34" spans="1:11" x14ac:dyDescent="0.25">
      <c r="A34" s="34" t="s">
        <v>3339</v>
      </c>
      <c r="B34" s="34" t="s">
        <v>3338</v>
      </c>
      <c r="C34" s="36">
        <v>29746</v>
      </c>
      <c r="D34" s="34" t="s">
        <v>3862</v>
      </c>
      <c r="E34" s="34" t="s">
        <v>3860</v>
      </c>
      <c r="F34" s="3">
        <v>42093.083333333299</v>
      </c>
      <c r="G34" s="35">
        <f ca="1">YEAR(TODAY()) - YEAR(F34) - (IF(DATE(YEAR(TODAY()), MONTH(F34), DAY(F34)) &gt; TODAY(), 1, 0))</f>
        <v>10</v>
      </c>
      <c r="H34" s="43" cm="1">
        <f t="array" aca="1" ref="H34" ca="1">SUMPRODUCT((BRON!$A$2:$A$1197=Table1[[#This Row],[Personeelsnummer]])*(BRON!$T$2:$T$1197&gt;=DATE(YEAR(TODAY())-1,MONTH(TODAY()),DAY(TODAY())))*(BRON!$T$2:$T$1197&lt;=TODAY()))</f>
        <v>3</v>
      </c>
      <c r="J34" s="41">
        <v>4</v>
      </c>
      <c r="K34" s="38">
        <v>23</v>
      </c>
    </row>
    <row r="35" spans="1:11" x14ac:dyDescent="0.25">
      <c r="A35" s="34" t="s">
        <v>2159</v>
      </c>
      <c r="B35" s="34" t="s">
        <v>2158</v>
      </c>
      <c r="C35" s="36">
        <v>28737</v>
      </c>
      <c r="D35" s="34" t="s">
        <v>3853</v>
      </c>
      <c r="E35" s="34" t="s">
        <v>3861</v>
      </c>
      <c r="F35" s="3">
        <v>41680.041666666701</v>
      </c>
      <c r="G35" s="35">
        <f ca="1">YEAR(TODAY()) - YEAR(F35) - (IF(DATE(YEAR(TODAY()), MONTH(F35), DAY(F35)) &gt; TODAY(), 1, 0))</f>
        <v>11</v>
      </c>
      <c r="H35" s="43" cm="1">
        <f t="array" aca="1" ref="H35" ca="1">SUMPRODUCT((BRON!$A$2:$A$1197=Table1[[#This Row],[Personeelsnummer]])*(BRON!$T$2:$T$1197&gt;=DATE(YEAR(TODAY())-1,MONTH(TODAY()),DAY(TODAY())))*(BRON!$T$2:$T$1197&lt;=TODAY()))</f>
        <v>3</v>
      </c>
      <c r="J35" s="41">
        <v>3</v>
      </c>
      <c r="K35" s="38">
        <v>30</v>
      </c>
    </row>
    <row r="36" spans="1:11" x14ac:dyDescent="0.25">
      <c r="A36" s="34" t="s">
        <v>1666</v>
      </c>
      <c r="B36" s="34" t="s">
        <v>1665</v>
      </c>
      <c r="C36" s="36">
        <v>25487</v>
      </c>
      <c r="D36" s="34" t="s">
        <v>3857</v>
      </c>
      <c r="E36" s="34" t="s">
        <v>3865</v>
      </c>
      <c r="F36" s="3">
        <v>40385.083333333299</v>
      </c>
      <c r="G36" s="35">
        <f ca="1">YEAR(TODAY()) - YEAR(F36) - (IF(DATE(YEAR(TODAY()), MONTH(F36), DAY(F36)) &gt; TODAY(), 1, 0))</f>
        <v>15</v>
      </c>
      <c r="H36" s="43" cm="1">
        <f t="array" aca="1" ref="H36" ca="1">SUMPRODUCT((BRON!$A$2:$A$1197=Table1[[#This Row],[Personeelsnummer]])*(BRON!$T$2:$T$1197&gt;=DATE(YEAR(TODAY())-1,MONTH(TODAY()),DAY(TODAY())))*(BRON!$T$2:$T$1197&lt;=TODAY()))</f>
        <v>3</v>
      </c>
      <c r="J36" s="41">
        <v>2</v>
      </c>
      <c r="K36" s="38">
        <v>43</v>
      </c>
    </row>
    <row r="37" spans="1:11" x14ac:dyDescent="0.25">
      <c r="A37" s="34" t="s">
        <v>2420</v>
      </c>
      <c r="B37" s="34" t="s">
        <v>2419</v>
      </c>
      <c r="C37" s="36">
        <v>21509</v>
      </c>
      <c r="D37" s="34" t="s">
        <v>3857</v>
      </c>
      <c r="E37" s="34" t="s">
        <v>3866</v>
      </c>
      <c r="F37" s="3">
        <v>39405.041666666701</v>
      </c>
      <c r="G37" s="35">
        <f ca="1">YEAR(TODAY()) - YEAR(F37) - (IF(DATE(YEAR(TODAY()), MONTH(F37), DAY(F37)) &gt; TODAY(), 1, 0))</f>
        <v>18</v>
      </c>
      <c r="H37" s="43" cm="1">
        <f t="array" aca="1" ref="H37" ca="1">SUMPRODUCT((BRON!$A$2:$A$1197=Table1[[#This Row],[Personeelsnummer]])*(BRON!$T$2:$T$1197&gt;=DATE(YEAR(TODAY())-1,MONTH(TODAY()),DAY(TODAY())))*(BRON!$T$2:$T$1197&lt;=TODAY()))</f>
        <v>3</v>
      </c>
      <c r="J37" s="41">
        <v>1</v>
      </c>
      <c r="K37" s="38">
        <v>61</v>
      </c>
    </row>
    <row r="38" spans="1:11" x14ac:dyDescent="0.25">
      <c r="A38" s="34" t="s">
        <v>2879</v>
      </c>
      <c r="B38" s="34" t="s">
        <v>2882</v>
      </c>
      <c r="C38" s="36">
        <v>18051</v>
      </c>
      <c r="D38" s="34" t="s">
        <v>3853</v>
      </c>
      <c r="E38" s="34" t="s">
        <v>3859</v>
      </c>
      <c r="F38" s="3">
        <v>38446.083333333299</v>
      </c>
      <c r="G38" s="35">
        <f ca="1">YEAR(TODAY()) - YEAR(F38) - (IF(DATE(YEAR(TODAY()), MONTH(F38), DAY(F38)) &gt; TODAY(), 1, 0))</f>
        <v>20</v>
      </c>
      <c r="H38" s="43" cm="1">
        <f t="array" aca="1" ref="H38" ca="1">SUMPRODUCT((BRON!$A$2:$A$1197=Table1[[#This Row],[Personeelsnummer]])*(BRON!$T$2:$T$1197&gt;=DATE(YEAR(TODAY())-1,MONTH(TODAY()),DAY(TODAY())))*(BRON!$T$2:$T$1197&lt;=TODAY()))</f>
        <v>3</v>
      </c>
      <c r="J38" s="41">
        <v>0</v>
      </c>
      <c r="K38" s="38">
        <v>35</v>
      </c>
    </row>
    <row r="39" spans="1:11" x14ac:dyDescent="0.25">
      <c r="A39" s="34" t="s">
        <v>2968</v>
      </c>
      <c r="B39" s="34" t="s">
        <v>2967</v>
      </c>
      <c r="C39" s="36">
        <v>4419</v>
      </c>
      <c r="D39" s="34" t="s">
        <v>3858</v>
      </c>
      <c r="E39" s="34" t="s">
        <v>3861</v>
      </c>
      <c r="F39" s="3">
        <v>32223.041666666701</v>
      </c>
      <c r="G39" s="35">
        <f ca="1">YEAR(TODAY()) - YEAR(F39) - (IF(DATE(YEAR(TODAY()), MONTH(F39), DAY(F39)) &gt; TODAY(), 1, 0))</f>
        <v>37</v>
      </c>
      <c r="H39" s="43" cm="1">
        <f t="array" aca="1" ref="H39" ca="1">SUMPRODUCT((BRON!$A$2:$A$1197=Table1[[#This Row],[Personeelsnummer]])*(BRON!$T$2:$T$1197&gt;=DATE(YEAR(TODAY())-1,MONTH(TODAY()),DAY(TODAY())))*(BRON!$T$2:$T$1197&lt;=TODAY()))</f>
        <v>4</v>
      </c>
      <c r="J39" s="41" t="s">
        <v>65</v>
      </c>
      <c r="K39" s="38">
        <v>402</v>
      </c>
    </row>
    <row r="40" spans="1:11" x14ac:dyDescent="0.25">
      <c r="A40" s="34" t="s">
        <v>1399</v>
      </c>
      <c r="B40" s="34" t="s">
        <v>1398</v>
      </c>
      <c r="C40" s="36">
        <v>41588</v>
      </c>
      <c r="D40" s="34" t="s">
        <v>3858</v>
      </c>
      <c r="E40" s="34" t="s">
        <v>3854</v>
      </c>
      <c r="F40" s="3">
        <v>45749.083333333299</v>
      </c>
      <c r="G40" s="35">
        <f ca="1">YEAR(TODAY()) - YEAR(F40) - (IF(DATE(YEAR(TODAY()), MONTH(F40), DAY(F40)) &gt; TODAY(), 1, 0))</f>
        <v>0</v>
      </c>
      <c r="H40" s="43" cm="1">
        <f t="array" aca="1" ref="H40" ca="1">SUMPRODUCT((BRON!$A$2:$A$1197=Table1[[#This Row],[Personeelsnummer]])*(BRON!$T$2:$T$1197&gt;=DATE(YEAR(TODAY())-1,MONTH(TODAY()),DAY(TODAY())))*(BRON!$T$2:$T$1197&lt;=TODAY()))</f>
        <v>2</v>
      </c>
    </row>
    <row r="41" spans="1:11" x14ac:dyDescent="0.25">
      <c r="A41" s="34" t="s">
        <v>2691</v>
      </c>
      <c r="B41" s="34" t="s">
        <v>2690</v>
      </c>
      <c r="C41" s="36">
        <v>41871</v>
      </c>
      <c r="D41" s="34" t="s">
        <v>3858</v>
      </c>
      <c r="E41" s="34" t="s">
        <v>3866</v>
      </c>
      <c r="F41" s="3">
        <v>45798.083333333299</v>
      </c>
      <c r="G41" s="35">
        <f ca="1">YEAR(TODAY()) - YEAR(F41) - (IF(DATE(YEAR(TODAY()), MONTH(F41), DAY(F41)) &gt; TODAY(), 1, 0))</f>
        <v>0</v>
      </c>
      <c r="H41" s="43" cm="1">
        <f t="array" aca="1" ref="H41" ca="1">SUMPRODUCT((BRON!$A$2:$A$1197=Table1[[#This Row],[Personeelsnummer]])*(BRON!$T$2:$T$1197&gt;=DATE(YEAR(TODAY())-1,MONTH(TODAY()),DAY(TODAY())))*(BRON!$T$2:$T$1197&lt;=TODAY()))</f>
        <v>2</v>
      </c>
    </row>
    <row r="42" spans="1:11" x14ac:dyDescent="0.25">
      <c r="A42" s="34" t="s">
        <v>1452</v>
      </c>
      <c r="B42" s="34" t="s">
        <v>1464</v>
      </c>
      <c r="C42" s="36">
        <v>41948</v>
      </c>
      <c r="D42" s="34" t="s">
        <v>3858</v>
      </c>
      <c r="E42" s="34" t="s">
        <v>3864</v>
      </c>
      <c r="F42" s="3">
        <v>45831.083333333299</v>
      </c>
      <c r="G42" s="35">
        <f ca="1">YEAR(TODAY()) - YEAR(F42) - (IF(DATE(YEAR(TODAY()), MONTH(F42), DAY(F42)) &gt; TODAY(), 1, 0))</f>
        <v>0</v>
      </c>
      <c r="H42" s="43" cm="1">
        <f t="array" aca="1" ref="H42" ca="1">SUMPRODUCT((BRON!$A$2:$A$1197=Table1[[#This Row],[Personeelsnummer]])*(BRON!$T$2:$T$1197&gt;=DATE(YEAR(TODAY())-1,MONTH(TODAY()),DAY(TODAY())))*(BRON!$T$2:$T$1197&lt;=TODAY()))</f>
        <v>2</v>
      </c>
    </row>
    <row r="43" spans="1:11" x14ac:dyDescent="0.25">
      <c r="A43" s="34" t="s">
        <v>2453</v>
      </c>
      <c r="B43" s="34" t="s">
        <v>2452</v>
      </c>
      <c r="C43" s="36">
        <v>42002</v>
      </c>
      <c r="D43" s="34" t="s">
        <v>3858</v>
      </c>
      <c r="E43" s="34" t="s">
        <v>3863</v>
      </c>
      <c r="F43" s="3">
        <v>45814.083333333299</v>
      </c>
      <c r="G43" s="35">
        <f ca="1">YEAR(TODAY()) - YEAR(F43) - (IF(DATE(YEAR(TODAY()), MONTH(F43), DAY(F43)) &gt; TODAY(), 1, 0))</f>
        <v>0</v>
      </c>
      <c r="H43" s="43" cm="1">
        <f t="array" aca="1" ref="H43" ca="1">SUMPRODUCT((BRON!$A$2:$A$1197=Table1[[#This Row],[Personeelsnummer]])*(BRON!$T$2:$T$1197&gt;=DATE(YEAR(TODAY())-1,MONTH(TODAY()),DAY(TODAY())))*(BRON!$T$2:$T$1197&lt;=TODAY()))</f>
        <v>2</v>
      </c>
    </row>
    <row r="44" spans="1:11" x14ac:dyDescent="0.25">
      <c r="A44" s="34" t="s">
        <v>1682</v>
      </c>
      <c r="B44" s="34" t="s">
        <v>1681</v>
      </c>
      <c r="C44" s="36">
        <v>42145</v>
      </c>
      <c r="D44" s="34" t="s">
        <v>3858</v>
      </c>
      <c r="E44" s="34" t="s">
        <v>3865</v>
      </c>
      <c r="F44" s="3">
        <v>45874.083333333299</v>
      </c>
      <c r="G44" s="35">
        <f ca="1">YEAR(TODAY()) - YEAR(F44) - (IF(DATE(YEAR(TODAY()), MONTH(F44), DAY(F44)) &gt; TODAY(), 1, 0))</f>
        <v>0</v>
      </c>
      <c r="H44" s="43" cm="1">
        <f t="array" aca="1" ref="H44" ca="1">SUMPRODUCT((BRON!$A$2:$A$1197=Table1[[#This Row],[Personeelsnummer]])*(BRON!$T$2:$T$1197&gt;=DATE(YEAR(TODAY())-1,MONTH(TODAY()),DAY(TODAY())))*(BRON!$T$2:$T$1197&lt;=TODAY()))</f>
        <v>2</v>
      </c>
    </row>
    <row r="45" spans="1:11" x14ac:dyDescent="0.25">
      <c r="A45" s="34" t="s">
        <v>2649</v>
      </c>
      <c r="B45" s="34" t="s">
        <v>1406</v>
      </c>
      <c r="C45" s="36">
        <v>33085</v>
      </c>
      <c r="D45" s="34" t="s">
        <v>3853</v>
      </c>
      <c r="E45" s="34" t="s">
        <v>3854</v>
      </c>
      <c r="F45" s="3">
        <v>45460.083333333299</v>
      </c>
      <c r="G45" s="35">
        <f ca="1">YEAR(TODAY()) - YEAR(F45) - (IF(DATE(YEAR(TODAY()), MONTH(F45), DAY(F45)) &gt; TODAY(), 1, 0))</f>
        <v>1</v>
      </c>
      <c r="H45" s="43" cm="1">
        <f t="array" aca="1" ref="H45" ca="1">SUMPRODUCT((BRON!$A$2:$A$1197=Table1[[#This Row],[Personeelsnummer]])*(BRON!$T$2:$T$1197&gt;=DATE(YEAR(TODAY())-1,MONTH(TODAY()),DAY(TODAY())))*(BRON!$T$2:$T$1197&lt;=TODAY()))</f>
        <v>2</v>
      </c>
    </row>
    <row r="46" spans="1:11" x14ac:dyDescent="0.25">
      <c r="A46" s="34" t="s">
        <v>1478</v>
      </c>
      <c r="B46" s="34" t="s">
        <v>1477</v>
      </c>
      <c r="C46" s="36">
        <v>39850</v>
      </c>
      <c r="D46" s="34" t="s">
        <v>3858</v>
      </c>
      <c r="E46" s="34" t="s">
        <v>3866</v>
      </c>
      <c r="F46" s="3">
        <v>45264.041666666701</v>
      </c>
      <c r="G46" s="35">
        <f ca="1">YEAR(TODAY()) - YEAR(F46) - (IF(DATE(YEAR(TODAY()), MONTH(F46), DAY(F46)) &gt; TODAY(), 1, 0))</f>
        <v>1</v>
      </c>
      <c r="H46" s="43" cm="1">
        <f t="array" aca="1" ref="H46" ca="1">SUMPRODUCT((BRON!$A$2:$A$1197=Table1[[#This Row],[Personeelsnummer]])*(BRON!$T$2:$T$1197&gt;=DATE(YEAR(TODAY())-1,MONTH(TODAY()),DAY(TODAY())))*(BRON!$T$2:$T$1197&lt;=TODAY()))</f>
        <v>2</v>
      </c>
    </row>
    <row r="47" spans="1:11" x14ac:dyDescent="0.25">
      <c r="A47" s="34" t="s">
        <v>3269</v>
      </c>
      <c r="B47" s="34" t="s">
        <v>3268</v>
      </c>
      <c r="C47" s="36">
        <v>39856</v>
      </c>
      <c r="D47" s="34" t="s">
        <v>3858</v>
      </c>
      <c r="E47" s="34" t="s">
        <v>3854</v>
      </c>
      <c r="F47" s="3">
        <v>45264.041666666701</v>
      </c>
      <c r="G47" s="35">
        <f ca="1">YEAR(TODAY()) - YEAR(F47) - (IF(DATE(YEAR(TODAY()), MONTH(F47), DAY(F47)) &gt; TODAY(), 1, 0))</f>
        <v>1</v>
      </c>
      <c r="H47" s="43" cm="1">
        <f t="array" aca="1" ref="H47" ca="1">SUMPRODUCT((BRON!$A$2:$A$1197=Table1[[#This Row],[Personeelsnummer]])*(BRON!$T$2:$T$1197&gt;=DATE(YEAR(TODAY())-1,MONTH(TODAY()),DAY(TODAY())))*(BRON!$T$2:$T$1197&lt;=TODAY()))</f>
        <v>2</v>
      </c>
    </row>
    <row r="48" spans="1:11" x14ac:dyDescent="0.25">
      <c r="A48" s="34" t="s">
        <v>3370</v>
      </c>
      <c r="B48" s="34" t="s">
        <v>3369</v>
      </c>
      <c r="C48" s="36">
        <v>40055</v>
      </c>
      <c r="D48" s="34" t="s">
        <v>3858</v>
      </c>
      <c r="E48" s="34" t="s">
        <v>3863</v>
      </c>
      <c r="F48" s="3">
        <v>45321.041666666701</v>
      </c>
      <c r="G48" s="35">
        <f ca="1">YEAR(TODAY()) - YEAR(F48) - (IF(DATE(YEAR(TODAY()), MONTH(F48), DAY(F48)) &gt; TODAY(), 1, 0))</f>
        <v>1</v>
      </c>
      <c r="H48" s="43" cm="1">
        <f t="array" aca="1" ref="H48" ca="1">SUMPRODUCT((BRON!$A$2:$A$1197=Table1[[#This Row],[Personeelsnummer]])*(BRON!$T$2:$T$1197&gt;=DATE(YEAR(TODAY())-1,MONTH(TODAY()),DAY(TODAY())))*(BRON!$T$2:$T$1197&lt;=TODAY()))</f>
        <v>2</v>
      </c>
    </row>
    <row r="49" spans="1:8" x14ac:dyDescent="0.25">
      <c r="A49" s="34" t="s">
        <v>2311</v>
      </c>
      <c r="B49" s="34" t="s">
        <v>2310</v>
      </c>
      <c r="C49" s="36">
        <v>40591</v>
      </c>
      <c r="D49" s="34" t="s">
        <v>3858</v>
      </c>
      <c r="E49" s="34" t="s">
        <v>3866</v>
      </c>
      <c r="F49" s="3">
        <v>45450.083333333299</v>
      </c>
      <c r="G49" s="35">
        <f ca="1">YEAR(TODAY()) - YEAR(F49) - (IF(DATE(YEAR(TODAY()), MONTH(F49), DAY(F49)) &gt; TODAY(), 1, 0))</f>
        <v>1</v>
      </c>
      <c r="H49" s="43" cm="1">
        <f t="array" aca="1" ref="H49" ca="1">SUMPRODUCT((BRON!$A$2:$A$1197=Table1[[#This Row],[Personeelsnummer]])*(BRON!$T$2:$T$1197&gt;=DATE(YEAR(TODAY())-1,MONTH(TODAY()),DAY(TODAY())))*(BRON!$T$2:$T$1197&lt;=TODAY()))</f>
        <v>2</v>
      </c>
    </row>
    <row r="50" spans="1:8" x14ac:dyDescent="0.25">
      <c r="A50" s="34" t="s">
        <v>2623</v>
      </c>
      <c r="B50" s="34" t="s">
        <v>2622</v>
      </c>
      <c r="C50" s="36">
        <v>40645</v>
      </c>
      <c r="D50" s="34" t="s">
        <v>3858</v>
      </c>
      <c r="E50" s="34" t="s">
        <v>3864</v>
      </c>
      <c r="F50" s="3">
        <v>45544.083333333299</v>
      </c>
      <c r="G50" s="35">
        <f ca="1">YEAR(TODAY()) - YEAR(F50) - (IF(DATE(YEAR(TODAY()), MONTH(F50), DAY(F50)) &gt; TODAY(), 1, 0))</f>
        <v>1</v>
      </c>
      <c r="H50" s="43" cm="1">
        <f t="array" aca="1" ref="H50" ca="1">SUMPRODUCT((BRON!$A$2:$A$1197=Table1[[#This Row],[Personeelsnummer]])*(BRON!$T$2:$T$1197&gt;=DATE(YEAR(TODAY())-1,MONTH(TODAY()),DAY(TODAY())))*(BRON!$T$2:$T$1197&lt;=TODAY()))</f>
        <v>2</v>
      </c>
    </row>
    <row r="51" spans="1:8" x14ac:dyDescent="0.25">
      <c r="A51" s="34" t="s">
        <v>1413</v>
      </c>
      <c r="B51" s="34" t="s">
        <v>1412</v>
      </c>
      <c r="C51" s="36">
        <v>41012</v>
      </c>
      <c r="D51" s="34" t="s">
        <v>3858</v>
      </c>
      <c r="E51" s="34" t="s">
        <v>3863</v>
      </c>
      <c r="F51" s="3">
        <v>45574.083333333299</v>
      </c>
      <c r="G51" s="35">
        <f ca="1">YEAR(TODAY()) - YEAR(F51) - (IF(DATE(YEAR(TODAY()), MONTH(F51), DAY(F51)) &gt; TODAY(), 1, 0))</f>
        <v>1</v>
      </c>
      <c r="H51" s="43" cm="1">
        <f t="array" aca="1" ref="H51" ca="1">SUMPRODUCT((BRON!$A$2:$A$1197=Table1[[#This Row],[Personeelsnummer]])*(BRON!$T$2:$T$1197&gt;=DATE(YEAR(TODAY())-1,MONTH(TODAY()),DAY(TODAY())))*(BRON!$T$2:$T$1197&lt;=TODAY()))</f>
        <v>2</v>
      </c>
    </row>
    <row r="52" spans="1:8" x14ac:dyDescent="0.25">
      <c r="A52" s="34" t="s">
        <v>3314</v>
      </c>
      <c r="B52" s="34" t="s">
        <v>3313</v>
      </c>
      <c r="C52" s="36">
        <v>41064</v>
      </c>
      <c r="D52" s="34" t="s">
        <v>3858</v>
      </c>
      <c r="E52" s="34" t="s">
        <v>3866</v>
      </c>
      <c r="F52" s="3">
        <v>45588.083333333299</v>
      </c>
      <c r="G52" s="35">
        <f ca="1">YEAR(TODAY()) - YEAR(F52) - (IF(DATE(YEAR(TODAY()), MONTH(F52), DAY(F52)) &gt; TODAY(), 1, 0))</f>
        <v>1</v>
      </c>
      <c r="H52" s="43" cm="1">
        <f t="array" aca="1" ref="H52" ca="1">SUMPRODUCT((BRON!$A$2:$A$1197=Table1[[#This Row],[Personeelsnummer]])*(BRON!$T$2:$T$1197&gt;=DATE(YEAR(TODAY())-1,MONTH(TODAY()),DAY(TODAY())))*(BRON!$T$2:$T$1197&lt;=TODAY()))</f>
        <v>2</v>
      </c>
    </row>
    <row r="53" spans="1:8" x14ac:dyDescent="0.25">
      <c r="A53" s="34" t="s">
        <v>1612</v>
      </c>
      <c r="B53" s="34" t="s">
        <v>1611</v>
      </c>
      <c r="C53" s="36">
        <v>41091</v>
      </c>
      <c r="D53" s="34" t="s">
        <v>3858</v>
      </c>
      <c r="E53" s="34" t="s">
        <v>3866</v>
      </c>
      <c r="F53" s="3">
        <v>45603.041666666701</v>
      </c>
      <c r="G53" s="35">
        <f ca="1">YEAR(TODAY()) - YEAR(F53) - (IF(DATE(YEAR(TODAY()), MONTH(F53), DAY(F53)) &gt; TODAY(), 1, 0))</f>
        <v>1</v>
      </c>
      <c r="H53" s="43" cm="1">
        <f t="array" aca="1" ref="H53" ca="1">SUMPRODUCT((BRON!$A$2:$A$1197=Table1[[#This Row],[Personeelsnummer]])*(BRON!$T$2:$T$1197&gt;=DATE(YEAR(TODAY())-1,MONTH(TODAY()),DAY(TODAY())))*(BRON!$T$2:$T$1197&lt;=TODAY()))</f>
        <v>2</v>
      </c>
    </row>
    <row r="54" spans="1:8" x14ac:dyDescent="0.25">
      <c r="A54" s="34" t="s">
        <v>1351</v>
      </c>
      <c r="B54" s="34" t="s">
        <v>3279</v>
      </c>
      <c r="C54" s="36">
        <v>41230</v>
      </c>
      <c r="D54" s="34" t="s">
        <v>3858</v>
      </c>
      <c r="E54" s="34" t="s">
        <v>3866</v>
      </c>
      <c r="F54" s="3">
        <v>45603.041666666701</v>
      </c>
      <c r="G54" s="35">
        <f ca="1">YEAR(TODAY()) - YEAR(F54) - (IF(DATE(YEAR(TODAY()), MONTH(F54), DAY(F54)) &gt; TODAY(), 1, 0))</f>
        <v>1</v>
      </c>
      <c r="H54" s="43" cm="1">
        <f t="array" aca="1" ref="H54" ca="1">SUMPRODUCT((BRON!$A$2:$A$1197=Table1[[#This Row],[Personeelsnummer]])*(BRON!$T$2:$T$1197&gt;=DATE(YEAR(TODAY())-1,MONTH(TODAY()),DAY(TODAY())))*(BRON!$T$2:$T$1197&lt;=TODAY()))</f>
        <v>2</v>
      </c>
    </row>
    <row r="55" spans="1:8" x14ac:dyDescent="0.25">
      <c r="A55" s="34" t="s">
        <v>3177</v>
      </c>
      <c r="B55" s="34" t="s">
        <v>3176</v>
      </c>
      <c r="C55" s="36">
        <v>40058</v>
      </c>
      <c r="D55" s="34" t="s">
        <v>3858</v>
      </c>
      <c r="E55" s="34" t="s">
        <v>3859</v>
      </c>
      <c r="F55" s="3">
        <v>45321.041666666701</v>
      </c>
      <c r="G55" s="35">
        <f ca="1">YEAR(TODAY()) - YEAR(F55) - (IF(DATE(YEAR(TODAY()), MONTH(F55), DAY(F55)) &gt; TODAY(), 1, 0))</f>
        <v>1</v>
      </c>
      <c r="H55" s="43" cm="1">
        <f t="array" aca="1" ref="H55" ca="1">SUMPRODUCT((BRON!$A$2:$A$1197=Table1[[#This Row],[Personeelsnummer]])*(BRON!$T$2:$T$1197&gt;=DATE(YEAR(TODAY())-1,MONTH(TODAY()),DAY(TODAY())))*(BRON!$T$2:$T$1197&lt;=TODAY()))</f>
        <v>2</v>
      </c>
    </row>
    <row r="56" spans="1:8" x14ac:dyDescent="0.25">
      <c r="A56" s="34" t="s">
        <v>1422</v>
      </c>
      <c r="B56" s="34" t="s">
        <v>1421</v>
      </c>
      <c r="C56" s="36">
        <v>40266</v>
      </c>
      <c r="D56" s="34" t="s">
        <v>3858</v>
      </c>
      <c r="E56" s="34" t="s">
        <v>3859</v>
      </c>
      <c r="F56" s="3">
        <v>45394.083333333299</v>
      </c>
      <c r="G56" s="35">
        <f ca="1">YEAR(TODAY()) - YEAR(F56) - (IF(DATE(YEAR(TODAY()), MONTH(F56), DAY(F56)) &gt; TODAY(), 1, 0))</f>
        <v>1</v>
      </c>
      <c r="H56" s="43" cm="1">
        <f t="array" aca="1" ref="H56" ca="1">SUMPRODUCT((BRON!$A$2:$A$1197=Table1[[#This Row],[Personeelsnummer]])*(BRON!$T$2:$T$1197&gt;=DATE(YEAR(TODAY())-1,MONTH(TODAY()),DAY(TODAY())))*(BRON!$T$2:$T$1197&lt;=TODAY()))</f>
        <v>2</v>
      </c>
    </row>
    <row r="57" spans="1:8" x14ac:dyDescent="0.25">
      <c r="A57" s="34" t="s">
        <v>2199</v>
      </c>
      <c r="B57" s="34" t="s">
        <v>2198</v>
      </c>
      <c r="C57" s="36">
        <v>40403</v>
      </c>
      <c r="D57" s="34" t="s">
        <v>3858</v>
      </c>
      <c r="E57" s="34" t="s">
        <v>3866</v>
      </c>
      <c r="F57" s="3">
        <v>45481.083333333299</v>
      </c>
      <c r="G57" s="35">
        <f ca="1">YEAR(TODAY()) - YEAR(F57) - (IF(DATE(YEAR(TODAY()), MONTH(F57), DAY(F57)) &gt; TODAY(), 1, 0))</f>
        <v>1</v>
      </c>
      <c r="H57" s="43" cm="1">
        <f t="array" aca="1" ref="H57" ca="1">SUMPRODUCT((BRON!$A$2:$A$1197=Table1[[#This Row],[Personeelsnummer]])*(BRON!$T$2:$T$1197&gt;=DATE(YEAR(TODAY())-1,MONTH(TODAY()),DAY(TODAY())))*(BRON!$T$2:$T$1197&lt;=TODAY()))</f>
        <v>2</v>
      </c>
    </row>
    <row r="58" spans="1:8" x14ac:dyDescent="0.25">
      <c r="A58" s="34" t="s">
        <v>1983</v>
      </c>
      <c r="B58" s="34" t="s">
        <v>1982</v>
      </c>
      <c r="C58" s="36">
        <v>39529</v>
      </c>
      <c r="D58" s="34" t="s">
        <v>3857</v>
      </c>
      <c r="E58" s="34" t="s">
        <v>3859</v>
      </c>
      <c r="F58" s="3">
        <v>45286.041666666701</v>
      </c>
      <c r="G58" s="35">
        <f ca="1">YEAR(TODAY()) - YEAR(F58) - (IF(DATE(YEAR(TODAY()), MONTH(F58), DAY(F58)) &gt; TODAY(), 1, 0))</f>
        <v>1</v>
      </c>
      <c r="H58" s="43" cm="1">
        <f t="array" aca="1" ref="H58" ca="1">SUMPRODUCT((BRON!$A$2:$A$1197=Table1[[#This Row],[Personeelsnummer]])*(BRON!$T$2:$T$1197&gt;=DATE(YEAR(TODAY())-1,MONTH(TODAY()),DAY(TODAY())))*(BRON!$T$2:$T$1197&lt;=TODAY()))</f>
        <v>3</v>
      </c>
    </row>
    <row r="59" spans="1:8" x14ac:dyDescent="0.25">
      <c r="A59" s="34" t="s">
        <v>1686</v>
      </c>
      <c r="B59" s="34" t="s">
        <v>1689</v>
      </c>
      <c r="C59" s="36">
        <v>40134</v>
      </c>
      <c r="D59" s="34" t="s">
        <v>3858</v>
      </c>
      <c r="E59" s="34" t="s">
        <v>3866</v>
      </c>
      <c r="F59" s="3">
        <v>45364.041666666701</v>
      </c>
      <c r="G59" s="35">
        <f ca="1">YEAR(TODAY()) - YEAR(F59) - (IF(DATE(YEAR(TODAY()), MONTH(F59), DAY(F59)) &gt; TODAY(), 1, 0))</f>
        <v>1</v>
      </c>
      <c r="H59" s="43" cm="1">
        <f t="array" aca="1" ref="H59" ca="1">SUMPRODUCT((BRON!$A$2:$A$1197=Table1[[#This Row],[Personeelsnummer]])*(BRON!$T$2:$T$1197&gt;=DATE(YEAR(TODAY())-1,MONTH(TODAY()),DAY(TODAY())))*(BRON!$T$2:$T$1197&lt;=TODAY()))</f>
        <v>2</v>
      </c>
    </row>
    <row r="60" spans="1:8" x14ac:dyDescent="0.25">
      <c r="A60" s="34" t="s">
        <v>3374</v>
      </c>
      <c r="B60" s="34" t="s">
        <v>3373</v>
      </c>
      <c r="C60" s="36">
        <v>40478</v>
      </c>
      <c r="D60" s="34" t="s">
        <v>3858</v>
      </c>
      <c r="E60" s="34" t="s">
        <v>3860</v>
      </c>
      <c r="F60" s="3">
        <v>45442.083333333299</v>
      </c>
      <c r="G60" s="35">
        <f ca="1">YEAR(TODAY()) - YEAR(F60) - (IF(DATE(YEAR(TODAY()), MONTH(F60), DAY(F60)) &gt; TODAY(), 1, 0))</f>
        <v>1</v>
      </c>
      <c r="H60" s="43" cm="1">
        <f t="array" aca="1" ref="H60" ca="1">SUMPRODUCT((BRON!$A$2:$A$1197=Table1[[#This Row],[Personeelsnummer]])*(BRON!$T$2:$T$1197&gt;=DATE(YEAR(TODAY())-1,MONTH(TODAY()),DAY(TODAY())))*(BRON!$T$2:$T$1197&lt;=TODAY()))</f>
        <v>2</v>
      </c>
    </row>
    <row r="61" spans="1:8" x14ac:dyDescent="0.25">
      <c r="A61" s="34" t="s">
        <v>3469</v>
      </c>
      <c r="B61" s="34" t="s">
        <v>3468</v>
      </c>
      <c r="C61" s="36">
        <v>40859</v>
      </c>
      <c r="D61" s="34" t="s">
        <v>3858</v>
      </c>
      <c r="E61" s="34" t="s">
        <v>3863</v>
      </c>
      <c r="F61" s="3">
        <v>45544.083333333299</v>
      </c>
      <c r="G61" s="35">
        <f ca="1">YEAR(TODAY()) - YEAR(F61) - (IF(DATE(YEAR(TODAY()), MONTH(F61), DAY(F61)) &gt; TODAY(), 1, 0))</f>
        <v>1</v>
      </c>
      <c r="H61" s="43" cm="1">
        <f t="array" aca="1" ref="H61" ca="1">SUMPRODUCT((BRON!$A$2:$A$1197=Table1[[#This Row],[Personeelsnummer]])*(BRON!$T$2:$T$1197&gt;=DATE(YEAR(TODAY())-1,MONTH(TODAY()),DAY(TODAY())))*(BRON!$T$2:$T$1197&lt;=TODAY()))</f>
        <v>2</v>
      </c>
    </row>
    <row r="62" spans="1:8" x14ac:dyDescent="0.25">
      <c r="A62" s="34" t="s">
        <v>1532</v>
      </c>
      <c r="B62" s="34" t="s">
        <v>1531</v>
      </c>
      <c r="C62" s="36">
        <v>40744</v>
      </c>
      <c r="D62" s="34" t="s">
        <v>3858</v>
      </c>
      <c r="E62" s="34" t="s">
        <v>3860</v>
      </c>
      <c r="F62" s="3">
        <v>45484.083333333299</v>
      </c>
      <c r="G62" s="35">
        <f ca="1">YEAR(TODAY()) - YEAR(F62) - (IF(DATE(YEAR(TODAY()), MONTH(F62), DAY(F62)) &gt; TODAY(), 1, 0))</f>
        <v>1</v>
      </c>
      <c r="H62" s="43" cm="1">
        <f t="array" aca="1" ref="H62" ca="1">SUMPRODUCT((BRON!$A$2:$A$1197=Table1[[#This Row],[Personeelsnummer]])*(BRON!$T$2:$T$1197&gt;=DATE(YEAR(TODAY())-1,MONTH(TODAY()),DAY(TODAY())))*(BRON!$T$2:$T$1197&lt;=TODAY()))</f>
        <v>4</v>
      </c>
    </row>
    <row r="63" spans="1:8" x14ac:dyDescent="0.25">
      <c r="A63" s="34" t="s">
        <v>2269</v>
      </c>
      <c r="B63" s="34" t="s">
        <v>2268</v>
      </c>
      <c r="C63" s="36">
        <v>39929</v>
      </c>
      <c r="D63" s="34" t="s">
        <v>3858</v>
      </c>
      <c r="E63" s="34" t="s">
        <v>3859</v>
      </c>
      <c r="F63" s="3">
        <v>45299.041666666701</v>
      </c>
      <c r="G63" s="35">
        <f ca="1">YEAR(TODAY()) - YEAR(F63) - (IF(DATE(YEAR(TODAY()), MONTH(F63), DAY(F63)) &gt; TODAY(), 1, 0))</f>
        <v>1</v>
      </c>
      <c r="H63" s="43" cm="1">
        <f t="array" aca="1" ref="H63" ca="1">SUMPRODUCT((BRON!$A$2:$A$1197=Table1[[#This Row],[Personeelsnummer]])*(BRON!$T$2:$T$1197&gt;=DATE(YEAR(TODAY())-1,MONTH(TODAY()),DAY(TODAY())))*(BRON!$T$2:$T$1197&lt;=TODAY()))</f>
        <v>2</v>
      </c>
    </row>
    <row r="64" spans="1:8" x14ac:dyDescent="0.25">
      <c r="A64" s="34" t="s">
        <v>3335</v>
      </c>
      <c r="B64" s="34" t="s">
        <v>3334</v>
      </c>
      <c r="C64" s="36">
        <v>38740</v>
      </c>
      <c r="D64" s="34" t="s">
        <v>3853</v>
      </c>
      <c r="E64" s="34" t="s">
        <v>3859</v>
      </c>
      <c r="F64" s="3">
        <v>45027.083333333299</v>
      </c>
      <c r="G64" s="35">
        <f ca="1">YEAR(TODAY()) - YEAR(F64) - (IF(DATE(YEAR(TODAY()), MONTH(F64), DAY(F64)) &gt; TODAY(), 1, 0))</f>
        <v>2</v>
      </c>
      <c r="H64" s="43" cm="1">
        <f t="array" aca="1" ref="H64" ca="1">SUMPRODUCT((BRON!$A$2:$A$1197=Table1[[#This Row],[Personeelsnummer]])*(BRON!$T$2:$T$1197&gt;=DATE(YEAR(TODAY())-1,MONTH(TODAY()),DAY(TODAY())))*(BRON!$T$2:$T$1197&lt;=TODAY()))</f>
        <v>2</v>
      </c>
    </row>
    <row r="65" spans="1:8" x14ac:dyDescent="0.25">
      <c r="A65" s="34" t="s">
        <v>2245</v>
      </c>
      <c r="B65" s="34" t="s">
        <v>2244</v>
      </c>
      <c r="C65" s="36">
        <v>38633</v>
      </c>
      <c r="D65" s="34" t="s">
        <v>3858</v>
      </c>
      <c r="E65" s="34" t="s">
        <v>3864</v>
      </c>
      <c r="F65" s="3">
        <v>44970.041666666701</v>
      </c>
      <c r="G65" s="35">
        <f ca="1">YEAR(TODAY()) - YEAR(F65) - (IF(DATE(YEAR(TODAY()), MONTH(F65), DAY(F65)) &gt; TODAY(), 1, 0))</f>
        <v>2</v>
      </c>
      <c r="H65" s="43" cm="1">
        <f t="array" aca="1" ref="H65" ca="1">SUMPRODUCT((BRON!$A$2:$A$1197=Table1[[#This Row],[Personeelsnummer]])*(BRON!$T$2:$T$1197&gt;=DATE(YEAR(TODAY())-1,MONTH(TODAY()),DAY(TODAY())))*(BRON!$T$2:$T$1197&lt;=TODAY()))</f>
        <v>2</v>
      </c>
    </row>
    <row r="66" spans="1:8" x14ac:dyDescent="0.25">
      <c r="A66" s="34" t="s">
        <v>2390</v>
      </c>
      <c r="B66" s="34" t="s">
        <v>2389</v>
      </c>
      <c r="C66" s="36">
        <v>39014</v>
      </c>
      <c r="D66" s="34" t="s">
        <v>3858</v>
      </c>
      <c r="E66" s="34" t="s">
        <v>3860</v>
      </c>
      <c r="F66" s="3">
        <v>45076.083333333299</v>
      </c>
      <c r="G66" s="35">
        <f ca="1">YEAR(TODAY()) - YEAR(F66) - (IF(DATE(YEAR(TODAY()), MONTH(F66), DAY(F66)) &gt; TODAY(), 1, 0))</f>
        <v>2</v>
      </c>
      <c r="H66" s="43" cm="1">
        <f t="array" aca="1" ref="H66" ca="1">SUMPRODUCT((BRON!$A$2:$A$1197=Table1[[#This Row],[Personeelsnummer]])*(BRON!$T$2:$T$1197&gt;=DATE(YEAR(TODAY())-1,MONTH(TODAY()),DAY(TODAY())))*(BRON!$T$2:$T$1197&lt;=TODAY()))</f>
        <v>2</v>
      </c>
    </row>
    <row r="67" spans="1:8" x14ac:dyDescent="0.25">
      <c r="A67" s="34" t="s">
        <v>2495</v>
      </c>
      <c r="B67" s="34" t="s">
        <v>1964</v>
      </c>
      <c r="C67" s="36">
        <v>38475</v>
      </c>
      <c r="D67" s="34" t="s">
        <v>3858</v>
      </c>
      <c r="E67" s="34" t="s">
        <v>3864</v>
      </c>
      <c r="F67" s="3">
        <v>44942.041666666701</v>
      </c>
      <c r="G67" s="35">
        <f ca="1">YEAR(TODAY()) - YEAR(F67) - (IF(DATE(YEAR(TODAY()), MONTH(F67), DAY(F67)) &gt; TODAY(), 1, 0))</f>
        <v>2</v>
      </c>
      <c r="H67" s="43" cm="1">
        <f t="array" aca="1" ref="H67" ca="1">SUMPRODUCT((BRON!$A$2:$A$1197=Table1[[#This Row],[Personeelsnummer]])*(BRON!$T$2:$T$1197&gt;=DATE(YEAR(TODAY())-1,MONTH(TODAY()),DAY(TODAY())))*(BRON!$T$2:$T$1197&lt;=TODAY()))</f>
        <v>2</v>
      </c>
    </row>
    <row r="68" spans="1:8" x14ac:dyDescent="0.25">
      <c r="A68" s="34" t="s">
        <v>2129</v>
      </c>
      <c r="B68" s="34" t="s">
        <v>2128</v>
      </c>
      <c r="C68" s="36">
        <v>38648</v>
      </c>
      <c r="D68" s="34" t="s">
        <v>3853</v>
      </c>
      <c r="E68" s="34" t="s">
        <v>3861</v>
      </c>
      <c r="F68" s="3">
        <v>45027.083333333299</v>
      </c>
      <c r="G68" s="35">
        <f ca="1">YEAR(TODAY()) - YEAR(F68) - (IF(DATE(YEAR(TODAY()), MONTH(F68), DAY(F68)) &gt; TODAY(), 1, 0))</f>
        <v>2</v>
      </c>
      <c r="H68" s="43" cm="1">
        <f t="array" aca="1" ref="H68" ca="1">SUMPRODUCT((BRON!$A$2:$A$1197=Table1[[#This Row],[Personeelsnummer]])*(BRON!$T$2:$T$1197&gt;=DATE(YEAR(TODAY())-1,MONTH(TODAY()),DAY(TODAY())))*(BRON!$T$2:$T$1197&lt;=TODAY()))</f>
        <v>2</v>
      </c>
    </row>
    <row r="69" spans="1:8" x14ac:dyDescent="0.25">
      <c r="A69" s="34" t="s">
        <v>2584</v>
      </c>
      <c r="B69" s="34" t="s">
        <v>2583</v>
      </c>
      <c r="C69" s="36">
        <v>39358</v>
      </c>
      <c r="D69" s="34" t="s">
        <v>3858</v>
      </c>
      <c r="E69" s="34" t="s">
        <v>3859</v>
      </c>
      <c r="F69" s="3">
        <v>45124.083333333299</v>
      </c>
      <c r="G69" s="35">
        <f ca="1">YEAR(TODAY()) - YEAR(F69) - (IF(DATE(YEAR(TODAY()), MONTH(F69), DAY(F69)) &gt; TODAY(), 1, 0))</f>
        <v>2</v>
      </c>
      <c r="H69" s="43" cm="1">
        <f t="array" aca="1" ref="H69" ca="1">SUMPRODUCT((BRON!$A$2:$A$1197=Table1[[#This Row],[Personeelsnummer]])*(BRON!$T$2:$T$1197&gt;=DATE(YEAR(TODAY())-1,MONTH(TODAY()),DAY(TODAY())))*(BRON!$T$2:$T$1197&lt;=TODAY()))</f>
        <v>2</v>
      </c>
    </row>
    <row r="70" spans="1:8" x14ac:dyDescent="0.25">
      <c r="A70" s="34" t="s">
        <v>2370</v>
      </c>
      <c r="B70" s="34" t="s">
        <v>2369</v>
      </c>
      <c r="C70" s="36">
        <v>39581</v>
      </c>
      <c r="D70" s="34" t="s">
        <v>3858</v>
      </c>
      <c r="E70" s="34" t="s">
        <v>3864</v>
      </c>
      <c r="F70" s="3">
        <v>45194.083333333299</v>
      </c>
      <c r="G70" s="35">
        <f ca="1">YEAR(TODAY()) - YEAR(F70) - (IF(DATE(YEAR(TODAY()), MONTH(F70), DAY(F70)) &gt; TODAY(), 1, 0))</f>
        <v>2</v>
      </c>
      <c r="H70" s="43" cm="1">
        <f t="array" aca="1" ref="H70" ca="1">SUMPRODUCT((BRON!$A$2:$A$1197=Table1[[#This Row],[Personeelsnummer]])*(BRON!$T$2:$T$1197&gt;=DATE(YEAR(TODAY())-1,MONTH(TODAY()),DAY(TODAY())))*(BRON!$T$2:$T$1197&lt;=TODAY()))</f>
        <v>2</v>
      </c>
    </row>
    <row r="71" spans="1:8" x14ac:dyDescent="0.25">
      <c r="A71" s="34" t="s">
        <v>2030</v>
      </c>
      <c r="B71" s="34" t="s">
        <v>2029</v>
      </c>
      <c r="C71" s="36">
        <v>39532</v>
      </c>
      <c r="D71" s="34" t="s">
        <v>3853</v>
      </c>
      <c r="E71" s="34" t="s">
        <v>3859</v>
      </c>
      <c r="F71" s="3">
        <v>45208.083333333299</v>
      </c>
      <c r="G71" s="35">
        <f ca="1">YEAR(TODAY()) - YEAR(F71) - (IF(DATE(YEAR(TODAY()), MONTH(F71), DAY(F71)) &gt; TODAY(), 1, 0))</f>
        <v>2</v>
      </c>
      <c r="H71" s="43" cm="1">
        <f t="array" aca="1" ref="H71" ca="1">SUMPRODUCT((BRON!$A$2:$A$1197=Table1[[#This Row],[Personeelsnummer]])*(BRON!$T$2:$T$1197&gt;=DATE(YEAR(TODAY())-1,MONTH(TODAY()),DAY(TODAY())))*(BRON!$T$2:$T$1197&lt;=TODAY()))</f>
        <v>2</v>
      </c>
    </row>
    <row r="72" spans="1:8" x14ac:dyDescent="0.25">
      <c r="A72" s="34" t="s">
        <v>2762</v>
      </c>
      <c r="B72" s="34" t="s">
        <v>2761</v>
      </c>
      <c r="C72" s="36">
        <v>38938</v>
      </c>
      <c r="D72" s="34" t="s">
        <v>3853</v>
      </c>
      <c r="E72" s="34" t="s">
        <v>3861</v>
      </c>
      <c r="F72" s="3">
        <v>45061.083333333299</v>
      </c>
      <c r="G72" s="35">
        <f ca="1">YEAR(TODAY()) - YEAR(F72) - (IF(DATE(YEAR(TODAY()), MONTH(F72), DAY(F72)) &gt; TODAY(), 1, 0))</f>
        <v>2</v>
      </c>
      <c r="H72" s="43" cm="1">
        <f t="array" aca="1" ref="H72" ca="1">SUMPRODUCT((BRON!$A$2:$A$1197=Table1[[#This Row],[Personeelsnummer]])*(BRON!$T$2:$T$1197&gt;=DATE(YEAR(TODAY())-1,MONTH(TODAY()),DAY(TODAY())))*(BRON!$T$2:$T$1197&lt;=TODAY()))</f>
        <v>5</v>
      </c>
    </row>
    <row r="73" spans="1:8" x14ac:dyDescent="0.25">
      <c r="A73" s="34" t="s">
        <v>2133</v>
      </c>
      <c r="B73" s="34" t="s">
        <v>2132</v>
      </c>
      <c r="C73" s="36">
        <v>39779</v>
      </c>
      <c r="D73" s="34" t="s">
        <v>3858</v>
      </c>
      <c r="E73" s="34" t="s">
        <v>3860</v>
      </c>
      <c r="F73" s="3">
        <v>45250.041666666701</v>
      </c>
      <c r="G73" s="35">
        <f ca="1">YEAR(TODAY()) - YEAR(F73) - (IF(DATE(YEAR(TODAY()), MONTH(F73), DAY(F73)) &gt; TODAY(), 1, 0))</f>
        <v>2</v>
      </c>
      <c r="H73" s="43" cm="1">
        <f t="array" aca="1" ref="H73" ca="1">SUMPRODUCT((BRON!$A$2:$A$1197=Table1[[#This Row],[Personeelsnummer]])*(BRON!$T$2:$T$1197&gt;=DATE(YEAR(TODAY())-1,MONTH(TODAY()),DAY(TODAY())))*(BRON!$T$2:$T$1197&lt;=TODAY()))</f>
        <v>2</v>
      </c>
    </row>
    <row r="74" spans="1:8" x14ac:dyDescent="0.25">
      <c r="A74" s="34" t="s">
        <v>2917</v>
      </c>
      <c r="B74" s="34" t="s">
        <v>2916</v>
      </c>
      <c r="C74" s="36">
        <v>37132</v>
      </c>
      <c r="D74" s="34" t="s">
        <v>3853</v>
      </c>
      <c r="E74" s="34" t="s">
        <v>3866</v>
      </c>
      <c r="F74" s="3">
        <v>44599.041666666701</v>
      </c>
      <c r="G74" s="35">
        <f ca="1">YEAR(TODAY()) - YEAR(F74) - (IF(DATE(YEAR(TODAY()), MONTH(F74), DAY(F74)) &gt; TODAY(), 1, 0))</f>
        <v>3</v>
      </c>
      <c r="H74" s="43" cm="1">
        <f t="array" aca="1" ref="H74" ca="1">SUMPRODUCT((BRON!$A$2:$A$1197=Table1[[#This Row],[Personeelsnummer]])*(BRON!$T$2:$T$1197&gt;=DATE(YEAR(TODAY())-1,MONTH(TODAY()),DAY(TODAY())))*(BRON!$T$2:$T$1197&lt;=TODAY()))</f>
        <v>2</v>
      </c>
    </row>
    <row r="75" spans="1:8" x14ac:dyDescent="0.25">
      <c r="A75" s="34" t="s">
        <v>1869</v>
      </c>
      <c r="B75" s="34" t="s">
        <v>1868</v>
      </c>
      <c r="C75" s="36">
        <v>37345</v>
      </c>
      <c r="D75" s="34" t="s">
        <v>3853</v>
      </c>
      <c r="E75" s="34" t="s">
        <v>3861</v>
      </c>
      <c r="F75" s="3">
        <v>44655.083333333299</v>
      </c>
      <c r="G75" s="35">
        <f ca="1">YEAR(TODAY()) - YEAR(F75) - (IF(DATE(YEAR(TODAY()), MONTH(F75), DAY(F75)) &gt; TODAY(), 1, 0))</f>
        <v>3</v>
      </c>
      <c r="H75" s="43" cm="1">
        <f t="array" aca="1" ref="H75" ca="1">SUMPRODUCT((BRON!$A$2:$A$1197=Table1[[#This Row],[Personeelsnummer]])*(BRON!$T$2:$T$1197&gt;=DATE(YEAR(TODAY())-1,MONTH(TODAY()),DAY(TODAY())))*(BRON!$T$2:$T$1197&lt;=TODAY()))</f>
        <v>2</v>
      </c>
    </row>
    <row r="76" spans="1:8" x14ac:dyDescent="0.25">
      <c r="A76" s="34" t="s">
        <v>1797</v>
      </c>
      <c r="B76" s="34" t="s">
        <v>1796</v>
      </c>
      <c r="C76" s="36">
        <v>37509</v>
      </c>
      <c r="D76" s="34" t="s">
        <v>3853</v>
      </c>
      <c r="E76" s="34" t="s">
        <v>3860</v>
      </c>
      <c r="F76" s="3">
        <v>44670.083333333299</v>
      </c>
      <c r="G76" s="35">
        <f ca="1">YEAR(TODAY()) - YEAR(F76) - (IF(DATE(YEAR(TODAY()), MONTH(F76), DAY(F76)) &gt; TODAY(), 1, 0))</f>
        <v>3</v>
      </c>
      <c r="H76" s="43" cm="1">
        <f t="array" aca="1" ref="H76" ca="1">SUMPRODUCT((BRON!$A$2:$A$1197=Table1[[#This Row],[Personeelsnummer]])*(BRON!$T$2:$T$1197&gt;=DATE(YEAR(TODAY())-1,MONTH(TODAY()),DAY(TODAY())))*(BRON!$T$2:$T$1197&lt;=TODAY()))</f>
        <v>2</v>
      </c>
    </row>
    <row r="77" spans="1:8" x14ac:dyDescent="0.25">
      <c r="A77" s="34" t="s">
        <v>1474</v>
      </c>
      <c r="B77" s="34" t="s">
        <v>1473</v>
      </c>
      <c r="C77" s="36">
        <v>37496</v>
      </c>
      <c r="D77" s="34" t="s">
        <v>3853</v>
      </c>
      <c r="E77" s="34" t="s">
        <v>3866</v>
      </c>
      <c r="F77" s="3">
        <v>44700.083333333299</v>
      </c>
      <c r="G77" s="35">
        <f ca="1">YEAR(TODAY()) - YEAR(F77) - (IF(DATE(YEAR(TODAY()), MONTH(F77), DAY(F77)) &gt; TODAY(), 1, 0))</f>
        <v>3</v>
      </c>
      <c r="H77" s="43" cm="1">
        <f t="array" aca="1" ref="H77" ca="1">SUMPRODUCT((BRON!$A$2:$A$1197=Table1[[#This Row],[Personeelsnummer]])*(BRON!$T$2:$T$1197&gt;=DATE(YEAR(TODAY())-1,MONTH(TODAY()),DAY(TODAY())))*(BRON!$T$2:$T$1197&lt;=TODAY()))</f>
        <v>2</v>
      </c>
    </row>
    <row r="78" spans="1:8" x14ac:dyDescent="0.25">
      <c r="A78" s="34" t="s">
        <v>3228</v>
      </c>
      <c r="B78" s="34" t="s">
        <v>3227</v>
      </c>
      <c r="C78" s="36">
        <v>37543</v>
      </c>
      <c r="D78" s="34" t="s">
        <v>3858</v>
      </c>
      <c r="E78" s="34" t="s">
        <v>3854</v>
      </c>
      <c r="F78" s="3">
        <v>44683.083333333299</v>
      </c>
      <c r="G78" s="35">
        <f ca="1">YEAR(TODAY()) - YEAR(F78) - (IF(DATE(YEAR(TODAY()), MONTH(F78), DAY(F78)) &gt; TODAY(), 1, 0))</f>
        <v>3</v>
      </c>
      <c r="H78" s="43" cm="1">
        <f t="array" aca="1" ref="H78" ca="1">SUMPRODUCT((BRON!$A$2:$A$1197=Table1[[#This Row],[Personeelsnummer]])*(BRON!$T$2:$T$1197&gt;=DATE(YEAR(TODAY())-1,MONTH(TODAY()),DAY(TODAY())))*(BRON!$T$2:$T$1197&lt;=TODAY()))</f>
        <v>2</v>
      </c>
    </row>
    <row r="79" spans="1:8" x14ac:dyDescent="0.25">
      <c r="A79" s="34" t="s">
        <v>1647</v>
      </c>
      <c r="B79" s="34" t="s">
        <v>1646</v>
      </c>
      <c r="C79" s="36">
        <v>36289</v>
      </c>
      <c r="D79" s="34" t="s">
        <v>3853</v>
      </c>
      <c r="E79" s="34" t="s">
        <v>3863</v>
      </c>
      <c r="F79" s="3">
        <v>44284.083333333299</v>
      </c>
      <c r="G79" s="35">
        <f ca="1">YEAR(TODAY()) - YEAR(F79) - (IF(DATE(YEAR(TODAY()), MONTH(F79), DAY(F79)) &gt; TODAY(), 1, 0))</f>
        <v>4</v>
      </c>
      <c r="H79" s="43" cm="1">
        <f t="array" aca="1" ref="H79" ca="1">SUMPRODUCT((BRON!$A$2:$A$1197=Table1[[#This Row],[Personeelsnummer]])*(BRON!$T$2:$T$1197&gt;=DATE(YEAR(TODAY())-1,MONTH(TODAY()),DAY(TODAY())))*(BRON!$T$2:$T$1197&lt;=TODAY()))</f>
        <v>2</v>
      </c>
    </row>
    <row r="80" spans="1:8" x14ac:dyDescent="0.25">
      <c r="A80" s="34" t="s">
        <v>3220</v>
      </c>
      <c r="B80" s="34" t="s">
        <v>3219</v>
      </c>
      <c r="C80" s="36">
        <v>36438</v>
      </c>
      <c r="D80" s="34" t="s">
        <v>3853</v>
      </c>
      <c r="E80" s="34" t="s">
        <v>3860</v>
      </c>
      <c r="F80" s="3">
        <v>44298.083333333299</v>
      </c>
      <c r="G80" s="35">
        <f ca="1">YEAR(TODAY()) - YEAR(F80) - (IF(DATE(YEAR(TODAY()), MONTH(F80), DAY(F80)) &gt; TODAY(), 1, 0))</f>
        <v>4</v>
      </c>
      <c r="H80" s="43" cm="1">
        <f t="array" aca="1" ref="H80" ca="1">SUMPRODUCT((BRON!$A$2:$A$1197=Table1[[#This Row],[Personeelsnummer]])*(BRON!$T$2:$T$1197&gt;=DATE(YEAR(TODAY())-1,MONTH(TODAY()),DAY(TODAY())))*(BRON!$T$2:$T$1197&lt;=TODAY()))</f>
        <v>3</v>
      </c>
    </row>
    <row r="81" spans="1:8" x14ac:dyDescent="0.25">
      <c r="A81" s="34" t="s">
        <v>3195</v>
      </c>
      <c r="B81" s="34" t="s">
        <v>3194</v>
      </c>
      <c r="C81" s="36">
        <v>36512</v>
      </c>
      <c r="D81" s="34" t="s">
        <v>3853</v>
      </c>
      <c r="E81" s="34" t="s">
        <v>3865</v>
      </c>
      <c r="F81" s="3">
        <v>44333.083333333299</v>
      </c>
      <c r="G81" s="35">
        <f ca="1">YEAR(TODAY()) - YEAR(F81) - (IF(DATE(YEAR(TODAY()), MONTH(F81), DAY(F81)) &gt; TODAY(), 1, 0))</f>
        <v>4</v>
      </c>
      <c r="H81" s="43" cm="1">
        <f t="array" aca="1" ref="H81" ca="1">SUMPRODUCT((BRON!$A$2:$A$1197=Table1[[#This Row],[Personeelsnummer]])*(BRON!$T$2:$T$1197&gt;=DATE(YEAR(TODAY())-1,MONTH(TODAY()),DAY(TODAY())))*(BRON!$T$2:$T$1197&lt;=TODAY()))</f>
        <v>2</v>
      </c>
    </row>
    <row r="82" spans="1:8" x14ac:dyDescent="0.25">
      <c r="A82" s="34" t="s">
        <v>2702</v>
      </c>
      <c r="B82" s="34" t="s">
        <v>2701</v>
      </c>
      <c r="C82" s="36">
        <v>36635</v>
      </c>
      <c r="D82" s="34" t="s">
        <v>3853</v>
      </c>
      <c r="E82" s="34" t="s">
        <v>3854</v>
      </c>
      <c r="F82" s="3">
        <v>44417.083333333299</v>
      </c>
      <c r="G82" s="35">
        <f ca="1">YEAR(TODAY()) - YEAR(F82) - (IF(DATE(YEAR(TODAY()), MONTH(F82), DAY(F82)) &gt; TODAY(), 1, 0))</f>
        <v>4</v>
      </c>
      <c r="H82" s="43" cm="1">
        <f t="array" aca="1" ref="H82" ca="1">SUMPRODUCT((BRON!$A$2:$A$1197=Table1[[#This Row],[Personeelsnummer]])*(BRON!$T$2:$T$1197&gt;=DATE(YEAR(TODAY())-1,MONTH(TODAY()),DAY(TODAY())))*(BRON!$T$2:$T$1197&lt;=TODAY()))</f>
        <v>2</v>
      </c>
    </row>
    <row r="83" spans="1:8" x14ac:dyDescent="0.25">
      <c r="A83" s="34" t="s">
        <v>2405</v>
      </c>
      <c r="B83" s="34" t="s">
        <v>3070</v>
      </c>
      <c r="C83" s="36">
        <v>36627</v>
      </c>
      <c r="D83" s="34" t="s">
        <v>3853</v>
      </c>
      <c r="E83" s="34" t="s">
        <v>3864</v>
      </c>
      <c r="F83" s="3">
        <v>44384.083333333299</v>
      </c>
      <c r="G83" s="35">
        <f ca="1">YEAR(TODAY()) - YEAR(F83) - (IF(DATE(YEAR(TODAY()), MONTH(F83), DAY(F83)) &gt; TODAY(), 1, 0))</f>
        <v>4</v>
      </c>
      <c r="H83" s="43" cm="1">
        <f t="array" aca="1" ref="H83" ca="1">SUMPRODUCT((BRON!$A$2:$A$1197=Table1[[#This Row],[Personeelsnummer]])*(BRON!$T$2:$T$1197&gt;=DATE(YEAR(TODAY())-1,MONTH(TODAY()),DAY(TODAY())))*(BRON!$T$2:$T$1197&lt;=TODAY()))</f>
        <v>2</v>
      </c>
    </row>
    <row r="84" spans="1:8" x14ac:dyDescent="0.25">
      <c r="A84" s="34" t="s">
        <v>2524</v>
      </c>
      <c r="B84" s="34" t="s">
        <v>2523</v>
      </c>
      <c r="C84" s="36">
        <v>36626</v>
      </c>
      <c r="D84" s="34" t="s">
        <v>3853</v>
      </c>
      <c r="E84" s="34" t="s">
        <v>3864</v>
      </c>
      <c r="F84" s="3">
        <v>44389.083333333299</v>
      </c>
      <c r="G84" s="35">
        <f ca="1">YEAR(TODAY()) - YEAR(F84) - (IF(DATE(YEAR(TODAY()), MONTH(F84), DAY(F84)) &gt; TODAY(), 1, 0))</f>
        <v>4</v>
      </c>
      <c r="H84" s="43" cm="1">
        <f t="array" aca="1" ref="H84" ca="1">SUMPRODUCT((BRON!$A$2:$A$1197=Table1[[#This Row],[Personeelsnummer]])*(BRON!$T$2:$T$1197&gt;=DATE(YEAR(TODAY())-1,MONTH(TODAY()),DAY(TODAY())))*(BRON!$T$2:$T$1197&lt;=TODAY()))</f>
        <v>2</v>
      </c>
    </row>
    <row r="85" spans="1:8" x14ac:dyDescent="0.25">
      <c r="A85" s="34" t="s">
        <v>3408</v>
      </c>
      <c r="B85" s="34" t="s">
        <v>3407</v>
      </c>
      <c r="C85" s="36">
        <v>35397</v>
      </c>
      <c r="D85" s="34" t="s">
        <v>3853</v>
      </c>
      <c r="E85" s="34" t="s">
        <v>3861</v>
      </c>
      <c r="F85" s="3">
        <v>43984.083333333299</v>
      </c>
      <c r="G85" s="35">
        <f ca="1">YEAR(TODAY()) - YEAR(F85) - (IF(DATE(YEAR(TODAY()), MONTH(F85), DAY(F85)) &gt; TODAY(), 1, 0))</f>
        <v>5</v>
      </c>
      <c r="H85" s="43" cm="1">
        <f t="array" aca="1" ref="H85" ca="1">SUMPRODUCT((BRON!$A$2:$A$1197=Table1[[#This Row],[Personeelsnummer]])*(BRON!$T$2:$T$1197&gt;=DATE(YEAR(TODAY())-1,MONTH(TODAY()),DAY(TODAY())))*(BRON!$T$2:$T$1197&lt;=TODAY()))</f>
        <v>2</v>
      </c>
    </row>
    <row r="86" spans="1:8" x14ac:dyDescent="0.25">
      <c r="A86" s="34" t="s">
        <v>1394</v>
      </c>
      <c r="B86" s="34" t="s">
        <v>1393</v>
      </c>
      <c r="C86" s="36">
        <v>35491</v>
      </c>
      <c r="D86" s="34" t="s">
        <v>3858</v>
      </c>
      <c r="E86" s="34" t="s">
        <v>3863</v>
      </c>
      <c r="F86" s="3">
        <v>44025.083333333299</v>
      </c>
      <c r="G86" s="35">
        <f ca="1">YEAR(TODAY()) - YEAR(F86) - (IF(DATE(YEAR(TODAY()), MONTH(F86), DAY(F86)) &gt; TODAY(), 1, 0))</f>
        <v>5</v>
      </c>
      <c r="H86" s="43" cm="1">
        <f t="array" aca="1" ref="H86" ca="1">SUMPRODUCT((BRON!$A$2:$A$1197=Table1[[#This Row],[Personeelsnummer]])*(BRON!$T$2:$T$1197&gt;=DATE(YEAR(TODAY())-1,MONTH(TODAY()),DAY(TODAY())))*(BRON!$T$2:$T$1197&lt;=TODAY()))</f>
        <v>2</v>
      </c>
    </row>
    <row r="87" spans="1:8" x14ac:dyDescent="0.25">
      <c r="A87" s="34" t="s">
        <v>2841</v>
      </c>
      <c r="B87" s="34" t="s">
        <v>2840</v>
      </c>
      <c r="C87" s="36">
        <v>36021</v>
      </c>
      <c r="D87" s="34" t="s">
        <v>3858</v>
      </c>
      <c r="E87" s="34" t="s">
        <v>3861</v>
      </c>
      <c r="F87" s="3">
        <v>44151.041666666701</v>
      </c>
      <c r="G87" s="35">
        <f ca="1">YEAR(TODAY()) - YEAR(F87) - (IF(DATE(YEAR(TODAY()), MONTH(F87), DAY(F87)) &gt; TODAY(), 1, 0))</f>
        <v>5</v>
      </c>
      <c r="H87" s="43" cm="1">
        <f t="array" aca="1" ref="H87" ca="1">SUMPRODUCT((BRON!$A$2:$A$1197=Table1[[#This Row],[Personeelsnummer]])*(BRON!$T$2:$T$1197&gt;=DATE(YEAR(TODAY())-1,MONTH(TODAY()),DAY(TODAY())))*(BRON!$T$2:$T$1197&lt;=TODAY()))</f>
        <v>2</v>
      </c>
    </row>
    <row r="88" spans="1:8" x14ac:dyDescent="0.25">
      <c r="A88" s="34" t="s">
        <v>2792</v>
      </c>
      <c r="B88" s="34" t="s">
        <v>2068</v>
      </c>
      <c r="C88" s="36">
        <v>35588</v>
      </c>
      <c r="D88" s="34" t="s">
        <v>3853</v>
      </c>
      <c r="E88" s="34" t="s">
        <v>3861</v>
      </c>
      <c r="F88" s="3">
        <v>44039.083333333299</v>
      </c>
      <c r="G88" s="35">
        <f ca="1">YEAR(TODAY()) - YEAR(F88) - (IF(DATE(YEAR(TODAY()), MONTH(F88), DAY(F88)) &gt; TODAY(), 1, 0))</f>
        <v>5</v>
      </c>
      <c r="H88" s="43" cm="1">
        <f t="array" aca="1" ref="H88" ca="1">SUMPRODUCT((BRON!$A$2:$A$1197=Table1[[#This Row],[Personeelsnummer]])*(BRON!$T$2:$T$1197&gt;=DATE(YEAR(TODAY())-1,MONTH(TODAY()),DAY(TODAY())))*(BRON!$T$2:$T$1197&lt;=TODAY()))</f>
        <v>2</v>
      </c>
    </row>
    <row r="89" spans="1:8" x14ac:dyDescent="0.25">
      <c r="A89" s="34" t="s">
        <v>2007</v>
      </c>
      <c r="B89" s="34" t="s">
        <v>2006</v>
      </c>
      <c r="C89" s="36">
        <v>32611</v>
      </c>
      <c r="D89" s="34" t="s">
        <v>3853</v>
      </c>
      <c r="E89" s="34" t="s">
        <v>3854</v>
      </c>
      <c r="F89" s="3">
        <v>43178.041666666701</v>
      </c>
      <c r="G89" s="35">
        <f ca="1">YEAR(TODAY()) - YEAR(F89) - (IF(DATE(YEAR(TODAY()), MONTH(F89), DAY(F89)) &gt; TODAY(), 1, 0))</f>
        <v>7</v>
      </c>
      <c r="H89" s="43" cm="1">
        <f t="array" aca="1" ref="H89" ca="1">SUMPRODUCT((BRON!$A$2:$A$1197=Table1[[#This Row],[Personeelsnummer]])*(BRON!$T$2:$T$1197&gt;=DATE(YEAR(TODAY())-1,MONTH(TODAY()),DAY(TODAY())))*(BRON!$T$2:$T$1197&lt;=TODAY()))</f>
        <v>2</v>
      </c>
    </row>
    <row r="90" spans="1:8" x14ac:dyDescent="0.25">
      <c r="A90" s="34" t="s">
        <v>2964</v>
      </c>
      <c r="B90" s="34" t="s">
        <v>2963</v>
      </c>
      <c r="C90" s="36">
        <v>32620</v>
      </c>
      <c r="D90" s="34" t="s">
        <v>3853</v>
      </c>
      <c r="E90" s="34" t="s">
        <v>3863</v>
      </c>
      <c r="F90" s="3">
        <v>43193.083333333299</v>
      </c>
      <c r="G90" s="35">
        <f ca="1">YEAR(TODAY()) - YEAR(F90) - (IF(DATE(YEAR(TODAY()), MONTH(F90), DAY(F90)) &gt; TODAY(), 1, 0))</f>
        <v>7</v>
      </c>
      <c r="H90" s="43" cm="1">
        <f t="array" aca="1" ref="H90" ca="1">SUMPRODUCT((BRON!$A$2:$A$1197=Table1[[#This Row],[Personeelsnummer]])*(BRON!$T$2:$T$1197&gt;=DATE(YEAR(TODAY())-1,MONTH(TODAY()),DAY(TODAY())))*(BRON!$T$2:$T$1197&lt;=TODAY()))</f>
        <v>2</v>
      </c>
    </row>
    <row r="91" spans="1:8" x14ac:dyDescent="0.25">
      <c r="A91" s="34" t="s">
        <v>2737</v>
      </c>
      <c r="B91" s="34" t="s">
        <v>2736</v>
      </c>
      <c r="C91" s="36">
        <v>32002</v>
      </c>
      <c r="D91" s="34" t="s">
        <v>3853</v>
      </c>
      <c r="E91" s="34" t="s">
        <v>3865</v>
      </c>
      <c r="F91" s="3">
        <v>42989.083333333299</v>
      </c>
      <c r="G91" s="35">
        <f ca="1">YEAR(TODAY()) - YEAR(F91) - (IF(DATE(YEAR(TODAY()), MONTH(F91), DAY(F91)) &gt; TODAY(), 1, 0))</f>
        <v>8</v>
      </c>
      <c r="H91" s="43" cm="1">
        <f t="array" aca="1" ref="H91" ca="1">SUMPRODUCT((BRON!$A$2:$A$1197=Table1[[#This Row],[Personeelsnummer]])*(BRON!$T$2:$T$1197&gt;=DATE(YEAR(TODAY())-1,MONTH(TODAY()),DAY(TODAY())))*(BRON!$T$2:$T$1197&lt;=TODAY()))</f>
        <v>2</v>
      </c>
    </row>
    <row r="92" spans="1:8" x14ac:dyDescent="0.25">
      <c r="A92" s="34" t="s">
        <v>2890</v>
      </c>
      <c r="B92" s="34" t="s">
        <v>2666</v>
      </c>
      <c r="C92" s="36">
        <v>31360</v>
      </c>
      <c r="D92" s="34" t="s">
        <v>3853</v>
      </c>
      <c r="E92" s="34" t="s">
        <v>3866</v>
      </c>
      <c r="F92" s="3">
        <v>42744.041666666701</v>
      </c>
      <c r="G92" s="35">
        <f ca="1">YEAR(TODAY()) - YEAR(F92) - (IF(DATE(YEAR(TODAY()), MONTH(F92), DAY(F92)) &gt; TODAY(), 1, 0))</f>
        <v>8</v>
      </c>
      <c r="H92" s="43" cm="1">
        <f t="array" aca="1" ref="H92" ca="1">SUMPRODUCT((BRON!$A$2:$A$1197=Table1[[#This Row],[Personeelsnummer]])*(BRON!$T$2:$T$1197&gt;=DATE(YEAR(TODAY())-1,MONTH(TODAY()),DAY(TODAY())))*(BRON!$T$2:$T$1197&lt;=TODAY()))</f>
        <v>2</v>
      </c>
    </row>
    <row r="93" spans="1:8" x14ac:dyDescent="0.25">
      <c r="A93" s="34" t="s">
        <v>2232</v>
      </c>
      <c r="B93" s="34" t="s">
        <v>2231</v>
      </c>
      <c r="C93" s="36">
        <v>31668</v>
      </c>
      <c r="D93" s="34" t="s">
        <v>3858</v>
      </c>
      <c r="E93" s="34" t="s">
        <v>3866</v>
      </c>
      <c r="F93" s="3">
        <v>42877.083333333299</v>
      </c>
      <c r="G93" s="35">
        <f ca="1">YEAR(TODAY()) - YEAR(F93) - (IF(DATE(YEAR(TODAY()), MONTH(F93), DAY(F93)) &gt; TODAY(), 1, 0))</f>
        <v>8</v>
      </c>
      <c r="H93" s="43" cm="1">
        <f t="array" aca="1" ref="H93" ca="1">SUMPRODUCT((BRON!$A$2:$A$1197=Table1[[#This Row],[Personeelsnummer]])*(BRON!$T$2:$T$1197&gt;=DATE(YEAR(TODAY())-1,MONTH(TODAY()),DAY(TODAY())))*(BRON!$T$2:$T$1197&lt;=TODAY()))</f>
        <v>2</v>
      </c>
    </row>
    <row r="94" spans="1:8" x14ac:dyDescent="0.25">
      <c r="A94" s="34" t="s">
        <v>1343</v>
      </c>
      <c r="B94" s="34" t="s">
        <v>2191</v>
      </c>
      <c r="C94" s="36">
        <v>31118</v>
      </c>
      <c r="D94" s="34" t="s">
        <v>3858</v>
      </c>
      <c r="E94" s="34" t="s">
        <v>3864</v>
      </c>
      <c r="F94" s="3">
        <v>42618.083333333299</v>
      </c>
      <c r="G94" s="35">
        <f ca="1">YEAR(TODAY()) - YEAR(F94) - (IF(DATE(YEAR(TODAY()), MONTH(F94), DAY(F94)) &gt; TODAY(), 1, 0))</f>
        <v>9</v>
      </c>
      <c r="H94" s="43" cm="1">
        <f t="array" aca="1" ref="H94" ca="1">SUMPRODUCT((BRON!$A$2:$A$1197=Table1[[#This Row],[Personeelsnummer]])*(BRON!$T$2:$T$1197&gt;=DATE(YEAR(TODAY())-1,MONTH(TODAY()),DAY(TODAY())))*(BRON!$T$2:$T$1197&lt;=TODAY()))</f>
        <v>2</v>
      </c>
    </row>
    <row r="95" spans="1:8" x14ac:dyDescent="0.25">
      <c r="A95" s="34" t="s">
        <v>2890</v>
      </c>
      <c r="B95" s="34" t="s">
        <v>2893</v>
      </c>
      <c r="C95" s="36">
        <v>30967</v>
      </c>
      <c r="D95" s="34" t="s">
        <v>3853</v>
      </c>
      <c r="E95" s="34" t="s">
        <v>3866</v>
      </c>
      <c r="F95" s="3">
        <v>42548.083333333299</v>
      </c>
      <c r="G95" s="35">
        <f ca="1">YEAR(TODAY()) - YEAR(F95) - (IF(DATE(YEAR(TODAY()), MONTH(F95), DAY(F95)) &gt; TODAY(), 1, 0))</f>
        <v>9</v>
      </c>
      <c r="H95" s="43" cm="1">
        <f t="array" aca="1" ref="H95" ca="1">SUMPRODUCT((BRON!$A$2:$A$1197=Table1[[#This Row],[Personeelsnummer]])*(BRON!$T$2:$T$1197&gt;=DATE(YEAR(TODAY())-1,MONTH(TODAY()),DAY(TODAY())))*(BRON!$T$2:$T$1197&lt;=TODAY()))</f>
        <v>2</v>
      </c>
    </row>
    <row r="96" spans="1:8" x14ac:dyDescent="0.25">
      <c r="A96" s="34" t="s">
        <v>2019</v>
      </c>
      <c r="B96" s="34" t="s">
        <v>2018</v>
      </c>
      <c r="C96" s="36">
        <v>28910</v>
      </c>
      <c r="D96" s="34" t="s">
        <v>3858</v>
      </c>
      <c r="E96" s="34" t="s">
        <v>3860</v>
      </c>
      <c r="F96" s="3">
        <v>41743.083333333299</v>
      </c>
      <c r="G96" s="35">
        <f ca="1">YEAR(TODAY()) - YEAR(F96) - (IF(DATE(YEAR(TODAY()), MONTH(F96), DAY(F96)) &gt; TODAY(), 1, 0))</f>
        <v>11</v>
      </c>
      <c r="H96" s="43" cm="1">
        <f t="array" aca="1" ref="H96" ca="1">SUMPRODUCT((BRON!$A$2:$A$1197=Table1[[#This Row],[Personeelsnummer]])*(BRON!$T$2:$T$1197&gt;=DATE(YEAR(TODAY())-1,MONTH(TODAY()),DAY(TODAY())))*(BRON!$T$2:$T$1197&lt;=TODAY()))</f>
        <v>2</v>
      </c>
    </row>
    <row r="97" spans="1:8" x14ac:dyDescent="0.25">
      <c r="A97" s="34" t="s">
        <v>1328</v>
      </c>
      <c r="B97" s="34" t="s">
        <v>1637</v>
      </c>
      <c r="C97" s="36">
        <v>27209</v>
      </c>
      <c r="D97" s="34" t="s">
        <v>3853</v>
      </c>
      <c r="E97" s="34" t="s">
        <v>3864</v>
      </c>
      <c r="F97" s="3">
        <v>40973.041666666701</v>
      </c>
      <c r="G97" s="35">
        <f ca="1">YEAR(TODAY()) - YEAR(F97) - (IF(DATE(YEAR(TODAY()), MONTH(F97), DAY(F97)) &gt; TODAY(), 1, 0))</f>
        <v>13</v>
      </c>
      <c r="H97" s="43" cm="1">
        <f t="array" aca="1" ref="H97" ca="1">SUMPRODUCT((BRON!$A$2:$A$1197=Table1[[#This Row],[Personeelsnummer]])*(BRON!$T$2:$T$1197&gt;=DATE(YEAR(TODAY())-1,MONTH(TODAY()),DAY(TODAY())))*(BRON!$T$2:$T$1197&lt;=TODAY()))</f>
        <v>2</v>
      </c>
    </row>
    <row r="98" spans="1:8" x14ac:dyDescent="0.25">
      <c r="A98" s="34" t="s">
        <v>2148</v>
      </c>
      <c r="B98" s="34" t="s">
        <v>1393</v>
      </c>
      <c r="C98" s="36">
        <v>26960</v>
      </c>
      <c r="D98" s="34" t="s">
        <v>3858</v>
      </c>
      <c r="E98" s="34" t="s">
        <v>3863</v>
      </c>
      <c r="F98" s="3">
        <v>40861.041666666701</v>
      </c>
      <c r="G98" s="35">
        <f ca="1">YEAR(TODAY()) - YEAR(F98) - (IF(DATE(YEAR(TODAY()), MONTH(F98), DAY(F98)) &gt; TODAY(), 1, 0))</f>
        <v>14</v>
      </c>
      <c r="H98" s="43" cm="1">
        <f t="array" aca="1" ref="H98" ca="1">SUMPRODUCT((BRON!$A$2:$A$1197=Table1[[#This Row],[Personeelsnummer]])*(BRON!$T$2:$T$1197&gt;=DATE(YEAR(TODAY())-1,MONTH(TODAY()),DAY(TODAY())))*(BRON!$T$2:$T$1197&lt;=TODAY()))</f>
        <v>2</v>
      </c>
    </row>
    <row r="99" spans="1:8" x14ac:dyDescent="0.25">
      <c r="A99" s="34" t="s">
        <v>1697</v>
      </c>
      <c r="B99" s="34" t="s">
        <v>1696</v>
      </c>
      <c r="C99" s="36">
        <v>25679</v>
      </c>
      <c r="D99" s="34" t="s">
        <v>3853</v>
      </c>
      <c r="E99" s="34" t="s">
        <v>3859</v>
      </c>
      <c r="F99" s="3">
        <v>40455.083333333299</v>
      </c>
      <c r="G99" s="35">
        <f ca="1">YEAR(TODAY()) - YEAR(F99) - (IF(DATE(YEAR(TODAY()), MONTH(F99), DAY(F99)) &gt; TODAY(), 1, 0))</f>
        <v>15</v>
      </c>
      <c r="H99" s="43" cm="1">
        <f t="array" aca="1" ref="H99" ca="1">SUMPRODUCT((BRON!$A$2:$A$1197=Table1[[#This Row],[Personeelsnummer]])*(BRON!$T$2:$T$1197&gt;=DATE(YEAR(TODAY())-1,MONTH(TODAY()),DAY(TODAY())))*(BRON!$T$2:$T$1197&lt;=TODAY()))</f>
        <v>2</v>
      </c>
    </row>
    <row r="100" spans="1:8" x14ac:dyDescent="0.25">
      <c r="A100" s="34" t="s">
        <v>3438</v>
      </c>
      <c r="B100" s="34" t="s">
        <v>2666</v>
      </c>
      <c r="C100" s="36">
        <v>25733</v>
      </c>
      <c r="D100" s="34" t="s">
        <v>3857</v>
      </c>
      <c r="E100" s="34" t="s">
        <v>3863</v>
      </c>
      <c r="F100" s="3">
        <v>40469.083333333299</v>
      </c>
      <c r="G100" s="35">
        <f ca="1">YEAR(TODAY()) - YEAR(F100) - (IF(DATE(YEAR(TODAY()), MONTH(F100), DAY(F100)) &gt; TODAY(), 1, 0))</f>
        <v>15</v>
      </c>
      <c r="H100" s="43" cm="1">
        <f t="array" aca="1" ref="H100" ca="1">SUMPRODUCT((BRON!$A$2:$A$1197=Table1[[#This Row],[Personeelsnummer]])*(BRON!$T$2:$T$1197&gt;=DATE(YEAR(TODAY())-1,MONTH(TODAY()),DAY(TODAY())))*(BRON!$T$2:$T$1197&lt;=TODAY()))</f>
        <v>2</v>
      </c>
    </row>
    <row r="101" spans="1:8" x14ac:dyDescent="0.25">
      <c r="A101" s="34" t="s">
        <v>3241</v>
      </c>
      <c r="B101" s="34" t="s">
        <v>3244</v>
      </c>
      <c r="C101" s="36">
        <v>23918</v>
      </c>
      <c r="D101" s="34" t="s">
        <v>3858</v>
      </c>
      <c r="E101" s="34" t="s">
        <v>3863</v>
      </c>
      <c r="F101" s="3">
        <v>39972.083333333299</v>
      </c>
      <c r="G101" s="35">
        <f ca="1">YEAR(TODAY()) - YEAR(F101) - (IF(DATE(YEAR(TODAY()), MONTH(F101), DAY(F101)) &gt; TODAY(), 1, 0))</f>
        <v>16</v>
      </c>
      <c r="H101" s="43" cm="1">
        <f t="array" aca="1" ref="H101" ca="1">SUMPRODUCT((BRON!$A$2:$A$1197=Table1[[#This Row],[Personeelsnummer]])*(BRON!$T$2:$T$1197&gt;=DATE(YEAR(TODAY())-1,MONTH(TODAY()),DAY(TODAY())))*(BRON!$T$2:$T$1197&lt;=TODAY()))</f>
        <v>2</v>
      </c>
    </row>
    <row r="102" spans="1:8" x14ac:dyDescent="0.25">
      <c r="A102" s="34" t="s">
        <v>2588</v>
      </c>
      <c r="B102" s="34" t="s">
        <v>2587</v>
      </c>
      <c r="C102" s="36">
        <v>21424</v>
      </c>
      <c r="D102" s="34" t="s">
        <v>3853</v>
      </c>
      <c r="E102" s="34" t="s">
        <v>3864</v>
      </c>
      <c r="F102" s="3">
        <v>39370.083333333299</v>
      </c>
      <c r="G102" s="35">
        <f ca="1">YEAR(TODAY()) - YEAR(F102) - (IF(DATE(YEAR(TODAY()), MONTH(F102), DAY(F102)) &gt; TODAY(), 1, 0))</f>
        <v>18</v>
      </c>
      <c r="H102" s="43" cm="1">
        <f t="array" aca="1" ref="H102" ca="1">SUMPRODUCT((BRON!$A$2:$A$1197=Table1[[#This Row],[Personeelsnummer]])*(BRON!$T$2:$T$1197&gt;=DATE(YEAR(TODAY())-1,MONTH(TODAY()),DAY(TODAY())))*(BRON!$T$2:$T$1197&lt;=TODAY()))</f>
        <v>2</v>
      </c>
    </row>
    <row r="103" spans="1:8" x14ac:dyDescent="0.25">
      <c r="A103" s="34" t="s">
        <v>2273</v>
      </c>
      <c r="B103" s="34" t="s">
        <v>2272</v>
      </c>
      <c r="C103" s="36">
        <v>20653</v>
      </c>
      <c r="D103" s="34" t="s">
        <v>3867</v>
      </c>
      <c r="E103" s="34" t="s">
        <v>3860</v>
      </c>
      <c r="F103" s="3">
        <v>39204.083333333299</v>
      </c>
      <c r="G103" s="35">
        <f ca="1">YEAR(TODAY()) - YEAR(F103) - (IF(DATE(YEAR(TODAY()), MONTH(F103), DAY(F103)) &gt; TODAY(), 1, 0))</f>
        <v>18</v>
      </c>
      <c r="H103" s="43" cm="1">
        <f t="array" aca="1" ref="H103" ca="1">SUMPRODUCT((BRON!$A$2:$A$1197=Table1[[#This Row],[Personeelsnummer]])*(BRON!$T$2:$T$1197&gt;=DATE(YEAR(TODAY())-1,MONTH(TODAY()),DAY(TODAY())))*(BRON!$T$2:$T$1197&lt;=TODAY()))</f>
        <v>2</v>
      </c>
    </row>
    <row r="104" spans="1:8" x14ac:dyDescent="0.25">
      <c r="A104" s="34" t="s">
        <v>2524</v>
      </c>
      <c r="B104" s="34" t="s">
        <v>2527</v>
      </c>
      <c r="C104" s="36">
        <v>19249</v>
      </c>
      <c r="D104" s="34" t="s">
        <v>3853</v>
      </c>
      <c r="E104" s="34" t="s">
        <v>3861</v>
      </c>
      <c r="F104" s="3">
        <v>38852.083333333299</v>
      </c>
      <c r="G104" s="35">
        <f ca="1">YEAR(TODAY()) - YEAR(F104) - (IF(DATE(YEAR(TODAY()), MONTH(F104), DAY(F104)) &gt; TODAY(), 1, 0))</f>
        <v>19</v>
      </c>
      <c r="H104" s="43" cm="1">
        <f t="array" aca="1" ref="H104" ca="1">SUMPRODUCT((BRON!$A$2:$A$1197=Table1[[#This Row],[Personeelsnummer]])*(BRON!$T$2:$T$1197&gt;=DATE(YEAR(TODAY())-1,MONTH(TODAY()),DAY(TODAY())))*(BRON!$T$2:$T$1197&lt;=TODAY()))</f>
        <v>2</v>
      </c>
    </row>
    <row r="105" spans="1:8" x14ac:dyDescent="0.25">
      <c r="A105" s="34" t="s">
        <v>2866</v>
      </c>
      <c r="B105" s="34" t="s">
        <v>2872</v>
      </c>
      <c r="C105" s="36">
        <v>15412</v>
      </c>
      <c r="D105" s="34" t="s">
        <v>3862</v>
      </c>
      <c r="E105" s="34" t="s">
        <v>3860</v>
      </c>
      <c r="F105" s="3">
        <v>37634.041666666701</v>
      </c>
      <c r="G105" s="35">
        <f ca="1">YEAR(TODAY()) - YEAR(F105) - (IF(DATE(YEAR(TODAY()), MONTH(F105), DAY(F105)) &gt; TODAY(), 1, 0))</f>
        <v>22</v>
      </c>
      <c r="H105" s="43" cm="1">
        <f t="array" aca="1" ref="H105" ca="1">SUMPRODUCT((BRON!$A$2:$A$1197=Table1[[#This Row],[Personeelsnummer]])*(BRON!$T$2:$T$1197&gt;=DATE(YEAR(TODAY())-1,MONTH(TODAY()),DAY(TODAY())))*(BRON!$T$2:$T$1197&lt;=TODAY()))</f>
        <v>2</v>
      </c>
    </row>
    <row r="106" spans="1:8" x14ac:dyDescent="0.25">
      <c r="A106" s="34" t="s">
        <v>2257</v>
      </c>
      <c r="B106" s="34" t="s">
        <v>2261</v>
      </c>
      <c r="C106" s="36">
        <v>12684</v>
      </c>
      <c r="D106" s="34" t="s">
        <v>3858</v>
      </c>
      <c r="E106" s="34" t="s">
        <v>3863</v>
      </c>
      <c r="F106" s="3">
        <v>36815.083333333299</v>
      </c>
      <c r="G106" s="35">
        <f ca="1">YEAR(TODAY()) - YEAR(F106) - (IF(DATE(YEAR(TODAY()), MONTH(F106), DAY(F106)) &gt; TODAY(), 1, 0))</f>
        <v>25</v>
      </c>
      <c r="H106" s="43" cm="1">
        <f t="array" aca="1" ref="H106" ca="1">SUMPRODUCT((BRON!$A$2:$A$1197=Table1[[#This Row],[Personeelsnummer]])*(BRON!$T$2:$T$1197&gt;=DATE(YEAR(TODAY())-1,MONTH(TODAY()),DAY(TODAY())))*(BRON!$T$2:$T$1197&lt;=TODAY()))</f>
        <v>2</v>
      </c>
    </row>
    <row r="107" spans="1:8" x14ac:dyDescent="0.25">
      <c r="A107" s="34" t="s">
        <v>2850</v>
      </c>
      <c r="B107" s="34" t="s">
        <v>1816</v>
      </c>
      <c r="C107" s="36">
        <v>11236</v>
      </c>
      <c r="D107" s="34" t="s">
        <v>3862</v>
      </c>
      <c r="E107" s="34" t="s">
        <v>3860</v>
      </c>
      <c r="F107" s="3">
        <v>36332.083333333299</v>
      </c>
      <c r="G107" s="35">
        <f ca="1">YEAR(TODAY()) - YEAR(F107) - (IF(DATE(YEAR(TODAY()), MONTH(F107), DAY(F107)) &gt; TODAY(), 1, 0))</f>
        <v>26</v>
      </c>
      <c r="H107" s="43" cm="1">
        <f t="array" aca="1" ref="H107" ca="1">SUMPRODUCT((BRON!$A$2:$A$1197=Table1[[#This Row],[Personeelsnummer]])*(BRON!$T$2:$T$1197&gt;=DATE(YEAR(TODAY())-1,MONTH(TODAY()),DAY(TODAY())))*(BRON!$T$2:$T$1197&lt;=TODAY()))</f>
        <v>2</v>
      </c>
    </row>
    <row r="108" spans="1:8" x14ac:dyDescent="0.25">
      <c r="A108" s="34" t="s">
        <v>3438</v>
      </c>
      <c r="B108" s="34" t="s">
        <v>3591</v>
      </c>
      <c r="C108" s="36">
        <v>39928</v>
      </c>
      <c r="D108" s="34" t="s">
        <v>3858</v>
      </c>
      <c r="E108" s="34" t="s">
        <v>3860</v>
      </c>
      <c r="F108" s="3">
        <v>45896.083333333299</v>
      </c>
      <c r="G108" s="35">
        <f ca="1">YEAR(TODAY()) - YEAR(F108) - (IF(DATE(YEAR(TODAY()), MONTH(F108), DAY(F108)) &gt; TODAY(), 1, 0))</f>
        <v>0</v>
      </c>
      <c r="H108" s="43" cm="1">
        <f t="array" aca="1" ref="H108" ca="1">SUMPRODUCT((BRON!$A$2:$A$1197=Table1[[#This Row],[Personeelsnummer]])*(BRON!$T$2:$T$1197&gt;=DATE(YEAR(TODAY())-1,MONTH(TODAY()),DAY(TODAY())))*(BRON!$T$2:$T$1197&lt;=TODAY()))</f>
        <v>1</v>
      </c>
    </row>
    <row r="109" spans="1:8" x14ac:dyDescent="0.25">
      <c r="A109" s="34" t="s">
        <v>1583</v>
      </c>
      <c r="B109" s="34" t="s">
        <v>1582</v>
      </c>
      <c r="C109" s="36">
        <v>41348</v>
      </c>
      <c r="D109" s="34" t="s">
        <v>3858</v>
      </c>
      <c r="E109" s="34" t="s">
        <v>3859</v>
      </c>
      <c r="F109" s="3">
        <v>45673.041666666701</v>
      </c>
      <c r="G109" s="35">
        <f ca="1">YEAR(TODAY()) - YEAR(F109) - (IF(DATE(YEAR(TODAY()), MONTH(F109), DAY(F109)) &gt; TODAY(), 1, 0))</f>
        <v>0</v>
      </c>
      <c r="H109" s="43" cm="1">
        <f t="array" aca="1" ref="H109" ca="1">SUMPRODUCT((BRON!$A$2:$A$1197=Table1[[#This Row],[Personeelsnummer]])*(BRON!$T$2:$T$1197&gt;=DATE(YEAR(TODAY())-1,MONTH(TODAY()),DAY(TODAY())))*(BRON!$T$2:$T$1197&lt;=TODAY()))</f>
        <v>1</v>
      </c>
    </row>
    <row r="110" spans="1:8" x14ac:dyDescent="0.25">
      <c r="A110" s="34" t="s">
        <v>1536</v>
      </c>
      <c r="B110" s="34" t="s">
        <v>1539</v>
      </c>
      <c r="C110" s="36">
        <v>41383</v>
      </c>
      <c r="D110" s="34" t="s">
        <v>3858</v>
      </c>
      <c r="E110" s="34" t="s">
        <v>3863</v>
      </c>
      <c r="F110" s="3">
        <v>45663.041666666701</v>
      </c>
      <c r="G110" s="35">
        <f ca="1">YEAR(TODAY()) - YEAR(F110) - (IF(DATE(YEAR(TODAY()), MONTH(F110), DAY(F110)) &gt; TODAY(), 1, 0))</f>
        <v>0</v>
      </c>
      <c r="H110" s="43" cm="1">
        <f t="array" aca="1" ref="H110" ca="1">SUMPRODUCT((BRON!$A$2:$A$1197=Table1[[#This Row],[Personeelsnummer]])*(BRON!$T$2:$T$1197&gt;=DATE(YEAR(TODAY())-1,MONTH(TODAY()),DAY(TODAY())))*(BRON!$T$2:$T$1197&lt;=TODAY()))</f>
        <v>1</v>
      </c>
    </row>
    <row r="111" spans="1:8" x14ac:dyDescent="0.25">
      <c r="A111" s="34" t="s">
        <v>1770</v>
      </c>
      <c r="B111" s="34" t="s">
        <v>1769</v>
      </c>
      <c r="C111" s="36">
        <v>41671</v>
      </c>
      <c r="D111" s="34" t="s">
        <v>3858</v>
      </c>
      <c r="E111" s="34" t="s">
        <v>3860</v>
      </c>
      <c r="F111" s="3">
        <v>45783.083333333299</v>
      </c>
      <c r="G111" s="35">
        <f ca="1">YEAR(TODAY()) - YEAR(F111) - (IF(DATE(YEAR(TODAY()), MONTH(F111), DAY(F111)) &gt; TODAY(), 1, 0))</f>
        <v>0</v>
      </c>
      <c r="H111" s="43" cm="1">
        <f t="array" aca="1" ref="H111" ca="1">SUMPRODUCT((BRON!$A$2:$A$1197=Table1[[#This Row],[Personeelsnummer]])*(BRON!$T$2:$T$1197&gt;=DATE(YEAR(TODAY())-1,MONTH(TODAY()),DAY(TODAY())))*(BRON!$T$2:$T$1197&lt;=TODAY()))</f>
        <v>1</v>
      </c>
    </row>
    <row r="112" spans="1:8" x14ac:dyDescent="0.25">
      <c r="A112" s="34" t="s">
        <v>2483</v>
      </c>
      <c r="B112" s="34" t="s">
        <v>2482</v>
      </c>
      <c r="C112" s="36">
        <v>41690</v>
      </c>
      <c r="D112" s="34" t="s">
        <v>3858</v>
      </c>
      <c r="E112" s="34" t="s">
        <v>3864</v>
      </c>
      <c r="F112" s="3">
        <v>45783.083333333299</v>
      </c>
      <c r="G112" s="35">
        <f ca="1">YEAR(TODAY()) - YEAR(F112) - (IF(DATE(YEAR(TODAY()), MONTH(F112), DAY(F112)) &gt; TODAY(), 1, 0))</f>
        <v>0</v>
      </c>
      <c r="H112" s="43" cm="1">
        <f t="array" aca="1" ref="H112" ca="1">SUMPRODUCT((BRON!$A$2:$A$1197=Table1[[#This Row],[Personeelsnummer]])*(BRON!$T$2:$T$1197&gt;=DATE(YEAR(TODAY())-1,MONTH(TODAY()),DAY(TODAY())))*(BRON!$T$2:$T$1197&lt;=TODAY()))</f>
        <v>1</v>
      </c>
    </row>
    <row r="113" spans="1:8" x14ac:dyDescent="0.25">
      <c r="A113" s="34" t="s">
        <v>2887</v>
      </c>
      <c r="B113" s="34" t="s">
        <v>2140</v>
      </c>
      <c r="C113" s="36">
        <v>41710</v>
      </c>
      <c r="D113" s="34" t="s">
        <v>3858</v>
      </c>
      <c r="E113" s="34" t="s">
        <v>3863</v>
      </c>
      <c r="F113" s="3">
        <v>45735.041666666701</v>
      </c>
      <c r="G113" s="35">
        <f ca="1">YEAR(TODAY()) - YEAR(F113) - (IF(DATE(YEAR(TODAY()), MONTH(F113), DAY(F113)) &gt; TODAY(), 1, 0))</f>
        <v>0</v>
      </c>
      <c r="H113" s="43" cm="1">
        <f t="array" aca="1" ref="H113" ca="1">SUMPRODUCT((BRON!$A$2:$A$1197=Table1[[#This Row],[Personeelsnummer]])*(BRON!$T$2:$T$1197&gt;=DATE(YEAR(TODAY())-1,MONTH(TODAY()),DAY(TODAY())))*(BRON!$T$2:$T$1197&lt;=TODAY()))</f>
        <v>1</v>
      </c>
    </row>
    <row r="114" spans="1:8" x14ac:dyDescent="0.25">
      <c r="A114" s="34" t="s">
        <v>1911</v>
      </c>
      <c r="B114" s="34" t="s">
        <v>1914</v>
      </c>
      <c r="C114" s="36">
        <v>41721</v>
      </c>
      <c r="D114" s="34" t="s">
        <v>3858</v>
      </c>
      <c r="E114" s="34" t="s">
        <v>3854</v>
      </c>
      <c r="F114" s="3">
        <v>45749.083333333299</v>
      </c>
      <c r="G114" s="35">
        <f ca="1">YEAR(TODAY()) - YEAR(F114) - (IF(DATE(YEAR(TODAY()), MONTH(F114), DAY(F114)) &gt; TODAY(), 1, 0))</f>
        <v>0</v>
      </c>
      <c r="H114" s="43" cm="1">
        <f t="array" aca="1" ref="H114" ca="1">SUMPRODUCT((BRON!$A$2:$A$1197=Table1[[#This Row],[Personeelsnummer]])*(BRON!$T$2:$T$1197&gt;=DATE(YEAR(TODAY())-1,MONTH(TODAY()),DAY(TODAY())))*(BRON!$T$2:$T$1197&lt;=TODAY()))</f>
        <v>1</v>
      </c>
    </row>
    <row r="115" spans="1:8" x14ac:dyDescent="0.25">
      <c r="A115" s="34" t="s">
        <v>2074</v>
      </c>
      <c r="B115" s="34" t="s">
        <v>3588</v>
      </c>
      <c r="C115" s="36">
        <v>41786</v>
      </c>
      <c r="D115" s="34" t="s">
        <v>3858</v>
      </c>
      <c r="E115" s="34" t="s">
        <v>3859</v>
      </c>
      <c r="F115" s="3">
        <v>45763.083333333299</v>
      </c>
      <c r="G115" s="35">
        <f ca="1">YEAR(TODAY()) - YEAR(F115) - (IF(DATE(YEAR(TODAY()), MONTH(F115), DAY(F115)) &gt; TODAY(), 1, 0))</f>
        <v>0</v>
      </c>
      <c r="H115" s="43" cm="1">
        <f t="array" aca="1" ref="H115" ca="1">SUMPRODUCT((BRON!$A$2:$A$1197=Table1[[#This Row],[Personeelsnummer]])*(BRON!$T$2:$T$1197&gt;=DATE(YEAR(TODAY())-1,MONTH(TODAY()),DAY(TODAY())))*(BRON!$T$2:$T$1197&lt;=TODAY()))</f>
        <v>1</v>
      </c>
    </row>
    <row r="116" spans="1:8" x14ac:dyDescent="0.25">
      <c r="A116" s="34" t="s">
        <v>1210</v>
      </c>
      <c r="B116" s="34" t="s">
        <v>1209</v>
      </c>
      <c r="C116" s="36">
        <v>41859</v>
      </c>
      <c r="D116" s="34" t="s">
        <v>3855</v>
      </c>
      <c r="E116" s="34" t="s">
        <v>3856</v>
      </c>
      <c r="F116" s="3">
        <v>45783.083333333299</v>
      </c>
      <c r="G116" s="35">
        <f ca="1">YEAR(TODAY()) - YEAR(F116) - (IF(DATE(YEAR(TODAY()), MONTH(F116), DAY(F116)) &gt; TODAY(), 1, 0))</f>
        <v>0</v>
      </c>
      <c r="H116" s="43" cm="1">
        <f t="array" aca="1" ref="H116" ca="1">SUMPRODUCT((BRON!$A$2:$A$1197=Table1[[#This Row],[Personeelsnummer]])*(BRON!$T$2:$T$1197&gt;=DATE(YEAR(TODAY())-1,MONTH(TODAY()),DAY(TODAY())))*(BRON!$T$2:$T$1197&lt;=TODAY()))</f>
        <v>1</v>
      </c>
    </row>
    <row r="117" spans="1:8" x14ac:dyDescent="0.25">
      <c r="A117" s="34" t="s">
        <v>1440</v>
      </c>
      <c r="B117" s="34" t="s">
        <v>1439</v>
      </c>
      <c r="C117" s="36">
        <v>41870</v>
      </c>
      <c r="D117" s="34" t="s">
        <v>3858</v>
      </c>
      <c r="E117" s="34" t="s">
        <v>3865</v>
      </c>
      <c r="F117" s="3">
        <v>45798.083333333299</v>
      </c>
      <c r="G117" s="35">
        <f ca="1">YEAR(TODAY()) - YEAR(F117) - (IF(DATE(YEAR(TODAY()), MONTH(F117), DAY(F117)) &gt; TODAY(), 1, 0))</f>
        <v>0</v>
      </c>
      <c r="H117" s="43" cm="1">
        <f t="array" aca="1" ref="H117" ca="1">SUMPRODUCT((BRON!$A$2:$A$1197=Table1[[#This Row],[Personeelsnummer]])*(BRON!$T$2:$T$1197&gt;=DATE(YEAR(TODAY())-1,MONTH(TODAY()),DAY(TODAY())))*(BRON!$T$2:$T$1197&lt;=TODAY()))</f>
        <v>1</v>
      </c>
    </row>
    <row r="118" spans="1:8" x14ac:dyDescent="0.25">
      <c r="A118" s="34" t="s">
        <v>1334</v>
      </c>
      <c r="B118" s="34" t="s">
        <v>3206</v>
      </c>
      <c r="C118" s="36">
        <v>41888</v>
      </c>
      <c r="D118" s="34" t="s">
        <v>3858</v>
      </c>
      <c r="E118" s="34" t="s">
        <v>3854</v>
      </c>
      <c r="F118" s="3">
        <v>45831.083333333299</v>
      </c>
      <c r="G118" s="35">
        <f ca="1">YEAR(TODAY()) - YEAR(F118) - (IF(DATE(YEAR(TODAY()), MONTH(F118), DAY(F118)) &gt; TODAY(), 1, 0))</f>
        <v>0</v>
      </c>
      <c r="H118" s="43" cm="1">
        <f t="array" aca="1" ref="H118" ca="1">SUMPRODUCT((BRON!$A$2:$A$1197=Table1[[#This Row],[Personeelsnummer]])*(BRON!$T$2:$T$1197&gt;=DATE(YEAR(TODAY())-1,MONTH(TODAY()),DAY(TODAY())))*(BRON!$T$2:$T$1197&lt;=TODAY()))</f>
        <v>1</v>
      </c>
    </row>
    <row r="119" spans="1:8" x14ac:dyDescent="0.25">
      <c r="A119" s="34" t="s">
        <v>1793</v>
      </c>
      <c r="B119" s="34" t="s">
        <v>1792</v>
      </c>
      <c r="C119" s="36">
        <v>41918</v>
      </c>
      <c r="D119" s="34" t="s">
        <v>3858</v>
      </c>
      <c r="E119" s="34" t="s">
        <v>3859</v>
      </c>
      <c r="F119" s="3">
        <v>45831.083333333299</v>
      </c>
      <c r="G119" s="35">
        <f ca="1">YEAR(TODAY()) - YEAR(F119) - (IF(DATE(YEAR(TODAY()), MONTH(F119), DAY(F119)) &gt; TODAY(), 1, 0))</f>
        <v>0</v>
      </c>
      <c r="H119" s="43" cm="1">
        <f t="array" aca="1" ref="H119" ca="1">SUMPRODUCT((BRON!$A$2:$A$1197=Table1[[#This Row],[Personeelsnummer]])*(BRON!$T$2:$T$1197&gt;=DATE(YEAR(TODAY())-1,MONTH(TODAY()),DAY(TODAY())))*(BRON!$T$2:$T$1197&lt;=TODAY()))</f>
        <v>1</v>
      </c>
    </row>
    <row r="120" spans="1:8" x14ac:dyDescent="0.25">
      <c r="A120" s="34" t="s">
        <v>3388</v>
      </c>
      <c r="B120" s="34" t="s">
        <v>3387</v>
      </c>
      <c r="C120" s="36">
        <v>42015</v>
      </c>
      <c r="D120" s="34" t="s">
        <v>3858</v>
      </c>
      <c r="E120" s="34" t="s">
        <v>3863</v>
      </c>
      <c r="F120" s="3">
        <v>45831.083333333299</v>
      </c>
      <c r="G120" s="35">
        <f ca="1">YEAR(TODAY()) - YEAR(F120) - (IF(DATE(YEAR(TODAY()), MONTH(F120), DAY(F120)) &gt; TODAY(), 1, 0))</f>
        <v>0</v>
      </c>
      <c r="H120" s="43" cm="1">
        <f t="array" aca="1" ref="H120" ca="1">SUMPRODUCT((BRON!$A$2:$A$1197=Table1[[#This Row],[Personeelsnummer]])*(BRON!$T$2:$T$1197&gt;=DATE(YEAR(TODAY())-1,MONTH(TODAY()),DAY(TODAY())))*(BRON!$T$2:$T$1197&lt;=TODAY()))</f>
        <v>1</v>
      </c>
    </row>
    <row r="121" spans="1:8" x14ac:dyDescent="0.25">
      <c r="A121" s="34" t="s">
        <v>2513</v>
      </c>
      <c r="B121" s="34" t="s">
        <v>2512</v>
      </c>
      <c r="C121" s="36">
        <v>42044</v>
      </c>
      <c r="D121" s="34" t="s">
        <v>3858</v>
      </c>
      <c r="E121" s="34" t="s">
        <v>3866</v>
      </c>
      <c r="F121" s="3">
        <v>45854.083333333299</v>
      </c>
      <c r="G121" s="35">
        <f ca="1">YEAR(TODAY()) - YEAR(F121) - (IF(DATE(YEAR(TODAY()), MONTH(F121), DAY(F121)) &gt; TODAY(), 1, 0))</f>
        <v>0</v>
      </c>
      <c r="H121" s="43" cm="1">
        <f t="array" aca="1" ref="H121" ca="1">SUMPRODUCT((BRON!$A$2:$A$1197=Table1[[#This Row],[Personeelsnummer]])*(BRON!$T$2:$T$1197&gt;=DATE(YEAR(TODAY())-1,MONTH(TODAY()),DAY(TODAY())))*(BRON!$T$2:$T$1197&lt;=TODAY()))</f>
        <v>1</v>
      </c>
    </row>
    <row r="122" spans="1:8" x14ac:dyDescent="0.25">
      <c r="A122" s="34" t="s">
        <v>2015</v>
      </c>
      <c r="B122" s="34" t="s">
        <v>2014</v>
      </c>
      <c r="C122" s="36">
        <v>42082</v>
      </c>
      <c r="D122" s="34" t="s">
        <v>3858</v>
      </c>
      <c r="E122" s="34" t="s">
        <v>3866</v>
      </c>
      <c r="F122" s="3">
        <v>45853.083333333299</v>
      </c>
      <c r="G122" s="35">
        <f ca="1">YEAR(TODAY()) - YEAR(F122) - (IF(DATE(YEAR(TODAY()), MONTH(F122), DAY(F122)) &gt; TODAY(), 1, 0))</f>
        <v>0</v>
      </c>
      <c r="H122" s="43" cm="1">
        <f t="array" aca="1" ref="H122" ca="1">SUMPRODUCT((BRON!$A$2:$A$1197=Table1[[#This Row],[Personeelsnummer]])*(BRON!$T$2:$T$1197&gt;=DATE(YEAR(TODAY())-1,MONTH(TODAY()),DAY(TODAY())))*(BRON!$T$2:$T$1197&lt;=TODAY()))</f>
        <v>1</v>
      </c>
    </row>
    <row r="123" spans="1:8" x14ac:dyDescent="0.25">
      <c r="A123" s="34" t="s">
        <v>2972</v>
      </c>
      <c r="B123" s="34" t="s">
        <v>2971</v>
      </c>
      <c r="C123" s="36">
        <v>42120</v>
      </c>
      <c r="D123" s="34" t="s">
        <v>3858</v>
      </c>
      <c r="E123" s="34" t="s">
        <v>3854</v>
      </c>
      <c r="F123" s="3">
        <v>45860.083333333299</v>
      </c>
      <c r="G123" s="35">
        <f ca="1">YEAR(TODAY()) - YEAR(F123) - (IF(DATE(YEAR(TODAY()), MONTH(F123), DAY(F123)) &gt; TODAY(), 1, 0))</f>
        <v>0</v>
      </c>
      <c r="H123" s="43" cm="1">
        <f t="array" aca="1" ref="H123" ca="1">SUMPRODUCT((BRON!$A$2:$A$1197=Table1[[#This Row],[Personeelsnummer]])*(BRON!$T$2:$T$1197&gt;=DATE(YEAR(TODAY())-1,MONTH(TODAY()),DAY(TODAY())))*(BRON!$T$2:$T$1197&lt;=TODAY()))</f>
        <v>1</v>
      </c>
    </row>
    <row r="124" spans="1:8" x14ac:dyDescent="0.25">
      <c r="A124" s="34" t="s">
        <v>3585</v>
      </c>
      <c r="B124" s="34" t="s">
        <v>3584</v>
      </c>
      <c r="C124" s="36">
        <v>42143</v>
      </c>
      <c r="D124" s="34" t="s">
        <v>3858</v>
      </c>
      <c r="E124" s="34" t="s">
        <v>3860</v>
      </c>
      <c r="F124" s="3">
        <v>45889.083333333299</v>
      </c>
      <c r="G124" s="35">
        <f ca="1">YEAR(TODAY()) - YEAR(F124) - (IF(DATE(YEAR(TODAY()), MONTH(F124), DAY(F124)) &gt; TODAY(), 1, 0))</f>
        <v>0</v>
      </c>
      <c r="H124" s="43" cm="1">
        <f t="array" aca="1" ref="H124" ca="1">SUMPRODUCT((BRON!$A$2:$A$1197=Table1[[#This Row],[Personeelsnummer]])*(BRON!$T$2:$T$1197&gt;=DATE(YEAR(TODAY())-1,MONTH(TODAY()),DAY(TODAY())))*(BRON!$T$2:$T$1197&lt;=TODAY()))</f>
        <v>1</v>
      </c>
    </row>
    <row r="125" spans="1:8" x14ac:dyDescent="0.25">
      <c r="A125" s="34" t="s">
        <v>3564</v>
      </c>
      <c r="B125" s="34" t="s">
        <v>2006</v>
      </c>
      <c r="C125" s="36">
        <v>42218</v>
      </c>
      <c r="D125" s="34" t="s">
        <v>3858</v>
      </c>
      <c r="E125" s="34" t="s">
        <v>3864</v>
      </c>
      <c r="F125" s="3">
        <v>45903.083333333299</v>
      </c>
      <c r="G125" s="35">
        <f ca="1">YEAR(TODAY()) - YEAR(F125) - (IF(DATE(YEAR(TODAY()), MONTH(F125), DAY(F125)) &gt; TODAY(), 1, 0))</f>
        <v>0</v>
      </c>
      <c r="H125" s="43" cm="1">
        <f t="array" aca="1" ref="H125" ca="1">SUMPRODUCT((BRON!$A$2:$A$1197=Table1[[#This Row],[Personeelsnummer]])*(BRON!$T$2:$T$1197&gt;=DATE(YEAR(TODAY())-1,MONTH(TODAY()),DAY(TODAY())))*(BRON!$T$2:$T$1197&lt;=TODAY()))</f>
        <v>1</v>
      </c>
    </row>
    <row r="126" spans="1:8" x14ac:dyDescent="0.25">
      <c r="A126" s="34" t="s">
        <v>1662</v>
      </c>
      <c r="B126" s="34" t="s">
        <v>3561</v>
      </c>
      <c r="C126" s="36">
        <v>42249</v>
      </c>
      <c r="D126" s="34" t="s">
        <v>3858</v>
      </c>
      <c r="E126" s="34" t="s">
        <v>3854</v>
      </c>
      <c r="F126" s="3">
        <v>45903.083333333299</v>
      </c>
      <c r="G126" s="35">
        <f ca="1">YEAR(TODAY()) - YEAR(F126) - (IF(DATE(YEAR(TODAY()), MONTH(F126), DAY(F126)) &gt; TODAY(), 1, 0))</f>
        <v>0</v>
      </c>
      <c r="H126" s="43" cm="1">
        <f t="array" aca="1" ref="H126" ca="1">SUMPRODUCT((BRON!$A$2:$A$1197=Table1[[#This Row],[Personeelsnummer]])*(BRON!$T$2:$T$1197&gt;=DATE(YEAR(TODAY())-1,MONTH(TODAY()),DAY(TODAY())))*(BRON!$T$2:$T$1197&lt;=TODAY()))</f>
        <v>1</v>
      </c>
    </row>
    <row r="127" spans="1:8" x14ac:dyDescent="0.25">
      <c r="A127" s="34" t="s">
        <v>3553</v>
      </c>
      <c r="B127" s="34" t="s">
        <v>3552</v>
      </c>
      <c r="C127" s="36">
        <v>42277</v>
      </c>
      <c r="D127" s="34" t="s">
        <v>3858</v>
      </c>
      <c r="E127" s="34" t="s">
        <v>3866</v>
      </c>
      <c r="F127" s="3">
        <v>45918.083333333299</v>
      </c>
      <c r="G127" s="35">
        <f ca="1">YEAR(TODAY()) - YEAR(F127) - (IF(DATE(YEAR(TODAY()), MONTH(F127), DAY(F127)) &gt; TODAY(), 1, 0))</f>
        <v>0</v>
      </c>
      <c r="H127" s="43" cm="1">
        <f t="array" aca="1" ref="H127" ca="1">SUMPRODUCT((BRON!$A$2:$A$1197=Table1[[#This Row],[Personeelsnummer]])*(BRON!$T$2:$T$1197&gt;=DATE(YEAR(TODAY())-1,MONTH(TODAY()),DAY(TODAY())))*(BRON!$T$2:$T$1197&lt;=TODAY()))</f>
        <v>1</v>
      </c>
    </row>
    <row r="128" spans="1:8" x14ac:dyDescent="0.25">
      <c r="A128" s="34" t="s">
        <v>3548</v>
      </c>
      <c r="B128" s="34" t="s">
        <v>3547</v>
      </c>
      <c r="C128" s="36">
        <v>42336</v>
      </c>
      <c r="D128" s="34" t="s">
        <v>3858</v>
      </c>
      <c r="E128" s="34" t="s">
        <v>3861</v>
      </c>
      <c r="F128" s="3">
        <v>45918.083333333299</v>
      </c>
      <c r="G128" s="35">
        <f ca="1">YEAR(TODAY()) - YEAR(F128) - (IF(DATE(YEAR(TODAY()), MONTH(F128), DAY(F128)) &gt; TODAY(), 1, 0))</f>
        <v>0</v>
      </c>
      <c r="H128" s="43" cm="1">
        <f t="array" aca="1" ref="H128" ca="1">SUMPRODUCT((BRON!$A$2:$A$1197=Table1[[#This Row],[Personeelsnummer]])*(BRON!$T$2:$T$1197&gt;=DATE(YEAR(TODAY())-1,MONTH(TODAY()),DAY(TODAY())))*(BRON!$T$2:$T$1197&lt;=TODAY()))</f>
        <v>1</v>
      </c>
    </row>
    <row r="129" spans="1:8" x14ac:dyDescent="0.25">
      <c r="A129" s="34" t="s">
        <v>2816</v>
      </c>
      <c r="B129" s="34" t="s">
        <v>2815</v>
      </c>
      <c r="C129" s="36">
        <v>29674</v>
      </c>
      <c r="D129" s="34" t="s">
        <v>3853</v>
      </c>
      <c r="E129" s="34" t="s">
        <v>3866</v>
      </c>
      <c r="F129" s="3">
        <v>45341.041666666701</v>
      </c>
      <c r="G129" s="35">
        <f ca="1">YEAR(TODAY()) - YEAR(F129) - (IF(DATE(YEAR(TODAY()), MONTH(F129), DAY(F129)) &gt; TODAY(), 1, 0))</f>
        <v>1</v>
      </c>
      <c r="H129" s="43" cm="1">
        <f t="array" aca="1" ref="H129" ca="1">SUMPRODUCT((BRON!$A$2:$A$1197=Table1[[#This Row],[Personeelsnummer]])*(BRON!$T$2:$T$1197&gt;=DATE(YEAR(TODAY())-1,MONTH(TODAY()),DAY(TODAY())))*(BRON!$T$2:$T$1197&lt;=TODAY()))</f>
        <v>1</v>
      </c>
    </row>
    <row r="130" spans="1:8" x14ac:dyDescent="0.25">
      <c r="A130" s="34" t="s">
        <v>2121</v>
      </c>
      <c r="B130" s="34" t="s">
        <v>2120</v>
      </c>
      <c r="C130" s="36">
        <v>39831</v>
      </c>
      <c r="D130" s="34" t="s">
        <v>3858</v>
      </c>
      <c r="E130" s="34" t="s">
        <v>3864</v>
      </c>
      <c r="F130" s="3">
        <v>45264.041666666701</v>
      </c>
      <c r="G130" s="35">
        <f ca="1">YEAR(TODAY()) - YEAR(F130) - (IF(DATE(YEAR(TODAY()), MONTH(F130), DAY(F130)) &gt; TODAY(), 1, 0))</f>
        <v>1</v>
      </c>
      <c r="H130" s="43" cm="1">
        <f t="array" aca="1" ref="H130" ca="1">SUMPRODUCT((BRON!$A$2:$A$1197=Table1[[#This Row],[Personeelsnummer]])*(BRON!$T$2:$T$1197&gt;=DATE(YEAR(TODAY())-1,MONTH(TODAY()),DAY(TODAY())))*(BRON!$T$2:$T$1197&lt;=TODAY()))</f>
        <v>1</v>
      </c>
    </row>
    <row r="131" spans="1:8" x14ac:dyDescent="0.25">
      <c r="A131" s="34" t="s">
        <v>2646</v>
      </c>
      <c r="B131" s="34" t="s">
        <v>2645</v>
      </c>
      <c r="C131" s="36">
        <v>39901</v>
      </c>
      <c r="D131" s="34" t="s">
        <v>3858</v>
      </c>
      <c r="E131" s="34" t="s">
        <v>3859</v>
      </c>
      <c r="F131" s="3">
        <v>45307.041666666701</v>
      </c>
      <c r="G131" s="35">
        <f ca="1">YEAR(TODAY()) - YEAR(F131) - (IF(DATE(YEAR(TODAY()), MONTH(F131), DAY(F131)) &gt; TODAY(), 1, 0))</f>
        <v>1</v>
      </c>
      <c r="H131" s="43" cm="1">
        <f t="array" aca="1" ref="H131" ca="1">SUMPRODUCT((BRON!$A$2:$A$1197=Table1[[#This Row],[Personeelsnummer]])*(BRON!$T$2:$T$1197&gt;=DATE(YEAR(TODAY())-1,MONTH(TODAY()),DAY(TODAY())))*(BRON!$T$2:$T$1197&lt;=TODAY()))</f>
        <v>1</v>
      </c>
    </row>
    <row r="132" spans="1:8" x14ac:dyDescent="0.25">
      <c r="A132" s="34" t="s">
        <v>2913</v>
      </c>
      <c r="B132" s="34" t="s">
        <v>2912</v>
      </c>
      <c r="C132" s="36">
        <v>40393</v>
      </c>
      <c r="D132" s="34" t="s">
        <v>3858</v>
      </c>
      <c r="E132" s="34" t="s">
        <v>3866</v>
      </c>
      <c r="F132" s="3">
        <v>45408.083333333299</v>
      </c>
      <c r="G132" s="35">
        <f ca="1">YEAR(TODAY()) - YEAR(F132) - (IF(DATE(YEAR(TODAY()), MONTH(F132), DAY(F132)) &gt; TODAY(), 1, 0))</f>
        <v>1</v>
      </c>
      <c r="H132" s="43" cm="1">
        <f t="array" aca="1" ref="H132" ca="1">SUMPRODUCT((BRON!$A$2:$A$1197=Table1[[#This Row],[Personeelsnummer]])*(BRON!$T$2:$T$1197&gt;=DATE(YEAR(TODAY())-1,MONTH(TODAY()),DAY(TODAY())))*(BRON!$T$2:$T$1197&lt;=TODAY()))</f>
        <v>1</v>
      </c>
    </row>
    <row r="133" spans="1:8" x14ac:dyDescent="0.25">
      <c r="A133" s="34" t="s">
        <v>2311</v>
      </c>
      <c r="B133" s="34" t="s">
        <v>2314</v>
      </c>
      <c r="C133" s="36">
        <v>40443</v>
      </c>
      <c r="D133" s="34" t="s">
        <v>3858</v>
      </c>
      <c r="E133" s="34" t="s">
        <v>3860</v>
      </c>
      <c r="F133" s="3">
        <v>45408.083333333299</v>
      </c>
      <c r="G133" s="35">
        <f ca="1">YEAR(TODAY()) - YEAR(F133) - (IF(DATE(YEAR(TODAY()), MONTH(F133), DAY(F133)) &gt; TODAY(), 1, 0))</f>
        <v>1</v>
      </c>
      <c r="H133" s="43" cm="1">
        <f t="array" aca="1" ref="H133" ca="1">SUMPRODUCT((BRON!$A$2:$A$1197=Table1[[#This Row],[Personeelsnummer]])*(BRON!$T$2:$T$1197&gt;=DATE(YEAR(TODAY())-1,MONTH(TODAY()),DAY(TODAY())))*(BRON!$T$2:$T$1197&lt;=TODAY()))</f>
        <v>1</v>
      </c>
    </row>
    <row r="134" spans="1:8" x14ac:dyDescent="0.25">
      <c r="A134" s="34" t="s">
        <v>2792</v>
      </c>
      <c r="B134" s="34" t="s">
        <v>1959</v>
      </c>
      <c r="C134" s="36">
        <v>40444</v>
      </c>
      <c r="D134" s="34" t="s">
        <v>3858</v>
      </c>
      <c r="E134" s="34" t="s">
        <v>3864</v>
      </c>
      <c r="F134" s="3">
        <v>45408.083333333299</v>
      </c>
      <c r="G134" s="35">
        <f ca="1">YEAR(TODAY()) - YEAR(F134) - (IF(DATE(YEAR(TODAY()), MONTH(F134), DAY(F134)) &gt; TODAY(), 1, 0))</f>
        <v>1</v>
      </c>
      <c r="H134" s="43" cm="1">
        <f t="array" aca="1" ref="H134" ca="1">SUMPRODUCT((BRON!$A$2:$A$1197=Table1[[#This Row],[Personeelsnummer]])*(BRON!$T$2:$T$1197&gt;=DATE(YEAR(TODAY())-1,MONTH(TODAY()),DAY(TODAY())))*(BRON!$T$2:$T$1197&lt;=TODAY()))</f>
        <v>1</v>
      </c>
    </row>
    <row r="135" spans="1:8" x14ac:dyDescent="0.25">
      <c r="A135" s="34" t="s">
        <v>2657</v>
      </c>
      <c r="B135" s="34" t="s">
        <v>2656</v>
      </c>
      <c r="C135" s="36">
        <v>40745</v>
      </c>
      <c r="D135" s="34" t="s">
        <v>3858</v>
      </c>
      <c r="E135" s="34" t="s">
        <v>3860</v>
      </c>
      <c r="F135" s="3">
        <v>45498.083333333299</v>
      </c>
      <c r="G135" s="35">
        <f ca="1">YEAR(TODAY()) - YEAR(F135) - (IF(DATE(YEAR(TODAY()), MONTH(F135), DAY(F135)) &gt; TODAY(), 1, 0))</f>
        <v>1</v>
      </c>
      <c r="H135" s="43" cm="1">
        <f t="array" aca="1" ref="H135" ca="1">SUMPRODUCT((BRON!$A$2:$A$1197=Table1[[#This Row],[Personeelsnummer]])*(BRON!$T$2:$T$1197&gt;=DATE(YEAR(TODAY())-1,MONTH(TODAY()),DAY(TODAY())))*(BRON!$T$2:$T$1197&lt;=TODAY()))</f>
        <v>1</v>
      </c>
    </row>
    <row r="136" spans="1:8" x14ac:dyDescent="0.25">
      <c r="A136" s="34" t="s">
        <v>1241</v>
      </c>
      <c r="B136" s="34" t="s">
        <v>1240</v>
      </c>
      <c r="C136" s="36">
        <v>41007</v>
      </c>
      <c r="D136" s="34" t="s">
        <v>3855</v>
      </c>
      <c r="E136" s="34" t="s">
        <v>3856</v>
      </c>
      <c r="F136" s="3">
        <v>45559.083333333299</v>
      </c>
      <c r="G136" s="35">
        <f ca="1">YEAR(TODAY()) - YEAR(F136) - (IF(DATE(YEAR(TODAY()), MONTH(F136), DAY(F136)) &gt; TODAY(), 1, 0))</f>
        <v>1</v>
      </c>
      <c r="H136" s="43" cm="1">
        <f t="array" aca="1" ref="H136" ca="1">SUMPRODUCT((BRON!$A$2:$A$1197=Table1[[#This Row],[Personeelsnummer]])*(BRON!$T$2:$T$1197&gt;=DATE(YEAR(TODAY())-1,MONTH(TODAY()),DAY(TODAY())))*(BRON!$T$2:$T$1197&lt;=TODAY()))</f>
        <v>1</v>
      </c>
    </row>
    <row r="137" spans="1:8" x14ac:dyDescent="0.25">
      <c r="A137" s="34" t="s">
        <v>1710</v>
      </c>
      <c r="B137" s="34" t="s">
        <v>1709</v>
      </c>
      <c r="C137" s="36">
        <v>41101</v>
      </c>
      <c r="D137" s="34" t="s">
        <v>3858</v>
      </c>
      <c r="E137" s="34" t="s">
        <v>3866</v>
      </c>
      <c r="F137" s="3">
        <v>45618.041666666701</v>
      </c>
      <c r="G137" s="35">
        <f ca="1">YEAR(TODAY()) - YEAR(F137) - (IF(DATE(YEAR(TODAY()), MONTH(F137), DAY(F137)) &gt; TODAY(), 1, 0))</f>
        <v>1</v>
      </c>
      <c r="H137" s="43" cm="1">
        <f t="array" aca="1" ref="H137" ca="1">SUMPRODUCT((BRON!$A$2:$A$1197=Table1[[#This Row],[Personeelsnummer]])*(BRON!$T$2:$T$1197&gt;=DATE(YEAR(TODAY())-1,MONTH(TODAY()),DAY(TODAY())))*(BRON!$T$2:$T$1197&lt;=TODAY()))</f>
        <v>1</v>
      </c>
    </row>
    <row r="138" spans="1:8" x14ac:dyDescent="0.25">
      <c r="A138" s="34" t="s">
        <v>3015</v>
      </c>
      <c r="B138" s="34" t="s">
        <v>3018</v>
      </c>
      <c r="C138" s="36">
        <v>41137</v>
      </c>
      <c r="D138" s="34" t="s">
        <v>3858</v>
      </c>
      <c r="E138" s="34" t="s">
        <v>3866</v>
      </c>
      <c r="F138" s="3">
        <v>45616.041666666701</v>
      </c>
      <c r="G138" s="35">
        <f ca="1">YEAR(TODAY()) - YEAR(F138) - (IF(DATE(YEAR(TODAY()), MONTH(F138), DAY(F138)) &gt; TODAY(), 1, 0))</f>
        <v>1</v>
      </c>
      <c r="H138" s="43" cm="1">
        <f t="array" aca="1" ref="H138" ca="1">SUMPRODUCT((BRON!$A$2:$A$1197=Table1[[#This Row],[Personeelsnummer]])*(BRON!$T$2:$T$1197&gt;=DATE(YEAR(TODAY())-1,MONTH(TODAY()),DAY(TODAY())))*(BRON!$T$2:$T$1197&lt;=TODAY()))</f>
        <v>1</v>
      </c>
    </row>
    <row r="139" spans="1:8" x14ac:dyDescent="0.25">
      <c r="A139" s="34" t="s">
        <v>1693</v>
      </c>
      <c r="B139" s="34" t="s">
        <v>1692</v>
      </c>
      <c r="C139" s="36">
        <v>39829</v>
      </c>
      <c r="D139" s="34" t="s">
        <v>3858</v>
      </c>
      <c r="E139" s="34" t="s">
        <v>3861</v>
      </c>
      <c r="F139" s="3">
        <v>45264.041666666701</v>
      </c>
      <c r="G139" s="35">
        <f ca="1">YEAR(TODAY()) - YEAR(F139) - (IF(DATE(YEAR(TODAY()), MONTH(F139), DAY(F139)) &gt; TODAY(), 1, 0))</f>
        <v>1</v>
      </c>
      <c r="H139" s="43" cm="1">
        <f t="array" aca="1" ref="H139" ca="1">SUMPRODUCT((BRON!$A$2:$A$1197=Table1[[#This Row],[Personeelsnummer]])*(BRON!$T$2:$T$1197&gt;=DATE(YEAR(TODAY())-1,MONTH(TODAY()),DAY(TODAY())))*(BRON!$T$2:$T$1197&lt;=TODAY()))</f>
        <v>1</v>
      </c>
    </row>
    <row r="140" spans="1:8" x14ac:dyDescent="0.25">
      <c r="A140" s="34" t="s">
        <v>2953</v>
      </c>
      <c r="B140" s="34" t="s">
        <v>2952</v>
      </c>
      <c r="C140" s="36">
        <v>39858</v>
      </c>
      <c r="D140" s="34" t="s">
        <v>3858</v>
      </c>
      <c r="E140" s="34" t="s">
        <v>3864</v>
      </c>
      <c r="F140" s="3">
        <v>45264.041666666701</v>
      </c>
      <c r="G140" s="35">
        <f ca="1">YEAR(TODAY()) - YEAR(F140) - (IF(DATE(YEAR(TODAY()), MONTH(F140), DAY(F140)) &gt; TODAY(), 1, 0))</f>
        <v>1</v>
      </c>
      <c r="H140" s="43" cm="1">
        <f t="array" aca="1" ref="H140" ca="1">SUMPRODUCT((BRON!$A$2:$A$1197=Table1[[#This Row],[Personeelsnummer]])*(BRON!$T$2:$T$1197&gt;=DATE(YEAR(TODAY())-1,MONTH(TODAY()),DAY(TODAY())))*(BRON!$T$2:$T$1197&lt;=TODAY()))</f>
        <v>1</v>
      </c>
    </row>
    <row r="141" spans="1:8" x14ac:dyDescent="0.25">
      <c r="A141" s="34" t="s">
        <v>2546</v>
      </c>
      <c r="B141" s="34" t="s">
        <v>2545</v>
      </c>
      <c r="C141" s="36">
        <v>39927</v>
      </c>
      <c r="D141" s="34" t="s">
        <v>3853</v>
      </c>
      <c r="E141" s="34" t="s">
        <v>3859</v>
      </c>
      <c r="F141" s="3">
        <v>45307.041666666701</v>
      </c>
      <c r="G141" s="35">
        <f ca="1">YEAR(TODAY()) - YEAR(F141) - (IF(DATE(YEAR(TODAY()), MONTH(F141), DAY(F141)) &gt; TODAY(), 1, 0))</f>
        <v>1</v>
      </c>
      <c r="H141" s="43" cm="1">
        <f t="array" aca="1" ref="H141" ca="1">SUMPRODUCT((BRON!$A$2:$A$1197=Table1[[#This Row],[Personeelsnummer]])*(BRON!$T$2:$T$1197&gt;=DATE(YEAR(TODAY())-1,MONTH(TODAY()),DAY(TODAY())))*(BRON!$T$2:$T$1197&lt;=TODAY()))</f>
        <v>1</v>
      </c>
    </row>
    <row r="142" spans="1:8" x14ac:dyDescent="0.25">
      <c r="A142" s="34" t="s">
        <v>1918</v>
      </c>
      <c r="B142" s="34" t="s">
        <v>1917</v>
      </c>
      <c r="C142" s="36">
        <v>40005</v>
      </c>
      <c r="D142" s="34" t="s">
        <v>3858</v>
      </c>
      <c r="E142" s="34" t="s">
        <v>3859</v>
      </c>
      <c r="F142" s="3">
        <v>45307.041666666701</v>
      </c>
      <c r="G142" s="35">
        <f ca="1">YEAR(TODAY()) - YEAR(F142) - (IF(DATE(YEAR(TODAY()), MONTH(F142), DAY(F142)) &gt; TODAY(), 1, 0))</f>
        <v>1</v>
      </c>
      <c r="H142" s="43" cm="1">
        <f t="array" aca="1" ref="H142" ca="1">SUMPRODUCT((BRON!$A$2:$A$1197=Table1[[#This Row],[Personeelsnummer]])*(BRON!$T$2:$T$1197&gt;=DATE(YEAR(TODAY())-1,MONTH(TODAY()),DAY(TODAY())))*(BRON!$T$2:$T$1197&lt;=TODAY()))</f>
        <v>2</v>
      </c>
    </row>
    <row r="143" spans="1:8" x14ac:dyDescent="0.25">
      <c r="A143" s="34" t="s">
        <v>2049</v>
      </c>
      <c r="B143" s="34" t="s">
        <v>2048</v>
      </c>
      <c r="C143" s="36">
        <v>40036</v>
      </c>
      <c r="D143" s="34" t="s">
        <v>3858</v>
      </c>
      <c r="E143" s="34" t="s">
        <v>3866</v>
      </c>
      <c r="F143" s="3">
        <v>45364.041666666701</v>
      </c>
      <c r="G143" s="35">
        <f ca="1">YEAR(TODAY()) - YEAR(F143) - (IF(DATE(YEAR(TODAY()), MONTH(F143), DAY(F143)) &gt; TODAY(), 1, 0))</f>
        <v>1</v>
      </c>
      <c r="H143" s="43" cm="1">
        <f t="array" aca="1" ref="H143" ca="1">SUMPRODUCT((BRON!$A$2:$A$1197=Table1[[#This Row],[Personeelsnummer]])*(BRON!$T$2:$T$1197&gt;=DATE(YEAR(TODAY())-1,MONTH(TODAY()),DAY(TODAY())))*(BRON!$T$2:$T$1197&lt;=TODAY()))</f>
        <v>1</v>
      </c>
    </row>
    <row r="144" spans="1:8" x14ac:dyDescent="0.25">
      <c r="A144" s="34" t="s">
        <v>2053</v>
      </c>
      <c r="B144" s="34" t="s">
        <v>2052</v>
      </c>
      <c r="C144" s="36">
        <v>41296</v>
      </c>
      <c r="D144" s="34" t="s">
        <v>3858</v>
      </c>
      <c r="E144" s="34" t="s">
        <v>3859</v>
      </c>
      <c r="F144" s="3">
        <v>45618.041666666701</v>
      </c>
      <c r="G144" s="35">
        <f ca="1">YEAR(TODAY()) - YEAR(F144) - (IF(DATE(YEAR(TODAY()), MONTH(F144), DAY(F144)) &gt; TODAY(), 1, 0))</f>
        <v>1</v>
      </c>
      <c r="H144" s="43" cm="1">
        <f t="array" aca="1" ref="H144" ca="1">SUMPRODUCT((BRON!$A$2:$A$1197=Table1[[#This Row],[Personeelsnummer]])*(BRON!$T$2:$T$1197&gt;=DATE(YEAR(TODAY())-1,MONTH(TODAY()),DAY(TODAY())))*(BRON!$T$2:$T$1197&lt;=TODAY()))</f>
        <v>2</v>
      </c>
    </row>
    <row r="145" spans="1:8" x14ac:dyDescent="0.25">
      <c r="A145" s="34" t="s">
        <v>2307</v>
      </c>
      <c r="B145" s="34" t="s">
        <v>2306</v>
      </c>
      <c r="C145" s="36">
        <v>38555</v>
      </c>
      <c r="D145" s="34" t="s">
        <v>3853</v>
      </c>
      <c r="E145" s="34" t="s">
        <v>3863</v>
      </c>
      <c r="F145" s="3">
        <v>44984.041666666701</v>
      </c>
      <c r="G145" s="35">
        <f ca="1">YEAR(TODAY()) - YEAR(F145) - (IF(DATE(YEAR(TODAY()), MONTH(F145), DAY(F145)) &gt; TODAY(), 1, 0))</f>
        <v>2</v>
      </c>
      <c r="H145" s="43" cm="1">
        <f t="array" aca="1" ref="H145" ca="1">SUMPRODUCT((BRON!$A$2:$A$1197=Table1[[#This Row],[Personeelsnummer]])*(BRON!$T$2:$T$1197&gt;=DATE(YEAR(TODAY())-1,MONTH(TODAY()),DAY(TODAY())))*(BRON!$T$2:$T$1197&lt;=TODAY()))</f>
        <v>1</v>
      </c>
    </row>
    <row r="146" spans="1:8" x14ac:dyDescent="0.25">
      <c r="A146" s="34" t="s">
        <v>1763</v>
      </c>
      <c r="B146" s="34" t="s">
        <v>1762</v>
      </c>
      <c r="C146" s="36">
        <v>38580</v>
      </c>
      <c r="D146" s="34" t="s">
        <v>3858</v>
      </c>
      <c r="E146" s="34" t="s">
        <v>3864</v>
      </c>
      <c r="F146" s="3">
        <v>44998.041666666701</v>
      </c>
      <c r="G146" s="35">
        <f ca="1">YEAR(TODAY()) - YEAR(F146) - (IF(DATE(YEAR(TODAY()), MONTH(F146), DAY(F146)) &gt; TODAY(), 1, 0))</f>
        <v>2</v>
      </c>
      <c r="H146" s="43" cm="1">
        <f t="array" aca="1" ref="H146" ca="1">SUMPRODUCT((BRON!$A$2:$A$1197=Table1[[#This Row],[Personeelsnummer]])*(BRON!$T$2:$T$1197&gt;=DATE(YEAR(TODAY())-1,MONTH(TODAY()),DAY(TODAY())))*(BRON!$T$2:$T$1197&lt;=TODAY()))</f>
        <v>1</v>
      </c>
    </row>
    <row r="147" spans="1:8" x14ac:dyDescent="0.25">
      <c r="A147" s="34" t="s">
        <v>1756</v>
      </c>
      <c r="B147" s="34" t="s">
        <v>1755</v>
      </c>
      <c r="C147" s="36">
        <v>38731</v>
      </c>
      <c r="D147" s="34" t="s">
        <v>3858</v>
      </c>
      <c r="E147" s="34" t="s">
        <v>3859</v>
      </c>
      <c r="F147" s="3">
        <v>45062.083333333299</v>
      </c>
      <c r="G147" s="35">
        <f ca="1">YEAR(TODAY()) - YEAR(F147) - (IF(DATE(YEAR(TODAY()), MONTH(F147), DAY(F147)) &gt; TODAY(), 1, 0))</f>
        <v>2</v>
      </c>
      <c r="H147" s="43" cm="1">
        <f t="array" aca="1" ref="H147" ca="1">SUMPRODUCT((BRON!$A$2:$A$1197=Table1[[#This Row],[Personeelsnummer]])*(BRON!$T$2:$T$1197&gt;=DATE(YEAR(TODAY())-1,MONTH(TODAY()),DAY(TODAY())))*(BRON!$T$2:$T$1197&lt;=TODAY()))</f>
        <v>1</v>
      </c>
    </row>
    <row r="148" spans="1:8" x14ac:dyDescent="0.25">
      <c r="A148" s="34" t="s">
        <v>2604</v>
      </c>
      <c r="B148" s="34" t="s">
        <v>1443</v>
      </c>
      <c r="C148" s="36">
        <v>39267</v>
      </c>
      <c r="D148" s="34" t="s">
        <v>3853</v>
      </c>
      <c r="E148" s="34" t="s">
        <v>3859</v>
      </c>
      <c r="F148" s="3">
        <v>45173.083333333299</v>
      </c>
      <c r="G148" s="35">
        <f ca="1">YEAR(TODAY()) - YEAR(F148) - (IF(DATE(YEAR(TODAY()), MONTH(F148), DAY(F148)) &gt; TODAY(), 1, 0))</f>
        <v>2</v>
      </c>
      <c r="H148" s="43" cm="1">
        <f t="array" aca="1" ref="H148" ca="1">SUMPRODUCT((BRON!$A$2:$A$1197=Table1[[#This Row],[Personeelsnummer]])*(BRON!$T$2:$T$1197&gt;=DATE(YEAR(TODAY())-1,MONTH(TODAY()),DAY(TODAY())))*(BRON!$T$2:$T$1197&lt;=TODAY()))</f>
        <v>1</v>
      </c>
    </row>
    <row r="149" spans="1:8" x14ac:dyDescent="0.25">
      <c r="A149" s="34" t="s">
        <v>2575</v>
      </c>
      <c r="B149" s="34" t="s">
        <v>2574</v>
      </c>
      <c r="C149" s="36">
        <v>39677</v>
      </c>
      <c r="D149" s="34" t="s">
        <v>3858</v>
      </c>
      <c r="E149" s="34" t="s">
        <v>3854</v>
      </c>
      <c r="F149" s="3">
        <v>45222.083333333299</v>
      </c>
      <c r="G149" s="35">
        <f ca="1">YEAR(TODAY()) - YEAR(F149) - (IF(DATE(YEAR(TODAY()), MONTH(F149), DAY(F149)) &gt; TODAY(), 1, 0))</f>
        <v>2</v>
      </c>
      <c r="H149" s="43" cm="1">
        <f t="array" aca="1" ref="H149" ca="1">SUMPRODUCT((BRON!$A$2:$A$1197=Table1[[#This Row],[Personeelsnummer]])*(BRON!$T$2:$T$1197&gt;=DATE(YEAR(TODAY())-1,MONTH(TODAY()),DAY(TODAY())))*(BRON!$T$2:$T$1197&lt;=TODAY()))</f>
        <v>1</v>
      </c>
    </row>
    <row r="150" spans="1:8" x14ac:dyDescent="0.25">
      <c r="A150" s="34" t="s">
        <v>3136</v>
      </c>
      <c r="B150" s="34" t="s">
        <v>3139</v>
      </c>
      <c r="C150" s="36">
        <v>23700</v>
      </c>
      <c r="D150" s="34" t="s">
        <v>3858</v>
      </c>
      <c r="E150" s="34" t="s">
        <v>3866</v>
      </c>
      <c r="F150" s="3">
        <v>45181.083333333299</v>
      </c>
      <c r="G150" s="35">
        <f ca="1">YEAR(TODAY()) - YEAR(F150) - (IF(DATE(YEAR(TODAY()), MONTH(F150), DAY(F150)) &gt; TODAY(), 1, 0))</f>
        <v>2</v>
      </c>
      <c r="H150" s="43" cm="1">
        <f t="array" aca="1" ref="H150" ca="1">SUMPRODUCT((BRON!$A$2:$A$1197=Table1[[#This Row],[Personeelsnummer]])*(BRON!$T$2:$T$1197&gt;=DATE(YEAR(TODAY())-1,MONTH(TODAY()),DAY(TODAY())))*(BRON!$T$2:$T$1197&lt;=TODAY()))</f>
        <v>1</v>
      </c>
    </row>
    <row r="151" spans="1:8" x14ac:dyDescent="0.25">
      <c r="A151" s="34" t="s">
        <v>2151</v>
      </c>
      <c r="B151" s="34" t="s">
        <v>2150</v>
      </c>
      <c r="C151" s="36">
        <v>39379</v>
      </c>
      <c r="D151" s="34" t="s">
        <v>3853</v>
      </c>
      <c r="E151" s="34" t="s">
        <v>3859</v>
      </c>
      <c r="F151" s="3">
        <v>45194.083333333299</v>
      </c>
      <c r="G151" s="35">
        <f ca="1">YEAR(TODAY()) - YEAR(F151) - (IF(DATE(YEAR(TODAY()), MONTH(F151), DAY(F151)) &gt; TODAY(), 1, 0))</f>
        <v>2</v>
      </c>
      <c r="H151" s="43" cm="1">
        <f t="array" aca="1" ref="H151" ca="1">SUMPRODUCT((BRON!$A$2:$A$1197=Table1[[#This Row],[Personeelsnummer]])*(BRON!$T$2:$T$1197&gt;=DATE(YEAR(TODAY())-1,MONTH(TODAY()),DAY(TODAY())))*(BRON!$T$2:$T$1197&lt;=TODAY()))</f>
        <v>1</v>
      </c>
    </row>
    <row r="152" spans="1:8" x14ac:dyDescent="0.25">
      <c r="A152" s="34" t="s">
        <v>3169</v>
      </c>
      <c r="B152" s="34" t="s">
        <v>2975</v>
      </c>
      <c r="C152" s="36">
        <v>39558</v>
      </c>
      <c r="D152" s="34" t="s">
        <v>3858</v>
      </c>
      <c r="E152" s="34" t="s">
        <v>3865</v>
      </c>
      <c r="F152" s="3">
        <v>45208.083333333299</v>
      </c>
      <c r="G152" s="35">
        <f ca="1">YEAR(TODAY()) - YEAR(F152) - (IF(DATE(YEAR(TODAY()), MONTH(F152), DAY(F152)) &gt; TODAY(), 1, 0))</f>
        <v>2</v>
      </c>
      <c r="H152" s="43" cm="1">
        <f t="array" aca="1" ref="H152" ca="1">SUMPRODUCT((BRON!$A$2:$A$1197=Table1[[#This Row],[Personeelsnummer]])*(BRON!$T$2:$T$1197&gt;=DATE(YEAR(TODAY())-1,MONTH(TODAY()),DAY(TODAY())))*(BRON!$T$2:$T$1197&lt;=TODAY()))</f>
        <v>1</v>
      </c>
    </row>
    <row r="153" spans="1:8" x14ac:dyDescent="0.25">
      <c r="A153" s="34" t="s">
        <v>2366</v>
      </c>
      <c r="B153" s="34" t="s">
        <v>2365</v>
      </c>
      <c r="C153" s="36">
        <v>39654</v>
      </c>
      <c r="D153" s="34" t="s">
        <v>3858</v>
      </c>
      <c r="E153" s="34" t="s">
        <v>3854</v>
      </c>
      <c r="F153" s="3">
        <v>45222.083333333299</v>
      </c>
      <c r="G153" s="35">
        <f ca="1">YEAR(TODAY()) - YEAR(F153) - (IF(DATE(YEAR(TODAY()), MONTH(F153), DAY(F153)) &gt; TODAY(), 1, 0))</f>
        <v>2</v>
      </c>
      <c r="H153" s="43" cm="1">
        <f t="array" aca="1" ref="H153" ca="1">SUMPRODUCT((BRON!$A$2:$A$1197=Table1[[#This Row],[Personeelsnummer]])*(BRON!$T$2:$T$1197&gt;=DATE(YEAR(TODAY())-1,MONTH(TODAY()),DAY(TODAY())))*(BRON!$T$2:$T$1197&lt;=TODAY()))</f>
        <v>1</v>
      </c>
    </row>
    <row r="154" spans="1:8" x14ac:dyDescent="0.25">
      <c r="A154" s="34" t="s">
        <v>3295</v>
      </c>
      <c r="B154" s="34" t="s">
        <v>3294</v>
      </c>
      <c r="C154" s="36">
        <v>39728</v>
      </c>
      <c r="D154" s="34" t="s">
        <v>3858</v>
      </c>
      <c r="E154" s="34" t="s">
        <v>3861</v>
      </c>
      <c r="F154" s="3">
        <v>45250.041666666701</v>
      </c>
      <c r="G154" s="35">
        <f ca="1">YEAR(TODAY()) - YEAR(F154) - (IF(DATE(YEAR(TODAY()), MONTH(F154), DAY(F154)) &gt; TODAY(), 1, 0))</f>
        <v>2</v>
      </c>
      <c r="H154" s="43" cm="1">
        <f t="array" aca="1" ref="H154" ca="1">SUMPRODUCT((BRON!$A$2:$A$1197=Table1[[#This Row],[Personeelsnummer]])*(BRON!$T$2:$T$1197&gt;=DATE(YEAR(TODAY())-1,MONTH(TODAY()),DAY(TODAY())))*(BRON!$T$2:$T$1197&lt;=TODAY()))</f>
        <v>1</v>
      </c>
    </row>
    <row r="155" spans="1:8" x14ac:dyDescent="0.25">
      <c r="A155" s="34" t="s">
        <v>3047</v>
      </c>
      <c r="B155" s="34" t="s">
        <v>2765</v>
      </c>
      <c r="C155" s="36">
        <v>38481</v>
      </c>
      <c r="D155" s="34" t="s">
        <v>3858</v>
      </c>
      <c r="E155" s="34" t="s">
        <v>3854</v>
      </c>
      <c r="F155" s="3">
        <v>44970.041666666701</v>
      </c>
      <c r="G155" s="35">
        <f ca="1">YEAR(TODAY()) - YEAR(F155) - (IF(DATE(YEAR(TODAY()), MONTH(F155), DAY(F155)) &gt; TODAY(), 1, 0))</f>
        <v>2</v>
      </c>
      <c r="H155" s="43" cm="1">
        <f t="array" aca="1" ref="H155" ca="1">SUMPRODUCT((BRON!$A$2:$A$1197=Table1[[#This Row],[Personeelsnummer]])*(BRON!$T$2:$T$1197&gt;=DATE(YEAR(TODAY())-1,MONTH(TODAY()),DAY(TODAY())))*(BRON!$T$2:$T$1197&lt;=TODAY()))</f>
        <v>1</v>
      </c>
    </row>
    <row r="156" spans="1:8" x14ac:dyDescent="0.25">
      <c r="A156" s="34" t="s">
        <v>1384</v>
      </c>
      <c r="B156" s="34" t="s">
        <v>1383</v>
      </c>
      <c r="C156" s="36">
        <v>38634</v>
      </c>
      <c r="D156" s="34" t="s">
        <v>3853</v>
      </c>
      <c r="E156" s="34" t="s">
        <v>3860</v>
      </c>
      <c r="F156" s="3">
        <v>45012.083333333299</v>
      </c>
      <c r="G156" s="35">
        <f ca="1">YEAR(TODAY()) - YEAR(F156) - (IF(DATE(YEAR(TODAY()), MONTH(F156), DAY(F156)) &gt; TODAY(), 1, 0))</f>
        <v>2</v>
      </c>
      <c r="H156" s="43" cm="1">
        <f t="array" aca="1" ref="H156" ca="1">SUMPRODUCT((BRON!$A$2:$A$1197=Table1[[#This Row],[Personeelsnummer]])*(BRON!$T$2:$T$1197&gt;=DATE(YEAR(TODAY())-1,MONTH(TODAY()),DAY(TODAY())))*(BRON!$T$2:$T$1197&lt;=TODAY()))</f>
        <v>1</v>
      </c>
    </row>
    <row r="157" spans="1:8" x14ac:dyDescent="0.25">
      <c r="A157" s="34" t="s">
        <v>1706</v>
      </c>
      <c r="B157" s="34" t="s">
        <v>1705</v>
      </c>
      <c r="C157" s="36">
        <v>38688</v>
      </c>
      <c r="D157" s="34" t="s">
        <v>3858</v>
      </c>
      <c r="E157" s="34" t="s">
        <v>3864</v>
      </c>
      <c r="F157" s="3">
        <v>45027.083333333299</v>
      </c>
      <c r="G157" s="35">
        <f ca="1">YEAR(TODAY()) - YEAR(F157) - (IF(DATE(YEAR(TODAY()), MONTH(F157), DAY(F157)) &gt; TODAY(), 1, 0))</f>
        <v>2</v>
      </c>
      <c r="H157" s="43" cm="1">
        <f t="array" aca="1" ref="H157" ca="1">SUMPRODUCT((BRON!$A$2:$A$1197=Table1[[#This Row],[Personeelsnummer]])*(BRON!$T$2:$T$1197&gt;=DATE(YEAR(TODAY())-1,MONTH(TODAY()),DAY(TODAY())))*(BRON!$T$2:$T$1197&lt;=TODAY()))</f>
        <v>1</v>
      </c>
    </row>
    <row r="158" spans="1:8" x14ac:dyDescent="0.25">
      <c r="A158" s="34" t="s">
        <v>2909</v>
      </c>
      <c r="B158" s="34" t="s">
        <v>2908</v>
      </c>
      <c r="C158" s="36">
        <v>38931</v>
      </c>
      <c r="D158" s="34" t="s">
        <v>3858</v>
      </c>
      <c r="E158" s="34" t="s">
        <v>3860</v>
      </c>
      <c r="F158" s="3">
        <v>45040.083333333299</v>
      </c>
      <c r="G158" s="35">
        <f ca="1">YEAR(TODAY()) - YEAR(F158) - (IF(DATE(YEAR(TODAY()), MONTH(F158), DAY(F158)) &gt; TODAY(), 1, 0))</f>
        <v>2</v>
      </c>
      <c r="H158" s="43" cm="1">
        <f t="array" aca="1" ref="H158" ca="1">SUMPRODUCT((BRON!$A$2:$A$1197=Table1[[#This Row],[Personeelsnummer]])*(BRON!$T$2:$T$1197&gt;=DATE(YEAR(TODAY())-1,MONTH(TODAY()),DAY(TODAY())))*(BRON!$T$2:$T$1197&lt;=TODAY()))</f>
        <v>1</v>
      </c>
    </row>
    <row r="159" spans="1:8" x14ac:dyDescent="0.25">
      <c r="A159" s="34" t="s">
        <v>1903</v>
      </c>
      <c r="B159" s="34" t="s">
        <v>1902</v>
      </c>
      <c r="C159" s="36">
        <v>39528</v>
      </c>
      <c r="D159" s="34" t="s">
        <v>3858</v>
      </c>
      <c r="E159" s="34" t="s">
        <v>3859</v>
      </c>
      <c r="F159" s="3">
        <v>45236.041666666701</v>
      </c>
      <c r="G159" s="35">
        <f ca="1">YEAR(TODAY()) - YEAR(F159) - (IF(DATE(YEAR(TODAY()), MONTH(F159), DAY(F159)) &gt; TODAY(), 1, 0))</f>
        <v>2</v>
      </c>
      <c r="H159" s="43" cm="1">
        <f t="array" aca="1" ref="H159" ca="1">SUMPRODUCT((BRON!$A$2:$A$1197=Table1[[#This Row],[Personeelsnummer]])*(BRON!$T$2:$T$1197&gt;=DATE(YEAR(TODAY())-1,MONTH(TODAY()),DAY(TODAY())))*(BRON!$T$2:$T$1197&lt;=TODAY()))</f>
        <v>1</v>
      </c>
    </row>
    <row r="160" spans="1:8" x14ac:dyDescent="0.25">
      <c r="A160" s="34" t="s">
        <v>1210</v>
      </c>
      <c r="B160" s="34" t="s">
        <v>1048</v>
      </c>
      <c r="C160" s="36">
        <v>39712</v>
      </c>
      <c r="D160" s="34" t="s">
        <v>3858</v>
      </c>
      <c r="E160" s="34" t="s">
        <v>3860</v>
      </c>
      <c r="F160" s="3">
        <v>45236.041666666701</v>
      </c>
      <c r="G160" s="35">
        <f ca="1">YEAR(TODAY()) - YEAR(F160) - (IF(DATE(YEAR(TODAY()), MONTH(F160), DAY(F160)) &gt; TODAY(), 1, 0))</f>
        <v>2</v>
      </c>
      <c r="H160" s="43" cm="1">
        <f t="array" aca="1" ref="H160" ca="1">SUMPRODUCT((BRON!$A$2:$A$1197=Table1[[#This Row],[Personeelsnummer]])*(BRON!$T$2:$T$1197&gt;=DATE(YEAR(TODAY())-1,MONTH(TODAY()),DAY(TODAY())))*(BRON!$T$2:$T$1197&lt;=TODAY()))</f>
        <v>1</v>
      </c>
    </row>
    <row r="161" spans="1:8" x14ac:dyDescent="0.25">
      <c r="A161" s="34" t="s">
        <v>2249</v>
      </c>
      <c r="B161" s="34" t="s">
        <v>2248</v>
      </c>
      <c r="C161" s="36">
        <v>34325</v>
      </c>
      <c r="D161" s="34" t="s">
        <v>3853</v>
      </c>
      <c r="E161" s="34" t="s">
        <v>3865</v>
      </c>
      <c r="F161" s="3">
        <v>44971.041666666701</v>
      </c>
      <c r="G161" s="35">
        <f ca="1">YEAR(TODAY()) - YEAR(F161) - (IF(DATE(YEAR(TODAY()), MONTH(F161), DAY(F161)) &gt; TODAY(), 1, 0))</f>
        <v>2</v>
      </c>
      <c r="H161" s="43" cm="1">
        <f t="array" aca="1" ref="H161" ca="1">SUMPRODUCT((BRON!$A$2:$A$1197=Table1[[#This Row],[Personeelsnummer]])*(BRON!$T$2:$T$1197&gt;=DATE(YEAR(TODAY())-1,MONTH(TODAY()),DAY(TODAY())))*(BRON!$T$2:$T$1197&lt;=TODAY()))</f>
        <v>1</v>
      </c>
    </row>
    <row r="162" spans="1:8" x14ac:dyDescent="0.25">
      <c r="A162" s="34" t="s">
        <v>2631</v>
      </c>
      <c r="B162" s="34" t="s">
        <v>2630</v>
      </c>
      <c r="C162" s="36">
        <v>38529</v>
      </c>
      <c r="D162" s="34" t="s">
        <v>3853</v>
      </c>
      <c r="E162" s="34" t="s">
        <v>3864</v>
      </c>
      <c r="F162" s="3">
        <v>44956.041666666701</v>
      </c>
      <c r="G162" s="35">
        <f ca="1">YEAR(TODAY()) - YEAR(F162) - (IF(DATE(YEAR(TODAY()), MONTH(F162), DAY(F162)) &gt; TODAY(), 1, 0))</f>
        <v>2</v>
      </c>
      <c r="H162" s="43" cm="1">
        <f t="array" aca="1" ref="H162" ca="1">SUMPRODUCT((BRON!$A$2:$A$1197=Table1[[#This Row],[Personeelsnummer]])*(BRON!$T$2:$T$1197&gt;=DATE(YEAR(TODAY())-1,MONTH(TODAY()),DAY(TODAY())))*(BRON!$T$2:$T$1197&lt;=TODAY()))</f>
        <v>1</v>
      </c>
    </row>
    <row r="163" spans="1:8" x14ac:dyDescent="0.25">
      <c r="A163" s="34" t="s">
        <v>2604</v>
      </c>
      <c r="B163" s="34" t="s">
        <v>2607</v>
      </c>
      <c r="C163" s="36">
        <v>38808</v>
      </c>
      <c r="D163" s="34" t="s">
        <v>3858</v>
      </c>
      <c r="E163" s="34" t="s">
        <v>3864</v>
      </c>
      <c r="F163" s="3">
        <v>45090.083333333299</v>
      </c>
      <c r="G163" s="35">
        <f ca="1">YEAR(TODAY()) - YEAR(F163) - (IF(DATE(YEAR(TODAY()), MONTH(F163), DAY(F163)) &gt; TODAY(), 1, 0))</f>
        <v>2</v>
      </c>
      <c r="H163" s="43" cm="1">
        <f t="array" aca="1" ref="H163" ca="1">SUMPRODUCT((BRON!$A$2:$A$1197=Table1[[#This Row],[Personeelsnummer]])*(BRON!$T$2:$T$1197&gt;=DATE(YEAR(TODAY())-1,MONTH(TODAY()),DAY(TODAY())))*(BRON!$T$2:$T$1197&lt;=TODAY()))</f>
        <v>1</v>
      </c>
    </row>
    <row r="164" spans="1:8" x14ac:dyDescent="0.25">
      <c r="A164" s="34" t="s">
        <v>2789</v>
      </c>
      <c r="B164" s="34" t="s">
        <v>2788</v>
      </c>
      <c r="C164" s="36">
        <v>37208</v>
      </c>
      <c r="D164" s="34" t="s">
        <v>3853</v>
      </c>
      <c r="E164" s="34" t="s">
        <v>3854</v>
      </c>
      <c r="F164" s="3">
        <v>44641.041666666701</v>
      </c>
      <c r="G164" s="35">
        <f ca="1">YEAR(TODAY()) - YEAR(F164) - (IF(DATE(YEAR(TODAY()), MONTH(F164), DAY(F164)) &gt; TODAY(), 1, 0))</f>
        <v>3</v>
      </c>
      <c r="H164" s="43" cm="1">
        <f t="array" aca="1" ref="H164" ca="1">SUMPRODUCT((BRON!$A$2:$A$1197=Table1[[#This Row],[Personeelsnummer]])*(BRON!$T$2:$T$1197&gt;=DATE(YEAR(TODAY())-1,MONTH(TODAY()),DAY(TODAY())))*(BRON!$T$2:$T$1197&lt;=TODAY()))</f>
        <v>1</v>
      </c>
    </row>
    <row r="165" spans="1:8" x14ac:dyDescent="0.25">
      <c r="A165" s="34" t="s">
        <v>1326</v>
      </c>
      <c r="B165" s="34" t="s">
        <v>2992</v>
      </c>
      <c r="C165" s="36">
        <v>37222</v>
      </c>
      <c r="D165" s="34" t="s">
        <v>3858</v>
      </c>
      <c r="E165" s="34" t="s">
        <v>3861</v>
      </c>
      <c r="F165" s="3">
        <v>44599.041666666701</v>
      </c>
      <c r="G165" s="35">
        <f ca="1">YEAR(TODAY()) - YEAR(F165) - (IF(DATE(YEAR(TODAY()), MONTH(F165), DAY(F165)) &gt; TODAY(), 1, 0))</f>
        <v>3</v>
      </c>
      <c r="H165" s="43" cm="1">
        <f t="array" aca="1" ref="H165" ca="1">SUMPRODUCT((BRON!$A$2:$A$1197=Table1[[#This Row],[Personeelsnummer]])*(BRON!$T$2:$T$1197&gt;=DATE(YEAR(TODAY())-1,MONTH(TODAY()),DAY(TODAY())))*(BRON!$T$2:$T$1197&lt;=TODAY()))</f>
        <v>1</v>
      </c>
    </row>
    <row r="166" spans="1:8" x14ac:dyDescent="0.25">
      <c r="A166" s="34" t="s">
        <v>2866</v>
      </c>
      <c r="B166" s="34" t="s">
        <v>1811</v>
      </c>
      <c r="C166" s="36">
        <v>37744</v>
      </c>
      <c r="D166" s="34" t="s">
        <v>3853</v>
      </c>
      <c r="E166" s="34" t="s">
        <v>3866</v>
      </c>
      <c r="F166" s="3">
        <v>44753.083333333299</v>
      </c>
      <c r="G166" s="35">
        <f ca="1">YEAR(TODAY()) - YEAR(F166) - (IF(DATE(YEAR(TODAY()), MONTH(F166), DAY(F166)) &gt; TODAY(), 1, 0))</f>
        <v>3</v>
      </c>
      <c r="H166" s="43" cm="1">
        <f t="array" aca="1" ref="H166" ca="1">SUMPRODUCT((BRON!$A$2:$A$1197=Table1[[#This Row],[Personeelsnummer]])*(BRON!$T$2:$T$1197&gt;=DATE(YEAR(TODAY())-1,MONTH(TODAY()),DAY(TODAY())))*(BRON!$T$2:$T$1197&lt;=TODAY()))</f>
        <v>1</v>
      </c>
    </row>
    <row r="167" spans="1:8" x14ac:dyDescent="0.25">
      <c r="A167" s="34" t="s">
        <v>2203</v>
      </c>
      <c r="B167" s="34" t="s">
        <v>2206</v>
      </c>
      <c r="C167" s="36">
        <v>37908</v>
      </c>
      <c r="D167" s="34" t="s">
        <v>3858</v>
      </c>
      <c r="E167" s="34" t="s">
        <v>3865</v>
      </c>
      <c r="F167" s="3">
        <v>44823.083333333299</v>
      </c>
      <c r="G167" s="35">
        <f ca="1">YEAR(TODAY()) - YEAR(F167) - (IF(DATE(YEAR(TODAY()), MONTH(F167), DAY(F167)) &gt; TODAY(), 1, 0))</f>
        <v>3</v>
      </c>
      <c r="H167" s="43" cm="1">
        <f t="array" aca="1" ref="H167" ca="1">SUMPRODUCT((BRON!$A$2:$A$1197=Table1[[#This Row],[Personeelsnummer]])*(BRON!$T$2:$T$1197&gt;=DATE(YEAR(TODAY())-1,MONTH(TODAY()),DAY(TODAY())))*(BRON!$T$2:$T$1197&lt;=TODAY()))</f>
        <v>1</v>
      </c>
    </row>
    <row r="168" spans="1:8" x14ac:dyDescent="0.25">
      <c r="A168" s="34" t="s">
        <v>2667</v>
      </c>
      <c r="B168" s="34" t="s">
        <v>2666</v>
      </c>
      <c r="C168" s="36">
        <v>38035</v>
      </c>
      <c r="D168" s="34" t="s">
        <v>3858</v>
      </c>
      <c r="E168" s="34" t="s">
        <v>3860</v>
      </c>
      <c r="F168" s="3">
        <v>44837.083333333299</v>
      </c>
      <c r="G168" s="35">
        <f ca="1">YEAR(TODAY()) - YEAR(F168) - (IF(DATE(YEAR(TODAY()), MONTH(F168), DAY(F168)) &gt; TODAY(), 1, 0))</f>
        <v>3</v>
      </c>
      <c r="H168" s="43" cm="1">
        <f t="array" aca="1" ref="H168" ca="1">SUMPRODUCT((BRON!$A$2:$A$1197=Table1[[#This Row],[Personeelsnummer]])*(BRON!$T$2:$T$1197&gt;=DATE(YEAR(TODAY())-1,MONTH(TODAY()),DAY(TODAY())))*(BRON!$T$2:$T$1197&lt;=TODAY()))</f>
        <v>1</v>
      </c>
    </row>
    <row r="169" spans="1:8" x14ac:dyDescent="0.25">
      <c r="A169" s="34" t="s">
        <v>2137</v>
      </c>
      <c r="B169" s="34" t="s">
        <v>2136</v>
      </c>
      <c r="C169" s="36">
        <v>37179</v>
      </c>
      <c r="D169" s="34" t="s">
        <v>3853</v>
      </c>
      <c r="E169" s="34" t="s">
        <v>3860</v>
      </c>
      <c r="F169" s="3">
        <v>44571.041666666701</v>
      </c>
      <c r="G169" s="35">
        <f ca="1">YEAR(TODAY()) - YEAR(F169) - (IF(DATE(YEAR(TODAY()), MONTH(F169), DAY(F169)) &gt; TODAY(), 1, 0))</f>
        <v>3</v>
      </c>
      <c r="H169" s="43" cm="1">
        <f t="array" aca="1" ref="H169" ca="1">SUMPRODUCT((BRON!$A$2:$A$1197=Table1[[#This Row],[Personeelsnummer]])*(BRON!$T$2:$T$1197&gt;=DATE(YEAR(TODAY())-1,MONTH(TODAY()),DAY(TODAY())))*(BRON!$T$2:$T$1197&lt;=TODAY()))</f>
        <v>1</v>
      </c>
    </row>
    <row r="170" spans="1:8" x14ac:dyDescent="0.25">
      <c r="A170" s="34" t="s">
        <v>1877</v>
      </c>
      <c r="B170" s="34" t="s">
        <v>1876</v>
      </c>
      <c r="C170" s="36">
        <v>37254</v>
      </c>
      <c r="D170" s="34" t="s">
        <v>3853</v>
      </c>
      <c r="E170" s="34" t="s">
        <v>3854</v>
      </c>
      <c r="F170" s="3">
        <v>44585.041666666701</v>
      </c>
      <c r="G170" s="35">
        <f ca="1">YEAR(TODAY()) - YEAR(F170) - (IF(DATE(YEAR(TODAY()), MONTH(F170), DAY(F170)) &gt; TODAY(), 1, 0))</f>
        <v>3</v>
      </c>
      <c r="H170" s="43" cm="1">
        <f t="array" aca="1" ref="H170" ca="1">SUMPRODUCT((BRON!$A$2:$A$1197=Table1[[#This Row],[Personeelsnummer]])*(BRON!$T$2:$T$1197&gt;=DATE(YEAR(TODAY())-1,MONTH(TODAY()),DAY(TODAY())))*(BRON!$T$2:$T$1197&lt;=TODAY()))</f>
        <v>2</v>
      </c>
    </row>
    <row r="171" spans="1:8" x14ac:dyDescent="0.25">
      <c r="A171" s="34" t="s">
        <v>3388</v>
      </c>
      <c r="B171" s="34" t="s">
        <v>3391</v>
      </c>
      <c r="C171" s="36">
        <v>37936</v>
      </c>
      <c r="D171" s="34" t="s">
        <v>3858</v>
      </c>
      <c r="E171" s="34" t="s">
        <v>3865</v>
      </c>
      <c r="F171" s="3">
        <v>44837.083333333299</v>
      </c>
      <c r="G171" s="35">
        <f ca="1">YEAR(TODAY()) - YEAR(F171) - (IF(DATE(YEAR(TODAY()), MONTH(F171), DAY(F171)) &gt; TODAY(), 1, 0))</f>
        <v>3</v>
      </c>
      <c r="H171" s="43" cm="1">
        <f t="array" aca="1" ref="H171" ca="1">SUMPRODUCT((BRON!$A$2:$A$1197=Table1[[#This Row],[Personeelsnummer]])*(BRON!$T$2:$T$1197&gt;=DATE(YEAR(TODAY())-1,MONTH(TODAY()),DAY(TODAY())))*(BRON!$T$2:$T$1197&lt;=TODAY()))</f>
        <v>1</v>
      </c>
    </row>
    <row r="172" spans="1:8" x14ac:dyDescent="0.25">
      <c r="A172" s="34" t="s">
        <v>2462</v>
      </c>
      <c r="B172" s="34" t="s">
        <v>1557</v>
      </c>
      <c r="C172" s="36">
        <v>37809</v>
      </c>
      <c r="D172" s="34" t="s">
        <v>3858</v>
      </c>
      <c r="E172" s="34" t="s">
        <v>3865</v>
      </c>
      <c r="F172" s="3">
        <v>44809.083333333299</v>
      </c>
      <c r="G172" s="35">
        <f ca="1">YEAR(TODAY()) - YEAR(F172) - (IF(DATE(YEAR(TODAY()), MONTH(F172), DAY(F172)) &gt; TODAY(), 1, 0))</f>
        <v>3</v>
      </c>
      <c r="H172" s="43" cm="1">
        <f t="array" aca="1" ref="H172" ca="1">SUMPRODUCT((BRON!$A$2:$A$1197=Table1[[#This Row],[Personeelsnummer]])*(BRON!$T$2:$T$1197&gt;=DATE(YEAR(TODAY())-1,MONTH(TODAY()),DAY(TODAY())))*(BRON!$T$2:$T$1197&lt;=TODAY()))</f>
        <v>1</v>
      </c>
    </row>
    <row r="173" spans="1:8" x14ac:dyDescent="0.25">
      <c r="A173" s="34" t="s">
        <v>3181</v>
      </c>
      <c r="B173" s="34" t="s">
        <v>3184</v>
      </c>
      <c r="C173" s="36">
        <v>37950</v>
      </c>
      <c r="D173" s="34" t="s">
        <v>3858</v>
      </c>
      <c r="E173" s="34" t="s">
        <v>3866</v>
      </c>
      <c r="F173" s="3">
        <v>44809.083333333299</v>
      </c>
      <c r="G173" s="35">
        <f ca="1">YEAR(TODAY()) - YEAR(F173) - (IF(DATE(YEAR(TODAY()), MONTH(F173), DAY(F173)) &gt; TODAY(), 1, 0))</f>
        <v>3</v>
      </c>
      <c r="H173" s="43" cm="1">
        <f t="array" aca="1" ref="H173" ca="1">SUMPRODUCT((BRON!$A$2:$A$1197=Table1[[#This Row],[Personeelsnummer]])*(BRON!$T$2:$T$1197&gt;=DATE(YEAR(TODAY())-1,MONTH(TODAY()),DAY(TODAY())))*(BRON!$T$2:$T$1197&lt;=TODAY()))</f>
        <v>1</v>
      </c>
    </row>
    <row r="174" spans="1:8" x14ac:dyDescent="0.25">
      <c r="A174" s="34" t="s">
        <v>2093</v>
      </c>
      <c r="B174" s="34" t="s">
        <v>2099</v>
      </c>
      <c r="C174" s="36">
        <v>37439</v>
      </c>
      <c r="D174" s="34" t="s">
        <v>3853</v>
      </c>
      <c r="E174" s="34" t="s">
        <v>3854</v>
      </c>
      <c r="F174" s="3">
        <v>44655.083333333299</v>
      </c>
      <c r="G174" s="35">
        <f ca="1">YEAR(TODAY()) - YEAR(F174) - (IF(DATE(YEAR(TODAY()), MONTH(F174), DAY(F174)) &gt; TODAY(), 1, 0))</f>
        <v>3</v>
      </c>
      <c r="H174" s="43" cm="1">
        <f t="array" aca="1" ref="H174" ca="1">SUMPRODUCT((BRON!$A$2:$A$1197=Table1[[#This Row],[Personeelsnummer]])*(BRON!$T$2:$T$1197&gt;=DATE(YEAR(TODAY())-1,MONTH(TODAY()),DAY(TODAY())))*(BRON!$T$2:$T$1197&lt;=TODAY()))</f>
        <v>1</v>
      </c>
    </row>
    <row r="175" spans="1:8" x14ac:dyDescent="0.25">
      <c r="A175" s="34" t="s">
        <v>2754</v>
      </c>
      <c r="B175" s="34" t="s">
        <v>2753</v>
      </c>
      <c r="C175" s="36">
        <v>37542</v>
      </c>
      <c r="D175" s="34" t="s">
        <v>3853</v>
      </c>
      <c r="E175" s="34" t="s">
        <v>3860</v>
      </c>
      <c r="F175" s="3">
        <v>44683.083333333299</v>
      </c>
      <c r="G175" s="35">
        <f ca="1">YEAR(TODAY()) - YEAR(F175) - (IF(DATE(YEAR(TODAY()), MONTH(F175), DAY(F175)) &gt; TODAY(), 1, 0))</f>
        <v>3</v>
      </c>
      <c r="H175" s="43" cm="1">
        <f t="array" aca="1" ref="H175" ca="1">SUMPRODUCT((BRON!$A$2:$A$1197=Table1[[#This Row],[Personeelsnummer]])*(BRON!$T$2:$T$1197&gt;=DATE(YEAR(TODAY())-1,MONTH(TODAY()),DAY(TODAY())))*(BRON!$T$2:$T$1197&lt;=TODAY()))</f>
        <v>1</v>
      </c>
    </row>
    <row r="176" spans="1:8" x14ac:dyDescent="0.25">
      <c r="A176" s="34" t="s">
        <v>1616</v>
      </c>
      <c r="B176" s="34" t="s">
        <v>1495</v>
      </c>
      <c r="C176" s="36">
        <v>36154</v>
      </c>
      <c r="D176" s="34" t="s">
        <v>3857</v>
      </c>
      <c r="E176" s="34" t="s">
        <v>3861</v>
      </c>
      <c r="F176" s="3">
        <v>44214.041666666701</v>
      </c>
      <c r="G176" s="35">
        <f ca="1">YEAR(TODAY()) - YEAR(F176) - (IF(DATE(YEAR(TODAY()), MONTH(F176), DAY(F176)) &gt; TODAY(), 1, 0))</f>
        <v>4</v>
      </c>
      <c r="H176" s="43" cm="1">
        <f t="array" aca="1" ref="H176" ca="1">SUMPRODUCT((BRON!$A$2:$A$1197=Table1[[#This Row],[Personeelsnummer]])*(BRON!$T$2:$T$1197&gt;=DATE(YEAR(TODAY())-1,MONTH(TODAY()),DAY(TODAY())))*(BRON!$T$2:$T$1197&lt;=TODAY()))</f>
        <v>1</v>
      </c>
    </row>
    <row r="177" spans="1:8" x14ac:dyDescent="0.25">
      <c r="A177" s="34" t="s">
        <v>1812</v>
      </c>
      <c r="B177" s="34" t="s">
        <v>1811</v>
      </c>
      <c r="C177" s="36">
        <v>36505</v>
      </c>
      <c r="D177" s="34" t="s">
        <v>3853</v>
      </c>
      <c r="E177" s="34" t="s">
        <v>3854</v>
      </c>
      <c r="F177" s="3">
        <v>44333.083333333299</v>
      </c>
      <c r="G177" s="35">
        <f ca="1">YEAR(TODAY()) - YEAR(F177) - (IF(DATE(YEAR(TODAY()), MONTH(F177), DAY(F177)) &gt; TODAY(), 1, 0))</f>
        <v>4</v>
      </c>
      <c r="H177" s="43" cm="1">
        <f t="array" aca="1" ref="H177" ca="1">SUMPRODUCT((BRON!$A$2:$A$1197=Table1[[#This Row],[Personeelsnummer]])*(BRON!$T$2:$T$1197&gt;=DATE(YEAR(TODAY())-1,MONTH(TODAY()),DAY(TODAY())))*(BRON!$T$2:$T$1197&lt;=TODAY()))</f>
        <v>1</v>
      </c>
    </row>
    <row r="178" spans="1:8" x14ac:dyDescent="0.25">
      <c r="A178" s="34" t="s">
        <v>2257</v>
      </c>
      <c r="B178" s="34" t="s">
        <v>2256</v>
      </c>
      <c r="C178" s="36">
        <v>36577</v>
      </c>
      <c r="D178" s="34" t="s">
        <v>3858</v>
      </c>
      <c r="E178" s="34" t="s">
        <v>3864</v>
      </c>
      <c r="F178" s="3">
        <v>44389.083333333299</v>
      </c>
      <c r="G178" s="35">
        <f ca="1">YEAR(TODAY()) - YEAR(F178) - (IF(DATE(YEAR(TODAY()), MONTH(F178), DAY(F178)) &gt; TODAY(), 1, 0))</f>
        <v>4</v>
      </c>
      <c r="H178" s="43" cm="1">
        <f t="array" aca="1" ref="H178" ca="1">SUMPRODUCT((BRON!$A$2:$A$1197=Table1[[#This Row],[Personeelsnummer]])*(BRON!$T$2:$T$1197&gt;=DATE(YEAR(TODAY())-1,MONTH(TODAY()),DAY(TODAY())))*(BRON!$T$2:$T$1197&lt;=TODAY()))</f>
        <v>1</v>
      </c>
    </row>
    <row r="179" spans="1:8" x14ac:dyDescent="0.25">
      <c r="A179" s="34" t="s">
        <v>1918</v>
      </c>
      <c r="B179" s="34" t="s">
        <v>1922</v>
      </c>
      <c r="C179" s="36">
        <v>36820</v>
      </c>
      <c r="D179" s="34" t="s">
        <v>3858</v>
      </c>
      <c r="E179" s="34" t="s">
        <v>3865</v>
      </c>
      <c r="F179" s="3">
        <v>44473.083333333299</v>
      </c>
      <c r="G179" s="35">
        <f ca="1">YEAR(TODAY()) - YEAR(F179) - (IF(DATE(YEAR(TODAY()), MONTH(F179), DAY(F179)) &gt; TODAY(), 1, 0))</f>
        <v>4</v>
      </c>
      <c r="H179" s="43" cm="1">
        <f t="array" aca="1" ref="H179" ca="1">SUMPRODUCT((BRON!$A$2:$A$1197=Table1[[#This Row],[Personeelsnummer]])*(BRON!$T$2:$T$1197&gt;=DATE(YEAR(TODAY())-1,MONTH(TODAY()),DAY(TODAY())))*(BRON!$T$2:$T$1197&lt;=TODAY()))</f>
        <v>1</v>
      </c>
    </row>
    <row r="180" spans="1:8" x14ac:dyDescent="0.25">
      <c r="A180" s="34" t="s">
        <v>2663</v>
      </c>
      <c r="B180" s="34" t="s">
        <v>2662</v>
      </c>
      <c r="C180" s="36">
        <v>30321</v>
      </c>
      <c r="D180" s="34" t="s">
        <v>3853</v>
      </c>
      <c r="E180" s="34" t="s">
        <v>3854</v>
      </c>
      <c r="F180" s="3">
        <v>44348.083333333299</v>
      </c>
      <c r="G180" s="35">
        <f ca="1">YEAR(TODAY()) - YEAR(F180) - (IF(DATE(YEAR(TODAY()), MONTH(F180), DAY(F180)) &gt; TODAY(), 1, 0))</f>
        <v>4</v>
      </c>
      <c r="H180" s="43" cm="1">
        <f t="array" aca="1" ref="H180" ca="1">SUMPRODUCT((BRON!$A$2:$A$1197=Table1[[#This Row],[Personeelsnummer]])*(BRON!$T$2:$T$1197&gt;=DATE(YEAR(TODAY())-1,MONTH(TODAY()),DAY(TODAY())))*(BRON!$T$2:$T$1197&lt;=TODAY()))</f>
        <v>1</v>
      </c>
    </row>
    <row r="181" spans="1:8" x14ac:dyDescent="0.25">
      <c r="A181" s="34" t="s">
        <v>2957</v>
      </c>
      <c r="B181" s="34" t="s">
        <v>2956</v>
      </c>
      <c r="C181" s="36">
        <v>36358</v>
      </c>
      <c r="D181" s="34" t="s">
        <v>3853</v>
      </c>
      <c r="E181" s="34" t="s">
        <v>3864</v>
      </c>
      <c r="F181" s="3">
        <v>44270.041666666701</v>
      </c>
      <c r="G181" s="35">
        <f ca="1">YEAR(TODAY()) - YEAR(F181) - (IF(DATE(YEAR(TODAY()), MONTH(F181), DAY(F181)) &gt; TODAY(), 1, 0))</f>
        <v>4</v>
      </c>
      <c r="H181" s="43" cm="1">
        <f t="array" aca="1" ref="H181" ca="1">SUMPRODUCT((BRON!$A$2:$A$1197=Table1[[#This Row],[Personeelsnummer]])*(BRON!$T$2:$T$1197&gt;=DATE(YEAR(TODAY())-1,MONTH(TODAY()),DAY(TODAY())))*(BRON!$T$2:$T$1197&lt;=TODAY()))</f>
        <v>2</v>
      </c>
    </row>
    <row r="182" spans="1:8" x14ac:dyDescent="0.25">
      <c r="A182" s="34" t="s">
        <v>1733</v>
      </c>
      <c r="B182" s="34" t="s">
        <v>1741</v>
      </c>
      <c r="C182" s="36">
        <v>36559</v>
      </c>
      <c r="D182" s="34" t="s">
        <v>3853</v>
      </c>
      <c r="E182" s="34" t="s">
        <v>3854</v>
      </c>
      <c r="F182" s="3">
        <v>44347.083333333299</v>
      </c>
      <c r="G182" s="35">
        <f ca="1">YEAR(TODAY()) - YEAR(F182) - (IF(DATE(YEAR(TODAY()), MONTH(F182), DAY(F182)) &gt; TODAY(), 1, 0))</f>
        <v>4</v>
      </c>
      <c r="H182" s="43" cm="1">
        <f t="array" aca="1" ref="H182" ca="1">SUMPRODUCT((BRON!$A$2:$A$1197=Table1[[#This Row],[Personeelsnummer]])*(BRON!$T$2:$T$1197&gt;=DATE(YEAR(TODAY())-1,MONTH(TODAY()),DAY(TODAY())))*(BRON!$T$2:$T$1197&lt;=TODAY()))</f>
        <v>1</v>
      </c>
    </row>
    <row r="183" spans="1:8" x14ac:dyDescent="0.25">
      <c r="A183" s="34" t="s">
        <v>2394</v>
      </c>
      <c r="B183" s="34" t="s">
        <v>2397</v>
      </c>
      <c r="C183" s="36">
        <v>36624</v>
      </c>
      <c r="D183" s="34" t="s">
        <v>3858</v>
      </c>
      <c r="E183" s="34" t="s">
        <v>3866</v>
      </c>
      <c r="F183" s="3">
        <v>44375.083333333299</v>
      </c>
      <c r="G183" s="35">
        <f ca="1">YEAR(TODAY()) - YEAR(F183) - (IF(DATE(YEAR(TODAY()), MONTH(F183), DAY(F183)) &gt; TODAY(), 1, 0))</f>
        <v>4</v>
      </c>
      <c r="H183" s="43" cm="1">
        <f t="array" aca="1" ref="H183" ca="1">SUMPRODUCT((BRON!$A$2:$A$1197=Table1[[#This Row],[Personeelsnummer]])*(BRON!$T$2:$T$1197&gt;=DATE(YEAR(TODAY())-1,MONTH(TODAY()),DAY(TODAY())))*(BRON!$T$2:$T$1197&lt;=TODAY()))</f>
        <v>1</v>
      </c>
    </row>
    <row r="184" spans="1:8" x14ac:dyDescent="0.25">
      <c r="A184" s="34" t="s">
        <v>2220</v>
      </c>
      <c r="B184" s="34" t="s">
        <v>2219</v>
      </c>
      <c r="C184" s="36">
        <v>35216</v>
      </c>
      <c r="D184" s="34" t="s">
        <v>3853</v>
      </c>
      <c r="E184" s="34" t="s">
        <v>3861</v>
      </c>
      <c r="F184" s="3">
        <v>43892.041666666701</v>
      </c>
      <c r="G184" s="35">
        <f ca="1">YEAR(TODAY()) - YEAR(F184) - (IF(DATE(YEAR(TODAY()), MONTH(F184), DAY(F184)) &gt; TODAY(), 1, 0))</f>
        <v>5</v>
      </c>
      <c r="H184" s="43" cm="1">
        <f t="array" aca="1" ref="H184" ca="1">SUMPRODUCT((BRON!$A$2:$A$1197=Table1[[#This Row],[Personeelsnummer]])*(BRON!$T$2:$T$1197&gt;=DATE(YEAR(TODAY())-1,MONTH(TODAY()),DAY(TODAY())))*(BRON!$T$2:$T$1197&lt;=TODAY()))</f>
        <v>1</v>
      </c>
    </row>
    <row r="185" spans="1:8" x14ac:dyDescent="0.25">
      <c r="A185" s="34" t="s">
        <v>3191</v>
      </c>
      <c r="B185" s="34" t="s">
        <v>3190</v>
      </c>
      <c r="C185" s="36">
        <v>35490</v>
      </c>
      <c r="D185" s="34" t="s">
        <v>3858</v>
      </c>
      <c r="E185" s="34" t="s">
        <v>3865</v>
      </c>
      <c r="F185" s="3">
        <v>44025.083333333299</v>
      </c>
      <c r="G185" s="35">
        <f ca="1">YEAR(TODAY()) - YEAR(F185) - (IF(DATE(YEAR(TODAY()), MONTH(F185), DAY(F185)) &gt; TODAY(), 1, 0))</f>
        <v>5</v>
      </c>
      <c r="H185" s="43" cm="1">
        <f t="array" aca="1" ref="H185" ca="1">SUMPRODUCT((BRON!$A$2:$A$1197=Table1[[#This Row],[Personeelsnummer]])*(BRON!$T$2:$T$1197&gt;=DATE(YEAR(TODAY())-1,MONTH(TODAY()),DAY(TODAY())))*(BRON!$T$2:$T$1197&lt;=TODAY()))</f>
        <v>1</v>
      </c>
    </row>
    <row r="186" spans="1:8" x14ac:dyDescent="0.25">
      <c r="A186" s="34" t="s">
        <v>2311</v>
      </c>
      <c r="B186" s="34" t="s">
        <v>2320</v>
      </c>
      <c r="C186" s="36">
        <v>35495</v>
      </c>
      <c r="D186" s="34" t="s">
        <v>3853</v>
      </c>
      <c r="E186" s="34" t="s">
        <v>3854</v>
      </c>
      <c r="F186" s="3">
        <v>44025.083333333299</v>
      </c>
      <c r="G186" s="35">
        <f ca="1">YEAR(TODAY()) - YEAR(F186) - (IF(DATE(YEAR(TODAY()), MONTH(F186), DAY(F186)) &gt; TODAY(), 1, 0))</f>
        <v>5</v>
      </c>
      <c r="H186" s="43" cm="1">
        <f t="array" aca="1" ref="H186" ca="1">SUMPRODUCT((BRON!$A$2:$A$1197=Table1[[#This Row],[Personeelsnummer]])*(BRON!$T$2:$T$1197&gt;=DATE(YEAR(TODAY())-1,MONTH(TODAY()),DAY(TODAY())))*(BRON!$T$2:$T$1197&lt;=TODAY()))</f>
        <v>1</v>
      </c>
    </row>
    <row r="187" spans="1:8" x14ac:dyDescent="0.25">
      <c r="A187" s="34" t="s">
        <v>1389</v>
      </c>
      <c r="B187" s="34" t="s">
        <v>1388</v>
      </c>
      <c r="C187" s="36">
        <v>35619</v>
      </c>
      <c r="D187" s="34" t="s">
        <v>3853</v>
      </c>
      <c r="E187" s="34" t="s">
        <v>3865</v>
      </c>
      <c r="F187" s="3">
        <v>44067.083333333299</v>
      </c>
      <c r="G187" s="35">
        <f ca="1">YEAR(TODAY()) - YEAR(F187) - (IF(DATE(YEAR(TODAY()), MONTH(F187), DAY(F187)) &gt; TODAY(), 1, 0))</f>
        <v>5</v>
      </c>
      <c r="H187" s="43" cm="1">
        <f t="array" aca="1" ref="H187" ca="1">SUMPRODUCT((BRON!$A$2:$A$1197=Table1[[#This Row],[Personeelsnummer]])*(BRON!$T$2:$T$1197&gt;=DATE(YEAR(TODAY())-1,MONTH(TODAY()),DAY(TODAY())))*(BRON!$T$2:$T$1197&lt;=TODAY()))</f>
        <v>1</v>
      </c>
    </row>
    <row r="188" spans="1:8" x14ac:dyDescent="0.25">
      <c r="A188" s="34" t="s">
        <v>2516</v>
      </c>
      <c r="B188" s="34" t="s">
        <v>1255</v>
      </c>
      <c r="C188" s="36">
        <v>35246</v>
      </c>
      <c r="D188" s="34" t="s">
        <v>3853</v>
      </c>
      <c r="E188" s="34" t="s">
        <v>3863</v>
      </c>
      <c r="F188" s="3">
        <v>43906.041666666701</v>
      </c>
      <c r="G188" s="35">
        <f ca="1">YEAR(TODAY()) - YEAR(F188) - (IF(DATE(YEAR(TODAY()), MONTH(F188), DAY(F188)) &gt; TODAY(), 1, 0))</f>
        <v>5</v>
      </c>
      <c r="H188" s="43" cm="1">
        <f t="array" aca="1" ref="H188" ca="1">SUMPRODUCT((BRON!$A$2:$A$1197=Table1[[#This Row],[Personeelsnummer]])*(BRON!$T$2:$T$1197&gt;=DATE(YEAR(TODAY())-1,MONTH(TODAY()),DAY(TODAY())))*(BRON!$T$2:$T$1197&lt;=TODAY()))</f>
        <v>1</v>
      </c>
    </row>
    <row r="189" spans="1:8" x14ac:dyDescent="0.25">
      <c r="A189" s="34" t="s">
        <v>1766</v>
      </c>
      <c r="B189" s="34" t="s">
        <v>1490</v>
      </c>
      <c r="C189" s="36">
        <v>35379</v>
      </c>
      <c r="D189" s="34" t="s">
        <v>3853</v>
      </c>
      <c r="E189" s="34" t="s">
        <v>3863</v>
      </c>
      <c r="F189" s="3">
        <v>43969.083333333299</v>
      </c>
      <c r="G189" s="35">
        <f ca="1">YEAR(TODAY()) - YEAR(F189) - (IF(DATE(YEAR(TODAY()), MONTH(F189), DAY(F189)) &gt; TODAY(), 1, 0))</f>
        <v>5</v>
      </c>
      <c r="H189" s="43" cm="1">
        <f t="array" aca="1" ref="H189" ca="1">SUMPRODUCT((BRON!$A$2:$A$1197=Table1[[#This Row],[Personeelsnummer]])*(BRON!$T$2:$T$1197&gt;=DATE(YEAR(TODAY())-1,MONTH(TODAY()),DAY(TODAY())))*(BRON!$T$2:$T$1197&lt;=TODAY()))</f>
        <v>2</v>
      </c>
    </row>
    <row r="190" spans="1:8" x14ac:dyDescent="0.25">
      <c r="A190" s="34" t="s">
        <v>2745</v>
      </c>
      <c r="B190" s="34" t="s">
        <v>2744</v>
      </c>
      <c r="C190" s="36">
        <v>35395</v>
      </c>
      <c r="D190" s="34" t="s">
        <v>3857</v>
      </c>
      <c r="E190" s="34" t="s">
        <v>3865</v>
      </c>
      <c r="F190" s="3">
        <v>43980.083333333299</v>
      </c>
      <c r="G190" s="35">
        <f ca="1">YEAR(TODAY()) - YEAR(F190) - (IF(DATE(YEAR(TODAY()), MONTH(F190), DAY(F190)) &gt; TODAY(), 1, 0))</f>
        <v>5</v>
      </c>
      <c r="H190" s="43" cm="1">
        <f t="array" aca="1" ref="H190" ca="1">SUMPRODUCT((BRON!$A$2:$A$1197=Table1[[#This Row],[Personeelsnummer]])*(BRON!$T$2:$T$1197&gt;=DATE(YEAR(TODAY())-1,MONTH(TODAY()),DAY(TODAY())))*(BRON!$T$2:$T$1197&lt;=TODAY()))</f>
        <v>1</v>
      </c>
    </row>
    <row r="191" spans="1:8" x14ac:dyDescent="0.25">
      <c r="A191" s="34" t="s">
        <v>3015</v>
      </c>
      <c r="B191" s="34" t="s">
        <v>3021</v>
      </c>
      <c r="C191" s="36">
        <v>35430</v>
      </c>
      <c r="D191" s="34" t="s">
        <v>3858</v>
      </c>
      <c r="E191" s="34" t="s">
        <v>3863</v>
      </c>
      <c r="F191" s="3">
        <v>44011.083333333299</v>
      </c>
      <c r="G191" s="35">
        <f ca="1">YEAR(TODAY()) - YEAR(F191) - (IF(DATE(YEAR(TODAY()), MONTH(F191), DAY(F191)) &gt; TODAY(), 1, 0))</f>
        <v>5</v>
      </c>
      <c r="H191" s="43" cm="1">
        <f t="array" aca="1" ref="H191" ca="1">SUMPRODUCT((BRON!$A$2:$A$1197=Table1[[#This Row],[Personeelsnummer]])*(BRON!$T$2:$T$1197&gt;=DATE(YEAR(TODAY())-1,MONTH(TODAY()),DAY(TODAY())))*(BRON!$T$2:$T$1197&lt;=TODAY()))</f>
        <v>1</v>
      </c>
    </row>
    <row r="192" spans="1:8" x14ac:dyDescent="0.25">
      <c r="A192" s="34" t="s">
        <v>2706</v>
      </c>
      <c r="B192" s="34" t="s">
        <v>2705</v>
      </c>
      <c r="C192" s="36">
        <v>35450</v>
      </c>
      <c r="D192" s="34" t="s">
        <v>3858</v>
      </c>
      <c r="E192" s="34" t="s">
        <v>3864</v>
      </c>
      <c r="F192" s="3">
        <v>43997.083333333299</v>
      </c>
      <c r="G192" s="35">
        <f ca="1">YEAR(TODAY()) - YEAR(F192) - (IF(DATE(YEAR(TODAY()), MONTH(F192), DAY(F192)) &gt; TODAY(), 1, 0))</f>
        <v>5</v>
      </c>
      <c r="H192" s="43" cm="1">
        <f t="array" aca="1" ref="H192" ca="1">SUMPRODUCT((BRON!$A$2:$A$1197=Table1[[#This Row],[Personeelsnummer]])*(BRON!$T$2:$T$1197&gt;=DATE(YEAR(TODAY())-1,MONTH(TODAY()),DAY(TODAY())))*(BRON!$T$2:$T$1197&lt;=TODAY()))</f>
        <v>1</v>
      </c>
    </row>
    <row r="193" spans="1:8" x14ac:dyDescent="0.25">
      <c r="A193" s="34" t="s">
        <v>1550</v>
      </c>
      <c r="B193" s="34" t="s">
        <v>1554</v>
      </c>
      <c r="C193" s="36">
        <v>35463</v>
      </c>
      <c r="D193" s="34" t="s">
        <v>3853</v>
      </c>
      <c r="E193" s="34" t="s">
        <v>3866</v>
      </c>
      <c r="F193" s="3">
        <v>44025.083333333299</v>
      </c>
      <c r="G193" s="35">
        <f ca="1">YEAR(TODAY()) - YEAR(F193) - (IF(DATE(YEAR(TODAY()), MONTH(F193), DAY(F193)) &gt; TODAY(), 1, 0))</f>
        <v>5</v>
      </c>
      <c r="H193" s="43" cm="1">
        <f t="array" aca="1" ref="H193" ca="1">SUMPRODUCT((BRON!$A$2:$A$1197=Table1[[#This Row],[Personeelsnummer]])*(BRON!$T$2:$T$1197&gt;=DATE(YEAR(TODAY())-1,MONTH(TODAY()),DAY(TODAY())))*(BRON!$T$2:$T$1197&lt;=TODAY()))</f>
        <v>1</v>
      </c>
    </row>
    <row r="194" spans="1:8" x14ac:dyDescent="0.25">
      <c r="A194" s="34" t="s">
        <v>1960</v>
      </c>
      <c r="B194" s="34" t="s">
        <v>1964</v>
      </c>
      <c r="C194" s="36">
        <v>33640</v>
      </c>
      <c r="D194" s="34" t="s">
        <v>3858</v>
      </c>
      <c r="E194" s="34" t="s">
        <v>3865</v>
      </c>
      <c r="F194" s="3">
        <v>43528.041666666701</v>
      </c>
      <c r="G194" s="35">
        <f ca="1">YEAR(TODAY()) - YEAR(F194) - (IF(DATE(YEAR(TODAY()), MONTH(F194), DAY(F194)) &gt; TODAY(), 1, 0))</f>
        <v>6</v>
      </c>
      <c r="H194" s="43" cm="1">
        <f t="array" aca="1" ref="H194" ca="1">SUMPRODUCT((BRON!$A$2:$A$1197=Table1[[#This Row],[Personeelsnummer]])*(BRON!$T$2:$T$1197&gt;=DATE(YEAR(TODAY())-1,MONTH(TODAY()),DAY(TODAY())))*(BRON!$T$2:$T$1197&lt;=TODAY()))</f>
        <v>1</v>
      </c>
    </row>
    <row r="195" spans="1:8" x14ac:dyDescent="0.25">
      <c r="A195" s="34" t="s">
        <v>1550</v>
      </c>
      <c r="B195" s="34" t="s">
        <v>1560</v>
      </c>
      <c r="C195" s="36">
        <v>34019</v>
      </c>
      <c r="D195" s="34" t="s">
        <v>3862</v>
      </c>
      <c r="E195" s="34" t="s">
        <v>3859</v>
      </c>
      <c r="F195" s="3">
        <v>43627.083333333299</v>
      </c>
      <c r="G195" s="35">
        <f ca="1">YEAR(TODAY()) - YEAR(F195) - (IF(DATE(YEAR(TODAY()), MONTH(F195), DAY(F195)) &gt; TODAY(), 1, 0))</f>
        <v>6</v>
      </c>
      <c r="H195" s="43" cm="1">
        <f t="array" aca="1" ref="H195" ca="1">SUMPRODUCT((BRON!$A$2:$A$1197=Table1[[#This Row],[Personeelsnummer]])*(BRON!$T$2:$T$1197&gt;=DATE(YEAR(TODAY())-1,MONTH(TODAY()),DAY(TODAY())))*(BRON!$T$2:$T$1197&lt;=TODAY()))</f>
        <v>1</v>
      </c>
    </row>
    <row r="196" spans="1:8" x14ac:dyDescent="0.25">
      <c r="A196" s="34" t="s">
        <v>1956</v>
      </c>
      <c r="B196" s="34" t="s">
        <v>1955</v>
      </c>
      <c r="C196" s="36">
        <v>33488</v>
      </c>
      <c r="D196" s="34" t="s">
        <v>3858</v>
      </c>
      <c r="E196" s="34" t="s">
        <v>3863</v>
      </c>
      <c r="F196" s="3">
        <v>43486.041666666701</v>
      </c>
      <c r="G196" s="35">
        <f ca="1">YEAR(TODAY()) - YEAR(F196) - (IF(DATE(YEAR(TODAY()), MONTH(F196), DAY(F196)) &gt; TODAY(), 1, 0))</f>
        <v>6</v>
      </c>
      <c r="H196" s="43" cm="1">
        <f t="array" aca="1" ref="H196" ca="1">SUMPRODUCT((BRON!$A$2:$A$1197=Table1[[#This Row],[Personeelsnummer]])*(BRON!$T$2:$T$1197&gt;=DATE(YEAR(TODAY())-1,MONTH(TODAY()),DAY(TODAY())))*(BRON!$T$2:$T$1197&lt;=TODAY()))</f>
        <v>1</v>
      </c>
    </row>
    <row r="197" spans="1:8" x14ac:dyDescent="0.25">
      <c r="A197" s="34" t="s">
        <v>1575</v>
      </c>
      <c r="B197" s="34" t="s">
        <v>1574</v>
      </c>
      <c r="C197" s="36">
        <v>34198</v>
      </c>
      <c r="D197" s="34" t="s">
        <v>3853</v>
      </c>
      <c r="E197" s="34" t="s">
        <v>3863</v>
      </c>
      <c r="F197" s="3">
        <v>43669.083333333299</v>
      </c>
      <c r="G197" s="35">
        <f ca="1">YEAR(TODAY()) - YEAR(F197) - (IF(DATE(YEAR(TODAY()), MONTH(F197), DAY(F197)) &gt; TODAY(), 1, 0))</f>
        <v>6</v>
      </c>
      <c r="H197" s="43" cm="1">
        <f t="array" aca="1" ref="H197" ca="1">SUMPRODUCT((BRON!$A$2:$A$1197=Table1[[#This Row],[Personeelsnummer]])*(BRON!$T$2:$T$1197&gt;=DATE(YEAR(TODAY())-1,MONTH(TODAY()),DAY(TODAY())))*(BRON!$T$2:$T$1197&lt;=TODAY()))</f>
        <v>1</v>
      </c>
    </row>
    <row r="198" spans="1:8" x14ac:dyDescent="0.25">
      <c r="A198" s="34" t="s">
        <v>3116</v>
      </c>
      <c r="B198" s="34" t="s">
        <v>3115</v>
      </c>
      <c r="C198" s="36">
        <v>33400</v>
      </c>
      <c r="D198" s="34" t="s">
        <v>3853</v>
      </c>
      <c r="E198" s="34" t="s">
        <v>3859</v>
      </c>
      <c r="F198" s="3">
        <v>43444.041666666701</v>
      </c>
      <c r="G198" s="35">
        <f ca="1">YEAR(TODAY()) - YEAR(F198) - (IF(DATE(YEAR(TODAY()), MONTH(F198), DAY(F198)) &gt; TODAY(), 1, 0))</f>
        <v>6</v>
      </c>
      <c r="H198" s="43" cm="1">
        <f t="array" aca="1" ref="H198" ca="1">SUMPRODUCT((BRON!$A$2:$A$1197=Table1[[#This Row],[Personeelsnummer]])*(BRON!$T$2:$T$1197&gt;=DATE(YEAR(TODAY())-1,MONTH(TODAY()),DAY(TODAY())))*(BRON!$T$2:$T$1197&lt;=TODAY()))</f>
        <v>2</v>
      </c>
    </row>
    <row r="199" spans="1:8" x14ac:dyDescent="0.25">
      <c r="A199" s="34" t="s">
        <v>3038</v>
      </c>
      <c r="B199" s="34" t="s">
        <v>3037</v>
      </c>
      <c r="C199" s="36">
        <v>34351</v>
      </c>
      <c r="D199" s="34" t="s">
        <v>3853</v>
      </c>
      <c r="E199" s="34" t="s">
        <v>3863</v>
      </c>
      <c r="F199" s="3">
        <v>43710.083333333299</v>
      </c>
      <c r="G199" s="35">
        <f ca="1">YEAR(TODAY()) - YEAR(F199) - (IF(DATE(YEAR(TODAY()), MONTH(F199), DAY(F199)) &gt; TODAY(), 1, 0))</f>
        <v>6</v>
      </c>
      <c r="H199" s="43" cm="1">
        <f t="array" aca="1" ref="H199" ca="1">SUMPRODUCT((BRON!$A$2:$A$1197=Table1[[#This Row],[Personeelsnummer]])*(BRON!$T$2:$T$1197&gt;=DATE(YEAR(TODAY())-1,MONTH(TODAY()),DAY(TODAY())))*(BRON!$T$2:$T$1197&lt;=TODAY()))</f>
        <v>1</v>
      </c>
    </row>
    <row r="200" spans="1:8" x14ac:dyDescent="0.25">
      <c r="A200" s="34" t="s">
        <v>2125</v>
      </c>
      <c r="B200" s="34" t="s">
        <v>2124</v>
      </c>
      <c r="C200" s="36">
        <v>33986</v>
      </c>
      <c r="D200" s="34" t="s">
        <v>3853</v>
      </c>
      <c r="E200" s="34" t="s">
        <v>3854</v>
      </c>
      <c r="F200" s="3">
        <v>43605.083333333299</v>
      </c>
      <c r="G200" s="35">
        <f ca="1">YEAR(TODAY()) - YEAR(F200) - (IF(DATE(YEAR(TODAY()), MONTH(F200), DAY(F200)) &gt; TODAY(), 1, 0))</f>
        <v>6</v>
      </c>
      <c r="H200" s="43" cm="1">
        <f t="array" aca="1" ref="H200" ca="1">SUMPRODUCT((BRON!$A$2:$A$1197=Table1[[#This Row],[Personeelsnummer]])*(BRON!$T$2:$T$1197&gt;=DATE(YEAR(TODAY())-1,MONTH(TODAY()),DAY(TODAY())))*(BRON!$T$2:$T$1197&lt;=TODAY()))</f>
        <v>1</v>
      </c>
    </row>
    <row r="201" spans="1:8" x14ac:dyDescent="0.25">
      <c r="A201" s="34" t="s">
        <v>2531</v>
      </c>
      <c r="B201" s="34" t="s">
        <v>2530</v>
      </c>
      <c r="C201" s="36">
        <v>34328</v>
      </c>
      <c r="D201" s="34" t="s">
        <v>3857</v>
      </c>
      <c r="E201" s="34" t="s">
        <v>3854</v>
      </c>
      <c r="F201" s="3">
        <v>43710.083333333299</v>
      </c>
      <c r="G201" s="35">
        <f ca="1">YEAR(TODAY()) - YEAR(F201) - (IF(DATE(YEAR(TODAY()), MONTH(F201), DAY(F201)) &gt; TODAY(), 1, 0))</f>
        <v>6</v>
      </c>
      <c r="H201" s="43" cm="1">
        <f t="array" aca="1" ref="H201" ca="1">SUMPRODUCT((BRON!$A$2:$A$1197=Table1[[#This Row],[Personeelsnummer]])*(BRON!$T$2:$T$1197&gt;=DATE(YEAR(TODAY())-1,MONTH(TODAY()),DAY(TODAY())))*(BRON!$T$2:$T$1197&lt;=TODAY()))</f>
        <v>1</v>
      </c>
    </row>
    <row r="202" spans="1:8" x14ac:dyDescent="0.25">
      <c r="A202" s="34" t="s">
        <v>2683</v>
      </c>
      <c r="B202" s="34" t="s">
        <v>2682</v>
      </c>
      <c r="C202" s="36">
        <v>34445</v>
      </c>
      <c r="D202" s="34" t="s">
        <v>3853</v>
      </c>
      <c r="E202" s="34" t="s">
        <v>3866</v>
      </c>
      <c r="F202" s="3">
        <v>43752.083333333299</v>
      </c>
      <c r="G202" s="35">
        <f ca="1">YEAR(TODAY()) - YEAR(F202) - (IF(DATE(YEAR(TODAY()), MONTH(F202), DAY(F202)) &gt; TODAY(), 1, 0))</f>
        <v>6</v>
      </c>
      <c r="H202" s="43" cm="1">
        <f t="array" aca="1" ref="H202" ca="1">SUMPRODUCT((BRON!$A$2:$A$1197=Table1[[#This Row],[Personeelsnummer]])*(BRON!$T$2:$T$1197&gt;=DATE(YEAR(TODAY())-1,MONTH(TODAY()),DAY(TODAY())))*(BRON!$T$2:$T$1197&lt;=TODAY()))</f>
        <v>1</v>
      </c>
    </row>
    <row r="203" spans="1:8" x14ac:dyDescent="0.25">
      <c r="A203" s="34" t="s">
        <v>3236</v>
      </c>
      <c r="B203" s="34" t="s">
        <v>3235</v>
      </c>
      <c r="C203" s="36">
        <v>32245</v>
      </c>
      <c r="D203" s="34" t="s">
        <v>3853</v>
      </c>
      <c r="E203" s="34" t="s">
        <v>3863</v>
      </c>
      <c r="F203" s="3">
        <v>43073.041666666701</v>
      </c>
      <c r="G203" s="35">
        <f ca="1">YEAR(TODAY()) - YEAR(F203) - (IF(DATE(YEAR(TODAY()), MONTH(F203), DAY(F203)) &gt; TODAY(), 1, 0))</f>
        <v>7</v>
      </c>
      <c r="H203" s="43" cm="1">
        <f t="array" aca="1" ref="H203" ca="1">SUMPRODUCT((BRON!$A$2:$A$1197=Table1[[#This Row],[Personeelsnummer]])*(BRON!$T$2:$T$1197&gt;=DATE(YEAR(TODAY())-1,MONTH(TODAY()),DAY(TODAY())))*(BRON!$T$2:$T$1197&lt;=TODAY()))</f>
        <v>1</v>
      </c>
    </row>
    <row r="204" spans="1:8" x14ac:dyDescent="0.25">
      <c r="A204" s="34" t="s">
        <v>3465</v>
      </c>
      <c r="B204" s="34" t="s">
        <v>3464</v>
      </c>
      <c r="C204" s="36">
        <v>32528</v>
      </c>
      <c r="D204" s="34" t="s">
        <v>3858</v>
      </c>
      <c r="E204" s="34" t="s">
        <v>3865</v>
      </c>
      <c r="F204" s="3">
        <v>43164.041666666701</v>
      </c>
      <c r="G204" s="35">
        <f ca="1">YEAR(TODAY()) - YEAR(F204) - (IF(DATE(YEAR(TODAY()), MONTH(F204), DAY(F204)) &gt; TODAY(), 1, 0))</f>
        <v>7</v>
      </c>
      <c r="H204" s="43" cm="1">
        <f t="array" aca="1" ref="H204" ca="1">SUMPRODUCT((BRON!$A$2:$A$1197=Table1[[#This Row],[Personeelsnummer]])*(BRON!$T$2:$T$1197&gt;=DATE(YEAR(TODAY())-1,MONTH(TODAY()),DAY(TODAY())))*(BRON!$T$2:$T$1197&lt;=TODAY()))</f>
        <v>1</v>
      </c>
    </row>
    <row r="205" spans="1:8" x14ac:dyDescent="0.25">
      <c r="A205" s="34" t="s">
        <v>2725</v>
      </c>
      <c r="B205" s="34" t="s">
        <v>2724</v>
      </c>
      <c r="C205" s="36">
        <v>32387</v>
      </c>
      <c r="D205" s="34" t="s">
        <v>3853</v>
      </c>
      <c r="E205" s="34" t="s">
        <v>3865</v>
      </c>
      <c r="F205" s="3">
        <v>43108.041666666701</v>
      </c>
      <c r="G205" s="35">
        <f ca="1">YEAR(TODAY()) - YEAR(F205) - (IF(DATE(YEAR(TODAY()), MONTH(F205), DAY(F205)) &gt; TODAY(), 1, 0))</f>
        <v>7</v>
      </c>
      <c r="H205" s="43" cm="1">
        <f t="array" aca="1" ref="H205" ca="1">SUMPRODUCT((BRON!$A$2:$A$1197=Table1[[#This Row],[Personeelsnummer]])*(BRON!$T$2:$T$1197&gt;=DATE(YEAR(TODAY())-1,MONTH(TODAY()),DAY(TODAY())))*(BRON!$T$2:$T$1197&lt;=TODAY()))</f>
        <v>2</v>
      </c>
    </row>
    <row r="206" spans="1:8" x14ac:dyDescent="0.25">
      <c r="A206" s="34" t="s">
        <v>1674</v>
      </c>
      <c r="B206" s="34" t="s">
        <v>1673</v>
      </c>
      <c r="C206" s="36">
        <v>32951</v>
      </c>
      <c r="D206" s="34" t="s">
        <v>3858</v>
      </c>
      <c r="E206" s="34" t="s">
        <v>3861</v>
      </c>
      <c r="F206" s="3">
        <v>43304.083333333299</v>
      </c>
      <c r="G206" s="35">
        <f ca="1">YEAR(TODAY()) - YEAR(F206) - (IF(DATE(YEAR(TODAY()), MONTH(F206), DAY(F206)) &gt; TODAY(), 1, 0))</f>
        <v>7</v>
      </c>
      <c r="H206" s="43" cm="1">
        <f t="array" aca="1" ref="H206" ca="1">SUMPRODUCT((BRON!$A$2:$A$1197=Table1[[#This Row],[Personeelsnummer]])*(BRON!$T$2:$T$1197&gt;=DATE(YEAR(TODAY())-1,MONTH(TODAY()),DAY(TODAY())))*(BRON!$T$2:$T$1197&lt;=TODAY()))</f>
        <v>1</v>
      </c>
    </row>
    <row r="207" spans="1:8" x14ac:dyDescent="0.25">
      <c r="A207" s="34" t="s">
        <v>2034</v>
      </c>
      <c r="B207" s="34" t="s">
        <v>2033</v>
      </c>
      <c r="C207" s="36">
        <v>31634</v>
      </c>
      <c r="D207" s="34" t="s">
        <v>3853</v>
      </c>
      <c r="E207" s="34" t="s">
        <v>3863</v>
      </c>
      <c r="F207" s="3">
        <v>42863.083333333299</v>
      </c>
      <c r="G207" s="35">
        <f ca="1">YEAR(TODAY()) - YEAR(F207) - (IF(DATE(YEAR(TODAY()), MONTH(F207), DAY(F207)) &gt; TODAY(), 1, 0))</f>
        <v>8</v>
      </c>
      <c r="H207" s="43" cm="1">
        <f t="array" aca="1" ref="H207" ca="1">SUMPRODUCT((BRON!$A$2:$A$1197=Table1[[#This Row],[Personeelsnummer]])*(BRON!$T$2:$T$1197&gt;=DATE(YEAR(TODAY())-1,MONTH(TODAY()),DAY(TODAY())))*(BRON!$T$2:$T$1197&lt;=TODAY()))</f>
        <v>1</v>
      </c>
    </row>
    <row r="208" spans="1:8" x14ac:dyDescent="0.25">
      <c r="A208" s="34" t="s">
        <v>1647</v>
      </c>
      <c r="B208" s="34" t="s">
        <v>1650</v>
      </c>
      <c r="C208" s="36">
        <v>31776</v>
      </c>
      <c r="D208" s="34" t="s">
        <v>3853</v>
      </c>
      <c r="E208" s="34" t="s">
        <v>3866</v>
      </c>
      <c r="F208" s="3">
        <v>42933.083333333299</v>
      </c>
      <c r="G208" s="35">
        <f ca="1">YEAR(TODAY()) - YEAR(F208) - (IF(DATE(YEAR(TODAY()), MONTH(F208), DAY(F208)) &gt; TODAY(), 1, 0))</f>
        <v>8</v>
      </c>
      <c r="H208" s="43" cm="1">
        <f t="array" aca="1" ref="H208" ca="1">SUMPRODUCT((BRON!$A$2:$A$1197=Table1[[#This Row],[Personeelsnummer]])*(BRON!$T$2:$T$1197&gt;=DATE(YEAR(TODAY())-1,MONTH(TODAY()),DAY(TODAY())))*(BRON!$T$2:$T$1197&lt;=TODAY()))</f>
        <v>1</v>
      </c>
    </row>
    <row r="209" spans="1:8" x14ac:dyDescent="0.25">
      <c r="A209" s="34" t="s">
        <v>2940</v>
      </c>
      <c r="B209" s="34" t="s">
        <v>2939</v>
      </c>
      <c r="C209" s="36">
        <v>32091</v>
      </c>
      <c r="D209" s="34" t="s">
        <v>3853</v>
      </c>
      <c r="E209" s="34" t="s">
        <v>3854</v>
      </c>
      <c r="F209" s="3">
        <v>43003.083333333299</v>
      </c>
      <c r="G209" s="35">
        <f ca="1">YEAR(TODAY()) - YEAR(F209) - (IF(DATE(YEAR(TODAY()), MONTH(F209), DAY(F209)) &gt; TODAY(), 1, 0))</f>
        <v>8</v>
      </c>
      <c r="H209" s="43" cm="1">
        <f t="array" aca="1" ref="H209" ca="1">SUMPRODUCT((BRON!$A$2:$A$1197=Table1[[#This Row],[Personeelsnummer]])*(BRON!$T$2:$T$1197&gt;=DATE(YEAR(TODAY())-1,MONTH(TODAY()),DAY(TODAY())))*(BRON!$T$2:$T$1197&lt;=TODAY()))</f>
        <v>1</v>
      </c>
    </row>
    <row r="210" spans="1:8" x14ac:dyDescent="0.25">
      <c r="A210" s="34" t="s">
        <v>1550</v>
      </c>
      <c r="B210" s="34" t="s">
        <v>1563</v>
      </c>
      <c r="C210" s="36">
        <v>31600</v>
      </c>
      <c r="D210" s="34" t="s">
        <v>3853</v>
      </c>
      <c r="E210" s="34" t="s">
        <v>3864</v>
      </c>
      <c r="F210" s="3">
        <v>42843.083333333299</v>
      </c>
      <c r="G210" s="35">
        <f ca="1">YEAR(TODAY()) - YEAR(F210) - (IF(DATE(YEAR(TODAY()), MONTH(F210), DAY(F210)) &gt; TODAY(), 1, 0))</f>
        <v>8</v>
      </c>
      <c r="H210" s="43" cm="1">
        <f t="array" aca="1" ref="H210" ca="1">SUMPRODUCT((BRON!$A$2:$A$1197=Table1[[#This Row],[Personeelsnummer]])*(BRON!$T$2:$T$1197&gt;=DATE(YEAR(TODAY())-1,MONTH(TODAY()),DAY(TODAY())))*(BRON!$T$2:$T$1197&lt;=TODAY()))</f>
        <v>1</v>
      </c>
    </row>
    <row r="211" spans="1:8" x14ac:dyDescent="0.25">
      <c r="A211" s="34" t="s">
        <v>2155</v>
      </c>
      <c r="B211" s="34" t="s">
        <v>2154</v>
      </c>
      <c r="C211" s="36">
        <v>31150</v>
      </c>
      <c r="D211" s="34" t="s">
        <v>3853</v>
      </c>
      <c r="E211" s="34" t="s">
        <v>3854</v>
      </c>
      <c r="F211" s="3">
        <v>42643.083333333299</v>
      </c>
      <c r="G211" s="35">
        <f ca="1">YEAR(TODAY()) - YEAR(F211) - (IF(DATE(YEAR(TODAY()), MONTH(F211), DAY(F211)) &gt; TODAY(), 1, 0))</f>
        <v>9</v>
      </c>
      <c r="H211" s="43" cm="1">
        <f t="array" aca="1" ref="H211" ca="1">SUMPRODUCT((BRON!$A$2:$A$1197=Table1[[#This Row],[Personeelsnummer]])*(BRON!$T$2:$T$1197&gt;=DATE(YEAR(TODAY())-1,MONTH(TODAY()),DAY(TODAY())))*(BRON!$T$2:$T$1197&lt;=TODAY()))</f>
        <v>1</v>
      </c>
    </row>
    <row r="212" spans="1:8" x14ac:dyDescent="0.25">
      <c r="A212" s="34" t="s">
        <v>2093</v>
      </c>
      <c r="B212" s="34" t="s">
        <v>2018</v>
      </c>
      <c r="C212" s="36">
        <v>30623</v>
      </c>
      <c r="D212" s="34" t="s">
        <v>3853</v>
      </c>
      <c r="E212" s="34" t="s">
        <v>3854</v>
      </c>
      <c r="F212" s="3">
        <v>42429.041666666701</v>
      </c>
      <c r="G212" s="35">
        <f ca="1">YEAR(TODAY()) - YEAR(F212) - (IF(DATE(YEAR(TODAY()), MONTH(F212), DAY(F212)) &gt; TODAY(), 1, 0))</f>
        <v>9</v>
      </c>
      <c r="H212" s="43" cm="1">
        <f t="array" aca="1" ref="H212" ca="1">SUMPRODUCT((BRON!$A$2:$A$1197=Table1[[#This Row],[Personeelsnummer]])*(BRON!$T$2:$T$1197&gt;=DATE(YEAR(TODAY())-1,MONTH(TODAY()),DAY(TODAY())))*(BRON!$T$2:$T$1197&lt;=TODAY()))</f>
        <v>1</v>
      </c>
    </row>
    <row r="213" spans="1:8" x14ac:dyDescent="0.25">
      <c r="A213" s="34" t="s">
        <v>1729</v>
      </c>
      <c r="B213" s="34" t="s">
        <v>1728</v>
      </c>
      <c r="C213" s="36">
        <v>31165</v>
      </c>
      <c r="D213" s="34" t="s">
        <v>3858</v>
      </c>
      <c r="E213" s="34" t="s">
        <v>3861</v>
      </c>
      <c r="F213" s="3">
        <v>42646.083333333299</v>
      </c>
      <c r="G213" s="35">
        <f ca="1">YEAR(TODAY()) - YEAR(F213) - (IF(DATE(YEAR(TODAY()), MONTH(F213), DAY(F213)) &gt; TODAY(), 1, 0))</f>
        <v>9</v>
      </c>
      <c r="H213" s="43" cm="1">
        <f t="array" aca="1" ref="H213" ca="1">SUMPRODUCT((BRON!$A$2:$A$1197=Table1[[#This Row],[Personeelsnummer]])*(BRON!$T$2:$T$1197&gt;=DATE(YEAR(TODAY())-1,MONTH(TODAY()),DAY(TODAY())))*(BRON!$T$2:$T$1197&lt;=TODAY()))</f>
        <v>1</v>
      </c>
    </row>
    <row r="214" spans="1:8" x14ac:dyDescent="0.25">
      <c r="A214" s="34" t="s">
        <v>2972</v>
      </c>
      <c r="B214" s="34" t="s">
        <v>2978</v>
      </c>
      <c r="C214" s="36">
        <v>31231</v>
      </c>
      <c r="D214" s="34" t="s">
        <v>3853</v>
      </c>
      <c r="E214" s="34" t="s">
        <v>3863</v>
      </c>
      <c r="F214" s="3">
        <v>42674.041666666701</v>
      </c>
      <c r="G214" s="35">
        <f ca="1">YEAR(TODAY()) - YEAR(F214) - (IF(DATE(YEAR(TODAY()), MONTH(F214), DAY(F214)) &gt; TODAY(), 1, 0))</f>
        <v>9</v>
      </c>
      <c r="H214" s="43" cm="1">
        <f t="array" aca="1" ref="H214" ca="1">SUMPRODUCT((BRON!$A$2:$A$1197=Table1[[#This Row],[Personeelsnummer]])*(BRON!$T$2:$T$1197&gt;=DATE(YEAR(TODAY())-1,MONTH(TODAY()),DAY(TODAY())))*(BRON!$T$2:$T$1197&lt;=TODAY()))</f>
        <v>1</v>
      </c>
    </row>
    <row r="215" spans="1:8" x14ac:dyDescent="0.25">
      <c r="A215" s="34" t="s">
        <v>2213</v>
      </c>
      <c r="B215" s="34" t="s">
        <v>2006</v>
      </c>
      <c r="C215" s="36">
        <v>29646</v>
      </c>
      <c r="D215" s="34" t="s">
        <v>3858</v>
      </c>
      <c r="E215" s="34" t="s">
        <v>3866</v>
      </c>
      <c r="F215" s="3">
        <v>42051.041666666701</v>
      </c>
      <c r="G215" s="35">
        <f ca="1">YEAR(TODAY()) - YEAR(F215) - (IF(DATE(YEAR(TODAY()), MONTH(F215), DAY(F215)) &gt; TODAY(), 1, 0))</f>
        <v>10</v>
      </c>
      <c r="H215" s="43" cm="1">
        <f t="array" aca="1" ref="H215" ca="1">SUMPRODUCT((BRON!$A$2:$A$1197=Table1[[#This Row],[Personeelsnummer]])*(BRON!$T$2:$T$1197&gt;=DATE(YEAR(TODAY())-1,MONTH(TODAY()),DAY(TODAY())))*(BRON!$T$2:$T$1197&lt;=TODAY()))</f>
        <v>1</v>
      </c>
    </row>
    <row r="216" spans="1:8" x14ac:dyDescent="0.25">
      <c r="A216" s="34" t="s">
        <v>2596</v>
      </c>
      <c r="B216" s="34" t="s">
        <v>1940</v>
      </c>
      <c r="C216" s="36">
        <v>30271</v>
      </c>
      <c r="D216" s="34" t="s">
        <v>3862</v>
      </c>
      <c r="E216" s="34" t="s">
        <v>3864</v>
      </c>
      <c r="F216" s="3">
        <v>42268.083333333299</v>
      </c>
      <c r="G216" s="35">
        <f ca="1">YEAR(TODAY()) - YEAR(F216) - (IF(DATE(YEAR(TODAY()), MONTH(F216), DAY(F216)) &gt; TODAY(), 1, 0))</f>
        <v>10</v>
      </c>
      <c r="H216" s="43" cm="1">
        <f t="array" aca="1" ref="H216" ca="1">SUMPRODUCT((BRON!$A$2:$A$1197=Table1[[#This Row],[Personeelsnummer]])*(BRON!$T$2:$T$1197&gt;=DATE(YEAR(TODAY())-1,MONTH(TODAY()),DAY(TODAY())))*(BRON!$T$2:$T$1197&lt;=TODAY()))</f>
        <v>1</v>
      </c>
    </row>
    <row r="217" spans="1:8" x14ac:dyDescent="0.25">
      <c r="A217" s="34" t="s">
        <v>1550</v>
      </c>
      <c r="B217" s="34" t="s">
        <v>1567</v>
      </c>
      <c r="C217" s="36">
        <v>30119</v>
      </c>
      <c r="D217" s="34" t="s">
        <v>3857</v>
      </c>
      <c r="E217" s="34" t="s">
        <v>3866</v>
      </c>
      <c r="F217" s="3">
        <v>42198.083333333299</v>
      </c>
      <c r="G217" s="35">
        <f ca="1">YEAR(TODAY()) - YEAR(F217) - (IF(DATE(YEAR(TODAY()), MONTH(F217), DAY(F217)) &gt; TODAY(), 1, 0))</f>
        <v>10</v>
      </c>
      <c r="H217" s="43" cm="1">
        <f t="array" aca="1" ref="H217" ca="1">SUMPRODUCT((BRON!$A$2:$A$1197=Table1[[#This Row],[Personeelsnummer]])*(BRON!$T$2:$T$1197&gt;=DATE(YEAR(TODAY())-1,MONTH(TODAY()),DAY(TODAY())))*(BRON!$T$2:$T$1197&lt;=TODAY()))</f>
        <v>1</v>
      </c>
    </row>
    <row r="218" spans="1:8" x14ac:dyDescent="0.25">
      <c r="A218" s="34" t="s">
        <v>3358</v>
      </c>
      <c r="B218" s="34" t="s">
        <v>3357</v>
      </c>
      <c r="C218" s="36">
        <v>30121</v>
      </c>
      <c r="D218" s="34" t="s">
        <v>3858</v>
      </c>
      <c r="E218" s="34" t="s">
        <v>3859</v>
      </c>
      <c r="F218" s="3">
        <v>42198.083333333299</v>
      </c>
      <c r="G218" s="35">
        <f ca="1">YEAR(TODAY()) - YEAR(F218) - (IF(DATE(YEAR(TODAY()), MONTH(F218), DAY(F218)) &gt; TODAY(), 1, 0))</f>
        <v>10</v>
      </c>
      <c r="H218" s="43" cm="1">
        <f t="array" aca="1" ref="H218" ca="1">SUMPRODUCT((BRON!$A$2:$A$1197=Table1[[#This Row],[Personeelsnummer]])*(BRON!$T$2:$T$1197&gt;=DATE(YEAR(TODAY())-1,MONTH(TODAY()),DAY(TODAY())))*(BRON!$T$2:$T$1197&lt;=TODAY()))</f>
        <v>1</v>
      </c>
    </row>
    <row r="219" spans="1:8" x14ac:dyDescent="0.25">
      <c r="A219" s="34" t="s">
        <v>2879</v>
      </c>
      <c r="B219" s="34" t="s">
        <v>1542</v>
      </c>
      <c r="C219" s="36">
        <v>29271</v>
      </c>
      <c r="D219" s="34" t="s">
        <v>3858</v>
      </c>
      <c r="E219" s="34" t="s">
        <v>3864</v>
      </c>
      <c r="F219" s="3">
        <v>41855.083333333299</v>
      </c>
      <c r="G219" s="35">
        <f ca="1">YEAR(TODAY()) - YEAR(F219) - (IF(DATE(YEAR(TODAY()), MONTH(F219), DAY(F219)) &gt; TODAY(), 1, 0))</f>
        <v>11</v>
      </c>
      <c r="H219" s="43" cm="1">
        <f t="array" aca="1" ref="H219" ca="1">SUMPRODUCT((BRON!$A$2:$A$1197=Table1[[#This Row],[Personeelsnummer]])*(BRON!$T$2:$T$1197&gt;=DATE(YEAR(TODAY())-1,MONTH(TODAY()),DAY(TODAY())))*(BRON!$T$2:$T$1197&lt;=TODAY()))</f>
        <v>1</v>
      </c>
    </row>
    <row r="220" spans="1:8" x14ac:dyDescent="0.25">
      <c r="A220" s="34" t="s">
        <v>2741</v>
      </c>
      <c r="B220" s="34" t="s">
        <v>2740</v>
      </c>
      <c r="C220" s="36">
        <v>29478</v>
      </c>
      <c r="D220" s="34" t="s">
        <v>3853</v>
      </c>
      <c r="E220" s="34" t="s">
        <v>3864</v>
      </c>
      <c r="F220" s="3">
        <v>41946.041666666701</v>
      </c>
      <c r="G220" s="35">
        <f ca="1">YEAR(TODAY()) - YEAR(F220) - (IF(DATE(YEAR(TODAY()), MONTH(F220), DAY(F220)) &gt; TODAY(), 1, 0))</f>
        <v>11</v>
      </c>
      <c r="H220" s="43" cm="1">
        <f t="array" aca="1" ref="H220" ca="1">SUMPRODUCT((BRON!$A$2:$A$1197=Table1[[#This Row],[Personeelsnummer]])*(BRON!$T$2:$T$1197&gt;=DATE(YEAR(TODAY())-1,MONTH(TODAY()),DAY(TODAY())))*(BRON!$T$2:$T$1197&lt;=TODAY()))</f>
        <v>1</v>
      </c>
    </row>
    <row r="221" spans="1:8" x14ac:dyDescent="0.25">
      <c r="A221" s="34" t="s">
        <v>2382</v>
      </c>
      <c r="B221" s="34" t="s">
        <v>2381</v>
      </c>
      <c r="C221" s="36">
        <v>27865</v>
      </c>
      <c r="D221" s="34" t="s">
        <v>3853</v>
      </c>
      <c r="E221" s="34" t="s">
        <v>3864</v>
      </c>
      <c r="F221" s="3">
        <v>41313.041666666701</v>
      </c>
      <c r="G221" s="35">
        <f ca="1">YEAR(TODAY()) - YEAR(F221) - (IF(DATE(YEAR(TODAY()), MONTH(F221), DAY(F221)) &gt; TODAY(), 1, 0))</f>
        <v>12</v>
      </c>
      <c r="H221" s="43" cm="1">
        <f t="array" aca="1" ref="H221" ca="1">SUMPRODUCT((BRON!$A$2:$A$1197=Table1[[#This Row],[Personeelsnummer]])*(BRON!$T$2:$T$1197&gt;=DATE(YEAR(TODAY())-1,MONTH(TODAY()),DAY(TODAY())))*(BRON!$T$2:$T$1197&lt;=TODAY()))</f>
        <v>1</v>
      </c>
    </row>
    <row r="222" spans="1:8" x14ac:dyDescent="0.25">
      <c r="A222" s="34" t="s">
        <v>1513</v>
      </c>
      <c r="B222" s="34" t="s">
        <v>1512</v>
      </c>
      <c r="C222" s="36">
        <v>27672</v>
      </c>
      <c r="D222" s="34" t="s">
        <v>3857</v>
      </c>
      <c r="E222" s="34" t="s">
        <v>3865</v>
      </c>
      <c r="F222" s="3">
        <v>41204.083333333299</v>
      </c>
      <c r="G222" s="35">
        <f ca="1">YEAR(TODAY()) - YEAR(F222) - (IF(DATE(YEAR(TODAY()), MONTH(F222), DAY(F222)) &gt; TODAY(), 1, 0))</f>
        <v>13</v>
      </c>
      <c r="H222" s="43" cm="1">
        <f t="array" aca="1" ref="H222" ca="1">SUMPRODUCT((BRON!$A$2:$A$1197=Table1[[#This Row],[Personeelsnummer]])*(BRON!$T$2:$T$1197&gt;=DATE(YEAR(TODAY())-1,MONTH(TODAY()),DAY(TODAY())))*(BRON!$T$2:$T$1197&lt;=TODAY()))</f>
        <v>1</v>
      </c>
    </row>
    <row r="223" spans="1:8" x14ac:dyDescent="0.25">
      <c r="A223" s="34" t="s">
        <v>2427</v>
      </c>
      <c r="B223" s="34" t="s">
        <v>2426</v>
      </c>
      <c r="C223" s="36">
        <v>27673</v>
      </c>
      <c r="D223" s="34" t="s">
        <v>3857</v>
      </c>
      <c r="E223" s="34" t="s">
        <v>3859</v>
      </c>
      <c r="F223" s="3">
        <v>41204.083333333299</v>
      </c>
      <c r="G223" s="35">
        <f ca="1">YEAR(TODAY()) - YEAR(F223) - (IF(DATE(YEAR(TODAY()), MONTH(F223), DAY(F223)) &gt; TODAY(), 1, 0))</f>
        <v>13</v>
      </c>
      <c r="H223" s="43" cm="1">
        <f t="array" aca="1" ref="H223" ca="1">SUMPRODUCT((BRON!$A$2:$A$1197=Table1[[#This Row],[Personeelsnummer]])*(BRON!$T$2:$T$1197&gt;=DATE(YEAR(TODAY())-1,MONTH(TODAY()),DAY(TODAY())))*(BRON!$T$2:$T$1197&lt;=TODAY()))</f>
        <v>1</v>
      </c>
    </row>
    <row r="224" spans="1:8" x14ac:dyDescent="0.25">
      <c r="A224" s="34" t="s">
        <v>1601</v>
      </c>
      <c r="B224" s="34" t="s">
        <v>1600</v>
      </c>
      <c r="C224" s="36">
        <v>27153</v>
      </c>
      <c r="D224" s="34" t="s">
        <v>3862</v>
      </c>
      <c r="E224" s="34" t="s">
        <v>3859</v>
      </c>
      <c r="F224" s="3">
        <v>40952.041666666701</v>
      </c>
      <c r="G224" s="35">
        <f ca="1">YEAR(TODAY()) - YEAR(F224) - (IF(DATE(YEAR(TODAY()), MONTH(F224), DAY(F224)) &gt; TODAY(), 1, 0))</f>
        <v>13</v>
      </c>
      <c r="H224" s="43" cm="1">
        <f t="array" aca="1" ref="H224" ca="1">SUMPRODUCT((BRON!$A$2:$A$1197=Table1[[#This Row],[Personeelsnummer]])*(BRON!$T$2:$T$1197&gt;=DATE(YEAR(TODAY())-1,MONTH(TODAY()),DAY(TODAY())))*(BRON!$T$2:$T$1197&lt;=TODAY()))</f>
        <v>1</v>
      </c>
    </row>
    <row r="225" spans="1:8" x14ac:dyDescent="0.25">
      <c r="A225" s="34" t="s">
        <v>2023</v>
      </c>
      <c r="B225" s="34" t="s">
        <v>2026</v>
      </c>
      <c r="C225" s="36">
        <v>25873</v>
      </c>
      <c r="D225" s="34" t="s">
        <v>3858</v>
      </c>
      <c r="E225" s="34" t="s">
        <v>3863</v>
      </c>
      <c r="F225" s="3">
        <v>40525.041666666701</v>
      </c>
      <c r="G225" s="35">
        <f ca="1">YEAR(TODAY()) - YEAR(F225) - (IF(DATE(YEAR(TODAY()), MONTH(F225), DAY(F225)) &gt; TODAY(), 1, 0))</f>
        <v>14</v>
      </c>
      <c r="H225" s="43" cm="1">
        <f t="array" aca="1" ref="H225" ca="1">SUMPRODUCT((BRON!$A$2:$A$1197=Table1[[#This Row],[Personeelsnummer]])*(BRON!$T$2:$T$1197&gt;=DATE(YEAR(TODAY())-1,MONTH(TODAY()),DAY(TODAY())))*(BRON!$T$2:$T$1197&lt;=TODAY()))</f>
        <v>1</v>
      </c>
    </row>
    <row r="226" spans="1:8" x14ac:dyDescent="0.25">
      <c r="A226" s="34" t="s">
        <v>2857</v>
      </c>
      <c r="B226" s="34" t="s">
        <v>2860</v>
      </c>
      <c r="C226" s="36">
        <v>26199</v>
      </c>
      <c r="D226" s="34" t="s">
        <v>3857</v>
      </c>
      <c r="E226" s="34" t="s">
        <v>3863</v>
      </c>
      <c r="F226" s="3">
        <v>40637.083333333299</v>
      </c>
      <c r="G226" s="35">
        <f ca="1">YEAR(TODAY()) - YEAR(F226) - (IF(DATE(YEAR(TODAY()), MONTH(F226), DAY(F226)) &gt; TODAY(), 1, 0))</f>
        <v>14</v>
      </c>
      <c r="H226" s="43" cm="1">
        <f t="array" aca="1" ref="H226" ca="1">SUMPRODUCT((BRON!$A$2:$A$1197=Table1[[#This Row],[Personeelsnummer]])*(BRON!$T$2:$T$1197&gt;=DATE(YEAR(TODAY())-1,MONTH(TODAY()),DAY(TODAY())))*(BRON!$T$2:$T$1197&lt;=TODAY()))</f>
        <v>1</v>
      </c>
    </row>
    <row r="227" spans="1:8" x14ac:dyDescent="0.25">
      <c r="A227" s="34" t="s">
        <v>3116</v>
      </c>
      <c r="B227" s="34" t="s">
        <v>1990</v>
      </c>
      <c r="C227" s="36">
        <v>26524</v>
      </c>
      <c r="D227" s="34" t="s">
        <v>3857</v>
      </c>
      <c r="E227" s="34" t="s">
        <v>3863</v>
      </c>
      <c r="F227" s="3">
        <v>40728.083333333299</v>
      </c>
      <c r="G227" s="35">
        <f ca="1">YEAR(TODAY()) - YEAR(F227) - (IF(DATE(YEAR(TODAY()), MONTH(F227), DAY(F227)) &gt; TODAY(), 1, 0))</f>
        <v>14</v>
      </c>
      <c r="H227" s="43" cm="1">
        <f t="array" aca="1" ref="H227" ca="1">SUMPRODUCT((BRON!$A$2:$A$1197=Table1[[#This Row],[Personeelsnummer]])*(BRON!$T$2:$T$1197&gt;=DATE(YEAR(TODAY())-1,MONTH(TODAY()),DAY(TODAY())))*(BRON!$T$2:$T$1197&lt;=TODAY()))</f>
        <v>1</v>
      </c>
    </row>
    <row r="228" spans="1:8" x14ac:dyDescent="0.25">
      <c r="A228" s="34" t="s">
        <v>1491</v>
      </c>
      <c r="B228" s="34" t="s">
        <v>1490</v>
      </c>
      <c r="C228" s="36">
        <v>26639</v>
      </c>
      <c r="D228" s="34" t="s">
        <v>3858</v>
      </c>
      <c r="E228" s="34" t="s">
        <v>3854</v>
      </c>
      <c r="F228" s="3">
        <v>40749.083333333299</v>
      </c>
      <c r="G228" s="35">
        <f ca="1">YEAR(TODAY()) - YEAR(F228) - (IF(DATE(YEAR(TODAY()), MONTH(F228), DAY(F228)) &gt; TODAY(), 1, 0))</f>
        <v>14</v>
      </c>
      <c r="H228" s="43" cm="1">
        <f t="array" aca="1" ref="H228" ca="1">SUMPRODUCT((BRON!$A$2:$A$1197=Table1[[#This Row],[Personeelsnummer]])*(BRON!$T$2:$T$1197&gt;=DATE(YEAR(TODAY())-1,MONTH(TODAY()),DAY(TODAY())))*(BRON!$T$2:$T$1197&lt;=TODAY()))</f>
        <v>1</v>
      </c>
    </row>
    <row r="229" spans="1:8" x14ac:dyDescent="0.25">
      <c r="A229" s="34" t="s">
        <v>2184</v>
      </c>
      <c r="B229" s="34" t="s">
        <v>2183</v>
      </c>
      <c r="C229" s="36">
        <v>26695</v>
      </c>
      <c r="D229" s="34" t="s">
        <v>3853</v>
      </c>
      <c r="E229" s="34" t="s">
        <v>3859</v>
      </c>
      <c r="F229" s="3">
        <v>40771.083333333299</v>
      </c>
      <c r="G229" s="35">
        <f ca="1">YEAR(TODAY()) - YEAR(F229) - (IF(DATE(YEAR(TODAY()), MONTH(F229), DAY(F229)) &gt; TODAY(), 1, 0))</f>
        <v>14</v>
      </c>
      <c r="H229" s="43" cm="1">
        <f t="array" aca="1" ref="H229" ca="1">SUMPRODUCT((BRON!$A$2:$A$1197=Table1[[#This Row],[Personeelsnummer]])*(BRON!$T$2:$T$1197&gt;=DATE(YEAR(TODAY())-1,MONTH(TODAY()),DAY(TODAY())))*(BRON!$T$2:$T$1197&lt;=TODAY()))</f>
        <v>1</v>
      </c>
    </row>
    <row r="230" spans="1:8" x14ac:dyDescent="0.25">
      <c r="A230" s="34" t="s">
        <v>2405</v>
      </c>
      <c r="B230" s="34" t="s">
        <v>2568</v>
      </c>
      <c r="C230" s="36">
        <v>26847</v>
      </c>
      <c r="D230" s="34" t="s">
        <v>3857</v>
      </c>
      <c r="E230" s="34" t="s">
        <v>3860</v>
      </c>
      <c r="F230" s="3">
        <v>40826.083333333299</v>
      </c>
      <c r="G230" s="35">
        <f ca="1">YEAR(TODAY()) - YEAR(F230) - (IF(DATE(YEAR(TODAY()), MONTH(F230), DAY(F230)) &gt; TODAY(), 1, 0))</f>
        <v>14</v>
      </c>
      <c r="H230" s="43" cm="1">
        <f t="array" aca="1" ref="H230" ca="1">SUMPRODUCT((BRON!$A$2:$A$1197=Table1[[#This Row],[Personeelsnummer]])*(BRON!$T$2:$T$1197&gt;=DATE(YEAR(TODAY())-1,MONTH(TODAY()),DAY(TODAY())))*(BRON!$T$2:$T$1197&lt;=TODAY()))</f>
        <v>2</v>
      </c>
    </row>
    <row r="231" spans="1:8" x14ac:dyDescent="0.25">
      <c r="A231" s="34" t="s">
        <v>1991</v>
      </c>
      <c r="B231" s="34" t="s">
        <v>2000</v>
      </c>
      <c r="C231" s="36">
        <v>26331</v>
      </c>
      <c r="D231" s="34" t="s">
        <v>3858</v>
      </c>
      <c r="E231" s="34" t="s">
        <v>3860</v>
      </c>
      <c r="F231" s="3">
        <v>40679.083333333299</v>
      </c>
      <c r="G231" s="35">
        <f ca="1">YEAR(TODAY()) - YEAR(F231) - (IF(DATE(YEAR(TODAY()), MONTH(F231), DAY(F231)) &gt; TODAY(), 1, 0))</f>
        <v>14</v>
      </c>
      <c r="H231" s="43" cm="1">
        <f t="array" aca="1" ref="H231" ca="1">SUMPRODUCT((BRON!$A$2:$A$1197=Table1[[#This Row],[Personeelsnummer]])*(BRON!$T$2:$T$1197&gt;=DATE(YEAR(TODAY())-1,MONTH(TODAY()),DAY(TODAY())))*(BRON!$T$2:$T$1197&lt;=TODAY()))</f>
        <v>1</v>
      </c>
    </row>
    <row r="232" spans="1:8" x14ac:dyDescent="0.25">
      <c r="A232" s="34" t="s">
        <v>1842</v>
      </c>
      <c r="B232" s="34" t="s">
        <v>1845</v>
      </c>
      <c r="C232" s="36">
        <v>26137</v>
      </c>
      <c r="D232" s="34" t="s">
        <v>3857</v>
      </c>
      <c r="E232" s="34" t="s">
        <v>3865</v>
      </c>
      <c r="F232" s="3">
        <v>40623.041666666701</v>
      </c>
      <c r="G232" s="35">
        <f ca="1">YEAR(TODAY()) - YEAR(F232) - (IF(DATE(YEAR(TODAY()), MONTH(F232), DAY(F232)) &gt; TODAY(), 1, 0))</f>
        <v>14</v>
      </c>
      <c r="H232" s="43" cm="1">
        <f t="array" aca="1" ref="H232" ca="1">SUMPRODUCT((BRON!$A$2:$A$1197=Table1[[#This Row],[Personeelsnummer]])*(BRON!$T$2:$T$1197&gt;=DATE(YEAR(TODAY())-1,MONTH(TODAY()),DAY(TODAY())))*(BRON!$T$2:$T$1197&lt;=TODAY()))</f>
        <v>1</v>
      </c>
    </row>
    <row r="233" spans="1:8" x14ac:dyDescent="0.25">
      <c r="A233" s="34" t="s">
        <v>1351</v>
      </c>
      <c r="B233" s="34" t="s">
        <v>2610</v>
      </c>
      <c r="C233" s="36">
        <v>25486</v>
      </c>
      <c r="D233" s="34" t="s">
        <v>3858</v>
      </c>
      <c r="E233" s="34" t="s">
        <v>3859</v>
      </c>
      <c r="F233" s="3">
        <v>40385.083333333299</v>
      </c>
      <c r="G233" s="35">
        <f ca="1">YEAR(TODAY()) - YEAR(F233) - (IF(DATE(YEAR(TODAY()), MONTH(F233), DAY(F233)) &gt; TODAY(), 1, 0))</f>
        <v>15</v>
      </c>
      <c r="H233" s="43" cm="1">
        <f t="array" aca="1" ref="H233" ca="1">SUMPRODUCT((BRON!$A$2:$A$1197=Table1[[#This Row],[Personeelsnummer]])*(BRON!$T$2:$T$1197&gt;=DATE(YEAR(TODAY())-1,MONTH(TODAY()),DAY(TODAY())))*(BRON!$T$2:$T$1197&lt;=TODAY()))</f>
        <v>1</v>
      </c>
    </row>
    <row r="234" spans="1:8" x14ac:dyDescent="0.25">
      <c r="A234" s="34" t="s">
        <v>1860</v>
      </c>
      <c r="B234" s="34" t="s">
        <v>3414</v>
      </c>
      <c r="C234" s="36">
        <v>25829</v>
      </c>
      <c r="D234" s="34" t="s">
        <v>3857</v>
      </c>
      <c r="E234" s="34" t="s">
        <v>3865</v>
      </c>
      <c r="F234" s="3">
        <v>40497.041666666701</v>
      </c>
      <c r="G234" s="35">
        <f ca="1">YEAR(TODAY()) - YEAR(F234) - (IF(DATE(YEAR(TODAY()), MONTH(F234), DAY(F234)) &gt; TODAY(), 1, 0))</f>
        <v>15</v>
      </c>
      <c r="H234" s="43" cm="1">
        <f t="array" aca="1" ref="H234" ca="1">SUMPRODUCT((BRON!$A$2:$A$1197=Table1[[#This Row],[Personeelsnummer]])*(BRON!$T$2:$T$1197&gt;=DATE(YEAR(TODAY())-1,MONTH(TODAY()),DAY(TODAY())))*(BRON!$T$2:$T$1197&lt;=TODAY()))</f>
        <v>1</v>
      </c>
    </row>
    <row r="235" spans="1:8" x14ac:dyDescent="0.25">
      <c r="A235" s="34" t="s">
        <v>2427</v>
      </c>
      <c r="B235" s="34" t="s">
        <v>2430</v>
      </c>
      <c r="C235" s="36">
        <v>24155</v>
      </c>
      <c r="D235" s="34" t="s">
        <v>3867</v>
      </c>
      <c r="E235" s="34" t="s">
        <v>3863</v>
      </c>
      <c r="F235" s="3">
        <v>40000.083333333299</v>
      </c>
      <c r="G235" s="35">
        <f ca="1">YEAR(TODAY()) - YEAR(F235) - (IF(DATE(YEAR(TODAY()), MONTH(F235), DAY(F235)) &gt; TODAY(), 1, 0))</f>
        <v>16</v>
      </c>
      <c r="H235" s="43" cm="1">
        <f t="array" aca="1" ref="H235" ca="1">SUMPRODUCT((BRON!$A$2:$A$1197=Table1[[#This Row],[Personeelsnummer]])*(BRON!$T$2:$T$1197&gt;=DATE(YEAR(TODAY())-1,MONTH(TODAY()),DAY(TODAY())))*(BRON!$T$2:$T$1197&lt;=TODAY()))</f>
        <v>1</v>
      </c>
    </row>
    <row r="236" spans="1:8" x14ac:dyDescent="0.25">
      <c r="A236" s="34" t="s">
        <v>3378</v>
      </c>
      <c r="B236" s="34" t="s">
        <v>3384</v>
      </c>
      <c r="C236" s="36">
        <v>24367</v>
      </c>
      <c r="D236" s="34" t="s">
        <v>3862</v>
      </c>
      <c r="E236" s="34" t="s">
        <v>3860</v>
      </c>
      <c r="F236" s="3">
        <v>40035.083333333299</v>
      </c>
      <c r="G236" s="35">
        <f ca="1">YEAR(TODAY()) - YEAR(F236) - (IF(DATE(YEAR(TODAY()), MONTH(F236), DAY(F236)) &gt; TODAY(), 1, 0))</f>
        <v>16</v>
      </c>
      <c r="H236" s="43" cm="1">
        <f t="array" aca="1" ref="H236" ca="1">SUMPRODUCT((BRON!$A$2:$A$1197=Table1[[#This Row],[Personeelsnummer]])*(BRON!$T$2:$T$1197&gt;=DATE(YEAR(TODAY())-1,MONTH(TODAY()),DAY(TODAY())))*(BRON!$T$2:$T$1197&lt;=TODAY()))</f>
        <v>2</v>
      </c>
    </row>
    <row r="237" spans="1:8" x14ac:dyDescent="0.25">
      <c r="A237" s="34" t="s">
        <v>1929</v>
      </c>
      <c r="B237" s="34" t="s">
        <v>1637</v>
      </c>
      <c r="C237" s="36">
        <v>22052</v>
      </c>
      <c r="D237" s="34" t="s">
        <v>3858</v>
      </c>
      <c r="E237" s="34" t="s">
        <v>3864</v>
      </c>
      <c r="F237" s="3">
        <v>39538.083333333299</v>
      </c>
      <c r="G237" s="35">
        <f ca="1">YEAR(TODAY()) - YEAR(F237) - (IF(DATE(YEAR(TODAY()), MONTH(F237), DAY(F237)) &gt; TODAY(), 1, 0))</f>
        <v>17</v>
      </c>
      <c r="H237" s="43" cm="1">
        <f t="array" aca="1" ref="H237" ca="1">SUMPRODUCT((BRON!$A$2:$A$1197=Table1[[#This Row],[Personeelsnummer]])*(BRON!$T$2:$T$1197&gt;=DATE(YEAR(TODAY())-1,MONTH(TODAY()),DAY(TODAY())))*(BRON!$T$2:$T$1197&lt;=TODAY()))</f>
        <v>1</v>
      </c>
    </row>
    <row r="238" spans="1:8" x14ac:dyDescent="0.25">
      <c r="A238" s="34" t="s">
        <v>1991</v>
      </c>
      <c r="B238" s="34" t="s">
        <v>2003</v>
      </c>
      <c r="C238" s="36">
        <v>22202</v>
      </c>
      <c r="D238" s="34" t="s">
        <v>3853</v>
      </c>
      <c r="E238" s="34" t="s">
        <v>3865</v>
      </c>
      <c r="F238" s="3">
        <v>39573.083333333299</v>
      </c>
      <c r="G238" s="35">
        <f ca="1">YEAR(TODAY()) - YEAR(F238) - (IF(DATE(YEAR(TODAY()), MONTH(F238), DAY(F238)) &gt; TODAY(), 1, 0))</f>
        <v>17</v>
      </c>
      <c r="H238" s="43" cm="1">
        <f t="array" aca="1" ref="H238" ca="1">SUMPRODUCT((BRON!$A$2:$A$1197=Table1[[#This Row],[Personeelsnummer]])*(BRON!$T$2:$T$1197&gt;=DATE(YEAR(TODAY())-1,MONTH(TODAY()),DAY(TODAY())))*(BRON!$T$2:$T$1197&lt;=TODAY()))</f>
        <v>1</v>
      </c>
    </row>
    <row r="239" spans="1:8" x14ac:dyDescent="0.25">
      <c r="A239" s="34" t="s">
        <v>3450</v>
      </c>
      <c r="B239" s="34" t="s">
        <v>3449</v>
      </c>
      <c r="C239" s="36">
        <v>22416</v>
      </c>
      <c r="D239" s="34" t="s">
        <v>3857</v>
      </c>
      <c r="E239" s="34" t="s">
        <v>3859</v>
      </c>
      <c r="F239" s="3">
        <v>39615.083333333299</v>
      </c>
      <c r="G239" s="35">
        <f ca="1">YEAR(TODAY()) - YEAR(F239) - (IF(DATE(YEAR(TODAY()), MONTH(F239), DAY(F239)) &gt; TODAY(), 1, 0))</f>
        <v>17</v>
      </c>
      <c r="H239" s="43" cm="1">
        <f t="array" aca="1" ref="H239" ca="1">SUMPRODUCT((BRON!$A$2:$A$1197=Table1[[#This Row],[Personeelsnummer]])*(BRON!$T$2:$T$1197&gt;=DATE(YEAR(TODAY())-1,MONTH(TODAY()),DAY(TODAY())))*(BRON!$T$2:$T$1197&lt;=TODAY()))</f>
        <v>1</v>
      </c>
    </row>
    <row r="240" spans="1:8" x14ac:dyDescent="0.25">
      <c r="A240" s="34" t="s">
        <v>2773</v>
      </c>
      <c r="B240" s="34" t="s">
        <v>1439</v>
      </c>
      <c r="C240" s="36">
        <v>22877</v>
      </c>
      <c r="D240" s="34" t="s">
        <v>3858</v>
      </c>
      <c r="E240" s="34" t="s">
        <v>3864</v>
      </c>
      <c r="F240" s="3">
        <v>39706.083333333299</v>
      </c>
      <c r="G240" s="35">
        <f ca="1">YEAR(TODAY()) - YEAR(F240) - (IF(DATE(YEAR(TODAY()), MONTH(F240), DAY(F240)) &gt; TODAY(), 1, 0))</f>
        <v>17</v>
      </c>
      <c r="H240" s="43" cm="1">
        <f t="array" aca="1" ref="H240" ca="1">SUMPRODUCT((BRON!$A$2:$A$1197=Table1[[#This Row],[Personeelsnummer]])*(BRON!$T$2:$T$1197&gt;=DATE(YEAR(TODAY())-1,MONTH(TODAY()),DAY(TODAY())))*(BRON!$T$2:$T$1197&lt;=TODAY()))</f>
        <v>1</v>
      </c>
    </row>
    <row r="241" spans="1:8" x14ac:dyDescent="0.25">
      <c r="A241" s="34" t="s">
        <v>2857</v>
      </c>
      <c r="B241" s="34" t="s">
        <v>2863</v>
      </c>
      <c r="C241" s="36">
        <v>21581</v>
      </c>
      <c r="D241" s="34" t="s">
        <v>3858</v>
      </c>
      <c r="E241" s="34" t="s">
        <v>3861</v>
      </c>
      <c r="F241" s="3">
        <v>39433.041666666701</v>
      </c>
      <c r="G241" s="35">
        <f ca="1">YEAR(TODAY()) - YEAR(F241) - (IF(DATE(YEAR(TODAY()), MONTH(F241), DAY(F241)) &gt; TODAY(), 1, 0))</f>
        <v>17</v>
      </c>
      <c r="H241" s="43" cm="1">
        <f t="array" aca="1" ref="H241" ca="1">SUMPRODUCT((BRON!$A$2:$A$1197=Table1[[#This Row],[Personeelsnummer]])*(BRON!$T$2:$T$1197&gt;=DATE(YEAR(TODAY())-1,MONTH(TODAY()),DAY(TODAY())))*(BRON!$T$2:$T$1197&lt;=TODAY()))</f>
        <v>1</v>
      </c>
    </row>
    <row r="242" spans="1:8" x14ac:dyDescent="0.25">
      <c r="A242" s="34" t="s">
        <v>1647</v>
      </c>
      <c r="B242" s="34" t="s">
        <v>1653</v>
      </c>
      <c r="C242" s="36">
        <v>21892</v>
      </c>
      <c r="D242" s="34" t="s">
        <v>3857</v>
      </c>
      <c r="E242" s="34" t="s">
        <v>3865</v>
      </c>
      <c r="F242" s="3">
        <v>39524.041666666701</v>
      </c>
      <c r="G242" s="35">
        <f ca="1">YEAR(TODAY()) - YEAR(F242) - (IF(DATE(YEAR(TODAY()), MONTH(F242), DAY(F242)) &gt; TODAY(), 1, 0))</f>
        <v>17</v>
      </c>
      <c r="H242" s="43" cm="1">
        <f t="array" aca="1" ref="H242" ca="1">SUMPRODUCT((BRON!$A$2:$A$1197=Table1[[#This Row],[Personeelsnummer]])*(BRON!$T$2:$T$1197&gt;=DATE(YEAR(TODAY())-1,MONTH(TODAY()),DAY(TODAY())))*(BRON!$T$2:$T$1197&lt;=TODAY()))</f>
        <v>1</v>
      </c>
    </row>
    <row r="243" spans="1:8" x14ac:dyDescent="0.25">
      <c r="A243" s="34" t="s">
        <v>2506</v>
      </c>
      <c r="B243" s="34" t="s">
        <v>2505</v>
      </c>
      <c r="C243" s="36">
        <v>22240</v>
      </c>
      <c r="D243" s="34" t="s">
        <v>3857</v>
      </c>
      <c r="E243" s="34" t="s">
        <v>3864</v>
      </c>
      <c r="F243" s="3">
        <v>39587.083333333299</v>
      </c>
      <c r="G243" s="35">
        <f ca="1">YEAR(TODAY()) - YEAR(F243) - (IF(DATE(YEAR(TODAY()), MONTH(F243), DAY(F243)) &gt; TODAY(), 1, 0))</f>
        <v>17</v>
      </c>
      <c r="H243" s="43" cm="1">
        <f t="array" aca="1" ref="H243" ca="1">SUMPRODUCT((BRON!$A$2:$A$1197=Table1[[#This Row],[Personeelsnummer]])*(BRON!$T$2:$T$1197&gt;=DATE(YEAR(TODAY())-1,MONTH(TODAY()),DAY(TODAY())))*(BRON!$T$2:$T$1197&lt;=TODAY()))</f>
        <v>1</v>
      </c>
    </row>
    <row r="244" spans="1:8" x14ac:dyDescent="0.25">
      <c r="A244" s="34" t="s">
        <v>1626</v>
      </c>
      <c r="B244" s="34" t="s">
        <v>1625</v>
      </c>
      <c r="C244" s="36">
        <v>22244</v>
      </c>
      <c r="D244" s="34" t="s">
        <v>3853</v>
      </c>
      <c r="E244" s="34" t="s">
        <v>3859</v>
      </c>
      <c r="F244" s="3">
        <v>39587.083333333299</v>
      </c>
      <c r="G244" s="35">
        <f ca="1">YEAR(TODAY()) - YEAR(F244) - (IF(DATE(YEAR(TODAY()), MONTH(F244), DAY(F244)) &gt; TODAY(), 1, 0))</f>
        <v>17</v>
      </c>
      <c r="H244" s="43" cm="1">
        <f t="array" aca="1" ref="H244" ca="1">SUMPRODUCT((BRON!$A$2:$A$1197=Table1[[#This Row],[Personeelsnummer]])*(BRON!$T$2:$T$1197&gt;=DATE(YEAR(TODAY())-1,MONTH(TODAY()),DAY(TODAY())))*(BRON!$T$2:$T$1197&lt;=TODAY()))</f>
        <v>1</v>
      </c>
    </row>
    <row r="245" spans="1:8" x14ac:dyDescent="0.25">
      <c r="A245" s="34" t="s">
        <v>2944</v>
      </c>
      <c r="B245" s="34" t="s">
        <v>2943</v>
      </c>
      <c r="C245" s="36">
        <v>20542</v>
      </c>
      <c r="D245" s="34" t="s">
        <v>3853</v>
      </c>
      <c r="E245" s="34" t="s">
        <v>3864</v>
      </c>
      <c r="F245" s="3">
        <v>39174.083333333299</v>
      </c>
      <c r="G245" s="35">
        <f ca="1">YEAR(TODAY()) - YEAR(F245) - (IF(DATE(YEAR(TODAY()), MONTH(F245), DAY(F245)) &gt; TODAY(), 1, 0))</f>
        <v>18</v>
      </c>
      <c r="H245" s="43" cm="1">
        <f t="array" aca="1" ref="H245" ca="1">SUMPRODUCT((BRON!$A$2:$A$1197=Table1[[#This Row],[Personeelsnummer]])*(BRON!$T$2:$T$1197&gt;=DATE(YEAR(TODAY())-1,MONTH(TODAY()),DAY(TODAY())))*(BRON!$T$2:$T$1197&lt;=TODAY()))</f>
        <v>1</v>
      </c>
    </row>
    <row r="246" spans="1:8" x14ac:dyDescent="0.25">
      <c r="A246" s="34" t="s">
        <v>2687</v>
      </c>
      <c r="B246" s="34" t="s">
        <v>2686</v>
      </c>
      <c r="C246" s="36">
        <v>20543</v>
      </c>
      <c r="D246" s="34" t="s">
        <v>3857</v>
      </c>
      <c r="E246" s="34" t="s">
        <v>3854</v>
      </c>
      <c r="F246" s="3">
        <v>39174.083333333299</v>
      </c>
      <c r="G246" s="35">
        <f ca="1">YEAR(TODAY()) - YEAR(F246) - (IF(DATE(YEAR(TODAY()), MONTH(F246), DAY(F246)) &gt; TODAY(), 1, 0))</f>
        <v>18</v>
      </c>
      <c r="H246" s="43" cm="1">
        <f t="array" aca="1" ref="H246" ca="1">SUMPRODUCT((BRON!$A$2:$A$1197=Table1[[#This Row],[Personeelsnummer]])*(BRON!$T$2:$T$1197&gt;=DATE(YEAR(TODAY())-1,MONTH(TODAY()),DAY(TODAY())))*(BRON!$T$2:$T$1197&lt;=TODAY()))</f>
        <v>1</v>
      </c>
    </row>
    <row r="247" spans="1:8" x14ac:dyDescent="0.25">
      <c r="A247" s="34" t="s">
        <v>1351</v>
      </c>
      <c r="B247" s="34" t="s">
        <v>1744</v>
      </c>
      <c r="C247" s="36">
        <v>20656</v>
      </c>
      <c r="D247" s="34" t="s">
        <v>3858</v>
      </c>
      <c r="E247" s="34" t="s">
        <v>3863</v>
      </c>
      <c r="F247" s="3">
        <v>39204.083333333299</v>
      </c>
      <c r="G247" s="35">
        <f ca="1">YEAR(TODAY()) - YEAR(F247) - (IF(DATE(YEAR(TODAY()), MONTH(F247), DAY(F247)) &gt; TODAY(), 1, 0))</f>
        <v>18</v>
      </c>
      <c r="H247" s="43" cm="1">
        <f t="array" aca="1" ref="H247" ca="1">SUMPRODUCT((BRON!$A$2:$A$1197=Table1[[#This Row],[Personeelsnummer]])*(BRON!$T$2:$T$1197&gt;=DATE(YEAR(TODAY())-1,MONTH(TODAY()),DAY(TODAY())))*(BRON!$T$2:$T$1197&lt;=TODAY()))</f>
        <v>1</v>
      </c>
    </row>
    <row r="248" spans="1:8" x14ac:dyDescent="0.25">
      <c r="A248" s="34" t="s">
        <v>2420</v>
      </c>
      <c r="B248" s="34" t="s">
        <v>2423</v>
      </c>
      <c r="C248" s="36">
        <v>19520</v>
      </c>
      <c r="D248" s="34" t="s">
        <v>3858</v>
      </c>
      <c r="E248" s="34" t="s">
        <v>3864</v>
      </c>
      <c r="F248" s="3">
        <v>38908.083333333299</v>
      </c>
      <c r="G248" s="35">
        <f ca="1">YEAR(TODAY()) - YEAR(F248) - (IF(DATE(YEAR(TODAY()), MONTH(F248), DAY(F248)) &gt; TODAY(), 1, 0))</f>
        <v>19</v>
      </c>
      <c r="H248" s="43" cm="1">
        <f t="array" aca="1" ref="H248" ca="1">SUMPRODUCT((BRON!$A$2:$A$1197=Table1[[#This Row],[Personeelsnummer]])*(BRON!$T$2:$T$1197&gt;=DATE(YEAR(TODAY())-1,MONTH(TODAY()),DAY(TODAY())))*(BRON!$T$2:$T$1197&lt;=TODAY()))</f>
        <v>1</v>
      </c>
    </row>
    <row r="249" spans="1:8" x14ac:dyDescent="0.25">
      <c r="A249" s="34" t="s">
        <v>3868</v>
      </c>
      <c r="B249" s="34" t="s">
        <v>3009</v>
      </c>
      <c r="C249" s="36">
        <v>18987</v>
      </c>
      <c r="D249" s="34" t="s">
        <v>3853</v>
      </c>
      <c r="E249" s="34" t="s">
        <v>3865</v>
      </c>
      <c r="F249" s="3">
        <v>38754.041666666701</v>
      </c>
      <c r="G249" s="35">
        <f ca="1">YEAR(TODAY()) - YEAR(F249) - (IF(DATE(YEAR(TODAY()), MONTH(F249), DAY(F249)) &gt; TODAY(), 1, 0))</f>
        <v>19</v>
      </c>
      <c r="H249" s="43" cm="1">
        <f t="array" aca="1" ref="H249" ca="1">SUMPRODUCT((BRON!$A$2:$A$1197=Table1[[#This Row],[Personeelsnummer]])*(BRON!$T$2:$T$1197&gt;=DATE(YEAR(TODAY())-1,MONTH(TODAY()),DAY(TODAY())))*(BRON!$T$2:$T$1197&lt;=TODAY()))</f>
        <v>2</v>
      </c>
    </row>
    <row r="250" spans="1:8" x14ac:dyDescent="0.25">
      <c r="A250" s="34" t="s">
        <v>3128</v>
      </c>
      <c r="B250" s="34" t="s">
        <v>3127</v>
      </c>
      <c r="C250" s="36">
        <v>17951</v>
      </c>
      <c r="D250" s="34" t="s">
        <v>3857</v>
      </c>
      <c r="E250" s="34" t="s">
        <v>3860</v>
      </c>
      <c r="F250" s="3">
        <v>38404.041666666701</v>
      </c>
      <c r="G250" s="35">
        <f ca="1">YEAR(TODAY()) - YEAR(F250) - (IF(DATE(YEAR(TODAY()), MONTH(F250), DAY(F250)) &gt; TODAY(), 1, 0))</f>
        <v>20</v>
      </c>
      <c r="H250" s="43" cm="1">
        <f t="array" aca="1" ref="H250" ca="1">SUMPRODUCT((BRON!$A$2:$A$1197=Table1[[#This Row],[Personeelsnummer]])*(BRON!$T$2:$T$1197&gt;=DATE(YEAR(TODAY())-1,MONTH(TODAY()),DAY(TODAY())))*(BRON!$T$2:$T$1197&lt;=TODAY()))</f>
        <v>1</v>
      </c>
    </row>
    <row r="251" spans="1:8" x14ac:dyDescent="0.25">
      <c r="A251" s="34" t="s">
        <v>2921</v>
      </c>
      <c r="B251" s="34" t="s">
        <v>2920</v>
      </c>
      <c r="C251" s="36">
        <v>16545</v>
      </c>
      <c r="D251" s="34" t="s">
        <v>3858</v>
      </c>
      <c r="E251" s="34" t="s">
        <v>3860</v>
      </c>
      <c r="F251" s="3">
        <v>37991.041666666701</v>
      </c>
      <c r="G251" s="35">
        <f ca="1">YEAR(TODAY()) - YEAR(F251) - (IF(DATE(YEAR(TODAY()), MONTH(F251), DAY(F251)) &gt; TODAY(), 1, 0))</f>
        <v>21</v>
      </c>
      <c r="H251" s="43" cm="1">
        <f t="array" aca="1" ref="H251" ca="1">SUMPRODUCT((BRON!$A$2:$A$1197=Table1[[#This Row],[Personeelsnummer]])*(BRON!$T$2:$T$1197&gt;=DATE(YEAR(TODAY())-1,MONTH(TODAY()),DAY(TODAY())))*(BRON!$T$2:$T$1197&lt;=TODAY()))</f>
        <v>1</v>
      </c>
    </row>
    <row r="252" spans="1:8" x14ac:dyDescent="0.25">
      <c r="A252" s="34" t="s">
        <v>3347</v>
      </c>
      <c r="B252" s="34" t="s">
        <v>3087</v>
      </c>
      <c r="C252" s="36">
        <v>16897</v>
      </c>
      <c r="D252" s="34" t="s">
        <v>3857</v>
      </c>
      <c r="E252" s="34" t="s">
        <v>3865</v>
      </c>
      <c r="F252" s="3">
        <v>38103.083333333299</v>
      </c>
      <c r="G252" s="35">
        <f ca="1">YEAR(TODAY()) - YEAR(F252) - (IF(DATE(YEAR(TODAY()), MONTH(F252), DAY(F252)) &gt; TODAY(), 1, 0))</f>
        <v>21</v>
      </c>
      <c r="H252" s="43" cm="1">
        <f t="array" aca="1" ref="H252" ca="1">SUMPRODUCT((BRON!$A$2:$A$1197=Table1[[#This Row],[Personeelsnummer]])*(BRON!$T$2:$T$1197&gt;=DATE(YEAR(TODAY())-1,MONTH(TODAY()),DAY(TODAY())))*(BRON!$T$2:$T$1197&lt;=TODAY()))</f>
        <v>2</v>
      </c>
    </row>
    <row r="253" spans="1:8" x14ac:dyDescent="0.25">
      <c r="A253" s="34" t="s">
        <v>1873</v>
      </c>
      <c r="B253" s="34" t="s">
        <v>1872</v>
      </c>
      <c r="C253" s="36">
        <v>17566</v>
      </c>
      <c r="D253" s="34" t="s">
        <v>3857</v>
      </c>
      <c r="E253" s="34" t="s">
        <v>3860</v>
      </c>
      <c r="F253" s="3">
        <v>38222.083333333299</v>
      </c>
      <c r="G253" s="35">
        <f ca="1">YEAR(TODAY()) - YEAR(F253) - (IF(DATE(YEAR(TODAY()), MONTH(F253), DAY(F253)) &gt; TODAY(), 1, 0))</f>
        <v>21</v>
      </c>
      <c r="H253" s="43" cm="1">
        <f t="array" aca="1" ref="H253" ca="1">SUMPRODUCT((BRON!$A$2:$A$1197=Table1[[#This Row],[Personeelsnummer]])*(BRON!$T$2:$T$1197&gt;=DATE(YEAR(TODAY())-1,MONTH(TODAY()),DAY(TODAY())))*(BRON!$T$2:$T$1197&lt;=TODAY()))</f>
        <v>1</v>
      </c>
    </row>
    <row r="254" spans="1:8" x14ac:dyDescent="0.25">
      <c r="A254" s="34" t="s">
        <v>1960</v>
      </c>
      <c r="B254" s="34" t="s">
        <v>1976</v>
      </c>
      <c r="C254" s="36">
        <v>16275</v>
      </c>
      <c r="D254" s="34" t="s">
        <v>3857</v>
      </c>
      <c r="E254" s="34" t="s">
        <v>3864</v>
      </c>
      <c r="F254" s="3">
        <v>37886.083333333299</v>
      </c>
      <c r="G254" s="35">
        <f ca="1">YEAR(TODAY()) - YEAR(F254) - (IF(DATE(YEAR(TODAY()), MONTH(F254), DAY(F254)) &gt; TODAY(), 1, 0))</f>
        <v>22</v>
      </c>
      <c r="H254" s="43" cm="1">
        <f t="array" aca="1" ref="H254" ca="1">SUMPRODUCT((BRON!$A$2:$A$1197=Table1[[#This Row],[Personeelsnummer]])*(BRON!$T$2:$T$1197&gt;=DATE(YEAR(TODAY())-1,MONTH(TODAY()),DAY(TODAY())))*(BRON!$T$2:$T$1197&lt;=TODAY()))</f>
        <v>1</v>
      </c>
    </row>
    <row r="255" spans="1:8" x14ac:dyDescent="0.25">
      <c r="A255" s="34" t="s">
        <v>1504</v>
      </c>
      <c r="B255" s="34" t="s">
        <v>1503</v>
      </c>
      <c r="C255" s="36">
        <v>14625</v>
      </c>
      <c r="D255" s="34" t="s">
        <v>3858</v>
      </c>
      <c r="E255" s="34" t="s">
        <v>3861</v>
      </c>
      <c r="F255" s="3">
        <v>37397.083333333299</v>
      </c>
      <c r="G255" s="35">
        <f ca="1">YEAR(TODAY()) - YEAR(F255) - (IF(DATE(YEAR(TODAY()), MONTH(F255), DAY(F255)) &gt; TODAY(), 1, 0))</f>
        <v>23</v>
      </c>
      <c r="H255" s="43" cm="1">
        <f t="array" aca="1" ref="H255" ca="1">SUMPRODUCT((BRON!$A$2:$A$1197=Table1[[#This Row],[Personeelsnummer]])*(BRON!$T$2:$T$1197&gt;=DATE(YEAR(TODAY())-1,MONTH(TODAY()),DAY(TODAY())))*(BRON!$T$2:$T$1197&lt;=TODAY()))</f>
        <v>1</v>
      </c>
    </row>
    <row r="256" spans="1:8" x14ac:dyDescent="0.25">
      <c r="A256" s="34" t="s">
        <v>1929</v>
      </c>
      <c r="B256" s="34" t="s">
        <v>1943</v>
      </c>
      <c r="C256" s="36">
        <v>15219</v>
      </c>
      <c r="D256" s="34" t="s">
        <v>3857</v>
      </c>
      <c r="E256" s="34" t="s">
        <v>3860</v>
      </c>
      <c r="F256" s="3">
        <v>37543.083333333299</v>
      </c>
      <c r="G256" s="35">
        <f ca="1">YEAR(TODAY()) - YEAR(F256) - (IF(DATE(YEAR(TODAY()), MONTH(F256), DAY(F256)) &gt; TODAY(), 1, 0))</f>
        <v>23</v>
      </c>
      <c r="H256" s="43" cm="1">
        <f t="array" aca="1" ref="H256" ca="1">SUMPRODUCT((BRON!$A$2:$A$1197=Table1[[#This Row],[Personeelsnummer]])*(BRON!$T$2:$T$1197&gt;=DATE(YEAR(TODAY())-1,MONTH(TODAY()),DAY(TODAY())))*(BRON!$T$2:$T$1197&lt;=TODAY()))</f>
        <v>1</v>
      </c>
    </row>
    <row r="257" spans="1:8" x14ac:dyDescent="0.25">
      <c r="A257" s="34" t="s">
        <v>2495</v>
      </c>
      <c r="B257" s="34" t="s">
        <v>2498</v>
      </c>
      <c r="C257" s="36">
        <v>15220</v>
      </c>
      <c r="D257" s="34" t="s">
        <v>3853</v>
      </c>
      <c r="E257" s="34" t="s">
        <v>3866</v>
      </c>
      <c r="F257" s="3">
        <v>37543.083333333299</v>
      </c>
      <c r="G257" s="35">
        <f ca="1">YEAR(TODAY()) - YEAR(F257) - (IF(DATE(YEAR(TODAY()), MONTH(F257), DAY(F257)) &gt; TODAY(), 1, 0))</f>
        <v>23</v>
      </c>
      <c r="H257" s="43" cm="1">
        <f t="array" aca="1" ref="H257" ca="1">SUMPRODUCT((BRON!$A$2:$A$1197=Table1[[#This Row],[Personeelsnummer]])*(BRON!$T$2:$T$1197&gt;=DATE(YEAR(TODAY())-1,MONTH(TODAY()),DAY(TODAY())))*(BRON!$T$2:$T$1197&lt;=TODAY()))</f>
        <v>1</v>
      </c>
    </row>
    <row r="258" spans="1:8" x14ac:dyDescent="0.25">
      <c r="A258" s="34" t="s">
        <v>3015</v>
      </c>
      <c r="B258" s="34" t="s">
        <v>3027</v>
      </c>
      <c r="C258" s="36">
        <v>15088</v>
      </c>
      <c r="D258" s="34" t="s">
        <v>3858</v>
      </c>
      <c r="E258" s="34" t="s">
        <v>3863</v>
      </c>
      <c r="F258" s="3">
        <v>37501.083333333299</v>
      </c>
      <c r="G258" s="35">
        <f ca="1">YEAR(TODAY()) - YEAR(F258) - (IF(DATE(YEAR(TODAY()), MONTH(F258), DAY(F258)) &gt; TODAY(), 1, 0))</f>
        <v>23</v>
      </c>
      <c r="H258" s="43" cm="1">
        <f t="array" aca="1" ref="H258" ca="1">SUMPRODUCT((BRON!$A$2:$A$1197=Table1[[#This Row],[Personeelsnummer]])*(BRON!$T$2:$T$1197&gt;=DATE(YEAR(TODAY())-1,MONTH(TODAY()),DAY(TODAY())))*(BRON!$T$2:$T$1197&lt;=TODAY()))</f>
        <v>1</v>
      </c>
    </row>
    <row r="259" spans="1:8" x14ac:dyDescent="0.25">
      <c r="A259" s="34" t="s">
        <v>2409</v>
      </c>
      <c r="B259" s="34" t="s">
        <v>2408</v>
      </c>
      <c r="C259" s="36">
        <v>15282</v>
      </c>
      <c r="D259" s="34" t="s">
        <v>3862</v>
      </c>
      <c r="E259" s="34" t="s">
        <v>3854</v>
      </c>
      <c r="F259" s="3">
        <v>37564.041666666701</v>
      </c>
      <c r="G259" s="35">
        <f ca="1">YEAR(TODAY()) - YEAR(F259) - (IF(DATE(YEAR(TODAY()), MONTH(F259), DAY(F259)) &gt; TODAY(), 1, 0))</f>
        <v>23</v>
      </c>
      <c r="H259" s="43" cm="1">
        <f t="array" aca="1" ref="H259" ca="1">SUMPRODUCT((BRON!$A$2:$A$1197=Table1[[#This Row],[Personeelsnummer]])*(BRON!$T$2:$T$1197&gt;=DATE(YEAR(TODAY())-1,MONTH(TODAY()),DAY(TODAY())))*(BRON!$T$2:$T$1197&lt;=TODAY()))</f>
        <v>1</v>
      </c>
    </row>
    <row r="260" spans="1:8" x14ac:dyDescent="0.25">
      <c r="A260" s="34" t="s">
        <v>2631</v>
      </c>
      <c r="B260" s="34" t="s">
        <v>1473</v>
      </c>
      <c r="C260" s="36">
        <v>13089</v>
      </c>
      <c r="D260" s="34" t="s">
        <v>3862</v>
      </c>
      <c r="E260" s="34" t="s">
        <v>3859</v>
      </c>
      <c r="F260" s="3">
        <v>36948.041666666701</v>
      </c>
      <c r="G260" s="35">
        <f ca="1">YEAR(TODAY()) - YEAR(F260) - (IF(DATE(YEAR(TODAY()), MONTH(F260), DAY(F260)) &gt; TODAY(), 1, 0))</f>
        <v>24</v>
      </c>
      <c r="H260" s="43" cm="1">
        <f t="array" aca="1" ref="H260" ca="1">SUMPRODUCT((BRON!$A$2:$A$1197=Table1[[#This Row],[Personeelsnummer]])*(BRON!$T$2:$T$1197&gt;=DATE(YEAR(TODAY())-1,MONTH(TODAY()),DAY(TODAY())))*(BRON!$T$2:$T$1197&lt;=TODAY()))</f>
        <v>1</v>
      </c>
    </row>
    <row r="261" spans="1:8" x14ac:dyDescent="0.25">
      <c r="A261" s="34" t="s">
        <v>1210</v>
      </c>
      <c r="B261" s="34" t="s">
        <v>1625</v>
      </c>
      <c r="C261" s="36">
        <v>13398</v>
      </c>
      <c r="D261" s="34" t="s">
        <v>3853</v>
      </c>
      <c r="E261" s="34" t="s">
        <v>3866</v>
      </c>
      <c r="F261" s="3">
        <v>37047.083333333299</v>
      </c>
      <c r="G261" s="35">
        <f ca="1">YEAR(TODAY()) - YEAR(F261) - (IF(DATE(YEAR(TODAY()), MONTH(F261), DAY(F261)) &gt; TODAY(), 1, 0))</f>
        <v>24</v>
      </c>
      <c r="H261" s="43" cm="1">
        <f t="array" aca="1" ref="H261" ca="1">SUMPRODUCT((BRON!$A$2:$A$1197=Table1[[#This Row],[Personeelsnummer]])*(BRON!$T$2:$T$1197&gt;=DATE(YEAR(TODAY())-1,MONTH(TODAY()),DAY(TODAY())))*(BRON!$T$2:$T$1197&lt;=TODAY()))</f>
        <v>1</v>
      </c>
    </row>
    <row r="262" spans="1:8" x14ac:dyDescent="0.25">
      <c r="A262" s="34" t="s">
        <v>2427</v>
      </c>
      <c r="B262" s="34" t="s">
        <v>2433</v>
      </c>
      <c r="C262" s="36">
        <v>14072</v>
      </c>
      <c r="D262" s="34" t="s">
        <v>3853</v>
      </c>
      <c r="E262" s="34" t="s">
        <v>3861</v>
      </c>
      <c r="F262" s="3">
        <v>37214.041666666701</v>
      </c>
      <c r="G262" s="35">
        <f ca="1">YEAR(TODAY()) - YEAR(F262) - (IF(DATE(YEAR(TODAY()), MONTH(F262), DAY(F262)) &gt; TODAY(), 1, 0))</f>
        <v>24</v>
      </c>
      <c r="H262" s="43" cm="1">
        <f t="array" aca="1" ref="H262" ca="1">SUMPRODUCT((BRON!$A$2:$A$1197=Table1[[#This Row],[Personeelsnummer]])*(BRON!$T$2:$T$1197&gt;=DATE(YEAR(TODAY())-1,MONTH(TODAY()),DAY(TODAY())))*(BRON!$T$2:$T$1197&lt;=TODAY()))</f>
        <v>1</v>
      </c>
    </row>
    <row r="263" spans="1:8" x14ac:dyDescent="0.25">
      <c r="A263" s="34" t="s">
        <v>2394</v>
      </c>
      <c r="B263" s="34" t="s">
        <v>2393</v>
      </c>
      <c r="C263" s="36">
        <v>12024</v>
      </c>
      <c r="D263" s="34" t="s">
        <v>3858</v>
      </c>
      <c r="E263" s="34" t="s">
        <v>3861</v>
      </c>
      <c r="F263" s="3">
        <v>36612.083333333299</v>
      </c>
      <c r="G263" s="35">
        <f ca="1">YEAR(TODAY()) - YEAR(F263) - (IF(DATE(YEAR(TODAY()), MONTH(F263), DAY(F263)) &gt; TODAY(), 1, 0))</f>
        <v>25</v>
      </c>
      <c r="H263" s="43" cm="1">
        <f t="array" aca="1" ref="H263" ca="1">SUMPRODUCT((BRON!$A$2:$A$1197=Table1[[#This Row],[Personeelsnummer]])*(BRON!$T$2:$T$1197&gt;=DATE(YEAR(TODAY())-1,MONTH(TODAY()),DAY(TODAY())))*(BRON!$T$2:$T$1197&lt;=TODAY()))</f>
        <v>1</v>
      </c>
    </row>
    <row r="264" spans="1:8" x14ac:dyDescent="0.25">
      <c r="A264" s="34" t="s">
        <v>1341</v>
      </c>
      <c r="B264" s="34" t="s">
        <v>2256</v>
      </c>
      <c r="C264" s="36">
        <v>12514</v>
      </c>
      <c r="D264" s="34" t="s">
        <v>3853</v>
      </c>
      <c r="E264" s="34" t="s">
        <v>3861</v>
      </c>
      <c r="F264" s="3">
        <v>36759.083333333299</v>
      </c>
      <c r="G264" s="35">
        <f ca="1">YEAR(TODAY()) - YEAR(F264) - (IF(DATE(YEAR(TODAY()), MONTH(F264), DAY(F264)) &gt; TODAY(), 1, 0))</f>
        <v>25</v>
      </c>
      <c r="H264" s="43" cm="1">
        <f t="array" aca="1" ref="H264" ca="1">SUMPRODUCT((BRON!$A$2:$A$1197=Table1[[#This Row],[Personeelsnummer]])*(BRON!$T$2:$T$1197&gt;=DATE(YEAR(TODAY())-1,MONTH(TODAY()),DAY(TODAY())))*(BRON!$T$2:$T$1197&lt;=TODAY()))</f>
        <v>1</v>
      </c>
    </row>
    <row r="265" spans="1:8" x14ac:dyDescent="0.25">
      <c r="A265" s="34" t="s">
        <v>2405</v>
      </c>
      <c r="B265" s="34" t="s">
        <v>3081</v>
      </c>
      <c r="C265" s="36">
        <v>12819</v>
      </c>
      <c r="D265" s="34" t="s">
        <v>3853</v>
      </c>
      <c r="E265" s="34" t="s">
        <v>3860</v>
      </c>
      <c r="F265" s="3">
        <v>36853.041666666701</v>
      </c>
      <c r="G265" s="35">
        <f ca="1">YEAR(TODAY()) - YEAR(F265) - (IF(DATE(YEAR(TODAY()), MONTH(F265), DAY(F265)) &gt; TODAY(), 1, 0))</f>
        <v>25</v>
      </c>
      <c r="H265" s="43" cm="1">
        <f t="array" aca="1" ref="H265" ca="1">SUMPRODUCT((BRON!$A$2:$A$1197=Table1[[#This Row],[Personeelsnummer]])*(BRON!$T$2:$T$1197&gt;=DATE(YEAR(TODAY())-1,MONTH(TODAY()),DAY(TODAY())))*(BRON!$T$2:$T$1197&lt;=TODAY()))</f>
        <v>1</v>
      </c>
    </row>
    <row r="266" spans="1:8" x14ac:dyDescent="0.25">
      <c r="A266" s="34" t="s">
        <v>1550</v>
      </c>
      <c r="B266" s="34" t="s">
        <v>1549</v>
      </c>
      <c r="C266" s="36">
        <v>12124</v>
      </c>
      <c r="D266" s="34" t="s">
        <v>3857</v>
      </c>
      <c r="E266" s="34" t="s">
        <v>3865</v>
      </c>
      <c r="F266" s="3">
        <v>36654.083333333299</v>
      </c>
      <c r="G266" s="35">
        <f ca="1">YEAR(TODAY()) - YEAR(F266) - (IF(DATE(YEAR(TODAY()), MONTH(F266), DAY(F266)) &gt; TODAY(), 1, 0))</f>
        <v>25</v>
      </c>
      <c r="H266" s="43" cm="1">
        <f t="array" aca="1" ref="H266" ca="1">SUMPRODUCT((BRON!$A$2:$A$1197=Table1[[#This Row],[Personeelsnummer]])*(BRON!$T$2:$T$1197&gt;=DATE(YEAR(TODAY())-1,MONTH(TODAY()),DAY(TODAY())))*(BRON!$T$2:$T$1197&lt;=TODAY()))</f>
        <v>1</v>
      </c>
    </row>
    <row r="267" spans="1:8" x14ac:dyDescent="0.25">
      <c r="A267" s="34" t="s">
        <v>2265</v>
      </c>
      <c r="B267" s="34" t="s">
        <v>2264</v>
      </c>
      <c r="C267" s="36">
        <v>11021</v>
      </c>
      <c r="D267" s="34" t="s">
        <v>3867</v>
      </c>
      <c r="E267" s="34" t="s">
        <v>3865</v>
      </c>
      <c r="F267" s="3">
        <v>36227.041666666701</v>
      </c>
      <c r="G267" s="35">
        <f ca="1">YEAR(TODAY()) - YEAR(F267) - (IF(DATE(YEAR(TODAY()), MONTH(F267), DAY(F267)) &gt; TODAY(), 1, 0))</f>
        <v>26</v>
      </c>
      <c r="H267" s="43" cm="1">
        <f t="array" aca="1" ref="H267" ca="1">SUMPRODUCT((BRON!$A$2:$A$1197=Table1[[#This Row],[Personeelsnummer]])*(BRON!$T$2:$T$1197&gt;=DATE(YEAR(TODAY())-1,MONTH(TODAY()),DAY(TODAY())))*(BRON!$T$2:$T$1197&lt;=TODAY()))</f>
        <v>1</v>
      </c>
    </row>
    <row r="268" spans="1:8" x14ac:dyDescent="0.25">
      <c r="A268" s="34" t="s">
        <v>2611</v>
      </c>
      <c r="B268" s="34" t="s">
        <v>2610</v>
      </c>
      <c r="C268" s="36">
        <v>11023</v>
      </c>
      <c r="D268" s="34" t="s">
        <v>3857</v>
      </c>
      <c r="E268" s="34" t="s">
        <v>3863</v>
      </c>
      <c r="F268" s="3">
        <v>36227.041666666701</v>
      </c>
      <c r="G268" s="35">
        <f ca="1">YEAR(TODAY()) - YEAR(F268) - (IF(DATE(YEAR(TODAY()), MONTH(F268), DAY(F268)) &gt; TODAY(), 1, 0))</f>
        <v>26</v>
      </c>
      <c r="H268" s="43" cm="1">
        <f t="array" aca="1" ref="H268" ca="1">SUMPRODUCT((BRON!$A$2:$A$1197=Table1[[#This Row],[Personeelsnummer]])*(BRON!$T$2:$T$1197&gt;=DATE(YEAR(TODAY())-1,MONTH(TODAY()),DAY(TODAY())))*(BRON!$T$2:$T$1197&lt;=TODAY()))</f>
        <v>1</v>
      </c>
    </row>
    <row r="269" spans="1:8" x14ac:dyDescent="0.25">
      <c r="A269" s="34" t="s">
        <v>2347</v>
      </c>
      <c r="B269" s="34" t="s">
        <v>2346</v>
      </c>
      <c r="C269" s="36">
        <v>11120</v>
      </c>
      <c r="D269" s="34" t="s">
        <v>3853</v>
      </c>
      <c r="E269" s="34" t="s">
        <v>3861</v>
      </c>
      <c r="F269" s="3">
        <v>36262.083333333299</v>
      </c>
      <c r="G269" s="35">
        <f ca="1">YEAR(TODAY()) - YEAR(F269) - (IF(DATE(YEAR(TODAY()), MONTH(F269), DAY(F269)) &gt; TODAY(), 1, 0))</f>
        <v>26</v>
      </c>
      <c r="H269" s="43" cm="1">
        <f t="array" aca="1" ref="H269" ca="1">SUMPRODUCT((BRON!$A$2:$A$1197=Table1[[#This Row],[Personeelsnummer]])*(BRON!$T$2:$T$1197&gt;=DATE(YEAR(TODAY())-1,MONTH(TODAY()),DAY(TODAY())))*(BRON!$T$2:$T$1197&lt;=TODAY()))</f>
        <v>1</v>
      </c>
    </row>
    <row r="270" spans="1:8" x14ac:dyDescent="0.25">
      <c r="A270" s="34" t="s">
        <v>2781</v>
      </c>
      <c r="B270" s="34" t="s">
        <v>2780</v>
      </c>
      <c r="C270" s="36">
        <v>11213</v>
      </c>
      <c r="D270" s="34" t="s">
        <v>3857</v>
      </c>
      <c r="E270" s="34" t="s">
        <v>3860</v>
      </c>
      <c r="F270" s="3">
        <v>36311.083333333299</v>
      </c>
      <c r="G270" s="35">
        <f ca="1">YEAR(TODAY()) - YEAR(F270) - (IF(DATE(YEAR(TODAY()), MONTH(F270), DAY(F270)) &gt; TODAY(), 1, 0))</f>
        <v>26</v>
      </c>
      <c r="H270" s="43" cm="1">
        <f t="array" aca="1" ref="H270" ca="1">SUMPRODUCT((BRON!$A$2:$A$1197=Table1[[#This Row],[Personeelsnummer]])*(BRON!$T$2:$T$1197&gt;=DATE(YEAR(TODAY())-1,MONTH(TODAY()),DAY(TODAY())))*(BRON!$T$2:$T$1197&lt;=TODAY()))</f>
        <v>1</v>
      </c>
    </row>
    <row r="271" spans="1:8" x14ac:dyDescent="0.25">
      <c r="A271" s="34" t="s">
        <v>2679</v>
      </c>
      <c r="B271" s="34" t="s">
        <v>2678</v>
      </c>
      <c r="C271" s="36">
        <v>10782</v>
      </c>
      <c r="D271" s="34" t="s">
        <v>3853</v>
      </c>
      <c r="E271" s="34" t="s">
        <v>3854</v>
      </c>
      <c r="F271" s="3">
        <v>36080.083333333299</v>
      </c>
      <c r="G271" s="35">
        <f ca="1">YEAR(TODAY()) - YEAR(F271) - (IF(DATE(YEAR(TODAY()), MONTH(F271), DAY(F271)) &gt; TODAY(), 1, 0))</f>
        <v>27</v>
      </c>
      <c r="H271" s="43" cm="1">
        <f t="array" aca="1" ref="H271" ca="1">SUMPRODUCT((BRON!$A$2:$A$1197=Table1[[#This Row],[Personeelsnummer]])*(BRON!$T$2:$T$1197&gt;=DATE(YEAR(TODAY())-1,MONTH(TODAY()),DAY(TODAY())))*(BRON!$T$2:$T$1197&lt;=TODAY()))</f>
        <v>1</v>
      </c>
    </row>
    <row r="272" spans="1:8" x14ac:dyDescent="0.25">
      <c r="A272" s="34" t="s">
        <v>3055</v>
      </c>
      <c r="B272" s="34" t="s">
        <v>3054</v>
      </c>
      <c r="C272" s="36">
        <v>9062</v>
      </c>
      <c r="D272" s="34" t="s">
        <v>3857</v>
      </c>
      <c r="E272" s="34" t="s">
        <v>3854</v>
      </c>
      <c r="F272" s="3">
        <v>35478.041666666701</v>
      </c>
      <c r="G272" s="35">
        <f ca="1">YEAR(TODAY()) - YEAR(F272) - (IF(DATE(YEAR(TODAY()), MONTH(F272), DAY(F272)) &gt; TODAY(), 1, 0))</f>
        <v>28</v>
      </c>
      <c r="H272" s="43" cm="1">
        <f t="array" aca="1" ref="H272" ca="1">SUMPRODUCT((BRON!$A$2:$A$1197=Table1[[#This Row],[Personeelsnummer]])*(BRON!$T$2:$T$1197&gt;=DATE(YEAR(TODAY())-1,MONTH(TODAY()),DAY(TODAY())))*(BRON!$T$2:$T$1197&lt;=TODAY()))</f>
        <v>1</v>
      </c>
    </row>
    <row r="273" spans="1:8" x14ac:dyDescent="0.25">
      <c r="A273" s="34" t="s">
        <v>1824</v>
      </c>
      <c r="B273" s="34" t="s">
        <v>979</v>
      </c>
      <c r="C273" s="36">
        <v>9158</v>
      </c>
      <c r="D273" s="34" t="s">
        <v>3857</v>
      </c>
      <c r="E273" s="34" t="s">
        <v>3865</v>
      </c>
      <c r="F273" s="3">
        <v>35513.041666666701</v>
      </c>
      <c r="G273" s="35">
        <f ca="1">YEAR(TODAY()) - YEAR(F273) - (IF(DATE(YEAR(TODAY()), MONTH(F273), DAY(F273)) &gt; TODAY(), 1, 0))</f>
        <v>28</v>
      </c>
      <c r="H273" s="43" cm="1">
        <f t="array" aca="1" ref="H273" ca="1">SUMPRODUCT((BRON!$A$2:$A$1197=Table1[[#This Row],[Personeelsnummer]])*(BRON!$T$2:$T$1197&gt;=DATE(YEAR(TODAY())-1,MONTH(TODAY()),DAY(TODAY())))*(BRON!$T$2:$T$1197&lt;=TODAY()))</f>
        <v>1</v>
      </c>
    </row>
    <row r="274" spans="1:8" x14ac:dyDescent="0.25">
      <c r="A274" s="34" t="s">
        <v>2931</v>
      </c>
      <c r="B274" s="34" t="s">
        <v>2397</v>
      </c>
      <c r="C274" s="36">
        <v>9824</v>
      </c>
      <c r="D274" s="34" t="s">
        <v>3857</v>
      </c>
      <c r="E274" s="34" t="s">
        <v>3865</v>
      </c>
      <c r="F274" s="3">
        <v>35723.083333333299</v>
      </c>
      <c r="G274" s="35">
        <f ca="1">YEAR(TODAY()) - YEAR(F274) - (IF(DATE(YEAR(TODAY()), MONTH(F274), DAY(F274)) &gt; TODAY(), 1, 0))</f>
        <v>28</v>
      </c>
      <c r="H274" s="43" cm="1">
        <f t="array" aca="1" ref="H274" ca="1">SUMPRODUCT((BRON!$A$2:$A$1197=Table1[[#This Row],[Personeelsnummer]])*(BRON!$T$2:$T$1197&gt;=DATE(YEAR(TODAY())-1,MONTH(TODAY()),DAY(TODAY())))*(BRON!$T$2:$T$1197&lt;=TODAY()))</f>
        <v>1</v>
      </c>
    </row>
    <row r="275" spans="1:8" x14ac:dyDescent="0.25">
      <c r="A275" s="34" t="s">
        <v>2296</v>
      </c>
      <c r="B275" s="34" t="s">
        <v>2295</v>
      </c>
      <c r="C275" s="36">
        <v>8918</v>
      </c>
      <c r="D275" s="34" t="s">
        <v>3862</v>
      </c>
      <c r="E275" s="34" t="s">
        <v>3854</v>
      </c>
      <c r="F275" s="3">
        <v>35394.041666666701</v>
      </c>
      <c r="G275" s="35">
        <f ca="1">YEAR(TODAY()) - YEAR(F275) - (IF(DATE(YEAR(TODAY()), MONTH(F275), DAY(F275)) &gt; TODAY(), 1, 0))</f>
        <v>29</v>
      </c>
      <c r="H275" s="43" cm="1">
        <f t="array" aca="1" ref="H275" ca="1">SUMPRODUCT((BRON!$A$2:$A$1197=Table1[[#This Row],[Personeelsnummer]])*(BRON!$T$2:$T$1197&gt;=DATE(YEAR(TODAY())-1,MONTH(TODAY()),DAY(TODAY())))*(BRON!$T$2:$T$1197&lt;=TODAY()))</f>
        <v>1</v>
      </c>
    </row>
    <row r="276" spans="1:8" x14ac:dyDescent="0.25">
      <c r="A276" s="34" t="s">
        <v>3329</v>
      </c>
      <c r="B276" s="34" t="s">
        <v>3328</v>
      </c>
      <c r="C276" s="36">
        <v>8394</v>
      </c>
      <c r="D276" s="34" t="s">
        <v>3862</v>
      </c>
      <c r="E276" s="34" t="s">
        <v>3861</v>
      </c>
      <c r="F276" s="3">
        <v>35219.083333333299</v>
      </c>
      <c r="G276" s="35">
        <f ca="1">YEAR(TODAY()) - YEAR(F276) - (IF(DATE(YEAR(TODAY()), MONTH(F276), DAY(F276)) &gt; TODAY(), 1, 0))</f>
        <v>29</v>
      </c>
      <c r="H276" s="43" cm="1">
        <f t="array" aca="1" ref="H276" ca="1">SUMPRODUCT((BRON!$A$2:$A$1197=Table1[[#This Row],[Personeelsnummer]])*(BRON!$T$2:$T$1197&gt;=DATE(YEAR(TODAY())-1,MONTH(TODAY()),DAY(TODAY())))*(BRON!$T$2:$T$1197&lt;=TODAY()))</f>
        <v>2</v>
      </c>
    </row>
    <row r="277" spans="1:8" x14ac:dyDescent="0.25">
      <c r="A277" s="34" t="s">
        <v>3045</v>
      </c>
      <c r="B277" s="34" t="s">
        <v>2350</v>
      </c>
      <c r="C277" s="36">
        <v>7746</v>
      </c>
      <c r="D277" s="34" t="s">
        <v>3858</v>
      </c>
      <c r="E277" s="34" t="s">
        <v>3859</v>
      </c>
      <c r="F277" s="3">
        <v>34932.083333333299</v>
      </c>
      <c r="G277" s="35">
        <f ca="1">YEAR(TODAY()) - YEAR(F277) - (IF(DATE(YEAR(TODAY()), MONTH(F277), DAY(F277)) &gt; TODAY(), 1, 0))</f>
        <v>30</v>
      </c>
      <c r="H277" s="43" cm="1">
        <f t="array" aca="1" ref="H277" ca="1">SUMPRODUCT((BRON!$A$2:$A$1197=Table1[[#This Row],[Personeelsnummer]])*(BRON!$T$2:$T$1197&gt;=DATE(YEAR(TODAY())-1,MONTH(TODAY()),DAY(TODAY())))*(BRON!$T$2:$T$1197&lt;=TODAY()))</f>
        <v>1</v>
      </c>
    </row>
    <row r="278" spans="1:8" x14ac:dyDescent="0.25">
      <c r="A278" s="34" t="s">
        <v>3329</v>
      </c>
      <c r="B278" s="34" t="s">
        <v>1255</v>
      </c>
      <c r="C278" s="36">
        <v>6229</v>
      </c>
      <c r="D278" s="34" t="s">
        <v>3858</v>
      </c>
      <c r="E278" s="34" t="s">
        <v>3863</v>
      </c>
      <c r="F278" s="3">
        <v>34008.041666666701</v>
      </c>
      <c r="G278" s="35">
        <f ca="1">YEAR(TODAY()) - YEAR(F278) - (IF(DATE(YEAR(TODAY()), MONTH(F278), DAY(F278)) &gt; TODAY(), 1, 0))</f>
        <v>32</v>
      </c>
      <c r="H278" s="43" cm="1">
        <f t="array" aca="1" ref="H278" ca="1">SUMPRODUCT((BRON!$A$2:$A$1197=Table1[[#This Row],[Personeelsnummer]])*(BRON!$T$2:$T$1197&gt;=DATE(YEAR(TODAY())-1,MONTH(TODAY()),DAY(TODAY())))*(BRON!$T$2:$T$1197&lt;=TODAY()))</f>
        <v>1</v>
      </c>
    </row>
    <row r="279" spans="1:8" x14ac:dyDescent="0.25">
      <c r="A279" s="34" t="s">
        <v>1605</v>
      </c>
      <c r="B279" s="34" t="s">
        <v>1560</v>
      </c>
      <c r="C279" s="36">
        <v>5559</v>
      </c>
      <c r="D279" s="34" t="s">
        <v>3857</v>
      </c>
      <c r="E279" s="34" t="s">
        <v>3865</v>
      </c>
      <c r="F279" s="3">
        <v>33546.041666666701</v>
      </c>
      <c r="G279" s="35">
        <f ca="1">YEAR(TODAY()) - YEAR(F279) - (IF(DATE(YEAR(TODAY()), MONTH(F279), DAY(F279)) &gt; TODAY(), 1, 0))</f>
        <v>34</v>
      </c>
      <c r="H279" s="43" cm="1">
        <f t="array" aca="1" ref="H279" ca="1">SUMPRODUCT((BRON!$A$2:$A$1197=Table1[[#This Row],[Personeelsnummer]])*(BRON!$T$2:$T$1197&gt;=DATE(YEAR(TODAY())-1,MONTH(TODAY()),DAY(TODAY())))*(BRON!$T$2:$T$1197&lt;=TODAY()))</f>
        <v>1</v>
      </c>
    </row>
    <row r="280" spans="1:8" x14ac:dyDescent="0.25">
      <c r="A280" s="34" t="s">
        <v>2562</v>
      </c>
      <c r="B280" s="34" t="s">
        <v>2561</v>
      </c>
      <c r="C280" s="36">
        <v>4608</v>
      </c>
      <c r="D280" s="34" t="s">
        <v>3858</v>
      </c>
      <c r="E280" s="34" t="s">
        <v>3861</v>
      </c>
      <c r="F280" s="3">
        <v>32644.083333333299</v>
      </c>
      <c r="G280" s="35">
        <f ca="1">YEAR(TODAY()) - YEAR(F280) - (IF(DATE(YEAR(TODAY()), MONTH(F280), DAY(F280)) &gt; TODAY(), 1, 0))</f>
        <v>36</v>
      </c>
      <c r="H280" s="43" cm="1">
        <f t="array" aca="1" ref="H280" ca="1">SUMPRODUCT((BRON!$A$2:$A$1197=Table1[[#This Row],[Personeelsnummer]])*(BRON!$T$2:$T$1197&gt;=DATE(YEAR(TODAY())-1,MONTH(TODAY()),DAY(TODAY())))*(BRON!$T$2:$T$1197&lt;=TODAY()))</f>
        <v>1</v>
      </c>
    </row>
    <row r="281" spans="1:8" x14ac:dyDescent="0.25">
      <c r="A281" s="34" t="s">
        <v>2581</v>
      </c>
      <c r="B281" s="34" t="s">
        <v>1950</v>
      </c>
      <c r="C281" s="36">
        <v>4720</v>
      </c>
      <c r="D281" s="34" t="s">
        <v>3858</v>
      </c>
      <c r="E281" s="34" t="s">
        <v>3863</v>
      </c>
      <c r="F281" s="3">
        <v>32797.083333333299</v>
      </c>
      <c r="G281" s="35">
        <f ca="1">YEAR(TODAY()) - YEAR(F281) - (IF(DATE(YEAR(TODAY()), MONTH(F281), DAY(F281)) &gt; TODAY(), 1, 0))</f>
        <v>36</v>
      </c>
      <c r="H281" s="43" cm="1">
        <f t="array" aca="1" ref="H281" ca="1">SUMPRODUCT((BRON!$A$2:$A$1197=Table1[[#This Row],[Personeelsnummer]])*(BRON!$T$2:$T$1197&gt;=DATE(YEAR(TODAY())-1,MONTH(TODAY()),DAY(TODAY())))*(BRON!$T$2:$T$1197&lt;=TODAY()))</f>
        <v>1</v>
      </c>
    </row>
    <row r="282" spans="1:8" x14ac:dyDescent="0.25">
      <c r="A282" s="34" t="s">
        <v>1853</v>
      </c>
      <c r="B282" s="34" t="s">
        <v>1852</v>
      </c>
      <c r="C282" s="36">
        <v>39889</v>
      </c>
      <c r="D282" s="34" t="s">
        <v>3858</v>
      </c>
      <c r="E282" s="34" t="s">
        <v>3865</v>
      </c>
      <c r="F282" s="3">
        <v>45293.041666666701</v>
      </c>
      <c r="G282" s="35">
        <f ca="1">YEAR(TODAY()) - YEAR(F282) - (IF(DATE(YEAR(TODAY()), MONTH(F282), DAY(F282)) &gt; TODAY(), 1, 0))</f>
        <v>1</v>
      </c>
      <c r="H282" s="43" cm="1">
        <f t="array" aca="1" ref="H282" ca="1">SUMPRODUCT((BRON!$A$2:$A$1197=Table1[[#This Row],[Personeelsnummer]])*(BRON!$T$2:$T$1197&gt;=DATE(YEAR(TODAY())-1,MONTH(TODAY()),DAY(TODAY())))*(BRON!$T$2:$T$1197&lt;=TODAY()))</f>
        <v>0</v>
      </c>
    </row>
    <row r="283" spans="1:8" x14ac:dyDescent="0.25">
      <c r="A283" s="34" t="s">
        <v>3453</v>
      </c>
      <c r="B283" s="34" t="s">
        <v>3264</v>
      </c>
      <c r="C283" s="36">
        <v>39899</v>
      </c>
      <c r="D283" s="34" t="s">
        <v>3858</v>
      </c>
      <c r="E283" s="34" t="s">
        <v>3859</v>
      </c>
      <c r="F283" s="3">
        <v>45315.041666666701</v>
      </c>
      <c r="G283" s="35">
        <f ca="1">YEAR(TODAY()) - YEAR(F283) - (IF(DATE(YEAR(TODAY()), MONTH(F283), DAY(F283)) &gt; TODAY(), 1, 0))</f>
        <v>1</v>
      </c>
      <c r="H283" s="43" cm="1">
        <f t="array" aca="1" ref="H283" ca="1">SUMPRODUCT((BRON!$A$2:$A$1197=Table1[[#This Row],[Personeelsnummer]])*(BRON!$T$2:$T$1197&gt;=DATE(YEAR(TODAY())-1,MONTH(TODAY()),DAY(TODAY())))*(BRON!$T$2:$T$1197&lt;=TODAY()))</f>
        <v>0</v>
      </c>
    </row>
    <row r="284" spans="1:8" x14ac:dyDescent="0.25">
      <c r="A284" s="34" t="s">
        <v>3216</v>
      </c>
      <c r="B284" s="34" t="s">
        <v>3215</v>
      </c>
      <c r="C284" s="36">
        <v>39907</v>
      </c>
      <c r="D284" s="34" t="s">
        <v>3858</v>
      </c>
      <c r="E284" s="34" t="s">
        <v>3854</v>
      </c>
      <c r="F284" s="3">
        <v>45299.041666666701</v>
      </c>
      <c r="G284" s="35">
        <f ca="1">YEAR(TODAY()) - YEAR(F284) - (IF(DATE(YEAR(TODAY()), MONTH(F284), DAY(F284)) &gt; TODAY(), 1, 0))</f>
        <v>1</v>
      </c>
      <c r="H284" s="43" cm="1">
        <f t="array" aca="1" ref="H284" ca="1">SUMPRODUCT((BRON!$A$2:$A$1197=Table1[[#This Row],[Personeelsnummer]])*(BRON!$T$2:$T$1197&gt;=DATE(YEAR(TODAY())-1,MONTH(TODAY()),DAY(TODAY())))*(BRON!$T$2:$T$1197&lt;=TODAY()))</f>
        <v>0</v>
      </c>
    </row>
    <row r="285" spans="1:8" x14ac:dyDescent="0.25">
      <c r="A285" s="34" t="s">
        <v>3251</v>
      </c>
      <c r="B285" s="34" t="s">
        <v>3101</v>
      </c>
      <c r="C285" s="36">
        <v>40006</v>
      </c>
      <c r="D285" s="34" t="s">
        <v>3858</v>
      </c>
      <c r="E285" s="34" t="s">
        <v>3859</v>
      </c>
      <c r="F285" s="3">
        <v>45307.041666666701</v>
      </c>
      <c r="G285" s="35">
        <f ca="1">YEAR(TODAY()) - YEAR(F285) - (IF(DATE(YEAR(TODAY()), MONTH(F285), DAY(F285)) &gt; TODAY(), 1, 0))</f>
        <v>1</v>
      </c>
      <c r="H285" s="43" cm="1">
        <f t="array" aca="1" ref="H285" ca="1">SUMPRODUCT((BRON!$A$2:$A$1197=Table1[[#This Row],[Personeelsnummer]])*(BRON!$T$2:$T$1197&gt;=DATE(YEAR(TODAY())-1,MONTH(TODAY()),DAY(TODAY())))*(BRON!$T$2:$T$1197&lt;=TODAY()))</f>
        <v>0</v>
      </c>
    </row>
    <row r="286" spans="1:8" x14ac:dyDescent="0.25">
      <c r="A286" s="34" t="s">
        <v>3325</v>
      </c>
      <c r="B286" s="34" t="s">
        <v>3324</v>
      </c>
      <c r="C286" s="36">
        <v>40294</v>
      </c>
      <c r="D286" s="34" t="s">
        <v>3858</v>
      </c>
      <c r="E286" s="34" t="s">
        <v>3859</v>
      </c>
      <c r="F286" s="3">
        <v>45404.083333333299</v>
      </c>
      <c r="G286" s="35">
        <f ca="1">YEAR(TODAY()) - YEAR(F286) - (IF(DATE(YEAR(TODAY()), MONTH(F286), DAY(F286)) &gt; TODAY(), 1, 0))</f>
        <v>1</v>
      </c>
      <c r="H286" s="43" cm="1">
        <f t="array" aca="1" ref="H286" ca="1">SUMPRODUCT((BRON!$A$2:$A$1197=Table1[[#This Row],[Personeelsnummer]])*(BRON!$T$2:$T$1197&gt;=DATE(YEAR(TODAY())-1,MONTH(TODAY()),DAY(TODAY())))*(BRON!$T$2:$T$1197&lt;=TODAY()))</f>
        <v>1</v>
      </c>
    </row>
    <row r="287" spans="1:8" x14ac:dyDescent="0.25">
      <c r="A287" s="34" t="s">
        <v>2441</v>
      </c>
      <c r="B287" s="34" t="s">
        <v>2440</v>
      </c>
      <c r="C287" s="36">
        <v>40414</v>
      </c>
      <c r="D287" s="34" t="s">
        <v>3858</v>
      </c>
      <c r="E287" s="34" t="s">
        <v>3865</v>
      </c>
      <c r="F287" s="3">
        <v>45408.083333333299</v>
      </c>
      <c r="G287" s="35">
        <f ca="1">YEAR(TODAY()) - YEAR(F287) - (IF(DATE(YEAR(TODAY()), MONTH(F287), DAY(F287)) &gt; TODAY(), 1, 0))</f>
        <v>1</v>
      </c>
      <c r="H287" s="43" cm="1">
        <f t="array" aca="1" ref="H287" ca="1">SUMPRODUCT((BRON!$A$2:$A$1197=Table1[[#This Row],[Personeelsnummer]])*(BRON!$T$2:$T$1197&gt;=DATE(YEAR(TODAY())-1,MONTH(TODAY()),DAY(TODAY())))*(BRON!$T$2:$T$1197&lt;=TODAY()))</f>
        <v>1</v>
      </c>
    </row>
    <row r="288" spans="1:8" x14ac:dyDescent="0.25">
      <c r="A288" s="34" t="s">
        <v>2292</v>
      </c>
      <c r="B288" s="34" t="s">
        <v>2291</v>
      </c>
      <c r="C288" s="36">
        <v>40486</v>
      </c>
      <c r="D288" s="34" t="s">
        <v>3858</v>
      </c>
      <c r="E288" s="34" t="s">
        <v>3859</v>
      </c>
      <c r="F288" s="3">
        <v>45427.083333333299</v>
      </c>
      <c r="G288" s="35">
        <f ca="1">YEAR(TODAY()) - YEAR(F288) - (IF(DATE(YEAR(TODAY()), MONTH(F288), DAY(F288)) &gt; TODAY(), 1, 0))</f>
        <v>1</v>
      </c>
      <c r="H288" s="43" cm="1">
        <f t="array" aca="1" ref="H288" ca="1">SUMPRODUCT((BRON!$A$2:$A$1197=Table1[[#This Row],[Personeelsnummer]])*(BRON!$T$2:$T$1197&gt;=DATE(YEAR(TODAY())-1,MONTH(TODAY()),DAY(TODAY())))*(BRON!$T$2:$T$1197&lt;=TODAY()))</f>
        <v>0</v>
      </c>
    </row>
    <row r="289" spans="1:8" x14ac:dyDescent="0.25">
      <c r="A289" s="34" t="s">
        <v>3006</v>
      </c>
      <c r="B289" s="34" t="s">
        <v>3005</v>
      </c>
      <c r="C289" s="36">
        <v>40608</v>
      </c>
      <c r="D289" s="34" t="s">
        <v>3858</v>
      </c>
      <c r="E289" s="34" t="s">
        <v>3861</v>
      </c>
      <c r="F289" s="3">
        <v>45456.083333333299</v>
      </c>
      <c r="G289" s="35">
        <f ca="1">YEAR(TODAY()) - YEAR(F289) - (IF(DATE(YEAR(TODAY()), MONTH(F289), DAY(F289)) &gt; TODAY(), 1, 0))</f>
        <v>1</v>
      </c>
      <c r="H289" s="43" cm="1">
        <f t="array" aca="1" ref="H289" ca="1">SUMPRODUCT((BRON!$A$2:$A$1197=Table1[[#This Row],[Personeelsnummer]])*(BRON!$T$2:$T$1197&gt;=DATE(YEAR(TODAY())-1,MONTH(TODAY()),DAY(TODAY())))*(BRON!$T$2:$T$1197&lt;=TODAY()))</f>
        <v>0</v>
      </c>
    </row>
    <row r="290" spans="1:8" x14ac:dyDescent="0.25">
      <c r="A290" s="34" t="s">
        <v>1452</v>
      </c>
      <c r="B290" s="34" t="s">
        <v>1467</v>
      </c>
      <c r="C290" s="36">
        <v>40761</v>
      </c>
      <c r="D290" s="34" t="s">
        <v>3858</v>
      </c>
      <c r="E290" s="34" t="s">
        <v>3854</v>
      </c>
      <c r="F290" s="3">
        <v>45498.083333333299</v>
      </c>
      <c r="G290" s="35">
        <f ca="1">YEAR(TODAY()) - YEAR(F290) - (IF(DATE(YEAR(TODAY()), MONTH(F290), DAY(F290)) &gt; TODAY(), 1, 0))</f>
        <v>1</v>
      </c>
      <c r="H290" s="43" cm="1">
        <f t="array" aca="1" ref="H290" ca="1">SUMPRODUCT((BRON!$A$2:$A$1197=Table1[[#This Row],[Personeelsnummer]])*(BRON!$T$2:$T$1197&gt;=DATE(YEAR(TODAY())-1,MONTH(TODAY()),DAY(TODAY())))*(BRON!$T$2:$T$1197&lt;=TODAY()))</f>
        <v>0</v>
      </c>
    </row>
    <row r="291" spans="1:8" x14ac:dyDescent="0.25">
      <c r="A291" s="34" t="s">
        <v>3347</v>
      </c>
      <c r="B291" s="34" t="s">
        <v>3349</v>
      </c>
      <c r="C291" s="36">
        <v>33551</v>
      </c>
      <c r="D291" s="34" t="s">
        <v>3853</v>
      </c>
      <c r="E291" s="34" t="s">
        <v>3863</v>
      </c>
      <c r="F291" s="3">
        <v>45372.041666666701</v>
      </c>
      <c r="G291" s="35">
        <f ca="1">YEAR(TODAY()) - YEAR(F291) - (IF(DATE(YEAR(TODAY()), MONTH(F291), DAY(F291)) &gt; TODAY(), 1, 0))</f>
        <v>1</v>
      </c>
      <c r="H291" s="43" cm="1">
        <f t="array" aca="1" ref="H291" ca="1">SUMPRODUCT((BRON!$A$2:$A$1197=Table1[[#This Row],[Personeelsnummer]])*(BRON!$T$2:$T$1197&gt;=DATE(YEAR(TODAY())-1,MONTH(TODAY()),DAY(TODAY())))*(BRON!$T$2:$T$1197&lt;=TODAY()))</f>
        <v>0</v>
      </c>
    </row>
    <row r="292" spans="1:8" x14ac:dyDescent="0.25">
      <c r="A292" s="34" t="s">
        <v>1895</v>
      </c>
      <c r="B292" s="34" t="s">
        <v>1894</v>
      </c>
      <c r="C292" s="36">
        <v>39930</v>
      </c>
      <c r="D292" s="34" t="s">
        <v>3858</v>
      </c>
      <c r="E292" s="34" t="s">
        <v>3859</v>
      </c>
      <c r="F292" s="3">
        <v>45307.041666666701</v>
      </c>
      <c r="G292" s="35">
        <f ca="1">YEAR(TODAY()) - YEAR(F292) - (IF(DATE(YEAR(TODAY()), MONTH(F292), DAY(F292)) &gt; TODAY(), 1, 0))</f>
        <v>1</v>
      </c>
      <c r="H292" s="43" cm="1">
        <f t="array" aca="1" ref="H292" ca="1">SUMPRODUCT((BRON!$A$2:$A$1197=Table1[[#This Row],[Personeelsnummer]])*(BRON!$T$2:$T$1197&gt;=DATE(YEAR(TODAY())-1,MONTH(TODAY()),DAY(TODAY())))*(BRON!$T$2:$T$1197&lt;=TODAY()))</f>
        <v>0</v>
      </c>
    </row>
    <row r="293" spans="1:8" x14ac:dyDescent="0.25">
      <c r="A293" s="34" t="s">
        <v>2445</v>
      </c>
      <c r="B293" s="34" t="s">
        <v>2444</v>
      </c>
      <c r="C293" s="36">
        <v>40200</v>
      </c>
      <c r="D293" s="34" t="s">
        <v>3858</v>
      </c>
      <c r="E293" s="34" t="s">
        <v>3866</v>
      </c>
      <c r="F293" s="3">
        <v>45345.041666666701</v>
      </c>
      <c r="G293" s="35">
        <f ca="1">YEAR(TODAY()) - YEAR(F293) - (IF(DATE(YEAR(TODAY()), MONTH(F293), DAY(F293)) &gt; TODAY(), 1, 0))</f>
        <v>1</v>
      </c>
      <c r="H293" s="43" cm="1">
        <f t="array" aca="1" ref="H293" ca="1">SUMPRODUCT((BRON!$A$2:$A$1197=Table1[[#This Row],[Personeelsnummer]])*(BRON!$T$2:$T$1197&gt;=DATE(YEAR(TODAY())-1,MONTH(TODAY()),DAY(TODAY())))*(BRON!$T$2:$T$1197&lt;=TODAY()))</f>
        <v>0</v>
      </c>
    </row>
    <row r="294" spans="1:8" x14ac:dyDescent="0.25">
      <c r="A294" s="34" t="s">
        <v>1686</v>
      </c>
      <c r="B294" s="34" t="s">
        <v>1685</v>
      </c>
      <c r="C294" s="36">
        <v>40222</v>
      </c>
      <c r="D294" s="34" t="s">
        <v>3858</v>
      </c>
      <c r="E294" s="34" t="s">
        <v>3866</v>
      </c>
      <c r="F294" s="3">
        <v>45349.041666666701</v>
      </c>
      <c r="G294" s="35">
        <f ca="1">YEAR(TODAY()) - YEAR(F294) - (IF(DATE(YEAR(TODAY()), MONTH(F294), DAY(F294)) &gt; TODAY(), 1, 0))</f>
        <v>1</v>
      </c>
      <c r="H294" s="43" cm="1">
        <f t="array" aca="1" ref="H294" ca="1">SUMPRODUCT((BRON!$A$2:$A$1197=Table1[[#This Row],[Personeelsnummer]])*(BRON!$T$2:$T$1197&gt;=DATE(YEAR(TODAY())-1,MONTH(TODAY()),DAY(TODAY())))*(BRON!$T$2:$T$1197&lt;=TODAY()))</f>
        <v>0</v>
      </c>
    </row>
    <row r="295" spans="1:8" x14ac:dyDescent="0.25">
      <c r="A295" s="34" t="s">
        <v>3378</v>
      </c>
      <c r="B295" s="34" t="s">
        <v>3377</v>
      </c>
      <c r="C295" s="36">
        <v>40521</v>
      </c>
      <c r="D295" s="34" t="s">
        <v>3858</v>
      </c>
      <c r="E295" s="34" t="s">
        <v>3861</v>
      </c>
      <c r="F295" s="3">
        <v>45419.083333333299</v>
      </c>
      <c r="G295" s="35">
        <f ca="1">YEAR(TODAY()) - YEAR(F295) - (IF(DATE(YEAR(TODAY()), MONTH(F295), DAY(F295)) &gt; TODAY(), 1, 0))</f>
        <v>1</v>
      </c>
      <c r="H295" s="43" cm="1">
        <f t="array" aca="1" ref="H295" ca="1">SUMPRODUCT((BRON!$A$2:$A$1197=Table1[[#This Row],[Personeelsnummer]])*(BRON!$T$2:$T$1197&gt;=DATE(YEAR(TODAY())-1,MONTH(TODAY()),DAY(TODAY())))*(BRON!$T$2:$T$1197&lt;=TODAY()))</f>
        <v>0</v>
      </c>
    </row>
    <row r="296" spans="1:8" x14ac:dyDescent="0.25">
      <c r="A296" s="34" t="s">
        <v>2483</v>
      </c>
      <c r="B296" s="34" t="s">
        <v>2486</v>
      </c>
      <c r="C296" s="36">
        <v>39859</v>
      </c>
      <c r="D296" s="34" t="s">
        <v>3858</v>
      </c>
      <c r="E296" s="34" t="s">
        <v>3860</v>
      </c>
      <c r="F296" s="3">
        <v>45264.041666666701</v>
      </c>
      <c r="G296" s="35">
        <f ca="1">YEAR(TODAY()) - YEAR(F296) - (IF(DATE(YEAR(TODAY()), MONTH(F296), DAY(F296)) &gt; TODAY(), 1, 0))</f>
        <v>1</v>
      </c>
      <c r="H296" s="43" cm="1">
        <f t="array" aca="1" ref="H296" ca="1">SUMPRODUCT((BRON!$A$2:$A$1197=Table1[[#This Row],[Personeelsnummer]])*(BRON!$T$2:$T$1197&gt;=DATE(YEAR(TODAY())-1,MONTH(TODAY()),DAY(TODAY())))*(BRON!$T$2:$T$1197&lt;=TODAY()))</f>
        <v>1</v>
      </c>
    </row>
    <row r="297" spans="1:8" x14ac:dyDescent="0.25">
      <c r="A297" s="34" t="s">
        <v>2014</v>
      </c>
      <c r="B297" s="34" t="s">
        <v>3431</v>
      </c>
      <c r="C297" s="36">
        <v>38551</v>
      </c>
      <c r="D297" s="34" t="s">
        <v>3858</v>
      </c>
      <c r="E297" s="34" t="s">
        <v>3860</v>
      </c>
      <c r="F297" s="3">
        <v>44970.041666666701</v>
      </c>
      <c r="G297" s="35">
        <f ca="1">YEAR(TODAY()) - YEAR(F297) - (IF(DATE(YEAR(TODAY()), MONTH(F297), DAY(F297)) &gt; TODAY(), 1, 0))</f>
        <v>2</v>
      </c>
      <c r="H297" s="43" cm="1">
        <f t="array" aca="1" ref="H297" ca="1">SUMPRODUCT((BRON!$A$2:$A$1197=Table1[[#This Row],[Personeelsnummer]])*(BRON!$T$2:$T$1197&gt;=DATE(YEAR(TODAY())-1,MONTH(TODAY()),DAY(TODAY())))*(BRON!$T$2:$T$1197&lt;=TODAY()))</f>
        <v>0</v>
      </c>
    </row>
    <row r="298" spans="1:8" x14ac:dyDescent="0.25">
      <c r="A298" s="34" t="s">
        <v>1616</v>
      </c>
      <c r="B298" s="34" t="s">
        <v>1615</v>
      </c>
      <c r="C298" s="36">
        <v>38579</v>
      </c>
      <c r="D298" s="34" t="s">
        <v>3853</v>
      </c>
      <c r="E298" s="34" t="s">
        <v>3864</v>
      </c>
      <c r="F298" s="3">
        <v>45035.083333333299</v>
      </c>
      <c r="G298" s="35">
        <f ca="1">YEAR(TODAY()) - YEAR(F298) - (IF(DATE(YEAR(TODAY()), MONTH(F298), DAY(F298)) &gt; TODAY(), 1, 0))</f>
        <v>2</v>
      </c>
      <c r="H298" s="43" cm="1">
        <f t="array" aca="1" ref="H298" ca="1">SUMPRODUCT((BRON!$A$2:$A$1197=Table1[[#This Row],[Personeelsnummer]])*(BRON!$T$2:$T$1197&gt;=DATE(YEAR(TODAY())-1,MONTH(TODAY()),DAY(TODAY())))*(BRON!$T$2:$T$1197&lt;=TODAY()))</f>
        <v>0</v>
      </c>
    </row>
    <row r="299" spans="1:8" x14ac:dyDescent="0.25">
      <c r="A299" s="34" t="s">
        <v>1789</v>
      </c>
      <c r="B299" s="34" t="s">
        <v>1788</v>
      </c>
      <c r="C299" s="36">
        <v>39145</v>
      </c>
      <c r="D299" s="34" t="s">
        <v>3853</v>
      </c>
      <c r="E299" s="34" t="s">
        <v>3859</v>
      </c>
      <c r="F299" s="3">
        <v>45166.083333333299</v>
      </c>
      <c r="G299" s="35">
        <f ca="1">YEAR(TODAY()) - YEAR(F299) - (IF(DATE(YEAR(TODAY()), MONTH(F299), DAY(F299)) &gt; TODAY(), 1, 0))</f>
        <v>2</v>
      </c>
      <c r="H299" s="43" cm="1">
        <f t="array" aca="1" ref="H299" ca="1">SUMPRODUCT((BRON!$A$2:$A$1197=Table1[[#This Row],[Personeelsnummer]])*(BRON!$T$2:$T$1197&gt;=DATE(YEAR(TODAY())-1,MONTH(TODAY()),DAY(TODAY())))*(BRON!$T$2:$T$1197&lt;=TODAY()))</f>
        <v>0</v>
      </c>
    </row>
    <row r="300" spans="1:8" x14ac:dyDescent="0.25">
      <c r="A300" s="34" t="s">
        <v>3273</v>
      </c>
      <c r="B300" s="34" t="s">
        <v>3272</v>
      </c>
      <c r="C300" s="36">
        <v>39610</v>
      </c>
      <c r="D300" s="34" t="s">
        <v>3853</v>
      </c>
      <c r="E300" s="34" t="s">
        <v>3860</v>
      </c>
      <c r="F300" s="3">
        <v>45208.083333333299</v>
      </c>
      <c r="G300" s="35">
        <f ca="1">YEAR(TODAY()) - YEAR(F300) - (IF(DATE(YEAR(TODAY()), MONTH(F300), DAY(F300)) &gt; TODAY(), 1, 0))</f>
        <v>2</v>
      </c>
      <c r="H300" s="43" cm="1">
        <f t="array" aca="1" ref="H300" ca="1">SUMPRODUCT((BRON!$A$2:$A$1197=Table1[[#This Row],[Personeelsnummer]])*(BRON!$T$2:$T$1197&gt;=DATE(YEAR(TODAY())-1,MONTH(TODAY()),DAY(TODAY())))*(BRON!$T$2:$T$1197&lt;=TODAY()))</f>
        <v>0</v>
      </c>
    </row>
    <row r="301" spans="1:8" x14ac:dyDescent="0.25">
      <c r="A301" s="34" t="s">
        <v>2897</v>
      </c>
      <c r="B301" s="34" t="s">
        <v>2896</v>
      </c>
      <c r="C301" s="36">
        <v>27186</v>
      </c>
      <c r="D301" s="34" t="s">
        <v>3858</v>
      </c>
      <c r="E301" s="34" t="s">
        <v>3859</v>
      </c>
      <c r="F301" s="3">
        <v>45139.083333333299</v>
      </c>
      <c r="G301" s="35">
        <f ca="1">YEAR(TODAY()) - YEAR(F301) - (IF(DATE(YEAR(TODAY()), MONTH(F301), DAY(F301)) &gt; TODAY(), 1, 0))</f>
        <v>2</v>
      </c>
      <c r="H301" s="43" cm="1">
        <f t="array" aca="1" ref="H301" ca="1">SUMPRODUCT((BRON!$A$2:$A$1197=Table1[[#This Row],[Personeelsnummer]])*(BRON!$T$2:$T$1197&gt;=DATE(YEAR(TODAY())-1,MONTH(TODAY()),DAY(TODAY())))*(BRON!$T$2:$T$1197&lt;=TODAY()))</f>
        <v>0</v>
      </c>
    </row>
    <row r="302" spans="1:8" x14ac:dyDescent="0.25">
      <c r="A302" s="34" t="s">
        <v>2483</v>
      </c>
      <c r="B302" s="34" t="s">
        <v>2489</v>
      </c>
      <c r="C302" s="36">
        <v>39019</v>
      </c>
      <c r="D302" s="34" t="s">
        <v>3858</v>
      </c>
      <c r="E302" s="34" t="s">
        <v>3861</v>
      </c>
      <c r="F302" s="3">
        <v>45061.083333333299</v>
      </c>
      <c r="G302" s="35">
        <f ca="1">YEAR(TODAY()) - YEAR(F302) - (IF(DATE(YEAR(TODAY()), MONTH(F302), DAY(F302)) &gt; TODAY(), 1, 0))</f>
        <v>2</v>
      </c>
      <c r="H302" s="43" cm="1">
        <f t="array" aca="1" ref="H302" ca="1">SUMPRODUCT((BRON!$A$2:$A$1197=Table1[[#This Row],[Personeelsnummer]])*(BRON!$T$2:$T$1197&gt;=DATE(YEAR(TODAY())-1,MONTH(TODAY()),DAY(TODAY())))*(BRON!$T$2:$T$1197&lt;=TODAY()))</f>
        <v>0</v>
      </c>
    </row>
    <row r="303" spans="1:8" x14ac:dyDescent="0.25">
      <c r="A303" s="34" t="s">
        <v>1427</v>
      </c>
      <c r="B303" s="34" t="s">
        <v>1426</v>
      </c>
      <c r="C303" s="36">
        <v>39184</v>
      </c>
      <c r="D303" s="34" t="s">
        <v>3853</v>
      </c>
      <c r="E303" s="34" t="s">
        <v>3859</v>
      </c>
      <c r="F303" s="3">
        <v>45097.083333333299</v>
      </c>
      <c r="G303" s="35">
        <f ca="1">YEAR(TODAY()) - YEAR(F303) - (IF(DATE(YEAR(TODAY()), MONTH(F303), DAY(F303)) &gt; TODAY(), 1, 0))</f>
        <v>2</v>
      </c>
      <c r="H303" s="43" cm="1">
        <f t="array" aca="1" ref="H303" ca="1">SUMPRODUCT((BRON!$A$2:$A$1197=Table1[[#This Row],[Personeelsnummer]])*(BRON!$T$2:$T$1197&gt;=DATE(YEAR(TODAY())-1,MONTH(TODAY()),DAY(TODAY())))*(BRON!$T$2:$T$1197&lt;=TODAY()))</f>
        <v>0</v>
      </c>
    </row>
    <row r="304" spans="1:8" x14ac:dyDescent="0.25">
      <c r="A304" s="34" t="s">
        <v>2770</v>
      </c>
      <c r="B304" s="34" t="s">
        <v>2769</v>
      </c>
      <c r="C304" s="36">
        <v>39013</v>
      </c>
      <c r="D304" s="34" t="s">
        <v>3858</v>
      </c>
      <c r="E304" s="34" t="s">
        <v>3864</v>
      </c>
      <c r="F304" s="3">
        <v>45076.083333333299</v>
      </c>
      <c r="G304" s="35">
        <f ca="1">YEAR(TODAY()) - YEAR(F304) - (IF(DATE(YEAR(TODAY()), MONTH(F304), DAY(F304)) &gt; TODAY(), 1, 0))</f>
        <v>2</v>
      </c>
      <c r="H304" s="43" cm="1">
        <f t="array" aca="1" ref="H304" ca="1">SUMPRODUCT((BRON!$A$2:$A$1197=Table1[[#This Row],[Personeelsnummer]])*(BRON!$T$2:$T$1197&gt;=DATE(YEAR(TODAY())-1,MONTH(TODAY()),DAY(TODAY())))*(BRON!$T$2:$T$1197&lt;=TODAY()))</f>
        <v>0</v>
      </c>
    </row>
    <row r="305" spans="1:8" x14ac:dyDescent="0.25">
      <c r="A305" s="34" t="s">
        <v>3395</v>
      </c>
      <c r="B305" s="34" t="s">
        <v>3394</v>
      </c>
      <c r="C305" s="36">
        <v>39146</v>
      </c>
      <c r="D305" s="34" t="s">
        <v>3858</v>
      </c>
      <c r="E305" s="34" t="s">
        <v>3864</v>
      </c>
      <c r="F305" s="3">
        <v>45090.083333333299</v>
      </c>
      <c r="G305" s="35">
        <f ca="1">YEAR(TODAY()) - YEAR(F305) - (IF(DATE(YEAR(TODAY()), MONTH(F305), DAY(F305)) &gt; TODAY(), 1, 0))</f>
        <v>2</v>
      </c>
      <c r="H305" s="43" cm="1">
        <f t="array" aca="1" ref="H305" ca="1">SUMPRODUCT((BRON!$A$2:$A$1197=Table1[[#This Row],[Personeelsnummer]])*(BRON!$T$2:$T$1197&gt;=DATE(YEAR(TODAY())-1,MONTH(TODAY()),DAY(TODAY())))*(BRON!$T$2:$T$1197&lt;=TODAY()))</f>
        <v>0</v>
      </c>
    </row>
    <row r="306" spans="1:8" x14ac:dyDescent="0.25">
      <c r="A306" s="34" t="s">
        <v>3362</v>
      </c>
      <c r="B306" s="34" t="s">
        <v>3361</v>
      </c>
      <c r="C306" s="36">
        <v>39183</v>
      </c>
      <c r="D306" s="34" t="s">
        <v>3858</v>
      </c>
      <c r="E306" s="34" t="s">
        <v>3859</v>
      </c>
      <c r="F306" s="3">
        <v>45103.083333333299</v>
      </c>
      <c r="G306" s="35">
        <f ca="1">YEAR(TODAY()) - YEAR(F306) - (IF(DATE(YEAR(TODAY()), MONTH(F306), DAY(F306)) &gt; TODAY(), 1, 0))</f>
        <v>2</v>
      </c>
      <c r="H306" s="43" cm="1">
        <f t="array" aca="1" ref="H306" ca="1">SUMPRODUCT((BRON!$A$2:$A$1197=Table1[[#This Row],[Personeelsnummer]])*(BRON!$T$2:$T$1197&gt;=DATE(YEAR(TODAY())-1,MONTH(TODAY()),DAY(TODAY())))*(BRON!$T$2:$T$1197&lt;=TODAY()))</f>
        <v>0</v>
      </c>
    </row>
    <row r="307" spans="1:8" x14ac:dyDescent="0.25">
      <c r="A307" s="34" t="s">
        <v>1662</v>
      </c>
      <c r="B307" s="34" t="s">
        <v>1661</v>
      </c>
      <c r="C307" s="36">
        <v>37216</v>
      </c>
      <c r="D307" s="34" t="s">
        <v>3858</v>
      </c>
      <c r="E307" s="34" t="s">
        <v>3854</v>
      </c>
      <c r="F307" s="3">
        <v>44664.083333333299</v>
      </c>
      <c r="G307" s="35">
        <f ca="1">YEAR(TODAY()) - YEAR(F307) - (IF(DATE(YEAR(TODAY()), MONTH(F307), DAY(F307)) &gt; TODAY(), 1, 0))</f>
        <v>3</v>
      </c>
      <c r="H307" s="43" cm="1">
        <f t="array" aca="1" ref="H307" ca="1">SUMPRODUCT((BRON!$A$2:$A$1197=Table1[[#This Row],[Personeelsnummer]])*(BRON!$T$2:$T$1197&gt;=DATE(YEAR(TODAY())-1,MONTH(TODAY()),DAY(TODAY())))*(BRON!$T$2:$T$1197&lt;=TODAY()))</f>
        <v>0</v>
      </c>
    </row>
    <row r="308" spans="1:8" x14ac:dyDescent="0.25">
      <c r="A308" s="34" t="s">
        <v>2228</v>
      </c>
      <c r="B308" s="34" t="s">
        <v>2227</v>
      </c>
      <c r="C308" s="36">
        <v>37313</v>
      </c>
      <c r="D308" s="34" t="s">
        <v>3853</v>
      </c>
      <c r="E308" s="34" t="s">
        <v>3860</v>
      </c>
      <c r="F308" s="3">
        <v>44704.083333333299</v>
      </c>
      <c r="G308" s="35">
        <f ca="1">YEAR(TODAY()) - YEAR(F308) - (IF(DATE(YEAR(TODAY()), MONTH(F308), DAY(F308)) &gt; TODAY(), 1, 0))</f>
        <v>3</v>
      </c>
      <c r="H308" s="43" cm="1">
        <f t="array" aca="1" ref="H308" ca="1">SUMPRODUCT((BRON!$A$2:$A$1197=Table1[[#This Row],[Personeelsnummer]])*(BRON!$T$2:$T$1197&gt;=DATE(YEAR(TODAY())-1,MONTH(TODAY()),DAY(TODAY())))*(BRON!$T$2:$T$1197&lt;=TODAY()))</f>
        <v>0</v>
      </c>
    </row>
    <row r="309" spans="1:8" x14ac:dyDescent="0.25">
      <c r="A309" s="34" t="s">
        <v>2085</v>
      </c>
      <c r="B309" s="34" t="s">
        <v>2084</v>
      </c>
      <c r="C309" s="36">
        <v>37564</v>
      </c>
      <c r="D309" s="34" t="s">
        <v>3858</v>
      </c>
      <c r="E309" s="34" t="s">
        <v>3863</v>
      </c>
      <c r="F309" s="3">
        <v>44683.083333333299</v>
      </c>
      <c r="G309" s="35">
        <f ca="1">YEAR(TODAY()) - YEAR(F309) - (IF(DATE(YEAR(TODAY()), MONTH(F309), DAY(F309)) &gt; TODAY(), 1, 0))</f>
        <v>3</v>
      </c>
      <c r="H309" s="43" cm="1">
        <f t="array" aca="1" ref="H309" ca="1">SUMPRODUCT((BRON!$A$2:$A$1197=Table1[[#This Row],[Personeelsnummer]])*(BRON!$T$2:$T$1197&gt;=DATE(YEAR(TODAY())-1,MONTH(TODAY()),DAY(TODAY())))*(BRON!$T$2:$T$1197&lt;=TODAY()))</f>
        <v>0</v>
      </c>
    </row>
    <row r="310" spans="1:8" x14ac:dyDescent="0.25">
      <c r="A310" s="34" t="s">
        <v>3157</v>
      </c>
      <c r="B310" s="34" t="s">
        <v>2327</v>
      </c>
      <c r="C310" s="36">
        <v>37683</v>
      </c>
      <c r="D310" s="34" t="s">
        <v>3858</v>
      </c>
      <c r="E310" s="34" t="s">
        <v>3865</v>
      </c>
      <c r="F310" s="3">
        <v>44739.083333333299</v>
      </c>
      <c r="G310" s="35">
        <f ca="1">YEAR(TODAY()) - YEAR(F310) - (IF(DATE(YEAR(TODAY()), MONTH(F310), DAY(F310)) &gt; TODAY(), 1, 0))</f>
        <v>3</v>
      </c>
      <c r="H310" s="43" cm="1">
        <f t="array" aca="1" ref="H310" ca="1">SUMPRODUCT((BRON!$A$2:$A$1197=Table1[[#This Row],[Personeelsnummer]])*(BRON!$T$2:$T$1197&gt;=DATE(YEAR(TODAY())-1,MONTH(TODAY()),DAY(TODAY())))*(BRON!$T$2:$T$1197&lt;=TODAY()))</f>
        <v>0</v>
      </c>
    </row>
    <row r="311" spans="1:8" x14ac:dyDescent="0.25">
      <c r="A311" s="34" t="s">
        <v>2492</v>
      </c>
      <c r="B311" s="34" t="s">
        <v>1692</v>
      </c>
      <c r="C311" s="36">
        <v>37794</v>
      </c>
      <c r="D311" s="34" t="s">
        <v>3853</v>
      </c>
      <c r="E311" s="34" t="s">
        <v>3865</v>
      </c>
      <c r="F311" s="3">
        <v>44790.083333333299</v>
      </c>
      <c r="G311" s="35">
        <f ca="1">YEAR(TODAY()) - YEAR(F311) - (IF(DATE(YEAR(TODAY()), MONTH(F311), DAY(F311)) &gt; TODAY(), 1, 0))</f>
        <v>3</v>
      </c>
      <c r="H311" s="43" cm="1">
        <f t="array" aca="1" ref="H311" ca="1">SUMPRODUCT((BRON!$A$2:$A$1197=Table1[[#This Row],[Personeelsnummer]])*(BRON!$T$2:$T$1197&gt;=DATE(YEAR(TODAY())-1,MONTH(TODAY()),DAY(TODAY())))*(BRON!$T$2:$T$1197&lt;=TODAY()))</f>
        <v>1</v>
      </c>
    </row>
    <row r="312" spans="1:8" x14ac:dyDescent="0.25">
      <c r="A312" s="34" t="s">
        <v>2093</v>
      </c>
      <c r="B312" s="34" t="s">
        <v>2096</v>
      </c>
      <c r="C312" s="36">
        <v>37808</v>
      </c>
      <c r="D312" s="34" t="s">
        <v>3858</v>
      </c>
      <c r="E312" s="34" t="s">
        <v>3863</v>
      </c>
      <c r="F312" s="3">
        <v>44795.083333333299</v>
      </c>
      <c r="G312" s="35">
        <f ca="1">YEAR(TODAY()) - YEAR(F312) - (IF(DATE(YEAR(TODAY()), MONTH(F312), DAY(F312)) &gt; TODAY(), 1, 0))</f>
        <v>3</v>
      </c>
      <c r="H312" s="43" cm="1">
        <f t="array" aca="1" ref="H312" ca="1">SUMPRODUCT((BRON!$A$2:$A$1197=Table1[[#This Row],[Personeelsnummer]])*(BRON!$T$2:$T$1197&gt;=DATE(YEAR(TODAY())-1,MONTH(TODAY()),DAY(TODAY())))*(BRON!$T$2:$T$1197&lt;=TODAY()))</f>
        <v>0</v>
      </c>
    </row>
    <row r="313" spans="1:8" x14ac:dyDescent="0.25">
      <c r="A313" s="34" t="s">
        <v>3132</v>
      </c>
      <c r="B313" s="34" t="s">
        <v>3131</v>
      </c>
      <c r="C313" s="36">
        <v>37951</v>
      </c>
      <c r="D313" s="34" t="s">
        <v>3858</v>
      </c>
      <c r="E313" s="34" t="s">
        <v>3861</v>
      </c>
      <c r="F313" s="3">
        <v>44837.083333333299</v>
      </c>
      <c r="G313" s="35">
        <f ca="1">YEAR(TODAY()) - YEAR(F313) - (IF(DATE(YEAR(TODAY()), MONTH(F313), DAY(F313)) &gt; TODAY(), 1, 0))</f>
        <v>3</v>
      </c>
      <c r="H313" s="43" cm="1">
        <f t="array" aca="1" ref="H313" ca="1">SUMPRODUCT((BRON!$A$2:$A$1197=Table1[[#This Row],[Personeelsnummer]])*(BRON!$T$2:$T$1197&gt;=DATE(YEAR(TODAY())-1,MONTH(TODAY()),DAY(TODAY())))*(BRON!$T$2:$T$1197&lt;=TODAY()))</f>
        <v>0</v>
      </c>
    </row>
    <row r="314" spans="1:8" x14ac:dyDescent="0.25">
      <c r="A314" s="34" t="s">
        <v>1860</v>
      </c>
      <c r="B314" s="34" t="s">
        <v>3411</v>
      </c>
      <c r="C314" s="36">
        <v>38013</v>
      </c>
      <c r="D314" s="34" t="s">
        <v>3858</v>
      </c>
      <c r="E314" s="34" t="s">
        <v>3861</v>
      </c>
      <c r="F314" s="3">
        <v>44837.083333333299</v>
      </c>
      <c r="G314" s="35">
        <f ca="1">YEAR(TODAY()) - YEAR(F314) - (IF(DATE(YEAR(TODAY()), MONTH(F314), DAY(F314)) &gt; TODAY(), 1, 0))</f>
        <v>3</v>
      </c>
      <c r="H314" s="43" cm="1">
        <f t="array" aca="1" ref="H314" ca="1">SUMPRODUCT((BRON!$A$2:$A$1197=Table1[[#This Row],[Personeelsnummer]])*(BRON!$T$2:$T$1197&gt;=DATE(YEAR(TODAY())-1,MONTH(TODAY()),DAY(TODAY())))*(BRON!$T$2:$T$1197&lt;=TODAY()))</f>
        <v>0</v>
      </c>
    </row>
    <row r="315" spans="1:8" x14ac:dyDescent="0.25">
      <c r="A315" s="34" t="s">
        <v>3255</v>
      </c>
      <c r="B315" s="34" t="s">
        <v>3254</v>
      </c>
      <c r="C315" s="36">
        <v>36275</v>
      </c>
      <c r="D315" s="34" t="s">
        <v>3858</v>
      </c>
      <c r="E315" s="34" t="s">
        <v>3866</v>
      </c>
      <c r="F315" s="3">
        <v>44687.083333333299</v>
      </c>
      <c r="G315" s="35">
        <f ca="1">YEAR(TODAY()) - YEAR(F315) - (IF(DATE(YEAR(TODAY()), MONTH(F315), DAY(F315)) &gt; TODAY(), 1, 0))</f>
        <v>3</v>
      </c>
      <c r="H315" s="43" cm="1">
        <f t="array" aca="1" ref="H315" ca="1">SUMPRODUCT((BRON!$A$2:$A$1197=Table1[[#This Row],[Personeelsnummer]])*(BRON!$T$2:$T$1197&gt;=DATE(YEAR(TODAY())-1,MONTH(TODAY()),DAY(TODAY())))*(BRON!$T$2:$T$1197&lt;=TODAY()))</f>
        <v>0</v>
      </c>
    </row>
    <row r="316" spans="1:8" x14ac:dyDescent="0.25">
      <c r="A316" s="34" t="s">
        <v>2224</v>
      </c>
      <c r="B316" s="34" t="s">
        <v>2223</v>
      </c>
      <c r="C316" s="36">
        <v>37131</v>
      </c>
      <c r="D316" s="34" t="s">
        <v>3853</v>
      </c>
      <c r="E316" s="34" t="s">
        <v>3854</v>
      </c>
      <c r="F316" s="3">
        <v>44585.041666666701</v>
      </c>
      <c r="G316" s="35">
        <f ca="1">YEAR(TODAY()) - YEAR(F316) - (IF(DATE(YEAR(TODAY()), MONTH(F316), DAY(F316)) &gt; TODAY(), 1, 0))</f>
        <v>3</v>
      </c>
      <c r="H316" s="43" cm="1">
        <f t="array" aca="1" ref="H316" ca="1">SUMPRODUCT((BRON!$A$2:$A$1197=Table1[[#This Row],[Personeelsnummer]])*(BRON!$T$2:$T$1197&gt;=DATE(YEAR(TODAY())-1,MONTH(TODAY()),DAY(TODAY())))*(BRON!$T$2:$T$1197&lt;=TODAY()))</f>
        <v>0</v>
      </c>
    </row>
    <row r="317" spans="1:8" x14ac:dyDescent="0.25">
      <c r="A317" s="34" t="s">
        <v>2972</v>
      </c>
      <c r="B317" s="34" t="s">
        <v>2975</v>
      </c>
      <c r="C317" s="36">
        <v>37609</v>
      </c>
      <c r="D317" s="34" t="s">
        <v>3853</v>
      </c>
      <c r="E317" s="34" t="s">
        <v>3854</v>
      </c>
      <c r="F317" s="3">
        <v>44704.083333333299</v>
      </c>
      <c r="G317" s="35">
        <f ca="1">YEAR(TODAY()) - YEAR(F317) - (IF(DATE(YEAR(TODAY()), MONTH(F317), DAY(F317)) &gt; TODAY(), 1, 0))</f>
        <v>3</v>
      </c>
      <c r="H317" s="43" cm="1">
        <f t="array" aca="1" ref="H317" ca="1">SUMPRODUCT((BRON!$A$2:$A$1197=Table1[[#This Row],[Personeelsnummer]])*(BRON!$T$2:$T$1197&gt;=DATE(YEAR(TODAY())-1,MONTH(TODAY()),DAY(TODAY())))*(BRON!$T$2:$T$1197&lt;=TODAY()))</f>
        <v>0</v>
      </c>
    </row>
    <row r="318" spans="1:8" x14ac:dyDescent="0.25">
      <c r="A318" s="34" t="s">
        <v>1417</v>
      </c>
      <c r="B318" s="34" t="s">
        <v>1416</v>
      </c>
      <c r="C318" s="36">
        <v>37261</v>
      </c>
      <c r="D318" s="34" t="s">
        <v>3853</v>
      </c>
      <c r="E318" s="34" t="s">
        <v>3866</v>
      </c>
      <c r="F318" s="3">
        <v>44599.041666666701</v>
      </c>
      <c r="G318" s="35">
        <f ca="1">YEAR(TODAY()) - YEAR(F318) - (IF(DATE(YEAR(TODAY()), MONTH(F318), DAY(F318)) &gt; TODAY(), 1, 0))</f>
        <v>3</v>
      </c>
      <c r="H318" s="43" cm="1">
        <f t="array" aca="1" ref="H318" ca="1">SUMPRODUCT((BRON!$A$2:$A$1197=Table1[[#This Row],[Personeelsnummer]])*(BRON!$T$2:$T$1197&gt;=DATE(YEAR(TODAY())-1,MONTH(TODAY()),DAY(TODAY())))*(BRON!$T$2:$T$1197&lt;=TODAY()))</f>
        <v>0</v>
      </c>
    </row>
    <row r="319" spans="1:8" x14ac:dyDescent="0.25">
      <c r="A319" s="34" t="s">
        <v>3318</v>
      </c>
      <c r="B319" s="34" t="s">
        <v>3317</v>
      </c>
      <c r="C319" s="36">
        <v>36228</v>
      </c>
      <c r="D319" s="34" t="s">
        <v>3853</v>
      </c>
      <c r="E319" s="34" t="s">
        <v>3863</v>
      </c>
      <c r="F319" s="3">
        <v>44256.041666666701</v>
      </c>
      <c r="G319" s="35">
        <f ca="1">YEAR(TODAY()) - YEAR(F319) - (IF(DATE(YEAR(TODAY()), MONTH(F319), DAY(F319)) &gt; TODAY(), 1, 0))</f>
        <v>4</v>
      </c>
      <c r="H319" s="43" cm="1">
        <f t="array" aca="1" ref="H319" ca="1">SUMPRODUCT((BRON!$A$2:$A$1197=Table1[[#This Row],[Personeelsnummer]])*(BRON!$T$2:$T$1197&gt;=DATE(YEAR(TODAY())-1,MONTH(TODAY()),DAY(TODAY())))*(BRON!$T$2:$T$1197&lt;=TODAY()))</f>
        <v>0</v>
      </c>
    </row>
    <row r="320" spans="1:8" x14ac:dyDescent="0.25">
      <c r="A320" s="34" t="s">
        <v>3105</v>
      </c>
      <c r="B320" s="34" t="s">
        <v>3104</v>
      </c>
      <c r="C320" s="36">
        <v>36337</v>
      </c>
      <c r="D320" s="34" t="s">
        <v>3857</v>
      </c>
      <c r="E320" s="34" t="s">
        <v>3854</v>
      </c>
      <c r="F320" s="3">
        <v>44284.083333333299</v>
      </c>
      <c r="G320" s="35">
        <f ca="1">YEAR(TODAY()) - YEAR(F320) - (IF(DATE(YEAR(TODAY()), MONTH(F320), DAY(F320)) &gt; TODAY(), 1, 0))</f>
        <v>4</v>
      </c>
      <c r="H320" s="43" cm="1">
        <f t="array" aca="1" ref="H320" ca="1">SUMPRODUCT((BRON!$A$2:$A$1197=Table1[[#This Row],[Personeelsnummer]])*(BRON!$T$2:$T$1197&gt;=DATE(YEAR(TODAY())-1,MONTH(TODAY()),DAY(TODAY())))*(BRON!$T$2:$T$1197&lt;=TODAY()))</f>
        <v>0</v>
      </c>
    </row>
    <row r="321" spans="1:8" x14ac:dyDescent="0.25">
      <c r="A321" s="34" t="s">
        <v>2449</v>
      </c>
      <c r="B321" s="34" t="s">
        <v>2448</v>
      </c>
      <c r="C321" s="36">
        <v>36429</v>
      </c>
      <c r="D321" s="34" t="s">
        <v>3853</v>
      </c>
      <c r="E321" s="34" t="s">
        <v>3854</v>
      </c>
      <c r="F321" s="3">
        <v>44312.083333333299</v>
      </c>
      <c r="G321" s="35">
        <f ca="1">YEAR(TODAY()) - YEAR(F321) - (IF(DATE(YEAR(TODAY()), MONTH(F321), DAY(F321)) &gt; TODAY(), 1, 0))</f>
        <v>4</v>
      </c>
      <c r="H321" s="43" cm="1">
        <f t="array" aca="1" ref="H321" ca="1">SUMPRODUCT((BRON!$A$2:$A$1197=Table1[[#This Row],[Personeelsnummer]])*(BRON!$T$2:$T$1197&gt;=DATE(YEAR(TODAY())-1,MONTH(TODAY()),DAY(TODAY())))*(BRON!$T$2:$T$1197&lt;=TODAY()))</f>
        <v>0</v>
      </c>
    </row>
    <row r="322" spans="1:8" x14ac:dyDescent="0.25">
      <c r="A322" s="34" t="s">
        <v>3034</v>
      </c>
      <c r="B322" s="34" t="s">
        <v>3033</v>
      </c>
      <c r="C322" s="36">
        <v>36503</v>
      </c>
      <c r="D322" s="34" t="s">
        <v>3853</v>
      </c>
      <c r="E322" s="34" t="s">
        <v>3859</v>
      </c>
      <c r="F322" s="3">
        <v>44333.083333333299</v>
      </c>
      <c r="G322" s="35">
        <f ca="1">YEAR(TODAY()) - YEAR(F322) - (IF(DATE(YEAR(TODAY()), MONTH(F322), DAY(F322)) &gt; TODAY(), 1, 0))</f>
        <v>4</v>
      </c>
      <c r="H322" s="43" cm="1">
        <f t="array" aca="1" ref="H322" ca="1">SUMPRODUCT((BRON!$A$2:$A$1197=Table1[[#This Row],[Personeelsnummer]])*(BRON!$T$2:$T$1197&gt;=DATE(YEAR(TODAY())-1,MONTH(TODAY()),DAY(TODAY())))*(BRON!$T$2:$T$1197&lt;=TODAY()))</f>
        <v>0</v>
      </c>
    </row>
    <row r="323" spans="1:8" x14ac:dyDescent="0.25">
      <c r="A323" s="34" t="s">
        <v>1880</v>
      </c>
      <c r="B323" s="34" t="s">
        <v>1240</v>
      </c>
      <c r="C323" s="36">
        <v>36513</v>
      </c>
      <c r="D323" s="34" t="s">
        <v>3858</v>
      </c>
      <c r="E323" s="34" t="s">
        <v>3854</v>
      </c>
      <c r="F323" s="3">
        <v>44333.083333333299</v>
      </c>
      <c r="G323" s="35">
        <f ca="1">YEAR(TODAY()) - YEAR(F323) - (IF(DATE(YEAR(TODAY()), MONTH(F323), DAY(F323)) &gt; TODAY(), 1, 0))</f>
        <v>4</v>
      </c>
      <c r="H323" s="43" cm="1">
        <f t="array" aca="1" ref="H323" ca="1">SUMPRODUCT((BRON!$A$2:$A$1197=Table1[[#This Row],[Personeelsnummer]])*(BRON!$T$2:$T$1197&gt;=DATE(YEAR(TODAY())-1,MONTH(TODAY()),DAY(TODAY())))*(BRON!$T$2:$T$1197&lt;=TODAY()))</f>
        <v>1</v>
      </c>
    </row>
    <row r="324" spans="1:8" x14ac:dyDescent="0.25">
      <c r="A324" s="34" t="s">
        <v>1407</v>
      </c>
      <c r="B324" s="34" t="s">
        <v>1406</v>
      </c>
      <c r="C324" s="36">
        <v>35006</v>
      </c>
      <c r="D324" s="34" t="s">
        <v>3853</v>
      </c>
      <c r="E324" s="34" t="s">
        <v>3854</v>
      </c>
      <c r="F324" s="3">
        <v>43906.041666666701</v>
      </c>
      <c r="G324" s="35">
        <f ca="1">YEAR(TODAY()) - YEAR(F324) - (IF(DATE(YEAR(TODAY()), MONTH(F324), DAY(F324)) &gt; TODAY(), 1, 0))</f>
        <v>5</v>
      </c>
      <c r="H324" s="43" cm="1">
        <f t="array" aca="1" ref="H324" ca="1">SUMPRODUCT((BRON!$A$2:$A$1197=Table1[[#This Row],[Personeelsnummer]])*(BRON!$T$2:$T$1197&gt;=DATE(YEAR(TODAY())-1,MONTH(TODAY()),DAY(TODAY())))*(BRON!$T$2:$T$1197&lt;=TODAY()))</f>
        <v>0</v>
      </c>
    </row>
    <row r="325" spans="1:8" x14ac:dyDescent="0.25">
      <c r="A325" s="34" t="s">
        <v>1326</v>
      </c>
      <c r="B325" s="34" t="s">
        <v>2995</v>
      </c>
      <c r="C325" s="36">
        <v>35107</v>
      </c>
      <c r="D325" s="34" t="s">
        <v>3853</v>
      </c>
      <c r="E325" s="34" t="s">
        <v>3860</v>
      </c>
      <c r="F325" s="3">
        <v>43864.041666666701</v>
      </c>
      <c r="G325" s="35">
        <f ca="1">YEAR(TODAY()) - YEAR(F325) - (IF(DATE(YEAR(TODAY()), MONTH(F325), DAY(F325)) &gt; TODAY(), 1, 0))</f>
        <v>5</v>
      </c>
      <c r="H325" s="43" cm="1">
        <f t="array" aca="1" ref="H325" ca="1">SUMPRODUCT((BRON!$A$2:$A$1197=Table1[[#This Row],[Personeelsnummer]])*(BRON!$T$2:$T$1197&gt;=DATE(YEAR(TODAY())-1,MONTH(TODAY()),DAY(TODAY())))*(BRON!$T$2:$T$1197&lt;=TODAY()))</f>
        <v>0</v>
      </c>
    </row>
    <row r="326" spans="1:8" x14ac:dyDescent="0.25">
      <c r="A326" s="34" t="s">
        <v>3105</v>
      </c>
      <c r="B326" s="34" t="s">
        <v>3108</v>
      </c>
      <c r="C326" s="36">
        <v>35120</v>
      </c>
      <c r="D326" s="34" t="s">
        <v>3858</v>
      </c>
      <c r="E326" s="34" t="s">
        <v>3864</v>
      </c>
      <c r="F326" s="3">
        <v>43878.041666666701</v>
      </c>
      <c r="G326" s="35">
        <f ca="1">YEAR(TODAY()) - YEAR(F326) - (IF(DATE(YEAR(TODAY()), MONTH(F326), DAY(F326)) &gt; TODAY(), 1, 0))</f>
        <v>5</v>
      </c>
      <c r="H326" s="43" cm="1">
        <f t="array" aca="1" ref="H326" ca="1">SUMPRODUCT((BRON!$A$2:$A$1197=Table1[[#This Row],[Personeelsnummer]])*(BRON!$T$2:$T$1197&gt;=DATE(YEAR(TODAY())-1,MONTH(TODAY()),DAY(TODAY())))*(BRON!$T$2:$T$1197&lt;=TODAY()))</f>
        <v>0</v>
      </c>
    </row>
    <row r="327" spans="1:8" x14ac:dyDescent="0.25">
      <c r="A327" s="34" t="s">
        <v>2931</v>
      </c>
      <c r="B327" s="34" t="s">
        <v>2936</v>
      </c>
      <c r="C327" s="36">
        <v>35187</v>
      </c>
      <c r="D327" s="34" t="s">
        <v>3857</v>
      </c>
      <c r="E327" s="34" t="s">
        <v>3861</v>
      </c>
      <c r="F327" s="3">
        <v>43891.041666666701</v>
      </c>
      <c r="G327" s="35">
        <f ca="1">YEAR(TODAY()) - YEAR(F327) - (IF(DATE(YEAR(TODAY()), MONTH(F327), DAY(F327)) &gt; TODAY(), 1, 0))</f>
        <v>5</v>
      </c>
      <c r="H327" s="43" cm="1">
        <f t="array" aca="1" ref="H327" ca="1">SUMPRODUCT((BRON!$A$2:$A$1197=Table1[[#This Row],[Personeelsnummer]])*(BRON!$T$2:$T$1197&gt;=DATE(YEAR(TODAY())-1,MONTH(TODAY()),DAY(TODAY())))*(BRON!$T$2:$T$1197&lt;=TODAY()))</f>
        <v>0</v>
      </c>
    </row>
    <row r="328" spans="1:8" x14ac:dyDescent="0.25">
      <c r="A328" s="34" t="s">
        <v>3299</v>
      </c>
      <c r="B328" s="34" t="s">
        <v>3298</v>
      </c>
      <c r="C328" s="36">
        <v>35434</v>
      </c>
      <c r="D328" s="34" t="s">
        <v>3853</v>
      </c>
      <c r="E328" s="34" t="s">
        <v>3866</v>
      </c>
      <c r="F328" s="3">
        <v>44081.083333333299</v>
      </c>
      <c r="G328" s="35">
        <f ca="1">YEAR(TODAY()) - YEAR(F328) - (IF(DATE(YEAR(TODAY()), MONTH(F328), DAY(F328)) &gt; TODAY(), 1, 0))</f>
        <v>5</v>
      </c>
      <c r="H328" s="43" cm="1">
        <f t="array" aca="1" ref="H328" ca="1">SUMPRODUCT((BRON!$A$2:$A$1197=Table1[[#This Row],[Personeelsnummer]])*(BRON!$T$2:$T$1197&gt;=DATE(YEAR(TODAY())-1,MONTH(TODAY()),DAY(TODAY())))*(BRON!$T$2:$T$1197&lt;=TODAY()))</f>
        <v>0</v>
      </c>
    </row>
    <row r="329" spans="1:8" x14ac:dyDescent="0.25">
      <c r="A329" s="34" t="s">
        <v>2288</v>
      </c>
      <c r="B329" s="34" t="s">
        <v>2287</v>
      </c>
      <c r="C329" s="36">
        <v>35493</v>
      </c>
      <c r="D329" s="34" t="s">
        <v>3853</v>
      </c>
      <c r="E329" s="34" t="s">
        <v>3861</v>
      </c>
      <c r="F329" s="3">
        <v>44039.083333333299</v>
      </c>
      <c r="G329" s="35">
        <f ca="1">YEAR(TODAY()) - YEAR(F329) - (IF(DATE(YEAR(TODAY()), MONTH(F329), DAY(F329)) &gt; TODAY(), 1, 0))</f>
        <v>5</v>
      </c>
      <c r="H329" s="43" cm="1">
        <f t="array" aca="1" ref="H329" ca="1">SUMPRODUCT((BRON!$A$2:$A$1197=Table1[[#This Row],[Personeelsnummer]])*(BRON!$T$2:$T$1197&gt;=DATE(YEAR(TODAY())-1,MONTH(TODAY()),DAY(TODAY())))*(BRON!$T$2:$T$1197&lt;=TODAY()))</f>
        <v>0</v>
      </c>
    </row>
    <row r="330" spans="1:8" x14ac:dyDescent="0.25">
      <c r="A330" s="34" t="s">
        <v>1448</v>
      </c>
      <c r="B330" s="34" t="s">
        <v>1447</v>
      </c>
      <c r="C330" s="36">
        <v>35598</v>
      </c>
      <c r="D330" s="34" t="s">
        <v>3853</v>
      </c>
      <c r="E330" s="34" t="s">
        <v>3866</v>
      </c>
      <c r="F330" s="3">
        <v>44039.083333333299</v>
      </c>
      <c r="G330" s="35">
        <f ca="1">YEAR(TODAY()) - YEAR(F330) - (IF(DATE(YEAR(TODAY()), MONTH(F330), DAY(F330)) &gt; TODAY(), 1, 0))</f>
        <v>5</v>
      </c>
      <c r="H330" s="43" cm="1">
        <f t="array" aca="1" ref="H330" ca="1">SUMPRODUCT((BRON!$A$2:$A$1197=Table1[[#This Row],[Personeelsnummer]])*(BRON!$T$2:$T$1197&gt;=DATE(YEAR(TODAY())-1,MONTH(TODAY()),DAY(TODAY())))*(BRON!$T$2:$T$1197&lt;=TODAY()))</f>
        <v>0</v>
      </c>
    </row>
    <row r="331" spans="1:8" x14ac:dyDescent="0.25">
      <c r="A331" s="34" t="s">
        <v>1760</v>
      </c>
      <c r="B331" s="34" t="s">
        <v>1759</v>
      </c>
      <c r="C331" s="36">
        <v>35709</v>
      </c>
      <c r="D331" s="34" t="s">
        <v>3858</v>
      </c>
      <c r="E331" s="34" t="s">
        <v>3863</v>
      </c>
      <c r="F331" s="3">
        <v>44075.083333333299</v>
      </c>
      <c r="G331" s="35">
        <f ca="1">YEAR(TODAY()) - YEAR(F331) - (IF(DATE(YEAR(TODAY()), MONTH(F331), DAY(F331)) &gt; TODAY(), 1, 0))</f>
        <v>5</v>
      </c>
      <c r="H331" s="43" cm="1">
        <f t="array" aca="1" ref="H331" ca="1">SUMPRODUCT((BRON!$A$2:$A$1197=Table1[[#This Row],[Personeelsnummer]])*(BRON!$T$2:$T$1197&gt;=DATE(YEAR(TODAY())-1,MONTH(TODAY()),DAY(TODAY())))*(BRON!$T$2:$T$1197&lt;=TODAY()))</f>
        <v>0</v>
      </c>
    </row>
    <row r="332" spans="1:8" x14ac:dyDescent="0.25">
      <c r="A332" s="34" t="s">
        <v>3442</v>
      </c>
      <c r="B332" s="34" t="s">
        <v>3441</v>
      </c>
      <c r="C332" s="36">
        <v>35055</v>
      </c>
      <c r="D332" s="34" t="s">
        <v>3853</v>
      </c>
      <c r="E332" s="34" t="s">
        <v>3863</v>
      </c>
      <c r="F332" s="3">
        <v>43864.041666666701</v>
      </c>
      <c r="G332" s="35">
        <f ca="1">YEAR(TODAY()) - YEAR(F332) - (IF(DATE(YEAR(TODAY()), MONTH(F332), DAY(F332)) &gt; TODAY(), 1, 0))</f>
        <v>5</v>
      </c>
      <c r="H332" s="43" cm="1">
        <f t="array" aca="1" ref="H332" ca="1">SUMPRODUCT((BRON!$A$2:$A$1197=Table1[[#This Row],[Personeelsnummer]])*(BRON!$T$2:$T$1197&gt;=DATE(YEAR(TODAY())-1,MONTH(TODAY()),DAY(TODAY())))*(BRON!$T$2:$T$1197&lt;=TODAY()))</f>
        <v>0</v>
      </c>
    </row>
    <row r="333" spans="1:8" x14ac:dyDescent="0.25">
      <c r="A333" s="34" t="s">
        <v>549</v>
      </c>
      <c r="B333" s="34" t="s">
        <v>1439</v>
      </c>
      <c r="C333" s="36">
        <v>34385</v>
      </c>
      <c r="D333" s="34" t="s">
        <v>3855</v>
      </c>
      <c r="E333" s="34" t="s">
        <v>3856</v>
      </c>
      <c r="F333" s="3">
        <v>43697.083333333299</v>
      </c>
      <c r="G333" s="35">
        <f ca="1">YEAR(TODAY()) - YEAR(F333) - (IF(DATE(YEAR(TODAY()), MONTH(F333), DAY(F333)) &gt; TODAY(), 1, 0))</f>
        <v>6</v>
      </c>
      <c r="H333" s="43" cm="1">
        <f t="array" aca="1" ref="H333" ca="1">SUMPRODUCT((BRON!$A$2:$A$1197=Table1[[#This Row],[Personeelsnummer]])*(BRON!$T$2:$T$1197&gt;=DATE(YEAR(TODAY())-1,MONTH(TODAY()),DAY(TODAY())))*(BRON!$T$2:$T$1197&lt;=TODAY()))</f>
        <v>0</v>
      </c>
    </row>
    <row r="334" spans="1:8" x14ac:dyDescent="0.25">
      <c r="A334" s="34" t="s">
        <v>3151</v>
      </c>
      <c r="B334" s="34" t="s">
        <v>3150</v>
      </c>
      <c r="C334" s="36">
        <v>33450</v>
      </c>
      <c r="D334" s="34" t="s">
        <v>3853</v>
      </c>
      <c r="E334" s="34" t="s">
        <v>3854</v>
      </c>
      <c r="F334" s="3">
        <v>43472.041666666701</v>
      </c>
      <c r="G334" s="35">
        <f ca="1">YEAR(TODAY()) - YEAR(F334) - (IF(DATE(YEAR(TODAY()), MONTH(F334), DAY(F334)) &gt; TODAY(), 1, 0))</f>
        <v>6</v>
      </c>
      <c r="H334" s="43" cm="1">
        <f t="array" aca="1" ref="H334" ca="1">SUMPRODUCT((BRON!$A$2:$A$1197=Table1[[#This Row],[Personeelsnummer]])*(BRON!$T$2:$T$1197&gt;=DATE(YEAR(TODAY())-1,MONTH(TODAY()),DAY(TODAY())))*(BRON!$T$2:$T$1197&lt;=TODAY()))</f>
        <v>1</v>
      </c>
    </row>
    <row r="335" spans="1:8" x14ac:dyDescent="0.25">
      <c r="A335" s="34" t="s">
        <v>2453</v>
      </c>
      <c r="B335" s="34" t="s">
        <v>2456</v>
      </c>
      <c r="C335" s="36">
        <v>34044</v>
      </c>
      <c r="D335" s="34" t="s">
        <v>3853</v>
      </c>
      <c r="E335" s="34" t="s">
        <v>3859</v>
      </c>
      <c r="F335" s="3">
        <v>43640.083333333299</v>
      </c>
      <c r="G335" s="35">
        <f ca="1">YEAR(TODAY()) - YEAR(F335) - (IF(DATE(YEAR(TODAY()), MONTH(F335), DAY(F335)) &gt; TODAY(), 1, 0))</f>
        <v>6</v>
      </c>
      <c r="H335" s="43" cm="1">
        <f t="array" aca="1" ref="H335" ca="1">SUMPRODUCT((BRON!$A$2:$A$1197=Table1[[#This Row],[Personeelsnummer]])*(BRON!$T$2:$T$1197&gt;=DATE(YEAR(TODAY())-1,MONTH(TODAY()),DAY(TODAY())))*(BRON!$T$2:$T$1197&lt;=TODAY()))</f>
        <v>0</v>
      </c>
    </row>
    <row r="336" spans="1:8" x14ac:dyDescent="0.25">
      <c r="A336" s="34" t="s">
        <v>2141</v>
      </c>
      <c r="B336" s="34" t="s">
        <v>2140</v>
      </c>
      <c r="C336" s="36">
        <v>34286</v>
      </c>
      <c r="D336" s="34" t="s">
        <v>3853</v>
      </c>
      <c r="E336" s="34" t="s">
        <v>3865</v>
      </c>
      <c r="F336" s="3">
        <v>43724.083333333299</v>
      </c>
      <c r="G336" s="35">
        <f ca="1">YEAR(TODAY()) - YEAR(F336) - (IF(DATE(YEAR(TODAY()), MONTH(F336), DAY(F336)) &gt; TODAY(), 1, 0))</f>
        <v>6</v>
      </c>
      <c r="H336" s="43" cm="1">
        <f t="array" aca="1" ref="H336" ca="1">SUMPRODUCT((BRON!$A$2:$A$1197=Table1[[#This Row],[Personeelsnummer]])*(BRON!$T$2:$T$1197&gt;=DATE(YEAR(TODAY())-1,MONTH(TODAY()),DAY(TODAY())))*(BRON!$T$2:$T$1197&lt;=TODAY()))</f>
        <v>0</v>
      </c>
    </row>
    <row r="337" spans="1:8" x14ac:dyDescent="0.25">
      <c r="A337" s="34" t="s">
        <v>1960</v>
      </c>
      <c r="B337" s="34" t="s">
        <v>1967</v>
      </c>
      <c r="C337" s="36">
        <v>32369</v>
      </c>
      <c r="D337" s="34" t="s">
        <v>3858</v>
      </c>
      <c r="E337" s="34" t="s">
        <v>3863</v>
      </c>
      <c r="F337" s="3">
        <v>43108.041666666701</v>
      </c>
      <c r="G337" s="35">
        <f ca="1">YEAR(TODAY()) - YEAR(F337) - (IF(DATE(YEAR(TODAY()), MONTH(F337), DAY(F337)) &gt; TODAY(), 1, 0))</f>
        <v>7</v>
      </c>
      <c r="H337" s="43" cm="1">
        <f t="array" aca="1" ref="H337" ca="1">SUMPRODUCT((BRON!$A$2:$A$1197=Table1[[#This Row],[Personeelsnummer]])*(BRON!$T$2:$T$1197&gt;=DATE(YEAR(TODAY())-1,MONTH(TODAY()),DAY(TODAY())))*(BRON!$T$2:$T$1197&lt;=TODAY()))</f>
        <v>0</v>
      </c>
    </row>
    <row r="338" spans="1:8" x14ac:dyDescent="0.25">
      <c r="A338" s="34" t="s">
        <v>2462</v>
      </c>
      <c r="B338" s="34" t="s">
        <v>2468</v>
      </c>
      <c r="C338" s="36">
        <v>32542</v>
      </c>
      <c r="D338" s="34" t="s">
        <v>3857</v>
      </c>
      <c r="E338" s="34" t="s">
        <v>3866</v>
      </c>
      <c r="F338" s="3">
        <v>43150.041666666701</v>
      </c>
      <c r="G338" s="35">
        <f ca="1">YEAR(TODAY()) - YEAR(F338) - (IF(DATE(YEAR(TODAY()), MONTH(F338), DAY(F338)) &gt; TODAY(), 1, 0))</f>
        <v>7</v>
      </c>
      <c r="H338" s="43" cm="1">
        <f t="array" aca="1" ref="H338" ca="1">SUMPRODUCT((BRON!$A$2:$A$1197=Table1[[#This Row],[Personeelsnummer]])*(BRON!$T$2:$T$1197&gt;=DATE(YEAR(TODAY())-1,MONTH(TODAY()),DAY(TODAY())))*(BRON!$T$2:$T$1197&lt;=TODAY()))</f>
        <v>1</v>
      </c>
    </row>
    <row r="339" spans="1:8" x14ac:dyDescent="0.25">
      <c r="A339" s="34" t="s">
        <v>2615</v>
      </c>
      <c r="B339" s="34" t="s">
        <v>2614</v>
      </c>
      <c r="C339" s="36">
        <v>31689</v>
      </c>
      <c r="D339" s="34" t="s">
        <v>3853</v>
      </c>
      <c r="E339" s="34" t="s">
        <v>3865</v>
      </c>
      <c r="F339" s="3">
        <v>42892.083333333299</v>
      </c>
      <c r="G339" s="35">
        <f ca="1">YEAR(TODAY()) - YEAR(F339) - (IF(DATE(YEAR(TODAY()), MONTH(F339), DAY(F339)) &gt; TODAY(), 1, 0))</f>
        <v>8</v>
      </c>
      <c r="H339" s="43" cm="1">
        <f t="array" aca="1" ref="H339" ca="1">SUMPRODUCT((BRON!$A$2:$A$1197=Table1[[#This Row],[Personeelsnummer]])*(BRON!$T$2:$T$1197&gt;=DATE(YEAR(TODAY())-1,MONTH(TODAY()),DAY(TODAY())))*(BRON!$T$2:$T$1197&lt;=TODAY()))</f>
        <v>0</v>
      </c>
    </row>
    <row r="340" spans="1:8" x14ac:dyDescent="0.25">
      <c r="A340" s="34" t="s">
        <v>1377</v>
      </c>
      <c r="B340" s="34" t="s">
        <v>1376</v>
      </c>
      <c r="C340" s="36">
        <v>32168</v>
      </c>
      <c r="D340" s="34" t="s">
        <v>3853</v>
      </c>
      <c r="E340" s="34" t="s">
        <v>3854</v>
      </c>
      <c r="F340" s="3">
        <v>43045.041666666701</v>
      </c>
      <c r="G340" s="35">
        <f ca="1">YEAR(TODAY()) - YEAR(F340) - (IF(DATE(YEAR(TODAY()), MONTH(F340), DAY(F340)) &gt; TODAY(), 1, 0))</f>
        <v>8</v>
      </c>
      <c r="H340" s="43" cm="1">
        <f t="array" aca="1" ref="H340" ca="1">SUMPRODUCT((BRON!$A$2:$A$1197=Table1[[#This Row],[Personeelsnummer]])*(BRON!$T$2:$T$1197&gt;=DATE(YEAR(TODAY())-1,MONTH(TODAY()),DAY(TODAY())))*(BRON!$T$2:$T$1197&lt;=TODAY()))</f>
        <v>0</v>
      </c>
    </row>
    <row r="341" spans="1:8" x14ac:dyDescent="0.25">
      <c r="A341" s="34" t="s">
        <v>2188</v>
      </c>
      <c r="B341" s="34" t="s">
        <v>2187</v>
      </c>
      <c r="C341" s="36">
        <v>31635</v>
      </c>
      <c r="D341" s="34" t="s">
        <v>3858</v>
      </c>
      <c r="E341" s="34" t="s">
        <v>3863</v>
      </c>
      <c r="F341" s="3">
        <v>42863.083333333299</v>
      </c>
      <c r="G341" s="35">
        <f ca="1">YEAR(TODAY()) - YEAR(F341) - (IF(DATE(YEAR(TODAY()), MONTH(F341), DAY(F341)) &gt; TODAY(), 1, 0))</f>
        <v>8</v>
      </c>
      <c r="H341" s="43" cm="1">
        <f t="array" aca="1" ref="H341" ca="1">SUMPRODUCT((BRON!$A$2:$A$1197=Table1[[#This Row],[Personeelsnummer]])*(BRON!$T$2:$T$1197&gt;=DATE(YEAR(TODAY())-1,MONTH(TODAY()),DAY(TODAY())))*(BRON!$T$2:$T$1197&lt;=TODAY()))</f>
        <v>0</v>
      </c>
    </row>
    <row r="342" spans="1:8" x14ac:dyDescent="0.25">
      <c r="A342" s="34" t="s">
        <v>2284</v>
      </c>
      <c r="B342" s="34" t="s">
        <v>2283</v>
      </c>
      <c r="C342" s="36">
        <v>31731</v>
      </c>
      <c r="D342" s="34" t="s">
        <v>3853</v>
      </c>
      <c r="E342" s="34" t="s">
        <v>3863</v>
      </c>
      <c r="F342" s="3">
        <v>42919.083333333299</v>
      </c>
      <c r="G342" s="35">
        <f ca="1">YEAR(TODAY()) - YEAR(F342) - (IF(DATE(YEAR(TODAY()), MONTH(F342), DAY(F342)) &gt; TODAY(), 1, 0))</f>
        <v>8</v>
      </c>
      <c r="H342" s="43" cm="1">
        <f t="array" aca="1" ref="H342" ca="1">SUMPRODUCT((BRON!$A$2:$A$1197=Table1[[#This Row],[Personeelsnummer]])*(BRON!$T$2:$T$1197&gt;=DATE(YEAR(TODAY())-1,MONTH(TODAY()),DAY(TODAY())))*(BRON!$T$2:$T$1197&lt;=TODAY()))</f>
        <v>0</v>
      </c>
    </row>
    <row r="343" spans="1:8" x14ac:dyDescent="0.25">
      <c r="A343" s="34" t="s">
        <v>1347</v>
      </c>
      <c r="B343" s="34" t="s">
        <v>2412</v>
      </c>
      <c r="C343" s="36">
        <v>31733</v>
      </c>
      <c r="D343" s="34" t="s">
        <v>3853</v>
      </c>
      <c r="E343" s="34" t="s">
        <v>3866</v>
      </c>
      <c r="F343" s="3">
        <v>42919.083333333299</v>
      </c>
      <c r="G343" s="35">
        <f ca="1">YEAR(TODAY()) - YEAR(F343) - (IF(DATE(YEAR(TODAY()), MONTH(F343), DAY(F343)) &gt; TODAY(), 1, 0))</f>
        <v>8</v>
      </c>
      <c r="H343" s="43" cm="1">
        <f t="array" aca="1" ref="H343" ca="1">SUMPRODUCT((BRON!$A$2:$A$1197=Table1[[#This Row],[Personeelsnummer]])*(BRON!$T$2:$T$1197&gt;=DATE(YEAR(TODAY())-1,MONTH(TODAY()),DAY(TODAY())))*(BRON!$T$2:$T$1197&lt;=TODAY()))</f>
        <v>0</v>
      </c>
    </row>
    <row r="344" spans="1:8" x14ac:dyDescent="0.25">
      <c r="A344" s="34" t="s">
        <v>2562</v>
      </c>
      <c r="B344" s="34" t="s">
        <v>2565</v>
      </c>
      <c r="C344" s="36">
        <v>30901</v>
      </c>
      <c r="D344" s="34" t="s">
        <v>3858</v>
      </c>
      <c r="E344" s="34" t="s">
        <v>3864</v>
      </c>
      <c r="F344" s="3">
        <v>42534.083333333299</v>
      </c>
      <c r="G344" s="35">
        <f ca="1">YEAR(TODAY()) - YEAR(F344) - (IF(DATE(YEAR(TODAY()), MONTH(F344), DAY(F344)) &gt; TODAY(), 1, 0))</f>
        <v>9</v>
      </c>
      <c r="H344" s="43" cm="1">
        <f t="array" aca="1" ref="H344" ca="1">SUMPRODUCT((BRON!$A$2:$A$1197=Table1[[#This Row],[Personeelsnummer]])*(BRON!$T$2:$T$1197&gt;=DATE(YEAR(TODAY())-1,MONTH(TODAY()),DAY(TODAY())))*(BRON!$T$2:$T$1197&lt;=TODAY()))</f>
        <v>0</v>
      </c>
    </row>
    <row r="345" spans="1:8" x14ac:dyDescent="0.25">
      <c r="A345" s="34" t="s">
        <v>2453</v>
      </c>
      <c r="B345" s="34" t="s">
        <v>2459</v>
      </c>
      <c r="C345" s="36">
        <v>31092</v>
      </c>
      <c r="D345" s="34" t="s">
        <v>3862</v>
      </c>
      <c r="E345" s="34" t="s">
        <v>3861</v>
      </c>
      <c r="F345" s="3">
        <v>42604.083333333299</v>
      </c>
      <c r="G345" s="35">
        <f ca="1">YEAR(TODAY()) - YEAR(F345) - (IF(DATE(YEAR(TODAY()), MONTH(F345), DAY(F345)) &gt; TODAY(), 1, 0))</f>
        <v>9</v>
      </c>
      <c r="H345" s="43" cm="1">
        <f t="array" aca="1" ref="H345" ca="1">SUMPRODUCT((BRON!$A$2:$A$1197=Table1[[#This Row],[Personeelsnummer]])*(BRON!$T$2:$T$1197&gt;=DATE(YEAR(TODAY())-1,MONTH(TODAY()),DAY(TODAY())))*(BRON!$T$2:$T$1197&lt;=TODAY()))</f>
        <v>0</v>
      </c>
    </row>
    <row r="346" spans="1:8" x14ac:dyDescent="0.25">
      <c r="A346" s="34" t="s">
        <v>2057</v>
      </c>
      <c r="B346" s="34" t="s">
        <v>2056</v>
      </c>
      <c r="C346" s="36">
        <v>31111</v>
      </c>
      <c r="D346" s="34" t="s">
        <v>3853</v>
      </c>
      <c r="E346" s="34" t="s">
        <v>3863</v>
      </c>
      <c r="F346" s="3">
        <v>42604.083333333299</v>
      </c>
      <c r="G346" s="35">
        <f ca="1">YEAR(TODAY()) - YEAR(F346) - (IF(DATE(YEAR(TODAY()), MONTH(F346), DAY(F346)) &gt; TODAY(), 1, 0))</f>
        <v>9</v>
      </c>
      <c r="H346" s="43" cm="1">
        <f t="array" aca="1" ref="H346" ca="1">SUMPRODUCT((BRON!$A$2:$A$1197=Table1[[#This Row],[Personeelsnummer]])*(BRON!$T$2:$T$1197&gt;=DATE(YEAR(TODAY())-1,MONTH(TODAY()),DAY(TODAY())))*(BRON!$T$2:$T$1197&lt;=TODAY()))</f>
        <v>0</v>
      </c>
    </row>
    <row r="347" spans="1:8" x14ac:dyDescent="0.25">
      <c r="A347" s="34" t="s">
        <v>2631</v>
      </c>
      <c r="B347" s="34" t="s">
        <v>2634</v>
      </c>
      <c r="C347" s="36">
        <v>29540</v>
      </c>
      <c r="D347" s="34" t="s">
        <v>3853</v>
      </c>
      <c r="E347" s="34" t="s">
        <v>3861</v>
      </c>
      <c r="F347" s="3">
        <v>41981.041666666701</v>
      </c>
      <c r="G347" s="35">
        <f ca="1">YEAR(TODAY()) - YEAR(F347) - (IF(DATE(YEAR(TODAY()), MONTH(F347), DAY(F347)) &gt; TODAY(), 1, 0))</f>
        <v>10</v>
      </c>
      <c r="H347" s="43" cm="1">
        <f t="array" aca="1" ref="H347" ca="1">SUMPRODUCT((BRON!$A$2:$A$1197=Table1[[#This Row],[Personeelsnummer]])*(BRON!$T$2:$T$1197&gt;=DATE(YEAR(TODAY())-1,MONTH(TODAY()),DAY(TODAY())))*(BRON!$T$2:$T$1197&lt;=TODAY()))</f>
        <v>0</v>
      </c>
    </row>
    <row r="348" spans="1:8" x14ac:dyDescent="0.25">
      <c r="A348" s="34" t="s">
        <v>2901</v>
      </c>
      <c r="B348" s="34" t="s">
        <v>2900</v>
      </c>
      <c r="C348" s="36">
        <v>29821</v>
      </c>
      <c r="D348" s="34" t="s">
        <v>3853</v>
      </c>
      <c r="E348" s="34" t="s">
        <v>3866</v>
      </c>
      <c r="F348" s="3">
        <v>42121.083333333299</v>
      </c>
      <c r="G348" s="35">
        <f ca="1">YEAR(TODAY()) - YEAR(F348) - (IF(DATE(YEAR(TODAY()), MONTH(F348), DAY(F348)) &gt; TODAY(), 1, 0))</f>
        <v>10</v>
      </c>
      <c r="H348" s="43" cm="1">
        <f t="array" aca="1" ref="H348" ca="1">SUMPRODUCT((BRON!$A$2:$A$1197=Table1[[#This Row],[Personeelsnummer]])*(BRON!$T$2:$T$1197&gt;=DATE(YEAR(TODAY())-1,MONTH(TODAY()),DAY(TODAY())))*(BRON!$T$2:$T$1197&lt;=TODAY()))</f>
        <v>0</v>
      </c>
    </row>
    <row r="349" spans="1:8" x14ac:dyDescent="0.25">
      <c r="A349" s="34" t="s">
        <v>1330</v>
      </c>
      <c r="B349" s="34" t="s">
        <v>2674</v>
      </c>
      <c r="C349" s="36">
        <v>28717</v>
      </c>
      <c r="D349" s="34" t="s">
        <v>3853</v>
      </c>
      <c r="E349" s="34" t="s">
        <v>3861</v>
      </c>
      <c r="F349" s="3">
        <v>41659.041666666701</v>
      </c>
      <c r="G349" s="35">
        <f ca="1">YEAR(TODAY()) - YEAR(F349) - (IF(DATE(YEAR(TODAY()), MONTH(F349), DAY(F349)) &gt; TODAY(), 1, 0))</f>
        <v>11</v>
      </c>
      <c r="H349" s="43" cm="1">
        <f t="array" aca="1" ref="H349" ca="1">SUMPRODUCT((BRON!$A$2:$A$1197=Table1[[#This Row],[Personeelsnummer]])*(BRON!$T$2:$T$1197&gt;=DATE(YEAR(TODAY())-1,MONTH(TODAY()),DAY(TODAY())))*(BRON!$T$2:$T$1197&lt;=TODAY()))</f>
        <v>0</v>
      </c>
    </row>
    <row r="350" spans="1:8" x14ac:dyDescent="0.25">
      <c r="A350" s="34" t="s">
        <v>2061</v>
      </c>
      <c r="B350" s="34" t="s">
        <v>2060</v>
      </c>
      <c r="C350" s="36">
        <v>28794</v>
      </c>
      <c r="D350" s="34" t="s">
        <v>3853</v>
      </c>
      <c r="E350" s="34" t="s">
        <v>3861</v>
      </c>
      <c r="F350" s="3">
        <v>41701.041666666701</v>
      </c>
      <c r="G350" s="35">
        <f ca="1">YEAR(TODAY()) - YEAR(F350) - (IF(DATE(YEAR(TODAY()), MONTH(F350), DAY(F350)) &gt; TODAY(), 1, 0))</f>
        <v>11</v>
      </c>
      <c r="H350" s="43" cm="1">
        <f t="array" aca="1" ref="H350" ca="1">SUMPRODUCT((BRON!$A$2:$A$1197=Table1[[#This Row],[Personeelsnummer]])*(BRON!$T$2:$T$1197&gt;=DATE(YEAR(TODAY())-1,MONTH(TODAY()),DAY(TODAY())))*(BRON!$T$2:$T$1197&lt;=TODAY()))</f>
        <v>0</v>
      </c>
    </row>
    <row r="351" spans="1:8" x14ac:dyDescent="0.25">
      <c r="A351" s="34" t="s">
        <v>2045</v>
      </c>
      <c r="B351" s="34" t="s">
        <v>2044</v>
      </c>
      <c r="C351" s="36">
        <v>28830</v>
      </c>
      <c r="D351" s="34" t="s">
        <v>3853</v>
      </c>
      <c r="E351" s="34" t="s">
        <v>3859</v>
      </c>
      <c r="F351" s="3">
        <v>41722.041666666701</v>
      </c>
      <c r="G351" s="35">
        <f ca="1">YEAR(TODAY()) - YEAR(F351) - (IF(DATE(YEAR(TODAY()), MONTH(F351), DAY(F351)) &gt; TODAY(), 1, 0))</f>
        <v>11</v>
      </c>
      <c r="H351" s="43" cm="1">
        <f t="array" aca="1" ref="H351" ca="1">SUMPRODUCT((BRON!$A$2:$A$1197=Table1[[#This Row],[Personeelsnummer]])*(BRON!$T$2:$T$1197&gt;=DATE(YEAR(TODAY())-1,MONTH(TODAY()),DAY(TODAY())))*(BRON!$T$2:$T$1197&lt;=TODAY()))</f>
        <v>0</v>
      </c>
    </row>
    <row r="352" spans="1:8" x14ac:dyDescent="0.25">
      <c r="A352" s="34" t="s">
        <v>3203</v>
      </c>
      <c r="B352" s="34" t="s">
        <v>3202</v>
      </c>
      <c r="C352" s="36">
        <v>29477</v>
      </c>
      <c r="D352" s="34" t="s">
        <v>3853</v>
      </c>
      <c r="E352" s="34" t="s">
        <v>3861</v>
      </c>
      <c r="F352" s="3">
        <v>41946.041666666701</v>
      </c>
      <c r="G352" s="35">
        <f ca="1">YEAR(TODAY()) - YEAR(F352) - (IF(DATE(YEAR(TODAY()), MONTH(F352), DAY(F352)) &gt; TODAY(), 1, 0))</f>
        <v>11</v>
      </c>
      <c r="H352" s="43" cm="1">
        <f t="array" aca="1" ref="H352" ca="1">SUMPRODUCT((BRON!$A$2:$A$1197=Table1[[#This Row],[Personeelsnummer]])*(BRON!$T$2:$T$1197&gt;=DATE(YEAR(TODAY())-1,MONTH(TODAY()),DAY(TODAY())))*(BRON!$T$2:$T$1197&lt;=TODAY()))</f>
        <v>1</v>
      </c>
    </row>
    <row r="353" spans="1:8" x14ac:dyDescent="0.25">
      <c r="A353" s="34" t="s">
        <v>2982</v>
      </c>
      <c r="B353" s="34" t="s">
        <v>2981</v>
      </c>
      <c r="C353" s="36">
        <v>29179</v>
      </c>
      <c r="D353" s="34" t="s">
        <v>3853</v>
      </c>
      <c r="E353" s="34" t="s">
        <v>3864</v>
      </c>
      <c r="F353" s="3">
        <v>41827.083333333299</v>
      </c>
      <c r="G353" s="35">
        <f ca="1">YEAR(TODAY()) - YEAR(F353) - (IF(DATE(YEAR(TODAY()), MONTH(F353), DAY(F353)) &gt; TODAY(), 1, 0))</f>
        <v>11</v>
      </c>
      <c r="H353" s="43" cm="1">
        <f t="array" aca="1" ref="H353" ca="1">SUMPRODUCT((BRON!$A$2:$A$1197=Table1[[#This Row],[Personeelsnummer]])*(BRON!$T$2:$T$1197&gt;=DATE(YEAR(TODAY())-1,MONTH(TODAY()),DAY(TODAY())))*(BRON!$T$2:$T$1197&lt;=TODAY()))</f>
        <v>1</v>
      </c>
    </row>
    <row r="354" spans="1:8" x14ac:dyDescent="0.25">
      <c r="A354" s="34" t="s">
        <v>3112</v>
      </c>
      <c r="B354" s="34" t="s">
        <v>3111</v>
      </c>
      <c r="C354" s="36">
        <v>27635</v>
      </c>
      <c r="D354" s="34" t="s">
        <v>3853</v>
      </c>
      <c r="E354" s="34" t="s">
        <v>3854</v>
      </c>
      <c r="F354" s="3">
        <v>41176.083333333299</v>
      </c>
      <c r="G354" s="35">
        <f ca="1">YEAR(TODAY()) - YEAR(F354) - (IF(DATE(YEAR(TODAY()), MONTH(F354), DAY(F354)) &gt; TODAY(), 1, 0))</f>
        <v>13</v>
      </c>
      <c r="H354" s="43" cm="1">
        <f t="array" aca="1" ref="H354" ca="1">SUMPRODUCT((BRON!$A$2:$A$1197=Table1[[#This Row],[Personeelsnummer]])*(BRON!$T$2:$T$1197&gt;=DATE(YEAR(TODAY())-1,MONTH(TODAY()),DAY(TODAY())))*(BRON!$T$2:$T$1197&lt;=TODAY()))</f>
        <v>0</v>
      </c>
    </row>
    <row r="355" spans="1:8" x14ac:dyDescent="0.25">
      <c r="A355" s="34" t="s">
        <v>1351</v>
      </c>
      <c r="B355" s="34" t="s">
        <v>3282</v>
      </c>
      <c r="C355" s="36">
        <v>27713</v>
      </c>
      <c r="D355" s="34" t="s">
        <v>3857</v>
      </c>
      <c r="E355" s="34" t="s">
        <v>3864</v>
      </c>
      <c r="F355" s="3">
        <v>41218.041666666701</v>
      </c>
      <c r="G355" s="35">
        <f ca="1">YEAR(TODAY()) - YEAR(F355) - (IF(DATE(YEAR(TODAY()), MONTH(F355), DAY(F355)) &gt; TODAY(), 1, 0))</f>
        <v>13</v>
      </c>
      <c r="H355" s="43" cm="1">
        <f t="array" aca="1" ref="H355" ca="1">SUMPRODUCT((BRON!$A$2:$A$1197=Table1[[#This Row],[Personeelsnummer]])*(BRON!$T$2:$T$1197&gt;=DATE(YEAR(TODAY())-1,MONTH(TODAY()),DAY(TODAY())))*(BRON!$T$2:$T$1197&lt;=TODAY()))</f>
        <v>0</v>
      </c>
    </row>
    <row r="356" spans="1:8" x14ac:dyDescent="0.25">
      <c r="A356" s="34" t="s">
        <v>3181</v>
      </c>
      <c r="B356" s="34" t="s">
        <v>3187</v>
      </c>
      <c r="C356" s="36">
        <v>25993</v>
      </c>
      <c r="D356" s="34" t="s">
        <v>3862</v>
      </c>
      <c r="E356" s="34" t="s">
        <v>3859</v>
      </c>
      <c r="F356" s="3">
        <v>40567.041666666701</v>
      </c>
      <c r="G356" s="35">
        <f ca="1">YEAR(TODAY()) - YEAR(F356) - (IF(DATE(YEAR(TODAY()), MONTH(F356), DAY(F356)) &gt; TODAY(), 1, 0))</f>
        <v>14</v>
      </c>
      <c r="H356" s="43" cm="1">
        <f t="array" aca="1" ref="H356" ca="1">SUMPRODUCT((BRON!$A$2:$A$1197=Table1[[#This Row],[Personeelsnummer]])*(BRON!$T$2:$T$1197&gt;=DATE(YEAR(TODAY())-1,MONTH(TODAY()),DAY(TODAY())))*(BRON!$T$2:$T$1197&lt;=TODAY()))</f>
        <v>0</v>
      </c>
    </row>
    <row r="357" spans="1:8" x14ac:dyDescent="0.25">
      <c r="A357" s="34" t="s">
        <v>2277</v>
      </c>
      <c r="B357" s="34" t="s">
        <v>2276</v>
      </c>
      <c r="C357" s="36">
        <v>25994</v>
      </c>
      <c r="D357" s="34" t="s">
        <v>3853</v>
      </c>
      <c r="E357" s="34" t="s">
        <v>3864</v>
      </c>
      <c r="F357" s="3">
        <v>40567.041666666701</v>
      </c>
      <c r="G357" s="35">
        <f ca="1">YEAR(TODAY()) - YEAR(F357) - (IF(DATE(YEAR(TODAY()), MONTH(F357), DAY(F357)) &gt; TODAY(), 1, 0))</f>
        <v>14</v>
      </c>
      <c r="H357" s="43" cm="1">
        <f t="array" aca="1" ref="H357" ca="1">SUMPRODUCT((BRON!$A$2:$A$1197=Table1[[#This Row],[Personeelsnummer]])*(BRON!$T$2:$T$1197&gt;=DATE(YEAR(TODAY())-1,MONTH(TODAY()),DAY(TODAY())))*(BRON!$T$2:$T$1197&lt;=TODAY()))</f>
        <v>0</v>
      </c>
    </row>
    <row r="358" spans="1:8" x14ac:dyDescent="0.25">
      <c r="A358" s="34" t="s">
        <v>2592</v>
      </c>
      <c r="B358" s="34" t="s">
        <v>2591</v>
      </c>
      <c r="C358" s="36">
        <v>26102</v>
      </c>
      <c r="D358" s="34" t="s">
        <v>3862</v>
      </c>
      <c r="E358" s="34" t="s">
        <v>3864</v>
      </c>
      <c r="F358" s="3">
        <v>40602.041666666701</v>
      </c>
      <c r="G358" s="35">
        <f ca="1">YEAR(TODAY()) - YEAR(F358) - (IF(DATE(YEAR(TODAY()), MONTH(F358), DAY(F358)) &gt; TODAY(), 1, 0))</f>
        <v>14</v>
      </c>
      <c r="H358" s="43" cm="1">
        <f t="array" aca="1" ref="H358" ca="1">SUMPRODUCT((BRON!$A$2:$A$1197=Table1[[#This Row],[Personeelsnummer]])*(BRON!$T$2:$T$1197&gt;=DATE(YEAR(TODAY())-1,MONTH(TODAY()),DAY(TODAY())))*(BRON!$T$2:$T$1197&lt;=TODAY()))</f>
        <v>0</v>
      </c>
    </row>
    <row r="359" spans="1:8" x14ac:dyDescent="0.25">
      <c r="A359" s="34" t="s">
        <v>2114</v>
      </c>
      <c r="B359" s="34" t="s">
        <v>2096</v>
      </c>
      <c r="C359" s="36">
        <v>26266</v>
      </c>
      <c r="D359" s="34" t="s">
        <v>3857</v>
      </c>
      <c r="E359" s="34" t="s">
        <v>3863</v>
      </c>
      <c r="F359" s="3">
        <v>40658.083333333299</v>
      </c>
      <c r="G359" s="35">
        <f ca="1">YEAR(TODAY()) - YEAR(F359) - (IF(DATE(YEAR(TODAY()), MONTH(F359), DAY(F359)) &gt; TODAY(), 1, 0))</f>
        <v>14</v>
      </c>
      <c r="H359" s="43" cm="1">
        <f t="array" aca="1" ref="H359" ca="1">SUMPRODUCT((BRON!$A$2:$A$1197=Table1[[#This Row],[Personeelsnummer]])*(BRON!$T$2:$T$1197&gt;=DATE(YEAR(TODAY())-1,MONTH(TODAY()),DAY(TODAY())))*(BRON!$T$2:$T$1197&lt;=TODAY()))</f>
        <v>0</v>
      </c>
    </row>
    <row r="360" spans="1:8" x14ac:dyDescent="0.25">
      <c r="A360" s="34" t="s">
        <v>1328</v>
      </c>
      <c r="B360" s="34" t="s">
        <v>1640</v>
      </c>
      <c r="C360" s="36">
        <v>26384</v>
      </c>
      <c r="D360" s="34" t="s">
        <v>3858</v>
      </c>
      <c r="E360" s="34" t="s">
        <v>3864</v>
      </c>
      <c r="F360" s="3">
        <v>40700.083333333299</v>
      </c>
      <c r="G360" s="35">
        <f ca="1">YEAR(TODAY()) - YEAR(F360) - (IF(DATE(YEAR(TODAY()), MONTH(F360), DAY(F360)) &gt; TODAY(), 1, 0))</f>
        <v>14</v>
      </c>
      <c r="H360" s="43" cm="1">
        <f t="array" aca="1" ref="H360" ca="1">SUMPRODUCT((BRON!$A$2:$A$1197=Table1[[#This Row],[Personeelsnummer]])*(BRON!$T$2:$T$1197&gt;=DATE(YEAR(TODAY())-1,MONTH(TODAY()),DAY(TODAY())))*(BRON!$T$2:$T$1197&lt;=TODAY()))</f>
        <v>0</v>
      </c>
    </row>
    <row r="361" spans="1:8" x14ac:dyDescent="0.25">
      <c r="A361" s="34" t="s">
        <v>1328</v>
      </c>
      <c r="B361" s="34" t="s">
        <v>1643</v>
      </c>
      <c r="C361" s="36">
        <v>26198</v>
      </c>
      <c r="D361" s="34" t="s">
        <v>3853</v>
      </c>
      <c r="E361" s="34" t="s">
        <v>3854</v>
      </c>
      <c r="F361" s="3">
        <v>40637.083333333299</v>
      </c>
      <c r="G361" s="35">
        <f ca="1">YEAR(TODAY()) - YEAR(F361) - (IF(DATE(YEAR(TODAY()), MONTH(F361), DAY(F361)) &gt; TODAY(), 1, 0))</f>
        <v>14</v>
      </c>
      <c r="H361" s="43" cm="1">
        <f t="array" aca="1" ref="H361" ca="1">SUMPRODUCT((BRON!$A$2:$A$1197=Table1[[#This Row],[Personeelsnummer]])*(BRON!$T$2:$T$1197&gt;=DATE(YEAR(TODAY())-1,MONTH(TODAY()),DAY(TODAY())))*(BRON!$T$2:$T$1197&lt;=TODAY()))</f>
        <v>0</v>
      </c>
    </row>
    <row r="362" spans="1:8" x14ac:dyDescent="0.25">
      <c r="A362" s="34" t="s">
        <v>3310</v>
      </c>
      <c r="B362" s="34" t="s">
        <v>3309</v>
      </c>
      <c r="C362" s="36">
        <v>23790</v>
      </c>
      <c r="D362" s="34" t="s">
        <v>3853</v>
      </c>
      <c r="E362" s="34" t="s">
        <v>3866</v>
      </c>
      <c r="F362" s="3">
        <v>39923.083333333299</v>
      </c>
      <c r="G362" s="35">
        <f ca="1">YEAR(TODAY()) - YEAR(F362) - (IF(DATE(YEAR(TODAY()), MONTH(F362), DAY(F362)) &gt; TODAY(), 1, 0))</f>
        <v>16</v>
      </c>
      <c r="H362" s="43" cm="1">
        <f t="array" aca="1" ref="H362" ca="1">SUMPRODUCT((BRON!$A$2:$A$1197=Table1[[#This Row],[Personeelsnummer]])*(BRON!$T$2:$T$1197&gt;=DATE(YEAR(TODAY())-1,MONTH(TODAY()),DAY(TODAY())))*(BRON!$T$2:$T$1197&lt;=TODAY()))</f>
        <v>0</v>
      </c>
    </row>
    <row r="363" spans="1:8" x14ac:dyDescent="0.25">
      <c r="A363" s="34" t="s">
        <v>3869</v>
      </c>
      <c r="B363" s="34" t="s">
        <v>3870</v>
      </c>
      <c r="C363" s="36">
        <v>23880</v>
      </c>
      <c r="D363" s="34" t="s">
        <v>3853</v>
      </c>
      <c r="E363" s="34" t="s">
        <v>3866</v>
      </c>
      <c r="F363" s="3">
        <v>39958.083333333299</v>
      </c>
      <c r="G363" s="35">
        <f ca="1">YEAR(TODAY()) - YEAR(F363) - (IF(DATE(YEAR(TODAY()), MONTH(F363), DAY(F363)) &gt; TODAY(), 1, 0))</f>
        <v>16</v>
      </c>
      <c r="H363" s="43" cm="1">
        <f t="array" aca="1" ref="H363" ca="1">SUMPRODUCT((BRON!$A$2:$A$1197=Table1[[#This Row],[Personeelsnummer]])*(BRON!$T$2:$T$1197&gt;=DATE(YEAR(TODAY())-1,MONTH(TODAY()),DAY(TODAY())))*(BRON!$T$2:$T$1197&lt;=TODAY()))</f>
        <v>0</v>
      </c>
    </row>
    <row r="364" spans="1:8" x14ac:dyDescent="0.25">
      <c r="A364" s="34" t="s">
        <v>3064</v>
      </c>
      <c r="B364" s="34" t="s">
        <v>2096</v>
      </c>
      <c r="C364" s="36">
        <v>24472</v>
      </c>
      <c r="D364" s="34" t="s">
        <v>3853</v>
      </c>
      <c r="E364" s="34" t="s">
        <v>3866</v>
      </c>
      <c r="F364" s="3">
        <v>40049.083333333299</v>
      </c>
      <c r="G364" s="35">
        <f ca="1">YEAR(TODAY()) - YEAR(F364) - (IF(DATE(YEAR(TODAY()), MONTH(F364), DAY(F364)) &gt; TODAY(), 1, 0))</f>
        <v>16</v>
      </c>
      <c r="H364" s="43" cm="1">
        <f t="array" aca="1" ref="H364" ca="1">SUMPRODUCT((BRON!$A$2:$A$1197=Table1[[#This Row],[Personeelsnummer]])*(BRON!$T$2:$T$1197&gt;=DATE(YEAR(TODAY())-1,MONTH(TODAY()),DAY(TODAY())))*(BRON!$T$2:$T$1197&lt;=TODAY()))</f>
        <v>0</v>
      </c>
    </row>
    <row r="365" spans="1:8" x14ac:dyDescent="0.25">
      <c r="A365" s="34" t="s">
        <v>2960</v>
      </c>
      <c r="B365" s="34" t="s">
        <v>2498</v>
      </c>
      <c r="C365" s="36">
        <v>21809</v>
      </c>
      <c r="D365" s="34" t="s">
        <v>3867</v>
      </c>
      <c r="E365" s="34" t="s">
        <v>3864</v>
      </c>
      <c r="F365" s="3">
        <v>39496.041666666701</v>
      </c>
      <c r="G365" s="35">
        <f ca="1">YEAR(TODAY()) - YEAR(F365) - (IF(DATE(YEAR(TODAY()), MONTH(F365), DAY(F365)) &gt; TODAY(), 1, 0))</f>
        <v>17</v>
      </c>
      <c r="H365" s="43" cm="1">
        <f t="array" aca="1" ref="H365" ca="1">SUMPRODUCT((BRON!$A$2:$A$1197=Table1[[#This Row],[Personeelsnummer]])*(BRON!$T$2:$T$1197&gt;=DATE(YEAR(TODAY())-1,MONTH(TODAY()),DAY(TODAY())))*(BRON!$T$2:$T$1197&lt;=TODAY()))</f>
        <v>0</v>
      </c>
    </row>
    <row r="366" spans="1:8" x14ac:dyDescent="0.25">
      <c r="A366" s="34" t="s">
        <v>1907</v>
      </c>
      <c r="B366" s="34" t="s">
        <v>1906</v>
      </c>
      <c r="C366" s="36">
        <v>22625</v>
      </c>
      <c r="D366" s="34" t="s">
        <v>3853</v>
      </c>
      <c r="E366" s="34" t="s">
        <v>3860</v>
      </c>
      <c r="F366" s="3">
        <v>39643.083333333299</v>
      </c>
      <c r="G366" s="35">
        <f ca="1">YEAR(TODAY()) - YEAR(F366) - (IF(DATE(YEAR(TODAY()), MONTH(F366), DAY(F366)) &gt; TODAY(), 1, 0))</f>
        <v>17</v>
      </c>
      <c r="H366" s="43" cm="1">
        <f t="array" aca="1" ref="H366" ca="1">SUMPRODUCT((BRON!$A$2:$A$1197=Table1[[#This Row],[Personeelsnummer]])*(BRON!$T$2:$T$1197&gt;=DATE(YEAR(TODAY())-1,MONTH(TODAY()),DAY(TODAY())))*(BRON!$T$2:$T$1197&lt;=TODAY()))</f>
        <v>0</v>
      </c>
    </row>
    <row r="367" spans="1:8" x14ac:dyDescent="0.25">
      <c r="A367" s="34" t="s">
        <v>2562</v>
      </c>
      <c r="B367" s="34" t="s">
        <v>2571</v>
      </c>
      <c r="C367" s="36">
        <v>22767</v>
      </c>
      <c r="D367" s="34" t="s">
        <v>3857</v>
      </c>
      <c r="E367" s="34" t="s">
        <v>3866</v>
      </c>
      <c r="F367" s="3">
        <v>39664.083333333299</v>
      </c>
      <c r="G367" s="35">
        <f ca="1">YEAR(TODAY()) - YEAR(F367) - (IF(DATE(YEAR(TODAY()), MONTH(F367), DAY(F367)) &gt; TODAY(), 1, 0))</f>
        <v>17</v>
      </c>
      <c r="H367" s="43" cm="1">
        <f t="array" aca="1" ref="H367" ca="1">SUMPRODUCT((BRON!$A$2:$A$1197=Table1[[#This Row],[Personeelsnummer]])*(BRON!$T$2:$T$1197&gt;=DATE(YEAR(TODAY())-1,MONTH(TODAY()),DAY(TODAY())))*(BRON!$T$2:$T$1197&lt;=TODAY()))</f>
        <v>1</v>
      </c>
    </row>
    <row r="368" spans="1:8" x14ac:dyDescent="0.25">
      <c r="A368" s="34" t="s">
        <v>2374</v>
      </c>
      <c r="B368" s="34" t="s">
        <v>2373</v>
      </c>
      <c r="C368" s="36">
        <v>20375</v>
      </c>
      <c r="D368" s="34" t="s">
        <v>3857</v>
      </c>
      <c r="E368" s="34" t="s">
        <v>3866</v>
      </c>
      <c r="F368" s="3">
        <v>39132.041666666701</v>
      </c>
      <c r="G368" s="35">
        <f ca="1">YEAR(TODAY()) - YEAR(F368) - (IF(DATE(YEAR(TODAY()), MONTH(F368), DAY(F368)) &gt; TODAY(), 1, 0))</f>
        <v>18</v>
      </c>
      <c r="H368" s="43" cm="1">
        <f t="array" aca="1" ref="H368" ca="1">SUMPRODUCT((BRON!$A$2:$A$1197=Table1[[#This Row],[Personeelsnummer]])*(BRON!$T$2:$T$1197&gt;=DATE(YEAR(TODAY())-1,MONTH(TODAY()),DAY(TODAY())))*(BRON!$T$2:$T$1197&lt;=TODAY()))</f>
        <v>0</v>
      </c>
    </row>
    <row r="369" spans="1:8" x14ac:dyDescent="0.25">
      <c r="A369" s="34" t="s">
        <v>1341</v>
      </c>
      <c r="B369" s="34" t="s">
        <v>2475</v>
      </c>
      <c r="C369" s="36">
        <v>20400</v>
      </c>
      <c r="D369" s="34" t="s">
        <v>3857</v>
      </c>
      <c r="E369" s="34" t="s">
        <v>3866</v>
      </c>
      <c r="F369" s="3">
        <v>39146.041666666701</v>
      </c>
      <c r="G369" s="35">
        <f ca="1">YEAR(TODAY()) - YEAR(F369) - (IF(DATE(YEAR(TODAY()), MONTH(F369), DAY(F369)) &gt; TODAY(), 1, 0))</f>
        <v>18</v>
      </c>
      <c r="H369" s="43" cm="1">
        <f t="array" aca="1" ref="H369" ca="1">SUMPRODUCT((BRON!$A$2:$A$1197=Table1[[#This Row],[Personeelsnummer]])*(BRON!$T$2:$T$1197&gt;=DATE(YEAR(TODAY())-1,MONTH(TODAY()),DAY(TODAY())))*(BRON!$T$2:$T$1197&lt;=TODAY()))</f>
        <v>0</v>
      </c>
    </row>
    <row r="370" spans="1:8" x14ac:dyDescent="0.25">
      <c r="A370" s="34" t="s">
        <v>3092</v>
      </c>
      <c r="B370" s="34" t="s">
        <v>3101</v>
      </c>
      <c r="C370" s="36">
        <v>21124</v>
      </c>
      <c r="D370" s="34" t="s">
        <v>3853</v>
      </c>
      <c r="E370" s="34" t="s">
        <v>3859</v>
      </c>
      <c r="F370" s="3">
        <v>39286.083333333299</v>
      </c>
      <c r="G370" s="35">
        <f ca="1">YEAR(TODAY()) - YEAR(F370) - (IF(DATE(YEAR(TODAY()), MONTH(F370), DAY(F370)) &gt; TODAY(), 1, 0))</f>
        <v>18</v>
      </c>
      <c r="H370" s="43" cm="1">
        <f t="array" aca="1" ref="H370" ca="1">SUMPRODUCT((BRON!$A$2:$A$1197=Table1[[#This Row],[Personeelsnummer]])*(BRON!$T$2:$T$1197&gt;=DATE(YEAR(TODAY())-1,MONTH(TODAY()),DAY(TODAY())))*(BRON!$T$2:$T$1197&lt;=TODAY()))</f>
        <v>0</v>
      </c>
    </row>
    <row r="371" spans="1:8" x14ac:dyDescent="0.25">
      <c r="A371" s="34" t="s">
        <v>2296</v>
      </c>
      <c r="B371" s="34" t="s">
        <v>2303</v>
      </c>
      <c r="C371" s="36">
        <v>21382</v>
      </c>
      <c r="D371" s="34" t="s">
        <v>3857</v>
      </c>
      <c r="E371" s="34" t="s">
        <v>3864</v>
      </c>
      <c r="F371" s="3">
        <v>39356.083333333299</v>
      </c>
      <c r="G371" s="35">
        <f ca="1">YEAR(TODAY()) - YEAR(F371) - (IF(DATE(YEAR(TODAY()), MONTH(F371), DAY(F371)) &gt; TODAY(), 1, 0))</f>
        <v>18</v>
      </c>
      <c r="H371" s="43" cm="1">
        <f t="array" aca="1" ref="H371" ca="1">SUMPRODUCT((BRON!$A$2:$A$1197=Table1[[#This Row],[Personeelsnummer]])*(BRON!$T$2:$T$1197&gt;=DATE(YEAR(TODAY())-1,MONTH(TODAY()),DAY(TODAY())))*(BRON!$T$2:$T$1197&lt;=TODAY()))</f>
        <v>0</v>
      </c>
    </row>
    <row r="372" spans="1:8" x14ac:dyDescent="0.25">
      <c r="A372" s="34" t="s">
        <v>1341</v>
      </c>
      <c r="B372" s="34" t="s">
        <v>1376</v>
      </c>
      <c r="C372" s="36">
        <v>20404</v>
      </c>
      <c r="D372" s="34" t="s">
        <v>3862</v>
      </c>
      <c r="E372" s="34" t="s">
        <v>3859</v>
      </c>
      <c r="F372" s="3">
        <v>39146.041666666701</v>
      </c>
      <c r="G372" s="35">
        <f ca="1">YEAR(TODAY()) - YEAR(F372) - (IF(DATE(YEAR(TODAY()), MONTH(F372), DAY(F372)) &gt; TODAY(), 1, 0))</f>
        <v>18</v>
      </c>
      <c r="H372" s="43" cm="1">
        <f t="array" aca="1" ref="H372" ca="1">SUMPRODUCT((BRON!$A$2:$A$1197=Table1[[#This Row],[Personeelsnummer]])*(BRON!$T$2:$T$1197&gt;=DATE(YEAR(TODAY())-1,MONTH(TODAY()),DAY(TODAY())))*(BRON!$T$2:$T$1197&lt;=TODAY()))</f>
        <v>0</v>
      </c>
    </row>
    <row r="373" spans="1:8" x14ac:dyDescent="0.25">
      <c r="A373" s="34" t="s">
        <v>2174</v>
      </c>
      <c r="B373" s="34" t="s">
        <v>2180</v>
      </c>
      <c r="C373" s="36">
        <v>21121</v>
      </c>
      <c r="D373" s="34" t="s">
        <v>3857</v>
      </c>
      <c r="E373" s="34" t="s">
        <v>3854</v>
      </c>
      <c r="F373" s="3">
        <v>39286.083333333299</v>
      </c>
      <c r="G373" s="35">
        <f ca="1">YEAR(TODAY()) - YEAR(F373) - (IF(DATE(YEAR(TODAY()), MONTH(F373), DAY(F373)) &gt; TODAY(), 1, 0))</f>
        <v>18</v>
      </c>
      <c r="H373" s="43" cm="1">
        <f t="array" aca="1" ref="H373" ca="1">SUMPRODUCT((BRON!$A$2:$A$1197=Table1[[#This Row],[Personeelsnummer]])*(BRON!$T$2:$T$1197&gt;=DATE(YEAR(TODAY())-1,MONTH(TODAY()),DAY(TODAY())))*(BRON!$T$2:$T$1197&lt;=TODAY()))</f>
        <v>0</v>
      </c>
    </row>
    <row r="374" spans="1:8" x14ac:dyDescent="0.25">
      <c r="A374" s="34" t="s">
        <v>1929</v>
      </c>
      <c r="B374" s="34" t="s">
        <v>1937</v>
      </c>
      <c r="C374" s="36">
        <v>19087</v>
      </c>
      <c r="D374" s="34" t="s">
        <v>3858</v>
      </c>
      <c r="E374" s="34" t="s">
        <v>3863</v>
      </c>
      <c r="F374" s="3">
        <v>38789.041666666701</v>
      </c>
      <c r="G374" s="35">
        <f ca="1">YEAR(TODAY()) - YEAR(F374) - (IF(DATE(YEAR(TODAY()), MONTH(F374), DAY(F374)) &gt; TODAY(), 1, 0))</f>
        <v>19</v>
      </c>
      <c r="H374" s="43" cm="1">
        <f t="array" aca="1" ref="H374" ca="1">SUMPRODUCT((BRON!$A$2:$A$1197=Table1[[#This Row],[Personeelsnummer]])*(BRON!$T$2:$T$1197&gt;=DATE(YEAR(TODAY())-1,MONTH(TODAY()),DAY(TODAY())))*(BRON!$T$2:$T$1197&lt;=TODAY()))</f>
        <v>0</v>
      </c>
    </row>
    <row r="375" spans="1:8" x14ac:dyDescent="0.25">
      <c r="A375" s="34" t="s">
        <v>2405</v>
      </c>
      <c r="B375" s="34" t="s">
        <v>3078</v>
      </c>
      <c r="C375" s="36">
        <v>19088</v>
      </c>
      <c r="D375" s="34" t="s">
        <v>3858</v>
      </c>
      <c r="E375" s="34" t="s">
        <v>3854</v>
      </c>
      <c r="F375" s="3">
        <v>38789.041666666701</v>
      </c>
      <c r="G375" s="35">
        <f ca="1">YEAR(TODAY()) - YEAR(F375) - (IF(DATE(YEAR(TODAY()), MONTH(F375), DAY(F375)) &gt; TODAY(), 1, 0))</f>
        <v>19</v>
      </c>
      <c r="H375" s="43" cm="1">
        <f t="array" aca="1" ref="H375" ca="1">SUMPRODUCT((BRON!$A$2:$A$1197=Table1[[#This Row],[Personeelsnummer]])*(BRON!$T$2:$T$1197&gt;=DATE(YEAR(TODAY())-1,MONTH(TODAY()),DAY(TODAY())))*(BRON!$T$2:$T$1197&lt;=TODAY()))</f>
        <v>0</v>
      </c>
    </row>
    <row r="376" spans="1:8" x14ac:dyDescent="0.25">
      <c r="A376" s="34" t="s">
        <v>2820</v>
      </c>
      <c r="B376" s="34" t="s">
        <v>2829</v>
      </c>
      <c r="C376" s="36">
        <v>19219</v>
      </c>
      <c r="D376" s="34" t="s">
        <v>3858</v>
      </c>
      <c r="E376" s="34" t="s">
        <v>3861</v>
      </c>
      <c r="F376" s="3">
        <v>38831.083333333299</v>
      </c>
      <c r="G376" s="35">
        <f ca="1">YEAR(TODAY()) - YEAR(F376) - (IF(DATE(YEAR(TODAY()), MONTH(F376), DAY(F376)) &gt; TODAY(), 1, 0))</f>
        <v>19</v>
      </c>
      <c r="H376" s="43" cm="1">
        <f t="array" aca="1" ref="H376" ca="1">SUMPRODUCT((BRON!$A$2:$A$1197=Table1[[#This Row],[Personeelsnummer]])*(BRON!$T$2:$T$1197&gt;=DATE(YEAR(TODAY())-1,MONTH(TODAY()),DAY(TODAY())))*(BRON!$T$2:$T$1197&lt;=TODAY()))</f>
        <v>0</v>
      </c>
    </row>
    <row r="377" spans="1:8" x14ac:dyDescent="0.25">
      <c r="A377" s="34" t="s">
        <v>1960</v>
      </c>
      <c r="B377" s="34" t="s">
        <v>1974</v>
      </c>
      <c r="C377" s="36">
        <v>19848</v>
      </c>
      <c r="D377" s="34" t="s">
        <v>3857</v>
      </c>
      <c r="E377" s="34" t="s">
        <v>3865</v>
      </c>
      <c r="F377" s="3">
        <v>38992.083333333299</v>
      </c>
      <c r="G377" s="35">
        <f ca="1">YEAR(TODAY()) - YEAR(F377) - (IF(DATE(YEAR(TODAY()), MONTH(F377), DAY(F377)) &gt; TODAY(), 1, 0))</f>
        <v>19</v>
      </c>
      <c r="H377" s="43" cm="1">
        <f t="array" aca="1" ref="H377" ca="1">SUMPRODUCT((BRON!$A$2:$A$1197=Table1[[#This Row],[Personeelsnummer]])*(BRON!$T$2:$T$1197&gt;=DATE(YEAR(TODAY())-1,MONTH(TODAY()),DAY(TODAY())))*(BRON!$T$2:$T$1197&lt;=TODAY()))</f>
        <v>0</v>
      </c>
    </row>
    <row r="378" spans="1:8" x14ac:dyDescent="0.25">
      <c r="A378" s="34" t="s">
        <v>2777</v>
      </c>
      <c r="B378" s="34" t="s">
        <v>2776</v>
      </c>
      <c r="C378" s="36">
        <v>18173</v>
      </c>
      <c r="D378" s="34" t="s">
        <v>3858</v>
      </c>
      <c r="E378" s="34" t="s">
        <v>3854</v>
      </c>
      <c r="F378" s="3">
        <v>38481.083333333299</v>
      </c>
      <c r="G378" s="35">
        <f ca="1">YEAR(TODAY()) - YEAR(F378) - (IF(DATE(YEAR(TODAY()), MONTH(F378), DAY(F378)) &gt; TODAY(), 1, 0))</f>
        <v>20</v>
      </c>
      <c r="H378" s="43" cm="1">
        <f t="array" aca="1" ref="H378" ca="1">SUMPRODUCT((BRON!$A$2:$A$1197=Table1[[#This Row],[Personeelsnummer]])*(BRON!$T$2:$T$1197&gt;=DATE(YEAR(TODAY())-1,MONTH(TODAY()),DAY(TODAY())))*(BRON!$T$2:$T$1197&lt;=TODAY()))</f>
        <v>1</v>
      </c>
    </row>
    <row r="379" spans="1:8" x14ac:dyDescent="0.25">
      <c r="A379" s="34" t="s">
        <v>2749</v>
      </c>
      <c r="B379" s="34" t="s">
        <v>2748</v>
      </c>
      <c r="C379" s="36">
        <v>17931</v>
      </c>
      <c r="D379" s="34" t="s">
        <v>3857</v>
      </c>
      <c r="E379" s="34" t="s">
        <v>3864</v>
      </c>
      <c r="F379" s="3">
        <v>38390.041666666701</v>
      </c>
      <c r="G379" s="35">
        <f ca="1">YEAR(TODAY()) - YEAR(F379) - (IF(DATE(YEAR(TODAY()), MONTH(F379), DAY(F379)) &gt; TODAY(), 1, 0))</f>
        <v>20</v>
      </c>
      <c r="H379" s="43" cm="1">
        <f t="array" aca="1" ref="H379" ca="1">SUMPRODUCT((BRON!$A$2:$A$1197=Table1[[#This Row],[Personeelsnummer]])*(BRON!$T$2:$T$1197&gt;=DATE(YEAR(TODAY())-1,MONTH(TODAY()),DAY(TODAY())))*(BRON!$T$2:$T$1197&lt;=TODAY()))</f>
        <v>0</v>
      </c>
    </row>
    <row r="380" spans="1:8" x14ac:dyDescent="0.25">
      <c r="A380" s="34" t="s">
        <v>1491</v>
      </c>
      <c r="B380" s="34" t="s">
        <v>1499</v>
      </c>
      <c r="C380" s="36">
        <v>17555</v>
      </c>
      <c r="D380" s="34" t="s">
        <v>3858</v>
      </c>
      <c r="E380" s="34" t="s">
        <v>3860</v>
      </c>
      <c r="F380" s="3">
        <v>38222.083333333299</v>
      </c>
      <c r="G380" s="35">
        <f ca="1">YEAR(TODAY()) - YEAR(F380) - (IF(DATE(YEAR(TODAY()), MONTH(F380), DAY(F380)) &gt; TODAY(), 1, 0))</f>
        <v>21</v>
      </c>
      <c r="H380" s="43" cm="1">
        <f t="array" aca="1" ref="H380" ca="1">SUMPRODUCT((BRON!$A$2:$A$1197=Table1[[#This Row],[Personeelsnummer]])*(BRON!$T$2:$T$1197&gt;=DATE(YEAR(TODAY())-1,MONTH(TODAY()),DAY(TODAY())))*(BRON!$T$2:$T$1197&lt;=TODAY()))</f>
        <v>1</v>
      </c>
    </row>
    <row r="381" spans="1:8" x14ac:dyDescent="0.25">
      <c r="A381" s="34" t="s">
        <v>1817</v>
      </c>
      <c r="B381" s="34" t="s">
        <v>1816</v>
      </c>
      <c r="C381" s="36">
        <v>16546</v>
      </c>
      <c r="D381" s="34" t="s">
        <v>3858</v>
      </c>
      <c r="E381" s="34" t="s">
        <v>3859</v>
      </c>
      <c r="F381" s="3">
        <v>37991.041666666701</v>
      </c>
      <c r="G381" s="35">
        <f ca="1">YEAR(TODAY()) - YEAR(F381) - (IF(DATE(YEAR(TODAY()), MONTH(F381), DAY(F381)) &gt; TODAY(), 1, 0))</f>
        <v>21</v>
      </c>
      <c r="H381" s="43" cm="1">
        <f t="array" aca="1" ref="H381" ca="1">SUMPRODUCT((BRON!$A$2:$A$1197=Table1[[#This Row],[Personeelsnummer]])*(BRON!$T$2:$T$1197&gt;=DATE(YEAR(TODAY())-1,MONTH(TODAY()),DAY(TODAY())))*(BRON!$T$2:$T$1197&lt;=TODAY()))</f>
        <v>2</v>
      </c>
    </row>
    <row r="382" spans="1:8" x14ac:dyDescent="0.25">
      <c r="A382" s="34" t="s">
        <v>1536</v>
      </c>
      <c r="B382" s="34" t="s">
        <v>1545</v>
      </c>
      <c r="C382" s="36">
        <v>15676</v>
      </c>
      <c r="D382" s="34" t="s">
        <v>3853</v>
      </c>
      <c r="E382" s="34" t="s">
        <v>3861</v>
      </c>
      <c r="F382" s="3">
        <v>37739.083333333299</v>
      </c>
      <c r="G382" s="35">
        <f ca="1">YEAR(TODAY()) - YEAR(F382) - (IF(DATE(YEAR(TODAY()), MONTH(F382), DAY(F382)) &gt; TODAY(), 1, 0))</f>
        <v>22</v>
      </c>
      <c r="H382" s="43" cm="1">
        <f t="array" aca="1" ref="H382" ca="1">SUMPRODUCT((BRON!$A$2:$A$1197=Table1[[#This Row],[Personeelsnummer]])*(BRON!$T$2:$T$1197&gt;=DATE(YEAR(TODAY())-1,MONTH(TODAY()),DAY(TODAY())))*(BRON!$T$2:$T$1197&lt;=TODAY()))</f>
        <v>0</v>
      </c>
    </row>
    <row r="383" spans="1:8" x14ac:dyDescent="0.25">
      <c r="A383" s="34" t="s">
        <v>1521</v>
      </c>
      <c r="B383" s="34" t="s">
        <v>1524</v>
      </c>
      <c r="C383" s="36">
        <v>15852</v>
      </c>
      <c r="D383" s="34" t="s">
        <v>3853</v>
      </c>
      <c r="E383" s="34" t="s">
        <v>3854</v>
      </c>
      <c r="F383" s="3">
        <v>37788.083333333299</v>
      </c>
      <c r="G383" s="35">
        <f ca="1">YEAR(TODAY()) - YEAR(F383) - (IF(DATE(YEAR(TODAY()), MONTH(F383), DAY(F383)) &gt; TODAY(), 1, 0))</f>
        <v>22</v>
      </c>
      <c r="H383" s="43" cm="1">
        <f t="array" aca="1" ref="H383" ca="1">SUMPRODUCT((BRON!$A$2:$A$1197=Table1[[#This Row],[Personeelsnummer]])*(BRON!$T$2:$T$1197&gt;=DATE(YEAR(TODAY())-1,MONTH(TODAY()),DAY(TODAY())))*(BRON!$T$2:$T$1197&lt;=TODAY()))</f>
        <v>0</v>
      </c>
    </row>
    <row r="384" spans="1:8" x14ac:dyDescent="0.25">
      <c r="A384" s="34" t="s">
        <v>1801</v>
      </c>
      <c r="B384" s="34" t="s">
        <v>1800</v>
      </c>
      <c r="C384" s="36">
        <v>16282</v>
      </c>
      <c r="D384" s="34" t="s">
        <v>3857</v>
      </c>
      <c r="E384" s="34" t="s">
        <v>3854</v>
      </c>
      <c r="F384" s="3">
        <v>37886.083333333299</v>
      </c>
      <c r="G384" s="35">
        <f ca="1">YEAR(TODAY()) - YEAR(F384) - (IF(DATE(YEAR(TODAY()), MONTH(F384), DAY(F384)) &gt; TODAY(), 1, 0))</f>
        <v>22</v>
      </c>
      <c r="H384" s="43" cm="1">
        <f t="array" aca="1" ref="H384" ca="1">SUMPRODUCT((BRON!$A$2:$A$1197=Table1[[#This Row],[Personeelsnummer]])*(BRON!$T$2:$T$1197&gt;=DATE(YEAR(TODAY())-1,MONTH(TODAY()),DAY(TODAY())))*(BRON!$T$2:$T$1197&lt;=TODAY()))</f>
        <v>0</v>
      </c>
    </row>
    <row r="385" spans="1:8" x14ac:dyDescent="0.25">
      <c r="A385" s="34" t="s">
        <v>1326</v>
      </c>
      <c r="B385" s="34" t="s">
        <v>2998</v>
      </c>
      <c r="C385" s="36">
        <v>15628</v>
      </c>
      <c r="D385" s="34" t="s">
        <v>3853</v>
      </c>
      <c r="E385" s="34" t="s">
        <v>3854</v>
      </c>
      <c r="F385" s="3">
        <v>37718.083333333299</v>
      </c>
      <c r="G385" s="35">
        <f ca="1">YEAR(TODAY()) - YEAR(F385) - (IF(DATE(YEAR(TODAY()), MONTH(F385), DAY(F385)) &gt; TODAY(), 1, 0))</f>
        <v>22</v>
      </c>
      <c r="H385" s="43" cm="1">
        <f t="array" aca="1" ref="H385" ca="1">SUMPRODUCT((BRON!$A$2:$A$1197=Table1[[#This Row],[Personeelsnummer]])*(BRON!$T$2:$T$1197&gt;=DATE(YEAR(TODAY())-1,MONTH(TODAY()),DAY(TODAY())))*(BRON!$T$2:$T$1197&lt;=TODAY()))</f>
        <v>1</v>
      </c>
    </row>
    <row r="386" spans="1:8" x14ac:dyDescent="0.25">
      <c r="A386" s="34" t="s">
        <v>2879</v>
      </c>
      <c r="B386" s="34" t="s">
        <v>2206</v>
      </c>
      <c r="C386" s="36">
        <v>15320</v>
      </c>
      <c r="D386" s="34" t="s">
        <v>3862</v>
      </c>
      <c r="E386" s="34" t="s">
        <v>3863</v>
      </c>
      <c r="F386" s="3">
        <v>37585.041666666701</v>
      </c>
      <c r="G386" s="35">
        <f ca="1">YEAR(TODAY()) - YEAR(F386) - (IF(DATE(YEAR(TODAY()), MONTH(F386), DAY(F386)) &gt; TODAY(), 1, 0))</f>
        <v>23</v>
      </c>
      <c r="H386" s="43" cm="1">
        <f t="array" aca="1" ref="H386" ca="1">SUMPRODUCT((BRON!$A$2:$A$1197=Table1[[#This Row],[Personeelsnummer]])*(BRON!$T$2:$T$1197&gt;=DATE(YEAR(TODAY())-1,MONTH(TODAY()),DAY(TODAY())))*(BRON!$T$2:$T$1197&lt;=TODAY()))</f>
        <v>0</v>
      </c>
    </row>
    <row r="387" spans="1:8" x14ac:dyDescent="0.25">
      <c r="A387" s="34" t="s">
        <v>1677</v>
      </c>
      <c r="B387" s="34" t="s">
        <v>1554</v>
      </c>
      <c r="C387" s="36">
        <v>14261</v>
      </c>
      <c r="D387" s="34" t="s">
        <v>3857</v>
      </c>
      <c r="E387" s="34" t="s">
        <v>3863</v>
      </c>
      <c r="F387" s="3">
        <v>37284.041666666701</v>
      </c>
      <c r="G387" s="35">
        <f ca="1">YEAR(TODAY()) - YEAR(F387) - (IF(DATE(YEAR(TODAY()), MONTH(F387), DAY(F387)) &gt; TODAY(), 1, 0))</f>
        <v>23</v>
      </c>
      <c r="H387" s="43" cm="1">
        <f t="array" aca="1" ref="H387" ca="1">SUMPRODUCT((BRON!$A$2:$A$1197=Table1[[#This Row],[Personeelsnummer]])*(BRON!$T$2:$T$1197&gt;=DATE(YEAR(TODAY())-1,MONTH(TODAY()),DAY(TODAY())))*(BRON!$T$2:$T$1197&lt;=TODAY()))</f>
        <v>0</v>
      </c>
    </row>
    <row r="388" spans="1:8" x14ac:dyDescent="0.25">
      <c r="A388" s="34" t="s">
        <v>1918</v>
      </c>
      <c r="B388" s="34" t="s">
        <v>1925</v>
      </c>
      <c r="C388" s="36">
        <v>14665</v>
      </c>
      <c r="D388" s="34" t="s">
        <v>3858</v>
      </c>
      <c r="E388" s="34" t="s">
        <v>3860</v>
      </c>
      <c r="F388" s="3">
        <v>37424.083333333299</v>
      </c>
      <c r="G388" s="35">
        <f ca="1">YEAR(TODAY()) - YEAR(F388) - (IF(DATE(YEAR(TODAY()), MONTH(F388), DAY(F388)) &gt; TODAY(), 1, 0))</f>
        <v>23</v>
      </c>
      <c r="H388" s="43" cm="1">
        <f t="array" aca="1" ref="H388" ca="1">SUMPRODUCT((BRON!$A$2:$A$1197=Table1[[#This Row],[Personeelsnummer]])*(BRON!$T$2:$T$1197&gt;=DATE(YEAR(TODAY())-1,MONTH(TODAY()),DAY(TODAY())))*(BRON!$T$2:$T$1197&lt;=TODAY()))</f>
        <v>0</v>
      </c>
    </row>
    <row r="389" spans="1:8" x14ac:dyDescent="0.25">
      <c r="A389" s="34" t="s">
        <v>3124</v>
      </c>
      <c r="B389" s="34" t="s">
        <v>3009</v>
      </c>
      <c r="C389" s="36">
        <v>13088</v>
      </c>
      <c r="D389" s="34" t="s">
        <v>3853</v>
      </c>
      <c r="E389" s="34" t="s">
        <v>3866</v>
      </c>
      <c r="F389" s="3">
        <v>36948.041666666701</v>
      </c>
      <c r="G389" s="35">
        <f ca="1">YEAR(TODAY()) - YEAR(F389) - (IF(DATE(YEAR(TODAY()), MONTH(F389), DAY(F389)) &gt; TODAY(), 1, 0))</f>
        <v>24</v>
      </c>
      <c r="H389" s="43" cm="1">
        <f t="array" aca="1" ref="H389" ca="1">SUMPRODUCT((BRON!$A$2:$A$1197=Table1[[#This Row],[Personeelsnummer]])*(BRON!$T$2:$T$1197&gt;=DATE(YEAR(TODAY())-1,MONTH(TODAY()),DAY(TODAY())))*(BRON!$T$2:$T$1197&lt;=TODAY()))</f>
        <v>0</v>
      </c>
    </row>
    <row r="390" spans="1:8" x14ac:dyDescent="0.25">
      <c r="A390" s="34" t="s">
        <v>1824</v>
      </c>
      <c r="B390" s="34" t="s">
        <v>1829</v>
      </c>
      <c r="C390" s="36">
        <v>13345</v>
      </c>
      <c r="D390" s="34" t="s">
        <v>3858</v>
      </c>
      <c r="E390" s="34" t="s">
        <v>3854</v>
      </c>
      <c r="F390" s="3">
        <v>37018.083333333299</v>
      </c>
      <c r="G390" s="35">
        <f ca="1">YEAR(TODAY()) - YEAR(F390) - (IF(DATE(YEAR(TODAY()), MONTH(F390), DAY(F390)) &gt; TODAY(), 1, 0))</f>
        <v>24</v>
      </c>
      <c r="H390" s="43" cm="1">
        <f t="array" aca="1" ref="H390" ca="1">SUMPRODUCT((BRON!$A$2:$A$1197=Table1[[#This Row],[Personeelsnummer]])*(BRON!$T$2:$T$1197&gt;=DATE(YEAR(TODAY())-1,MONTH(TODAY()),DAY(TODAY())))*(BRON!$T$2:$T$1197&lt;=TODAY()))</f>
        <v>0</v>
      </c>
    </row>
    <row r="391" spans="1:8" x14ac:dyDescent="0.25">
      <c r="A391" s="34" t="s">
        <v>1991</v>
      </c>
      <c r="B391" s="34" t="s">
        <v>1990</v>
      </c>
      <c r="C391" s="36">
        <v>11866</v>
      </c>
      <c r="D391" s="34" t="s">
        <v>3853</v>
      </c>
      <c r="E391" s="34" t="s">
        <v>3861</v>
      </c>
      <c r="F391" s="3">
        <v>36542.041666666701</v>
      </c>
      <c r="G391" s="35">
        <f ca="1">YEAR(TODAY()) - YEAR(F391) - (IF(DATE(YEAR(TODAY()), MONTH(F391), DAY(F391)) &gt; TODAY(), 1, 0))</f>
        <v>25</v>
      </c>
      <c r="H391" s="43" cm="1">
        <f t="array" aca="1" ref="H391" ca="1">SUMPRODUCT((BRON!$A$2:$A$1197=Table1[[#This Row],[Personeelsnummer]])*(BRON!$T$2:$T$1197&gt;=DATE(YEAR(TODAY())-1,MONTH(TODAY()),DAY(TODAY())))*(BRON!$T$2:$T$1197&lt;=TODAY()))</f>
        <v>0</v>
      </c>
    </row>
    <row r="392" spans="1:8" x14ac:dyDescent="0.25">
      <c r="A392" s="34" t="s">
        <v>2405</v>
      </c>
      <c r="B392" s="34" t="s">
        <v>3067</v>
      </c>
      <c r="C392" s="36">
        <v>12173</v>
      </c>
      <c r="D392" s="34" t="s">
        <v>3858</v>
      </c>
      <c r="E392" s="34" t="s">
        <v>3863</v>
      </c>
      <c r="F392" s="3">
        <v>36690.083333333299</v>
      </c>
      <c r="G392" s="35">
        <f ca="1">YEAR(TODAY()) - YEAR(F392) - (IF(DATE(YEAR(TODAY()), MONTH(F392), DAY(F392)) &gt; TODAY(), 1, 0))</f>
        <v>25</v>
      </c>
      <c r="H392" s="43" cm="1">
        <f t="array" aca="1" ref="H392" ca="1">SUMPRODUCT((BRON!$A$2:$A$1197=Table1[[#This Row],[Personeelsnummer]])*(BRON!$T$2:$T$1197&gt;=DATE(YEAR(TODAY())-1,MONTH(TODAY()),DAY(TODAY())))*(BRON!$T$2:$T$1197&lt;=TODAY()))</f>
        <v>0</v>
      </c>
    </row>
    <row r="393" spans="1:8" x14ac:dyDescent="0.25">
      <c r="A393" s="34" t="s">
        <v>2065</v>
      </c>
      <c r="B393" s="34" t="s">
        <v>2064</v>
      </c>
      <c r="C393" s="36">
        <v>11508</v>
      </c>
      <c r="D393" s="34" t="s">
        <v>3853</v>
      </c>
      <c r="E393" s="34" t="s">
        <v>3861</v>
      </c>
      <c r="F393" s="3">
        <v>36388.083333333299</v>
      </c>
      <c r="G393" s="35">
        <f ca="1">YEAR(TODAY()) - YEAR(F393) - (IF(DATE(YEAR(TODAY()), MONTH(F393), DAY(F393)) &gt; TODAY(), 1, 0))</f>
        <v>26</v>
      </c>
      <c r="H393" s="43" cm="1">
        <f t="array" aca="1" ref="H393" ca="1">SUMPRODUCT((BRON!$A$2:$A$1197=Table1[[#This Row],[Personeelsnummer]])*(BRON!$T$2:$T$1197&gt;=DATE(YEAR(TODAY())-1,MONTH(TODAY()),DAY(TODAY())))*(BRON!$T$2:$T$1197&lt;=TODAY()))</f>
        <v>0</v>
      </c>
    </row>
    <row r="394" spans="1:8" x14ac:dyDescent="0.25">
      <c r="A394" s="34" t="s">
        <v>1536</v>
      </c>
      <c r="B394" s="34" t="s">
        <v>1535</v>
      </c>
      <c r="C394" s="36">
        <v>10150</v>
      </c>
      <c r="D394" s="34" t="s">
        <v>3857</v>
      </c>
      <c r="E394" s="34" t="s">
        <v>3865</v>
      </c>
      <c r="F394" s="3">
        <v>35891.083333333299</v>
      </c>
      <c r="G394" s="35">
        <f ca="1">YEAR(TODAY()) - YEAR(F394) - (IF(DATE(YEAR(TODAY()), MONTH(F394), DAY(F394)) &gt; TODAY(), 1, 0))</f>
        <v>27</v>
      </c>
      <c r="H394" s="43" cm="1">
        <f t="array" aca="1" ref="H394" ca="1">SUMPRODUCT((BRON!$A$2:$A$1197=Table1[[#This Row],[Personeelsnummer]])*(BRON!$T$2:$T$1197&gt;=DATE(YEAR(TODAY())-1,MONTH(TODAY()),DAY(TODAY())))*(BRON!$T$2:$T$1197&lt;=TODAY()))</f>
        <v>0</v>
      </c>
    </row>
    <row r="395" spans="1:8" x14ac:dyDescent="0.25">
      <c r="A395" s="34" t="s">
        <v>1452</v>
      </c>
      <c r="B395" s="34" t="s">
        <v>1451</v>
      </c>
      <c r="C395" s="36">
        <v>10324</v>
      </c>
      <c r="D395" s="34" t="s">
        <v>3857</v>
      </c>
      <c r="E395" s="34" t="s">
        <v>3860</v>
      </c>
      <c r="F395" s="3">
        <v>35948.083333333299</v>
      </c>
      <c r="G395" s="35">
        <f ca="1">YEAR(TODAY()) - YEAR(F395) - (IF(DATE(YEAR(TODAY()), MONTH(F395), DAY(F395)) &gt; TODAY(), 1, 0))</f>
        <v>27</v>
      </c>
      <c r="H395" s="43" cm="1">
        <f t="array" aca="1" ref="H395" ca="1">SUMPRODUCT((BRON!$A$2:$A$1197=Table1[[#This Row],[Personeelsnummer]])*(BRON!$T$2:$T$1197&gt;=DATE(YEAR(TODAY())-1,MONTH(TODAY()),DAY(TODAY())))*(BRON!$T$2:$T$1197&lt;=TODAY()))</f>
        <v>0</v>
      </c>
    </row>
    <row r="396" spans="1:8" x14ac:dyDescent="0.25">
      <c r="A396" s="34" t="s">
        <v>3092</v>
      </c>
      <c r="B396" s="34" t="s">
        <v>3091</v>
      </c>
      <c r="C396" s="36">
        <v>9065</v>
      </c>
      <c r="D396" s="34" t="s">
        <v>3857</v>
      </c>
      <c r="E396" s="34" t="s">
        <v>3863</v>
      </c>
      <c r="F396" s="3">
        <v>35478.041666666701</v>
      </c>
      <c r="G396" s="35">
        <f ca="1">YEAR(TODAY()) - YEAR(F396) - (IF(DATE(YEAR(TODAY()), MONTH(F396), DAY(F396)) &gt; TODAY(), 1, 0))</f>
        <v>28</v>
      </c>
      <c r="H396" s="43" cm="1">
        <f t="array" aca="1" ref="H396" ca="1">SUMPRODUCT((BRON!$A$2:$A$1197=Table1[[#This Row],[Personeelsnummer]])*(BRON!$T$2:$T$1197&gt;=DATE(YEAR(TODAY())-1,MONTH(TODAY()),DAY(TODAY())))*(BRON!$T$2:$T$1197&lt;=TODAY()))</f>
        <v>0</v>
      </c>
    </row>
    <row r="397" spans="1:8" x14ac:dyDescent="0.25">
      <c r="A397" s="34" t="s">
        <v>2579</v>
      </c>
      <c r="B397" s="34" t="s">
        <v>2578</v>
      </c>
      <c r="C397" s="36">
        <v>8391</v>
      </c>
      <c r="D397" s="34" t="s">
        <v>3862</v>
      </c>
      <c r="E397" s="34" t="s">
        <v>3863</v>
      </c>
      <c r="F397" s="3">
        <v>35219.083333333299</v>
      </c>
      <c r="G397" s="35">
        <f ca="1">YEAR(TODAY()) - YEAR(F397) - (IF(DATE(YEAR(TODAY()), MONTH(F397), DAY(F397)) &gt; TODAY(), 1, 0))</f>
        <v>29</v>
      </c>
      <c r="H397" s="43" cm="1">
        <f t="array" aca="1" ref="H397" ca="1">SUMPRODUCT((BRON!$A$2:$A$1197=Table1[[#This Row],[Personeelsnummer]])*(BRON!$T$2:$T$1197&gt;=DATE(YEAR(TODAY())-1,MONTH(TODAY()),DAY(TODAY())))*(BRON!$T$2:$T$1197&lt;=TODAY()))</f>
        <v>0</v>
      </c>
    </row>
    <row r="398" spans="1:8" x14ac:dyDescent="0.25">
      <c r="A398" s="34" t="s">
        <v>3347</v>
      </c>
      <c r="B398" s="34" t="s">
        <v>3346</v>
      </c>
      <c r="C398" s="36">
        <v>8708</v>
      </c>
      <c r="D398" s="34" t="s">
        <v>3858</v>
      </c>
      <c r="E398" s="34" t="s">
        <v>3861</v>
      </c>
      <c r="F398" s="3">
        <v>35303.083333333299</v>
      </c>
      <c r="G398" s="35">
        <f ca="1">YEAR(TODAY()) - YEAR(F398) - (IF(DATE(YEAR(TODAY()), MONTH(F398), DAY(F398)) &gt; TODAY(), 1, 0))</f>
        <v>29</v>
      </c>
      <c r="H398" s="43" cm="1">
        <f t="array" aca="1" ref="H398" ca="1">SUMPRODUCT((BRON!$A$2:$A$1197=Table1[[#This Row],[Personeelsnummer]])*(BRON!$T$2:$T$1197&gt;=DATE(YEAR(TODAY())-1,MONTH(TODAY()),DAY(TODAY())))*(BRON!$T$2:$T$1197&lt;=TODAY()))</f>
        <v>0</v>
      </c>
    </row>
    <row r="399" spans="1:8" x14ac:dyDescent="0.25">
      <c r="A399" s="34" t="s">
        <v>1842</v>
      </c>
      <c r="B399" s="34" t="s">
        <v>1841</v>
      </c>
      <c r="C399" s="36">
        <v>8016</v>
      </c>
      <c r="D399" s="34" t="s">
        <v>3857</v>
      </c>
      <c r="E399" s="34" t="s">
        <v>3866</v>
      </c>
      <c r="F399" s="3">
        <v>35065.041666666701</v>
      </c>
      <c r="G399" s="35">
        <f ca="1">YEAR(TODAY()) - YEAR(F399) - (IF(DATE(YEAR(TODAY()), MONTH(F399), DAY(F399)) &gt; TODAY(), 1, 0))</f>
        <v>29</v>
      </c>
      <c r="H399" s="43" cm="1">
        <f t="array" aca="1" ref="H399" ca="1">SUMPRODUCT((BRON!$A$2:$A$1197=Table1[[#This Row],[Personeelsnummer]])*(BRON!$T$2:$T$1197&gt;=DATE(YEAR(TODAY())-1,MONTH(TODAY()),DAY(TODAY())))*(BRON!$T$2:$T$1197&lt;=TODAY()))</f>
        <v>0</v>
      </c>
    </row>
    <row r="400" spans="1:8" x14ac:dyDescent="0.25">
      <c r="A400" s="34" t="s">
        <v>1911</v>
      </c>
      <c r="B400" s="34" t="s">
        <v>1910</v>
      </c>
      <c r="C400" s="36">
        <v>5599</v>
      </c>
      <c r="D400" s="34" t="s">
        <v>3857</v>
      </c>
      <c r="E400" s="34" t="s">
        <v>3865</v>
      </c>
      <c r="F400" s="3">
        <v>33609.041666666701</v>
      </c>
      <c r="G400" s="35">
        <f ca="1">YEAR(TODAY()) - YEAR(F400) - (IF(DATE(YEAR(TODAY()), MONTH(F400), DAY(F400)) &gt; TODAY(), 1, 0))</f>
        <v>33</v>
      </c>
      <c r="H400" s="43" cm="1">
        <f t="array" aca="1" ref="H400" ca="1">SUMPRODUCT((BRON!$A$2:$A$1197=Table1[[#This Row],[Personeelsnummer]])*(BRON!$T$2:$T$1197&gt;=DATE(YEAR(TODAY())-1,MONTH(TODAY()),DAY(TODAY())))*(BRON!$T$2:$T$1197&lt;=TODAY()))</f>
        <v>0</v>
      </c>
    </row>
    <row r="401" spans="1:8" x14ac:dyDescent="0.25">
      <c r="A401" s="34" t="s">
        <v>1782</v>
      </c>
      <c r="B401" s="34" t="s">
        <v>1781</v>
      </c>
      <c r="C401" s="36">
        <v>5813</v>
      </c>
      <c r="D401" s="34" t="s">
        <v>3862</v>
      </c>
      <c r="E401" s="34" t="s">
        <v>3861</v>
      </c>
      <c r="F401" s="3">
        <v>33742.083333333299</v>
      </c>
      <c r="G401" s="35">
        <f ca="1">YEAR(TODAY()) - YEAR(F401) - (IF(DATE(YEAR(TODAY()), MONTH(F401), DAY(F401)) &gt; TODAY(), 1, 0))</f>
        <v>33</v>
      </c>
      <c r="H401" s="43" cm="1">
        <f t="array" aca="1" ref="H401" ca="1">SUMPRODUCT((BRON!$A$2:$A$1197=Table1[[#This Row],[Personeelsnummer]])*(BRON!$T$2:$T$1197&gt;=DATE(YEAR(TODAY())-1,MONTH(TODAY()),DAY(TODAY())))*(BRON!$T$2:$T$1197&lt;=TODAY()))</f>
        <v>0</v>
      </c>
    </row>
    <row r="402" spans="1:8" x14ac:dyDescent="0.25">
      <c r="A402" s="34" t="s">
        <v>2675</v>
      </c>
      <c r="B402" s="34" t="s">
        <v>2674</v>
      </c>
      <c r="C402" s="36">
        <v>5718</v>
      </c>
      <c r="D402" s="34" t="s">
        <v>3853</v>
      </c>
      <c r="E402" s="34" t="s">
        <v>3854</v>
      </c>
      <c r="F402" s="3">
        <v>33707.083333333299</v>
      </c>
      <c r="G402" s="35">
        <f ca="1">YEAR(TODAY()) - YEAR(F402) - (IF(DATE(YEAR(TODAY()), MONTH(F402), DAY(F402)) &gt; TODAY(), 1, 0))</f>
        <v>33</v>
      </c>
      <c r="H402" s="43" cm="1">
        <f t="array" aca="1" ref="H402" ca="1">SUMPRODUCT((BRON!$A$2:$A$1197=Table1[[#This Row],[Personeelsnummer]])*(BRON!$T$2:$T$1197&gt;=DATE(YEAR(TODAY())-1,MONTH(TODAY()),DAY(TODAY())))*(BRON!$T$2:$T$1197&lt;=TODAY()))</f>
        <v>0</v>
      </c>
    </row>
    <row r="403" spans="1:8" x14ac:dyDescent="0.25">
      <c r="A403" s="34" t="s">
        <v>1351</v>
      </c>
      <c r="B403" s="34" t="s">
        <v>3276</v>
      </c>
      <c r="C403" s="36">
        <v>5063</v>
      </c>
      <c r="D403" s="34" t="s">
        <v>3862</v>
      </c>
      <c r="E403" s="34" t="s">
        <v>3861</v>
      </c>
      <c r="F403" s="3">
        <v>33287.041666666701</v>
      </c>
      <c r="G403" s="35">
        <f ca="1">YEAR(TODAY()) - YEAR(F403) - (IF(DATE(YEAR(TODAY()), MONTH(F403), DAY(F403)) &gt; TODAY(), 1, 0))</f>
        <v>34</v>
      </c>
      <c r="H403" s="43" cm="1">
        <f t="array" aca="1" ref="H403" ca="1">SUMPRODUCT((BRON!$A$2:$A$1197=Table1[[#This Row],[Personeelsnummer]])*(BRON!$T$2:$T$1197&gt;=DATE(YEAR(TODAY())-1,MONTH(TODAY()),DAY(TODAY())))*(BRON!$T$2:$T$1197&lt;=TODAY()))</f>
        <v>0</v>
      </c>
    </row>
  </sheetData>
  <dataValidations count="6">
    <dataValidation type="date" operator="greaterThanOrEqual" allowBlank="1" showInputMessage="1" showErrorMessage="1" errorTitle="Ongeldige datum" error="Datum in dienst moet de juiste datumnotatie hebben." promptTitle="Datum" prompt=" " sqref="F2:F1048576" xr:uid="{5271FB91-273B-44AE-9055-3A51976CC25A}">
      <formula1>1</formula1>
    </dataValidation>
    <dataValidation allowBlank="1" showInputMessage="1" showErrorMessage="1" error=" " promptTitle="Opzoeken" prompt="De record Team Coach moet al aanwezig zijn in Microsoft Dynamics 365 of in dit bronbestand." sqref="E2:E1048576" xr:uid="{FF81204B-EAB1-4E70-B5C0-F2EB1535978A}"/>
    <dataValidation type="textLength" operator="lessThanOrEqual" allowBlank="1" showInputMessage="1" showErrorMessage="1" errorTitle="Lengte overschreden" error="Deze waarde mag maximaal 100 tekens lang zijn." promptTitle="Tekst" prompt="Maximumlengte: 100 tekens." sqref="D2:D1048576" xr:uid="{1BA03766-E6DC-45DA-BCBC-FF9E84F127D1}">
      <formula1>100</formula1>
    </dataValidation>
    <dataValidation type="textLength" operator="lessThanOrEqual" showInputMessage="1" showErrorMessage="1" errorTitle="Lengte overschreden" error="Deze waarde mag maximaal 50 tekens lang zijn." promptTitle="Tekst (vereist)" prompt="Maximumlengte: 50 tekens." sqref="B2:B1048576" xr:uid="{819F7301-7F45-45BA-9D39-2FDBC1E851CA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A2:A1048576" xr:uid="{BA73D9FF-C804-495F-8A94-3DFE6B3D4497}">
      <formula1>50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C2:C1048576" xr:uid="{3F72E70B-7D5C-460C-BB90-3AA5F5667FD4}">
      <formula1>100</formula1>
    </dataValidation>
  </dataValidations>
  <pageMargins left="0.7" right="0.7" top="0.75" bottom="0.75" header="0.3" footer="0.3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7</vt:i4>
      </vt:variant>
    </vt:vector>
  </HeadingPairs>
  <TitlesOfParts>
    <vt:vector size="7" baseType="lpstr">
      <vt:lpstr>naar word</vt:lpstr>
      <vt:lpstr>BRON</vt:lpstr>
      <vt:lpstr>Dashboard</vt:lpstr>
      <vt:lpstr>contact</vt:lpstr>
      <vt:lpstr>archief 2024</vt:lpstr>
      <vt:lpstr>data hastus</vt:lpstr>
      <vt:lpstr>schades-dienstjaar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2025-12-01T11:38:25Z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