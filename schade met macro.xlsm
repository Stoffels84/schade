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65" documentId="8_{21511603-A870-4D4C-809B-4C28D285AF8F}" xr6:coauthVersionLast="47" xr6:coauthVersionMax="47" xr10:uidLastSave="{08FA48EF-B486-4CDA-819D-8603D9F85BA8}"/>
  <bookViews>
    <workbookView xWindow="-15000" yWindow="1612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D897" i="1"/>
  <c r="E897" i="1"/>
  <c r="S897" i="1"/>
  <c r="C896" i="1"/>
  <c r="B896" i="1" s="1"/>
  <c r="D896" i="1"/>
  <c r="E896" i="1"/>
  <c r="S896" i="1"/>
  <c r="C895" i="1"/>
  <c r="D895" i="1"/>
  <c r="E895" i="1"/>
  <c r="S895" i="1"/>
  <c r="C894" i="1"/>
  <c r="D894" i="1"/>
  <c r="E894" i="1"/>
  <c r="S894" i="1"/>
  <c r="C893" i="1"/>
  <c r="D893" i="1"/>
  <c r="E893" i="1"/>
  <c r="S893" i="1"/>
  <c r="C892" i="1"/>
  <c r="B892" i="1" s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B888" i="1" s="1"/>
  <c r="D888" i="1"/>
  <c r="E888" i="1"/>
  <c r="S888" i="1"/>
  <c r="C887" i="1"/>
  <c r="D887" i="1"/>
  <c r="E887" i="1"/>
  <c r="S887" i="1"/>
  <c r="C886" i="1"/>
  <c r="B886" i="1" s="1"/>
  <c r="D886" i="1"/>
  <c r="E886" i="1"/>
  <c r="S886" i="1"/>
  <c r="C885" i="1"/>
  <c r="D885" i="1"/>
  <c r="E885" i="1"/>
  <c r="S885" i="1"/>
  <c r="C884" i="1"/>
  <c r="B884" i="1" s="1"/>
  <c r="D884" i="1"/>
  <c r="E884" i="1"/>
  <c r="S884" i="1"/>
  <c r="C883" i="1"/>
  <c r="D883" i="1"/>
  <c r="E883" i="1"/>
  <c r="S883" i="1"/>
  <c r="C882" i="1"/>
  <c r="B882" i="1" s="1"/>
  <c r="D882" i="1"/>
  <c r="E882" i="1"/>
  <c r="S882" i="1"/>
  <c r="C881" i="1"/>
  <c r="D881" i="1"/>
  <c r="E881" i="1"/>
  <c r="S881" i="1"/>
  <c r="C880" i="1"/>
  <c r="D880" i="1"/>
  <c r="E880" i="1"/>
  <c r="S880" i="1"/>
  <c r="C879" i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900" i="1" l="1"/>
  <c r="B881" i="1"/>
  <c r="B883" i="1"/>
  <c r="B885" i="1"/>
  <c r="B887" i="1"/>
  <c r="B889" i="1"/>
  <c r="B891" i="1"/>
  <c r="B893" i="1"/>
  <c r="B895" i="1"/>
  <c r="B897" i="1"/>
  <c r="B878" i="1"/>
  <c r="B879" i="1"/>
  <c r="B880" i="1"/>
  <c r="B894" i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<sst xmlns="http://schemas.openxmlformats.org/spreadsheetml/2006/main" count="8626" uniqueCount="3715">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</sst>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11</v>
          </cell>
          <cell r="B3" t="str">
            <v>Bart Van der Beken</v>
          </cell>
          <cell r="D3">
            <v>25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22</v>
          </cell>
        </row>
        <row r="6">
          <cell r="A6">
            <v>7</v>
          </cell>
          <cell r="B6" t="str">
            <v>Dominique De Clercq</v>
          </cell>
          <cell r="D6">
            <v>36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22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  <filterColumn colId="25">
      <filters>
        <filter val="2201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11</v>
      </c>
      <c r="J43" s="13" t="str">
        <f>'[1]Ingeplande per TC'!$B$3</f>
        <v>Bart Van der Beken</v>
      </c>
      <c r="K43" s="13"/>
      <c r="L43" s="25"/>
      <c r="M43" s="13">
        <f>'[1]Ingeplande per TC'!$D$3</f>
        <v>25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22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22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187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80" activePane="bottomLeft" state="frozen"/>
      <selection activeCell="F1" sqref="F1"/>
      <selection pane="bottomLeft" activeCell="AA903" sqref="AA903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hidden="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hidden="1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hidden="1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hidden="1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hidden="1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hidden="1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hidden="1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hidden="1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hidden="1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hidden="1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hidden="1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hidden="1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hidden="1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hidden="1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hidden="1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hidden="1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hidden="1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hidden="1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hidden="1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hidden="1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hidden="1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hidden="1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hidden="1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hidden="1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hidden="1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hidden="1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hidden="1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hidden="1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hidden="1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hidden="1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hidden="1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hidden="1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hidden="1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hidden="1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hidden="1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hidden="1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hidden="1" x14ac:dyDescent="0.25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1:27" hidden="1" x14ac:dyDescent="0.25">
      <c r="A897">
        <v>12024</v>
      </c>
      <c r="B897" t="str">
        <f>_xlfn.CONCAT(bron[[#This Row],[personeelsnr]]," ",bron[[#This Row],[achternaam]]," ",bron[[#This Row],[voornaam]])</f>
        <v>12024 De Cooman Kurt</v>
      </c>
      <c r="C897" t="str">
        <f>VLOOKUP(bron[[#This Row],[personeelsnr]],'data hastus'!$A:$C,2,0)</f>
        <v>De Cooman</v>
      </c>
      <c r="D897" t="str">
        <f>VLOOKUP(bron[[#This Row],[personeelsnr]],'data hastus'!$A:$C,3,0)</f>
        <v>Kurt</v>
      </c>
      <c r="E897" s="2" t="str">
        <f>VLOOKUP(bron[[#This Row],[personeelsnr]],'data hastus'!A:K,11,FALSE)</f>
        <v>Lucie Vande Velde</v>
      </c>
      <c r="G897" s="39"/>
      <c r="H897" s="39"/>
      <c r="I897" s="39"/>
      <c r="S897" s="36">
        <f>SUM(bron[[#This Row],[Januari]:[December]])</f>
        <v>0</v>
      </c>
      <c r="T897" s="41">
        <v>45938</v>
      </c>
      <c r="U897" s="5" t="s">
        <v>3707</v>
      </c>
      <c r="V897" s="37"/>
      <c r="W897" s="37"/>
      <c r="X897" t="s">
        <v>3513</v>
      </c>
      <c r="Y897" t="s">
        <v>3708</v>
      </c>
      <c r="Z897" s="2">
        <v>5328</v>
      </c>
      <c r="AA897" s="43" t="s">
        <v>3558</v>
      </c>
    </row>
    <row r="898" spans="1:27" hidden="1" x14ac:dyDescent="0.25">
      <c r="A898">
        <v>41520</v>
      </c>
      <c r="B898" t="str">
        <f>_xlfn.CONCAT(bron[[#This Row],[personeelsnr]]," ",bron[[#This Row],[achternaam]]," ",bron[[#This Row],[voornaam]])</f>
        <v>41520 Smets Avery</v>
      </c>
      <c r="C898" t="str">
        <f>VLOOKUP(bron[[#This Row],[personeelsnr]],'data hastus'!$A:$C,2,0)</f>
        <v>Smets</v>
      </c>
      <c r="D898" t="str">
        <f>VLOOKUP(bron[[#This Row],[personeelsnr]],'data hastus'!$A:$C,3,0)</f>
        <v>Avery</v>
      </c>
      <c r="E898" s="2" t="str">
        <f>VLOOKUP(bron[[#This Row],[personeelsnr]],'data hastus'!A:K,11,FALSE)</f>
        <v>Christoff Rotty</v>
      </c>
      <c r="G898" s="39"/>
      <c r="H898" s="39"/>
      <c r="I898" s="39"/>
      <c r="S898" s="36">
        <f>SUM(bron[[#This Row],[Januari]:[December]])</f>
        <v>0</v>
      </c>
      <c r="T898" s="41">
        <v>45934</v>
      </c>
      <c r="U898" s="5" t="s">
        <v>3709</v>
      </c>
      <c r="V898" s="37"/>
      <c r="W898" s="37"/>
      <c r="X898" t="s">
        <v>3513</v>
      </c>
      <c r="Y898" t="s">
        <v>40</v>
      </c>
      <c r="Z898" s="2">
        <v>2196</v>
      </c>
      <c r="AA898" s="43" t="s">
        <v>3558</v>
      </c>
    </row>
    <row r="899" spans="1:27" hidden="1" x14ac:dyDescent="0.25">
      <c r="A899">
        <v>41482</v>
      </c>
      <c r="B899" t="str">
        <f>_xlfn.CONCAT(bron[[#This Row],[personeelsnr]]," ",bron[[#This Row],[achternaam]]," ",bron[[#This Row],[voornaam]])</f>
        <v>41482 Özdemir Osman</v>
      </c>
      <c r="C899" t="str">
        <f>VLOOKUP(bron[[#This Row],[personeelsnr]],'data hastus'!$A:$C,2,0)</f>
        <v>Özdemir</v>
      </c>
      <c r="D899" t="str">
        <f>VLOOKUP(bron[[#This Row],[personeelsnr]],'data hastus'!$A:$C,3,0)</f>
        <v>Osman</v>
      </c>
      <c r="E899" s="2" t="str">
        <f>VLOOKUP(bron[[#This Row],[personeelsnr]],'data hastus'!A:K,11,FALSE)</f>
        <v>Bart Van Der Beken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24" t="s">
        <v>3710</v>
      </c>
      <c r="V899" s="37"/>
      <c r="W899" s="37"/>
      <c r="X899" t="s">
        <v>3513</v>
      </c>
      <c r="Y899" t="s">
        <v>240</v>
      </c>
      <c r="Z899" s="2">
        <v>2189</v>
      </c>
      <c r="AA899" s="43" t="s">
        <v>3558</v>
      </c>
    </row>
    <row r="900" spans="1:27" hidden="1" x14ac:dyDescent="0.25">
      <c r="A900">
        <v>39856</v>
      </c>
      <c r="B900" t="str">
        <f>_xlfn.CONCAT(bron[[#This Row],[personeelsnr]]," ",bron[[#This Row],[achternaam]]," ",bron[[#This Row],[voornaam]])</f>
        <v>39856 Curukcu Bayram</v>
      </c>
      <c r="C900" t="str">
        <f>VLOOKUP(bron[[#This Row],[personeelsnr]],'data hastus'!$A:$C,2,0)</f>
        <v>Curukcu</v>
      </c>
      <c r="D900" t="str">
        <f>VLOOKUP(bron[[#This Row],[personeelsnr]],'data hastus'!$A:$C,3,0)</f>
        <v>Bayram</v>
      </c>
      <c r="E900" s="2" t="str">
        <f>VLOOKUP(bron[[#This Row],[personeelsnr]],'data hastus'!A:K,11,FALSE)</f>
        <v>Kenneth De Rick</v>
      </c>
      <c r="G900" s="39"/>
      <c r="H900" s="39"/>
      <c r="I900" s="39"/>
      <c r="S900" s="36">
        <f>SUM(bron[[#This Row],[Januari]:[December]])</f>
        <v>0</v>
      </c>
      <c r="T900" s="41">
        <v>45936</v>
      </c>
      <c r="U900" s="5" t="s">
        <v>3711</v>
      </c>
      <c r="V900" s="37"/>
      <c r="W900" s="37"/>
      <c r="X900" t="s">
        <v>3513</v>
      </c>
      <c r="Y900" t="s">
        <v>25</v>
      </c>
      <c r="Z900" s="2">
        <v>5052</v>
      </c>
      <c r="AA900" s="43" t="s">
        <v>3558</v>
      </c>
    </row>
    <row r="901" spans="1:27" hidden="1" x14ac:dyDescent="0.25">
      <c r="A901">
        <v>35430</v>
      </c>
      <c r="B901" t="str">
        <f>_xlfn.CONCAT(bron[[#This Row],[personeelsnr]]," ",bron[[#This Row],[achternaam]]," ",bron[[#This Row],[voornaam]])</f>
        <v>35430 Vlaminck Dirk</v>
      </c>
      <c r="C901" t="str">
        <f>VLOOKUP(bron[[#This Row],[personeelsnr]],'data hastus'!$A:$C,2,0)</f>
        <v>Vlaminck</v>
      </c>
      <c r="D901" t="str">
        <f>VLOOKUP(bron[[#This Row],[personeelsnr]],'data hastus'!$A:$C,3,0)</f>
        <v>Dirk</v>
      </c>
      <c r="E901" s="2" t="str">
        <f>VLOOKUP(bron[[#This Row],[personeelsnr]],'data hastus'!A:K,11,FALSE)</f>
        <v>Els Vanhoe</v>
      </c>
      <c r="G901" s="39"/>
      <c r="H901" s="39"/>
      <c r="I901" s="39"/>
      <c r="S901" s="36">
        <f>SUM(bron[[#This Row],[Januari]:[December]])</f>
        <v>0</v>
      </c>
      <c r="T901" s="41">
        <v>45941</v>
      </c>
      <c r="U901" s="5" t="s">
        <v>3712</v>
      </c>
      <c r="V901" s="37"/>
      <c r="W901" s="37"/>
      <c r="X901" t="s">
        <v>3513</v>
      </c>
      <c r="Y901" t="s">
        <v>3658</v>
      </c>
      <c r="Z901" s="2">
        <v>5237</v>
      </c>
      <c r="AA901" s="43" t="s">
        <v>3631</v>
      </c>
    </row>
    <row r="902" spans="1:27" hidden="1" x14ac:dyDescent="0.25">
      <c r="A902">
        <v>41871</v>
      </c>
      <c r="B902" t="str">
        <f>_xlfn.CONCAT(bron[[#This Row],[personeelsnr]]," ",bron[[#This Row],[achternaam]]," ",bron[[#This Row],[voornaam]])</f>
        <v>41871 Karanfil Ibrahim</v>
      </c>
      <c r="C902" t="str">
        <f>VLOOKUP(bron[[#This Row],[personeelsnr]],'data hastus'!$A:$C,2,0)</f>
        <v>Karanfil</v>
      </c>
      <c r="D902" t="str">
        <f>VLOOKUP(bron[[#This Row],[personeelsnr]],'data hastus'!$A:$C,3,0)</f>
        <v>Ibrahim</v>
      </c>
      <c r="E902" s="2" t="str">
        <f>VLOOKUP(bron[[#This Row],[personeelsnr]],'data hastus'!A:K,11,FALSE)</f>
        <v>Dominique De Clercq</v>
      </c>
      <c r="G902" s="39"/>
      <c r="H902" s="39"/>
      <c r="I902" s="39"/>
      <c r="S902" s="36">
        <f>SUM(bron[[#This Row],[Januari]:[December]])</f>
        <v>0</v>
      </c>
      <c r="T902" s="41">
        <v>45936</v>
      </c>
      <c r="U902" s="5" t="s">
        <v>3713</v>
      </c>
      <c r="V902" s="37"/>
      <c r="W902" s="37"/>
      <c r="X902" t="s">
        <v>3512</v>
      </c>
      <c r="Y902" t="s">
        <v>46</v>
      </c>
      <c r="Z902" s="2">
        <v>5487</v>
      </c>
      <c r="AA902" s="43" t="s">
        <v>3558</v>
      </c>
    </row>
    <row r="903" spans="1:27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3714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hidden="1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1:27" hidden="1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1:27" hidden="1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1:27" hidden="1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1:27" hidden="1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1:27" hidden="1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1:27" hidden="1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  <hyperlink ref="U899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2025-10-15T07:17:56Z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